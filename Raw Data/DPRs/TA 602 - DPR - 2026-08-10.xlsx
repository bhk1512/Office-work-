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F9B694AA-7AFB-45E4-BAAA-13E8534A8AC2}" xr6:coauthVersionLast="47" xr6:coauthVersionMax="47" xr10:uidLastSave="{00000000-0000-0000-0000-000000000000}"/>
  <bookViews>
    <workbookView xWindow="-110" yWindow="-110" windowWidth="19420" windowHeight="10300" tabRatio="888" xr2:uid="{00000000-000D-0000-FFFF-FFFF00000000}"/>
  </bookViews>
  <sheets>
    <sheet name="Stringing Completed" sheetId="68" r:id="rId1"/>
    <sheet name="Stringing Compiled" sheetId="69" r:id="rId2"/>
    <sheet name="FDN" sheetId="30" r:id="rId3"/>
    <sheet name="Erection " sheetId="63" r:id="rId4"/>
  </sheets>
  <externalReferences>
    <externalReference r:id="rId5"/>
  </externalReferences>
  <definedNames>
    <definedName name="\0">#REF!</definedName>
    <definedName name="\A" localSheetId="1">#REF!</definedName>
    <definedName name="\A">#REF!</definedName>
    <definedName name="\A_1">"#REF!"</definedName>
    <definedName name="\aa" localSheetId="1">#REF!</definedName>
    <definedName name="\aa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#REF!</definedName>
    <definedName name="\DFC" localSheetId="1">#REF!</definedName>
    <definedName name="\DFC">#REF!</definedName>
    <definedName name="\E" localSheetId="1">#REF!</definedName>
    <definedName name="\E">#REF!</definedName>
    <definedName name="\g">#REF!</definedName>
    <definedName name="\H" localSheetId="1">#REF!</definedName>
    <definedName name="\H">#REF!</definedName>
    <definedName name="\i">#REF!</definedName>
    <definedName name="\jmns" localSheetId="1">#REF!</definedName>
    <definedName name="\jmns">#REF!</definedName>
    <definedName name="\L" localSheetId="1">#REF!</definedName>
    <definedName name="\L">#REF!</definedName>
    <definedName name="\LK" localSheetId="1">#REF!</definedName>
    <definedName name="\LK">#REF!</definedName>
    <definedName name="\LKM" localSheetId="1">#REF!</definedName>
    <definedName name="\LKM">#REF!</definedName>
    <definedName name="\M" localSheetId="1">#REF!</definedName>
    <definedName name="\M">#REF!</definedName>
    <definedName name="\N" localSheetId="1">#REF!</definedName>
    <definedName name="\N">#REF!</definedName>
    <definedName name="\P" localSheetId="1">#REF!</definedName>
    <definedName name="\P">#REF!</definedName>
    <definedName name="\Q" localSheetId="1">#REF!</definedName>
    <definedName name="\Q">#REF!</definedName>
    <definedName name="\R" localSheetId="1">#REF!</definedName>
    <definedName name="\R">#REF!</definedName>
    <definedName name="\S" localSheetId="1">#REF!</definedName>
    <definedName name="\S">#REF!</definedName>
    <definedName name="\Sv" localSheetId="1">#REF!</definedName>
    <definedName name="\Sv">#REF!</definedName>
    <definedName name="\U" localSheetId="1">#REF!</definedName>
    <definedName name="\U">#REF!</definedName>
    <definedName name="\V" localSheetId="1">#REF!</definedName>
    <definedName name="\V">#REF!</definedName>
    <definedName name="\x" localSheetId="1">#REF!</definedName>
    <definedName name="\x">#REF!</definedName>
    <definedName name="\z" localSheetId="1">#REF!</definedName>
    <definedName name="\z">#REF!</definedName>
    <definedName name="_" localSheetId="1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1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1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1">#REF!</definedName>
    <definedName name="____Ki1">#REF!</definedName>
    <definedName name="____Ki2" localSheetId="1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1">#REF!</definedName>
    <definedName name="____Re1">#REF!</definedName>
    <definedName name="____Rl1">#REF!</definedName>
    <definedName name="____Rs1" localSheetId="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1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1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1">#REF!</definedName>
    <definedName name="___aba2">#REF!</definedName>
    <definedName name="___acs1">#REF!</definedName>
    <definedName name="___acs2">#REF!</definedName>
    <definedName name="___adj1" localSheetId="1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1">#REF!</definedName>
    <definedName name="___bom1">#REF!</definedName>
    <definedName name="___cdd2">#REF!</definedName>
    <definedName name="___CFB1" localSheetId="1">#REF!</definedName>
    <definedName name="___CFB1">#REF!</definedName>
    <definedName name="___CFB2" localSheetId="1">#REF!</definedName>
    <definedName name="___CFB2">#REF!</definedName>
    <definedName name="___CFB3" localSheetId="1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1">#REF!</definedName>
    <definedName name="___DAT1">#REF!</definedName>
    <definedName name="___DAT10" localSheetId="1">#REF!</definedName>
    <definedName name="___DAT10">#REF!</definedName>
    <definedName name="___DAT11" localSheetId="1">#REF!</definedName>
    <definedName name="___DAT11">#REF!</definedName>
    <definedName name="___DAT12" localSheetId="1">#REF!</definedName>
    <definedName name="___DAT12">#REF!</definedName>
    <definedName name="___DAT13" localSheetId="1">#REF!</definedName>
    <definedName name="___DAT13">#REF!</definedName>
    <definedName name="___DAT14" localSheetId="1">#REF!</definedName>
    <definedName name="___DAT14">#REF!</definedName>
    <definedName name="___DAT15" localSheetId="1">#REF!</definedName>
    <definedName name="___DAT15">#REF!</definedName>
    <definedName name="___DAT16" localSheetId="1">#REF!</definedName>
    <definedName name="___DAT16">#REF!</definedName>
    <definedName name="___DAT17" localSheetId="1">#REF!</definedName>
    <definedName name="___DAT17">#REF!</definedName>
    <definedName name="___DAT18" localSheetId="1">#REF!</definedName>
    <definedName name="___DAT18">#REF!</definedName>
    <definedName name="___DAT2" localSheetId="1">#REF!</definedName>
    <definedName name="___DAT2">#REF!</definedName>
    <definedName name="___DAT3" localSheetId="1">#REF!</definedName>
    <definedName name="___DAT3">#REF!</definedName>
    <definedName name="___DAT4" localSheetId="1">#REF!</definedName>
    <definedName name="___DAT4">#REF!</definedName>
    <definedName name="___DAT5" localSheetId="1">#REF!</definedName>
    <definedName name="___DAT5">#REF!</definedName>
    <definedName name="___DAT6" localSheetId="1">#REF!</definedName>
    <definedName name="___DAT6">#REF!</definedName>
    <definedName name="___DAT7" localSheetId="1">#REF!</definedName>
    <definedName name="___DAT7">#REF!</definedName>
    <definedName name="___DAT8" localSheetId="1">#REF!</definedName>
    <definedName name="___DAT8">#REF!</definedName>
    <definedName name="___DAT9" localSheetId="1">#REF!</definedName>
    <definedName name="___DAT9">#REF!</definedName>
    <definedName name="___del1">#REF!</definedName>
    <definedName name="___DET1" localSheetId="1">#REF!</definedName>
    <definedName name="___DET1">#REF!</definedName>
    <definedName name="___DET2" localSheetId="1">#REF!</definedName>
    <definedName name="___DET2">#REF!</definedName>
    <definedName name="___DET3" localSheetId="1">#REF!</definedName>
    <definedName name="___DET3">#REF!</definedName>
    <definedName name="___DET4" localSheetId="1">#REF!</definedName>
    <definedName name="___DET4">#REF!</definedName>
    <definedName name="___DET5" localSheetId="1">#REF!</definedName>
    <definedName name="___DET5">#REF!</definedName>
    <definedName name="___DET6" localSheetId="1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1">#REF!</definedName>
    <definedName name="___drg1">#REF!</definedName>
    <definedName name="___drg2" localSheetId="1">#REF!</definedName>
    <definedName name="___drg2">#REF!</definedName>
    <definedName name="___eth2">#REF!</definedName>
    <definedName name="___f1" hidden="1">{"'PROFITABILITY'!$A$1:$F$45"}</definedName>
    <definedName name="___fac1" localSheetId="1">#REF!</definedName>
    <definedName name="___fac1">#REF!</definedName>
    <definedName name="___fac2" localSheetId="1">#REF!</definedName>
    <definedName name="___fac2">#REF!</definedName>
    <definedName name="___fac3" localSheetId="1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1">#REF!</definedName>
    <definedName name="___Ki1">#REF!</definedName>
    <definedName name="___Ki2" localSheetId="1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hidden="1">{"'PROFITABILITY'!$A$1:$F$45"}</definedName>
    <definedName name="___out2" localSheetId="1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1">#REF!</definedName>
    <definedName name="___pep99">#REF!</definedName>
    <definedName name="___pfi1">#REF!</definedName>
    <definedName name="___pp1">#REF!</definedName>
    <definedName name="___pp2">#REF!</definedName>
    <definedName name="___ps1" localSheetId="1">#REF!</definedName>
    <definedName name="___ps1">#REF!</definedName>
    <definedName name="___rcu2">#REF!</definedName>
    <definedName name="___Re1" localSheetId="1">#REF!</definedName>
    <definedName name="___Re1">#REF!</definedName>
    <definedName name="___Rl1">#REF!</definedName>
    <definedName name="___row1">#REF!</definedName>
    <definedName name="___Rs1" localSheetId="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 localSheetId="1">#REF!</definedName>
    <definedName name="___SAP1">#REF!</definedName>
    <definedName name="___SAP10" localSheetId="1">#REF!</definedName>
    <definedName name="___SAP10">#REF!</definedName>
    <definedName name="___SAP11" localSheetId="1">#REF!</definedName>
    <definedName name="___SAP11">#REF!</definedName>
    <definedName name="___SAP2" localSheetId="1">#REF!</definedName>
    <definedName name="___SAP2">#REF!</definedName>
    <definedName name="___SAP3" localSheetId="1">#REF!</definedName>
    <definedName name="___SAP3">#REF!</definedName>
    <definedName name="___SAP4" localSheetId="1">#REF!</definedName>
    <definedName name="___SAP4">#REF!</definedName>
    <definedName name="___SAP5" localSheetId="1">#REF!</definedName>
    <definedName name="___SAP5">#REF!</definedName>
    <definedName name="___SAP6" localSheetId="1">#REF!</definedName>
    <definedName name="___SAP6">#REF!</definedName>
    <definedName name="___SAP7" localSheetId="1">#REF!</definedName>
    <definedName name="___SAP7">#REF!</definedName>
    <definedName name="___SAP8" localSheetId="1">#REF!</definedName>
    <definedName name="___SAP8">#REF!</definedName>
    <definedName name="___SAP9" localSheetId="1">#REF!</definedName>
    <definedName name="___SAP9">#REF!</definedName>
    <definedName name="___sch2" localSheetId="1">#REF!</definedName>
    <definedName name="___sch2">#REF!</definedName>
    <definedName name="___sch9" localSheetId="1">#REF!</definedName>
    <definedName name="___sch9">#REF!</definedName>
    <definedName name="__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1">#REF!</definedName>
    <definedName name="___SS402">#REF!</definedName>
    <definedName name="___SS403" localSheetId="1">#REF!</definedName>
    <definedName name="___SS403">#REF!</definedName>
    <definedName name="___SS404" localSheetId="1">#REF!</definedName>
    <definedName name="___SS404">#REF!</definedName>
    <definedName name="___SS405" localSheetId="1">#REF!</definedName>
    <definedName name="___SS405">#REF!</definedName>
    <definedName name="___SS406" localSheetId="1">#REF!</definedName>
    <definedName name="___SS406">#REF!</definedName>
    <definedName name="___SS407" localSheetId="1">#REF!</definedName>
    <definedName name="___SS407">#REF!</definedName>
    <definedName name="___SS408" localSheetId="1">#REF!</definedName>
    <definedName name="___SS408">#REF!</definedName>
    <definedName name="___SS409" localSheetId="1">#REF!</definedName>
    <definedName name="___SS409">#REF!</definedName>
    <definedName name="___SS423" localSheetId="1">#REF!</definedName>
    <definedName name="___SS423">#REF!</definedName>
    <definedName name="___SS424" localSheetId="1">#REF!</definedName>
    <definedName name="___SS424">#REF!</definedName>
    <definedName name="___TAB1">#REF!</definedName>
    <definedName name="___thinkcellREMAAAAAAAAAAAAAvHkPvCRC7kWH6_CDEWVaQA" localSheetId="1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1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1" hidden="1">#REF!</definedName>
    <definedName name="__123Graph_B" hidden="1">#REF!</definedName>
    <definedName name="__123Graph_C" localSheetId="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1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hidden="1">{"'PROFITABILITY'!$A$1:$F$45"}</definedName>
    <definedName name="__aba2" localSheetId="1">#REF!</definedName>
    <definedName name="__aba2">#REF!</definedName>
    <definedName name="__acs1">#REF!</definedName>
    <definedName name="__acs2">#REF!</definedName>
    <definedName name="__adj1" localSheetId="1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1">#REF!</definedName>
    <definedName name="__bom1">#REF!</definedName>
    <definedName name="__buh11">#REF!</definedName>
    <definedName name="__CCT220">#REF!</definedName>
    <definedName name="__cdd2">#REF!</definedName>
    <definedName name="__CFB1" localSheetId="1">#REF!</definedName>
    <definedName name="__CFB1">#REF!</definedName>
    <definedName name="__CFB2" localSheetId="1">#REF!</definedName>
    <definedName name="__CFB2">#REF!</definedName>
    <definedName name="__CFB3" localSheetId="1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1">#REF!</definedName>
    <definedName name="__DAT1">#REF!</definedName>
    <definedName name="__DAT10" localSheetId="1">#REF!</definedName>
    <definedName name="__DAT10">#REF!</definedName>
    <definedName name="__DAT11" localSheetId="1">#REF!</definedName>
    <definedName name="__DAT11">#REF!</definedName>
    <definedName name="__DAT12" localSheetId="1">#REF!</definedName>
    <definedName name="__DAT12">#REF!</definedName>
    <definedName name="__DAT13" localSheetId="1">#REF!</definedName>
    <definedName name="__DAT13">#REF!</definedName>
    <definedName name="__DAT14" localSheetId="1">#REF!</definedName>
    <definedName name="__DAT14">#REF!</definedName>
    <definedName name="__DAT15" localSheetId="1">#REF!</definedName>
    <definedName name="__DAT15">#REF!</definedName>
    <definedName name="__DAT16" localSheetId="1">#REF!</definedName>
    <definedName name="__DAT16">#REF!</definedName>
    <definedName name="__DAT17" localSheetId="1">#REF!</definedName>
    <definedName name="__DAT17">#REF!</definedName>
    <definedName name="__DAT18" localSheetId="1">#REF!</definedName>
    <definedName name="__DAT18">#REF!</definedName>
    <definedName name="__DAT2" localSheetId="1">#REF!</definedName>
    <definedName name="__DAT2">#REF!</definedName>
    <definedName name="__DAT3" localSheetId="1">#REF!</definedName>
    <definedName name="__DAT3">#REF!</definedName>
    <definedName name="__DAT4" localSheetId="1">#REF!</definedName>
    <definedName name="__DAT4">#REF!</definedName>
    <definedName name="__DAT5" localSheetId="1">#REF!</definedName>
    <definedName name="__DAT5">#REF!</definedName>
    <definedName name="__DAT6" localSheetId="1">#REF!</definedName>
    <definedName name="__DAT6">#REF!</definedName>
    <definedName name="__DAT7" localSheetId="1">#REF!</definedName>
    <definedName name="__DAT7">#REF!</definedName>
    <definedName name="__DAT8" localSheetId="1">#REF!</definedName>
    <definedName name="__DAT8">#REF!</definedName>
    <definedName name="__DAT9" localSheetId="1">#REF!</definedName>
    <definedName name="__DAT9">#REF!</definedName>
    <definedName name="__dec05" hidden="1">{"'Sheet1'!$A$4386:$N$4591"}</definedName>
    <definedName name="__del1">#REF!</definedName>
    <definedName name="__DET1" localSheetId="1">#REF!</definedName>
    <definedName name="__DET1">#REF!</definedName>
    <definedName name="__DET2" localSheetId="1">#REF!</definedName>
    <definedName name="__DET2">#REF!</definedName>
    <definedName name="__DET3" localSheetId="1">#REF!</definedName>
    <definedName name="__DET3">#REF!</definedName>
    <definedName name="__DET4" localSheetId="1">#REF!</definedName>
    <definedName name="__DET4">#REF!</definedName>
    <definedName name="__DET5" localSheetId="1">#REF!</definedName>
    <definedName name="__DET5">#REF!</definedName>
    <definedName name="__DET6" localSheetId="1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1">#REF!</definedName>
    <definedName name="__drg1">#REF!</definedName>
    <definedName name="__drg2" localSheetId="1">#REF!</definedName>
    <definedName name="__drg2">#REF!</definedName>
    <definedName name="__EdFJsKAA" localSheetId="1">#REF!</definedName>
    <definedName name="__EdFJsKAA" localSheetId="0">#REF!</definedName>
    <definedName name="__EdFJsKAA">#REF!</definedName>
    <definedName name="__eth2">#REF!</definedName>
    <definedName name="__f1" hidden="1">{"'PROFITABILITY'!$A$1:$F$45"}</definedName>
    <definedName name="__fac1" localSheetId="1">#REF!</definedName>
    <definedName name="__fac1">#REF!</definedName>
    <definedName name="__fac2" localSheetId="1">#REF!</definedName>
    <definedName name="__fac2">#REF!</definedName>
    <definedName name="__fac3" localSheetId="1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1">#REF!</definedName>
    <definedName name="__Ki1">#REF!</definedName>
    <definedName name="__Ki2" localSheetId="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hidden="1">{"'PROFITABILITY'!$A$1:$F$45"}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1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1">#REF!</definedName>
    <definedName name="__pep99">#REF!</definedName>
    <definedName name="__pfi1">#REF!</definedName>
    <definedName name="__pp1">#REF!</definedName>
    <definedName name="__pp2">#REF!</definedName>
    <definedName name="__ps1" localSheetId="1">#REF!</definedName>
    <definedName name="__ps1">#REF!</definedName>
    <definedName name="__rcu2">#REF!</definedName>
    <definedName name="__Re1" localSheetId="1">#REF!</definedName>
    <definedName name="__Re1">#REF!</definedName>
    <definedName name="__Rl1">#REF!</definedName>
    <definedName name="__row1">#REF!</definedName>
    <definedName name="__Rs1" localSheetId="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 localSheetId="1">#REF!</definedName>
    <definedName name="__SAP1">#REF!</definedName>
    <definedName name="__SAP10" localSheetId="1">#REF!</definedName>
    <definedName name="__SAP10">#REF!</definedName>
    <definedName name="__SAP11" localSheetId="1">#REF!</definedName>
    <definedName name="__SAP11">#REF!</definedName>
    <definedName name="__SAP2" localSheetId="1">#REF!</definedName>
    <definedName name="__SAP2">#REF!</definedName>
    <definedName name="__SAP3" localSheetId="1">#REF!</definedName>
    <definedName name="__SAP3">#REF!</definedName>
    <definedName name="__SAP4" localSheetId="1">#REF!</definedName>
    <definedName name="__SAP4">#REF!</definedName>
    <definedName name="__SAP5" localSheetId="1">#REF!</definedName>
    <definedName name="__SAP5">#REF!</definedName>
    <definedName name="__SAP6" localSheetId="1">#REF!</definedName>
    <definedName name="__SAP6">#REF!</definedName>
    <definedName name="__SAP7" localSheetId="1">#REF!</definedName>
    <definedName name="__SAP7">#REF!</definedName>
    <definedName name="__SAP8" localSheetId="1">#REF!</definedName>
    <definedName name="__SAP8">#REF!</definedName>
    <definedName name="__SAP9" localSheetId="1">#REF!</definedName>
    <definedName name="__SAP9">#REF!</definedName>
    <definedName name="__sch2" localSheetId="1">#REF!</definedName>
    <definedName name="__sch2">#REF!</definedName>
    <definedName name="__sch9" localSheetId="1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1">#REF!</definedName>
    <definedName name="__SS402">#REF!</definedName>
    <definedName name="__SS403" localSheetId="1">#REF!</definedName>
    <definedName name="__SS403">#REF!</definedName>
    <definedName name="__SS404" localSheetId="1">#REF!</definedName>
    <definedName name="__SS404">#REF!</definedName>
    <definedName name="__SS405" localSheetId="1">#REF!</definedName>
    <definedName name="__SS405">#REF!</definedName>
    <definedName name="__SS406" localSheetId="1">#REF!</definedName>
    <definedName name="__SS406">#REF!</definedName>
    <definedName name="__SS407" localSheetId="1">#REF!</definedName>
    <definedName name="__SS407">#REF!</definedName>
    <definedName name="__SS408" localSheetId="1">#REF!</definedName>
    <definedName name="__SS408">#REF!</definedName>
    <definedName name="__SS409" localSheetId="1">#REF!</definedName>
    <definedName name="__SS409">#REF!</definedName>
    <definedName name="__SS423" localSheetId="1">#REF!</definedName>
    <definedName name="__SS423">#REF!</definedName>
    <definedName name="__SS424" localSheetId="1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1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1">#REF!</definedName>
    <definedName name="_00">#REF!</definedName>
    <definedName name="_01" localSheetId="1">#REF!</definedName>
    <definedName name="_01">#REF!</definedName>
    <definedName name="_02">#N/A</definedName>
    <definedName name="_03">#N/A</definedName>
    <definedName name="_04">#N/A</definedName>
    <definedName name="_04_DIPL___TITEL" localSheetId="1">#REF!</definedName>
    <definedName name="_04_DIPL___TITEL">#REF!</definedName>
    <definedName name="_05" localSheetId="1">#REF!</definedName>
    <definedName name="_05">#REF!</definedName>
    <definedName name="_06">#N/A</definedName>
    <definedName name="_09_cost" localSheetId="1">#REF!</definedName>
    <definedName name="_09_cost">#REF!</definedName>
    <definedName name="_09_cost_2">#REF!</definedName>
    <definedName name="_09_IBR_marketing_manpower_cost" localSheetId="1">#REF!</definedName>
    <definedName name="_09_IBR_marketing_manpower_cost">#REF!</definedName>
    <definedName name="_09_IBR_marketing_manpower_cost_1" localSheetId="1">#REF!</definedName>
    <definedName name="_09_IBR_marketing_manpower_cost_1">#REF!</definedName>
    <definedName name="_09_IBR_marketing_sales_cost" localSheetId="1">#REF!</definedName>
    <definedName name="_09_IBR_marketing_sales_cost">#REF!</definedName>
    <definedName name="_09_IBR_reps" localSheetId="1">#REF!</definedName>
    <definedName name="_09_IBR_reps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1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1">#REF!</definedName>
    <definedName name="_aba2">#REF!</definedName>
    <definedName name="_acs1">#REF!</definedName>
    <definedName name="_acs2">#REF!</definedName>
    <definedName name="_adj1" localSheetId="1">#REF!</definedName>
    <definedName name="_adj1">#REF!</definedName>
    <definedName name="_ahu1">#REF!</definedName>
    <definedName name="_ahu2">#REF!</definedName>
    <definedName name="_Ann1">#REF!</definedName>
    <definedName name="_Ast1" localSheetId="1">#REF!</definedName>
    <definedName name="_Ast1">#REF!</definedName>
    <definedName name="_Ast2" localSheetId="1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1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1">#REF!</definedName>
    <definedName name="_CFB1">#REF!</definedName>
    <definedName name="_CFB2" localSheetId="1">#REF!</definedName>
    <definedName name="_CFB2">#REF!</definedName>
    <definedName name="_CFB3" localSheetId="1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1">#REF!</definedName>
    <definedName name="_DAT1">#REF!</definedName>
    <definedName name="_DAT10" localSheetId="1">#REF!</definedName>
    <definedName name="_DAT10">#REF!</definedName>
    <definedName name="_DAT11" localSheetId="1">#REF!</definedName>
    <definedName name="_DAT11">#REF!</definedName>
    <definedName name="_DAT12" localSheetId="1">#REF!</definedName>
    <definedName name="_DAT12">#REF!</definedName>
    <definedName name="_DAT13" localSheetId="1">#REF!</definedName>
    <definedName name="_DAT13">#REF!</definedName>
    <definedName name="_DAT14" localSheetId="1">#REF!</definedName>
    <definedName name="_DAT14">#REF!</definedName>
    <definedName name="_DAT15" localSheetId="1">#REF!</definedName>
    <definedName name="_DAT15">#REF!</definedName>
    <definedName name="_DAT16" localSheetId="1">#REF!</definedName>
    <definedName name="_DAT16">#REF!</definedName>
    <definedName name="_DAT17" localSheetId="1">#REF!</definedName>
    <definedName name="_DAT17">#REF!</definedName>
    <definedName name="_DAT18" localSheetId="1">#REF!</definedName>
    <definedName name="_DAT18">#REF!</definedName>
    <definedName name="_DAT2" localSheetId="1">#REF!</definedName>
    <definedName name="_DAT2">#REF!</definedName>
    <definedName name="_DAT3" localSheetId="1">#REF!</definedName>
    <definedName name="_DAT3">#REF!</definedName>
    <definedName name="_DAT4" localSheetId="1">#REF!</definedName>
    <definedName name="_DAT4">#REF!</definedName>
    <definedName name="_DAT5" localSheetId="1">#REF!</definedName>
    <definedName name="_DAT5">#REF!</definedName>
    <definedName name="_DAT6" localSheetId="1">#REF!</definedName>
    <definedName name="_DAT6">#REF!</definedName>
    <definedName name="_DAT7" localSheetId="1">#REF!</definedName>
    <definedName name="_DAT7">#REF!</definedName>
    <definedName name="_DAT8" localSheetId="1">#REF!</definedName>
    <definedName name="_DAT8">#REF!</definedName>
    <definedName name="_DAT9" localSheetId="1">#REF!</definedName>
    <definedName name="_DAT9">#REF!</definedName>
    <definedName name="_dec05" hidden="1">{"'Sheet1'!$A$4386:$N$4591"}</definedName>
    <definedName name="_del1">#REF!</definedName>
    <definedName name="_DET1" localSheetId="1">#REF!</definedName>
    <definedName name="_DET1">#REF!</definedName>
    <definedName name="_DET2" localSheetId="1">#REF!</definedName>
    <definedName name="_DET2">#REF!</definedName>
    <definedName name="_DET3" localSheetId="1">#REF!</definedName>
    <definedName name="_DET3">#REF!</definedName>
    <definedName name="_DET4" localSheetId="1">#REF!</definedName>
    <definedName name="_DET4">#REF!</definedName>
    <definedName name="_DET5" localSheetId="1">#REF!</definedName>
    <definedName name="_DET5">#REF!</definedName>
    <definedName name="_DET6" localSheetId="1">#REF!</definedName>
    <definedName name="_DET6">#REF!</definedName>
    <definedName name="_dev9947">#REF!</definedName>
    <definedName name="_DIS1">#REF!</definedName>
    <definedName name="_DKT75">#REF!</definedName>
    <definedName name="_dol11">#REF!</definedName>
    <definedName name="_DPS1" localSheetId="1">#REF!</definedName>
    <definedName name="_DPS1">#REF!</definedName>
    <definedName name="_DPS2" localSheetId="1">#REF!</definedName>
    <definedName name="_DPS2">#REF!</definedName>
    <definedName name="_drg1" localSheetId="1">#REF!</definedName>
    <definedName name="_drg1">#REF!</definedName>
    <definedName name="_drg2" localSheetId="1">#REF!</definedName>
    <definedName name="_drg2">#REF!</definedName>
    <definedName name="_eth2">#REF!</definedName>
    <definedName name="_f1" hidden="1">{"'PROFITABILITY'!$A$1:$F$45"}</definedName>
    <definedName name="_fac1" localSheetId="1">#REF!</definedName>
    <definedName name="_fac1">#REF!</definedName>
    <definedName name="_fac2" localSheetId="1">#REF!</definedName>
    <definedName name="_fac2">#REF!</definedName>
    <definedName name="_fac3" localSheetId="1">#REF!</definedName>
    <definedName name="_fac3">#REF!</definedName>
    <definedName name="_Fill" hidden="1">#REF!</definedName>
    <definedName name="_Fill_1">"#REF!"</definedName>
    <definedName name="_Fill1" hidden="1">#REF!</definedName>
    <definedName name="_xlnm._FilterDatabase" localSheetId="3" hidden="1">'Erection '!$A$3:$P$79</definedName>
    <definedName name="_xlnm._FilterDatabase" localSheetId="2" hidden="1">FDN!$A$2:$Q$172</definedName>
    <definedName name="_xlnm._FilterDatabase" localSheetId="1" hidden="1">'Stringing Compiled'!$A$2:$X$174</definedName>
    <definedName name="_xlnm._FilterDatabase" localSheetId="0" hidden="1">'Stringing Completed'!$A$4:$R$16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1">#REF!</definedName>
    <definedName name="_in18900">#REF!</definedName>
    <definedName name="_INT1">#REF!</definedName>
    <definedName name="_Ism3">#REF!</definedName>
    <definedName name="_ISO220">#REF!</definedName>
    <definedName name="_iv19000" localSheetId="1">#REF!</definedName>
    <definedName name="_iv19000">#REF!</definedName>
    <definedName name="_kd1">#REF!</definedName>
    <definedName name="_kd2">#REF!</definedName>
    <definedName name="_kd3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EY3" hidden="1">#REF!</definedName>
    <definedName name="_Ki1" localSheetId="1">#REF!</definedName>
    <definedName name="_Ki1">#REF!</definedName>
    <definedName name="_Ki2" localSheetId="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>#REF!</definedName>
    <definedName name="_N">#REF!</definedName>
    <definedName name="_new1">#REF!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1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>#REF!</definedName>
    <definedName name="_pdp2">#REF!</definedName>
    <definedName name="_pdp3">#REF!</definedName>
    <definedName name="_pep99" localSheetId="1">#REF!</definedName>
    <definedName name="_pep99">#REF!</definedName>
    <definedName name="_pfi1">#REF!</definedName>
    <definedName name="_pp1">#REF!</definedName>
    <definedName name="_pp2">#REF!</definedName>
    <definedName name="_ps1" localSheetId="1">#REF!</definedName>
    <definedName name="_ps1">#REF!</definedName>
    <definedName name="_R">#REF!</definedName>
    <definedName name="_R1">#REF!</definedName>
    <definedName name="_rcu2">#REF!</definedName>
    <definedName name="_Re1" localSheetId="1">#REF!</definedName>
    <definedName name="_Re1">#REF!</definedName>
    <definedName name="_Rl1">#REF!</definedName>
    <definedName name="_row1">#REF!</definedName>
    <definedName name="_Rs1" localSheetId="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hidden="1">{"form-D1",#N/A,FALSE,"FORM-D1";"form-D1_amt",#N/A,FALSE,"FORM-D1"}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 localSheetId="1">#REF!</definedName>
    <definedName name="_SAP2">#REF!</definedName>
    <definedName name="_SAP3" localSheetId="1">#REF!</definedName>
    <definedName name="_SAP3">#REF!</definedName>
    <definedName name="_SAP4" localSheetId="1">#REF!</definedName>
    <definedName name="_SAP4">#REF!</definedName>
    <definedName name="_SAP5" localSheetId="1">#REF!</definedName>
    <definedName name="_SAP5">#REF!</definedName>
    <definedName name="_SAP6" localSheetId="1">#REF!</definedName>
    <definedName name="_SAP6">#REF!</definedName>
    <definedName name="_SAP7" localSheetId="1">#REF!</definedName>
    <definedName name="_SAP7">#REF!</definedName>
    <definedName name="_SAP8" localSheetId="1">#REF!</definedName>
    <definedName name="_SAP8">#REF!</definedName>
    <definedName name="_SAP9" localSheetId="1">#REF!</definedName>
    <definedName name="_SAP9">#REF!</definedName>
    <definedName name="_sch2" localSheetId="1">#REF!</definedName>
    <definedName name="_sch2">#REF!</definedName>
    <definedName name="_sch9" localSheetId="1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1" hidden="1">#REF!</definedName>
    <definedName name="_Sort" hidden="1">#REF!</definedName>
    <definedName name="_sp1" localSheetId="1">#REF!</definedName>
    <definedName name="_sp1">#REF!</definedName>
    <definedName name="_sp10" localSheetId="1">#REF!</definedName>
    <definedName name="_sp10">#REF!</definedName>
    <definedName name="_sp11" localSheetId="1">#REF!</definedName>
    <definedName name="_sp11">#REF!</definedName>
    <definedName name="_sp12" localSheetId="1">#REF!</definedName>
    <definedName name="_sp12">#REF!</definedName>
    <definedName name="_sp13" localSheetId="1">#REF!</definedName>
    <definedName name="_sp13">#REF!</definedName>
    <definedName name="_sp14" localSheetId="1">#REF!</definedName>
    <definedName name="_sp14">#REF!</definedName>
    <definedName name="_sp15" localSheetId="1">#REF!</definedName>
    <definedName name="_sp15">#REF!</definedName>
    <definedName name="_sp2" localSheetId="1">#REF!</definedName>
    <definedName name="_sp2">#REF!</definedName>
    <definedName name="_sp3" localSheetId="1">#REF!</definedName>
    <definedName name="_sp3">#REF!</definedName>
    <definedName name="_sp4" localSheetId="1">#REF!</definedName>
    <definedName name="_sp4">#REF!</definedName>
    <definedName name="_sp5" localSheetId="1">#REF!</definedName>
    <definedName name="_sp5">#REF!</definedName>
    <definedName name="_sp6" localSheetId="1">#REF!</definedName>
    <definedName name="_sp6">#REF!</definedName>
    <definedName name="_sp7" localSheetId="1">#REF!</definedName>
    <definedName name="_sp7">#REF!</definedName>
    <definedName name="_sp8" localSheetId="1">#REF!</definedName>
    <definedName name="_sp8">#REF!</definedName>
    <definedName name="_sp9" localSheetId="1">#REF!</definedName>
    <definedName name="_sp9">#REF!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1">#REF!</definedName>
    <definedName name="_SS402">#REF!</definedName>
    <definedName name="_SS403" localSheetId="1">#REF!</definedName>
    <definedName name="_SS403">#REF!</definedName>
    <definedName name="_SS404" localSheetId="1">#REF!</definedName>
    <definedName name="_SS404">#REF!</definedName>
    <definedName name="_SS405" localSheetId="1">#REF!</definedName>
    <definedName name="_SS405">#REF!</definedName>
    <definedName name="_SS406" localSheetId="1">#REF!</definedName>
    <definedName name="_SS406">#REF!</definedName>
    <definedName name="_SS407" localSheetId="1">#REF!</definedName>
    <definedName name="_SS407">#REF!</definedName>
    <definedName name="_SS408" localSheetId="1">#REF!</definedName>
    <definedName name="_SS408">#REF!</definedName>
    <definedName name="_SS409" localSheetId="1">#REF!</definedName>
    <definedName name="_SS409">#REF!</definedName>
    <definedName name="_SS423" localSheetId="1">#REF!</definedName>
    <definedName name="_SS423">#REF!</definedName>
    <definedName name="_SS424" localSheetId="1">#REF!</definedName>
    <definedName name="_SS424">#REF!</definedName>
    <definedName name="_TAB1">#REF!</definedName>
    <definedName name="_tab3" localSheetId="1">#REF!</definedName>
    <definedName name="_tab3">#REF!</definedName>
    <definedName name="_tab8" localSheetId="1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1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1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1">#REF!</definedName>
    <definedName name="A3_">#REF!</definedName>
    <definedName name="A3____0">#REF!</definedName>
    <definedName name="A3____13">#REF!</definedName>
    <definedName name="A4_" localSheetId="1">#REF!</definedName>
    <definedName name="A4_">#REF!</definedName>
    <definedName name="A4____0">#REF!</definedName>
    <definedName name="A4____13">#REF!</definedName>
    <definedName name="A5_" localSheetId="1">#REF!</definedName>
    <definedName name="A5_">#REF!</definedName>
    <definedName name="A5____0">#REF!</definedName>
    <definedName name="A5____13">#REF!</definedName>
    <definedName name="A6_" localSheetId="1">#REF!</definedName>
    <definedName name="A6_">#REF!</definedName>
    <definedName name="A6____0">#REF!</definedName>
    <definedName name="A6____13">#REF!</definedName>
    <definedName name="A65379A10" localSheetId="1">#REF!</definedName>
    <definedName name="A65379A10">#REF!</definedName>
    <definedName name="A7_" localSheetId="1">#REF!</definedName>
    <definedName name="A7_">#REF!</definedName>
    <definedName name="A7____0">#REF!</definedName>
    <definedName name="A7____13">#REF!</definedName>
    <definedName name="A8_" localSheetId="1">#REF!</definedName>
    <definedName name="A8_">#REF!</definedName>
    <definedName name="A8____0">#REF!</definedName>
    <definedName name="A8____13">#REF!</definedName>
    <definedName name="A9_" localSheetId="1">#REF!</definedName>
    <definedName name="A9_">#REF!</definedName>
    <definedName name="A9____0">#REF!</definedName>
    <definedName name="A9____13">#REF!</definedName>
    <definedName name="AA" localSheetId="1">#REF!</definedName>
    <definedName name="AA">#REF!</definedName>
    <definedName name="aaa" localSheetId="1">#REF!</definedName>
    <definedName name="aaa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1">#REF!</definedName>
    <definedName name="AABC">#REF!</definedName>
    <definedName name="aac" hidden="1">{"'PROFITABILITY'!$A$1:$F$45"}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hidden="1">{"'PROFITABILITY'!$A$1:$F$45"}</definedName>
    <definedName name="aAXX1">#REF!</definedName>
    <definedName name="ab" localSheetId="1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CUS" localSheetId="1">#REF!</definedName>
    <definedName name="ABACUS">#REF!</definedName>
    <definedName name="abc" localSheetId="1">#REF!</definedName>
    <definedName name="abc">#REF!</definedName>
    <definedName name="ABCd">#REF!</definedName>
    <definedName name="abg">#REF!</definedName>
    <definedName name="AboveAvgGrowth" localSheetId="1">#REF!</definedName>
    <definedName name="AboveAvgGrowth">#REF!</definedName>
    <definedName name="AC" localSheetId="1">#REF!</definedName>
    <definedName name="AC">#REF!</definedName>
    <definedName name="AC_disc" localSheetId="1">#REF!</definedName>
    <definedName name="AC_disc">#REF!</definedName>
    <definedName name="acc" localSheetId="1">#REF!</definedName>
    <definedName name="acc">#REF!</definedName>
    <definedName name="ACCABLESNOTINSY" localSheetId="1">#REF!</definedName>
    <definedName name="ACCABLESNOTINSY">#REF!</definedName>
    <definedName name="Accessories">#REF!</definedName>
    <definedName name="accp">#REF!</definedName>
    <definedName name="ACK">#REF!</definedName>
    <definedName name="Act_Gp">#REF!</definedName>
    <definedName name="Actual">(PeriodInActual*(#REF!&gt;0))*PeriodInPlan</definedName>
    <definedName name="ActualBeyond">PeriodInActual*(#REF!&gt;0)</definedName>
    <definedName name="ad">#REF!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1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1">#REF!</definedName>
    <definedName name="adj">#REF!</definedName>
    <definedName name="ADosCountries" localSheetId="1">#REF!</definedName>
    <definedName name="ADosCountries">#REF!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1">#REF!</definedName>
    <definedName name="AF_00">#REF!</definedName>
    <definedName name="AF_01" localSheetId="1">#REF!</definedName>
    <definedName name="AF_01">#REF!</definedName>
    <definedName name="AF_02" localSheetId="1">#REF!</definedName>
    <definedName name="AF_02">#REF!</definedName>
    <definedName name="AF_98" localSheetId="1">#REF!</definedName>
    <definedName name="AF_98">#REF!</definedName>
    <definedName name="AF_99" localSheetId="1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sgs">#REF!</definedName>
    <definedName name="Ag" localSheetId="1">#REF!</definedName>
    <definedName name="Ag">#REF!</definedName>
    <definedName name="Ag___0">#REF!</definedName>
    <definedName name="Ag___13">#REF!</definedName>
    <definedName name="AGE">#REF!</definedName>
    <definedName name="agra" localSheetId="1">#REF!</definedName>
    <definedName name="agra">#REF!</definedName>
    <definedName name="ah">#REF!</definedName>
    <definedName name="AICC_Serv" localSheetId="1">#REF!</definedName>
    <definedName name="AICC_Serv">#REF!</definedName>
    <definedName name="AirConditioning" localSheetId="1">#REF!</definedName>
    <definedName name="AirConditioning">#REF!</definedName>
    <definedName name="ajslk" hidden="1">{"form-D1",#N/A,FALSE,"FORM-D1";"form-D1_amt",#N/A,FALSE,"FORM-D1"}</definedName>
    <definedName name="ak" localSheetId="1">#REF!</definedName>
    <definedName name="ak">#REF!</definedName>
    <definedName name="aks">#REF!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1">#REF!</definedName>
    <definedName name="alarms">#REF!</definedName>
    <definedName name="all">#REF!</definedName>
    <definedName name="alpha">#REF!</definedName>
    <definedName name="alpha_disc" localSheetId="1">#REF!</definedName>
    <definedName name="alpha_disc">#REF!</definedName>
    <definedName name="alpha_ed" localSheetId="1">#REF!</definedName>
    <definedName name="alpha_ed">#REF!</definedName>
    <definedName name="alphaa">#REF!</definedName>
    <definedName name="alphab">#REF!</definedName>
    <definedName name="Alw" localSheetId="1">#REF!</definedName>
    <definedName name="Alw">#REF!</definedName>
    <definedName name="am">#REF!</definedName>
    <definedName name="ama">#REF!</definedName>
    <definedName name="AMACountries" localSheetId="1">#REF!</definedName>
    <definedName name="AMACountries">#REF!</definedName>
    <definedName name="amin">#REF!</definedName>
    <definedName name="amin1">#REF!</definedName>
    <definedName name="amin2">#REF!</definedName>
    <definedName name="Amit" localSheetId="1">#REF!</definedName>
    <definedName name="Amit">#REF!</definedName>
    <definedName name="AMN" localSheetId="1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1">#REF!</definedName>
    <definedName name="ANNEX">#REF!</definedName>
    <definedName name="ANNEX1">#REF!</definedName>
    <definedName name="ANNEX2">#REF!</definedName>
    <definedName name="ANNEX2A">#REF!</definedName>
    <definedName name="ANNEX4" localSheetId="1">#REF!</definedName>
    <definedName name="ANNEX4">#REF!</definedName>
    <definedName name="annex4.1" localSheetId="1">#REF!</definedName>
    <definedName name="annex4.1">#REF!</definedName>
    <definedName name="annex4.1a" localSheetId="1">#REF!</definedName>
    <definedName name="annex4.1a">#REF!</definedName>
    <definedName name="ANNEX4A" localSheetId="1">#REF!</definedName>
    <definedName name="ANNEX4A">#REF!</definedName>
    <definedName name="ANNEX5" localSheetId="1">#REF!</definedName>
    <definedName name="ANNEX5">#REF!</definedName>
    <definedName name="annex6">#REF!</definedName>
    <definedName name="annex6_9">#REF!</definedName>
    <definedName name="annexure_A" localSheetId="1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1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1">#REF!</definedName>
    <definedName name="as">#REF!</definedName>
    <definedName name="AS_disc" localSheetId="1">#REF!</definedName>
    <definedName name="AS_disc">#REF!</definedName>
    <definedName name="As_percentage" localSheetId="1">#REF!</definedName>
    <definedName name="As_percentage">#REF!</definedName>
    <definedName name="asa">#REF!</definedName>
    <definedName name="Asc" localSheetId="1">#REF!</definedName>
    <definedName name="Asc">#REF!</definedName>
    <definedName name="ASD">#REF!</definedName>
    <definedName name="asda">#REF!</definedName>
    <definedName name="asdfd" localSheetId="1">#REF!</definedName>
    <definedName name="asdfd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hidden="1">{"form-D1",#N/A,FALSE,"FORM-D1";"form-D1_amt",#N/A,FALSE,"FORM-D1"}</definedName>
    <definedName name="ass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1">#REF!</definedName>
    <definedName name="Assetno">#REF!</definedName>
    <definedName name="assets" localSheetId="1">#REF!</definedName>
    <definedName name="assets">#REF!</definedName>
    <definedName name="ASSSSSSSSSSSSSSSSSSSSSSSS">#REF!</definedName>
    <definedName name="Ast" localSheetId="1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1">#REF!</definedName>
    <definedName name="AUD">#REF!</definedName>
    <definedName name="August">#REF!</definedName>
    <definedName name="AurobindoDossier" localSheetId="1">#REF!</definedName>
    <definedName name="AurobindoDossier">#REF!</definedName>
    <definedName name="AurobindoMA" localSheetId="1">#REF!</definedName>
    <definedName name="AurobindoMA">#REF!</definedName>
    <definedName name="Aux.items" localSheetId="1">#REF!</definedName>
    <definedName name="Aux.items">#REF!</definedName>
    <definedName name="AuxRelay">#REF!</definedName>
    <definedName name="Avg_Strike_Size">#REF!</definedName>
    <definedName name="AvgGrowth" localSheetId="1">#REF!</definedName>
    <definedName name="AvgGrowth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">#REF!</definedName>
    <definedName name="azsa" localSheetId="3" hidden="1">{"'PROFITABILITY'!$A$1:$F$45"}</definedName>
    <definedName name="azsa" localSheetId="1" hidden="1">{"'PROFITABILITY'!$A$1:$F$45"}</definedName>
    <definedName name="azsa" hidden="1">{"'PROFITABILITY'!$A$1:$F$45"}</definedName>
    <definedName name="B" localSheetId="1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1">#REF!</definedName>
    <definedName name="base_dep">#REF!</definedName>
    <definedName name="base_len" localSheetId="1">#REF!</definedName>
    <definedName name="base_len">#REF!</definedName>
    <definedName name="base_wid" localSheetId="1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1">#REF!</definedName>
    <definedName name="Baseline">#REF!</definedName>
    <definedName name="basic_rtu" localSheetId="1">#REF!</definedName>
    <definedName name="basic_rtu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1">#REF!</definedName>
    <definedName name="bc">#REF!</definedName>
    <definedName name="bcgf">#REF!</definedName>
    <definedName name="bcs">#REF!</definedName>
    <definedName name="bct">#REF!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1">#REF!</definedName>
    <definedName name="Benefits">#REF!</definedName>
    <definedName name="BENJ">#REF!</definedName>
    <definedName name="beta" localSheetId="1">#REF!</definedName>
    <definedName name="beta">#REF!</definedName>
    <definedName name="Bf">#REF!</definedName>
    <definedName name="BG" localSheetId="1">#REF!</definedName>
    <definedName name="BG">#REF!</definedName>
    <definedName name="BG_CHGS" localSheetId="1">#REF!</definedName>
    <definedName name="BG_CHGS">#REF!</definedName>
    <definedName name="BG_RATE" localSheetId="1">#REF!</definedName>
    <definedName name="BG_RATE">#REF!</definedName>
    <definedName name="bh">#REF!</definedName>
    <definedName name="bhbhb" localSheetId="1">#REF!</definedName>
    <definedName name="bhbhb">#REF!</definedName>
    <definedName name="bhdbdhd" localSheetId="1">#REF!</definedName>
    <definedName name="bhdbdhd">#REF!</definedName>
    <definedName name="bhs">#REF!</definedName>
    <definedName name="BID_CURR">#REF!</definedName>
    <definedName name="biddername" localSheetId="1">#REF!</definedName>
    <definedName name="biddername">#REF!</definedName>
    <definedName name="Bilu" localSheetId="1">#REF!</definedName>
    <definedName name="Bilu">#REF!</definedName>
    <definedName name="Bilu2" localSheetId="1">#REF!</definedName>
    <definedName name="Bilu2">#REF!</definedName>
    <definedName name="Bilu3" localSheetId="1">#REF!</definedName>
    <definedName name="Bilu3">#REF!</definedName>
    <definedName name="BKS" localSheetId="1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1">#REF!</definedName>
    <definedName name="BNLM">#REF!</definedName>
    <definedName name="boisar">#REF!</definedName>
    <definedName name="BOISAR_BAYWISE" localSheetId="1">#REF!</definedName>
    <definedName name="BOISAR_BAYWISE">#REF!</definedName>
    <definedName name="bol">#REF!</definedName>
    <definedName name="bom" localSheetId="1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1">#REF!</definedName>
    <definedName name="bps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1">#REF!</definedName>
    <definedName name="bs">#REF!</definedName>
    <definedName name="BSS">#REF!</definedName>
    <definedName name="btb_musd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1">#REF!</definedName>
    <definedName name="Bx">#REF!</definedName>
    <definedName name="Bx___0">#REF!</definedName>
    <definedName name="Bx___13">#REF!</definedName>
    <definedName name="Bxx">#REF!</definedName>
    <definedName name="C_" localSheetId="1">#REF!</definedName>
    <definedName name="C_">#REF!</definedName>
    <definedName name="c_c">#REF!</definedName>
    <definedName name="C0">#REF!</definedName>
    <definedName name="cA" localSheetId="1">#REF!</definedName>
    <definedName name="cA">#REF!</definedName>
    <definedName name="caa" hidden="1">{"'PROFITABILITY'!$A$1:$F$45"}</definedName>
    <definedName name="CABLE" localSheetId="1">#REF!</definedName>
    <definedName name="CABLE">#REF!</definedName>
    <definedName name="camber">#REF!</definedName>
    <definedName name="camber_sides">#REF!</definedName>
    <definedName name="cant">#REF!</definedName>
    <definedName name="Cap" localSheetId="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1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1">#REF!</definedName>
    <definedName name="Case">#REF!</definedName>
    <definedName name="cash" hidden="1">{"'Sheet1'!$A$4386:$N$4591"}</definedName>
    <definedName name="CB">#REF!</definedName>
    <definedName name="CBISO" localSheetId="1">#REF!</definedName>
    <definedName name="CBISO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c" localSheetId="1">#REF!</definedName>
    <definedName name="cc">#REF!</definedName>
    <definedName name="CCB">#REF!</definedName>
    <definedName name="CCC" localSheetId="1">#REF!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1">#REF!</definedName>
    <definedName name="Ccu">#REF!</definedName>
    <definedName name="cd" localSheetId="1">#REF!</definedName>
    <definedName name="cd">#REF!</definedName>
    <definedName name="CD_HW" localSheetId="1">#REF!</definedName>
    <definedName name="CD_HW">#REF!</definedName>
    <definedName name="CD_SPLADL" localSheetId="1">#REF!</definedName>
    <definedName name="CD_SPLADL">#REF!</definedName>
    <definedName name="CD_SW" localSheetId="1">#REF!</definedName>
    <definedName name="CD_SW">#REF!</definedName>
    <definedName name="cdds">#REF!</definedName>
    <definedName name="Cdi">#REF!</definedName>
    <definedName name="ce" localSheetId="1">#REF!</definedName>
    <definedName name="ce">#REF!</definedName>
    <definedName name="ced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 localSheetId="1">#REF!</definedName>
    <definedName name="CED_IDTOSW">#REF!</definedName>
    <definedName name="ced_own" localSheetId="1">#REF!</definedName>
    <definedName name="ced_own">#REF!</definedName>
    <definedName name="CED_OWNHW" localSheetId="1">#REF!</definedName>
    <definedName name="CED_OWNHW">#REF!</definedName>
    <definedName name="CED_OWNSW" localSheetId="1">#REF!</definedName>
    <definedName name="CED_OWNSW">#REF!</definedName>
    <definedName name="CED_pc" localSheetId="1">#REF!</definedName>
    <definedName name="CED_pc">#REF!</definedName>
    <definedName name="CED_SW" localSheetId="1">#REF!</definedName>
    <definedName name="CED_SW">#REF!</definedName>
    <definedName name="ced_tr" localSheetId="1">#REF!</definedName>
    <definedName name="ced_tr">#REF!</definedName>
    <definedName name="CED_TRHW" localSheetId="1">#REF!</definedName>
    <definedName name="CED_TRHW">#REF!</definedName>
    <definedName name="CED_TRSW" localSheetId="1">#REF!</definedName>
    <definedName name="CED_TRSW">#REF!</definedName>
    <definedName name="cee">#REF!</definedName>
    <definedName name="cem">190</definedName>
    <definedName name="Cf">#REF!</definedName>
    <definedName name="cf_musd">#REF!</definedName>
    <definedName name="cfre">#REF!</definedName>
    <definedName name="ch_area1">#REF!</definedName>
    <definedName name="ch_area2">#REF!</definedName>
    <definedName name="ch_area3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1">#REF!</definedName>
    <definedName name="CheckDate">#REF!</definedName>
    <definedName name="checked">#REF!</definedName>
    <definedName name="chf" localSheetId="1">#REF!</definedName>
    <definedName name="chf">#REF!</definedName>
    <definedName name="chk" localSheetId="1">#REF!</definedName>
    <definedName name="chk">#REF!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 localSheetId="1">#REF!</definedName>
    <definedName name="CIF_ABB_peenya">#REF!</definedName>
    <definedName name="CIF_AIC_Imp" localSheetId="1">#REF!</definedName>
    <definedName name="CIF_AIC_Imp">#REF!</definedName>
    <definedName name="CIF_AIC_local" localSheetId="1">#REF!</definedName>
    <definedName name="CIF_AIC_local">#REF!</definedName>
    <definedName name="CIF_NonABB_Imp" localSheetId="1">#REF!</definedName>
    <definedName name="CIF_NonABB_Imp">#REF!</definedName>
    <definedName name="CIF_NonABB_local" localSheetId="1">#REF!</definedName>
    <definedName name="CIF_NonABB_local">#REF!</definedName>
    <definedName name="civ">#REF!</definedName>
    <definedName name="civil" localSheetId="1">#REF!</definedName>
    <definedName name="civil">#REF!</definedName>
    <definedName name="Cl" localSheetId="1">#REF!</definedName>
    <definedName name="Cl">#REF!</definedName>
    <definedName name="cl33kv">#REF!</definedName>
    <definedName name="clbs">#REF!</definedName>
    <definedName name="cld">#REF!</definedName>
    <definedName name="Clear" localSheetId="1">#REF!</definedName>
    <definedName name="Clear" localSheetId="0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1">#REF!</definedName>
    <definedName name="Clusters">#REF!</definedName>
    <definedName name="Co">#REF!</definedName>
    <definedName name="CODE">#REF!</definedName>
    <definedName name="COE" localSheetId="1">#REF!</definedName>
    <definedName name="COE">#REF!</definedName>
    <definedName name="COGSTYPE">#REF!</definedName>
    <definedName name="col" localSheetId="1">#REF!</definedName>
    <definedName name="col">#REF!</definedName>
    <definedName name="col___0">#REF!</definedName>
    <definedName name="col___11">#REF!</definedName>
    <definedName name="col___12">#REF!</definedName>
    <definedName name="collection" localSheetId="1">#REF!</definedName>
    <definedName name="collection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 localSheetId="1">#REF!</definedName>
    <definedName name="collstatuspage2">#REF!</definedName>
    <definedName name="Columns">#REF!</definedName>
    <definedName name="Comm">#REF!</definedName>
    <definedName name="COMMERCIALDISCOUNT" localSheetId="1">#REF!</definedName>
    <definedName name="COMMERCIALDISCOUNT">#REF!</definedName>
    <definedName name="commn">#REF!</definedName>
    <definedName name="Common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ression" localSheetId="1">#REF!</definedName>
    <definedName name="Compression">#REF!</definedName>
    <definedName name="con">#REF!</definedName>
    <definedName name="concretegrade" localSheetId="1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hidden="1">{"'PROFITABILITY'!$A$1:$F$45"}</definedName>
    <definedName name="consultant_consultant_referrals">#REF!,#REF!,#REF!</definedName>
    <definedName name="CONTENTS" localSheetId="1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1">#REF!</definedName>
    <definedName name="cookie">#REF!</definedName>
    <definedName name="cookie1" localSheetId="1">#REF!</definedName>
    <definedName name="cookie1">#REF!</definedName>
    <definedName name="COPY_OUTPUT" localSheetId="1">#REF!</definedName>
    <definedName name="COPY_OUTPUT">#REF!</definedName>
    <definedName name="cosq">#REF!</definedName>
    <definedName name="cost" localSheetId="3">#N/A</definedName>
    <definedName name="cost" localSheetId="1">'Stringing Compiled'!cost</definedName>
    <definedName name="cost">[0]!cost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1">#REF!</definedName>
    <definedName name="COU">#REF!</definedName>
    <definedName name="COU___0">#REF!</definedName>
    <definedName name="COU___13">#REF!</definedName>
    <definedName name="countries" localSheetId="1">#REF!</definedName>
    <definedName name="countries">#REF!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1">#REF!</definedName>
    <definedName name="CPRP">#REF!</definedName>
    <definedName name="cprp_lucknow" localSheetId="1">#REF!</definedName>
    <definedName name="cprp_lucknow">#REF!</definedName>
    <definedName name="cprp_mandola" localSheetId="1">#REF!</definedName>
    <definedName name="cprp_mandola">#REF!</definedName>
    <definedName name="cr">#REF!</definedName>
    <definedName name="CRB" localSheetId="1">#REF!</definedName>
    <definedName name="CRB">#REF!</definedName>
    <definedName name="CRP_Barelliey" localSheetId="1">#REF!</definedName>
    <definedName name="CRP_Barelliey">#REF!</definedName>
    <definedName name="CRP_Unnao" localSheetId="1">#REF!</definedName>
    <definedName name="CRP_Unnao">#REF!</definedName>
    <definedName name="CRPANEL">#REF!</definedName>
    <definedName name="CRRSEP" localSheetId="1">#REF!</definedName>
    <definedName name="CRRSEP">#REF!</definedName>
    <definedName name="Crude_Oil_Price">#REF!</definedName>
    <definedName name="CS">#REF!</definedName>
    <definedName name="Cs___0">#REF!</definedName>
    <definedName name="Cs___13">#REF!</definedName>
    <definedName name="csd">#REF!</definedName>
    <definedName name="cst" localSheetId="1">#REF!</definedName>
    <definedName name="cst">#REF!</definedName>
    <definedName name="CST_BO" localSheetId="1">#REF!</definedName>
    <definedName name="CST_BO">#REF!</definedName>
    <definedName name="CST_IDTO" localSheetId="1">#REF!</definedName>
    <definedName name="CST_IDTO">#REF!</definedName>
    <definedName name="CST_OWN" localSheetId="1">#REF!</definedName>
    <definedName name="CST_OWN">#REF!</definedName>
    <definedName name="CST_TR" localSheetId="1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1">#REF!</definedName>
    <definedName name="current1">#REF!</definedName>
    <definedName name="current2" localSheetId="1">#REF!</definedName>
    <definedName name="current2">#REF!</definedName>
    <definedName name="current3" localSheetId="1">#REF!</definedName>
    <definedName name="current3">#REF!</definedName>
    <definedName name="current4" localSheetId="1">#REF!</definedName>
    <definedName name="current4">#REF!</definedName>
    <definedName name="current5" localSheetId="1">#REF!</definedName>
    <definedName name="current5">#REF!</definedName>
    <definedName name="cust" localSheetId="1">#REF!</definedName>
    <definedName name="cust">#REF!</definedName>
    <definedName name="cvd" localSheetId="1">#REF!</definedName>
    <definedName name="cvd">#REF!</definedName>
    <definedName name="CVD_HW" localSheetId="1">#REF!</definedName>
    <definedName name="CVD_HW">#REF!</definedName>
    <definedName name="CVD_SW" localSheetId="1">#REF!</definedName>
    <definedName name="CVD_SW">#REF!</definedName>
    <definedName name="CVT">#REF!</definedName>
    <definedName name="cw">10</definedName>
    <definedName name="cx">#REF!</definedName>
    <definedName name="D" localSheetId="1">#REF!</definedName>
    <definedName name="D">#REF!</definedName>
    <definedName name="d___0">#REF!</definedName>
    <definedName name="d___13">#REF!</definedName>
    <definedName name="d_jp" hidden="1">{"'Sheet1'!$A$4386:$N$4591"}</definedName>
    <definedName name="D1__m" localSheetId="1">#REF!</definedName>
    <definedName name="D1__m">#REF!</definedName>
    <definedName name="D10__m" localSheetId="1">#REF!</definedName>
    <definedName name="D10__m">#REF!</definedName>
    <definedName name="D11__m" localSheetId="1">#REF!</definedName>
    <definedName name="D11__m">#REF!</definedName>
    <definedName name="D12__m" localSheetId="1">#REF!</definedName>
    <definedName name="D12__m">#REF!</definedName>
    <definedName name="D2__m" localSheetId="1">#REF!</definedName>
    <definedName name="D2__m">#REF!</definedName>
    <definedName name="D3__m" localSheetId="1">#REF!</definedName>
    <definedName name="D3__m">#REF!</definedName>
    <definedName name="D4__m" localSheetId="1">#REF!</definedName>
    <definedName name="D4__m">#REF!</definedName>
    <definedName name="D5__m" localSheetId="1">#REF!</definedName>
    <definedName name="D5__m">#REF!</definedName>
    <definedName name="D6__m" localSheetId="1">#REF!</definedName>
    <definedName name="D6__m">#REF!</definedName>
    <definedName name="D7__m" localSheetId="1">#REF!</definedName>
    <definedName name="D7__m">#REF!</definedName>
    <definedName name="D8__m" localSheetId="1">#REF!</definedName>
    <definedName name="D8__m">#REF!</definedName>
    <definedName name="D8Data" localSheetId="1">#REF!</definedName>
    <definedName name="D8Data">#REF!</definedName>
    <definedName name="D9__m" localSheetId="1">#REF!</definedName>
    <definedName name="D9__m">#REF!</definedName>
    <definedName name="dam">#REF!</definedName>
    <definedName name="Dampers" localSheetId="3" hidden="1">{"'PROFITABILITY'!$A$1:$F$45"}</definedName>
    <definedName name="Dampers" localSheetId="1" hidden="1">{"'PROFITABILITY'!$A$1:$F$45"}</definedName>
    <definedName name="Dampers" hidden="1">{"'PROFITABILITY'!$A$1:$F$45"}</definedName>
    <definedName name="DASD">#REF!</definedName>
    <definedName name="dat" localSheetId="1">#REF!</definedName>
    <definedName name="dat">#REF!</definedName>
    <definedName name="DATA">#REF!</definedName>
    <definedName name="DATA1" localSheetId="1">#REF!</definedName>
    <definedName name="DATA1">#REF!</definedName>
    <definedName name="DATA10" localSheetId="1">#REF!</definedName>
    <definedName name="DATA10">#REF!</definedName>
    <definedName name="DATA15" localSheetId="1">#REF!</definedName>
    <definedName name="DATA15">#REF!</definedName>
    <definedName name="DATA16" localSheetId="1">#REF!</definedName>
    <definedName name="DATA16">#REF!</definedName>
    <definedName name="DATA17" localSheetId="1">#REF!</definedName>
    <definedName name="DATA17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localSheetId="1">#REF!</definedName>
    <definedName name="DATA2">#REF!</definedName>
    <definedName name="DATA3" localSheetId="1">#REF!</definedName>
    <definedName name="DATA3">#REF!</definedName>
    <definedName name="DATA4" localSheetId="1">#REF!</definedName>
    <definedName name="DATA4">#REF!</definedName>
    <definedName name="DATA5" localSheetId="1">#REF!</definedName>
    <definedName name="DATA5">#REF!</definedName>
    <definedName name="DATA6" localSheetId="1">#REF!</definedName>
    <definedName name="DATA6">#REF!</definedName>
    <definedName name="DATA7" localSheetId="1">#REF!</definedName>
    <definedName name="DATA7">#REF!</definedName>
    <definedName name="DATA8" localSheetId="1">#REF!</definedName>
    <definedName name="DATA8">#REF!</definedName>
    <definedName name="DATA9" localSheetId="1">#REF!</definedName>
    <definedName name="DATA9">#REF!</definedName>
    <definedName name="_xlnm.Database" localSheetId="1">#REF!</definedName>
    <definedName name="_xlnm.Database">#REF!</definedName>
    <definedName name="date" localSheetId="1">#REF!</definedName>
    <definedName name="date">#REF!</definedName>
    <definedName name="Dates" localSheetId="1">#REF!</definedName>
    <definedName name="Dates">#REF!</definedName>
    <definedName name="DAY_ENGR" localSheetId="1">#REF!</definedName>
    <definedName name="DAY_ENGR">#REF!</definedName>
    <definedName name="DAY_TCHN" localSheetId="1">#REF!</definedName>
    <definedName name="DAY_TCHN">#REF!</definedName>
    <definedName name="days_in_year">#REF!</definedName>
    <definedName name="db" localSheetId="1">#REF!</definedName>
    <definedName name="db">#REF!</definedName>
    <definedName name="db___0">#REF!</definedName>
    <definedName name="db___13">#REF!</definedName>
    <definedName name="dc" localSheetId="1">#REF!</definedName>
    <definedName name="dc">#REF!</definedName>
    <definedName name="dccables" localSheetId="1">#REF!</definedName>
    <definedName name="dccables">#REF!</definedName>
    <definedName name="dcdeff" localSheetId="1">#REF!</definedName>
    <definedName name="dcdeff">#REF!</definedName>
    <definedName name="DCP_start_T" localSheetId="1">#REF!</definedName>
    <definedName name="DCP_start_T">#REF!</definedName>
    <definedName name="dd" localSheetId="3" hidden="1">{"'PROFITABILITY'!$A$1:$F$45"}</definedName>
    <definedName name="dd" localSheetId="1" hidden="1">{"'PROFITABILITY'!$A$1:$F$45"}</definedName>
    <definedName name="dd" hidden="1">{"'PROFITABILITY'!$A$1:$F$45"}</definedName>
    <definedName name="ddash">#REF!</definedName>
    <definedName name="DDD" localSheetId="1">#REF!</definedName>
    <definedName name="DDD">#REF!</definedName>
    <definedName name="dddd">#REF!</definedName>
    <definedName name="ddddd">#REF!</definedName>
    <definedName name="dddddddd" localSheetId="1">#REF!</definedName>
    <definedName name="dddddddd">#REF!</definedName>
    <definedName name="ddf">#REF!</definedName>
    <definedName name="DDK">#REF!</definedName>
    <definedName name="DE" hidden="1">{"'PROFITABILITY'!$A$1:$F$45"}</definedName>
    <definedName name="de_cost">#REF!</definedName>
    <definedName name="DEBTORS" localSheetId="1">#REF!</definedName>
    <definedName name="DEBTORS">#REF!</definedName>
    <definedName name="DEED" localSheetId="1">#REF!</definedName>
    <definedName name="DEED">#REF!</definedName>
    <definedName name="def">#REF!</definedName>
    <definedName name="deff">#REF!</definedName>
    <definedName name="DEHRI" localSheetId="1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1">#REF!</definedName>
    <definedName name="DELTA20">#REF!</definedName>
    <definedName name="DELTA20___0">#REF!</definedName>
    <definedName name="DELTA20___13">#REF!</definedName>
    <definedName name="delyw">#REF!</definedName>
    <definedName name="DEM" localSheetId="1">#REF!</definedName>
    <definedName name="DEM">#REF!</definedName>
    <definedName name="Den">#REF!</definedName>
    <definedName name="DeNovoAvail" localSheetId="1">#REF!</definedName>
    <definedName name="DeNovoAvail">#REF!</definedName>
    <definedName name="Depth" localSheetId="1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1">#REF!</definedName>
    <definedName name="DEst_Price">#REF!</definedName>
    <definedName name="det_act_plan" localSheetId="1">#REF!</definedName>
    <definedName name="det_act_plan">#REF!</definedName>
    <definedName name="Detailed">#REF!</definedName>
    <definedName name="dev">#REF!</definedName>
    <definedName name="Df">#REF!</definedName>
    <definedName name="dfaf">#REF!</definedName>
    <definedName name="dfd">#REF!</definedName>
    <definedName name="DFDF" localSheetId="1">#REF!</definedName>
    <definedName name="DFDF">#REF!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fgfd" hidden="1">{#N/A,#N/A,FALSE,"COVER.XLS";#N/A,#N/A,FALSE,"RACT1.XLS";#N/A,#N/A,FALSE,"RACT2.XLS";#N/A,#N/A,FALSE,"ECCMP";#N/A,#N/A,FALSE,"WELDER.XLS"}</definedName>
    <definedName name="dgp">#REF!</definedName>
    <definedName name="dgv">#REF!</definedName>
    <definedName name="Dh">#REF!</definedName>
    <definedName name="DHTML" hidden="1">{"'Sheet1'!$A$4386:$N$4591"}</definedName>
    <definedName name="Di" localSheetId="1">#REF!</definedName>
    <definedName name="Di">#REF!</definedName>
    <definedName name="Dialog5">#N/A</definedName>
    <definedName name="diff">#REF!</definedName>
    <definedName name="diff1">#REF!</definedName>
    <definedName name="DIns">#REF!</definedName>
    <definedName name="Dis" hidden="1">{"'PROFITABILITY'!$A$1:$F$45"}</definedName>
    <definedName name="Disc" localSheetId="1">#REF!</definedName>
    <definedName name="Disc">#REF!</definedName>
    <definedName name="Discount" hidden="1">#REF!</definedName>
    <definedName name="Discount1">#REF!</definedName>
    <definedName name="display_area_2" hidden="1">#REF!</definedName>
    <definedName name="DIST1">#REF!</definedName>
    <definedName name="Distrib" localSheetId="1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1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hidden="1">{#N/A,#N/A,FALSE,"COVER1.XLS ";#N/A,#N/A,FALSE,"RACT1.XLS";#N/A,#N/A,FALSE,"RACT2.XLS";#N/A,#N/A,FALSE,"ECCMP";#N/A,#N/A,FALSE,"WELDER.XLS"}</definedName>
    <definedName name="Do" localSheetId="1">#REF!</definedName>
    <definedName name="Do">#REF!</definedName>
    <definedName name="docu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ssierConsolidation" localSheetId="1">#REF!</definedName>
    <definedName name="DossierConsolidation">#REF!</definedName>
    <definedName name="DossierConsolidationCountries" localSheetId="1">#REF!</definedName>
    <definedName name="DossierConsolidationCountries">#REF!</definedName>
    <definedName name="DossierConsolidationMols" localSheetId="1">#REF!</definedName>
    <definedName name="DossierConsolidationMols">#REF!</definedName>
    <definedName name="DossierConversion" localSheetId="1">#REF!</definedName>
    <definedName name="DossierConversion">#REF!</definedName>
    <definedName name="Double">#REF!</definedName>
    <definedName name="Dq" localSheetId="1">#REF!</definedName>
    <definedName name="Dq">#REF!</definedName>
    <definedName name="Ds" localSheetId="1">#REF!</definedName>
    <definedName name="Ds">#REF!</definedName>
    <definedName name="Ds___0">#REF!</definedName>
    <definedName name="Ds___13">#REF!</definedName>
    <definedName name="dsat" localSheetId="1">#REF!</definedName>
    <definedName name="dsat">#REF!</definedName>
    <definedName name="dsd">#REF!</definedName>
    <definedName name="dsda" localSheetId="1">#REF!</definedName>
    <definedName name="dsda">#REF!</definedName>
    <definedName name="dsdb" localSheetId="1">#REF!</definedName>
    <definedName name="dsdb">#REF!</definedName>
    <definedName name="dsdf" hidden="1">#REF!</definedName>
    <definedName name="dsdsdls" localSheetId="1">#REF!</definedName>
    <definedName name="dsdsdls">#REF!</definedName>
    <definedName name="dsfadsf">#REF!</definedName>
    <definedName name="dsm" localSheetId="1">#REF!</definedName>
    <definedName name="dsm">#REF!</definedName>
    <definedName name="DSR">#REF!</definedName>
    <definedName name="DSRL2">#REF!</definedName>
    <definedName name="dt" localSheetId="1">#REF!</definedName>
    <definedName name="dt">#REF!</definedName>
    <definedName name="Dv">#REF!</definedName>
    <definedName name="dvv">#REF!</definedName>
    <definedName name="E" localSheetId="1">#REF!</definedName>
    <definedName name="E">#REF!</definedName>
    <definedName name="Eair">#REF!</definedName>
    <definedName name="EARTH">#REF!</definedName>
    <definedName name="Earthing" localSheetId="1">#REF!</definedName>
    <definedName name="Earthing">#REF!</definedName>
    <definedName name="eawerawea">#REF!</definedName>
    <definedName name="EB_Total" localSheetId="1">#REF!</definedName>
    <definedName name="EB_Total">#REF!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 localSheetId="1">#REF!</definedName>
    <definedName name="ED">#REF!</definedName>
    <definedName name="ED_list">#REF!</definedName>
    <definedName name="ED_list1">#REF!</definedName>
    <definedName name="ED_RTU" localSheetId="1">#REF!</definedName>
    <definedName name="ED_RTU">#REF!</definedName>
    <definedName name="ED_TRDR" localSheetId="1">#REF!</definedName>
    <definedName name="ED_TRDR">#REF!</definedName>
    <definedName name="ee" localSheetId="1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1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1">#REF!</definedName>
    <definedName name="ENG">#REF!</definedName>
    <definedName name="ENGG" localSheetId="1">#REF!</definedName>
    <definedName name="ENGG">#REF!</definedName>
    <definedName name="Engg_charges" localSheetId="1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1">#REF!</definedName>
    <definedName name="EQUIPCOM">#REF!</definedName>
    <definedName name="ere">#REF!</definedName>
    <definedName name="ERE04SPWIPStatus">#REF!</definedName>
    <definedName name="EREBOQ132">#REF!</definedName>
    <definedName name="EREBOQ400">#REF!</definedName>
    <definedName name="erec">#REF!</definedName>
    <definedName name="erecps" localSheetId="1">#REF!</definedName>
    <definedName name="erecps">#REF!</definedName>
    <definedName name="Erection" localSheetId="1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1">#REF!</definedName>
    <definedName name="ert">#REF!</definedName>
    <definedName name="ERV" localSheetId="1">#REF!</definedName>
    <definedName name="ERV">#REF!</definedName>
    <definedName name="Es" localSheetId="1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 localSheetId="1">#REF!</definedName>
    <definedName name="ESC_IDTOHW">#REF!</definedName>
    <definedName name="ESC_IDTOSW" localSheetId="1">#REF!</definedName>
    <definedName name="ESC_IDTOSW">#REF!</definedName>
    <definedName name="ESC_IMPHW" localSheetId="1">#REF!</definedName>
    <definedName name="ESC_IMPHW">#REF!</definedName>
    <definedName name="ESC_IMPSW" localSheetId="1">#REF!</definedName>
    <definedName name="ESC_IMPSW">#REF!</definedName>
    <definedName name="ESC_SER" localSheetId="1">#REF!</definedName>
    <definedName name="ESC_SER">#REF!</definedName>
    <definedName name="ESC_TRHW" localSheetId="1">#REF!</definedName>
    <definedName name="ESC_TRHW">#REF!</definedName>
    <definedName name="ESC_TRSW" localSheetId="1">#REF!</definedName>
    <definedName name="ESC_TRSW">#REF!</definedName>
    <definedName name="ESCPRD_BOHW" localSheetId="1">#REF!</definedName>
    <definedName name="ESCPRD_BOHW">#REF!</definedName>
    <definedName name="ESCPRD_BOSW" localSheetId="1">#REF!</definedName>
    <definedName name="ESCPRD_BOSW">#REF!</definedName>
    <definedName name="ESCPRD_IDTOHW" localSheetId="1">#REF!</definedName>
    <definedName name="ESCPRD_IDTOHW">#REF!</definedName>
    <definedName name="ESCPRD_IDTOSW" localSheetId="1">#REF!</definedName>
    <definedName name="ESCPRD_IDTOSW">#REF!</definedName>
    <definedName name="ESCPRD_IMPHW" localSheetId="1">#REF!</definedName>
    <definedName name="ESCPRD_IMPHW">#REF!</definedName>
    <definedName name="ESCPRD_IMPSW" localSheetId="1">#REF!</definedName>
    <definedName name="ESCPRD_IMPSW">#REF!</definedName>
    <definedName name="ESCPRD_TRHW" localSheetId="1">#REF!</definedName>
    <definedName name="ESCPRD_TRHW">#REF!</definedName>
    <definedName name="ESCPRD_TRSW" localSheetId="1">#REF!</definedName>
    <definedName name="ESCPRD_TRSW">#REF!</definedName>
    <definedName name="ESo">#REF!</definedName>
    <definedName name="Ess">#REF!</definedName>
    <definedName name="est">#REF!</definedName>
    <definedName name="Et" localSheetId="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1">#REF!</definedName>
    <definedName name="euro">#REF!</definedName>
    <definedName name="EWEQEWE">#REF!</definedName>
    <definedName name="ewer" localSheetId="3" hidden="1">{"'PROFITABILITY'!$A$1:$F$45"}</definedName>
    <definedName name="ewer" localSheetId="1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1">#REF!</definedName>
    <definedName name="Excel_BuiltIn_Print_Area_1">#REF!</definedName>
    <definedName name="Excel_BuiltIn_Print_Area_1_1" localSheetId="1">#REF!</definedName>
    <definedName name="Excel_BuiltIn_Print_Area_1_1">#REF!</definedName>
    <definedName name="Excel_BuiltIn_Print_Area_1_1_1" localSheetId="1">#REF!</definedName>
    <definedName name="Excel_BuiltIn_Print_Area_1_1_1">#REF!</definedName>
    <definedName name="Excel_BuiltIn_Print_Area_1_1_1_1" localSheetId="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>#REF!</definedName>
    <definedName name="Excel_BuiltIn_Print_Area_2_1" localSheetId="1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1">#REF!</definedName>
    <definedName name="Excel_BuiltIn_Print_Area_4_1">#REF!</definedName>
    <definedName name="Excel_BuiltIn_Print_Area_4_1_1" localSheetId="1">#REF!</definedName>
    <definedName name="Excel_BuiltIn_Print_Area_4_1_1">#REF!</definedName>
    <definedName name="Excel_BuiltIn_Print_Area_4_1_1_1" localSheetId="1">#REF!</definedName>
    <definedName name="Excel_BuiltIn_Print_Area_4_1_1_1">#REF!</definedName>
    <definedName name="Excel_BuiltIn_Print_Area_4_1_1_1_1" localSheetId="1">#REF!</definedName>
    <definedName name="Excel_BuiltIn_Print_Area_4_1_1_1_1">#REF!</definedName>
    <definedName name="Excel_BuiltIn_Print_Area_4_1_1_1_1_1" localSheetId="1">#REF!</definedName>
    <definedName name="Excel_BuiltIn_Print_Area_4_1_1_1_1_1">#REF!</definedName>
    <definedName name="Excel_BuiltIn_Print_Area_4_1_1_1_1_1_1" localSheetId="1">#REF!</definedName>
    <definedName name="Excel_BuiltIn_Print_Area_4_1_1_1_1_1_1">#REF!</definedName>
    <definedName name="Excel_BuiltIn_Print_Area_4_1_1_1_1_1_1_1" localSheetId="1">#REF!</definedName>
    <definedName name="Excel_BuiltIn_Print_Area_4_1_1_1_1_1_1_1">#REF!</definedName>
    <definedName name="Excel_BuiltIn_Print_Area_4_1_1_1_1_1_1_1_1" localSheetId="1">#REF!</definedName>
    <definedName name="Excel_BuiltIn_Print_Area_4_1_1_1_1_1_1_1_1">#REF!</definedName>
    <definedName name="Excel_BuiltIn_Print_Area_4_1_1_1_1_1_1_1_1_1" localSheetId="1">#REF!</definedName>
    <definedName name="Excel_BuiltIn_Print_Area_4_1_1_1_1_1_1_1_1_1">#REF!</definedName>
    <definedName name="Excel_BuiltIn_Print_Area_4_1_1_1_1_1_1_1_1_1_1" localSheetId="1">#REF!</definedName>
    <definedName name="Excel_BuiltIn_Print_Area_4_1_1_1_1_1_1_1_1_1_1">#REF!</definedName>
    <definedName name="Excel_BuiltIn_Print_Area_4_1_1_1_1_1_1_1_1_1_1_1" localSheetId="1">#REF!</definedName>
    <definedName name="Excel_BuiltIn_Print_Area_4_1_1_1_1_1_1_1_1_1_1_1">#REF!</definedName>
    <definedName name="Excel_BuiltIn_Print_Area_4_1_1_1_1_1_1_1_1_1_1_1_1" localSheetId="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">#REF!</definedName>
    <definedName name="ExclusiveSupplier">#REF!</definedName>
    <definedName name="EXF" hidden="1">{"'PROFITABILITY'!$A$1:$F$45"}</definedName>
    <definedName name="exist">#REF!</definedName>
    <definedName name="EXIT">#REF!</definedName>
    <definedName name="exp_ch">#REF!</definedName>
    <definedName name="Exp_Success_Rate">#REF!</definedName>
    <definedName name="Exp_Success_Rate_Core_Basin">#REF!</definedName>
    <definedName name="EXPHEADS" localSheetId="1">#REF!</definedName>
    <definedName name="EXPHEADS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wks" localSheetId="1">#REF!</definedName>
    <definedName name="exwks">#REF!</definedName>
    <definedName name="f" localSheetId="3" hidden="1">{"'PROFITABILITY'!$A$1:$F$45"}</definedName>
    <definedName name="f" localSheetId="1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1">#REF!</definedName>
    <definedName name="facplc">#REF!</definedName>
    <definedName name="fact" localSheetId="1">#REF!</definedName>
    <definedName name="fact">#REF!</definedName>
    <definedName name="FACT1" localSheetId="1">#REF!</definedName>
    <definedName name="FACT1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1">#REF!</definedName>
    <definedName name="Fb">#REF!</definedName>
    <definedName name="FC">#REF!</definedName>
    <definedName name="fck" localSheetId="1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hidden="1">{"form-D1",#N/A,FALSE,"FORM-D1";"form-D1_amt",#N/A,FALSE,"FORM-D1"}</definedName>
    <definedName name="FFR" localSheetId="1">#REF!</definedName>
    <definedName name="FFR">#REF!</definedName>
    <definedName name="ffvvv">#REF!</definedName>
    <definedName name="fgdfgg" localSheetId="1">#REF!</definedName>
    <definedName name="fgdfgg">#REF!</definedName>
    <definedName name="fgdt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1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1">#REF!</definedName>
    <definedName name="Fhwl">#REF!</definedName>
    <definedName name="FI" localSheetId="1">#REF!</definedName>
    <definedName name="FI">#REF!</definedName>
    <definedName name="FI_AIRHW" localSheetId="1">#REF!</definedName>
    <definedName name="FI_AIRHW">#REF!</definedName>
    <definedName name="FI_AIRSW" localSheetId="1">#REF!</definedName>
    <definedName name="FI_AIRSW">#REF!</definedName>
    <definedName name="FI_BOHW" localSheetId="1">#REF!</definedName>
    <definedName name="FI_BOHW">#REF!</definedName>
    <definedName name="FI_BOSW" localSheetId="1">#REF!</definedName>
    <definedName name="FI_BOSW">#REF!</definedName>
    <definedName name="FI_IDTOHW" localSheetId="1">#REF!</definedName>
    <definedName name="FI_IDTOHW">#REF!</definedName>
    <definedName name="FI_IDTOSW" localSheetId="1">#REF!</definedName>
    <definedName name="FI_IDTOSW">#REF!</definedName>
    <definedName name="FI_SITEHW" localSheetId="1">#REF!</definedName>
    <definedName name="FI_SITEHW">#REF!</definedName>
    <definedName name="FI_SITESW" localSheetId="1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1">#REF!</definedName>
    <definedName name="FIM">#REF!</definedName>
    <definedName name="Fin_charges" localSheetId="1">#REF!</definedName>
    <definedName name="Fin_charges">#REF!</definedName>
    <definedName name="FireFighting" localSheetId="1">#REF!</definedName>
    <definedName name="FireFighting">#REF!</definedName>
    <definedName name="FIT" localSheetId="1">#REF!</definedName>
    <definedName name="FIT">#REF!</definedName>
    <definedName name="FIT___0">#REF!</definedName>
    <definedName name="FIT___13">#REF!</definedName>
    <definedName name="fjhgfd" hidden="1">{"'Sheet1'!$A$4386:$N$4591"}</definedName>
    <definedName name="Floor" localSheetId="1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1">#REF!</definedName>
    <definedName name="fo">#REF!</definedName>
    <definedName name="foa">#REF!</definedName>
    <definedName name="for_typ" localSheetId="1">#REF!</definedName>
    <definedName name="for_typ">#REF!</definedName>
    <definedName name="Forecast" localSheetId="1">#REF!</definedName>
    <definedName name="Forecast">#REF!</definedName>
    <definedName name="Forecast_Receivables" localSheetId="1">#REF!</definedName>
    <definedName name="Forecast_Receivables">#REF!</definedName>
    <definedName name="foreststatus">#REF!</definedName>
    <definedName name="forex" localSheetId="1">#REF!</definedName>
    <definedName name="forex">#REF!</definedName>
    <definedName name="form_type">#REF!</definedName>
    <definedName name="Formula">#REF!</definedName>
    <definedName name="forthemonth" localSheetId="1">#REF!</definedName>
    <definedName name="forthemonth">#REF!</definedName>
    <definedName name="FOS.NLC">#REF!</definedName>
    <definedName name="FOS.SCF">#REF!</definedName>
    <definedName name="Foundation" localSheetId="1">#REF!</definedName>
    <definedName name="Foundation">#REF!</definedName>
    <definedName name="fourhundred">#REF!</definedName>
    <definedName name="Fp">#REF!</definedName>
    <definedName name="Fpi">#REF!</definedName>
    <definedName name="Fpi0">#REF!</definedName>
    <definedName name="Fr" localSheetId="3" hidden="1">{"'PROFITABILITY'!$A$1:$F$45"}</definedName>
    <definedName name="Fr" localSheetId="1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#REF!</definedName>
    <definedName name="frierect" localSheetId="1">#REF!</definedName>
    <definedName name="frierect">#REF!</definedName>
    <definedName name="Frl">#REF!</definedName>
    <definedName name="frnorms" localSheetId="1">#REF!</definedName>
    <definedName name="frnorms">#REF!</definedName>
    <definedName name="fromDCP" localSheetId="1">#REF!</definedName>
    <definedName name="fromDCP">#REF!</definedName>
    <definedName name="Frr">#REF!</definedName>
    <definedName name="Fs">#REF!</definedName>
    <definedName name="fsadfds">#REF!</definedName>
    <definedName name="Fsc" localSheetId="1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hidden="1">{"'Sheet1'!$A$4386:$N$4591"}</definedName>
    <definedName name="Fv" localSheetId="1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1">#REF!</definedName>
    <definedName name="fym">#REF!</definedName>
    <definedName name="fys" localSheetId="1">#REF!</definedName>
    <definedName name="fys">#REF!</definedName>
    <definedName name="g">#REF!</definedName>
    <definedName name="GA">#REF!</definedName>
    <definedName name="gama" localSheetId="1">#REF!</definedName>
    <definedName name="gama">#REF!</definedName>
    <definedName name="gamah" localSheetId="1">#REF!</definedName>
    <definedName name="gamah">#REF!</definedName>
    <definedName name="gamma" localSheetId="1">#REF!</definedName>
    <definedName name="gamma">#REF!</definedName>
    <definedName name="Gas_Price">#REF!</definedName>
    <definedName name="GATE" localSheetId="1">#REF!</definedName>
    <definedName name="GATE">#REF!</definedName>
    <definedName name="GBDFG">#REF!</definedName>
    <definedName name="Gc">#REF!</definedName>
    <definedName name="Gcc" localSheetId="1">#REF!</definedName>
    <definedName name="Gcc">#REF!</definedName>
    <definedName name="Gci">#REF!</definedName>
    <definedName name="Gcm" localSheetId="1">#REF!</definedName>
    <definedName name="Gcm">#REF!</definedName>
    <definedName name="Gcr" localSheetId="1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3">#N/A</definedName>
    <definedName name="Gen" localSheetId="1">'Stringing Compiled'!Gen</definedName>
    <definedName name="Gen">[0]!Gen</definedName>
    <definedName name="GeneralInformation" localSheetId="3">#N/A</definedName>
    <definedName name="GeneralInformation" localSheetId="1">'Stringing Compiled'!GeneralInformation</definedName>
    <definedName name="GeneralInformation">[0]!GeneralInformation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hidden="1">{"'PROFITABILITY'!$A$1:$F$45"}</definedName>
    <definedName name="GI" localSheetId="3">#N/A</definedName>
    <definedName name="GI" localSheetId="1">'Stringing Compiled'!GI</definedName>
    <definedName name="GI">[0]!GI</definedName>
    <definedName name="GInfo" localSheetId="3">#N/A</definedName>
    <definedName name="GInfo" localSheetId="1">'Stringing Compiled'!GInfo</definedName>
    <definedName name="GInfo">[0]!GInfo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1">#REF!</definedName>
    <definedName name="GP">#REF!</definedName>
    <definedName name="GPs" localSheetId="1">#REF!</definedName>
    <definedName name="GPs">#REF!</definedName>
    <definedName name="GPTL">#REF!</definedName>
    <definedName name="grg" localSheetId="1">#REF!</definedName>
    <definedName name="grg">#REF!</definedName>
    <definedName name="GRGRREG">#REF!</definedName>
    <definedName name="gross" localSheetId="1">#REF!</definedName>
    <definedName name="gross">#REF!</definedName>
    <definedName name="Groundinga" localSheetId="3" hidden="1">{"'PROFITABILITY'!$A$1:$F$45"}</definedName>
    <definedName name="Groundinga" localSheetId="1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1">#REF!</definedName>
    <definedName name="Growth">#REF!</definedName>
    <definedName name="GRR" localSheetId="1">#REF!</definedName>
    <definedName name="GRR">#REF!</definedName>
    <definedName name="gs">#REF!</definedName>
    <definedName name="GSDFGFHGH">#REF!</definedName>
    <definedName name="GSDGG">#REF!</definedName>
    <definedName name="gtst" localSheetId="1">#REF!</definedName>
    <definedName name="gtst">#REF!</definedName>
    <definedName name="GTTPL">#REF!</definedName>
    <definedName name="Gw" localSheetId="1">#REF!</definedName>
    <definedName name="Gw">#REF!</definedName>
    <definedName name="H" localSheetId="1">#REF!</definedName>
    <definedName name="H">#REF!</definedName>
    <definedName name="H___0">#REF!</definedName>
    <definedName name="H___13">#REF!</definedName>
    <definedName name="H0" localSheetId="1">#REF!</definedName>
    <definedName name="H0">#REF!</definedName>
    <definedName name="H0___0">#REF!</definedName>
    <definedName name="H0___13">#REF!</definedName>
    <definedName name="hai">#REF!</definedName>
    <definedName name="HALag" localSheetId="1">#REF!</definedName>
    <definedName name="HALag">#REF!</definedName>
    <definedName name="HANDL" localSheetId="1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1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1">#REF!</definedName>
    <definedName name="hhs">#REF!</definedName>
    <definedName name="hi">#REF!</definedName>
    <definedName name="HiddenRows" hidden="1">#REF!</definedName>
    <definedName name="HINDHUSTAN">#REF!</definedName>
    <definedName name="HINDI" localSheetId="1">#REF!</definedName>
    <definedName name="HINDI">#REF!</definedName>
    <definedName name="HIns">#REF!</definedName>
    <definedName name="Hipc">#REF!</definedName>
    <definedName name="hiuhiuhpoho">#REF!</definedName>
    <definedName name="HJ">#REF!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1">#REF!</definedName>
    <definedName name="HNDCLR_CHGS">#REF!</definedName>
    <definedName name="ho" localSheetId="1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sp_Disc" localSheetId="1">#REF!</definedName>
    <definedName name="Hosp_Disc">#REF!</definedName>
    <definedName name="Hospital_Intervention_Team">#REF!,#REF!,#REF!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1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3" hidden="1">{"'PROFITABILITY'!$A$1:$F$45"}</definedName>
    <definedName name="html" localSheetId="1" hidden="1">{"'PROFITABILITY'!$A$1:$F$45"}</definedName>
    <definedName name="html" hidden="1">{"'PROFITABILITY'!$A$1:$F$45"}</definedName>
    <definedName name="HTML_CodePage" hidden="1">1252</definedName>
    <definedName name="HTML_Control" localSheetId="3" hidden="1">{"'PROFITABILITY'!$A$1:$F$45"}</definedName>
    <definedName name="HTML_Control" localSheetId="1" hidden="1">{"'PROFITABILITY'!$A$1:$F$45"}</definedName>
    <definedName name="HTML_Control" hidden="1">{"'PROFITABILITY'!$A$1:$F$45"}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wo">#REF!</definedName>
    <definedName name="Hu" localSheetId="1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z">#REF!</definedName>
    <definedName name="i" localSheetId="3" hidden="1">{"'PROFITABILITY'!$A$1:$F$45"}</definedName>
    <definedName name="i" localSheetId="1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hidden="1">{"'Sheet1'!$A$4386:$N$4591"}</definedName>
    <definedName name="ic">5%</definedName>
    <definedName name="icb">#REF!</definedName>
    <definedName name="ICS_DISCUSSION_C_ISSUES_List" localSheetId="1">#REF!</definedName>
    <definedName name="ICS_DISCUSSION_C_ISSUES_List">#REF!</definedName>
    <definedName name="idb">#REF!</definedName>
    <definedName name="IDosCountries" localSheetId="1">#REF!</definedName>
    <definedName name="IDosCountries">#REF!</definedName>
    <definedName name="idt">#REF!</definedName>
    <definedName name="idto" localSheetId="1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1">#REF!</definedName>
    <definedName name="If">#REF!</definedName>
    <definedName name="IF_J_1_RUN__PROG1" localSheetId="1">#REF!</definedName>
    <definedName name="IF_J_1_RUN__PROG1">#REF!</definedName>
    <definedName name="IFB">#REF!</definedName>
    <definedName name="Ig" localSheetId="1">#REF!</definedName>
    <definedName name="Ig">#REF!</definedName>
    <definedName name="Ig___0">#REF!</definedName>
    <definedName name="Ig___13">#REF!</definedName>
    <definedName name="IGP_M" localSheetId="1">#REF!</definedName>
    <definedName name="IGP_M">#REF!</definedName>
    <definedName name="II" localSheetId="1">#REF!</definedName>
    <definedName name="II">#REF!</definedName>
    <definedName name="iii" localSheetId="1">#REF!</definedName>
    <definedName name="iii">#REF!</definedName>
    <definedName name="iiiiii">#REF!</definedName>
    <definedName name="ijui">#REF!</definedName>
    <definedName name="ik" localSheetId="1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1">#REF!</definedName>
    <definedName name="Illumination">#REF!</definedName>
    <definedName name="Im">#REF!</definedName>
    <definedName name="IMACountries" localSheetId="1">#REF!</definedName>
    <definedName name="IMACountries">#REF!</definedName>
    <definedName name="IMo">#REF!</definedName>
    <definedName name="Increase" localSheetId="1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1">#REF!</definedName>
    <definedName name="Indra">#REF!</definedName>
    <definedName name="INFLOW">#REF!</definedName>
    <definedName name="INNCAGRS" localSheetId="1">#REF!</definedName>
    <definedName name="INNCAGRS">#REF!</definedName>
    <definedName name="INOUT" localSheetId="1">#REF!</definedName>
    <definedName name="INOUT">#REF!</definedName>
    <definedName name="insertplate_and_exp_joint">#REF!</definedName>
    <definedName name="Insurance" localSheetId="1">#REF!</definedName>
    <definedName name="Insurance">#REF!</definedName>
    <definedName name="INT">#REF!</definedName>
    <definedName name="INT_CHGS" localSheetId="1">#REF!</definedName>
    <definedName name="INT_CHGS">#REF!</definedName>
    <definedName name="IntasDossier" localSheetId="1">#REF!</definedName>
    <definedName name="IntasDossier">#REF!</definedName>
    <definedName name="IntasMA" localSheetId="1">#REF!</definedName>
    <definedName name="IntasMA">#REF!</definedName>
    <definedName name="Interest_Rate">#REF!</definedName>
    <definedName name="internaluse" localSheetId="1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1">#REF!</definedName>
    <definedName name="IPRestrictions">#REF!</definedName>
    <definedName name="ipu" localSheetId="1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1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1">#REF!</definedName>
    <definedName name="Ix">#REF!</definedName>
    <definedName name="Iy" localSheetId="1">#REF!</definedName>
    <definedName name="Iy">#REF!</definedName>
    <definedName name="J" localSheetId="1">#REF!</definedName>
    <definedName name="J">#REF!</definedName>
    <definedName name="jawed">#REF!</definedName>
    <definedName name="jddd" hidden="1">{"form-D1",#N/A,FALSE,"FORM-D1";"form-D1_amt",#N/A,FALSE,"FORM-D1"}</definedName>
    <definedName name="JEERATE" localSheetId="1">#REF!</definedName>
    <definedName name="JEERATE">#REF!</definedName>
    <definedName name="JEJS" localSheetId="1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3" hidden="1">{"'PROFITABILITY'!$A$1:$F$45"}</definedName>
    <definedName name="k" localSheetId="1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1">#REF!</definedName>
    <definedName name="k1s">#REF!</definedName>
    <definedName name="K1V">#REF!</definedName>
    <definedName name="k1x">#REF!</definedName>
    <definedName name="k1y">#REF!</definedName>
    <definedName name="k2s" localSheetId="1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1">#REF!</definedName>
    <definedName name="ka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1">#REF!</definedName>
    <definedName name="kb">#REF!</definedName>
    <definedName name="kc" localSheetId="1">#REF!</definedName>
    <definedName name="kc">#REF!</definedName>
    <definedName name="kec" localSheetId="3" hidden="1">{"'PROFITABILITY'!$A$1:$F$45"}</definedName>
    <definedName name="kec" localSheetId="1" hidden="1">{"'PROFITABILITY'!$A$1:$F$45"}</definedName>
    <definedName name="kec" hidden="1">{"'PROFITABILITY'!$A$1:$F$45"}</definedName>
    <definedName name="KEL" localSheetId="1">#REF!</definedName>
    <definedName name="KEL">#REF!</definedName>
    <definedName name="KET" localSheetId="1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1">#REF!</definedName>
    <definedName name="Kh">#REF!</definedName>
    <definedName name="Kh___0">#REF!</definedName>
    <definedName name="Kh___13">#REF!</definedName>
    <definedName name="Ki" localSheetId="1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1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1">#REF!</definedName>
    <definedName name="KLM">#REF!</definedName>
    <definedName name="klmkl">#REF!</definedName>
    <definedName name="klsasK">#REF!</definedName>
    <definedName name="kltp" hidden="1">{"'PROFITABILITY'!$A$1:$F$45"}</definedName>
    <definedName name="Km" localSheetId="1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1">#REF!</definedName>
    <definedName name="kptl">#REF!</definedName>
    <definedName name="kr">#REF!</definedName>
    <definedName name="Ks" localSheetId="1">#REF!</definedName>
    <definedName name="Ks">#REF!</definedName>
    <definedName name="Ks___0">#REF!</definedName>
    <definedName name="Ks___13">#REF!</definedName>
    <definedName name="kscc">#REF!</definedName>
    <definedName name="kskk" hidden="1">{#N/A,#N/A,FALSE,"COVER.XLS";#N/A,#N/A,FALSE,"RACT1.XLS";#N/A,#N/A,FALSE,"RACT2.XLS";#N/A,#N/A,FALSE,"ECCMP";#N/A,#N/A,FALSE,"WELDER.XLS"}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1" hidden="1">#REF!</definedName>
    <definedName name="L" hidden="1">#REF!</definedName>
    <definedName name="L___0">#REF!</definedName>
    <definedName name="L___13">#REF!</definedName>
    <definedName name="L__m" localSheetId="1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1">#REF!</definedName>
    <definedName name="L1__m">#REF!</definedName>
    <definedName name="l1x">#REF!</definedName>
    <definedName name="l1xx">#REF!</definedName>
    <definedName name="L2__m" localSheetId="1">#REF!</definedName>
    <definedName name="L2__m">#REF!</definedName>
    <definedName name="l2x">#REF!</definedName>
    <definedName name="l2xx">#REF!</definedName>
    <definedName name="La" localSheetId="1">#REF!</definedName>
    <definedName name="La">#REF!</definedName>
    <definedName name="LACS">#REF!</definedName>
    <definedName name="lakh">#REF!</definedName>
    <definedName name="lamda">#REF!</definedName>
    <definedName name="LAMP" localSheetId="1">#REF!</definedName>
    <definedName name="LAMP">#REF!</definedName>
    <definedName name="LAMP___0">#REF!</definedName>
    <definedName name="LAMP___13">#REF!</definedName>
    <definedName name="lane_width" localSheetId="1">#REF!</definedName>
    <definedName name="lane_width">#REF!</definedName>
    <definedName name="LanguageComment" localSheetId="1">#REF!</definedName>
    <definedName name="LanguageComment">#REF!</definedName>
    <definedName name="Lap_length_for_side_wall_reiforcemnt">#REF!</definedName>
    <definedName name="Last_Row">IF(#REF!,Header_Row+#REF!,Header_Row)</definedName>
    <definedName name="Lb" localSheetId="1">#REF!</definedName>
    <definedName name="Lb">#REF!</definedName>
    <definedName name="LBA">#REF!</definedName>
    <definedName name="LBA_1">#REF!</definedName>
    <definedName name="lc" localSheetId="1">#REF!</definedName>
    <definedName name="lc">#REF!</definedName>
    <definedName name="Lc___0">#REF!</definedName>
    <definedName name="Lc___13">#REF!</definedName>
    <definedName name="LC_CHGS" localSheetId="1">#REF!</definedName>
    <definedName name="LC_CHGS">#REF!</definedName>
    <definedName name="lc1i4f" localSheetId="1">#REF!</definedName>
    <definedName name="lc1i4f">#REF!</definedName>
    <definedName name="lc1i5f" localSheetId="1">#REF!</definedName>
    <definedName name="lc1i5f">#REF!</definedName>
    <definedName name="lc2i1bc8f" localSheetId="1">#REF!</definedName>
    <definedName name="lc2i1bc8f">#REF!</definedName>
    <definedName name="lc350mcbc" localSheetId="1">#REF!</definedName>
    <definedName name="lc350mcbc">#REF!</definedName>
    <definedName name="lc350mcfdr" localSheetId="1">#REF!</definedName>
    <definedName name="lc350mcfdr">#REF!</definedName>
    <definedName name="lc350mcic" localSheetId="1">#REF!</definedName>
    <definedName name="lc350mcic">#REF!</definedName>
    <definedName name="lc350pcfdr" localSheetId="1">#REF!</definedName>
    <definedName name="lc350pcfdr">#REF!</definedName>
    <definedName name="lc350pcic" localSheetId="1">#REF!</definedName>
    <definedName name="lc350pcic">#REF!</definedName>
    <definedName name="lc500mcbc" localSheetId="1">#REF!</definedName>
    <definedName name="lc500mcbc">#REF!</definedName>
    <definedName name="lc500mcfdr" localSheetId="1">#REF!</definedName>
    <definedName name="lc500mcfdr">#REF!</definedName>
    <definedName name="lc500mcic" localSheetId="1">#REF!</definedName>
    <definedName name="lc500mcic">#REF!</definedName>
    <definedName name="lcabbbc" localSheetId="1">#REF!</definedName>
    <definedName name="lcabbbc">#REF!</definedName>
    <definedName name="lcabbfdr" localSheetId="1">#REF!</definedName>
    <definedName name="lcabbfdr">#REF!</definedName>
    <definedName name="lcabbic" localSheetId="1">#REF!</definedName>
    <definedName name="lcabbic">#REF!</definedName>
    <definedName name="lcs" localSheetId="1">#REF!</definedName>
    <definedName name="lcs">#REF!</definedName>
    <definedName name="LD">#REF!</definedName>
    <definedName name="LD_Analysis" localSheetId="1">#REF!</definedName>
    <definedName name="LD_Analysis">#REF!</definedName>
    <definedName name="ldlen1">#REF!</definedName>
    <definedName name="ldlen2">#REF!</definedName>
    <definedName name="le" localSheetId="1">#REF!</definedName>
    <definedName name="le">#REF!</definedName>
    <definedName name="least" localSheetId="1">#REF!</definedName>
    <definedName name="least">#REF!</definedName>
    <definedName name="lef">#REF!</definedName>
    <definedName name="lel">#REF!</definedName>
    <definedName name="len" localSheetId="1">#REF!</definedName>
    <definedName name="len">#REF!</definedName>
    <definedName name="length" localSheetId="1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1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1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O">#REF!</definedName>
    <definedName name="LMO_1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1">#REF!</definedName>
    <definedName name="Location">#REF!</definedName>
    <definedName name="logo1">"Picture 7"</definedName>
    <definedName name="logoa" localSheetId="1">#REF!</definedName>
    <definedName name="logoa">#REF!</definedName>
    <definedName name="loi">#REF!</definedName>
    <definedName name="Lp">#REF!</definedName>
    <definedName name="Lr" localSheetId="1">#REF!</definedName>
    <definedName name="Lr">#REF!</definedName>
    <definedName name="Lr___0">#REF!</definedName>
    <definedName name="Lr___13">#REF!</definedName>
    <definedName name="ls" localSheetId="1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1">#REF!</definedName>
    <definedName name="LTswitchgear">#REF!</definedName>
    <definedName name="LTTrafo">#REF!</definedName>
    <definedName name="Ltwo400">#REF!</definedName>
    <definedName name="Ltwo765">#REF!</definedName>
    <definedName name="LUMEN" localSheetId="1">#REF!</definedName>
    <definedName name="LUMEN">#REF!</definedName>
    <definedName name="LUMEN___0">#REF!</definedName>
    <definedName name="LUMEN___13">#REF!</definedName>
    <definedName name="LUX" localSheetId="1">#REF!</definedName>
    <definedName name="LUX">#REF!</definedName>
    <definedName name="LUX___0">#REF!</definedName>
    <definedName name="LUX___13">#REF!</definedName>
    <definedName name="LWL">#REF!</definedName>
    <definedName name="Lx" localSheetId="1">#REF!</definedName>
    <definedName name="Lx">#REF!</definedName>
    <definedName name="Lx___0">#REF!</definedName>
    <definedName name="Lx___13">#REF!</definedName>
    <definedName name="Lxx">#REF!</definedName>
    <definedName name="M" localSheetId="1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">#REF!</definedName>
    <definedName name="MA_incountry">#REF!</definedName>
    <definedName name="MA_incountry_T" localSheetId="1">#REF!</definedName>
    <definedName name="MA_incountry_T">#REF!</definedName>
    <definedName name="MA_intercountry" localSheetId="1">#REF!</definedName>
    <definedName name="MA_intercountry">#REF!</definedName>
    <definedName name="MA_intercountry_T" localSheetId="1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">#REF!</definedName>
    <definedName name="MAConsolidation">#REF!</definedName>
    <definedName name="MAConsolidationCountries" localSheetId="1">#REF!</definedName>
    <definedName name="MAConsolidationCountries">#REF!</definedName>
    <definedName name="MAConsolidationMols" localSheetId="1">#REF!</definedName>
    <definedName name="MAConsolidationMols">#REF!</definedName>
    <definedName name="Maharastra">#REF!</definedName>
    <definedName name="Main" localSheetId="1">#REF!</definedName>
    <definedName name="Main" localSheetId="0">#REF!</definedName>
    <definedName name="Main">#REF!</definedName>
    <definedName name="MainRelay">#REF!</definedName>
    <definedName name="major" localSheetId="1">#REF!</definedName>
    <definedName name="major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 localSheetId="1">#REF!</definedName>
    <definedName name="man">#REF!</definedName>
    <definedName name="man___0">#REF!</definedName>
    <definedName name="man___11">#REF!</definedName>
    <definedName name="man___12">#REF!</definedName>
    <definedName name="Mandatory" localSheetId="3">#N/A</definedName>
    <definedName name="Mandatory" localSheetId="1">'Stringing Compiled'!Mandatory</definedName>
    <definedName name="Mandatory">[0]!Mandatory</definedName>
    <definedName name="Manday_Rate" localSheetId="1">#REF!</definedName>
    <definedName name="Manday_Rate">#REF!</definedName>
    <definedName name="manday1" localSheetId="1">#REF!</definedName>
    <definedName name="manday1">#REF!</definedName>
    <definedName name="manday1___0">#REF!</definedName>
    <definedName name="manday1___11">#REF!</definedName>
    <definedName name="manday1___12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 localSheetId="1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1">#REF!</definedName>
    <definedName name="MarginalCosts">#REF!</definedName>
    <definedName name="MarginalCostsSM" localSheetId="1">#REF!</definedName>
    <definedName name="MarginalCostsSM">#REF!</definedName>
    <definedName name="MARKETSHAREPYHIGH" localSheetId="1">#REF!</definedName>
    <definedName name="MARKETSHAREPYHIGH">#REF!</definedName>
    <definedName name="MARKETSHAREPYLOW" localSheetId="1">#REF!</definedName>
    <definedName name="MARKETSHAREPYLOW">#REF!</definedName>
    <definedName name="MAS" localSheetId="1">#REF!</definedName>
    <definedName name="MAS">#REF!</definedName>
    <definedName name="MasterMolDoseList">#REF!</definedName>
    <definedName name="Masterpreisliste_Access_ohne_CHAR_10_" localSheetId="1">#REF!</definedName>
    <definedName name="Masterpreisliste_Access_ohne_CHAR_10_">#REF!</definedName>
    <definedName name="MATHS" localSheetId="1">#REF!</definedName>
    <definedName name="MATHS">#REF!</definedName>
    <definedName name="Mb" localSheetId="1">#REF!</definedName>
    <definedName name="Mb">#REF!</definedName>
    <definedName name="Mb_v">#REF!</definedName>
    <definedName name="mbn">#REF!</definedName>
    <definedName name="Mc" localSheetId="1">#REF!</definedName>
    <definedName name="Mc">#REF!</definedName>
    <definedName name="MC_ABB_Imp" localSheetId="1">#REF!</definedName>
    <definedName name="MC_ABB_Imp">#REF!</definedName>
    <definedName name="MC_ABB_local" localSheetId="1">#REF!</definedName>
    <definedName name="MC_ABB_local">#REF!</definedName>
    <definedName name="MC_ABB_peenya" localSheetId="1">#REF!</definedName>
    <definedName name="MC_ABB_peenya">#REF!</definedName>
    <definedName name="MC_AIC_Imp" localSheetId="1">#REF!</definedName>
    <definedName name="MC_AIC_Imp">#REF!</definedName>
    <definedName name="MC_AIC_local" localSheetId="1">#REF!</definedName>
    <definedName name="MC_AIC_local">#REF!</definedName>
    <definedName name="MC_DEMHW" localSheetId="1">#REF!</definedName>
    <definedName name="MC_DEMHW">#REF!</definedName>
    <definedName name="MC_DEMSW" localSheetId="1">#REF!</definedName>
    <definedName name="MC_DEMSW">#REF!</definedName>
    <definedName name="MC_FFRHW" localSheetId="1">#REF!</definedName>
    <definedName name="MC_FFRHW">#REF!</definedName>
    <definedName name="MC_FFRSW" localSheetId="1">#REF!</definedName>
    <definedName name="MC_FFRSW">#REF!</definedName>
    <definedName name="MC_FIMHW" localSheetId="1">#REF!</definedName>
    <definedName name="MC_FIMHW">#REF!</definedName>
    <definedName name="MC_FIMSW" localSheetId="1">#REF!</definedName>
    <definedName name="MC_FIMSW">#REF!</definedName>
    <definedName name="MC_NOKHW" localSheetId="1">#REF!</definedName>
    <definedName name="MC_NOKHW">#REF!</definedName>
    <definedName name="MC_NOKSW" localSheetId="1">#REF!</definedName>
    <definedName name="MC_NOKSW">#REF!</definedName>
    <definedName name="MC_NonABB_Imp" localSheetId="1">#REF!</definedName>
    <definedName name="MC_NonABB_Imp">#REF!</definedName>
    <definedName name="MC_NonABB_local" localSheetId="1">#REF!</definedName>
    <definedName name="MC_NonABB_local">#REF!</definedName>
    <definedName name="MC_SEKHW" localSheetId="1">#REF!</definedName>
    <definedName name="MC_SEKHW">#REF!</definedName>
    <definedName name="MC_SEKSW" localSheetId="1">#REF!</definedName>
    <definedName name="MC_SEKSW">#REF!</definedName>
    <definedName name="MC_SFRHW" localSheetId="1">#REF!</definedName>
    <definedName name="MC_SFRHW">#REF!</definedName>
    <definedName name="MC_SFRSW" localSheetId="1">#REF!</definedName>
    <definedName name="MC_SFRSW">#REF!</definedName>
    <definedName name="MC_UKPHW" localSheetId="1">#REF!</definedName>
    <definedName name="MC_UKPHW">#REF!</definedName>
    <definedName name="MC_UKPSW" localSheetId="1">#REF!</definedName>
    <definedName name="MC_UKPSW">#REF!</definedName>
    <definedName name="MC_USDHW" localSheetId="1">#REF!</definedName>
    <definedName name="MC_USDHW">#REF!</definedName>
    <definedName name="MC_USDSW" localSheetId="1">#REF!</definedName>
    <definedName name="MC_USDSW">#REF!</definedName>
    <definedName name="Mc_v">#REF!</definedName>
    <definedName name="MC_YENHW" localSheetId="1">#REF!</definedName>
    <definedName name="MC_YENHW">#REF!</definedName>
    <definedName name="MC_YENSW" localSheetId="1">#REF!</definedName>
    <definedName name="MC_YENSW">#REF!</definedName>
    <definedName name="mcabb3501i5f" localSheetId="1">#REF!</definedName>
    <definedName name="mcabb3501i5f">#REF!</definedName>
    <definedName name="mcabb3502i1bc8f" localSheetId="1">#REF!</definedName>
    <definedName name="mcabb3502i1bc8f">#REF!</definedName>
    <definedName name="mcabb5002i1bc8f" localSheetId="1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 localSheetId="1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1">#REF!</definedName>
    <definedName name="Med">#REF!</definedName>
    <definedName name="method">#REF!</definedName>
    <definedName name="mf" localSheetId="3" hidden="1">{"'PROFITABILITY'!$A$1:$F$45"}</definedName>
    <definedName name="mf" localSheetId="1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 localSheetId="1">#REF!</definedName>
    <definedName name="MF_AIC_Imp">#REF!</definedName>
    <definedName name="MF_AIC_local" localSheetId="1">#REF!</definedName>
    <definedName name="MF_AIC_local">#REF!</definedName>
    <definedName name="MF_AUTImp_ABB" localSheetId="1">#REF!</definedName>
    <definedName name="MF_AUTImp_ABB">#REF!</definedName>
    <definedName name="MF_AUTImp_NonABB" localSheetId="1">#REF!</definedName>
    <definedName name="MF_AUTImp_NonABB">#REF!</definedName>
    <definedName name="MF_NonABB_local" localSheetId="1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">#REF!</definedName>
    <definedName name="minor">#REF!</definedName>
    <definedName name="Mipc">#REF!:#REF!</definedName>
    <definedName name="Mips">#REF!</definedName>
    <definedName name="Misc_charges" localSheetId="1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1" hidden="1">#REF!</definedName>
    <definedName name="mm" hidden="1">#REF!</definedName>
    <definedName name="mmm" localSheetId="1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1">#REF!</definedName>
    <definedName name="Model_Comparison">#REF!</definedName>
    <definedName name="modified">#REF!</definedName>
    <definedName name="modvat" localSheetId="1">#REF!</definedName>
    <definedName name="modvat">#REF!</definedName>
    <definedName name="molecules" localSheetId="1">#REF!</definedName>
    <definedName name="molecules">#REF!</definedName>
    <definedName name="Mone">#REF!</definedName>
    <definedName name="Month">#REF!</definedName>
    <definedName name="monthprogress">#REF!</definedName>
    <definedName name="MonthYear">#REF!</definedName>
    <definedName name="MQAKAM" localSheetId="1">#REF!</definedName>
    <definedName name="MQAKAM">#REF!</definedName>
    <definedName name="Ms" localSheetId="1">#REF!</definedName>
    <definedName name="Ms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1">#REF!</definedName>
    <definedName name="mujj">#REF!</definedName>
    <definedName name="Mulimit" localSheetId="1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MyPBRScenario" localSheetId="1">#REF!</definedName>
    <definedName name="MyPBRScenario">#REF!</definedName>
    <definedName name="N" localSheetId="1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1">#REF!</definedName>
    <definedName name="Nc">#REF!</definedName>
    <definedName name="ncfnvo">#REF!</definedName>
    <definedName name="NcIS" localSheetId="1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1">#REF!</definedName>
    <definedName name="NIL">#REF!</definedName>
    <definedName name="NJPE" localSheetId="1">#REF!</definedName>
    <definedName name="NJPE">#REF!</definedName>
    <definedName name="njspsche" localSheetId="1">#REF!</definedName>
    <definedName name="njspsche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k">#REF!</definedName>
    <definedName name="NN" localSheetId="1">#REF!</definedName>
    <definedName name="NN">#REF!</definedName>
    <definedName name="NN___0">#REF!</definedName>
    <definedName name="NN___13">#REF!</definedName>
    <definedName name="no_name" localSheetId="1">#REF!</definedName>
    <definedName name="no_name">#REF!</definedName>
    <definedName name="NOK" localSheetId="1">#REF!</definedName>
    <definedName name="NOK">#REF!</definedName>
    <definedName name="non">#REF!</definedName>
    <definedName name="NONSOR">#REF!</definedName>
    <definedName name="Nos" localSheetId="1">#REF!</definedName>
    <definedName name="Nos">#REF!</definedName>
    <definedName name="NPV_Risk" localSheetId="1">#REF!</definedName>
    <definedName name="NPV_Risk">#REF!</definedName>
    <definedName name="NqIS" localSheetId="1">#REF!</definedName>
    <definedName name="NqIS">#REF!</definedName>
    <definedName name="NrIS" localSheetId="1">#REF!</definedName>
    <definedName name="NrIS">#REF!</definedName>
    <definedName name="Ns">#REF!</definedName>
    <definedName name="Nsd">#REF!</definedName>
    <definedName name="Nsda" localSheetId="1">#REF!</definedName>
    <definedName name="Nsda">#REF!</definedName>
    <definedName name="Nsdb" localSheetId="1">#REF!</definedName>
    <definedName name="Nsdb">#REF!</definedName>
    <definedName name="Nsm" localSheetId="1">#REF!</definedName>
    <definedName name="Nsm">#REF!</definedName>
    <definedName name="NSS">#REF!</definedName>
    <definedName name="Nst">#REF!</definedName>
    <definedName name="Nsu">#REF!</definedName>
    <definedName name="Nt" localSheetId="1">#REF!</definedName>
    <definedName name="Nt">#REF!</definedName>
    <definedName name="nt0">#REF!</definedName>
    <definedName name="Num_Pmt_Per_Year">#REF!</definedName>
    <definedName name="num2text">#REF!</definedName>
    <definedName name="Number_of_Payments">#N/A</definedName>
    <definedName name="Nur" localSheetId="1">#REF!</definedName>
    <definedName name="Nur">#REF!</definedName>
    <definedName name="Nx" localSheetId="1">#REF!</definedName>
    <definedName name="Nx">#REF!</definedName>
    <definedName name="Nx___0">#REF!</definedName>
    <definedName name="Nx___13">#REF!</definedName>
    <definedName name="nxs" localSheetId="1">#REF!</definedName>
    <definedName name="nxs">#REF!</definedName>
    <definedName name="Nxx">#REF!</definedName>
    <definedName name="Ny" localSheetId="1">#REF!</definedName>
    <definedName name="Ny">#REF!</definedName>
    <definedName name="Ny___0">#REF!</definedName>
    <definedName name="Ny___13">#REF!</definedName>
    <definedName name="nys" localSheetId="1">#REF!</definedName>
    <definedName name="nys">#REF!</definedName>
    <definedName name="Nyy">#REF!</definedName>
    <definedName name="O" localSheetId="1">#REF!</definedName>
    <definedName name="O">#REF!</definedName>
    <definedName name="oct">#REF!</definedName>
    <definedName name="OCTROI" localSheetId="1">#REF!</definedName>
    <definedName name="OCTROI">#REF!</definedName>
    <definedName name="OCTROI_HW" localSheetId="1">#REF!</definedName>
    <definedName name="OCTROI_HW">#REF!</definedName>
    <definedName name="OCTROI_SW" localSheetId="1">#REF!</definedName>
    <definedName name="OCTROI_SW">#REF!</definedName>
    <definedName name="OD">#REF!</definedName>
    <definedName name="OFFICE_LIGHTING" localSheetId="1">#REF!</definedName>
    <definedName name="OFFICE_LIGHTING">#REF!</definedName>
    <definedName name="OGPTL">#REF!</definedName>
    <definedName name="oh" localSheetId="1">#REF!</definedName>
    <definedName name="oh">#REF!</definedName>
    <definedName name="oh_work_sept">#REF!</definedName>
    <definedName name="OH_workings_sept">#REF!</definedName>
    <definedName name="ohe" localSheetId="1">#REF!</definedName>
    <definedName name="ohe">#REF!</definedName>
    <definedName name="Oilpit">#REF!</definedName>
    <definedName name="oirr">#REF!</definedName>
    <definedName name="ok" localSheetId="1">#REF!</definedName>
    <definedName name="ok">#REF!</definedName>
    <definedName name="OldLaunch" localSheetId="1">#REF!</definedName>
    <definedName name="OldLaunch">#REF!</definedName>
    <definedName name="ongoingDCP" localSheetId="1">#REF!</definedName>
    <definedName name="ongoingDCP">#REF!</definedName>
    <definedName name="ooc" localSheetId="1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>#REF!</definedName>
    <definedName name="orderbacklog" localSheetId="1">#REF!</definedName>
    <definedName name="orderbacklog">#REF!</definedName>
    <definedName name="orderbooked98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3" hidden="1">{"'PROFITABILITY'!$A$1:$F$45"}</definedName>
    <definedName name="P" localSheetId="1" hidden="1">{"'PROFITABILITY'!$A$1:$F$45"}</definedName>
    <definedName name="P" hidden="1">{"'PROFITABILITY'!$A$1:$F$45"}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 localSheetId="1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 localSheetId="1">#REF!</definedName>
    <definedName name="p1350mcbc">#REF!</definedName>
    <definedName name="p1350mcfdr" localSheetId="1">#REF!</definedName>
    <definedName name="p1350mcfdr">#REF!</definedName>
    <definedName name="p1350mcic" localSheetId="1">#REF!</definedName>
    <definedName name="p1350mcic">#REF!</definedName>
    <definedName name="p1350pcfdr" localSheetId="1">#REF!</definedName>
    <definedName name="p1350pcfdr">#REF!</definedName>
    <definedName name="p1350pcic" localSheetId="1">#REF!</definedName>
    <definedName name="p1350pcic">#REF!</definedName>
    <definedName name="p1500mcbc" localSheetId="1">#REF!</definedName>
    <definedName name="p1500mcbc">#REF!</definedName>
    <definedName name="p1500mcfdr" localSheetId="1">#REF!</definedName>
    <definedName name="p1500mcfdr">#REF!</definedName>
    <definedName name="p1500mcic" localSheetId="1">#REF!</definedName>
    <definedName name="p1500mcic">#REF!</definedName>
    <definedName name="p1abbbc" localSheetId="1">#REF!</definedName>
    <definedName name="p1abbbc">#REF!</definedName>
    <definedName name="p1abbfdr" localSheetId="1">#REF!</definedName>
    <definedName name="p1abbfdr">#REF!</definedName>
    <definedName name="p1abbic" localSheetId="1">#REF!</definedName>
    <definedName name="p1abbic">#REF!</definedName>
    <definedName name="p1accp" localSheetId="1">#REF!</definedName>
    <definedName name="p1accp">#REF!</definedName>
    <definedName name="p1acdb1" localSheetId="1">#REF!</definedName>
    <definedName name="p1acdb1">#REF!</definedName>
    <definedName name="p1acdb2" localSheetId="1">#REF!</definedName>
    <definedName name="p1acdb2">#REF!</definedName>
    <definedName name="p1acdb3" localSheetId="1">#REF!</definedName>
    <definedName name="p1acdb3">#REF!</definedName>
    <definedName name="p1amf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 localSheetId="1">#REF!</definedName>
    <definedName name="p1clp">#REF!</definedName>
    <definedName name="p1csp">#REF!</definedName>
    <definedName name="p1db">#REF!</definedName>
    <definedName name="p1ht" localSheetId="1">#REF!</definedName>
    <definedName name="p1ht">#REF!</definedName>
    <definedName name="p1ksk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 localSheetId="1">#REF!</definedName>
    <definedName name="p1ltsba2">#REF!</definedName>
    <definedName name="p1ltsbb1" localSheetId="1">#REF!</definedName>
    <definedName name="p1ltsbb1">#REF!</definedName>
    <definedName name="p1ltsbb2" localSheetId="1">#REF!</definedName>
    <definedName name="p1ltsbb2">#REF!</definedName>
    <definedName name="p1mcc1" localSheetId="1">#REF!</definedName>
    <definedName name="p1mcc1">#REF!</definedName>
    <definedName name="p1mcc10" localSheetId="1">#REF!</definedName>
    <definedName name="p1mcc10">#REF!</definedName>
    <definedName name="p1mcc11" localSheetId="1">#REF!</definedName>
    <definedName name="p1mcc11">#REF!</definedName>
    <definedName name="p1mcc12" localSheetId="1">#REF!</definedName>
    <definedName name="p1mcc12">#REF!</definedName>
    <definedName name="p1mcc13" localSheetId="1">#REF!</definedName>
    <definedName name="p1mcc13">#REF!</definedName>
    <definedName name="p1mcc14" localSheetId="1">#REF!</definedName>
    <definedName name="p1mcc14">#REF!</definedName>
    <definedName name="p1mcc15" localSheetId="1">#REF!</definedName>
    <definedName name="p1mcc15">#REF!</definedName>
    <definedName name="p1mcc17" localSheetId="1">#REF!</definedName>
    <definedName name="p1mcc17">#REF!</definedName>
    <definedName name="p1mcc2" localSheetId="1">#REF!</definedName>
    <definedName name="p1mcc2">#REF!</definedName>
    <definedName name="p1mcc3" localSheetId="1">#REF!</definedName>
    <definedName name="p1mcc3">#REF!</definedName>
    <definedName name="p1mcc4" localSheetId="1">#REF!</definedName>
    <definedName name="p1mcc4">#REF!</definedName>
    <definedName name="p1mcc5" localSheetId="1">#REF!</definedName>
    <definedName name="p1mcc5">#REF!</definedName>
    <definedName name="p1mcc6" localSheetId="1">#REF!</definedName>
    <definedName name="p1mcc6">#REF!</definedName>
    <definedName name="p1mcc7" localSheetId="1">#REF!</definedName>
    <definedName name="p1mcc7">#REF!</definedName>
    <definedName name="p1mcc8" localSheetId="1">#REF!</definedName>
    <definedName name="p1mcc8">#REF!</definedName>
    <definedName name="p1mcc9" localSheetId="1">#REF!</definedName>
    <definedName name="p1mcc9">#REF!</definedName>
    <definedName name="p1mldb" localSheetId="1">#REF!</definedName>
    <definedName name="p1mldb">#REF!</definedName>
    <definedName name="p1mlp" localSheetId="1">#REF!</definedName>
    <definedName name="p1mlp">#REF!</definedName>
    <definedName name="p1mltp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 localSheetId="1">#REF!</definedName>
    <definedName name="p1mrlp">#REF!</definedName>
    <definedName name="p1pcc" localSheetId="1">#REF!</definedName>
    <definedName name="p1pcc">#REF!</definedName>
    <definedName name="p1pccm" localSheetId="1">#REF!</definedName>
    <definedName name="p1pccm">#REF!</definedName>
    <definedName name="p1pdb" localSheetId="1">#REF!</definedName>
    <definedName name="p1pdb">#REF!</definedName>
    <definedName name="p1ssb1">#REF!</definedName>
    <definedName name="p1ssb2">#REF!</definedName>
    <definedName name="p1upsdb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a" localSheetId="1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>#REF!</definedName>
    <definedName name="Page1" localSheetId="1">#REF!</definedName>
    <definedName name="Page1">#REF!</definedName>
    <definedName name="PAGE1_1">"#REF!"</definedName>
    <definedName name="PAGE1_2">"#REF!"</definedName>
    <definedName name="PAGE10" localSheetId="1">#REF!</definedName>
    <definedName name="PAGE10">#REF!</definedName>
    <definedName name="PAGE11" localSheetId="1">#REF!</definedName>
    <definedName name="PAGE11">#REF!</definedName>
    <definedName name="PAGE2" localSheetId="1">#REF!</definedName>
    <definedName name="PAGE2">#REF!</definedName>
    <definedName name="PAGE3" localSheetId="1">#REF!</definedName>
    <definedName name="PAGE3">#REF!</definedName>
    <definedName name="PAGE4" localSheetId="1">#REF!</definedName>
    <definedName name="PAGE4">#REF!</definedName>
    <definedName name="PAGE5" localSheetId="1">#REF!</definedName>
    <definedName name="PAGE5">#REF!</definedName>
    <definedName name="PAGE6" localSheetId="1">#REF!</definedName>
    <definedName name="PAGE6">#REF!</definedName>
    <definedName name="PAGE7" localSheetId="1">#REF!</definedName>
    <definedName name="PAGE7">#REF!</definedName>
    <definedName name="PAGE8" localSheetId="1">#REF!</definedName>
    <definedName name="PAGE8">#REF!</definedName>
    <definedName name="PAGE9" localSheetId="1">#REF!</definedName>
    <definedName name="PAGE9">#REF!</definedName>
    <definedName name="Pal_Workbook_GUID" hidden="1">"I4MQBSQIYS7ZIKLGDAQFMW49"</definedName>
    <definedName name="Pancham" localSheetId="1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1">#REF!</definedName>
    <definedName name="pb">#REF!</definedName>
    <definedName name="pb___0">#REF!</definedName>
    <definedName name="pb___11">#REF!</definedName>
    <definedName name="pb___12">#REF!</definedName>
    <definedName name="PbRScenario" localSheetId="1">#REF!</definedName>
    <definedName name="PbRScenario">#REF!</definedName>
    <definedName name="Pbx">#REF!</definedName>
    <definedName name="Pby">#REF!</definedName>
    <definedName name="pc" localSheetId="1">#REF!</definedName>
    <definedName name="pc">#REF!</definedName>
    <definedName name="PC_ED" localSheetId="1">#REF!</definedName>
    <definedName name="PC_ED">#REF!</definedName>
    <definedName name="PCC">#REF!</definedName>
    <definedName name="PCC_Offset">#REF!</definedName>
    <definedName name="PCD">#REF!</definedName>
    <definedName name="pctacutescore" localSheetId="1">#REF!</definedName>
    <definedName name="pctacutescore">#REF!</definedName>
    <definedName name="pctformatted" localSheetId="1">#REF!</definedName>
    <definedName name="pctformatted">#REF!</definedName>
    <definedName name="PCTs" localSheetId="1">#REF!</definedName>
    <definedName name="PCTs">#REF!</definedName>
    <definedName name="Pd">#REF!</definedName>
    <definedName name="PER" localSheetId="1">#REF!</definedName>
    <definedName name="PER">#REF!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1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1">#REF!</definedName>
    <definedName name="PERSONAL_TRANSPORT">#REF!</definedName>
    <definedName name="PF">#REF!</definedName>
    <definedName name="pge" localSheetId="1">#REF!</definedName>
    <definedName name="pge">#REF!</definedName>
    <definedName name="pH" localSheetId="1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1">#REF!</definedName>
    <definedName name="pIaccp">#REF!</definedName>
    <definedName name="picture_1">"Picture 1"</definedName>
    <definedName name="pIecp" localSheetId="1">#REF!</definedName>
    <definedName name="pIecp">#REF!</definedName>
    <definedName name="Piling">#REF!</definedName>
    <definedName name="PILLTYPE">#REF!</definedName>
    <definedName name="pImcc.1" localSheetId="1">#REF!</definedName>
    <definedName name="pImcc.1">#REF!</definedName>
    <definedName name="pImcc.2" localSheetId="1">#REF!</definedName>
    <definedName name="pImcc.2">#REF!</definedName>
    <definedName name="pImcc.3" localSheetId="1">#REF!</definedName>
    <definedName name="pImcc.3">#REF!</definedName>
    <definedName name="pImltsb" localSheetId="1">#REF!</definedName>
    <definedName name="pImltsb">#REF!</definedName>
    <definedName name="pImsb.ups" localSheetId="1">#REF!</definedName>
    <definedName name="pImsb.ups">#REF!</definedName>
    <definedName name="pIsmsb.1" localSheetId="1">#REF!</definedName>
    <definedName name="pIsmsb.1">#REF!</definedName>
    <definedName name="pIsmsb.2" localSheetId="1">#REF!</definedName>
    <definedName name="pIsmsb.2">#REF!</definedName>
    <definedName name="pIsmsb.3" localSheetId="1">#REF!</definedName>
    <definedName name="pIsmsb.3">#REF!</definedName>
    <definedName name="pIsmsb.b" localSheetId="1">#REF!</definedName>
    <definedName name="pIsmsb.b">#REF!</definedName>
    <definedName name="pIsmsb.g" localSheetId="1">#REF!</definedName>
    <definedName name="pIsmsb.g">#REF!</definedName>
    <definedName name="pIsmsb.lab" localSheetId="1">#REF!</definedName>
    <definedName name="pIsmsb.lab">#REF!</definedName>
    <definedName name="pIsmsb.main" localSheetId="1">#REF!</definedName>
    <definedName name="pIsmsb.main">#REF!</definedName>
    <definedName name="pIsmsb.t" localSheetId="1">#REF!</definedName>
    <definedName name="pIsmsb.t">#REF!</definedName>
    <definedName name="pIsmsb.ups" localSheetId="1">#REF!</definedName>
    <definedName name="pIsmsb.ups">#REF!</definedName>
    <definedName name="pIup.1" localSheetId="1">#REF!</definedName>
    <definedName name="pIup.1">#REF!</definedName>
    <definedName name="pIup.2" localSheetId="1">#REF!</definedName>
    <definedName name="pIup.2">#REF!</definedName>
    <definedName name="PKG_NO">#REF!</definedName>
    <definedName name="PKGFRD_HW" localSheetId="1">#REF!</definedName>
    <definedName name="PKGFRD_HW">#REF!</definedName>
    <definedName name="PKGFRD_SW" localSheetId="1">#REF!</definedName>
    <definedName name="PKGFRD_SW">#REF!</definedName>
    <definedName name="place">#REF!</definedName>
    <definedName name="Plan">PeriodInPlan*(#REF!&gt;0)</definedName>
    <definedName name="PLASTER">#REF!</definedName>
    <definedName name="PLCC">#REF!</definedName>
    <definedName name="PLO">#REF!</definedName>
    <definedName name="plsdata" localSheetId="1">#REF!</definedName>
    <definedName name="plsdata">#REF!</definedName>
    <definedName name="PM">#REF!</definedName>
    <definedName name="PM_ConcreteMixer">#REF!</definedName>
    <definedName name="pmsnonacutescore" localSheetId="1">#REF!</definedName>
    <definedName name="pmsnonacutescore">#REF!</definedName>
    <definedName name="PmtFreq_PS" localSheetId="1">#REF!</definedName>
    <definedName name="PmtFreq_PS">#REF!</definedName>
    <definedName name="pn">#REF!</definedName>
    <definedName name="pnu_soil" localSheetId="1">#REF!</definedName>
    <definedName name="pnu_soil">#REF!</definedName>
    <definedName name="PNum" localSheetId="1">#REF!</definedName>
    <definedName name="PNum">#REF!</definedName>
    <definedName name="PO">#REF!</definedName>
    <definedName name="PONDA" localSheetId="1">#REF!</definedName>
    <definedName name="PONDA">#REF!</definedName>
    <definedName name="POOJA">#REF!</definedName>
    <definedName name="POST" localSheetId="1">#REF!</definedName>
    <definedName name="POST">#REF!</definedName>
    <definedName name="Potential_All" localSheetId="1">#REF!</definedName>
    <definedName name="Potential_All">#REF!</definedName>
    <definedName name="Potential_Brazil" localSheetId="1">#REF!</definedName>
    <definedName name="Potential_Brazil">#REF!</definedName>
    <definedName name="Potential_EU" localSheetId="1">#REF!</definedName>
    <definedName name="Potential_EU">#REF!</definedName>
    <definedName name="Potential_US" localSheetId="1">#REF!</definedName>
    <definedName name="Potential_US">#REF!</definedName>
    <definedName name="POUNDS">#REF!</definedName>
    <definedName name="pp">#REF!</definedName>
    <definedName name="PPPPPP" localSheetId="3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1">#REF!</definedName>
    <definedName name="PR_BO">#REF!</definedName>
    <definedName name="PR_IDTO" localSheetId="1">#REF!</definedName>
    <definedName name="PR_IDTO">#REF!</definedName>
    <definedName name="PR_IMP" localSheetId="1">#REF!</definedName>
    <definedName name="PR_IMP">#REF!</definedName>
    <definedName name="PR_TR" localSheetId="1">#REF!</definedName>
    <definedName name="PR_TR">#REF!</definedName>
    <definedName name="PRA_DETAILSMAR01">#REF!</definedName>
    <definedName name="PRADETAILS">#REF!</definedName>
    <definedName name="prashant" localSheetId="1">#REF!</definedName>
    <definedName name="prashant">#REF!</definedName>
    <definedName name="pratap" hidden="1">{"'Sheet1'!$A$4386:$N$4591"}</definedName>
    <definedName name="PrepareDate" localSheetId="1">#REF!</definedName>
    <definedName name="PrepareDate">#REF!</definedName>
    <definedName name="price">#REF!</definedName>
    <definedName name="priced_end">#REF!</definedName>
    <definedName name="PRICEDISCOUNT" localSheetId="1">#REF!</definedName>
    <definedName name="PRICEDISCOUNT">#REF!</definedName>
    <definedName name="Princ">#REF!</definedName>
    <definedName name="Print" localSheetId="1">#REF!</definedName>
    <definedName name="Print">#REF!</definedName>
    <definedName name="print_activity_by_Commissioner" localSheetId="1">#REF!</definedName>
    <definedName name="print_activity_by_Commissioner">#REF!</definedName>
    <definedName name="_xlnm.Print_Area" localSheetId="3">'Erection '!$A$1:$P$71</definedName>
    <definedName name="_xlnm.Print_Area" localSheetId="2">FDN!$A$1:$Q$159</definedName>
    <definedName name="_xlnm.Print_Area" localSheetId="1">'Stringing Compiled'!$A$1:$R$11</definedName>
    <definedName name="_xlnm.Print_Area">#REF!</definedName>
    <definedName name="Print_Area_MI" localSheetId="1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2">FDN!$1:$2</definedName>
    <definedName name="_xlnm.Print_Titles" localSheetId="1">#REF!</definedName>
    <definedName name="_xlnm.Print_Titles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 localSheetId="1">#REF!</definedName>
    <definedName name="printedname">#REF!</definedName>
    <definedName name="printn">#REF!</definedName>
    <definedName name="PRMIL_HW" localSheetId="1">#REF!</definedName>
    <definedName name="PRMIL_HW">#REF!</definedName>
    <definedName name="PRMIL_SW" localSheetId="1">#REF!</definedName>
    <definedName name="PRMIL_SW">#REF!</definedName>
    <definedName name="PROBADJUSTMENT" localSheetId="1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1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1">#REF!</definedName>
    <definedName name="project">#REF!</definedName>
    <definedName name="Projects" localSheetId="1">#REF!</definedName>
    <definedName name="Projects">#REF!</definedName>
    <definedName name="PROVISIONS" localSheetId="1">#REF!</definedName>
    <definedName name="PROVISIONS">#REF!</definedName>
    <definedName name="PS" localSheetId="1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1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3" hidden="1">{"'PROFITABILITY'!$A$1:$F$45"}</definedName>
    <definedName name="q" localSheetId="1" hidden="1">{"'PROFITABILITY'!$A$1:$F$45"}</definedName>
    <definedName name="q" hidden="1">{"'PROFITABILITY'!$A$1:$F$45"}</definedName>
    <definedName name="q_all" localSheetId="1">#REF!</definedName>
    <definedName name="q_all">#REF!</definedName>
    <definedName name="qar">#REF!</definedName>
    <definedName name="Qc" localSheetId="1">#REF!</definedName>
    <definedName name="Qc">#REF!</definedName>
    <definedName name="Qc___0">#REF!</definedName>
    <definedName name="Qc___13">#REF!</definedName>
    <definedName name="QC_Bajaj" localSheetId="1">#REF!</definedName>
    <definedName name="QC_Bajaj">#REF!</definedName>
    <definedName name="qder" localSheetId="1">#REF!</definedName>
    <definedName name="qder">#REF!</definedName>
    <definedName name="qegweng">#REF!</definedName>
    <definedName name="Qf" localSheetId="1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 localSheetId="1">#REF!</definedName>
    <definedName name="QFC_AUDh">#REF!</definedName>
    <definedName name="QFC_AUDs" localSheetId="1">#REF!</definedName>
    <definedName name="QFC_AUDs">#REF!</definedName>
    <definedName name="QFC_AUDspa" localSheetId="1">#REF!</definedName>
    <definedName name="QFC_AUDspa">#REF!</definedName>
    <definedName name="QFC_BO" localSheetId="1">#REF!</definedName>
    <definedName name="QFC_BO">#REF!</definedName>
    <definedName name="QFC_DEMh" localSheetId="1">#REF!</definedName>
    <definedName name="QFC_DEMh">#REF!</definedName>
    <definedName name="QFC_DEMs" localSheetId="1">#REF!</definedName>
    <definedName name="QFC_DEMs">#REF!</definedName>
    <definedName name="QFC_DEMspa" localSheetId="1">#REF!</definedName>
    <definedName name="QFC_DEMspa">#REF!</definedName>
    <definedName name="QFC_FIMh" localSheetId="1">#REF!</definedName>
    <definedName name="QFC_FIMh">#REF!</definedName>
    <definedName name="QFC_FIMs" localSheetId="1">#REF!</definedName>
    <definedName name="QFC_FIMs">#REF!</definedName>
    <definedName name="QFC_FIMspa" localSheetId="1">#REF!</definedName>
    <definedName name="QFC_FIMspa">#REF!</definedName>
    <definedName name="QFC_FIs" localSheetId="1">#REF!</definedName>
    <definedName name="QFC_FIs">#REF!</definedName>
    <definedName name="QFC_NOKh" localSheetId="1">#REF!</definedName>
    <definedName name="QFC_NOKh">#REF!</definedName>
    <definedName name="QFC_NOKs" localSheetId="1">#REF!</definedName>
    <definedName name="QFC_NOKs">#REF!</definedName>
    <definedName name="QFC_NOKspa" localSheetId="1">#REF!</definedName>
    <definedName name="QFC_NOKspa">#REF!</definedName>
    <definedName name="QFC_OWN" localSheetId="1">#REF!</definedName>
    <definedName name="QFC_OWN">#REF!</definedName>
    <definedName name="qfc_s00" localSheetId="1">#REF!</definedName>
    <definedName name="qfc_s00">#REF!</definedName>
    <definedName name="QFC_S01" localSheetId="1">#REF!</definedName>
    <definedName name="QFC_S01">#REF!</definedName>
    <definedName name="QFC_S02" localSheetId="1">#REF!</definedName>
    <definedName name="QFC_S02">#REF!</definedName>
    <definedName name="QFC_S03" localSheetId="1">#REF!</definedName>
    <definedName name="QFC_S03">#REF!</definedName>
    <definedName name="qfc_s98" localSheetId="1">#REF!</definedName>
    <definedName name="qfc_s98">#REF!</definedName>
    <definedName name="qfc_s99" localSheetId="1">#REF!</definedName>
    <definedName name="qfc_s99">#REF!</definedName>
    <definedName name="QFC_SEKh" localSheetId="1">#REF!</definedName>
    <definedName name="QFC_SEKh">#REF!</definedName>
    <definedName name="QFC_SEKs" localSheetId="1">#REF!</definedName>
    <definedName name="QFC_SEKs">#REF!</definedName>
    <definedName name="QFC_SFRh" localSheetId="1">#REF!</definedName>
    <definedName name="QFC_SFRh">#REF!</definedName>
    <definedName name="QFC_SFRs" localSheetId="1">#REF!</definedName>
    <definedName name="QFC_SFRs">#REF!</definedName>
    <definedName name="QFC_SPC" localSheetId="1">#REF!</definedName>
    <definedName name="QFC_SPC">#REF!</definedName>
    <definedName name="QFC_TR" localSheetId="1">#REF!</definedName>
    <definedName name="QFC_TR">#REF!</definedName>
    <definedName name="QFC_UKPh" localSheetId="1">#REF!</definedName>
    <definedName name="QFC_UKPh">#REF!</definedName>
    <definedName name="QFC_UKPs" localSheetId="1">#REF!</definedName>
    <definedName name="QFC_UKPs">#REF!</definedName>
    <definedName name="QFC_USDh" localSheetId="1">#REF!</definedName>
    <definedName name="QFC_USDh">#REF!</definedName>
    <definedName name="QFC_USDs" localSheetId="1">#REF!</definedName>
    <definedName name="QFC_USDs">#REF!</definedName>
    <definedName name="QFC_USDspa" localSheetId="1">#REF!</definedName>
    <definedName name="QFC_USDspa">#REF!</definedName>
    <definedName name="Qi" localSheetId="1">#REF!</definedName>
    <definedName name="Qi">#REF!</definedName>
    <definedName name="Qi___0">#REF!</definedName>
    <definedName name="Qi___13">#REF!</definedName>
    <definedName name="Ql" localSheetId="1">#REF!</definedName>
    <definedName name="Ql">#REF!</definedName>
    <definedName name="Ql___0">#REF!</definedName>
    <definedName name="Ql___13">#REF!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1">#REF!</definedName>
    <definedName name="qryEqptOrdDelyETAProfile_byConstrMgr">#REF!</definedName>
    <definedName name="qryEqptOrdPODelProfile_ByConstrMgr" localSheetId="1">#REF!</definedName>
    <definedName name="qryEqptOrdPODelProfile_ByConstrMgr">#REF!</definedName>
    <definedName name="qryMonitorIP_9SpecialByContractToXLS" localSheetId="1">#REF!</definedName>
    <definedName name="qryMonitorIP_9SpecialByContractToXLS">#REF!</definedName>
    <definedName name="Qspan" localSheetId="1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3" hidden="1">{"'PROFITABILITY'!$A$1:$F$45"}</definedName>
    <definedName name="qw" localSheetId="1" hidden="1">{"'PROFITABILITY'!$A$1:$F$45"}</definedName>
    <definedName name="qw" hidden="1">{"'PROFITABILITY'!$A$1:$F$45"}</definedName>
    <definedName name="qwer" localSheetId="1">#REF!</definedName>
    <definedName name="qwer">#REF!</definedName>
    <definedName name="QWEWEQ">#REF!</definedName>
    <definedName name="QWMKS" localSheetId="1">#REF!</definedName>
    <definedName name="QWMKS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hidden="1">{"'Sheet1'!$A$4386:$N$4591"}</definedName>
    <definedName name="Rac">#REF!</definedName>
    <definedName name="Radio" localSheetId="3" hidden="1">{"'PROFITABILITY'!$A$1:$F$45"}</definedName>
    <definedName name="Radio" localSheetId="1" hidden="1">{"'PROFITABILITY'!$A$1:$F$45"}</definedName>
    <definedName name="Radio" hidden="1">{"'PROFITABILITY'!$A$1:$F$45"}</definedName>
    <definedName name="raghu" localSheetId="1">#REF!</definedName>
    <definedName name="raghu">#REF!</definedName>
    <definedName name="Rahul">#REF!</definedName>
    <definedName name="Rahul1">#REF!</definedName>
    <definedName name="RAIL">#REF!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1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_xlnm.Recorder" localSheetId="1">#REF!</definedName>
    <definedName name="_xlnm.Recorder">#REF!</definedName>
    <definedName name="Recorder1">#REF!</definedName>
    <definedName name="rect_4_415">#REF!</definedName>
    <definedName name="redmdn" localSheetId="1">#REF!</definedName>
    <definedName name="redmdn">#REF!</definedName>
    <definedName name="Reduction_of_Outpatient_ratios">#REF!,#REF!,#REF!</definedName>
    <definedName name="REE">#REF!</definedName>
    <definedName name="Ref__EUS_632_FDN_001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1">#REF!</definedName>
    <definedName name="RENT">#REF!</definedName>
    <definedName name="Repairs" localSheetId="1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">#REF!</definedName>
    <definedName name="Retail_Disc">#REF!</definedName>
    <definedName name="Rev" localSheetId="1">#REF!</definedName>
    <definedName name="Rev">#REF!</definedName>
    <definedName name="REVENUE_MODEL" localSheetId="1">#REF!</definedName>
    <definedName name="REVENUE_MODEL">#REF!</definedName>
    <definedName name="Revision">#REF!</definedName>
    <definedName name="REVSTATUS" localSheetId="1">#REF!</definedName>
    <definedName name="REVSTATUS">#REF!</definedName>
    <definedName name="revstatuspage1" localSheetId="1">#REF!</definedName>
    <definedName name="revstatuspage1">#REF!</definedName>
    <definedName name="revstatuspage2" localSheetId="1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1">#REF!</definedName>
    <definedName name="Rg">#REF!</definedName>
    <definedName name="rgns">#REF!</definedName>
    <definedName name="rgs" localSheetId="1">#REF!</definedName>
    <definedName name="rgs">#REF!</definedName>
    <definedName name="rho">#REF!</definedName>
    <definedName name="rig">#REF!</definedName>
    <definedName name="rishraetc" localSheetId="1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hidden="1">{"'PROFITABILITY'!$A$1:$F$45"}</definedName>
    <definedName name="rjrjj" hidden="1">{"'PROFITABILITY'!$A$1:$F$45"}</definedName>
    <definedName name="Rl" localSheetId="1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1">#REF!</definedName>
    <definedName name="Roxy">#REF!</definedName>
    <definedName name="rqf" localSheetId="1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1">#REF!</definedName>
    <definedName name="Rs">#REF!</definedName>
    <definedName name="Rs___0">#REF!</definedName>
    <definedName name="Rs___13">#REF!</definedName>
    <definedName name="rsat" localSheetId="1">#REF!</definedName>
    <definedName name="rsat">#REF!</definedName>
    <definedName name="Rse" localSheetId="1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hidden="1">{"'PROFITABILITY'!$A$1:$F$45"}</definedName>
    <definedName name="rttqv" localSheetId="1">#REF!</definedName>
    <definedName name="rttqv">#REF!</definedName>
    <definedName name="rttrt" hidden="1">{"form-D1",#N/A,FALSE,"FORM-D1";"form-D1_amt",#N/A,FALSE,"FORM-D1"}</definedName>
    <definedName name="RTU1_AI" localSheetId="1">#REF!</definedName>
    <definedName name="RTU1_AI">#REF!</definedName>
    <definedName name="RTU1_DI" localSheetId="1">#REF!</definedName>
    <definedName name="RTU1_DI">#REF!</definedName>
    <definedName name="RTU1_DO" localSheetId="1">#REF!</definedName>
    <definedName name="RTU1_DO">#REF!</definedName>
    <definedName name="RTU1_PC" localSheetId="1">#REF!</definedName>
    <definedName name="RTU1_PC">#REF!</definedName>
    <definedName name="RTU2_AI" localSheetId="1">#REF!</definedName>
    <definedName name="RTU2_AI">#REF!</definedName>
    <definedName name="RTU2_DI" localSheetId="1">#REF!</definedName>
    <definedName name="RTU2_DI">#REF!</definedName>
    <definedName name="RTU2_DO" localSheetId="1">#REF!</definedName>
    <definedName name="RTU2_DO">#REF!</definedName>
    <definedName name="RTU2_PC" localSheetId="1">#REF!</definedName>
    <definedName name="RTU2_PC">#REF!</definedName>
    <definedName name="rty">#REF!</definedName>
    <definedName name="Running_begin" localSheetId="1">#REF!</definedName>
    <definedName name="Running_begin">#REF!</definedName>
    <definedName name="Running_incr" localSheetId="1">#REF!</definedName>
    <definedName name="Running_incr">#REF!</definedName>
    <definedName name="RUPEES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1">#REF!</definedName>
    <definedName name="ry">#REF!</definedName>
    <definedName name="s" localSheetId="1">#REF!</definedName>
    <definedName name="s">#REF!</definedName>
    <definedName name="S_41" hidden="1">{0,0,0,0;0,#N/A,FALSE,0}</definedName>
    <definedName name="s_all" localSheetId="1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1">#REF!</definedName>
    <definedName name="Sa">#REF!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1">#REF!</definedName>
    <definedName name="SALARIES___WAGES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1">#REF!</definedName>
    <definedName name="SAP_SUMM">#REF!</definedName>
    <definedName name="sarita" localSheetId="1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1">#REF!</definedName>
    <definedName name="saz">#REF!</definedName>
    <definedName name="sb" localSheetId="1">#REF!</definedName>
    <definedName name="sb">#REF!</definedName>
    <definedName name="Sc" localSheetId="1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1">#REF!</definedName>
    <definedName name="SCIENCE">#REF!</definedName>
    <definedName name="scrb">#REF!</definedName>
    <definedName name="sd" localSheetId="1">#REF!</definedName>
    <definedName name="sd">#REF!</definedName>
    <definedName name="sda" localSheetId="1">#REF!</definedName>
    <definedName name="sda">#REF!</definedName>
    <definedName name="sdaa">#REF!</definedName>
    <definedName name="Sdate">#REF!</definedName>
    <definedName name="sdb" localSheetId="1">#REF!</definedName>
    <definedName name="sdb">#REF!</definedName>
    <definedName name="sdf" localSheetId="1">#REF!</definedName>
    <definedName name="sdf">#REF!</definedName>
    <definedName name="sdfd" localSheetId="1">#REF!</definedName>
    <definedName name="sdfd">#REF!</definedName>
    <definedName name="sdfds" hidden="1">{"'PROFITABILITY'!$A$1:$F$45"}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1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1">#REF!</definedName>
    <definedName name="sek">#REF!</definedName>
    <definedName name="SEK_C" localSheetId="1">#REF!</definedName>
    <definedName name="SEK_C">#REF!</definedName>
    <definedName name="Sel_SiteInfra_PS" localSheetId="1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1">#REF!</definedName>
    <definedName name="SEQUENCING">#REF!</definedName>
    <definedName name="SER_TAX" localSheetId="1">#REF!</definedName>
    <definedName name="SER_TAX">#REF!</definedName>
    <definedName name="Service">#REF!</definedName>
    <definedName name="ServiceTax">#REF!</definedName>
    <definedName name="SESHA_SAI_CONSTRUCTION">#REF!</definedName>
    <definedName name="SF">#REF!</definedName>
    <definedName name="sfdf">#REF!</definedName>
    <definedName name="sff" localSheetId="1">#REF!</definedName>
    <definedName name="sff">#REF!</definedName>
    <definedName name="SFR" localSheetId="1">#REF!</definedName>
    <definedName name="SFR">#REF!</definedName>
    <definedName name="sh_mod" localSheetId="1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1">#REF!</definedName>
    <definedName name="SHTA">#REF!</definedName>
    <definedName name="si">#REF!</definedName>
    <definedName name="sigma0.2" localSheetId="1">#REF!</definedName>
    <definedName name="sigma0.2">#REF!</definedName>
    <definedName name="sigma0_2">#REF!</definedName>
    <definedName name="sigmab" localSheetId="1">#REF!</definedName>
    <definedName name="sigmab">#REF!</definedName>
    <definedName name="sigmah" localSheetId="1">#REF!</definedName>
    <definedName name="sigmah">#REF!</definedName>
    <definedName name="sigmat" localSheetId="1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m" localSheetId="1">#REF!</definedName>
    <definedName name="sm">#REF!</definedName>
    <definedName name="smsb">#REF!</definedName>
    <definedName name="soh">1%</definedName>
    <definedName name="Soil">#REF!</definedName>
    <definedName name="soil_damp" localSheetId="1">#REF!</definedName>
    <definedName name="soil_damp">#REF!</definedName>
    <definedName name="soil_unitwt" localSheetId="1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1">#REF!</definedName>
    <definedName name="Source_Price">#REF!</definedName>
    <definedName name="SP">#REF!</definedName>
    <definedName name="SpacerDamper" localSheetId="3" hidden="1">{"'PROFITABILITY'!$A$1:$F$45"}</definedName>
    <definedName name="SpacerDamper" localSheetId="1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1">#REF!</definedName>
    <definedName name="SPAR">#REF!</definedName>
    <definedName name="Spare" localSheetId="3" hidden="1">{"'PROFITABILITY'!$A$1:$F$45"}</definedName>
    <definedName name="Spare" localSheetId="1" hidden="1">{"'PROFITABILITY'!$A$1:$F$45"}</definedName>
    <definedName name="Spare" hidden="1">{"'PROFITABILITY'!$A$1:$F$45"}</definedName>
    <definedName name="SpecialPrice" hidden="1">#REF!</definedName>
    <definedName name="spfactor">#REF!</definedName>
    <definedName name="Spl">#REF!</definedName>
    <definedName name="SPTNP">#REF!</definedName>
    <definedName name="Sq" localSheetId="1">#REF!</definedName>
    <definedName name="Sq">#REF!</definedName>
    <definedName name="SQRT__1___0.6___1.0" localSheetId="1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1">#REF!</definedName>
    <definedName name="Sr">#REF!</definedName>
    <definedName name="sraica">#REF!</definedName>
    <definedName name="sri">#REF!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1">#REF!</definedName>
    <definedName name="SS400_401">#REF!</definedName>
    <definedName name="ss401_404" localSheetId="1">#REF!</definedName>
    <definedName name="ss401_404">#REF!</definedName>
    <definedName name="ss405_408" localSheetId="1">#REF!</definedName>
    <definedName name="ss405_408">#REF!</definedName>
    <definedName name="SS421_422" localSheetId="1">#REF!</definedName>
    <definedName name="SS421_422">#REF!</definedName>
    <definedName name="ss421_424" localSheetId="1">#REF!</definedName>
    <definedName name="ss421_424">#REF!</definedName>
    <definedName name="ssa">#REF!</definedName>
    <definedName name="ssb">#REF!</definedName>
    <definedName name="ssf" localSheetId="1">#REF!</definedName>
    <definedName name="ssf">#REF!</definedName>
    <definedName name="ssl">#REF!</definedName>
    <definedName name="sss" localSheetId="1">#REF!</definedName>
    <definedName name="sss">#REF!</definedName>
    <definedName name="ssss" localSheetId="1">#REF!</definedName>
    <definedName name="ssss">#REF!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1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1">#REF!</definedName>
    <definedName name="STD">#REF!</definedName>
    <definedName name="steam_props">#REF!</definedName>
    <definedName name="SteelSection" localSheetId="1">#REF!</definedName>
    <definedName name="SteelSection">#REF!</definedName>
    <definedName name="stfr">#REF!</definedName>
    <definedName name="stock">#REF!</definedName>
    <definedName name="STR">#REF!</definedName>
    <definedName name="Stra" localSheetId="1">#REF!</definedName>
    <definedName name="Stra">#REF!</definedName>
    <definedName name="Strb" localSheetId="1">#REF!</definedName>
    <definedName name="Strb">#REF!</definedName>
    <definedName name="Stretch">#REF!</definedName>
    <definedName name="StrID">#REF!</definedName>
    <definedName name="Stringin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1">#REF!</definedName>
    <definedName name="Strm">#REF!</definedName>
    <definedName name="Structure" localSheetId="1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1">#REF!</definedName>
    <definedName name="substation">#REF!</definedName>
    <definedName name="SUBSTN_LST">#REF!</definedName>
    <definedName name="SUM">#REF!</definedName>
    <definedName name="SUMM">#REF!</definedName>
    <definedName name="SUMMARY" localSheetId="1">#REF!</definedName>
    <definedName name="SUMMARY">#REF!</definedName>
    <definedName name="SUMMARY_OTHER_EXPS" localSheetId="1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1">#REF!</definedName>
    <definedName name="Supplies">#REF!</definedName>
    <definedName name="Supply">#REF!</definedName>
    <definedName name="supplysch" localSheetId="1">#REF!</definedName>
    <definedName name="supplysch">#REF!</definedName>
    <definedName name="SV" hidden="1">#REF!</definedName>
    <definedName name="sw">#REF!</definedName>
    <definedName name="swd_Adl_dis" localSheetId="1">#REF!</definedName>
    <definedName name="swd_Adl_dis">#REF!</definedName>
    <definedName name="swd_cd" localSheetId="1">#REF!</definedName>
    <definedName name="swd_cd">#REF!</definedName>
    <definedName name="swd_er" localSheetId="1">#REF!</definedName>
    <definedName name="swd_er">#REF!</definedName>
    <definedName name="swd_fi" localSheetId="1">#REF!</definedName>
    <definedName name="swd_fi">#REF!</definedName>
    <definedName name="SWH">#REF!</definedName>
    <definedName name="SWH_">#REF!</definedName>
    <definedName name="t" localSheetId="1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1">#REF!</definedName>
    <definedName name="TaperedGrowth">#REF!</definedName>
    <definedName name="Target" localSheetId="1">#REF!</definedName>
    <definedName name="Target">#REF!</definedName>
    <definedName name="Tav">#REF!</definedName>
    <definedName name="TAX">#REF!</definedName>
    <definedName name="Tax_Rate" localSheetId="1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1">#REF!</definedName>
    <definedName name="Tc">#REF!</definedName>
    <definedName name="tcap">#REF!</definedName>
    <definedName name="TD">#REF!</definedName>
    <definedName name="td1__m" localSheetId="1">#REF!</definedName>
    <definedName name="td1__m">#REF!</definedName>
    <definedName name="td2__m" localSheetId="1">#REF!</definedName>
    <definedName name="td2__m">#REF!</definedName>
    <definedName name="TDosCountries" localSheetId="1">#REF!</definedName>
    <definedName name="TDosCountries">#REF!</definedName>
    <definedName name="te">#REF!</definedName>
    <definedName name="TEAMS" localSheetId="1">#REF!</definedName>
    <definedName name="TEAMS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1">#REF!</definedName>
    <definedName name="tempcoeff">#REF!</definedName>
    <definedName name="Tension" localSheetId="1">#REF!</definedName>
    <definedName name="Tension">#REF!</definedName>
    <definedName name="ter_vapi">#REF!</definedName>
    <definedName name="TERM">#REF!</definedName>
    <definedName name="TEs" localSheetId="1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1">#REF!</definedName>
    <definedName name="TEST0">#REF!</definedName>
    <definedName name="TEST1" localSheetId="1">#REF!</definedName>
    <definedName name="TEST1">#REF!</definedName>
    <definedName name="TEST10" localSheetId="1">#REF!</definedName>
    <definedName name="TEST10">#REF!</definedName>
    <definedName name="TEST11" localSheetId="1">#REF!</definedName>
    <definedName name="TEST11">#REF!</definedName>
    <definedName name="TEST12" localSheetId="1">#REF!</definedName>
    <definedName name="TEST12">#REF!</definedName>
    <definedName name="TEST13" localSheetId="1">#REF!</definedName>
    <definedName name="TEST13">#REF!</definedName>
    <definedName name="TEST14" localSheetId="1">#REF!</definedName>
    <definedName name="TEST14">#REF!</definedName>
    <definedName name="TEST2" localSheetId="1">#REF!</definedName>
    <definedName name="TEST2">#REF!</definedName>
    <definedName name="TEST3" localSheetId="1">#REF!</definedName>
    <definedName name="TEST3">#REF!</definedName>
    <definedName name="TEST4" localSheetId="1">#REF!</definedName>
    <definedName name="TEST4">#REF!</definedName>
    <definedName name="TEST5" localSheetId="1">#REF!</definedName>
    <definedName name="TEST5">#REF!</definedName>
    <definedName name="TEST6" localSheetId="1">#REF!</definedName>
    <definedName name="TEST6">#REF!</definedName>
    <definedName name="TEST7" localSheetId="1">#REF!</definedName>
    <definedName name="TEST7">#REF!</definedName>
    <definedName name="TEST8" localSheetId="1">#REF!</definedName>
    <definedName name="TEST8">#REF!</definedName>
    <definedName name="TEST9" localSheetId="1">#REF!</definedName>
    <definedName name="TEST9">#REF!</definedName>
    <definedName name="TESTHKEY" localSheetId="1">#REF!</definedName>
    <definedName name="TESTHKEY">#REF!</definedName>
    <definedName name="TESTKEYS" localSheetId="1">#REF!</definedName>
    <definedName name="TESTKEYS">#REF!</definedName>
    <definedName name="TESTVKEY" localSheetId="1">#REF!</definedName>
    <definedName name="TESTVKEY">#REF!</definedName>
    <definedName name="TEt" localSheetId="1">#REF!</definedName>
    <definedName name="TEt">#REF!</definedName>
    <definedName name="TEt___0">#REF!</definedName>
    <definedName name="TEt___13">#REF!</definedName>
    <definedName name="Tf" localSheetId="1">#REF!</definedName>
    <definedName name="Tf">#REF!</definedName>
    <definedName name="Tfc">#REF!</definedName>
    <definedName name="Tfd">#REF!</definedName>
    <definedName name="th">#REF!</definedName>
    <definedName name="theta" localSheetId="1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1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">#REF!</definedName>
    <definedName name="TMACountries">#REF!</definedName>
    <definedName name="TMD">#REF!</definedName>
    <definedName name="TNEB">#REF!</definedName>
    <definedName name="TNEBJSR" localSheetId="1">#REF!</definedName>
    <definedName name="TNEBJSR">#REF!</definedName>
    <definedName name="ToE_MATRIX">#REF!</definedName>
    <definedName name="tol">#REF!</definedName>
    <definedName name="top_ser" localSheetId="1">#REF!</definedName>
    <definedName name="top_ser">#REF!</definedName>
    <definedName name="TOP_SUP" localSheetId="1">#REF!</definedName>
    <definedName name="TOP_SUP">#REF!</definedName>
    <definedName name="topl">#REF!</definedName>
    <definedName name="topn">#REF!</definedName>
    <definedName name="TorrentDossier" localSheetId="1">#REF!</definedName>
    <definedName name="TorrentDossier">#REF!</definedName>
    <definedName name="TorrentMA" localSheetId="1">#REF!</definedName>
    <definedName name="TorrentMA">#REF!</definedName>
    <definedName name="TOT_ST">#REF!</definedName>
    <definedName name="tot_wt" localSheetId="1">#REF!</definedName>
    <definedName name="tot_wt">#REF!</definedName>
    <definedName name="total" localSheetId="1">#REF!</definedName>
    <definedName name="total">#REF!</definedName>
    <definedName name="Total_EB" localSheetId="1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1">#REF!</definedName>
    <definedName name="totalmc">#REF!</definedName>
    <definedName name="totalmc1" localSheetId="1">#REF!</definedName>
    <definedName name="totalmc1">#REF!</definedName>
    <definedName name="tower" localSheetId="3" hidden="1">{"'PROFITABILITY'!$A$1:$F$45"}</definedName>
    <definedName name="tower" localSheetId="1" hidden="1">{"'PROFITABILITY'!$A$1:$F$45"}</definedName>
    <definedName name="tower" hidden="1">{"'PROFITABILITY'!$A$1:$F$45"}</definedName>
    <definedName name="tower400">#REF!</definedName>
    <definedName name="towercosting" localSheetId="3" hidden="1">{"'PROFITABILITY'!$A$1:$F$45"}</definedName>
    <definedName name="towercosting" localSheetId="1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1">#REF!</definedName>
    <definedName name="tp">#REF!</definedName>
    <definedName name="tr">#N/A</definedName>
    <definedName name="tr0">#REF!</definedName>
    <definedName name="TRANS">#REF!</definedName>
    <definedName name="transformer" localSheetId="3" hidden="1">{"'PROFITABILITY'!$A$1:$F$45"}</definedName>
    <definedName name="transformer" localSheetId="1" hidden="1">{"'PROFITABILITY'!$A$1:$F$45"}</definedName>
    <definedName name="transformer" hidden="1">{"'PROFITABILITY'!$A$1:$F$45"}</definedName>
    <definedName name="tree" hidden="1">{"'TP-SUMMARY'!$I$11:$K$11"}</definedName>
    <definedName name="Tres">#REF!</definedName>
    <definedName name="tres4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1">#REF!</definedName>
    <definedName name="Trusts">#REF!</definedName>
    <definedName name="TrustUnderlyingDeficitScenarios" localSheetId="1">#REF!</definedName>
    <definedName name="TrustUnderlyingDeficitScenarios">#REF!</definedName>
    <definedName name="try">#REF!</definedName>
    <definedName name="tS" localSheetId="1">#REF!</definedName>
    <definedName name="tS">#REF!</definedName>
    <definedName name="tS___0">#REF!</definedName>
    <definedName name="tS___13">#REF!</definedName>
    <definedName name="ts1__m" localSheetId="1">#REF!</definedName>
    <definedName name="ts1__m">#REF!</definedName>
    <definedName name="ts2__m" localSheetId="1">#REF!</definedName>
    <definedName name="ts2__m">#REF!</definedName>
    <definedName name="tst">#REF!</definedName>
    <definedName name="tt" localSheetId="1">#REF!</definedName>
    <definedName name="tt">#REF!</definedName>
    <definedName name="ttrrr">#REF!</definedName>
    <definedName name="ttt" localSheetId="1">#REF!</definedName>
    <definedName name="ttt">#REF!</definedName>
    <definedName name="ttttrrrrrrrr">#REF!</definedName>
    <definedName name="TUES1">#REF!</definedName>
    <definedName name="Tv">#REF!</definedName>
    <definedName name="Tva" localSheetId="1">#REF!</definedName>
    <definedName name="Tva">#REF!</definedName>
    <definedName name="Tvb" localSheetId="1">#REF!</definedName>
    <definedName name="Tvb">#REF!</definedName>
    <definedName name="tvtv">#REF!</definedName>
    <definedName name="tw">#REF!</definedName>
    <definedName name="twer">#REF!</definedName>
    <definedName name="tyjyj" hidden="1">{"'PROFITABILITY'!$A$1:$F$45"}</definedName>
    <definedName name="typeofbidder" localSheetId="1">#REF!</definedName>
    <definedName name="typeofbidder">#REF!</definedName>
    <definedName name="u">#REF!</definedName>
    <definedName name="ueber">#REF!</definedName>
    <definedName name="uifsyi">#REF!</definedName>
    <definedName name="UKP" localSheetId="1">#REF!</definedName>
    <definedName name="UKP">#REF!</definedName>
    <definedName name="UMD">#REF!</definedName>
    <definedName name="un">#REF!</definedName>
    <definedName name="unit">#REF!</definedName>
    <definedName name="UNIT_PRICE_SCHEDULE" localSheetId="1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iversalRestriction" localSheetId="1">#REF!</definedName>
    <definedName name="UniversalRestriction">#REF!</definedName>
    <definedName name="Uo">#REF!</definedName>
    <definedName name="UPTAKECURVE" localSheetId="1">#REF!</definedName>
    <definedName name="UPTAKECURVE">#REF!</definedName>
    <definedName name="us_cd" localSheetId="1">#REF!</definedName>
    <definedName name="us_cd">#REF!</definedName>
    <definedName name="us_er" localSheetId="1">#REF!</definedName>
    <definedName name="us_er">#REF!</definedName>
    <definedName name="us_fi" localSheetId="1">#REF!</definedName>
    <definedName name="us_fi">#REF!</definedName>
    <definedName name="us_n" localSheetId="1">#REF!</definedName>
    <definedName name="us_n">#REF!</definedName>
    <definedName name="USD" localSheetId="1">#REF!</definedName>
    <definedName name="USD">#REF!</definedName>
    <definedName name="USD_to_INR">#REF!</definedName>
    <definedName name="Ut">#REF!</definedName>
    <definedName name="uuu" localSheetId="1">#REF!</definedName>
    <definedName name="uuu">#REF!</definedName>
    <definedName name="v" localSheetId="1">#REF!</definedName>
    <definedName name="v">#REF!</definedName>
    <definedName name="va" localSheetId="1">#REF!</definedName>
    <definedName name="va">#REF!</definedName>
    <definedName name="va___0">#REF!</definedName>
    <definedName name="va___13">#REF!</definedName>
    <definedName name="vaa">#REF!</definedName>
    <definedName name="VALUECAGR" localSheetId="1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1">#REF!</definedName>
    <definedName name="Var._IGP_M_Dez_00">#REF!</definedName>
    <definedName name="VAT" localSheetId="1">#REF!</definedName>
    <definedName name="VAT">#REF!</definedName>
    <definedName name="VB" localSheetId="1">#REF!</definedName>
    <definedName name="VB">#REF!</definedName>
    <definedName name="Vc">#REF!</definedName>
    <definedName name="Vc0">#REF!</definedName>
    <definedName name="vcp" localSheetId="1">#REF!</definedName>
    <definedName name="vcp">#REF!</definedName>
    <definedName name="VD" localSheetId="1">#REF!</definedName>
    <definedName name="VD">#REF!</definedName>
    <definedName name="Vdes">#REF!</definedName>
    <definedName name="vea">#REF!</definedName>
    <definedName name="VELOKAL">#REF!</definedName>
    <definedName name="Vend" localSheetId="1">#REF!</definedName>
    <definedName name="Vend">#REF!</definedName>
    <definedName name="vertical_col_and_corner_walls">#REF!</definedName>
    <definedName name="VESWH">#REF!</definedName>
    <definedName name="Vf" localSheetId="1">#REF!</definedName>
    <definedName name="Vf">#REF!</definedName>
    <definedName name="Vfour">#REF!</definedName>
    <definedName name="vfourc">#REF!</definedName>
    <definedName name="vgchjgiulhviguihij">#REF!</definedName>
    <definedName name="vggfd" hidden="1">{"'Sheet1'!$A$4386:$N$4591"}</definedName>
    <definedName name="vij">#REF!</definedName>
    <definedName name="VIJAY">#REF!</definedName>
    <definedName name="vir" localSheetId="1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1">#REF!</definedName>
    <definedName name="Vol">#REF!</definedName>
    <definedName name="VOLUMECAGRS" localSheetId="1">#REF!</definedName>
    <definedName name="VOLUMECAGRS">#REF!</definedName>
    <definedName name="VOLUMEGROWTH" localSheetId="1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hidden="1">{"'PROFITABILITY'!$A$1:$F$45"}</definedName>
    <definedName name="Vsigma" localSheetId="1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1">#REF!</definedName>
    <definedName name="vv">#REF!</definedName>
    <definedName name="VVA" localSheetId="1">#REF!</definedName>
    <definedName name="VVA">#REF!</definedName>
    <definedName name="vvhj" localSheetId="1">#REF!</definedName>
    <definedName name="vvhj">#REF!</definedName>
    <definedName name="vvv">#REF!</definedName>
    <definedName name="VVVV">#REF!</definedName>
    <definedName name="Vz" localSheetId="1">#REF!</definedName>
    <definedName name="Vz">#REF!</definedName>
    <definedName name="W" localSheetId="1">#REF!</definedName>
    <definedName name="W">#REF!</definedName>
    <definedName name="w1_w2">#REF!</definedName>
    <definedName name="WACC" localSheetId="1">#REF!</definedName>
    <definedName name="WACC">#REF!</definedName>
    <definedName name="WAHAB_ALI">#REF!</definedName>
    <definedName name="Waiting">"Picture 1"</definedName>
    <definedName name="water_funds" hidden="1">{"'Sheet1'!$A$4386:$N$4591"}</definedName>
    <definedName name="Waves">#REF!</definedName>
    <definedName name="Wc">#REF!</definedName>
    <definedName name="wcl" localSheetId="1">#REF!</definedName>
    <definedName name="wcl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hidden="1">{"form-D1",#N/A,FALSE,"FORM-D1";"form-D1_amt",#N/A,FALSE,"FORM-D1"}</definedName>
    <definedName name="wertt" localSheetId="3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1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1">#REF!</definedName>
    <definedName name="Winform">#REF!</definedName>
    <definedName name="WKS">#REF!</definedName>
    <definedName name="WLP">#REF!</definedName>
    <definedName name="women">#REF!</definedName>
    <definedName name="wordings" localSheetId="1">#REF!</definedName>
    <definedName name="wordings">#REF!</definedName>
    <definedName name="work">#REF!</definedName>
    <definedName name="WP" localSheetId="1">#REF!</definedName>
    <definedName name="WP">#REF!</definedName>
    <definedName name="Wq" localSheetId="1">#REF!</definedName>
    <definedName name="Wq">#REF!</definedName>
    <definedName name="WQEW">#REF!</definedName>
    <definedName name="wqewe">#REF!</definedName>
    <definedName name="wqwrwrqwrqr">#REF!</definedName>
    <definedName name="Wr" localSheetId="1">#REF!</definedName>
    <definedName name="Wr">#REF!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budget." hidden="1">{"form-D1",#N/A,FALSE,"FORM-D1";"form-D1_amt",#N/A,FALSE,"FORM-D1"}</definedName>
    <definedName name="wrn.Co." hidden="1">{#N/A,#N/A,TRUE,"GW-Cond";#N/A,#N/A,TRUE,"HW"}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T" localSheetId="1">#REF!</definedName>
    <definedName name="WT">#REF!</definedName>
    <definedName name="wt.m">#REF!</definedName>
    <definedName name="wu">#REF!</definedName>
    <definedName name="ww" localSheetId="3" hidden="1">{"'PROFITABILITY'!$A$1:$F$45"}</definedName>
    <definedName name="ww" localSheetId="1" hidden="1">{"'PROFITABILITY'!$A$1:$F$45"}</definedName>
    <definedName name="ww" hidden="1">{"'PROFITABILITY'!$A$1:$F$45"}</definedName>
    <definedName name="www">#REF!</definedName>
    <definedName name="wwww">#REF!</definedName>
    <definedName name="x" localSheetId="1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l" localSheetId="1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1">#REF!</definedName>
    <definedName name="xu">#REF!</definedName>
    <definedName name="xulimit" localSheetId="1">#REF!</definedName>
    <definedName name="xulimit">#REF!</definedName>
    <definedName name="xx">#REF!</definedName>
    <definedName name="xxh02">#REF!</definedName>
    <definedName name="xxh03">#REF!</definedName>
    <definedName name="xxx" localSheetId="3">#N/A</definedName>
    <definedName name="xxx" localSheetId="1">'Stringing Compiled'!xxx</definedName>
    <definedName name="xxx">[0]!xxx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1">#REF!</definedName>
    <definedName name="yyy">#REF!</definedName>
    <definedName name="yyy1" hidden="1">{"'PROFITABILITY'!$A$1:$F$45"}</definedName>
    <definedName name="z" localSheetId="1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1">#REF!</definedName>
    <definedName name="zl">#REF!</definedName>
    <definedName name="zl___0">#REF!</definedName>
    <definedName name="zl___13">#REF!</definedName>
    <definedName name="zlpu" localSheetId="1">#REF!</definedName>
    <definedName name="zlpu">#REF!</definedName>
    <definedName name="zlpu___0">#REF!</definedName>
    <definedName name="zlpu___13">#REF!</definedName>
    <definedName name="ZM">#REF!</definedName>
    <definedName name="Zpe" localSheetId="1">#REF!</definedName>
    <definedName name="Zpe">#REF!</definedName>
    <definedName name="zs" localSheetId="1">#REF!</definedName>
    <definedName name="zs">#REF!</definedName>
    <definedName name="zs___0">#REF!</definedName>
    <definedName name="zs___13">#REF!</definedName>
    <definedName name="zspu" localSheetId="1">#REF!</definedName>
    <definedName name="zspu">#REF!</definedName>
    <definedName name="zspu___0">#REF!</definedName>
    <definedName name="zspu___13">#REF!</definedName>
    <definedName name="ZSS" localSheetId="1">#REF!</definedName>
    <definedName name="ZSS">#REF!</definedName>
    <definedName name="ZSS___0">#REF!</definedName>
    <definedName name="ZSS___13">#REF!</definedName>
    <definedName name="ztpu" localSheetId="1">#REF!</definedName>
    <definedName name="ztpu">#REF!</definedName>
    <definedName name="ztpu___0">#REF!</definedName>
    <definedName name="ztpu___13">#REF!</definedName>
    <definedName name="zUI228">#REF!</definedName>
    <definedName name="Zxc" localSheetId="1">#REF!</definedName>
    <definedName name="Zxc">#REF!</definedName>
    <definedName name="ZY" localSheetId="1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4" i="63" l="1"/>
  <c r="L181" i="30"/>
  <c r="F93" i="63"/>
  <c r="L180" i="30"/>
  <c r="P180" i="30"/>
  <c r="F92" i="63"/>
  <c r="F91" i="63"/>
  <c r="F90" i="63"/>
  <c r="F89" i="63"/>
  <c r="F88" i="63"/>
  <c r="F87" i="63"/>
  <c r="F86" i="63"/>
  <c r="F85" i="63"/>
  <c r="F83" i="63"/>
  <c r="F81" i="63"/>
  <c r="F84" i="63"/>
  <c r="F82" i="63"/>
  <c r="F78" i="63"/>
  <c r="F80" i="63"/>
  <c r="F77" i="63"/>
  <c r="F79" i="63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M16" i="68" l="1"/>
  <c r="L16" i="68"/>
  <c r="M15" i="68"/>
  <c r="L15" i="68"/>
  <c r="D2" i="68" l="1"/>
  <c r="M14" i="68" l="1"/>
  <c r="L14" i="68"/>
  <c r="M13" i="68" l="1"/>
  <c r="L13" i="68"/>
  <c r="F1" i="69"/>
  <c r="A6" i="68" l="1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P8" i="68" l="1"/>
</calcChain>
</file>

<file path=xl/sharedStrings.xml><?xml version="1.0" encoding="utf-8"?>
<sst xmlns="http://schemas.openxmlformats.org/spreadsheetml/2006/main" count="3122" uniqueCount="592">
  <si>
    <t>118/0</t>
  </si>
  <si>
    <t>119/0</t>
  </si>
  <si>
    <t>120/0</t>
  </si>
  <si>
    <t>121/0</t>
  </si>
  <si>
    <t>124/0</t>
  </si>
  <si>
    <t>126/0</t>
  </si>
  <si>
    <t>129/0</t>
  </si>
  <si>
    <t>130/0</t>
  </si>
  <si>
    <t>131/0</t>
  </si>
  <si>
    <t>132/0</t>
  </si>
  <si>
    <t>135/0</t>
  </si>
  <si>
    <t>137/0</t>
  </si>
  <si>
    <t>140/0</t>
  </si>
  <si>
    <t>144/0</t>
  </si>
  <si>
    <t>147/0</t>
  </si>
  <si>
    <t>148/0</t>
  </si>
  <si>
    <t>150/0</t>
  </si>
  <si>
    <t>153/0</t>
  </si>
  <si>
    <t>162/0</t>
  </si>
  <si>
    <t>166/0</t>
  </si>
  <si>
    <t>169/0</t>
  </si>
  <si>
    <t>171/0</t>
  </si>
  <si>
    <t>172/0</t>
  </si>
  <si>
    <t>172/1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</si>
  <si>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</si>
  <si>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</si>
  <si>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</si>
  <si>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</si>
  <si>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</si>
  <si>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</si>
  <si>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</si>
  <si>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</si>
  <si>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</si>
  <si>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</si>
  <si>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</si>
  <si>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</si>
  <si>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</si>
  <si>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</si>
  <si>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</si>
  <si>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</si>
  <si>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250/0</t>
  </si>
  <si>
    <t>251/0</t>
  </si>
  <si>
    <t>252/0</t>
  </si>
  <si>
    <t>WIP</t>
  </si>
  <si>
    <t>Excavation</t>
  </si>
  <si>
    <t>Paying Out</t>
  </si>
  <si>
    <t>Final Sag</t>
  </si>
  <si>
    <t>Sl. No.</t>
  </si>
  <si>
    <t>Status</t>
  </si>
  <si>
    <t>Completed</t>
  </si>
  <si>
    <t>Tower Type</t>
  </si>
  <si>
    <t>Start Date</t>
  </si>
  <si>
    <t>End Date</t>
  </si>
  <si>
    <t>Type of Tower</t>
  </si>
  <si>
    <t>Remarks</t>
  </si>
  <si>
    <t>Location No.</t>
  </si>
  <si>
    <t>Classification</t>
  </si>
  <si>
    <t>248/1</t>
  </si>
  <si>
    <t>248/2</t>
  </si>
  <si>
    <t>249/0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</si>
  <si>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</si>
  <si>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</si>
  <si>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</si>
  <si>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</si>
  <si>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</si>
  <si>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</si>
  <si>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</si>
  <si>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</si>
  <si>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</si>
  <si>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</si>
  <si>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</si>
  <si>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</si>
  <si>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</si>
  <si>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Todays Status</t>
  </si>
  <si>
    <t>Manpower</t>
  </si>
  <si>
    <t>P/O Completed</t>
  </si>
  <si>
    <t>F/S Completed</t>
  </si>
  <si>
    <t>Engaged Date</t>
  </si>
  <si>
    <t>Hindarnce Days</t>
  </si>
  <si>
    <t>VNTL Stringing</t>
  </si>
  <si>
    <t>121/5</t>
  </si>
  <si>
    <t>121/4</t>
  </si>
  <si>
    <t>121/2</t>
  </si>
  <si>
    <t>121/6</t>
  </si>
  <si>
    <t>121/7</t>
  </si>
  <si>
    <t>121/1</t>
  </si>
  <si>
    <t>136/1</t>
  </si>
  <si>
    <t>121/9</t>
  </si>
  <si>
    <t>124/1</t>
  </si>
  <si>
    <t>121/10</t>
  </si>
  <si>
    <t>145/7</t>
  </si>
  <si>
    <t>126/2</t>
  </si>
  <si>
    <t>180/2</t>
  </si>
  <si>
    <t>165/7</t>
  </si>
  <si>
    <t>ROW</t>
  </si>
  <si>
    <t>117/0</t>
  </si>
  <si>
    <t>125/0</t>
  </si>
  <si>
    <t>127/0</t>
  </si>
  <si>
    <t>127/1</t>
  </si>
  <si>
    <t>127/2</t>
  </si>
  <si>
    <t>128/0</t>
  </si>
  <si>
    <t>132/2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</si>
  <si>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</si>
  <si>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</si>
  <si>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</si>
  <si>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</si>
  <si>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</si>
  <si>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</si>
  <si>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</si>
  <si>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</si>
  <si>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</si>
  <si>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</si>
  <si>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</si>
  <si>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</si>
  <si>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142/0</t>
  </si>
  <si>
    <t>143/0</t>
  </si>
  <si>
    <t>145/0</t>
  </si>
  <si>
    <t>148/5</t>
  </si>
  <si>
    <t>149/0</t>
  </si>
  <si>
    <t>150/1</t>
  </si>
  <si>
    <t>151/0</t>
  </si>
  <si>
    <t>152/0</t>
  </si>
  <si>
    <t>124/2</t>
  </si>
  <si>
    <t>124/3</t>
  </si>
  <si>
    <t>125/1</t>
  </si>
  <si>
    <t>125/2</t>
  </si>
  <si>
    <t>126/3</t>
  </si>
  <si>
    <t>139/3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</si>
  <si>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</si>
  <si>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</si>
  <si>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</si>
  <si>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</si>
  <si>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</si>
  <si>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</si>
  <si>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</si>
  <si>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</si>
  <si>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</si>
  <si>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165/6</t>
  </si>
  <si>
    <t>167/0</t>
  </si>
  <si>
    <t>168/0</t>
  </si>
  <si>
    <t>170/0</t>
  </si>
  <si>
    <t>173/0</t>
  </si>
  <si>
    <t>175/1</t>
  </si>
  <si>
    <t>176/0</t>
  </si>
  <si>
    <t>179/0</t>
  </si>
  <si>
    <t>180/0</t>
  </si>
  <si>
    <t>180/1</t>
  </si>
  <si>
    <t>183/0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</si>
  <si>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</si>
  <si>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</si>
  <si>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</si>
  <si>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</si>
  <si>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</si>
  <si>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</si>
  <si>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</si>
  <si>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</si>
  <si>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</si>
  <si>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</si>
  <si>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</si>
  <si>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</si>
  <si>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197/0</t>
  </si>
  <si>
    <t>199/0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</si>
  <si>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</si>
  <si>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</si>
  <si>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</si>
  <si>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</si>
  <si>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</si>
  <si>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</si>
  <si>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</si>
  <si>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</si>
  <si>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</si>
  <si>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</si>
  <si>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</si>
  <si>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</si>
  <si>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210/0</t>
  </si>
  <si>
    <t>211/0</t>
  </si>
  <si>
    <t>211/5</t>
  </si>
  <si>
    <t>212/0</t>
  </si>
  <si>
    <t>213/0</t>
  </si>
  <si>
    <t>215/0</t>
  </si>
  <si>
    <t>216/1</t>
  </si>
  <si>
    <t>216/2</t>
  </si>
  <si>
    <t>216/3</t>
  </si>
  <si>
    <t>217/0</t>
  </si>
  <si>
    <t>218/0</t>
  </si>
  <si>
    <t>219/1</t>
  </si>
  <si>
    <t>220/0</t>
  </si>
  <si>
    <t>220/1</t>
  </si>
  <si>
    <t>221/0</t>
  </si>
  <si>
    <t>222/0</t>
  </si>
  <si>
    <t>224/0</t>
  </si>
  <si>
    <t>224/1</t>
  </si>
  <si>
    <t>224/2</t>
  </si>
  <si>
    <t>225/0</t>
  </si>
  <si>
    <t>226/0</t>
  </si>
  <si>
    <t>227/0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</si>
  <si>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</si>
  <si>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</si>
  <si>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</si>
  <si>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</si>
  <si>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</si>
  <si>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</si>
  <si>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</si>
  <si>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</si>
  <si>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</si>
  <si>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</si>
  <si>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233/0</t>
  </si>
  <si>
    <t>234/0</t>
  </si>
  <si>
    <t>236/0</t>
  </si>
  <si>
    <t>237/0</t>
  </si>
  <si>
    <t>238/0</t>
  </si>
  <si>
    <t>239/0</t>
  </si>
  <si>
    <t>239/1</t>
  </si>
  <si>
    <t>240/0</t>
  </si>
  <si>
    <t>240/1</t>
  </si>
  <si>
    <t>242/0</t>
  </si>
  <si>
    <t>244/0</t>
  </si>
  <si>
    <t>245/0</t>
  </si>
  <si>
    <t>245/1</t>
  </si>
  <si>
    <t>246/0</t>
  </si>
  <si>
    <t>250A/0</t>
  </si>
  <si>
    <t>251/1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</si>
  <si>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</si>
  <si>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</si>
  <si>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</si>
  <si>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</si>
  <si>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</si>
  <si>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</si>
  <si>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</si>
  <si>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</si>
  <si>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</si>
  <si>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</si>
  <si>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</si>
  <si>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157/0</t>
  </si>
  <si>
    <t>158/0</t>
  </si>
  <si>
    <t>159/0</t>
  </si>
  <si>
    <t>174/0</t>
  </si>
  <si>
    <t>247/0</t>
  </si>
  <si>
    <t>248/0</t>
  </si>
  <si>
    <t>Location Number</t>
  </si>
  <si>
    <t>Starting Date</t>
  </si>
  <si>
    <t>Completion Date</t>
  </si>
  <si>
    <t>Gang name</t>
  </si>
  <si>
    <t>Gang Name</t>
  </si>
  <si>
    <t>151A/0</t>
  </si>
  <si>
    <t>153A/0</t>
  </si>
  <si>
    <t>163/1</t>
  </si>
  <si>
    <t>206/1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</si>
  <si>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</si>
  <si>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</si>
  <si>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</si>
  <si>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</si>
  <si>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</si>
  <si>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</si>
  <si>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</si>
  <si>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</si>
  <si>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</si>
  <si>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</si>
  <si>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</si>
  <si>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</si>
  <si>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</si>
  <si>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</si>
  <si>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</si>
  <si>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</si>
  <si>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</si>
  <si>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</si>
  <si>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</si>
  <si>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</si>
  <si>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</si>
  <si>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</si>
  <si>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</si>
  <si>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</si>
  <si>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</si>
  <si>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</si>
  <si>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</si>
  <si>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</si>
  <si>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</si>
  <si>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</si>
  <si>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</si>
  <si>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</si>
  <si>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</si>
  <si>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</si>
  <si>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</si>
  <si>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</si>
  <si>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</si>
  <si>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</si>
  <si>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</si>
  <si>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</si>
  <si>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No of Towers</t>
  </si>
  <si>
    <t>121/1-121/7</t>
  </si>
  <si>
    <t>Insulator and hardware fitting done</t>
  </si>
  <si>
    <t>2/2 done</t>
  </si>
  <si>
    <t>7/7 done</t>
  </si>
  <si>
    <t>5/5 done</t>
  </si>
  <si>
    <t>length( km)</t>
  </si>
  <si>
    <t>Gang idle due to 180/3 to 182/0 corridor area row</t>
  </si>
  <si>
    <t>183/0-184/0</t>
  </si>
  <si>
    <t>245/0-246/0</t>
  </si>
  <si>
    <t>Complete</t>
  </si>
  <si>
    <t>120/0-121/0</t>
  </si>
  <si>
    <t>198/0-199/0</t>
  </si>
  <si>
    <t>Due to ROW at 199/0 back stay arrangement not done</t>
  </si>
  <si>
    <t>3/3 Done</t>
  </si>
  <si>
    <t>Bhola Prasad+ Deepak Sarkar</t>
  </si>
  <si>
    <t>C</t>
  </si>
  <si>
    <t>Row due to 40 workers remain idle,shutdown cable 11kv removed 24-4-26</t>
  </si>
  <si>
    <t>9/9 done</t>
  </si>
  <si>
    <t>184/0-185/0</t>
  </si>
  <si>
    <t>175/0-175/1</t>
  </si>
  <si>
    <t>2/2 Done</t>
  </si>
  <si>
    <t>Location Nos.</t>
  </si>
  <si>
    <t>203A/0</t>
  </si>
  <si>
    <t>203B/0</t>
  </si>
  <si>
    <t>117/1,117/2</t>
  </si>
  <si>
    <t>Ready</t>
  </si>
  <si>
    <t>Not Ready</t>
  </si>
  <si>
    <t>Bhola prasad+ Deepak Sarkar</t>
  </si>
  <si>
    <t>Maa Singhvahini</t>
  </si>
  <si>
    <t>NA</t>
  </si>
  <si>
    <t>4/4 done</t>
  </si>
  <si>
    <t>119/1,119/2,119/3</t>
  </si>
  <si>
    <t>120/1,120/2,120/3,120/4,120/5,120/6,120/7</t>
  </si>
  <si>
    <t>121/2,121/3,121/4,121/5,121/6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</si>
  <si>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</si>
  <si>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</si>
  <si>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</si>
  <si>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</si>
  <si>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</si>
  <si>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</si>
  <si>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</si>
  <si>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</si>
  <si>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</si>
  <si>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</si>
  <si>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</si>
  <si>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</si>
  <si>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</si>
  <si>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</si>
  <si>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</si>
  <si>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</si>
  <si>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</si>
  <si>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</si>
  <si>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</si>
  <si>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</si>
  <si>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</si>
  <si>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</si>
  <si>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</si>
  <si>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</si>
  <si>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</si>
  <si>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</si>
  <si>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</si>
  <si>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</si>
  <si>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</si>
  <si>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</si>
  <si>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</si>
  <si>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</si>
  <si>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</si>
  <si>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</si>
  <si>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</si>
  <si>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</si>
  <si>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</si>
  <si>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</si>
  <si>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</si>
  <si>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177/0-178/0</t>
  </si>
  <si>
    <t>Sanjay singh 2</t>
  </si>
  <si>
    <t>Cummulative Status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</si>
  <si>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</si>
  <si>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</si>
  <si>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</si>
  <si>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</si>
  <si>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</si>
  <si>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</si>
  <si>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</si>
  <si>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</si>
  <si>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</si>
  <si>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</si>
  <si>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</si>
  <si>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</si>
  <si>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</si>
  <si>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</si>
  <si>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</si>
  <si>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</si>
  <si>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</si>
  <si>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</si>
  <si>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</si>
  <si>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</si>
  <si>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</si>
  <si>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</si>
  <si>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</si>
  <si>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</si>
  <si>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</si>
  <si>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</si>
  <si>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</si>
  <si>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</si>
  <si>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</si>
  <si>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</si>
  <si>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</si>
  <si>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</si>
  <si>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</si>
  <si>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</si>
  <si>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</si>
  <si>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</si>
  <si>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</si>
  <si>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</si>
  <si>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</si>
  <si>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</si>
  <si>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</si>
  <si>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</si>
  <si>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</si>
  <si>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</si>
  <si>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</si>
  <si>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</si>
  <si>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</si>
  <si>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</si>
  <si>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</si>
  <si>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</si>
  <si>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</si>
  <si>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</si>
  <si>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</si>
  <si>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</si>
  <si>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</si>
  <si>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</si>
  <si>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</si>
  <si>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</si>
  <si>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</si>
  <si>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</si>
  <si>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</si>
  <si>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</si>
  <si>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</si>
  <si>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</si>
  <si>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</si>
  <si>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</si>
  <si>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</si>
  <si>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</si>
  <si>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</si>
  <si>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</si>
  <si>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</si>
  <si>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</si>
  <si>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</si>
  <si>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</si>
  <si>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</si>
  <si>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</si>
  <si>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</si>
  <si>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</si>
  <si>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</si>
  <si>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</si>
  <si>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</si>
  <si>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</si>
  <si>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</si>
  <si>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</si>
  <si>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</si>
  <si>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</si>
  <si>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</si>
  <si>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</si>
  <si>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</si>
  <si>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</si>
  <si>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</si>
  <si>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</si>
  <si>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</si>
  <si>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</si>
  <si>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</si>
  <si>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</si>
  <si>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</si>
  <si>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</si>
  <si>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</si>
  <si>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</si>
  <si>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</si>
  <si>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</si>
  <si>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</si>
  <si>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</si>
  <si>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</si>
  <si>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</si>
  <si>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</si>
  <si>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</si>
  <si>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</si>
  <si>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</si>
  <si>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</si>
  <si>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</si>
  <si>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</si>
  <si>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</si>
  <si>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</si>
  <si>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</si>
  <si>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</si>
  <si>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</si>
  <si>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</si>
  <si>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</si>
  <si>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</si>
  <si>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</si>
  <si>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</si>
  <si>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</si>
  <si>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</si>
  <si>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</si>
  <si>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</si>
  <si>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</si>
  <si>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</si>
  <si>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</si>
  <si>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</si>
  <si>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</si>
  <si>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</si>
  <si>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</si>
  <si>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</si>
  <si>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</si>
  <si>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</si>
  <si>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</si>
  <si>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</si>
  <si>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</si>
  <si>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</si>
  <si>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</si>
  <si>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</si>
  <si>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</si>
  <si>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</si>
  <si>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</si>
  <si>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</si>
  <si>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</si>
  <si>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</si>
  <si>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</si>
  <si>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</si>
  <si>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</si>
  <si>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</si>
  <si>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</si>
  <si>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</si>
  <si>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</si>
  <si>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</si>
  <si>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</si>
  <si>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</si>
  <si>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</si>
  <si>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</si>
  <si>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</si>
  <si>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</si>
  <si>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</si>
  <si>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</si>
  <si>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</si>
  <si>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</si>
  <si>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</si>
  <si>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</si>
  <si>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</si>
  <si>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</si>
  <si>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</si>
  <si>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</si>
  <si>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</si>
  <si>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</si>
  <si>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67/3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</si>
  <si>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</si>
  <si>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</si>
  <si>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</si>
  <si>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</si>
  <si>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</si>
  <si>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</si>
  <si>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</si>
  <si>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</si>
  <si>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</si>
  <si>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</si>
  <si>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</si>
  <si>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</si>
  <si>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</si>
  <si>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</si>
  <si>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</si>
  <si>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</si>
  <si>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</si>
  <si>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</si>
  <si>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</si>
  <si>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</si>
  <si>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M/S Ratani Devi</t>
  </si>
  <si>
    <t xml:space="preserve">M/S Jwala </t>
  </si>
  <si>
    <t>M/s Ratani Devi</t>
  </si>
  <si>
    <t>M/s Jwala Singh</t>
  </si>
  <si>
    <t>M/s Aravali Infrastructure</t>
  </si>
  <si>
    <t>D45+3</t>
  </si>
  <si>
    <t>52/1</t>
  </si>
  <si>
    <t>55/2</t>
  </si>
  <si>
    <t>57/0</t>
  </si>
  <si>
    <t>63/3</t>
  </si>
  <si>
    <t>63/4</t>
  </si>
  <si>
    <t>65/0</t>
  </si>
  <si>
    <t>71/0</t>
  </si>
  <si>
    <t>78/0</t>
  </si>
  <si>
    <t>89/4</t>
  </si>
  <si>
    <t>110/0</t>
  </si>
  <si>
    <t>M/S Gagan Entp-3</t>
  </si>
  <si>
    <t>ROW(10/06/2026)</t>
  </si>
  <si>
    <t>M/S Jwala SIngh</t>
  </si>
  <si>
    <t>M/S Gagan Entp-2</t>
  </si>
  <si>
    <t>B+0</t>
  </si>
  <si>
    <t>C+3</t>
  </si>
  <si>
    <t>C+9</t>
  </si>
  <si>
    <t>B+3</t>
  </si>
  <si>
    <t>M/s Gagan  Entp.</t>
  </si>
  <si>
    <t>6</t>
  </si>
  <si>
    <t>M/S Jwala</t>
  </si>
  <si>
    <t>RCC WIP</t>
  </si>
  <si>
    <t>Chimney RCC Completed</t>
  </si>
  <si>
    <t>Pyramid RCC Completed Completed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</si>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</sst>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5" formatCode="[$-14009]dd/mm/yyyy;@"/>
    <numFmt numFmtId="196" formatCode="0.0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2"/>
      <name val="Book Antiqua"/>
      <family val="1"/>
    </font>
    <font>
      <sz val="10"/>
      <color rgb="FF00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3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5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7" fillId="0" borderId="0">
      <alignment vertical="top"/>
    </xf>
    <xf numFmtId="0" fontId="3" fillId="0" borderId="0"/>
    <xf numFmtId="0" fontId="7" fillId="0" borderId="0">
      <alignment vertical="top"/>
    </xf>
    <xf numFmtId="0" fontId="7" fillId="0" borderId="0">
      <alignment vertical="top"/>
    </xf>
    <xf numFmtId="0" fontId="3" fillId="0" borderId="0"/>
    <xf numFmtId="0" fontId="7" fillId="0" borderId="0">
      <alignment vertical="top"/>
    </xf>
    <xf numFmtId="0" fontId="29" fillId="0" borderId="0"/>
    <xf numFmtId="0" fontId="7" fillId="0" borderId="0">
      <alignment vertical="top"/>
    </xf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30" fillId="0" borderId="0" applyNumberFormat="0" applyFill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18" borderId="0" applyNumberFormat="0" applyBorder="0" applyAlignment="0" applyProtection="0"/>
    <xf numFmtId="0" fontId="41" fillId="21" borderId="0" applyNumberFormat="0" applyBorder="0" applyAlignment="0" applyProtection="0"/>
    <xf numFmtId="0" fontId="41" fillId="24" borderId="0" applyNumberFormat="0" applyBorder="0" applyAlignment="0" applyProtection="0"/>
    <xf numFmtId="0" fontId="42" fillId="25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9" fontId="14" fillId="0" borderId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32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1" fillId="0" borderId="0"/>
    <xf numFmtId="0" fontId="31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24" fillId="0" borderId="23">
      <protection locked="0"/>
    </xf>
    <xf numFmtId="0" fontId="43" fillId="16" borderId="0" applyNumberFormat="0" applyBorder="0" applyAlignment="0" applyProtection="0"/>
    <xf numFmtId="0" fontId="15" fillId="0" borderId="0"/>
    <xf numFmtId="188" fontId="3" fillId="0" borderId="0" applyFill="0" applyBorder="0" applyAlignment="0"/>
    <xf numFmtId="185" fontId="32" fillId="0" borderId="0" applyFill="0" applyBorder="0" applyAlignment="0"/>
    <xf numFmtId="167" fontId="32" fillId="0" borderId="0" applyFill="0" applyBorder="0" applyAlignment="0"/>
    <xf numFmtId="187" fontId="33" fillId="0" borderId="0" applyFill="0" applyBorder="0" applyAlignment="0"/>
    <xf numFmtId="176" fontId="33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2" fillId="0" borderId="0" applyFill="0" applyBorder="0" applyAlignment="0"/>
    <xf numFmtId="0" fontId="44" fillId="33" borderId="24" applyNumberFormat="0" applyAlignment="0" applyProtection="0"/>
    <xf numFmtId="0" fontId="45" fillId="34" borderId="25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2" fillId="0" borderId="0"/>
    <xf numFmtId="185" fontId="34" fillId="0" borderId="5" applyNumberFormat="0" applyBorder="0" applyAlignment="0" applyProtection="0">
      <protection locked="0"/>
    </xf>
    <xf numFmtId="185" fontId="32" fillId="0" borderId="0" applyFont="0" applyFill="0" applyBorder="0" applyAlignment="0" applyProtection="0"/>
    <xf numFmtId="170" fontId="3" fillId="0" borderId="0">
      <protection locked="0"/>
    </xf>
    <xf numFmtId="0" fontId="23" fillId="0" borderId="0">
      <protection locked="0"/>
    </xf>
    <xf numFmtId="14" fontId="7" fillId="0" borderId="0" applyFill="0" applyBorder="0" applyAlignment="0"/>
    <xf numFmtId="190" fontId="3" fillId="0" borderId="26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8" fontId="3" fillId="0" borderId="0" applyFill="0" applyBorder="0" applyAlignment="0"/>
    <xf numFmtId="185" fontId="32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2" fillId="0" borderId="0" applyFill="0" applyBorder="0" applyAlignment="0"/>
    <xf numFmtId="0" fontId="46" fillId="0" borderId="0" applyNumberFormat="0" applyFill="0" applyBorder="0" applyAlignment="0" applyProtection="0"/>
    <xf numFmtId="168" fontId="3" fillId="0" borderId="0">
      <protection locked="0"/>
    </xf>
    <xf numFmtId="0" fontId="28" fillId="35" borderId="0"/>
    <xf numFmtId="0" fontId="24" fillId="0" borderId="6" applyNumberFormat="0" applyFill="0" applyBorder="0" applyAlignment="0" applyProtection="0">
      <protection locked="0"/>
    </xf>
    <xf numFmtId="174" fontId="16" fillId="0" borderId="27">
      <alignment horizontal="right"/>
    </xf>
    <xf numFmtId="0" fontId="47" fillId="17" borderId="0" applyNumberFormat="0" applyBorder="0" applyAlignment="0" applyProtection="0"/>
    <xf numFmtId="38" fontId="13" fillId="36" borderId="0" applyNumberFormat="0" applyBorder="0" applyAlignment="0" applyProtection="0"/>
    <xf numFmtId="0" fontId="11" fillId="0" borderId="3" applyNumberFormat="0" applyAlignment="0" applyProtection="0">
      <alignment horizontal="left" vertical="center"/>
    </xf>
    <xf numFmtId="0" fontId="11" fillId="0" borderId="20">
      <alignment horizontal="left" vertical="center"/>
    </xf>
    <xf numFmtId="167" fontId="36" fillId="0" borderId="0" applyNumberFormat="0" applyFill="0" applyBorder="0" applyAlignment="0" applyProtection="0"/>
    <xf numFmtId="0" fontId="23" fillId="0" borderId="0">
      <protection locked="0"/>
    </xf>
    <xf numFmtId="0" fontId="23" fillId="0" borderId="0">
      <protection locked="0"/>
    </xf>
    <xf numFmtId="0" fontId="48" fillId="0" borderId="28" applyNumberFormat="0" applyFill="0" applyAlignment="0" applyProtection="0"/>
    <xf numFmtId="0" fontId="48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49" fillId="20" borderId="24" applyNumberFormat="0" applyAlignment="0" applyProtection="0"/>
    <xf numFmtId="10" fontId="13" fillId="37" borderId="7" applyNumberFormat="0" applyBorder="0" applyAlignment="0" applyProtection="0"/>
    <xf numFmtId="188" fontId="3" fillId="0" borderId="0" applyFill="0" applyBorder="0" applyAlignment="0"/>
    <xf numFmtId="185" fontId="32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2" fillId="0" borderId="0" applyFill="0" applyBorder="0" applyAlignment="0"/>
    <xf numFmtId="0" fontId="50" fillId="0" borderId="29" applyNumberFormat="0" applyFill="0" applyAlignment="0" applyProtection="0"/>
    <xf numFmtId="0" fontId="51" fillId="38" borderId="0" applyNumberFormat="0" applyBorder="0" applyAlignment="0" applyProtection="0"/>
    <xf numFmtId="37" fontId="18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39" borderId="30" applyNumberFormat="0" applyFont="0" applyAlignment="0" applyProtection="0"/>
    <xf numFmtId="0" fontId="52" fillId="33" borderId="31" applyNumberFormat="0" applyAlignment="0" applyProtection="0"/>
    <xf numFmtId="0" fontId="37" fillId="2" borderId="0"/>
    <xf numFmtId="9" fontId="3" fillId="0" borderId="0" applyFont="0" applyFill="0" applyBorder="0" applyAlignment="0" applyProtection="0"/>
    <xf numFmtId="176" fontId="33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 applyFont="0"/>
    <xf numFmtId="188" fontId="3" fillId="0" borderId="0" applyFill="0" applyBorder="0" applyAlignment="0"/>
    <xf numFmtId="185" fontId="32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2" fillId="0" borderId="0" applyFill="0" applyBorder="0" applyAlignment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7" fillId="0" borderId="0">
      <alignment vertical="top"/>
    </xf>
    <xf numFmtId="0" fontId="24" fillId="0" borderId="0">
      <alignment horizontal="right"/>
    </xf>
    <xf numFmtId="0" fontId="25" fillId="0" borderId="22">
      <alignment horizontal="center" vertical="top"/>
    </xf>
    <xf numFmtId="0" fontId="12" fillId="40" borderId="12">
      <alignment horizontal="left" vertical="top" wrapText="1"/>
    </xf>
    <xf numFmtId="0" fontId="12" fillId="40" borderId="12">
      <alignment horizontal="left" vertical="top" wrapText="1"/>
    </xf>
    <xf numFmtId="49" fontId="7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38" fillId="0" borderId="0"/>
    <xf numFmtId="0" fontId="53" fillId="0" borderId="0" applyNumberFormat="0" applyFill="0" applyBorder="0" applyAlignment="0" applyProtection="0"/>
    <xf numFmtId="3" fontId="26" fillId="0" borderId="17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27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4" fillId="0" borderId="0" applyNumberFormat="0" applyFill="0" applyBorder="0" applyAlignment="0" applyProtection="0"/>
    <xf numFmtId="171" fontId="39" fillId="0" borderId="0" applyFont="0" applyFill="0" applyBorder="0" applyAlignment="0" applyProtection="0"/>
    <xf numFmtId="172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/>
    <xf numFmtId="0" fontId="1" fillId="0" borderId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0" borderId="0"/>
    <xf numFmtId="0" fontId="9" fillId="10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185" fontId="24" fillId="0" borderId="23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39" borderId="30" applyNumberFormat="0" applyFont="0" applyAlignment="0" applyProtection="0"/>
    <xf numFmtId="9" fontId="3" fillId="0" borderId="0" applyFont="0" applyFill="0" applyBorder="0" applyAlignment="0" applyProtection="0"/>
    <xf numFmtId="0" fontId="7" fillId="0" borderId="0">
      <alignment vertical="top"/>
    </xf>
    <xf numFmtId="0" fontId="1" fillId="0" borderId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0" fontId="65" fillId="0" borderId="0"/>
    <xf numFmtId="0" fontId="70" fillId="0" borderId="0"/>
    <xf numFmtId="0" fontId="71" fillId="0" borderId="0" applyNumberFormat="0" applyBorder="0">
      <protection locked="0"/>
    </xf>
    <xf numFmtId="0" fontId="41" fillId="0" borderId="0"/>
    <xf numFmtId="166" fontId="1" fillId="0" borderId="0" applyFont="0" applyFill="0" applyBorder="0" applyAlignment="0" applyProtection="0"/>
    <xf numFmtId="0" fontId="1" fillId="0" borderId="0">
      <alignment vertical="center"/>
    </xf>
  </cellStyleXfs>
  <cellXfs count="143">
    <xf numFmtId="0" fontId="0" fillId="0" borderId="0" xfId="0"/>
    <xf numFmtId="167" fontId="0" fillId="0" borderId="0" xfId="0" applyNumberFormat="1"/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56" fillId="4" borderId="7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5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15" fontId="0" fillId="0" borderId="7" xfId="0" applyNumberFormat="1" applyBorder="1" applyAlignment="1">
      <alignment horizontal="center" vertical="center" wrapText="1"/>
    </xf>
    <xf numFmtId="15" fontId="0" fillId="3" borderId="7" xfId="0" applyNumberFormat="1" applyFill="1" applyBorder="1" applyAlignment="1">
      <alignment horizontal="center" vertical="center" wrapText="1"/>
    </xf>
    <xf numFmtId="2" fontId="4" fillId="3" borderId="7" xfId="0" applyNumberFormat="1" applyFont="1" applyFill="1" applyBorder="1" applyAlignment="1">
      <alignment horizontal="center" vertical="center" wrapText="1"/>
    </xf>
    <xf numFmtId="14" fontId="0" fillId="3" borderId="7" xfId="0" applyNumberFormat="1" applyFill="1" applyBorder="1" applyAlignment="1">
      <alignment horizontal="center" vertical="center" wrapText="1"/>
    </xf>
    <xf numFmtId="1" fontId="0" fillId="3" borderId="7" xfId="0" applyNumberForma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center"/>
    </xf>
    <xf numFmtId="16" fontId="8" fillId="0" borderId="7" xfId="0" applyNumberFormat="1" applyFont="1" applyBorder="1" applyAlignment="1">
      <alignment horizontal="center" vertical="center"/>
    </xf>
    <xf numFmtId="193" fontId="55" fillId="0" borderId="7" xfId="0" applyNumberFormat="1" applyFont="1" applyBorder="1" applyAlignment="1">
      <alignment horizontal="center" vertical="center" wrapText="1"/>
    </xf>
    <xf numFmtId="15" fontId="4" fillId="0" borderId="7" xfId="0" applyNumberFormat="1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1" fontId="0" fillId="3" borderId="11" xfId="0" applyNumberForma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6" xfId="0" applyBorder="1" applyAlignment="1">
      <alignment vertical="center"/>
    </xf>
    <xf numFmtId="0" fontId="2" fillId="0" borderId="0" xfId="0" applyFont="1" applyAlignment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16" fontId="8" fillId="42" borderId="7" xfId="0" applyNumberFormat="1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 wrapText="1"/>
    </xf>
    <xf numFmtId="14" fontId="8" fillId="3" borderId="7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horizontal="center" vertical="center"/>
    </xf>
    <xf numFmtId="14" fontId="0" fillId="0" borderId="0" xfId="0" applyNumberFormat="1"/>
    <xf numFmtId="167" fontId="60" fillId="0" borderId="7" xfId="0" applyNumberFormat="1" applyFont="1" applyBorder="1" applyAlignment="1">
      <alignment horizontal="center"/>
    </xf>
    <xf numFmtId="0" fontId="60" fillId="0" borderId="7" xfId="0" applyFont="1" applyBorder="1"/>
    <xf numFmtId="0" fontId="0" fillId="0" borderId="21" xfId="0" applyBorder="1"/>
    <xf numFmtId="0" fontId="0" fillId="0" borderId="13" xfId="0" applyBorder="1"/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44" borderId="38" xfId="0" applyFont="1" applyFill="1" applyBorder="1" applyAlignment="1">
      <alignment vertical="center"/>
    </xf>
    <xf numFmtId="0" fontId="6" fillId="44" borderId="39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95" fontId="62" fillId="0" borderId="7" xfId="229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167" fontId="63" fillId="0" borderId="40" xfId="0" applyNumberFormat="1" applyFont="1" applyBorder="1" applyAlignment="1">
      <alignment horizontal="center" vertical="center"/>
    </xf>
    <xf numFmtId="167" fontId="61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167" fontId="61" fillId="0" borderId="14" xfId="0" applyNumberFormat="1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 wrapText="1"/>
    </xf>
    <xf numFmtId="16" fontId="0" fillId="0" borderId="7" xfId="0" applyNumberForma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7" fontId="66" fillId="0" borderId="0" xfId="0" applyNumberFormat="1" applyFont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37" xfId="224" applyFont="1" applyFill="1" applyBorder="1" applyAlignment="1">
      <alignment horizontal="center" vertical="center" wrapText="1"/>
    </xf>
    <xf numFmtId="0" fontId="2" fillId="4" borderId="35" xfId="224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2" fillId="0" borderId="7" xfId="224" applyFont="1" applyBorder="1" applyAlignment="1">
      <alignment horizontal="center" vertical="center" wrapText="1"/>
    </xf>
    <xf numFmtId="0" fontId="5" fillId="42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43" borderId="12" xfId="0" applyFont="1" applyFill="1" applyBorder="1" applyAlignment="1">
      <alignment horizontal="center" vertical="center"/>
    </xf>
    <xf numFmtId="196" fontId="0" fillId="0" borderId="7" xfId="0" applyNumberFormat="1" applyBorder="1" applyAlignment="1">
      <alignment horizontal="center" vertical="center"/>
    </xf>
    <xf numFmtId="0" fontId="55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167" fontId="2" fillId="4" borderId="9" xfId="0" applyNumberFormat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/>
    </xf>
    <xf numFmtId="195" fontId="68" fillId="0" borderId="7" xfId="229" applyNumberFormat="1" applyFont="1" applyBorder="1" applyAlignment="1">
      <alignment horizontal="center" vertical="center" wrapText="1"/>
    </xf>
    <xf numFmtId="0" fontId="0" fillId="43" borderId="7" xfId="0" applyFill="1" applyBorder="1" applyAlignment="1">
      <alignment horizontal="center" vertical="center" wrapText="1"/>
    </xf>
    <xf numFmtId="15" fontId="0" fillId="0" borderId="7" xfId="0" applyNumberFormat="1" applyBorder="1" applyAlignment="1">
      <alignment horizontal="center" vertical="center"/>
    </xf>
    <xf numFmtId="0" fontId="0" fillId="3" borderId="7" xfId="0" applyFill="1" applyBorder="1" applyAlignment="1">
      <alignment horizontal="left" vertical="center" wrapText="1"/>
    </xf>
    <xf numFmtId="0" fontId="27" fillId="3" borderId="7" xfId="6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/>
    </xf>
    <xf numFmtId="167" fontId="0" fillId="3" borderId="7" xfId="0" applyNumberFormat="1" applyFill="1" applyBorder="1" applyAlignment="1">
      <alignment horizontal="center" vertical="center" wrapText="1"/>
    </xf>
    <xf numFmtId="167" fontId="0" fillId="0" borderId="7" xfId="0" applyNumberFormat="1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27" fillId="3" borderId="7" xfId="0" applyFont="1" applyFill="1" applyBorder="1" applyAlignment="1">
      <alignment horizontal="center" vertical="center" wrapText="1"/>
    </xf>
    <xf numFmtId="1" fontId="27" fillId="3" borderId="7" xfId="0" applyNumberFormat="1" applyFont="1" applyFill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 wrapText="1"/>
    </xf>
    <xf numFmtId="0" fontId="0" fillId="43" borderId="7" xfId="0" applyFill="1" applyBorder="1" applyAlignment="1">
      <alignment horizontal="center" vertical="center"/>
    </xf>
    <xf numFmtId="0" fontId="0" fillId="45" borderId="7" xfId="0" applyFill="1" applyBorder="1" applyAlignment="1">
      <alignment horizontal="center" vertical="center" wrapText="1"/>
    </xf>
    <xf numFmtId="193" fontId="0" fillId="0" borderId="7" xfId="0" applyNumberFormat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167" fontId="0" fillId="0" borderId="7" xfId="0" applyNumberFormat="1" applyBorder="1"/>
    <xf numFmtId="0" fontId="2" fillId="41" borderId="0" xfId="0" applyFont="1" applyFill="1" applyAlignment="1">
      <alignment horizontal="center" vertical="center"/>
    </xf>
    <xf numFmtId="0" fontId="0" fillId="46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7" xfId="0" applyFill="1" applyBorder="1"/>
    <xf numFmtId="16" fontId="0" fillId="0" borderId="7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63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5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4" fontId="0" fillId="0" borderId="0" xfId="0" quotePrefix="1" applyNumberFormat="1" applyAlignment="1">
      <alignment vertical="center"/>
    </xf>
    <xf numFmtId="15" fontId="0" fillId="0" borderId="0" xfId="0" applyNumberFormat="1" applyAlignment="1">
      <alignment horizontal="center" vertical="center"/>
    </xf>
    <xf numFmtId="0" fontId="57" fillId="3" borderId="1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57" fillId="4" borderId="2" xfId="0" applyFont="1" applyFill="1" applyBorder="1" applyAlignment="1">
      <alignment horizontal="center" vertical="center" wrapText="1"/>
    </xf>
    <xf numFmtId="0" fontId="57" fillId="4" borderId="3" xfId="0" applyFont="1" applyFill="1" applyBorder="1" applyAlignment="1">
      <alignment horizontal="center" vertical="center" wrapText="1"/>
    </xf>
    <xf numFmtId="167" fontId="57" fillId="4" borderId="3" xfId="0" applyNumberFormat="1" applyFont="1" applyFill="1" applyBorder="1" applyAlignment="1">
      <alignment horizontal="center" vertical="center" wrapText="1"/>
    </xf>
    <xf numFmtId="0" fontId="57" fillId="4" borderId="4" xfId="0" applyFont="1" applyFill="1" applyBorder="1" applyAlignment="1">
      <alignment horizontal="center" vertical="center" wrapText="1"/>
    </xf>
  </cellXfs>
  <cellStyles count="236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4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3" xr:uid="{DE2ADDED-5026-433D-9856-E71AB707AA00}"/>
    <cellStyle name="Normal 11" xfId="226" xr:uid="{39A4D461-2B69-45AC-BC3B-879E60BD782F}"/>
    <cellStyle name="Normal 12" xfId="8" xr:uid="{4E0B2CA2-5C40-4985-9461-F2C32F978CC3}"/>
    <cellStyle name="Normal 13" xfId="230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29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215" xfId="235" xr:uid="{FEF93923-D188-4212-BAD0-284C9BB6B3D1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2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1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41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file:///D:\OneDrive%20-%20RPG%20Enterprises\Desktop\TL%20602\Drwg%20&amp;%20BOM\Master\Erection\Unit%20Wie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b Weight"/>
      <sheetName val="Tower Weight Individual"/>
      <sheetName val="Ful Set"/>
    </sheetNames>
    <sheetDataSet>
      <sheetData sheetId="0" refreshError="1"/>
      <sheetData sheetId="1" refreshError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tabSelected="1"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136" t="s">
        <v>79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8"/>
    </row>
    <row r="2" spans="1:18" ht="21.65" customHeight="1">
      <c r="A2" s="67"/>
      <c r="B2" s="52"/>
      <c r="C2" s="52"/>
      <c r="D2" s="70">
        <f>SUM(D5:D55)</f>
        <v>12.680015999999998</v>
      </c>
      <c r="E2" s="52"/>
      <c r="F2" s="52"/>
      <c r="G2" s="52"/>
      <c r="H2" s="68"/>
      <c r="I2" s="68"/>
      <c r="J2" s="68"/>
      <c r="K2" s="68"/>
      <c r="L2" s="52"/>
      <c r="M2" s="52"/>
      <c r="N2" s="52"/>
      <c r="O2" s="52"/>
      <c r="P2" s="52"/>
      <c r="Q2" s="52"/>
      <c r="R2" s="69"/>
    </row>
    <row r="3" spans="1:18" ht="21" customHeight="1">
      <c r="A3" s="133" t="s">
        <v>64</v>
      </c>
      <c r="B3" s="129" t="s">
        <v>65</v>
      </c>
      <c r="C3" s="129" t="s">
        <v>288</v>
      </c>
      <c r="D3" s="129" t="s">
        <v>294</v>
      </c>
      <c r="E3" s="129" t="s">
        <v>66</v>
      </c>
      <c r="F3" s="129" t="s">
        <v>290</v>
      </c>
      <c r="G3" s="129" t="s">
        <v>77</v>
      </c>
      <c r="H3" s="135" t="s">
        <v>45</v>
      </c>
      <c r="I3" s="135"/>
      <c r="J3" s="135" t="s">
        <v>46</v>
      </c>
      <c r="K3" s="135"/>
      <c r="L3" s="129" t="s">
        <v>75</v>
      </c>
      <c r="M3" s="129" t="s">
        <v>76</v>
      </c>
      <c r="N3" s="129" t="s">
        <v>67</v>
      </c>
      <c r="O3" s="129" t="s">
        <v>70</v>
      </c>
      <c r="P3" s="129" t="s">
        <v>74</v>
      </c>
      <c r="Q3" s="129" t="s">
        <v>78</v>
      </c>
      <c r="R3" s="131" t="s">
        <v>54</v>
      </c>
    </row>
    <row r="4" spans="1:18" ht="25.4" customHeight="1">
      <c r="A4" s="134"/>
      <c r="B4" s="130"/>
      <c r="C4" s="130"/>
      <c r="D4" s="130"/>
      <c r="E4" s="130"/>
      <c r="F4" s="130"/>
      <c r="G4" s="130"/>
      <c r="H4" s="19" t="s">
        <v>51</v>
      </c>
      <c r="I4" s="19" t="s">
        <v>52</v>
      </c>
      <c r="J4" s="19" t="s">
        <v>51</v>
      </c>
      <c r="K4" s="19" t="s">
        <v>52</v>
      </c>
      <c r="L4" s="130"/>
      <c r="M4" s="130"/>
      <c r="N4" s="130"/>
      <c r="O4" s="130"/>
      <c r="P4" s="130"/>
      <c r="Q4" s="130"/>
      <c r="R4" s="132"/>
    </row>
    <row r="5" spans="1:18" ht="15.5">
      <c r="A5" s="30">
        <v>1</v>
      </c>
      <c r="B5" s="9" t="s">
        <v>280</v>
      </c>
      <c r="C5" s="9">
        <v>2</v>
      </c>
      <c r="D5" s="60">
        <v>0.20890900000000001</v>
      </c>
      <c r="E5" s="63" t="s">
        <v>287</v>
      </c>
      <c r="F5" s="2" t="s">
        <v>291</v>
      </c>
      <c r="G5" s="16">
        <v>46113</v>
      </c>
      <c r="H5" s="16">
        <v>46117</v>
      </c>
      <c r="I5" s="16">
        <v>46123</v>
      </c>
      <c r="J5" s="16">
        <v>46117</v>
      </c>
      <c r="K5" s="16">
        <v>46123</v>
      </c>
      <c r="L5" s="8">
        <v>46123</v>
      </c>
      <c r="M5" s="8">
        <v>46123</v>
      </c>
      <c r="N5" s="2" t="s">
        <v>298</v>
      </c>
      <c r="O5" s="9" t="s">
        <v>285</v>
      </c>
      <c r="P5" s="9">
        <v>20</v>
      </c>
      <c r="Q5" s="9"/>
      <c r="R5" s="61" t="s">
        <v>287</v>
      </c>
    </row>
    <row r="6" spans="1:18" ht="43.5" customHeight="1">
      <c r="A6" s="29">
        <f>A5+1</f>
        <v>2</v>
      </c>
      <c r="B6" s="9" t="s">
        <v>277</v>
      </c>
      <c r="C6" s="9">
        <v>2</v>
      </c>
      <c r="D6" s="60">
        <v>0.44552799999999998</v>
      </c>
      <c r="E6" s="2" t="s">
        <v>282</v>
      </c>
      <c r="F6" s="2" t="s">
        <v>291</v>
      </c>
      <c r="G6" s="8">
        <v>46107</v>
      </c>
      <c r="H6" s="8">
        <v>46118</v>
      </c>
      <c r="I6" s="8">
        <v>46124</v>
      </c>
      <c r="J6" s="8">
        <v>46119</v>
      </c>
      <c r="K6" s="8">
        <v>46124</v>
      </c>
      <c r="L6" s="8">
        <v>46123</v>
      </c>
      <c r="M6" s="8">
        <v>46124</v>
      </c>
      <c r="N6" s="2" t="s">
        <v>49</v>
      </c>
      <c r="O6" s="9" t="s">
        <v>283</v>
      </c>
      <c r="P6" s="2">
        <v>27</v>
      </c>
      <c r="Q6" s="2"/>
      <c r="R6" s="28"/>
    </row>
    <row r="7" spans="1:18" ht="33.65" customHeight="1">
      <c r="A7" s="29">
        <f t="shared" ref="A7:A16" si="0">A6+1</f>
        <v>3</v>
      </c>
      <c r="B7" s="2" t="s">
        <v>297</v>
      </c>
      <c r="C7" s="9">
        <v>3</v>
      </c>
      <c r="D7" s="60">
        <v>0.79162600000000005</v>
      </c>
      <c r="E7" s="2" t="s">
        <v>282</v>
      </c>
      <c r="F7" s="2" t="s">
        <v>302</v>
      </c>
      <c r="G7" s="16">
        <v>46121</v>
      </c>
      <c r="H7" s="16">
        <v>46123</v>
      </c>
      <c r="I7" s="16">
        <v>46126</v>
      </c>
      <c r="J7" s="16">
        <v>46126</v>
      </c>
      <c r="K7" s="16">
        <v>46127</v>
      </c>
      <c r="L7" s="16">
        <v>46126</v>
      </c>
      <c r="M7" s="16">
        <v>46127</v>
      </c>
      <c r="N7" s="2" t="s">
        <v>49</v>
      </c>
      <c r="O7" s="9" t="s">
        <v>303</v>
      </c>
      <c r="P7" s="9">
        <v>27</v>
      </c>
      <c r="Q7" s="9"/>
      <c r="R7" s="28"/>
    </row>
    <row r="8" spans="1:18" ht="37.5" customHeight="1">
      <c r="A8" s="29">
        <f t="shared" si="0"/>
        <v>4</v>
      </c>
      <c r="B8" s="9" t="s">
        <v>279</v>
      </c>
      <c r="C8" s="9">
        <v>7</v>
      </c>
      <c r="D8" s="62">
        <v>2.41262</v>
      </c>
      <c r="E8" s="2" t="s">
        <v>281</v>
      </c>
      <c r="F8" s="2" t="s">
        <v>292</v>
      </c>
      <c r="G8" s="8">
        <v>46114</v>
      </c>
      <c r="H8" s="8">
        <v>46118</v>
      </c>
      <c r="I8" s="8">
        <v>46125</v>
      </c>
      <c r="J8" s="8">
        <v>46126</v>
      </c>
      <c r="K8" s="8">
        <v>46128</v>
      </c>
      <c r="L8" s="8">
        <v>46125</v>
      </c>
      <c r="M8" s="8">
        <v>46128</v>
      </c>
      <c r="N8" s="2" t="s">
        <v>298</v>
      </c>
      <c r="O8" s="2" t="s">
        <v>284</v>
      </c>
      <c r="P8" s="2">
        <f>30+38</f>
        <v>68</v>
      </c>
      <c r="Q8" s="2">
        <v>5</v>
      </c>
      <c r="R8" s="9" t="s">
        <v>295</v>
      </c>
    </row>
    <row r="9" spans="1:18" ht="37.5" customHeight="1">
      <c r="A9" s="29">
        <f t="shared" si="0"/>
        <v>5</v>
      </c>
      <c r="B9" s="2" t="s">
        <v>296</v>
      </c>
      <c r="C9" s="9">
        <v>5</v>
      </c>
      <c r="D9" s="62">
        <v>1.4794099999999999</v>
      </c>
      <c r="E9" s="2" t="s">
        <v>281</v>
      </c>
      <c r="F9" s="2" t="s">
        <v>293</v>
      </c>
      <c r="G9" s="16">
        <v>46121</v>
      </c>
      <c r="H9" s="16">
        <v>46130</v>
      </c>
      <c r="I9" s="16">
        <v>46133</v>
      </c>
      <c r="J9" s="16">
        <v>46132</v>
      </c>
      <c r="K9" s="16">
        <v>46134</v>
      </c>
      <c r="L9" s="16">
        <v>46133</v>
      </c>
      <c r="M9" s="16">
        <v>46134</v>
      </c>
      <c r="N9" s="2" t="s">
        <v>298</v>
      </c>
      <c r="O9" s="9" t="s">
        <v>284</v>
      </c>
      <c r="P9" s="9">
        <v>40</v>
      </c>
      <c r="Q9" s="9">
        <v>1</v>
      </c>
      <c r="R9" s="9" t="s">
        <v>305</v>
      </c>
    </row>
    <row r="10" spans="1:18" ht="43.5">
      <c r="A10" s="29">
        <f t="shared" si="0"/>
        <v>6</v>
      </c>
      <c r="B10" s="2" t="s">
        <v>300</v>
      </c>
      <c r="C10" s="9">
        <v>2</v>
      </c>
      <c r="D10" s="60">
        <v>0.24673999999999999</v>
      </c>
      <c r="E10" s="63" t="s">
        <v>287</v>
      </c>
      <c r="F10" s="2" t="s">
        <v>309</v>
      </c>
      <c r="G10" s="16">
        <v>46125</v>
      </c>
      <c r="H10" s="16">
        <v>46129</v>
      </c>
      <c r="I10" s="16">
        <v>46135</v>
      </c>
      <c r="J10" s="16">
        <v>46129</v>
      </c>
      <c r="K10" s="16">
        <v>46135</v>
      </c>
      <c r="L10" s="8">
        <v>46135</v>
      </c>
      <c r="M10" s="8">
        <v>46135</v>
      </c>
      <c r="N10" s="2" t="s">
        <v>49</v>
      </c>
      <c r="O10" s="9" t="s">
        <v>285</v>
      </c>
      <c r="P10" s="9">
        <v>20</v>
      </c>
      <c r="Q10" s="9">
        <v>1</v>
      </c>
      <c r="R10" s="61" t="s">
        <v>301</v>
      </c>
    </row>
    <row r="11" spans="1:18" ht="15.5">
      <c r="A11" s="29">
        <f t="shared" si="0"/>
        <v>7</v>
      </c>
      <c r="B11" s="9" t="s">
        <v>278</v>
      </c>
      <c r="C11" s="9">
        <v>4</v>
      </c>
      <c r="D11" s="60">
        <v>1.043334</v>
      </c>
      <c r="E11" s="2" t="s">
        <v>281</v>
      </c>
      <c r="F11" s="2" t="s">
        <v>319</v>
      </c>
      <c r="G11" s="8">
        <v>46114</v>
      </c>
      <c r="H11" s="8">
        <v>46136</v>
      </c>
      <c r="I11" s="8">
        <v>46139</v>
      </c>
      <c r="J11" s="8">
        <v>46136</v>
      </c>
      <c r="K11" s="8">
        <v>46140</v>
      </c>
      <c r="L11" s="8">
        <v>46139</v>
      </c>
      <c r="M11" s="8">
        <v>46140</v>
      </c>
      <c r="N11" s="2" t="s">
        <v>298</v>
      </c>
      <c r="O11" s="2" t="s">
        <v>284</v>
      </c>
      <c r="P11" s="2">
        <v>40</v>
      </c>
      <c r="Q11" s="2"/>
      <c r="R11" s="28"/>
    </row>
    <row r="12" spans="1:18" ht="15.5">
      <c r="A12" s="29">
        <f t="shared" si="0"/>
        <v>8</v>
      </c>
      <c r="B12" s="9" t="s">
        <v>308</v>
      </c>
      <c r="C12" s="9">
        <v>2</v>
      </c>
      <c r="D12" s="60">
        <v>0.468001</v>
      </c>
      <c r="E12" s="63" t="s">
        <v>287</v>
      </c>
      <c r="F12" s="2" t="s">
        <v>291</v>
      </c>
      <c r="G12" s="8">
        <v>46139</v>
      </c>
      <c r="H12" s="16">
        <v>46144</v>
      </c>
      <c r="I12" s="16">
        <v>46149</v>
      </c>
      <c r="J12" s="16">
        <v>46145</v>
      </c>
      <c r="K12" s="16">
        <v>46149</v>
      </c>
      <c r="L12" s="16">
        <f>I12</f>
        <v>46149</v>
      </c>
      <c r="M12" s="16">
        <f>K12</f>
        <v>46149</v>
      </c>
      <c r="N12" s="2" t="s">
        <v>298</v>
      </c>
      <c r="O12" s="2" t="s">
        <v>284</v>
      </c>
      <c r="P12" s="2">
        <v>40</v>
      </c>
      <c r="Q12" s="2">
        <v>1</v>
      </c>
      <c r="R12" s="89" t="s">
        <v>287</v>
      </c>
    </row>
    <row r="13" spans="1:18" ht="15.5">
      <c r="A13" s="29">
        <f t="shared" si="0"/>
        <v>9</v>
      </c>
      <c r="B13" s="9" t="s">
        <v>307</v>
      </c>
      <c r="C13" s="9">
        <v>2</v>
      </c>
      <c r="D13" s="60">
        <v>0.21017</v>
      </c>
      <c r="E13" s="63" t="s">
        <v>287</v>
      </c>
      <c r="F13" s="2" t="s">
        <v>309</v>
      </c>
      <c r="G13" s="16">
        <v>46137</v>
      </c>
      <c r="H13" s="16">
        <v>46148</v>
      </c>
      <c r="I13" s="16">
        <v>46155</v>
      </c>
      <c r="J13" s="16">
        <v>46148</v>
      </c>
      <c r="K13" s="16">
        <v>46155</v>
      </c>
      <c r="L13" s="16">
        <f t="shared" ref="L13:L16" si="1">I13</f>
        <v>46155</v>
      </c>
      <c r="M13" s="16">
        <f t="shared" ref="M13:M16" si="2">K13</f>
        <v>46155</v>
      </c>
      <c r="N13" s="2" t="s">
        <v>298</v>
      </c>
      <c r="O13" s="9" t="s">
        <v>344</v>
      </c>
      <c r="P13" s="9">
        <v>20</v>
      </c>
      <c r="Q13" s="9"/>
      <c r="R13" s="2"/>
    </row>
    <row r="14" spans="1:18" ht="15.5">
      <c r="A14" s="2">
        <f t="shared" si="0"/>
        <v>10</v>
      </c>
      <c r="B14" s="2" t="s">
        <v>299</v>
      </c>
      <c r="C14" s="9">
        <v>9</v>
      </c>
      <c r="D14" s="60">
        <v>2.8616779999999999</v>
      </c>
      <c r="E14" s="2" t="s">
        <v>281</v>
      </c>
      <c r="F14" s="64" t="s">
        <v>306</v>
      </c>
      <c r="G14" s="16">
        <v>46122</v>
      </c>
      <c r="H14" s="16">
        <v>46145</v>
      </c>
      <c r="I14" s="16">
        <v>46150</v>
      </c>
      <c r="J14" s="16">
        <v>46152</v>
      </c>
      <c r="K14" s="16">
        <v>46157</v>
      </c>
      <c r="L14" s="16">
        <f t="shared" si="1"/>
        <v>46150</v>
      </c>
      <c r="M14" s="16">
        <f t="shared" si="2"/>
        <v>46157</v>
      </c>
      <c r="N14" s="2" t="s">
        <v>49</v>
      </c>
      <c r="O14" s="9" t="s">
        <v>286</v>
      </c>
      <c r="P14" s="9">
        <v>45</v>
      </c>
      <c r="Q14" s="9"/>
      <c r="R14" s="2"/>
    </row>
    <row r="15" spans="1:18" ht="15.5">
      <c r="A15" s="2">
        <f t="shared" si="0"/>
        <v>11</v>
      </c>
      <c r="B15" s="9" t="s">
        <v>362</v>
      </c>
      <c r="C15" s="9">
        <v>2</v>
      </c>
      <c r="D15" s="71">
        <v>0.22800000000000001</v>
      </c>
      <c r="E15" s="63" t="s">
        <v>287</v>
      </c>
      <c r="F15" s="2" t="s">
        <v>291</v>
      </c>
      <c r="G15" s="16">
        <v>46157</v>
      </c>
      <c r="H15" s="16">
        <v>46157</v>
      </c>
      <c r="I15" s="16">
        <v>46162</v>
      </c>
      <c r="J15" s="16">
        <v>46157</v>
      </c>
      <c r="K15" s="16">
        <v>46162</v>
      </c>
      <c r="L15" s="16">
        <f t="shared" si="1"/>
        <v>46162</v>
      </c>
      <c r="M15" s="16">
        <f t="shared" si="2"/>
        <v>46162</v>
      </c>
      <c r="N15" s="2" t="s">
        <v>49</v>
      </c>
      <c r="O15" s="9" t="s">
        <v>363</v>
      </c>
      <c r="P15" s="9">
        <v>33</v>
      </c>
      <c r="Q15" s="9"/>
      <c r="R15" s="2"/>
    </row>
    <row r="16" spans="1:18" ht="15.5">
      <c r="A16" s="2">
        <f t="shared" si="0"/>
        <v>12</v>
      </c>
      <c r="B16" s="9" t="s">
        <v>289</v>
      </c>
      <c r="C16" s="9">
        <v>7</v>
      </c>
      <c r="D16" s="71">
        <v>2.2839999999999998</v>
      </c>
      <c r="E16" s="90" t="s">
        <v>281</v>
      </c>
      <c r="F16" s="2" t="s">
        <v>292</v>
      </c>
      <c r="G16" s="16">
        <v>46118</v>
      </c>
      <c r="H16" s="16">
        <v>46125</v>
      </c>
      <c r="I16" s="16">
        <v>46128</v>
      </c>
      <c r="J16" s="16">
        <v>46161</v>
      </c>
      <c r="K16" s="16">
        <v>46163</v>
      </c>
      <c r="L16" s="16">
        <f t="shared" si="1"/>
        <v>46128</v>
      </c>
      <c r="M16" s="16">
        <f t="shared" si="2"/>
        <v>46163</v>
      </c>
      <c r="N16" s="2" t="s">
        <v>49</v>
      </c>
      <c r="O16" s="9" t="s">
        <v>286</v>
      </c>
      <c r="P16" s="9">
        <v>49</v>
      </c>
      <c r="Q16" s="9">
        <v>1</v>
      </c>
      <c r="R16" s="2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L3:L4"/>
    <mergeCell ref="M3:M4"/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</mergeCells>
  <conditionalFormatting sqref="B11">
    <cfRule type="duplicateValues" dxfId="33" priority="10"/>
  </conditionalFormatting>
  <conditionalFormatting sqref="B12">
    <cfRule type="duplicateValues" dxfId="32" priority="8"/>
  </conditionalFormatting>
  <conditionalFormatting sqref="B13">
    <cfRule type="duplicateValues" dxfId="31" priority="7"/>
  </conditionalFormatting>
  <conditionalFormatting sqref="B14">
    <cfRule type="duplicateValues" dxfId="30" priority="6"/>
  </conditionalFormatting>
  <conditionalFormatting sqref="B15:B16">
    <cfRule type="duplicateValues" dxfId="29" priority="4"/>
  </conditionalFormatting>
  <conditionalFormatting sqref="B56:C1048576 B1:C4 B5:B10 B17:B55">
    <cfRule type="duplicateValues" dxfId="28" priority="12"/>
  </conditionalFormatting>
  <conditionalFormatting sqref="N5:N49">
    <cfRule type="containsText" dxfId="27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56" bestFit="1" customWidth="1"/>
    <col min="11" max="11" width="15.08984375" style="56" bestFit="1" customWidth="1"/>
    <col min="12" max="12" width="13.36328125" bestFit="1" customWidth="1"/>
    <col min="13" max="13" width="14.08984375" bestFit="1" customWidth="1"/>
    <col min="14" max="14" width="15.08984375" style="56" bestFit="1" customWidth="1"/>
    <col min="15" max="17" width="15.08984375" style="56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51"/>
      <c r="B1" s="52"/>
      <c r="C1" s="51"/>
      <c r="D1" s="53" t="s">
        <v>249</v>
      </c>
      <c r="E1" s="54">
        <v>2</v>
      </c>
      <c r="F1" s="1">
        <f>SUBTOTAL(9,F3:F174)/1000</f>
        <v>9.319214999999998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5"/>
    </row>
    <row r="2" spans="1:24" ht="29">
      <c r="A2" s="72" t="s">
        <v>250</v>
      </c>
      <c r="B2" s="73" t="s">
        <v>251</v>
      </c>
      <c r="C2" s="73" t="s">
        <v>252</v>
      </c>
      <c r="D2" s="73" t="s">
        <v>253</v>
      </c>
      <c r="E2" s="73" t="s">
        <v>310</v>
      </c>
      <c r="F2" s="73" t="s">
        <v>254</v>
      </c>
      <c r="G2" s="74" t="s">
        <v>255</v>
      </c>
      <c r="H2" s="75" t="s">
        <v>256</v>
      </c>
      <c r="I2" s="76" t="s">
        <v>257</v>
      </c>
      <c r="J2" s="77" t="s">
        <v>258</v>
      </c>
      <c r="K2" s="74" t="s">
        <v>259</v>
      </c>
      <c r="L2" s="73" t="s">
        <v>260</v>
      </c>
      <c r="M2" s="74" t="s">
        <v>261</v>
      </c>
      <c r="N2" s="78" t="s">
        <v>262</v>
      </c>
      <c r="O2" s="72" t="s">
        <v>263</v>
      </c>
      <c r="P2" s="79" t="s">
        <v>264</v>
      </c>
      <c r="Q2" s="80" t="s">
        <v>265</v>
      </c>
      <c r="R2" s="81" t="s">
        <v>266</v>
      </c>
      <c r="S2" s="73" t="s">
        <v>48</v>
      </c>
      <c r="T2" s="73" t="s">
        <v>243</v>
      </c>
      <c r="U2" s="73" t="s">
        <v>267</v>
      </c>
      <c r="V2" s="73" t="s">
        <v>268</v>
      </c>
      <c r="W2" s="73" t="s">
        <v>269</v>
      </c>
      <c r="X2" s="80" t="s">
        <v>54</v>
      </c>
    </row>
    <row r="3" spans="1:24" ht="15.5" hidden="1">
      <c r="A3" s="3">
        <v>1</v>
      </c>
      <c r="B3" s="3"/>
      <c r="C3" s="3" t="s">
        <v>95</v>
      </c>
      <c r="D3" s="3" t="s">
        <v>0</v>
      </c>
      <c r="E3" s="3" t="s">
        <v>313</v>
      </c>
      <c r="F3" s="87">
        <v>1142.7619999999999</v>
      </c>
      <c r="G3" s="3" t="s">
        <v>281</v>
      </c>
      <c r="H3" s="86" t="s">
        <v>314</v>
      </c>
      <c r="I3" s="83"/>
      <c r="J3" s="8"/>
      <c r="K3" s="8"/>
      <c r="L3" s="82"/>
      <c r="M3" s="16"/>
      <c r="N3" s="16"/>
      <c r="O3" s="35"/>
      <c r="P3" s="35"/>
      <c r="Q3" s="35"/>
      <c r="R3" s="82"/>
      <c r="S3" s="3"/>
      <c r="T3" s="36"/>
      <c r="U3" s="36"/>
      <c r="V3" s="36"/>
      <c r="W3" s="3"/>
      <c r="X3" s="3"/>
    </row>
    <row r="4" spans="1:24" ht="15.5">
      <c r="A4" s="3">
        <v>2</v>
      </c>
      <c r="B4" s="3"/>
      <c r="C4" s="3" t="s">
        <v>0</v>
      </c>
      <c r="D4" s="3" t="s">
        <v>1</v>
      </c>
      <c r="E4" s="3"/>
      <c r="F4" s="87">
        <v>243.82400000000001</v>
      </c>
      <c r="G4" s="3" t="s">
        <v>282</v>
      </c>
      <c r="H4" s="66" t="s">
        <v>43</v>
      </c>
      <c r="I4" s="83" t="s">
        <v>72</v>
      </c>
      <c r="J4" s="8"/>
      <c r="K4" s="8"/>
      <c r="L4" s="82"/>
      <c r="M4" s="16"/>
      <c r="N4" s="16"/>
      <c r="O4" s="35"/>
      <c r="P4" s="35"/>
      <c r="Q4" s="35"/>
      <c r="R4" s="82"/>
      <c r="S4" s="3"/>
      <c r="T4" s="36"/>
      <c r="U4" s="36"/>
      <c r="V4" s="36"/>
      <c r="W4" s="3"/>
      <c r="X4" s="3"/>
    </row>
    <row r="5" spans="1:24" ht="15.5">
      <c r="A5" s="3">
        <v>3</v>
      </c>
      <c r="B5" s="3"/>
      <c r="C5" s="3" t="s">
        <v>1</v>
      </c>
      <c r="D5" s="3" t="s">
        <v>2</v>
      </c>
      <c r="E5" s="3" t="s">
        <v>320</v>
      </c>
      <c r="F5" s="87">
        <v>1421.595</v>
      </c>
      <c r="G5" s="3" t="s">
        <v>281</v>
      </c>
      <c r="H5" s="66" t="s">
        <v>43</v>
      </c>
      <c r="I5" s="83" t="s">
        <v>72</v>
      </c>
      <c r="J5" s="8"/>
      <c r="K5" s="8"/>
      <c r="L5" s="82"/>
      <c r="M5" s="16"/>
      <c r="N5" s="16"/>
      <c r="O5" s="35"/>
      <c r="P5" s="35"/>
      <c r="Q5" s="35"/>
      <c r="R5" s="82"/>
      <c r="S5" s="3"/>
      <c r="T5" s="36" t="s">
        <v>286</v>
      </c>
      <c r="U5" s="36">
        <v>49</v>
      </c>
      <c r="V5" s="36"/>
      <c r="W5" s="3"/>
      <c r="X5" s="3"/>
    </row>
    <row r="6" spans="1:24" ht="15.5" hidden="1">
      <c r="A6" s="3">
        <v>4</v>
      </c>
      <c r="B6" s="3"/>
      <c r="C6" s="3" t="s">
        <v>2</v>
      </c>
      <c r="D6" s="3" t="s">
        <v>3</v>
      </c>
      <c r="E6" s="3" t="s">
        <v>321</v>
      </c>
      <c r="F6" s="87">
        <v>2861.6779999999999</v>
      </c>
      <c r="G6" s="3" t="s">
        <v>281</v>
      </c>
      <c r="H6" s="66" t="s">
        <v>298</v>
      </c>
      <c r="I6" s="83" t="s">
        <v>72</v>
      </c>
      <c r="J6" s="8">
        <v>46145</v>
      </c>
      <c r="K6" s="8">
        <v>46150</v>
      </c>
      <c r="L6" s="82" t="s">
        <v>49</v>
      </c>
      <c r="M6" s="16">
        <v>46152</v>
      </c>
      <c r="N6" s="16">
        <v>46157</v>
      </c>
      <c r="O6" s="35"/>
      <c r="P6" s="35" t="s">
        <v>72</v>
      </c>
      <c r="Q6" s="35" t="s">
        <v>72</v>
      </c>
      <c r="R6" s="82"/>
      <c r="S6" s="3"/>
      <c r="T6" s="36" t="s">
        <v>286</v>
      </c>
      <c r="U6" s="36">
        <v>49</v>
      </c>
      <c r="V6" s="36"/>
      <c r="W6" s="3"/>
      <c r="X6" s="3"/>
    </row>
    <row r="7" spans="1:24" ht="15.5" hidden="1">
      <c r="A7" s="3">
        <v>5</v>
      </c>
      <c r="B7" s="3"/>
      <c r="C7" s="3" t="s">
        <v>3</v>
      </c>
      <c r="D7" s="3" t="s">
        <v>85</v>
      </c>
      <c r="E7" s="3"/>
      <c r="F7" s="87">
        <v>276.14100000000002</v>
      </c>
      <c r="G7" s="88" t="s">
        <v>287</v>
      </c>
      <c r="H7" s="85" t="s">
        <v>314</v>
      </c>
      <c r="I7" s="83"/>
      <c r="J7" s="8"/>
      <c r="K7" s="8"/>
      <c r="L7" s="82"/>
      <c r="M7" s="16"/>
      <c r="N7" s="16"/>
      <c r="O7" s="35"/>
      <c r="P7" s="35"/>
      <c r="Q7" s="35"/>
      <c r="R7" s="82"/>
      <c r="S7" s="3"/>
      <c r="T7" s="36" t="s">
        <v>286</v>
      </c>
      <c r="U7" s="36">
        <v>49</v>
      </c>
      <c r="V7" s="36"/>
      <c r="W7" s="3"/>
      <c r="X7" s="3"/>
    </row>
    <row r="8" spans="1:24" ht="15.5" hidden="1">
      <c r="A8" s="3">
        <v>6</v>
      </c>
      <c r="B8" s="3"/>
      <c r="C8" s="3" t="s">
        <v>85</v>
      </c>
      <c r="D8" s="3" t="s">
        <v>84</v>
      </c>
      <c r="E8" s="3" t="s">
        <v>322</v>
      </c>
      <c r="F8" s="87">
        <v>2284</v>
      </c>
      <c r="G8" s="3" t="s">
        <v>281</v>
      </c>
      <c r="H8" s="84" t="s">
        <v>298</v>
      </c>
      <c r="I8" s="83" t="s">
        <v>72</v>
      </c>
      <c r="J8" s="8">
        <v>46125</v>
      </c>
      <c r="K8" s="8">
        <v>46128</v>
      </c>
      <c r="L8" s="82" t="s">
        <v>49</v>
      </c>
      <c r="M8" s="16">
        <v>46161</v>
      </c>
      <c r="N8" s="16">
        <v>46163</v>
      </c>
      <c r="O8" s="35"/>
      <c r="P8" s="35"/>
      <c r="Q8" s="35"/>
      <c r="R8" s="82"/>
      <c r="S8" s="3"/>
      <c r="T8" s="36" t="s">
        <v>286</v>
      </c>
      <c r="U8" s="36">
        <v>45</v>
      </c>
      <c r="V8" s="36"/>
      <c r="W8" s="3"/>
      <c r="X8" s="3"/>
    </row>
    <row r="9" spans="1:24" ht="15.5" hidden="1">
      <c r="A9" s="3">
        <v>7</v>
      </c>
      <c r="B9" s="3"/>
      <c r="C9" s="3" t="s">
        <v>84</v>
      </c>
      <c r="D9" s="3" t="s">
        <v>4</v>
      </c>
      <c r="E9" s="3" t="s">
        <v>323</v>
      </c>
      <c r="F9" s="87">
        <v>1937.394</v>
      </c>
      <c r="G9" s="3" t="s">
        <v>281</v>
      </c>
      <c r="H9" s="66" t="s">
        <v>315</v>
      </c>
      <c r="I9" s="83"/>
      <c r="J9" s="8"/>
      <c r="K9" s="8"/>
      <c r="L9" s="82"/>
      <c r="M9" s="16"/>
      <c r="N9" s="16"/>
      <c r="O9" s="35"/>
      <c r="P9" s="35"/>
      <c r="Q9" s="35"/>
      <c r="R9" s="82"/>
      <c r="S9" s="3"/>
      <c r="T9" s="36"/>
      <c r="U9" s="36"/>
      <c r="V9" s="36"/>
      <c r="W9" s="3"/>
      <c r="X9" s="3"/>
    </row>
    <row r="10" spans="1:24" ht="15.5" hidden="1">
      <c r="A10" s="3">
        <v>8</v>
      </c>
      <c r="B10" s="3"/>
      <c r="C10" s="3" t="s">
        <v>4</v>
      </c>
      <c r="D10" s="3" t="s">
        <v>96</v>
      </c>
      <c r="E10" s="3" t="s">
        <v>324</v>
      </c>
      <c r="F10" s="87">
        <v>1472.5889999999999</v>
      </c>
      <c r="G10" s="3" t="s">
        <v>281</v>
      </c>
      <c r="H10" s="66" t="s">
        <v>315</v>
      </c>
      <c r="I10" s="83"/>
      <c r="J10" s="8"/>
      <c r="K10" s="8"/>
      <c r="L10" s="82"/>
      <c r="M10" s="16"/>
      <c r="N10" s="16"/>
      <c r="O10" s="35"/>
      <c r="P10" s="35"/>
      <c r="Q10" s="35"/>
      <c r="R10" s="82"/>
      <c r="S10" s="3"/>
      <c r="T10" s="36"/>
      <c r="U10" s="36"/>
      <c r="V10" s="36"/>
      <c r="W10" s="3"/>
      <c r="X10" s="3"/>
    </row>
    <row r="11" spans="1:24" ht="15.5" hidden="1">
      <c r="A11" s="3">
        <v>9</v>
      </c>
      <c r="B11" s="3"/>
      <c r="C11" s="3" t="s">
        <v>96</v>
      </c>
      <c r="D11" s="3" t="s">
        <v>5</v>
      </c>
      <c r="E11" s="3" t="s">
        <v>330</v>
      </c>
      <c r="F11" s="87">
        <v>1288.931</v>
      </c>
      <c r="G11" s="3" t="s">
        <v>281</v>
      </c>
      <c r="H11" s="66" t="s">
        <v>314</v>
      </c>
      <c r="I11" s="83"/>
      <c r="J11" s="8"/>
      <c r="K11" s="8"/>
      <c r="L11" s="82"/>
      <c r="M11" s="16"/>
      <c r="N11" s="16"/>
      <c r="O11" s="35"/>
      <c r="P11" s="35"/>
      <c r="Q11" s="35"/>
      <c r="R11" s="82"/>
      <c r="S11" s="3"/>
      <c r="T11" s="36"/>
      <c r="U11" s="36"/>
      <c r="V11" s="36"/>
      <c r="W11" s="3"/>
      <c r="X11" s="3"/>
    </row>
    <row r="12" spans="1:24" ht="15.5">
      <c r="A12" s="3">
        <v>10</v>
      </c>
      <c r="B12" s="3"/>
      <c r="C12" s="3" t="s">
        <v>5</v>
      </c>
      <c r="D12" s="3" t="s">
        <v>97</v>
      </c>
      <c r="E12" s="3" t="s">
        <v>325</v>
      </c>
      <c r="F12" s="87">
        <v>1584.22</v>
      </c>
      <c r="G12" s="3" t="s">
        <v>281</v>
      </c>
      <c r="H12" s="66" t="s">
        <v>43</v>
      </c>
      <c r="I12" s="3"/>
      <c r="J12" s="8"/>
      <c r="K12" s="8"/>
      <c r="L12" s="3"/>
      <c r="M12" s="16"/>
      <c r="N12" s="16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5" hidden="1">
      <c r="A13" s="3">
        <v>11</v>
      </c>
      <c r="B13" s="3"/>
      <c r="C13" s="3" t="s">
        <v>97</v>
      </c>
      <c r="D13" s="3" t="s">
        <v>99</v>
      </c>
      <c r="E13" s="3" t="s">
        <v>98</v>
      </c>
      <c r="F13" s="87">
        <v>709.97900000000004</v>
      </c>
      <c r="G13" s="3" t="s">
        <v>282</v>
      </c>
      <c r="H13" s="66" t="s">
        <v>315</v>
      </c>
      <c r="I13" s="3"/>
      <c r="J13" s="8"/>
      <c r="K13" s="8"/>
      <c r="L13" s="3"/>
      <c r="M13" s="16"/>
      <c r="N13" s="16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5" hidden="1">
      <c r="A14" s="3">
        <v>12</v>
      </c>
      <c r="B14" s="3"/>
      <c r="C14" s="3" t="s">
        <v>99</v>
      </c>
      <c r="D14" s="3" t="s">
        <v>100</v>
      </c>
      <c r="E14" s="3"/>
      <c r="F14" s="87">
        <v>339.13</v>
      </c>
      <c r="G14" s="3" t="s">
        <v>282</v>
      </c>
      <c r="H14" s="66" t="s">
        <v>315</v>
      </c>
      <c r="I14" s="3"/>
      <c r="J14" s="8"/>
      <c r="K14" s="8"/>
      <c r="L14" s="3"/>
      <c r="M14" s="16"/>
      <c r="N14" s="16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5" hidden="1">
      <c r="A15" s="3">
        <v>13</v>
      </c>
      <c r="B15" s="3"/>
      <c r="C15" s="3" t="s">
        <v>100</v>
      </c>
      <c r="D15" s="3" t="s">
        <v>6</v>
      </c>
      <c r="E15" s="3"/>
      <c r="F15" s="87">
        <v>620</v>
      </c>
      <c r="G15" s="3" t="s">
        <v>282</v>
      </c>
      <c r="H15" s="66" t="s">
        <v>315</v>
      </c>
      <c r="I15" s="3"/>
      <c r="J15" s="8"/>
      <c r="K15" s="8"/>
      <c r="L15" s="3"/>
      <c r="M15" s="16"/>
      <c r="N15" s="16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5" hidden="1">
      <c r="A16" s="3">
        <v>14</v>
      </c>
      <c r="B16" s="3"/>
      <c r="C16" s="3" t="s">
        <v>6</v>
      </c>
      <c r="D16" s="3" t="s">
        <v>7</v>
      </c>
      <c r="E16" s="3"/>
      <c r="F16" s="87">
        <v>620.05999999999995</v>
      </c>
      <c r="G16" s="3" t="s">
        <v>282</v>
      </c>
      <c r="H16" s="66" t="s">
        <v>315</v>
      </c>
      <c r="I16" s="3"/>
      <c r="J16" s="8"/>
      <c r="K16" s="8"/>
      <c r="L16" s="3"/>
      <c r="M16" s="16"/>
      <c r="N16" s="16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5" hidden="1">
      <c r="A17" s="3">
        <v>15</v>
      </c>
      <c r="B17" s="3"/>
      <c r="C17" s="3" t="s">
        <v>7</v>
      </c>
      <c r="D17" s="3" t="s">
        <v>8</v>
      </c>
      <c r="E17" s="3"/>
      <c r="F17" s="87">
        <v>535.07000000000005</v>
      </c>
      <c r="G17" s="3" t="s">
        <v>282</v>
      </c>
      <c r="H17" s="66" t="s">
        <v>315</v>
      </c>
      <c r="I17" s="3"/>
      <c r="J17" s="8"/>
      <c r="K17" s="8"/>
      <c r="L17" s="3"/>
      <c r="M17" s="16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5" hidden="1">
      <c r="A18" s="3">
        <v>16</v>
      </c>
      <c r="B18" s="3"/>
      <c r="C18" s="3" t="s">
        <v>8</v>
      </c>
      <c r="D18" s="3" t="s">
        <v>9</v>
      </c>
      <c r="E18" s="3" t="s">
        <v>331</v>
      </c>
      <c r="F18" s="87">
        <v>2201.62</v>
      </c>
      <c r="G18" s="3" t="s">
        <v>281</v>
      </c>
      <c r="H18" s="66" t="s">
        <v>315</v>
      </c>
      <c r="I18" s="3"/>
      <c r="J18" s="8"/>
      <c r="K18" s="8"/>
      <c r="L18" s="3"/>
      <c r="M18" s="16"/>
      <c r="N18" s="16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5" hidden="1">
      <c r="A19" s="3">
        <v>17</v>
      </c>
      <c r="B19" s="3"/>
      <c r="C19" s="3" t="s">
        <v>9</v>
      </c>
      <c r="D19" s="3" t="s">
        <v>102</v>
      </c>
      <c r="E19" s="3" t="s">
        <v>326</v>
      </c>
      <c r="F19" s="87">
        <v>1217.54</v>
      </c>
      <c r="G19" s="3" t="s">
        <v>281</v>
      </c>
      <c r="H19" s="66" t="s">
        <v>315</v>
      </c>
      <c r="I19" s="3"/>
      <c r="J19" s="8"/>
      <c r="K19" s="8"/>
      <c r="L19" s="3"/>
      <c r="M19" s="16"/>
      <c r="N19" s="16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5" hidden="1">
      <c r="A20" s="3">
        <v>18</v>
      </c>
      <c r="B20" s="3"/>
      <c r="C20" s="3" t="s">
        <v>102</v>
      </c>
      <c r="D20" s="3" t="s">
        <v>104</v>
      </c>
      <c r="E20" s="3" t="s">
        <v>103</v>
      </c>
      <c r="F20" s="87">
        <v>767</v>
      </c>
      <c r="G20" s="3" t="s">
        <v>282</v>
      </c>
      <c r="H20" s="66" t="s">
        <v>315</v>
      </c>
      <c r="I20" s="3"/>
      <c r="J20" s="8"/>
      <c r="K20" s="8"/>
      <c r="L20" s="3"/>
      <c r="M20" s="16"/>
      <c r="N20" s="16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5" hidden="1">
      <c r="A21" s="3">
        <v>19</v>
      </c>
      <c r="B21" s="3"/>
      <c r="C21" s="3" t="s">
        <v>104</v>
      </c>
      <c r="D21" s="3" t="s">
        <v>105</v>
      </c>
      <c r="E21" s="3"/>
      <c r="F21" s="87">
        <v>250</v>
      </c>
      <c r="G21" s="88" t="s">
        <v>287</v>
      </c>
      <c r="H21" s="66" t="s">
        <v>314</v>
      </c>
      <c r="I21" s="3"/>
      <c r="J21" s="8"/>
      <c r="K21" s="8"/>
      <c r="L21" s="3"/>
      <c r="M21" s="16"/>
      <c r="N21" s="16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5" hidden="1">
      <c r="A22" s="3">
        <v>20</v>
      </c>
      <c r="B22" s="3"/>
      <c r="C22" s="3" t="s">
        <v>105</v>
      </c>
      <c r="D22" s="3" t="s">
        <v>107</v>
      </c>
      <c r="E22" s="3" t="s">
        <v>106</v>
      </c>
      <c r="F22" s="87">
        <v>833.85</v>
      </c>
      <c r="G22" s="3" t="s">
        <v>282</v>
      </c>
      <c r="H22" s="66" t="s">
        <v>314</v>
      </c>
      <c r="I22" s="3"/>
      <c r="J22" s="8"/>
      <c r="K22" s="8"/>
      <c r="L22" s="3"/>
      <c r="M22" s="16"/>
      <c r="N22" s="16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5" hidden="1">
      <c r="A23" s="3">
        <v>21</v>
      </c>
      <c r="B23" s="3"/>
      <c r="C23" s="3" t="s">
        <v>107</v>
      </c>
      <c r="D23" s="3" t="s">
        <v>10</v>
      </c>
      <c r="E23" s="3"/>
      <c r="F23" s="87">
        <v>360.67</v>
      </c>
      <c r="G23" s="3" t="s">
        <v>282</v>
      </c>
      <c r="H23" s="66" t="s">
        <v>315</v>
      </c>
      <c r="I23" s="3"/>
      <c r="J23" s="8"/>
      <c r="K23" s="8"/>
      <c r="L23" s="3"/>
      <c r="M23" s="16"/>
      <c r="N23" s="16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5" hidden="1">
      <c r="A24" s="3">
        <v>22</v>
      </c>
      <c r="B24" s="3"/>
      <c r="C24" s="3" t="s">
        <v>10</v>
      </c>
      <c r="D24" s="3" t="s">
        <v>108</v>
      </c>
      <c r="E24" s="3"/>
      <c r="F24" s="87">
        <v>247.87100000000001</v>
      </c>
      <c r="G24" s="88" t="s">
        <v>287</v>
      </c>
      <c r="H24" s="66" t="s">
        <v>315</v>
      </c>
      <c r="I24" s="3"/>
      <c r="J24" s="8"/>
      <c r="K24" s="8"/>
      <c r="L24" s="3"/>
      <c r="M24" s="16"/>
      <c r="N24" s="16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5" hidden="1">
      <c r="A25" s="3">
        <v>23</v>
      </c>
      <c r="B25" s="3"/>
      <c r="C25" s="3" t="s">
        <v>108</v>
      </c>
      <c r="D25" s="3" t="s">
        <v>86</v>
      </c>
      <c r="E25" s="3"/>
      <c r="F25" s="87">
        <v>459.99799999999999</v>
      </c>
      <c r="G25" s="3" t="s">
        <v>282</v>
      </c>
      <c r="H25" s="66" t="s">
        <v>314</v>
      </c>
      <c r="I25" s="3"/>
      <c r="J25" s="8"/>
      <c r="K25" s="8"/>
      <c r="L25" s="3"/>
      <c r="M25" s="16"/>
      <c r="N25" s="16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5" hidden="1">
      <c r="A26" s="3">
        <v>24</v>
      </c>
      <c r="B26" s="3"/>
      <c r="C26" s="3" t="s">
        <v>86</v>
      </c>
      <c r="D26" s="3" t="s">
        <v>11</v>
      </c>
      <c r="E26" s="3"/>
      <c r="F26" s="87">
        <v>455.96300000000002</v>
      </c>
      <c r="G26" s="88" t="s">
        <v>287</v>
      </c>
      <c r="H26" s="66" t="s">
        <v>314</v>
      </c>
      <c r="I26" s="3"/>
      <c r="J26" s="8"/>
      <c r="K26" s="8"/>
      <c r="L26" s="3"/>
      <c r="M26" s="16"/>
      <c r="N26" s="16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5" hidden="1">
      <c r="A27" s="3">
        <v>25</v>
      </c>
      <c r="B27" s="3"/>
      <c r="C27" s="3" t="s">
        <v>11</v>
      </c>
      <c r="D27" s="3" t="s">
        <v>109</v>
      </c>
      <c r="E27" s="3" t="s">
        <v>332</v>
      </c>
      <c r="F27" s="87">
        <v>1116.114</v>
      </c>
      <c r="G27" s="3" t="s">
        <v>281</v>
      </c>
      <c r="H27" s="66" t="s">
        <v>314</v>
      </c>
      <c r="I27" s="3"/>
      <c r="J27" s="8"/>
      <c r="K27" s="8"/>
      <c r="L27" s="3"/>
      <c r="M27" s="16"/>
      <c r="N27" s="16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5" hidden="1">
      <c r="A28" s="3">
        <v>26</v>
      </c>
      <c r="B28" s="3"/>
      <c r="C28" s="3" t="s">
        <v>109</v>
      </c>
      <c r="D28" s="3" t="s">
        <v>110</v>
      </c>
      <c r="E28" s="3"/>
      <c r="F28" s="87">
        <v>460.541</v>
      </c>
      <c r="G28" s="3" t="s">
        <v>282</v>
      </c>
      <c r="H28" s="66" t="s">
        <v>314</v>
      </c>
      <c r="I28" s="3"/>
      <c r="J28" s="8"/>
      <c r="K28" s="8"/>
      <c r="L28" s="3"/>
      <c r="M28" s="16"/>
      <c r="N28" s="16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5" hidden="1">
      <c r="A29" s="3">
        <v>27</v>
      </c>
      <c r="B29" s="3"/>
      <c r="C29" s="3" t="s">
        <v>110</v>
      </c>
      <c r="D29" s="3" t="s">
        <v>112</v>
      </c>
      <c r="E29" s="3" t="s">
        <v>111</v>
      </c>
      <c r="F29" s="87">
        <v>716.09</v>
      </c>
      <c r="G29" s="3" t="s">
        <v>282</v>
      </c>
      <c r="H29" s="66" t="s">
        <v>314</v>
      </c>
      <c r="I29" s="3"/>
      <c r="J29" s="8"/>
      <c r="K29" s="8"/>
      <c r="L29" s="3"/>
      <c r="M29" s="16"/>
      <c r="N29" s="16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5" hidden="1">
      <c r="A30" s="3">
        <v>28</v>
      </c>
      <c r="B30" s="3"/>
      <c r="C30" s="3" t="s">
        <v>112</v>
      </c>
      <c r="D30" s="3" t="s">
        <v>127</v>
      </c>
      <c r="E30" s="3"/>
      <c r="F30" s="87">
        <v>340</v>
      </c>
      <c r="G30" s="3" t="s">
        <v>282</v>
      </c>
      <c r="H30" s="66" t="s">
        <v>315</v>
      </c>
      <c r="I30" s="3"/>
      <c r="J30" s="8"/>
      <c r="K30" s="8"/>
      <c r="L30" s="3"/>
      <c r="M30" s="16"/>
      <c r="N30" s="16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5" hidden="1">
      <c r="A31" s="3">
        <v>29</v>
      </c>
      <c r="B31" s="3"/>
      <c r="C31" s="3" t="s">
        <v>127</v>
      </c>
      <c r="D31" s="3" t="s">
        <v>12</v>
      </c>
      <c r="E31" s="3"/>
      <c r="F31" s="87">
        <v>360.1</v>
      </c>
      <c r="G31" s="3" t="s">
        <v>282</v>
      </c>
      <c r="H31" s="66" t="s">
        <v>315</v>
      </c>
      <c r="I31" s="3"/>
      <c r="J31" s="8"/>
      <c r="K31" s="8"/>
      <c r="L31" s="3"/>
      <c r="M31" s="16"/>
      <c r="N31" s="16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5" hidden="1">
      <c r="A32" s="3">
        <v>30</v>
      </c>
      <c r="B32" s="3"/>
      <c r="C32" s="3" t="s">
        <v>12</v>
      </c>
      <c r="D32" s="3" t="s">
        <v>113</v>
      </c>
      <c r="E32" s="3"/>
      <c r="F32" s="87">
        <v>204</v>
      </c>
      <c r="G32" s="88" t="s">
        <v>287</v>
      </c>
      <c r="H32" s="66" t="s">
        <v>314</v>
      </c>
      <c r="I32" s="3"/>
      <c r="J32" s="8"/>
      <c r="K32" s="8"/>
      <c r="L32" s="3"/>
      <c r="M32" s="16"/>
      <c r="N32" s="16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5" hidden="1">
      <c r="A33" s="3">
        <v>31</v>
      </c>
      <c r="B33" s="3"/>
      <c r="C33" s="3" t="s">
        <v>113</v>
      </c>
      <c r="D33" s="3" t="s">
        <v>114</v>
      </c>
      <c r="E33" s="3" t="s">
        <v>333</v>
      </c>
      <c r="F33" s="87">
        <v>2659.63</v>
      </c>
      <c r="G33" s="3" t="s">
        <v>281</v>
      </c>
      <c r="H33" s="66" t="s">
        <v>314</v>
      </c>
      <c r="I33" s="3"/>
      <c r="J33" s="8"/>
      <c r="K33" s="8"/>
      <c r="L33" s="3"/>
      <c r="M33" s="16"/>
      <c r="N33" s="16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5" hidden="1">
      <c r="A34" s="3">
        <v>32</v>
      </c>
      <c r="B34" s="3"/>
      <c r="C34" s="3" t="s">
        <v>114</v>
      </c>
      <c r="D34" s="3" t="s">
        <v>115</v>
      </c>
      <c r="E34" s="3"/>
      <c r="F34" s="87">
        <v>164.303</v>
      </c>
      <c r="G34" s="3" t="s">
        <v>282</v>
      </c>
      <c r="H34" s="66" t="s">
        <v>314</v>
      </c>
      <c r="I34" s="3"/>
      <c r="J34" s="8"/>
      <c r="K34" s="8"/>
      <c r="L34" s="3"/>
      <c r="M34" s="16"/>
      <c r="N34" s="16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5" hidden="1">
      <c r="A35" s="3">
        <v>33</v>
      </c>
      <c r="B35" s="3"/>
      <c r="C35" s="3" t="s">
        <v>115</v>
      </c>
      <c r="D35" s="3" t="s">
        <v>13</v>
      </c>
      <c r="E35" s="3"/>
      <c r="F35" s="87">
        <v>277.27</v>
      </c>
      <c r="G35" s="88" t="s">
        <v>287</v>
      </c>
      <c r="H35" s="66" t="s">
        <v>314</v>
      </c>
      <c r="I35" s="3"/>
      <c r="J35" s="8"/>
      <c r="K35" s="8"/>
      <c r="L35" s="3"/>
      <c r="M35" s="16"/>
      <c r="N35" s="16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5" hidden="1">
      <c r="A36" s="3">
        <v>34</v>
      </c>
      <c r="B36" s="3"/>
      <c r="C36" s="3" t="s">
        <v>13</v>
      </c>
      <c r="D36" s="3" t="s">
        <v>116</v>
      </c>
      <c r="E36" s="3"/>
      <c r="F36" s="87">
        <v>451.67899999999997</v>
      </c>
      <c r="G36" s="88" t="s">
        <v>287</v>
      </c>
      <c r="H36" s="66" t="s">
        <v>314</v>
      </c>
      <c r="I36" s="3"/>
      <c r="J36" s="8"/>
      <c r="K36" s="8"/>
      <c r="L36" s="3"/>
      <c r="M36" s="16"/>
      <c r="N36" s="16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5" hidden="1">
      <c r="A37" s="3">
        <v>35</v>
      </c>
      <c r="B37" s="3"/>
      <c r="C37" s="3" t="s">
        <v>116</v>
      </c>
      <c r="D37" s="3" t="s">
        <v>90</v>
      </c>
      <c r="E37" s="3" t="s">
        <v>334</v>
      </c>
      <c r="F37" s="87">
        <v>2776</v>
      </c>
      <c r="G37" s="3" t="s">
        <v>281</v>
      </c>
      <c r="H37" s="66" t="s">
        <v>315</v>
      </c>
      <c r="I37" s="3"/>
      <c r="J37" s="8"/>
      <c r="K37" s="8"/>
      <c r="L37" s="3"/>
      <c r="M37" s="16"/>
      <c r="N37" s="16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5" hidden="1">
      <c r="A38" s="3">
        <v>36</v>
      </c>
      <c r="B38" s="3"/>
      <c r="C38" s="3" t="s">
        <v>90</v>
      </c>
      <c r="D38" s="3" t="s">
        <v>14</v>
      </c>
      <c r="E38" s="3"/>
      <c r="F38" s="87">
        <v>344.26799999999997</v>
      </c>
      <c r="G38" s="3" t="s">
        <v>282</v>
      </c>
      <c r="H38" s="66" t="s">
        <v>314</v>
      </c>
      <c r="I38" s="3"/>
      <c r="J38" s="8"/>
      <c r="K38" s="8"/>
      <c r="L38" s="3"/>
      <c r="M38" s="16"/>
      <c r="N38" s="16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5" hidden="1">
      <c r="A39" s="3">
        <v>37</v>
      </c>
      <c r="B39" s="3"/>
      <c r="C39" s="3" t="s">
        <v>14</v>
      </c>
      <c r="D39" s="3" t="s">
        <v>15</v>
      </c>
      <c r="E39" s="3"/>
      <c r="F39" s="87">
        <v>251.64500000000001</v>
      </c>
      <c r="G39" s="88" t="s">
        <v>287</v>
      </c>
      <c r="H39" s="66" t="s">
        <v>314</v>
      </c>
      <c r="I39" s="3"/>
      <c r="J39" s="8"/>
      <c r="K39" s="8"/>
      <c r="L39" s="3"/>
      <c r="M39" s="16"/>
      <c r="N39" s="16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5" hidden="1">
      <c r="A40" s="3">
        <v>38</v>
      </c>
      <c r="B40" s="3"/>
      <c r="C40" s="3" t="s">
        <v>15</v>
      </c>
      <c r="D40" s="3" t="s">
        <v>117</v>
      </c>
      <c r="E40" s="3" t="s">
        <v>335</v>
      </c>
      <c r="F40" s="87">
        <v>2077.9969999999998</v>
      </c>
      <c r="G40" s="3" t="s">
        <v>281</v>
      </c>
      <c r="H40" s="66" t="s">
        <v>314</v>
      </c>
      <c r="I40" s="3"/>
      <c r="J40" s="8"/>
      <c r="K40" s="8"/>
      <c r="L40" s="3"/>
      <c r="M40" s="16"/>
      <c r="N40" s="16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5" hidden="1">
      <c r="A41" s="3">
        <v>39</v>
      </c>
      <c r="B41" s="3"/>
      <c r="C41" s="3" t="s">
        <v>117</v>
      </c>
      <c r="D41" s="3" t="s">
        <v>118</v>
      </c>
      <c r="E41" s="3"/>
      <c r="F41" s="87">
        <v>508.08800000000002</v>
      </c>
      <c r="G41" s="3" t="s">
        <v>282</v>
      </c>
      <c r="H41" s="66" t="s">
        <v>314</v>
      </c>
      <c r="I41" s="3"/>
      <c r="J41" s="8"/>
      <c r="K41" s="8"/>
      <c r="L41" s="3"/>
      <c r="M41" s="16"/>
      <c r="N41" s="16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5" hidden="1">
      <c r="A42" s="3">
        <v>40</v>
      </c>
      <c r="B42" s="3"/>
      <c r="C42" s="3" t="s">
        <v>118</v>
      </c>
      <c r="D42" s="3" t="s">
        <v>16</v>
      </c>
      <c r="E42" s="3"/>
      <c r="F42" s="87">
        <v>258.00200000000001</v>
      </c>
      <c r="G42" s="88" t="s">
        <v>287</v>
      </c>
      <c r="H42" s="66" t="s">
        <v>315</v>
      </c>
      <c r="I42" s="3"/>
      <c r="J42" s="8"/>
      <c r="K42" s="8"/>
      <c r="L42" s="3"/>
      <c r="M42" s="16"/>
      <c r="N42" s="16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5" hidden="1">
      <c r="A43" s="3">
        <v>41</v>
      </c>
      <c r="B43" s="3"/>
      <c r="C43" s="3" t="s">
        <v>16</v>
      </c>
      <c r="D43" s="3" t="s">
        <v>119</v>
      </c>
      <c r="E43" s="3"/>
      <c r="F43" s="87">
        <v>281</v>
      </c>
      <c r="G43" s="3" t="s">
        <v>282</v>
      </c>
      <c r="H43" s="66" t="s">
        <v>315</v>
      </c>
      <c r="I43" s="3"/>
      <c r="J43" s="8"/>
      <c r="K43" s="8"/>
      <c r="L43" s="3"/>
      <c r="M43" s="16"/>
      <c r="N43" s="16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5" hidden="1">
      <c r="A44" s="3">
        <v>42</v>
      </c>
      <c r="B44" s="3"/>
      <c r="C44" s="3" t="s">
        <v>119</v>
      </c>
      <c r="D44" s="3" t="s">
        <v>120</v>
      </c>
      <c r="E44" s="3"/>
      <c r="F44" s="87">
        <v>367.61</v>
      </c>
      <c r="G44" s="3" t="s">
        <v>282</v>
      </c>
      <c r="H44" s="66" t="s">
        <v>315</v>
      </c>
      <c r="I44" s="3"/>
      <c r="J44" s="8"/>
      <c r="K44" s="8"/>
      <c r="L44" s="3"/>
      <c r="M44" s="16"/>
      <c r="N44" s="16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5" hidden="1">
      <c r="A45" s="3">
        <v>43</v>
      </c>
      <c r="B45" s="3"/>
      <c r="C45" s="3" t="s">
        <v>120</v>
      </c>
      <c r="D45" s="3" t="s">
        <v>244</v>
      </c>
      <c r="E45" s="3"/>
      <c r="F45" s="87">
        <v>266.99</v>
      </c>
      <c r="G45" s="3" t="s">
        <v>282</v>
      </c>
      <c r="H45" s="66" t="s">
        <v>315</v>
      </c>
      <c r="I45" s="3"/>
      <c r="J45" s="8"/>
      <c r="K45" s="8"/>
      <c r="L45" s="3"/>
      <c r="M45" s="16"/>
      <c r="N45" s="16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5" hidden="1">
      <c r="A46" s="3">
        <v>44</v>
      </c>
      <c r="B46" s="3"/>
      <c r="C46" s="3" t="s">
        <v>244</v>
      </c>
      <c r="D46" s="3" t="s">
        <v>121</v>
      </c>
      <c r="E46" s="3"/>
      <c r="F46" s="87">
        <v>500.05</v>
      </c>
      <c r="G46" s="3" t="s">
        <v>282</v>
      </c>
      <c r="H46" s="66" t="s">
        <v>315</v>
      </c>
      <c r="I46" s="3"/>
      <c r="J46" s="8"/>
      <c r="K46" s="8"/>
      <c r="L46" s="3"/>
      <c r="M46" s="16"/>
      <c r="N46" s="16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5" hidden="1">
      <c r="A47" s="3">
        <v>45</v>
      </c>
      <c r="B47" s="3"/>
      <c r="C47" s="3" t="s">
        <v>121</v>
      </c>
      <c r="D47" s="3" t="s">
        <v>17</v>
      </c>
      <c r="E47" s="3"/>
      <c r="F47" s="87">
        <v>295</v>
      </c>
      <c r="G47" s="88" t="s">
        <v>287</v>
      </c>
      <c r="H47" s="66" t="s">
        <v>315</v>
      </c>
      <c r="I47" s="3"/>
      <c r="J47" s="8"/>
      <c r="K47" s="8"/>
      <c r="L47" s="3"/>
      <c r="M47" s="16"/>
      <c r="N47" s="16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5" hidden="1">
      <c r="A48" s="3">
        <v>46</v>
      </c>
      <c r="B48" s="3"/>
      <c r="C48" s="3" t="s">
        <v>17</v>
      </c>
      <c r="D48" s="3" t="s">
        <v>245</v>
      </c>
      <c r="E48" s="3" t="s">
        <v>336</v>
      </c>
      <c r="F48" s="87">
        <v>1184.01</v>
      </c>
      <c r="G48" s="3" t="s">
        <v>281</v>
      </c>
      <c r="H48" s="66" t="s">
        <v>315</v>
      </c>
      <c r="I48" s="3"/>
      <c r="J48" s="8"/>
      <c r="K48" s="8"/>
      <c r="L48" s="3"/>
      <c r="M48" s="16"/>
      <c r="N48" s="16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5" hidden="1">
      <c r="A49" s="3">
        <v>47</v>
      </c>
      <c r="B49" s="3"/>
      <c r="C49" s="3" t="s">
        <v>245</v>
      </c>
      <c r="D49" s="3" t="s">
        <v>128</v>
      </c>
      <c r="E49" s="3"/>
      <c r="F49" s="87">
        <v>490.15</v>
      </c>
      <c r="G49" s="3" t="s">
        <v>282</v>
      </c>
      <c r="H49" s="66" t="s">
        <v>315</v>
      </c>
      <c r="I49" s="3"/>
      <c r="J49" s="8"/>
      <c r="K49" s="8"/>
      <c r="L49" s="3"/>
      <c r="M49" s="16"/>
      <c r="N49" s="16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5" hidden="1">
      <c r="A50" s="3">
        <v>48</v>
      </c>
      <c r="B50" s="3"/>
      <c r="C50" s="3" t="s">
        <v>128</v>
      </c>
      <c r="D50" s="3" t="s">
        <v>129</v>
      </c>
      <c r="E50" s="3"/>
      <c r="F50" s="87">
        <v>295.36</v>
      </c>
      <c r="G50" s="3" t="s">
        <v>282</v>
      </c>
      <c r="H50" s="66" t="s">
        <v>315</v>
      </c>
      <c r="I50" s="3"/>
      <c r="J50" s="8"/>
      <c r="K50" s="8"/>
      <c r="L50" s="3"/>
      <c r="M50" s="16"/>
      <c r="N50" s="16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5" hidden="1">
      <c r="A51" s="3">
        <v>49</v>
      </c>
      <c r="B51" s="3"/>
      <c r="C51" s="3" t="s">
        <v>129</v>
      </c>
      <c r="D51" s="3" t="s">
        <v>130</v>
      </c>
      <c r="E51" s="3"/>
      <c r="F51" s="87">
        <v>257.33999999999997</v>
      </c>
      <c r="G51" s="88" t="s">
        <v>287</v>
      </c>
      <c r="H51" s="66" t="s">
        <v>315</v>
      </c>
      <c r="I51" s="3"/>
      <c r="J51" s="8"/>
      <c r="K51" s="8"/>
      <c r="L51" s="3"/>
      <c r="M51" s="16"/>
      <c r="N51" s="16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5" hidden="1">
      <c r="A52" s="3">
        <v>50</v>
      </c>
      <c r="B52" s="3"/>
      <c r="C52" s="3" t="s">
        <v>130</v>
      </c>
      <c r="D52" s="3" t="s">
        <v>131</v>
      </c>
      <c r="E52" s="3"/>
      <c r="F52" s="87">
        <v>342.99</v>
      </c>
      <c r="G52" s="3" t="s">
        <v>282</v>
      </c>
      <c r="H52" s="66" t="s">
        <v>315</v>
      </c>
      <c r="I52" s="3"/>
      <c r="J52" s="8"/>
      <c r="K52" s="8"/>
      <c r="L52" s="3"/>
      <c r="M52" s="16"/>
      <c r="N52" s="16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5" hidden="1">
      <c r="A53" s="3">
        <v>51</v>
      </c>
      <c r="B53" s="3"/>
      <c r="C53" s="3" t="s">
        <v>131</v>
      </c>
      <c r="D53" s="3" t="s">
        <v>233</v>
      </c>
      <c r="E53" s="3"/>
      <c r="F53" s="87">
        <v>335.33</v>
      </c>
      <c r="G53" s="3" t="s">
        <v>282</v>
      </c>
      <c r="H53" s="66" t="s">
        <v>315</v>
      </c>
      <c r="I53" s="3"/>
      <c r="J53" s="8"/>
      <c r="K53" s="8"/>
      <c r="L53" s="3"/>
      <c r="M53" s="16"/>
      <c r="N53" s="16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5" hidden="1">
      <c r="A54" s="3">
        <v>52</v>
      </c>
      <c r="B54" s="3"/>
      <c r="C54" s="3" t="s">
        <v>233</v>
      </c>
      <c r="D54" s="3" t="s">
        <v>234</v>
      </c>
      <c r="E54" s="3"/>
      <c r="F54" s="87">
        <v>230</v>
      </c>
      <c r="G54" s="88" t="s">
        <v>287</v>
      </c>
      <c r="H54" s="66" t="s">
        <v>315</v>
      </c>
      <c r="I54" s="3"/>
      <c r="J54" s="8"/>
      <c r="K54" s="8"/>
      <c r="L54" s="3"/>
      <c r="M54" s="16"/>
      <c r="N54" s="16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5" hidden="1">
      <c r="A55" s="3">
        <v>53</v>
      </c>
      <c r="B55" s="3"/>
      <c r="C55" s="3" t="s">
        <v>234</v>
      </c>
      <c r="D55" s="3" t="s">
        <v>235</v>
      </c>
      <c r="E55" s="3"/>
      <c r="F55" s="87">
        <v>253.62</v>
      </c>
      <c r="G55" s="3" t="s">
        <v>282</v>
      </c>
      <c r="H55" s="66" t="s">
        <v>315</v>
      </c>
      <c r="I55" s="3"/>
      <c r="J55" s="8"/>
      <c r="K55" s="8"/>
      <c r="L55" s="3"/>
      <c r="M55" s="16"/>
      <c r="N55" s="16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5" hidden="1">
      <c r="A56" s="3">
        <v>54</v>
      </c>
      <c r="B56" s="3"/>
      <c r="C56" s="3" t="s">
        <v>235</v>
      </c>
      <c r="D56" s="3" t="s">
        <v>132</v>
      </c>
      <c r="E56" s="3"/>
      <c r="F56" s="87">
        <v>333.34</v>
      </c>
      <c r="G56" s="88" t="s">
        <v>287</v>
      </c>
      <c r="H56" s="66" t="s">
        <v>315</v>
      </c>
      <c r="I56" s="3"/>
      <c r="J56" s="8"/>
      <c r="K56" s="8"/>
      <c r="L56" s="3"/>
      <c r="M56" s="16"/>
      <c r="N56" s="16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5" hidden="1">
      <c r="A57" s="3">
        <v>55</v>
      </c>
      <c r="B57" s="3"/>
      <c r="C57" s="3" t="s">
        <v>132</v>
      </c>
      <c r="D57" s="3" t="s">
        <v>133</v>
      </c>
      <c r="E57" s="3"/>
      <c r="F57" s="87">
        <v>392.23</v>
      </c>
      <c r="G57" s="3" t="s">
        <v>282</v>
      </c>
      <c r="H57" s="66" t="s">
        <v>314</v>
      </c>
      <c r="I57" s="3"/>
      <c r="J57" s="8"/>
      <c r="K57" s="8"/>
      <c r="L57" s="3"/>
      <c r="M57" s="16"/>
      <c r="N57" s="16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5" hidden="1">
      <c r="A58" s="3">
        <v>56</v>
      </c>
      <c r="B58" s="3"/>
      <c r="C58" s="3" t="s">
        <v>133</v>
      </c>
      <c r="D58" s="3" t="s">
        <v>18</v>
      </c>
      <c r="E58" s="3"/>
      <c r="F58" s="87">
        <v>248.00200000000001</v>
      </c>
      <c r="G58" s="88" t="s">
        <v>287</v>
      </c>
      <c r="H58" s="66" t="s">
        <v>315</v>
      </c>
      <c r="I58" s="3"/>
      <c r="J58" s="8"/>
      <c r="K58" s="8"/>
      <c r="L58" s="3"/>
      <c r="M58" s="16"/>
      <c r="N58" s="16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5" hidden="1">
      <c r="A59" s="3">
        <v>57</v>
      </c>
      <c r="B59" s="3"/>
      <c r="C59" s="3" t="s">
        <v>18</v>
      </c>
      <c r="D59" s="3" t="s">
        <v>134</v>
      </c>
      <c r="E59" s="3"/>
      <c r="F59" s="87">
        <v>328.49599999999998</v>
      </c>
      <c r="G59" s="88" t="s">
        <v>287</v>
      </c>
      <c r="H59" s="66" t="s">
        <v>315</v>
      </c>
      <c r="I59" s="3"/>
      <c r="J59" s="8"/>
      <c r="K59" s="8"/>
      <c r="L59" s="3"/>
      <c r="M59" s="16"/>
      <c r="N59" s="16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5" hidden="1">
      <c r="A60" s="3">
        <v>58</v>
      </c>
      <c r="B60" s="3"/>
      <c r="C60" s="3" t="s">
        <v>134</v>
      </c>
      <c r="D60" s="3" t="s">
        <v>246</v>
      </c>
      <c r="E60" s="3"/>
      <c r="F60" s="87">
        <v>382.995</v>
      </c>
      <c r="G60" s="88" t="s">
        <v>287</v>
      </c>
      <c r="H60" s="66" t="s">
        <v>315</v>
      </c>
      <c r="I60" s="3"/>
      <c r="J60" s="8"/>
      <c r="K60" s="8"/>
      <c r="L60" s="3"/>
      <c r="M60" s="16"/>
      <c r="N60" s="16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5" hidden="1">
      <c r="A61" s="3">
        <v>59</v>
      </c>
      <c r="B61" s="3"/>
      <c r="C61" s="3" t="s">
        <v>246</v>
      </c>
      <c r="D61" s="3" t="s">
        <v>135</v>
      </c>
      <c r="E61" s="3"/>
      <c r="F61" s="87">
        <v>401.589</v>
      </c>
      <c r="G61" s="3" t="s">
        <v>282</v>
      </c>
      <c r="H61" s="66" t="s">
        <v>315</v>
      </c>
      <c r="I61" s="3"/>
      <c r="J61" s="8"/>
      <c r="K61" s="8"/>
      <c r="L61" s="3"/>
      <c r="M61" s="16"/>
      <c r="N61" s="16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5" hidden="1">
      <c r="A62" s="3">
        <v>60</v>
      </c>
      <c r="B62" s="3"/>
      <c r="C62" s="3" t="s">
        <v>135</v>
      </c>
      <c r="D62" s="3" t="s">
        <v>136</v>
      </c>
      <c r="E62" s="3"/>
      <c r="F62" s="87">
        <v>285.05500000000001</v>
      </c>
      <c r="G62" s="88" t="s">
        <v>287</v>
      </c>
      <c r="H62" s="66" t="s">
        <v>315</v>
      </c>
      <c r="I62" s="3"/>
      <c r="J62" s="8"/>
      <c r="K62" s="8"/>
      <c r="L62" s="3"/>
      <c r="M62" s="16"/>
      <c r="N62" s="16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5" hidden="1">
      <c r="A63" s="3">
        <v>61</v>
      </c>
      <c r="B63" s="3"/>
      <c r="C63" s="3" t="s">
        <v>136</v>
      </c>
      <c r="D63" s="3" t="s">
        <v>137</v>
      </c>
      <c r="E63" s="3" t="s">
        <v>337</v>
      </c>
      <c r="F63" s="87">
        <v>2297.9960000000001</v>
      </c>
      <c r="G63" s="3" t="s">
        <v>281</v>
      </c>
      <c r="H63" s="66" t="s">
        <v>315</v>
      </c>
      <c r="I63" s="3"/>
      <c r="J63" s="8"/>
      <c r="K63" s="8"/>
      <c r="L63" s="3"/>
      <c r="M63" s="16"/>
      <c r="N63" s="16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5" hidden="1">
      <c r="A64" s="3">
        <v>62</v>
      </c>
      <c r="B64" s="3"/>
      <c r="C64" s="3" t="s">
        <v>137</v>
      </c>
      <c r="D64" s="3" t="s">
        <v>19</v>
      </c>
      <c r="E64" s="3" t="s">
        <v>93</v>
      </c>
      <c r="F64" s="87">
        <v>730.096</v>
      </c>
      <c r="G64" s="3" t="s">
        <v>282</v>
      </c>
      <c r="H64" s="66" t="s">
        <v>315</v>
      </c>
      <c r="I64" s="3"/>
      <c r="J64" s="8"/>
      <c r="K64" s="8"/>
      <c r="L64" s="3"/>
      <c r="M64" s="16"/>
      <c r="N64" s="16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5" hidden="1">
      <c r="A65" s="3">
        <v>63</v>
      </c>
      <c r="B65" s="3"/>
      <c r="C65" s="3" t="s">
        <v>19</v>
      </c>
      <c r="D65" s="3" t="s">
        <v>138</v>
      </c>
      <c r="E65" s="3"/>
      <c r="F65" s="87">
        <v>280</v>
      </c>
      <c r="G65" s="3" t="s">
        <v>282</v>
      </c>
      <c r="H65" s="66" t="s">
        <v>314</v>
      </c>
      <c r="I65" s="3"/>
      <c r="J65" s="8"/>
      <c r="K65" s="8"/>
      <c r="L65" s="3"/>
      <c r="M65" s="16"/>
      <c r="N65" s="16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5" hidden="1">
      <c r="A66" s="3">
        <v>64</v>
      </c>
      <c r="B66" s="3"/>
      <c r="C66" s="3" t="s">
        <v>138</v>
      </c>
      <c r="D66" s="3" t="s">
        <v>139</v>
      </c>
      <c r="E66" s="3"/>
      <c r="F66" s="87">
        <v>576.14499999999998</v>
      </c>
      <c r="G66" s="3" t="s">
        <v>282</v>
      </c>
      <c r="H66" s="66" t="s">
        <v>315</v>
      </c>
      <c r="I66" s="3"/>
      <c r="J66" s="8"/>
      <c r="K66" s="8"/>
      <c r="L66" s="3"/>
      <c r="M66" s="16"/>
      <c r="N66" s="16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5" hidden="1">
      <c r="A67" s="3">
        <v>65</v>
      </c>
      <c r="B67" s="3"/>
      <c r="C67" s="3" t="s">
        <v>139</v>
      </c>
      <c r="D67" s="3" t="s">
        <v>20</v>
      </c>
      <c r="E67" s="3"/>
      <c r="F67" s="87">
        <v>255.601</v>
      </c>
      <c r="G67" s="88" t="s">
        <v>287</v>
      </c>
      <c r="H67" s="66" t="s">
        <v>315</v>
      </c>
      <c r="I67" s="3"/>
      <c r="J67" s="8"/>
      <c r="K67" s="8"/>
      <c r="L67" s="3"/>
      <c r="M67" s="16"/>
      <c r="N67" s="16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5" hidden="1">
      <c r="A68" s="3">
        <v>66</v>
      </c>
      <c r="B68" s="3"/>
      <c r="C68" s="3" t="s">
        <v>20</v>
      </c>
      <c r="D68" s="3" t="s">
        <v>140</v>
      </c>
      <c r="E68" s="3"/>
      <c r="F68" s="87">
        <v>521.31200000000001</v>
      </c>
      <c r="G68" s="3" t="s">
        <v>282</v>
      </c>
      <c r="H68" s="66" t="s">
        <v>315</v>
      </c>
      <c r="I68" s="3"/>
      <c r="J68" s="8"/>
      <c r="K68" s="8"/>
      <c r="L68" s="3"/>
      <c r="M68" s="16"/>
      <c r="N68" s="16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5" hidden="1">
      <c r="A69" s="3">
        <v>67</v>
      </c>
      <c r="B69" s="3"/>
      <c r="C69" s="3" t="s">
        <v>140</v>
      </c>
      <c r="D69" s="3" t="s">
        <v>21</v>
      </c>
      <c r="E69" s="3"/>
      <c r="F69" s="87">
        <v>261.44600000000003</v>
      </c>
      <c r="G69" s="88" t="s">
        <v>287</v>
      </c>
      <c r="H69" s="66" t="s">
        <v>315</v>
      </c>
      <c r="I69" s="3"/>
      <c r="J69" s="8"/>
      <c r="K69" s="8"/>
      <c r="L69" s="3"/>
      <c r="M69" s="16"/>
      <c r="N69" s="16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5" hidden="1">
      <c r="A70" s="3">
        <v>68</v>
      </c>
      <c r="B70" s="3"/>
      <c r="C70" s="3" t="s">
        <v>21</v>
      </c>
      <c r="D70" s="3" t="s">
        <v>22</v>
      </c>
      <c r="E70" s="3"/>
      <c r="F70" s="87">
        <v>186.77199999999999</v>
      </c>
      <c r="G70" s="88" t="s">
        <v>287</v>
      </c>
      <c r="H70" s="66" t="s">
        <v>315</v>
      </c>
      <c r="I70" s="3"/>
      <c r="J70" s="8"/>
      <c r="K70" s="8"/>
      <c r="L70" s="3"/>
      <c r="M70" s="16"/>
      <c r="N70" s="16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5" hidden="1">
      <c r="A71" s="3">
        <v>69</v>
      </c>
      <c r="B71" s="3"/>
      <c r="C71" s="3" t="s">
        <v>22</v>
      </c>
      <c r="D71" s="3" t="s">
        <v>141</v>
      </c>
      <c r="E71" s="3" t="s">
        <v>23</v>
      </c>
      <c r="F71" s="87">
        <v>689.62900000000002</v>
      </c>
      <c r="G71" s="3" t="s">
        <v>282</v>
      </c>
      <c r="H71" s="66" t="s">
        <v>315</v>
      </c>
      <c r="I71" s="3"/>
      <c r="J71" s="8"/>
      <c r="K71" s="8"/>
      <c r="L71" s="3"/>
      <c r="M71" s="16"/>
      <c r="N71" s="16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5" hidden="1">
      <c r="A72" s="3">
        <v>70</v>
      </c>
      <c r="B72" s="3"/>
      <c r="C72" s="3" t="s">
        <v>141</v>
      </c>
      <c r="D72" s="3" t="s">
        <v>236</v>
      </c>
      <c r="E72" s="3"/>
      <c r="F72" s="87">
        <v>215.227</v>
      </c>
      <c r="G72" s="88" t="s">
        <v>287</v>
      </c>
      <c r="H72" s="66" t="s">
        <v>315</v>
      </c>
      <c r="I72" s="3"/>
      <c r="J72" s="8"/>
      <c r="K72" s="8"/>
      <c r="L72" s="3"/>
      <c r="M72" s="16"/>
      <c r="N72" s="16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5">
      <c r="A73" s="3">
        <v>71</v>
      </c>
      <c r="B73" s="3"/>
      <c r="C73" s="3" t="s">
        <v>236</v>
      </c>
      <c r="D73" s="3" t="s">
        <v>24</v>
      </c>
      <c r="E73" s="3" t="s">
        <v>338</v>
      </c>
      <c r="F73" s="87">
        <v>2633.3690000000001</v>
      </c>
      <c r="G73" s="3" t="s">
        <v>281</v>
      </c>
      <c r="H73" s="66" t="s">
        <v>43</v>
      </c>
      <c r="I73" s="3" t="s">
        <v>72</v>
      </c>
      <c r="J73" s="8"/>
      <c r="K73" s="8"/>
      <c r="L73" s="3"/>
      <c r="M73" s="16"/>
      <c r="N73" s="16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5" hidden="1">
      <c r="A74" s="3">
        <v>72</v>
      </c>
      <c r="B74" s="3"/>
      <c r="C74" s="3" t="s">
        <v>24</v>
      </c>
      <c r="D74" s="3" t="s">
        <v>142</v>
      </c>
      <c r="E74" s="3"/>
      <c r="F74" s="87">
        <v>468.00099999999998</v>
      </c>
      <c r="G74" s="88" t="s">
        <v>287</v>
      </c>
      <c r="H74" s="66" t="s">
        <v>298</v>
      </c>
      <c r="I74" s="3" t="s">
        <v>72</v>
      </c>
      <c r="J74" s="8">
        <v>46144</v>
      </c>
      <c r="K74" s="8">
        <v>46149</v>
      </c>
      <c r="L74" s="16" t="s">
        <v>49</v>
      </c>
      <c r="M74" s="16">
        <v>46145</v>
      </c>
      <c r="N74" s="16">
        <v>46149</v>
      </c>
      <c r="O74" s="3"/>
      <c r="P74" s="3"/>
      <c r="Q74" s="3"/>
      <c r="R74" s="3"/>
      <c r="S74" s="3"/>
      <c r="T74" s="3" t="s">
        <v>284</v>
      </c>
      <c r="U74" s="3">
        <v>40</v>
      </c>
      <c r="V74" s="3"/>
      <c r="W74" s="3"/>
      <c r="X74" s="88" t="s">
        <v>287</v>
      </c>
    </row>
    <row r="75" spans="1:24" ht="15.5" hidden="1">
      <c r="A75" s="3">
        <v>73</v>
      </c>
      <c r="B75" s="3"/>
      <c r="C75" s="3" t="s">
        <v>142</v>
      </c>
      <c r="D75" s="3" t="s">
        <v>143</v>
      </c>
      <c r="E75" s="3"/>
      <c r="F75" s="87">
        <v>445.52800000000002</v>
      </c>
      <c r="G75" s="3" t="s">
        <v>282</v>
      </c>
      <c r="H75" s="66" t="s">
        <v>298</v>
      </c>
      <c r="I75" s="3" t="s">
        <v>72</v>
      </c>
      <c r="J75" s="8">
        <v>46118</v>
      </c>
      <c r="K75" s="8">
        <v>46124</v>
      </c>
      <c r="L75" s="8" t="s">
        <v>49</v>
      </c>
      <c r="M75" s="16">
        <v>46119</v>
      </c>
      <c r="N75" s="16">
        <v>46124</v>
      </c>
      <c r="O75" s="3"/>
      <c r="P75" s="3" t="s">
        <v>49</v>
      </c>
      <c r="Q75" s="3" t="s">
        <v>49</v>
      </c>
      <c r="R75" s="3"/>
      <c r="S75" s="3" t="s">
        <v>49</v>
      </c>
      <c r="T75" s="3" t="s">
        <v>317</v>
      </c>
      <c r="U75" s="3">
        <v>27</v>
      </c>
      <c r="V75" s="3"/>
      <c r="W75" s="3"/>
      <c r="X75" s="3"/>
    </row>
    <row r="76" spans="1:24" ht="15.5" hidden="1">
      <c r="A76" s="3">
        <v>74</v>
      </c>
      <c r="B76" s="3"/>
      <c r="C76" s="3" t="s">
        <v>143</v>
      </c>
      <c r="D76" s="3" t="s">
        <v>25</v>
      </c>
      <c r="E76" s="3" t="s">
        <v>339</v>
      </c>
      <c r="F76" s="87">
        <v>1043.3340000000001</v>
      </c>
      <c r="G76" s="3" t="s">
        <v>281</v>
      </c>
      <c r="H76" s="66" t="s">
        <v>298</v>
      </c>
      <c r="I76" s="3" t="s">
        <v>72</v>
      </c>
      <c r="J76" s="8">
        <v>46136</v>
      </c>
      <c r="K76" s="8">
        <v>46139</v>
      </c>
      <c r="L76" s="8" t="s">
        <v>49</v>
      </c>
      <c r="M76" s="16">
        <v>46136</v>
      </c>
      <c r="N76" s="16">
        <v>46140</v>
      </c>
      <c r="O76" s="3"/>
      <c r="P76" s="3" t="s">
        <v>49</v>
      </c>
      <c r="Q76" s="3" t="s">
        <v>49</v>
      </c>
      <c r="R76" s="3"/>
      <c r="S76" s="3" t="s">
        <v>49</v>
      </c>
      <c r="T76" s="3" t="s">
        <v>284</v>
      </c>
      <c r="U76" s="3">
        <v>40</v>
      </c>
      <c r="V76" s="3"/>
      <c r="W76" s="3"/>
      <c r="X76" s="3"/>
    </row>
    <row r="77" spans="1:24" ht="15.5" hidden="1">
      <c r="A77" s="3">
        <v>75</v>
      </c>
      <c r="B77" s="3"/>
      <c r="C77" s="3" t="s">
        <v>25</v>
      </c>
      <c r="D77" s="3" t="s">
        <v>26</v>
      </c>
      <c r="E77" s="3"/>
      <c r="F77" s="87">
        <v>228.09</v>
      </c>
      <c r="G77" s="88" t="s">
        <v>287</v>
      </c>
      <c r="H77" s="66" t="s">
        <v>298</v>
      </c>
      <c r="I77" s="3" t="s">
        <v>72</v>
      </c>
      <c r="J77" s="8">
        <v>46157</v>
      </c>
      <c r="K77" s="8">
        <v>46162</v>
      </c>
      <c r="L77" s="3" t="s">
        <v>49</v>
      </c>
      <c r="M77" s="16">
        <v>46162</v>
      </c>
      <c r="N77" s="16">
        <v>46162</v>
      </c>
      <c r="O77" s="3"/>
      <c r="P77" s="3" t="s">
        <v>49</v>
      </c>
      <c r="Q77" s="3"/>
      <c r="R77" s="3"/>
      <c r="S77" s="3"/>
      <c r="T77" s="3" t="s">
        <v>363</v>
      </c>
      <c r="U77" s="3">
        <v>33</v>
      </c>
      <c r="V77" s="3"/>
      <c r="W77" s="3"/>
      <c r="X77" s="3"/>
    </row>
    <row r="78" spans="1:24" ht="15.5">
      <c r="A78" s="3">
        <v>76</v>
      </c>
      <c r="B78" s="3"/>
      <c r="C78" s="3" t="s">
        <v>26</v>
      </c>
      <c r="D78" s="3" t="s">
        <v>144</v>
      </c>
      <c r="E78" s="3" t="s">
        <v>327</v>
      </c>
      <c r="F78" s="87">
        <v>1326.5070000000001</v>
      </c>
      <c r="G78" s="3" t="s">
        <v>281</v>
      </c>
      <c r="H78" s="66" t="s">
        <v>43</v>
      </c>
      <c r="I78" s="3" t="s">
        <v>72</v>
      </c>
      <c r="J78" s="8"/>
      <c r="K78" s="8"/>
      <c r="L78" s="3"/>
      <c r="M78" s="16"/>
      <c r="N78" s="16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5" hidden="1">
      <c r="A79" s="3">
        <v>77</v>
      </c>
      <c r="B79" s="3"/>
      <c r="C79" s="3" t="s">
        <v>144</v>
      </c>
      <c r="D79" s="3" t="s">
        <v>145</v>
      </c>
      <c r="E79" s="3" t="s">
        <v>328</v>
      </c>
      <c r="F79" s="87">
        <v>1582.4739999999999</v>
      </c>
      <c r="G79" s="3" t="s">
        <v>281</v>
      </c>
      <c r="H79" s="66" t="s">
        <v>315</v>
      </c>
      <c r="I79" s="3"/>
      <c r="J79" s="8"/>
      <c r="K79" s="8"/>
      <c r="L79" s="3"/>
      <c r="M79" s="16"/>
      <c r="N79" s="16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5" hidden="1">
      <c r="A80" s="3">
        <v>78</v>
      </c>
      <c r="B80" s="3"/>
      <c r="C80" s="3" t="s">
        <v>145</v>
      </c>
      <c r="D80" s="3" t="s">
        <v>92</v>
      </c>
      <c r="E80" s="3" t="s">
        <v>146</v>
      </c>
      <c r="F80" s="87">
        <v>821.99699999999996</v>
      </c>
      <c r="G80" s="3" t="s">
        <v>282</v>
      </c>
      <c r="H80" s="65" t="s">
        <v>315</v>
      </c>
      <c r="I80" s="3"/>
      <c r="J80" s="8"/>
      <c r="K80" s="8"/>
      <c r="L80" s="3"/>
      <c r="M80" s="16"/>
      <c r="N80" s="16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5" hidden="1">
      <c r="A81" s="3">
        <v>79</v>
      </c>
      <c r="B81" s="3"/>
      <c r="C81" s="3" t="s">
        <v>92</v>
      </c>
      <c r="D81" s="3" t="s">
        <v>27</v>
      </c>
      <c r="E81" s="3" t="s">
        <v>340</v>
      </c>
      <c r="F81" s="87">
        <v>2412.62</v>
      </c>
      <c r="G81" s="3" t="s">
        <v>281</v>
      </c>
      <c r="H81" s="66" t="s">
        <v>298</v>
      </c>
      <c r="I81" s="3" t="s">
        <v>72</v>
      </c>
      <c r="J81" s="8">
        <v>46118</v>
      </c>
      <c r="K81" s="8">
        <v>46125</v>
      </c>
      <c r="L81" s="3" t="s">
        <v>49</v>
      </c>
      <c r="M81" s="16">
        <v>46126</v>
      </c>
      <c r="N81" s="16">
        <v>46128</v>
      </c>
      <c r="O81" s="3"/>
      <c r="P81" s="3" t="s">
        <v>49</v>
      </c>
      <c r="Q81" s="3" t="s">
        <v>49</v>
      </c>
      <c r="R81" s="3"/>
      <c r="S81" s="3" t="s">
        <v>49</v>
      </c>
      <c r="T81" s="3" t="s">
        <v>284</v>
      </c>
      <c r="U81" s="3">
        <v>68</v>
      </c>
      <c r="V81" s="3"/>
      <c r="W81" s="3">
        <v>5</v>
      </c>
      <c r="X81" s="3"/>
    </row>
    <row r="82" spans="1:24" ht="15.5" hidden="1">
      <c r="A82" s="3">
        <v>80</v>
      </c>
      <c r="B82" s="3"/>
      <c r="C82" s="3" t="s">
        <v>27</v>
      </c>
      <c r="D82" s="3" t="s">
        <v>147</v>
      </c>
      <c r="E82" s="3"/>
      <c r="F82" s="87">
        <v>208.90899999999999</v>
      </c>
      <c r="G82" s="88" t="s">
        <v>287</v>
      </c>
      <c r="H82" s="66" t="s">
        <v>298</v>
      </c>
      <c r="I82" s="3" t="s">
        <v>72</v>
      </c>
      <c r="J82" s="8">
        <v>46117</v>
      </c>
      <c r="K82" s="8">
        <v>46123</v>
      </c>
      <c r="L82" s="3" t="s">
        <v>49</v>
      </c>
      <c r="M82" s="16">
        <v>46117</v>
      </c>
      <c r="N82" s="16">
        <v>46123</v>
      </c>
      <c r="O82" s="3"/>
      <c r="P82" s="3" t="s">
        <v>49</v>
      </c>
      <c r="Q82" s="3" t="s">
        <v>49</v>
      </c>
      <c r="R82" s="3"/>
      <c r="S82" s="3" t="s">
        <v>49</v>
      </c>
      <c r="T82" s="3" t="s">
        <v>285</v>
      </c>
      <c r="U82" s="3">
        <v>20</v>
      </c>
      <c r="V82" s="3"/>
      <c r="W82" s="3"/>
      <c r="X82" s="88" t="s">
        <v>287</v>
      </c>
    </row>
    <row r="83" spans="1:24" ht="15.5" hidden="1">
      <c r="A83" s="3">
        <v>81</v>
      </c>
      <c r="B83" s="3"/>
      <c r="C83" s="3" t="s">
        <v>147</v>
      </c>
      <c r="D83" s="3" t="s">
        <v>148</v>
      </c>
      <c r="E83" s="3" t="s">
        <v>329</v>
      </c>
      <c r="F83" s="87">
        <v>1479.41</v>
      </c>
      <c r="G83" s="3" t="s">
        <v>281</v>
      </c>
      <c r="H83" s="66" t="s">
        <v>298</v>
      </c>
      <c r="I83" s="3" t="s">
        <v>72</v>
      </c>
      <c r="J83" s="8">
        <v>46130</v>
      </c>
      <c r="K83" s="8">
        <v>46133</v>
      </c>
      <c r="L83" s="3" t="s">
        <v>49</v>
      </c>
      <c r="M83" s="16">
        <v>46132</v>
      </c>
      <c r="N83" s="16">
        <v>46134</v>
      </c>
      <c r="O83" s="3"/>
      <c r="P83" s="3" t="s">
        <v>49</v>
      </c>
      <c r="Q83" s="3" t="s">
        <v>49</v>
      </c>
      <c r="R83" s="3"/>
      <c r="S83" s="3" t="s">
        <v>49</v>
      </c>
      <c r="T83" s="3" t="s">
        <v>284</v>
      </c>
      <c r="U83" s="3">
        <v>40</v>
      </c>
      <c r="V83" s="3"/>
      <c r="W83" s="3">
        <v>1</v>
      </c>
      <c r="X83" s="3"/>
    </row>
    <row r="84" spans="1:24" ht="15.5" hidden="1">
      <c r="A84" s="3">
        <v>82</v>
      </c>
      <c r="B84" s="3"/>
      <c r="C84" s="3" t="s">
        <v>148</v>
      </c>
      <c r="D84" s="3" t="s">
        <v>149</v>
      </c>
      <c r="E84" s="3"/>
      <c r="F84" s="87">
        <v>210.17</v>
      </c>
      <c r="G84" s="88" t="s">
        <v>287</v>
      </c>
      <c r="H84" s="66" t="s">
        <v>298</v>
      </c>
      <c r="I84" s="3" t="s">
        <v>72</v>
      </c>
      <c r="J84" s="8">
        <v>46148</v>
      </c>
      <c r="K84" s="8">
        <v>46155</v>
      </c>
      <c r="L84" s="3" t="s">
        <v>49</v>
      </c>
      <c r="M84" s="16">
        <v>46148</v>
      </c>
      <c r="N84" s="16">
        <v>46155</v>
      </c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5">
      <c r="A85" s="3">
        <v>83</v>
      </c>
      <c r="B85" s="3"/>
      <c r="C85" s="3" t="s">
        <v>149</v>
      </c>
      <c r="D85" s="3" t="s">
        <v>150</v>
      </c>
      <c r="E85" s="3"/>
      <c r="F85" s="87">
        <v>271</v>
      </c>
      <c r="G85" s="88" t="s">
        <v>287</v>
      </c>
      <c r="H85" s="66" t="s">
        <v>43</v>
      </c>
      <c r="I85" s="3" t="s">
        <v>72</v>
      </c>
      <c r="J85" s="8"/>
      <c r="K85" s="8"/>
      <c r="L85" s="3"/>
      <c r="M85" s="16"/>
      <c r="N85" s="16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5" hidden="1">
      <c r="A86" s="3">
        <v>84</v>
      </c>
      <c r="B86" s="3"/>
      <c r="C86" s="3" t="s">
        <v>150</v>
      </c>
      <c r="D86" s="3" t="s">
        <v>151</v>
      </c>
      <c r="E86" s="3"/>
      <c r="F86" s="87">
        <v>390.65</v>
      </c>
      <c r="G86" s="88" t="s">
        <v>287</v>
      </c>
      <c r="H86" s="66" t="s">
        <v>314</v>
      </c>
      <c r="I86" s="3" t="s">
        <v>72</v>
      </c>
      <c r="J86" s="8"/>
      <c r="K86" s="8"/>
      <c r="L86" s="3"/>
      <c r="M86" s="16"/>
      <c r="N86" s="16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5" hidden="1">
      <c r="A87" s="3">
        <v>85</v>
      </c>
      <c r="B87" s="3"/>
      <c r="C87" s="3" t="s">
        <v>151</v>
      </c>
      <c r="D87" s="3" t="s">
        <v>270</v>
      </c>
      <c r="E87" s="3"/>
      <c r="F87" s="87">
        <v>428.21</v>
      </c>
      <c r="G87" s="3" t="s">
        <v>282</v>
      </c>
      <c r="H87" s="66" t="s">
        <v>315</v>
      </c>
      <c r="I87" s="3"/>
      <c r="J87" s="8"/>
      <c r="K87" s="8"/>
      <c r="L87" s="3"/>
      <c r="M87" s="16"/>
      <c r="N87" s="16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5" hidden="1">
      <c r="A88" s="3">
        <v>86</v>
      </c>
      <c r="B88" s="3"/>
      <c r="C88" s="3" t="s">
        <v>270</v>
      </c>
      <c r="D88" s="3" t="s">
        <v>271</v>
      </c>
      <c r="E88" s="3"/>
      <c r="F88" s="87">
        <v>672.59</v>
      </c>
      <c r="G88" s="3" t="s">
        <v>282</v>
      </c>
      <c r="H88" s="66" t="s">
        <v>315</v>
      </c>
      <c r="I88" s="3"/>
      <c r="J88" s="8"/>
      <c r="K88" s="8"/>
      <c r="L88" s="3"/>
      <c r="M88" s="16"/>
      <c r="N88" s="16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5" hidden="1">
      <c r="A89" s="3">
        <v>87</v>
      </c>
      <c r="B89" s="3"/>
      <c r="C89" s="3" t="s">
        <v>271</v>
      </c>
      <c r="D89" s="3" t="s">
        <v>153</v>
      </c>
      <c r="E89" s="3" t="s">
        <v>152</v>
      </c>
      <c r="F89" s="87">
        <v>807.98</v>
      </c>
      <c r="G89" s="3" t="s">
        <v>282</v>
      </c>
      <c r="H89" s="66" t="s">
        <v>315</v>
      </c>
      <c r="I89" s="3"/>
      <c r="J89" s="8"/>
      <c r="K89" s="8"/>
      <c r="L89" s="3"/>
      <c r="M89" s="16"/>
      <c r="N89" s="16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5" hidden="1">
      <c r="A90" s="3">
        <v>88</v>
      </c>
      <c r="B90" s="3"/>
      <c r="C90" s="3" t="s">
        <v>153</v>
      </c>
      <c r="D90" s="3" t="s">
        <v>28</v>
      </c>
      <c r="E90" s="3"/>
      <c r="F90" s="87">
        <v>226.48</v>
      </c>
      <c r="G90" s="88" t="s">
        <v>287</v>
      </c>
      <c r="H90" s="66" t="s">
        <v>314</v>
      </c>
      <c r="I90" s="3"/>
      <c r="J90" s="8"/>
      <c r="K90" s="8"/>
      <c r="L90" s="3"/>
      <c r="M90" s="16"/>
      <c r="N90" s="16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5">
      <c r="A91" s="3">
        <v>89</v>
      </c>
      <c r="B91" s="3"/>
      <c r="C91" s="3" t="s">
        <v>28</v>
      </c>
      <c r="D91" s="3" t="s">
        <v>154</v>
      </c>
      <c r="E91" s="3"/>
      <c r="F91" s="87">
        <v>465.47</v>
      </c>
      <c r="G91" s="3" t="s">
        <v>282</v>
      </c>
      <c r="H91" s="66" t="s">
        <v>43</v>
      </c>
      <c r="I91" s="3" t="s">
        <v>72</v>
      </c>
      <c r="J91" s="8"/>
      <c r="K91" s="8"/>
      <c r="L91" s="3"/>
      <c r="M91" s="16"/>
      <c r="N91" s="16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5">
      <c r="A92" s="3">
        <v>90</v>
      </c>
      <c r="B92" s="3"/>
      <c r="C92" s="3" t="s">
        <v>154</v>
      </c>
      <c r="D92" s="3" t="s">
        <v>155</v>
      </c>
      <c r="E92" s="3"/>
      <c r="F92" s="87">
        <v>389.51</v>
      </c>
      <c r="G92" s="3" t="s">
        <v>282</v>
      </c>
      <c r="H92" s="66" t="s">
        <v>43</v>
      </c>
      <c r="I92" s="3" t="s">
        <v>72</v>
      </c>
      <c r="J92" s="8"/>
      <c r="K92" s="8"/>
      <c r="L92" s="3"/>
      <c r="M92" s="16"/>
      <c r="N92" s="16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5" hidden="1">
      <c r="A93" s="3">
        <v>91</v>
      </c>
      <c r="B93" s="3"/>
      <c r="C93" s="3" t="s">
        <v>155</v>
      </c>
      <c r="D93" s="3" t="s">
        <v>156</v>
      </c>
      <c r="E93" s="3"/>
      <c r="F93" s="87">
        <v>222.83</v>
      </c>
      <c r="G93" s="88" t="s">
        <v>287</v>
      </c>
      <c r="H93" s="66" t="s">
        <v>315</v>
      </c>
      <c r="I93" s="3"/>
      <c r="J93" s="8"/>
      <c r="K93" s="8"/>
      <c r="L93" s="3"/>
      <c r="M93" s="16"/>
      <c r="N93" s="16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5" hidden="1">
      <c r="A94" s="3">
        <v>92</v>
      </c>
      <c r="B94" s="3"/>
      <c r="C94" s="3" t="s">
        <v>156</v>
      </c>
      <c r="D94" s="3" t="s">
        <v>29</v>
      </c>
      <c r="E94" s="3"/>
      <c r="F94" s="87">
        <v>277.42</v>
      </c>
      <c r="G94" s="88" t="s">
        <v>287</v>
      </c>
      <c r="H94" s="66" t="s">
        <v>315</v>
      </c>
      <c r="I94" s="3"/>
      <c r="J94" s="8"/>
      <c r="K94" s="8"/>
      <c r="L94" s="3"/>
      <c r="M94" s="16"/>
      <c r="N94" s="16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5" hidden="1">
      <c r="A95" s="3">
        <v>93</v>
      </c>
      <c r="B95" s="3"/>
      <c r="C95" s="3" t="s">
        <v>29</v>
      </c>
      <c r="D95" s="3" t="s">
        <v>157</v>
      </c>
      <c r="E95" s="3"/>
      <c r="F95" s="87">
        <v>470</v>
      </c>
      <c r="G95" s="3" t="s">
        <v>282</v>
      </c>
      <c r="H95" s="66" t="s">
        <v>315</v>
      </c>
      <c r="I95" s="3"/>
      <c r="J95" s="8"/>
      <c r="K95" s="8"/>
      <c r="L95" s="3"/>
      <c r="M95" s="16"/>
      <c r="N95" s="16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5" hidden="1">
      <c r="A96" s="3">
        <v>94</v>
      </c>
      <c r="B96" s="3"/>
      <c r="C96" s="3" t="s">
        <v>157</v>
      </c>
      <c r="D96" s="3" t="s">
        <v>158</v>
      </c>
      <c r="E96" s="3"/>
      <c r="F96" s="87">
        <v>479.7</v>
      </c>
      <c r="G96" s="3" t="s">
        <v>282</v>
      </c>
      <c r="H96" s="66" t="s">
        <v>315</v>
      </c>
      <c r="I96" s="3"/>
      <c r="J96" s="8"/>
      <c r="K96" s="8"/>
      <c r="L96" s="3"/>
      <c r="M96" s="16"/>
      <c r="N96" s="16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5" hidden="1">
      <c r="A97" s="3">
        <v>95</v>
      </c>
      <c r="B97" s="3"/>
      <c r="C97" s="3" t="s">
        <v>158</v>
      </c>
      <c r="D97" s="3" t="s">
        <v>159</v>
      </c>
      <c r="E97" s="3"/>
      <c r="F97" s="87">
        <v>239.69</v>
      </c>
      <c r="G97" s="88" t="s">
        <v>287</v>
      </c>
      <c r="H97" s="66" t="s">
        <v>315</v>
      </c>
      <c r="I97" s="3"/>
      <c r="J97" s="8"/>
      <c r="K97" s="8"/>
      <c r="L97" s="3"/>
      <c r="M97" s="16"/>
      <c r="N97" s="16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5" hidden="1">
      <c r="A98" s="3">
        <v>96</v>
      </c>
      <c r="B98" s="3"/>
      <c r="C98" s="3" t="s">
        <v>159</v>
      </c>
      <c r="D98" s="3" t="s">
        <v>160</v>
      </c>
      <c r="E98" s="3" t="s">
        <v>341</v>
      </c>
      <c r="F98" s="87">
        <v>1148.42</v>
      </c>
      <c r="G98" s="3" t="s">
        <v>281</v>
      </c>
      <c r="H98" s="66" t="s">
        <v>314</v>
      </c>
      <c r="I98" s="3"/>
      <c r="J98" s="8"/>
      <c r="K98" s="8"/>
      <c r="L98" s="3"/>
      <c r="M98" s="16"/>
      <c r="N98" s="16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5">
      <c r="A99" s="3">
        <v>97</v>
      </c>
      <c r="B99" s="3"/>
      <c r="C99" s="3" t="s">
        <v>160</v>
      </c>
      <c r="D99" s="3" t="s">
        <v>30</v>
      </c>
      <c r="E99" s="3" t="s">
        <v>342</v>
      </c>
      <c r="F99" s="87">
        <v>983.72</v>
      </c>
      <c r="G99" s="3" t="s">
        <v>282</v>
      </c>
      <c r="H99" s="66" t="s">
        <v>43</v>
      </c>
      <c r="I99" s="3" t="s">
        <v>72</v>
      </c>
      <c r="J99" s="8"/>
      <c r="K99" s="8"/>
      <c r="L99" s="3"/>
      <c r="M99" s="16"/>
      <c r="N99" s="16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5" hidden="1">
      <c r="A100" s="3">
        <v>98</v>
      </c>
      <c r="B100" s="3"/>
      <c r="C100" s="3" t="s">
        <v>30</v>
      </c>
      <c r="D100" s="3" t="s">
        <v>161</v>
      </c>
      <c r="E100" s="3"/>
      <c r="F100" s="87">
        <v>246.74</v>
      </c>
      <c r="G100" s="88" t="s">
        <v>287</v>
      </c>
      <c r="H100" s="66" t="s">
        <v>298</v>
      </c>
      <c r="I100" s="3" t="s">
        <v>72</v>
      </c>
      <c r="J100" s="8">
        <v>46129</v>
      </c>
      <c r="K100" s="8">
        <v>46135</v>
      </c>
      <c r="L100" s="16" t="s">
        <v>49</v>
      </c>
      <c r="M100" s="16">
        <v>46129</v>
      </c>
      <c r="N100" s="16">
        <v>46135</v>
      </c>
      <c r="O100" s="3"/>
      <c r="P100" s="3" t="s">
        <v>49</v>
      </c>
      <c r="Q100" s="3" t="s">
        <v>318</v>
      </c>
      <c r="R100" s="3"/>
      <c r="S100" s="3" t="s">
        <v>49</v>
      </c>
      <c r="T100" s="3"/>
      <c r="U100" s="3"/>
      <c r="V100" s="3"/>
      <c r="W100" s="3"/>
      <c r="X100" s="3"/>
    </row>
    <row r="101" spans="1:24" ht="15.5" hidden="1">
      <c r="A101" s="3">
        <v>99</v>
      </c>
      <c r="B101" s="3"/>
      <c r="C101" s="3" t="s">
        <v>161</v>
      </c>
      <c r="D101" s="3" t="s">
        <v>162</v>
      </c>
      <c r="E101" s="3" t="s">
        <v>343</v>
      </c>
      <c r="F101" s="87">
        <v>1266.29</v>
      </c>
      <c r="G101" s="3" t="s">
        <v>281</v>
      </c>
      <c r="H101" s="66" t="s">
        <v>315</v>
      </c>
      <c r="I101" s="3"/>
      <c r="J101" s="8"/>
      <c r="K101" s="8"/>
      <c r="L101" s="3"/>
      <c r="M101" s="16"/>
      <c r="N101" s="16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5" hidden="1">
      <c r="A102" s="3">
        <v>100</v>
      </c>
      <c r="B102" s="3"/>
      <c r="C102" s="3" t="s">
        <v>162</v>
      </c>
      <c r="D102" s="3" t="s">
        <v>164</v>
      </c>
      <c r="E102" s="3" t="s">
        <v>163</v>
      </c>
      <c r="F102" s="87">
        <v>709.98</v>
      </c>
      <c r="G102" s="88" t="s">
        <v>287</v>
      </c>
      <c r="H102" s="66" t="s">
        <v>315</v>
      </c>
      <c r="I102" s="3"/>
      <c r="J102" s="8"/>
      <c r="K102" s="8"/>
      <c r="L102" s="3"/>
      <c r="M102" s="16"/>
      <c r="N102" s="16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5" hidden="1">
      <c r="A103" s="3">
        <v>101</v>
      </c>
      <c r="B103" s="3"/>
      <c r="C103" s="3" t="s">
        <v>164</v>
      </c>
      <c r="D103" s="3" t="s">
        <v>165</v>
      </c>
      <c r="E103" s="3"/>
      <c r="F103" s="87">
        <v>513.96</v>
      </c>
      <c r="G103" s="3" t="s">
        <v>282</v>
      </c>
      <c r="H103" s="66" t="s">
        <v>315</v>
      </c>
      <c r="I103" s="3"/>
      <c r="J103" s="8"/>
      <c r="K103" s="8"/>
      <c r="L103" s="3"/>
      <c r="M103" s="16"/>
      <c r="N103" s="16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5" hidden="1">
      <c r="A104" s="3">
        <v>102</v>
      </c>
      <c r="B104" s="3"/>
      <c r="C104" s="3" t="s">
        <v>165</v>
      </c>
      <c r="D104" s="3" t="s">
        <v>166</v>
      </c>
      <c r="E104" s="3"/>
      <c r="F104" s="87">
        <v>233.14</v>
      </c>
      <c r="G104" s="88" t="s">
        <v>287</v>
      </c>
      <c r="H104" s="66" t="s">
        <v>315</v>
      </c>
      <c r="I104" s="3"/>
      <c r="J104" s="8"/>
      <c r="K104" s="8"/>
      <c r="L104" s="3"/>
      <c r="M104" s="16"/>
      <c r="N104" s="16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5" hidden="1">
      <c r="A105" s="3">
        <v>103</v>
      </c>
      <c r="B105" s="3"/>
      <c r="C105" s="3" t="s">
        <v>166</v>
      </c>
      <c r="D105" s="3" t="s">
        <v>311</v>
      </c>
      <c r="E105" s="3"/>
      <c r="F105" s="87">
        <v>128.02000000000001</v>
      </c>
      <c r="G105" s="3" t="s">
        <v>282</v>
      </c>
      <c r="H105" s="66" t="s">
        <v>315</v>
      </c>
      <c r="I105" s="3"/>
      <c r="J105" s="8"/>
      <c r="K105" s="8"/>
      <c r="L105" s="3"/>
      <c r="M105" s="16"/>
      <c r="N105" s="16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5" hidden="1">
      <c r="A106" s="3">
        <v>104</v>
      </c>
      <c r="B106" s="3"/>
      <c r="C106" s="3" t="s">
        <v>311</v>
      </c>
      <c r="D106" s="3" t="s">
        <v>312</v>
      </c>
      <c r="E106" s="3"/>
      <c r="F106" s="87">
        <v>282.82</v>
      </c>
      <c r="G106" s="3" t="s">
        <v>282</v>
      </c>
      <c r="H106" s="66" t="s">
        <v>315</v>
      </c>
      <c r="I106" s="3"/>
      <c r="J106" s="8"/>
      <c r="K106" s="8"/>
      <c r="L106" s="3"/>
      <c r="M106" s="16"/>
      <c r="N106" s="16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5" hidden="1">
      <c r="A107" s="3">
        <v>105</v>
      </c>
      <c r="B107" s="3"/>
      <c r="C107" s="3" t="s">
        <v>312</v>
      </c>
      <c r="D107" s="3" t="s">
        <v>167</v>
      </c>
      <c r="E107" s="3"/>
      <c r="F107" s="87">
        <v>339.95</v>
      </c>
      <c r="G107" s="3" t="s">
        <v>282</v>
      </c>
      <c r="H107" s="66" t="s">
        <v>315</v>
      </c>
      <c r="I107" s="3"/>
      <c r="J107" s="8"/>
      <c r="K107" s="8"/>
      <c r="L107" s="3"/>
      <c r="M107" s="16"/>
      <c r="N107" s="16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5" hidden="1">
      <c r="A108" s="3">
        <v>106</v>
      </c>
      <c r="B108" s="3"/>
      <c r="C108" s="3" t="s">
        <v>167</v>
      </c>
      <c r="D108" s="3" t="s">
        <v>31</v>
      </c>
      <c r="E108" s="3"/>
      <c r="F108" s="87">
        <v>172.64</v>
      </c>
      <c r="G108" s="88" t="s">
        <v>287</v>
      </c>
      <c r="H108" s="66" t="s">
        <v>315</v>
      </c>
      <c r="I108" s="3"/>
      <c r="J108" s="8"/>
      <c r="K108" s="8"/>
      <c r="L108" s="3"/>
      <c r="M108" s="16"/>
      <c r="N108" s="16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5" hidden="1">
      <c r="A109" s="3">
        <v>107</v>
      </c>
      <c r="B109" s="3"/>
      <c r="C109" s="3" t="s">
        <v>31</v>
      </c>
      <c r="D109" s="3" t="s">
        <v>168</v>
      </c>
      <c r="E109" s="3"/>
      <c r="F109" s="87">
        <v>555.16999999999996</v>
      </c>
      <c r="G109" s="3" t="s">
        <v>282</v>
      </c>
      <c r="H109" s="66" t="s">
        <v>315</v>
      </c>
      <c r="I109" s="3"/>
      <c r="J109" s="8"/>
      <c r="K109" s="8"/>
      <c r="L109" s="3"/>
      <c r="M109" s="16"/>
      <c r="N109" s="16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5" hidden="1">
      <c r="A110" s="3">
        <v>108</v>
      </c>
      <c r="B110" s="3"/>
      <c r="C110" s="3" t="s">
        <v>168</v>
      </c>
      <c r="D110" s="3" t="s">
        <v>170</v>
      </c>
      <c r="E110" s="3" t="s">
        <v>169</v>
      </c>
      <c r="F110" s="87">
        <v>811.52</v>
      </c>
      <c r="G110" s="3" t="s">
        <v>282</v>
      </c>
      <c r="H110" s="66" t="s">
        <v>315</v>
      </c>
      <c r="I110" s="3"/>
      <c r="J110" s="8"/>
      <c r="K110" s="8"/>
      <c r="L110" s="3"/>
      <c r="M110" s="16"/>
      <c r="N110" s="16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5" hidden="1">
      <c r="A111" s="3">
        <v>109</v>
      </c>
      <c r="B111" s="3"/>
      <c r="C111" s="3" t="s">
        <v>170</v>
      </c>
      <c r="D111" s="3" t="s">
        <v>247</v>
      </c>
      <c r="E111" s="3"/>
      <c r="F111" s="87">
        <v>184.81</v>
      </c>
      <c r="G111" s="3" t="s">
        <v>282</v>
      </c>
      <c r="H111" s="66" t="s">
        <v>315</v>
      </c>
      <c r="I111" s="3"/>
      <c r="J111" s="8"/>
      <c r="K111" s="8"/>
      <c r="L111" s="3"/>
      <c r="M111" s="16"/>
      <c r="N111" s="16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5" hidden="1">
      <c r="A112" s="3">
        <v>110</v>
      </c>
      <c r="B112" s="3"/>
      <c r="C112" s="3" t="s">
        <v>247</v>
      </c>
      <c r="D112" s="3" t="s">
        <v>171</v>
      </c>
      <c r="E112" s="3"/>
      <c r="F112" s="87">
        <v>214.27</v>
      </c>
      <c r="G112" s="3" t="s">
        <v>282</v>
      </c>
      <c r="H112" s="66" t="s">
        <v>315</v>
      </c>
      <c r="I112" s="3"/>
      <c r="J112" s="8"/>
      <c r="K112" s="8"/>
      <c r="L112" s="3"/>
      <c r="M112" s="16"/>
      <c r="N112" s="16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5" hidden="1">
      <c r="A113" s="3">
        <v>111</v>
      </c>
      <c r="B113" s="3"/>
      <c r="C113" s="3" t="s">
        <v>171</v>
      </c>
      <c r="D113" s="3" t="s">
        <v>172</v>
      </c>
      <c r="E113" s="3"/>
      <c r="F113" s="87">
        <v>272.3</v>
      </c>
      <c r="G113" s="88" t="s">
        <v>287</v>
      </c>
      <c r="H113" s="66" t="s">
        <v>315</v>
      </c>
      <c r="I113" s="3"/>
      <c r="J113" s="8"/>
      <c r="K113" s="8"/>
      <c r="L113" s="3"/>
      <c r="M113" s="16"/>
      <c r="N113" s="16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5" hidden="1">
      <c r="A114" s="3">
        <v>112</v>
      </c>
      <c r="B114" s="3"/>
      <c r="C114" s="3" t="s">
        <v>172</v>
      </c>
      <c r="D114" s="3" t="s">
        <v>173</v>
      </c>
      <c r="E114" s="3"/>
      <c r="F114" s="87">
        <v>284.64</v>
      </c>
      <c r="G114" s="88" t="s">
        <v>287</v>
      </c>
      <c r="H114" s="66" t="s">
        <v>315</v>
      </c>
      <c r="I114" s="3"/>
      <c r="J114" s="8"/>
      <c r="K114" s="8"/>
      <c r="L114" s="3"/>
      <c r="M114" s="16"/>
      <c r="N114" s="16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5" hidden="1">
      <c r="A115" s="3">
        <v>113</v>
      </c>
      <c r="B115" s="3"/>
      <c r="C115" s="3" t="s">
        <v>173</v>
      </c>
      <c r="D115" s="3" t="s">
        <v>174</v>
      </c>
      <c r="E115" s="3" t="s">
        <v>345</v>
      </c>
      <c r="F115" s="87">
        <v>1036.29</v>
      </c>
      <c r="G115" s="3" t="s">
        <v>281</v>
      </c>
      <c r="H115" s="66" t="s">
        <v>315</v>
      </c>
      <c r="I115" s="3"/>
      <c r="J115" s="8"/>
      <c r="K115" s="8"/>
      <c r="L115" s="3"/>
      <c r="M115" s="16"/>
      <c r="N115" s="16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5" hidden="1">
      <c r="A116" s="3">
        <v>114</v>
      </c>
      <c r="B116" s="3"/>
      <c r="C116" s="3" t="s">
        <v>174</v>
      </c>
      <c r="D116" s="3" t="s">
        <v>175</v>
      </c>
      <c r="E116" s="3"/>
      <c r="F116" s="87">
        <v>397.66</v>
      </c>
      <c r="G116" s="88" t="s">
        <v>287</v>
      </c>
      <c r="H116" s="66" t="s">
        <v>315</v>
      </c>
      <c r="I116" s="3"/>
      <c r="J116" s="8"/>
      <c r="K116" s="8"/>
      <c r="L116" s="3"/>
      <c r="M116" s="16"/>
      <c r="N116" s="16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5" hidden="1">
      <c r="A117" s="3">
        <v>115</v>
      </c>
      <c r="B117" s="3"/>
      <c r="C117" s="3" t="s">
        <v>175</v>
      </c>
      <c r="D117" s="3" t="s">
        <v>176</v>
      </c>
      <c r="E117" s="3" t="s">
        <v>346</v>
      </c>
      <c r="F117" s="87">
        <v>1872</v>
      </c>
      <c r="G117" s="3" t="s">
        <v>281</v>
      </c>
      <c r="H117" s="66" t="s">
        <v>315</v>
      </c>
      <c r="I117" s="3"/>
      <c r="J117" s="8"/>
      <c r="K117" s="8"/>
      <c r="L117" s="3"/>
      <c r="M117" s="16"/>
      <c r="N117" s="16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5" hidden="1">
      <c r="A118" s="3">
        <v>116</v>
      </c>
      <c r="B118" s="3"/>
      <c r="C118" s="3" t="s">
        <v>176</v>
      </c>
      <c r="D118" s="3" t="s">
        <v>177</v>
      </c>
      <c r="E118" s="3"/>
      <c r="F118" s="87">
        <v>266.96100000000001</v>
      </c>
      <c r="G118" s="3" t="s">
        <v>282</v>
      </c>
      <c r="H118" s="66" t="s">
        <v>315</v>
      </c>
      <c r="I118" s="3"/>
      <c r="J118" s="8"/>
      <c r="K118" s="8"/>
      <c r="L118" s="3"/>
      <c r="M118" s="16"/>
      <c r="N118" s="16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5" hidden="1">
      <c r="A119" s="3">
        <v>117</v>
      </c>
      <c r="B119" s="3"/>
      <c r="C119" s="3" t="s">
        <v>177</v>
      </c>
      <c r="D119" s="3" t="s">
        <v>178</v>
      </c>
      <c r="E119" s="3"/>
      <c r="F119" s="87">
        <v>378.221</v>
      </c>
      <c r="G119" s="88" t="s">
        <v>287</v>
      </c>
      <c r="H119" s="66" t="s">
        <v>315</v>
      </c>
      <c r="I119" s="3"/>
      <c r="J119" s="8"/>
      <c r="K119" s="8"/>
      <c r="L119" s="3"/>
      <c r="M119" s="16"/>
      <c r="N119" s="16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5" hidden="1">
      <c r="A120" s="3">
        <v>118</v>
      </c>
      <c r="B120" s="3"/>
      <c r="C120" s="3" t="s">
        <v>178</v>
      </c>
      <c r="D120" s="3" t="s">
        <v>32</v>
      </c>
      <c r="E120" s="3"/>
      <c r="F120" s="87">
        <v>325.22899999999998</v>
      </c>
      <c r="G120" s="88" t="s">
        <v>287</v>
      </c>
      <c r="H120" s="66" t="s">
        <v>315</v>
      </c>
      <c r="I120" s="3"/>
      <c r="J120" s="8"/>
      <c r="K120" s="8"/>
      <c r="L120" s="3"/>
      <c r="M120" s="16"/>
      <c r="N120" s="16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5" hidden="1">
      <c r="A121" s="3">
        <v>119</v>
      </c>
      <c r="B121" s="3"/>
      <c r="C121" s="3" t="s">
        <v>32</v>
      </c>
      <c r="D121" s="3" t="s">
        <v>179</v>
      </c>
      <c r="E121" s="3" t="s">
        <v>347</v>
      </c>
      <c r="F121" s="87">
        <v>2987.2165</v>
      </c>
      <c r="G121" s="3" t="s">
        <v>281</v>
      </c>
      <c r="H121" s="66" t="s">
        <v>315</v>
      </c>
      <c r="I121" s="3"/>
      <c r="J121" s="8"/>
      <c r="K121" s="8"/>
      <c r="L121" s="3"/>
      <c r="M121" s="16"/>
      <c r="N121" s="16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5" hidden="1">
      <c r="A122" s="3">
        <v>120</v>
      </c>
      <c r="B122" s="3"/>
      <c r="C122" s="3" t="s">
        <v>179</v>
      </c>
      <c r="D122" s="3" t="s">
        <v>33</v>
      </c>
      <c r="E122" s="3"/>
      <c r="F122" s="87">
        <v>231.41</v>
      </c>
      <c r="G122" s="88" t="s">
        <v>287</v>
      </c>
      <c r="H122" s="66" t="s">
        <v>314</v>
      </c>
      <c r="I122" s="3"/>
      <c r="J122" s="8"/>
      <c r="K122" s="8"/>
      <c r="L122" s="3"/>
      <c r="M122" s="16"/>
      <c r="N122" s="16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5" hidden="1">
      <c r="A123" s="3">
        <v>121</v>
      </c>
      <c r="B123" s="3"/>
      <c r="C123" s="3" t="s">
        <v>33</v>
      </c>
      <c r="D123" s="3" t="s">
        <v>181</v>
      </c>
      <c r="E123" s="3" t="s">
        <v>180</v>
      </c>
      <c r="F123" s="87">
        <v>803</v>
      </c>
      <c r="G123" s="88" t="s">
        <v>287</v>
      </c>
      <c r="H123" s="66" t="s">
        <v>315</v>
      </c>
      <c r="I123" s="3"/>
      <c r="J123" s="8"/>
      <c r="K123" s="8"/>
      <c r="L123" s="3"/>
      <c r="M123" s="16"/>
      <c r="N123" s="16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5" hidden="1">
      <c r="A124" s="3">
        <v>122</v>
      </c>
      <c r="B124" s="3"/>
      <c r="C124" s="3" t="s">
        <v>181</v>
      </c>
      <c r="D124" s="3" t="s">
        <v>183</v>
      </c>
      <c r="E124" s="3" t="s">
        <v>182</v>
      </c>
      <c r="F124" s="87">
        <v>749.12</v>
      </c>
      <c r="G124" s="3" t="s">
        <v>282</v>
      </c>
      <c r="H124" s="66" t="s">
        <v>315</v>
      </c>
      <c r="I124" s="3"/>
      <c r="J124" s="8"/>
      <c r="K124" s="8"/>
      <c r="L124" s="3"/>
      <c r="M124" s="16"/>
      <c r="N124" s="16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5" hidden="1">
      <c r="A125" s="3">
        <v>123</v>
      </c>
      <c r="B125" s="3"/>
      <c r="C125" s="3" t="s">
        <v>183</v>
      </c>
      <c r="D125" s="3" t="s">
        <v>184</v>
      </c>
      <c r="E125" s="3" t="s">
        <v>348</v>
      </c>
      <c r="F125" s="87">
        <v>2245.8110000000001</v>
      </c>
      <c r="G125" s="3" t="s">
        <v>281</v>
      </c>
      <c r="H125" s="66" t="s">
        <v>315</v>
      </c>
      <c r="I125" s="3"/>
      <c r="J125" s="8"/>
      <c r="K125" s="8"/>
      <c r="L125" s="3"/>
      <c r="M125" s="16"/>
      <c r="N125" s="16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5" hidden="1">
      <c r="A126" s="3">
        <v>124</v>
      </c>
      <c r="B126" s="3"/>
      <c r="C126" s="3" t="s">
        <v>184</v>
      </c>
      <c r="D126" s="3" t="s">
        <v>34</v>
      </c>
      <c r="E126" s="3"/>
      <c r="F126" s="87">
        <v>239.47</v>
      </c>
      <c r="G126" s="88" t="s">
        <v>287</v>
      </c>
      <c r="H126" s="66" t="s">
        <v>315</v>
      </c>
      <c r="I126" s="3"/>
      <c r="J126" s="8"/>
      <c r="K126" s="8"/>
      <c r="L126" s="3"/>
      <c r="M126" s="16"/>
      <c r="N126" s="16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5" hidden="1">
      <c r="A127" s="3">
        <v>125</v>
      </c>
      <c r="B127" s="3"/>
      <c r="C127" s="3" t="s">
        <v>34</v>
      </c>
      <c r="D127" s="3" t="s">
        <v>186</v>
      </c>
      <c r="E127" s="3" t="s">
        <v>185</v>
      </c>
      <c r="F127" s="87">
        <v>798.41</v>
      </c>
      <c r="G127" s="3" t="s">
        <v>282</v>
      </c>
      <c r="H127" s="66" t="s">
        <v>315</v>
      </c>
      <c r="I127" s="3"/>
      <c r="J127" s="8"/>
      <c r="K127" s="8"/>
      <c r="L127" s="3"/>
      <c r="M127" s="16"/>
      <c r="N127" s="16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5" hidden="1">
      <c r="A128" s="3">
        <v>126</v>
      </c>
      <c r="B128" s="3"/>
      <c r="C128" s="3" t="s">
        <v>186</v>
      </c>
      <c r="D128" s="3" t="s">
        <v>188</v>
      </c>
      <c r="E128" s="3" t="s">
        <v>187</v>
      </c>
      <c r="F128" s="87">
        <v>819.27</v>
      </c>
      <c r="G128" s="3" t="s">
        <v>282</v>
      </c>
      <c r="H128" s="66" t="s">
        <v>315</v>
      </c>
      <c r="I128" s="3"/>
      <c r="J128" s="8"/>
      <c r="K128" s="8"/>
      <c r="L128" s="3"/>
      <c r="M128" s="16"/>
      <c r="N128" s="16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5" hidden="1">
      <c r="A129" s="3">
        <v>127</v>
      </c>
      <c r="B129" s="3"/>
      <c r="C129" s="3" t="s">
        <v>188</v>
      </c>
      <c r="D129" s="3" t="s">
        <v>189</v>
      </c>
      <c r="E129" s="3"/>
      <c r="F129" s="87">
        <v>191.81</v>
      </c>
      <c r="G129" s="88" t="s">
        <v>287</v>
      </c>
      <c r="H129" s="66" t="s">
        <v>315</v>
      </c>
      <c r="I129" s="3"/>
      <c r="J129" s="8"/>
      <c r="K129" s="8"/>
      <c r="L129" s="3"/>
      <c r="M129" s="16"/>
      <c r="N129" s="16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5" hidden="1">
      <c r="A130" s="3">
        <v>128</v>
      </c>
      <c r="B130" s="3"/>
      <c r="C130" s="3" t="s">
        <v>189</v>
      </c>
      <c r="D130" s="3" t="s">
        <v>35</v>
      </c>
      <c r="E130" s="3"/>
      <c r="F130" s="87">
        <v>248.6</v>
      </c>
      <c r="G130" s="88" t="s">
        <v>287</v>
      </c>
      <c r="H130" s="66" t="s">
        <v>314</v>
      </c>
      <c r="I130" s="3"/>
      <c r="J130" s="8"/>
      <c r="K130" s="8"/>
      <c r="L130" s="3"/>
      <c r="M130" s="16"/>
      <c r="N130" s="16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5" hidden="1">
      <c r="A131" s="3">
        <v>129</v>
      </c>
      <c r="B131" s="3"/>
      <c r="C131" s="3" t="s">
        <v>35</v>
      </c>
      <c r="D131" s="3" t="s">
        <v>190</v>
      </c>
      <c r="E131" s="3" t="s">
        <v>349</v>
      </c>
      <c r="F131" s="87">
        <v>1386.17</v>
      </c>
      <c r="G131" s="3" t="s">
        <v>281</v>
      </c>
      <c r="H131" s="66" t="s">
        <v>315</v>
      </c>
      <c r="I131" s="3"/>
      <c r="J131" s="8"/>
      <c r="K131" s="8"/>
      <c r="L131" s="3"/>
      <c r="M131" s="16"/>
      <c r="N131" s="16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5" hidden="1">
      <c r="A132" s="3">
        <v>130</v>
      </c>
      <c r="B132" s="3"/>
      <c r="C132" s="3" t="s">
        <v>190</v>
      </c>
      <c r="D132" s="3" t="s">
        <v>192</v>
      </c>
      <c r="E132" s="3" t="s">
        <v>191</v>
      </c>
      <c r="F132" s="87">
        <v>714</v>
      </c>
      <c r="G132" s="3" t="s">
        <v>282</v>
      </c>
      <c r="H132" s="66" t="s">
        <v>315</v>
      </c>
      <c r="I132" s="3"/>
      <c r="J132" s="8"/>
      <c r="K132" s="8"/>
      <c r="L132" s="3"/>
      <c r="M132" s="16"/>
      <c r="N132" s="16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5" hidden="1">
      <c r="A133" s="3">
        <v>131</v>
      </c>
      <c r="B133" s="3"/>
      <c r="C133" s="3" t="s">
        <v>192</v>
      </c>
      <c r="D133" s="3" t="s">
        <v>193</v>
      </c>
      <c r="E133" s="3"/>
      <c r="F133" s="87">
        <v>431.2</v>
      </c>
      <c r="G133" s="3" t="s">
        <v>282</v>
      </c>
      <c r="H133" s="66" t="s">
        <v>315</v>
      </c>
      <c r="I133" s="3"/>
      <c r="J133" s="8"/>
      <c r="K133" s="8"/>
      <c r="L133" s="3"/>
      <c r="M133" s="16"/>
      <c r="N133" s="16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5" hidden="1">
      <c r="A134" s="3">
        <v>132</v>
      </c>
      <c r="B134" s="3"/>
      <c r="C134" s="3" t="s">
        <v>193</v>
      </c>
      <c r="D134" s="3" t="s">
        <v>194</v>
      </c>
      <c r="E134" s="3" t="s">
        <v>350</v>
      </c>
      <c r="F134" s="87">
        <v>2965.43</v>
      </c>
      <c r="G134" s="3" t="s">
        <v>281</v>
      </c>
      <c r="H134" s="66" t="s">
        <v>315</v>
      </c>
      <c r="I134" s="3"/>
      <c r="J134" s="8"/>
      <c r="K134" s="8"/>
      <c r="L134" s="3"/>
      <c r="M134" s="16"/>
      <c r="N134" s="16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5" hidden="1">
      <c r="A135" s="3">
        <v>133</v>
      </c>
      <c r="B135" s="3"/>
      <c r="C135" s="3" t="s">
        <v>194</v>
      </c>
      <c r="D135" s="3" t="s">
        <v>195</v>
      </c>
      <c r="E135" s="3" t="s">
        <v>351</v>
      </c>
      <c r="F135" s="87">
        <v>1574.68</v>
      </c>
      <c r="G135" s="3" t="s">
        <v>281</v>
      </c>
      <c r="H135" s="66" t="s">
        <v>314</v>
      </c>
      <c r="I135" s="3"/>
      <c r="J135" s="8"/>
      <c r="K135" s="8"/>
      <c r="L135" s="3"/>
      <c r="M135" s="16"/>
      <c r="N135" s="16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5" hidden="1">
      <c r="A136" s="3">
        <v>134</v>
      </c>
      <c r="B136" s="3"/>
      <c r="C136" s="3" t="s">
        <v>195</v>
      </c>
      <c r="D136" s="3" t="s">
        <v>196</v>
      </c>
      <c r="E136" s="3" t="s">
        <v>352</v>
      </c>
      <c r="F136" s="87">
        <v>1238.74</v>
      </c>
      <c r="G136" s="3" t="s">
        <v>281</v>
      </c>
      <c r="H136" s="66" t="s">
        <v>314</v>
      </c>
      <c r="I136" s="3"/>
      <c r="J136" s="8"/>
      <c r="K136" s="8"/>
      <c r="L136" s="3"/>
      <c r="M136" s="16"/>
      <c r="N136" s="16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5" hidden="1">
      <c r="A137" s="3">
        <v>135</v>
      </c>
      <c r="B137" s="3"/>
      <c r="C137" s="3" t="s">
        <v>196</v>
      </c>
      <c r="D137" s="3" t="s">
        <v>198</v>
      </c>
      <c r="E137" s="3" t="s">
        <v>197</v>
      </c>
      <c r="F137" s="87">
        <v>767.07</v>
      </c>
      <c r="G137" s="3" t="s">
        <v>282</v>
      </c>
      <c r="H137" s="66" t="s">
        <v>315</v>
      </c>
      <c r="I137" s="3"/>
      <c r="J137" s="8"/>
      <c r="K137" s="8"/>
      <c r="L137" s="3"/>
      <c r="M137" s="16"/>
      <c r="N137" s="16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5" hidden="1">
      <c r="A138" s="3">
        <v>136</v>
      </c>
      <c r="B138" s="3"/>
      <c r="C138" s="3" t="s">
        <v>198</v>
      </c>
      <c r="D138" s="3" t="s">
        <v>200</v>
      </c>
      <c r="E138" s="3" t="s">
        <v>199</v>
      </c>
      <c r="F138" s="87">
        <v>791.5</v>
      </c>
      <c r="G138" s="3" t="s">
        <v>282</v>
      </c>
      <c r="H138" s="66" t="s">
        <v>315</v>
      </c>
      <c r="I138" s="3"/>
      <c r="J138" s="8"/>
      <c r="K138" s="8"/>
      <c r="L138" s="3"/>
      <c r="M138" s="16"/>
      <c r="N138" s="16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5" hidden="1">
      <c r="A139" s="3">
        <v>137</v>
      </c>
      <c r="B139" s="3"/>
      <c r="C139" s="3" t="s">
        <v>200</v>
      </c>
      <c r="D139" s="3" t="s">
        <v>201</v>
      </c>
      <c r="E139" s="3"/>
      <c r="F139" s="87">
        <v>179.98</v>
      </c>
      <c r="G139" s="88" t="s">
        <v>287</v>
      </c>
      <c r="H139" s="66" t="s">
        <v>315</v>
      </c>
      <c r="I139" s="3"/>
      <c r="J139" s="8"/>
      <c r="K139" s="8"/>
      <c r="L139" s="3"/>
      <c r="M139" s="16"/>
      <c r="N139" s="16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5" hidden="1">
      <c r="A140" s="3">
        <v>138</v>
      </c>
      <c r="B140" s="3"/>
      <c r="C140" s="3" t="s">
        <v>201</v>
      </c>
      <c r="D140" s="3" t="s">
        <v>202</v>
      </c>
      <c r="E140" s="3"/>
      <c r="F140" s="87">
        <v>390.65</v>
      </c>
      <c r="G140" s="3" t="s">
        <v>282</v>
      </c>
      <c r="H140" s="66" t="s">
        <v>315</v>
      </c>
      <c r="I140" s="3"/>
      <c r="J140" s="8"/>
      <c r="K140" s="8"/>
      <c r="L140" s="3"/>
      <c r="M140" s="16"/>
      <c r="N140" s="16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5" hidden="1">
      <c r="A141" s="3">
        <v>139</v>
      </c>
      <c r="B141" s="3"/>
      <c r="C141" s="3" t="s">
        <v>202</v>
      </c>
      <c r="D141" s="3" t="s">
        <v>204</v>
      </c>
      <c r="E141" s="3" t="s">
        <v>203</v>
      </c>
      <c r="F141" s="87">
        <v>786.67</v>
      </c>
      <c r="G141" s="3" t="s">
        <v>282</v>
      </c>
      <c r="H141" s="66" t="s">
        <v>315</v>
      </c>
      <c r="I141" s="3"/>
      <c r="J141" s="8"/>
      <c r="K141" s="8"/>
      <c r="L141" s="3"/>
      <c r="M141" s="16"/>
      <c r="N141" s="16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5" hidden="1">
      <c r="A142" s="3">
        <v>140</v>
      </c>
      <c r="B142" s="3"/>
      <c r="C142" s="3" t="s">
        <v>204</v>
      </c>
      <c r="D142" s="3" t="s">
        <v>205</v>
      </c>
      <c r="E142" s="3"/>
      <c r="F142" s="87">
        <v>239.51</v>
      </c>
      <c r="G142" s="3" t="s">
        <v>282</v>
      </c>
      <c r="H142" s="66" t="s">
        <v>315</v>
      </c>
      <c r="I142" s="3"/>
      <c r="J142" s="8"/>
      <c r="K142" s="8"/>
      <c r="L142" s="3"/>
      <c r="M142" s="16"/>
      <c r="N142" s="16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5" hidden="1">
      <c r="A143" s="3">
        <v>141</v>
      </c>
      <c r="B143" s="3"/>
      <c r="C143" s="3" t="s">
        <v>205</v>
      </c>
      <c r="D143" s="3" t="s">
        <v>36</v>
      </c>
      <c r="E143" s="3"/>
      <c r="F143" s="87">
        <v>246.98</v>
      </c>
      <c r="G143" s="88" t="s">
        <v>287</v>
      </c>
      <c r="H143" s="66" t="s">
        <v>315</v>
      </c>
      <c r="I143" s="3"/>
      <c r="J143" s="8"/>
      <c r="K143" s="8"/>
      <c r="L143" s="3"/>
      <c r="M143" s="16"/>
      <c r="N143" s="16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5" hidden="1">
      <c r="A144" s="3">
        <v>142</v>
      </c>
      <c r="B144" s="3"/>
      <c r="C144" s="3" t="s">
        <v>36</v>
      </c>
      <c r="D144" s="3" t="s">
        <v>206</v>
      </c>
      <c r="E144" s="3" t="s">
        <v>353</v>
      </c>
      <c r="F144" s="87">
        <v>1728.1849999999999</v>
      </c>
      <c r="G144" s="3" t="s">
        <v>281</v>
      </c>
      <c r="H144" s="66" t="s">
        <v>315</v>
      </c>
      <c r="I144" s="3"/>
      <c r="J144" s="8"/>
      <c r="K144" s="8"/>
      <c r="L144" s="3"/>
      <c r="M144" s="16"/>
      <c r="N144" s="16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5" hidden="1">
      <c r="A145" s="3">
        <v>143</v>
      </c>
      <c r="B145" s="3"/>
      <c r="C145" s="3" t="s">
        <v>206</v>
      </c>
      <c r="D145" s="3" t="s">
        <v>207</v>
      </c>
      <c r="E145" s="3"/>
      <c r="F145" s="87">
        <v>411.1429</v>
      </c>
      <c r="G145" s="3" t="s">
        <v>282</v>
      </c>
      <c r="H145" s="66" t="s">
        <v>315</v>
      </c>
      <c r="I145" s="3"/>
      <c r="J145" s="8"/>
      <c r="K145" s="8"/>
      <c r="L145" s="3"/>
      <c r="M145" s="16"/>
      <c r="N145" s="16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5" hidden="1">
      <c r="A146" s="3">
        <v>144</v>
      </c>
      <c r="B146" s="3"/>
      <c r="C146" s="3" t="s">
        <v>207</v>
      </c>
      <c r="D146" s="3" t="s">
        <v>37</v>
      </c>
      <c r="E146" s="3"/>
      <c r="F146" s="87">
        <v>295</v>
      </c>
      <c r="G146" s="88" t="s">
        <v>287</v>
      </c>
      <c r="H146" s="66" t="s">
        <v>315</v>
      </c>
      <c r="I146" s="3"/>
      <c r="J146" s="8"/>
      <c r="K146" s="8"/>
      <c r="L146" s="3"/>
      <c r="M146" s="16"/>
      <c r="N146" s="16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5" hidden="1">
      <c r="A147" s="3">
        <v>145</v>
      </c>
      <c r="B147" s="3"/>
      <c r="C147" s="3" t="s">
        <v>37</v>
      </c>
      <c r="D147" s="3" t="s">
        <v>208</v>
      </c>
      <c r="E147" s="3" t="s">
        <v>354</v>
      </c>
      <c r="F147" s="87">
        <v>1763.5409999999999</v>
      </c>
      <c r="G147" s="3" t="s">
        <v>281</v>
      </c>
      <c r="H147" s="66" t="s">
        <v>315</v>
      </c>
      <c r="I147" s="3"/>
      <c r="J147" s="8"/>
      <c r="K147" s="8"/>
      <c r="L147" s="3"/>
      <c r="M147" s="16"/>
      <c r="N147" s="16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5" hidden="1">
      <c r="A148" s="3">
        <v>146</v>
      </c>
      <c r="B148" s="3"/>
      <c r="C148" s="3" t="s">
        <v>208</v>
      </c>
      <c r="D148" s="3" t="s">
        <v>209</v>
      </c>
      <c r="E148" s="3"/>
      <c r="F148" s="87">
        <v>200.821</v>
      </c>
      <c r="G148" s="88" t="s">
        <v>287</v>
      </c>
      <c r="H148" s="66" t="s">
        <v>315</v>
      </c>
      <c r="I148" s="3"/>
      <c r="J148" s="8"/>
      <c r="K148" s="8"/>
      <c r="L148" s="3"/>
      <c r="M148" s="16"/>
      <c r="N148" s="16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5" hidden="1">
      <c r="A149" s="3">
        <v>147</v>
      </c>
      <c r="B149" s="3"/>
      <c r="C149" s="3" t="s">
        <v>209</v>
      </c>
      <c r="D149" s="3" t="s">
        <v>210</v>
      </c>
      <c r="E149" s="3"/>
      <c r="F149" s="87">
        <v>202.27699999999999</v>
      </c>
      <c r="G149" s="88" t="s">
        <v>287</v>
      </c>
      <c r="H149" s="66" t="s">
        <v>315</v>
      </c>
      <c r="I149" s="3"/>
      <c r="J149" s="8"/>
      <c r="K149" s="8"/>
      <c r="L149" s="3"/>
      <c r="M149" s="16"/>
      <c r="N149" s="16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5" hidden="1">
      <c r="A150" s="3">
        <v>148</v>
      </c>
      <c r="B150" s="3"/>
      <c r="C150" s="3" t="s">
        <v>210</v>
      </c>
      <c r="D150" s="3" t="s">
        <v>211</v>
      </c>
      <c r="E150" s="3"/>
      <c r="F150" s="87">
        <v>363.32100000000003</v>
      </c>
      <c r="G150" s="3" t="s">
        <v>282</v>
      </c>
      <c r="H150" s="66" t="s">
        <v>315</v>
      </c>
      <c r="I150" s="3"/>
      <c r="J150" s="8"/>
      <c r="K150" s="8"/>
      <c r="L150" s="3"/>
      <c r="M150" s="16"/>
      <c r="N150" s="16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5" hidden="1">
      <c r="A151" s="3">
        <v>149</v>
      </c>
      <c r="B151" s="3"/>
      <c r="C151" s="3" t="s">
        <v>211</v>
      </c>
      <c r="D151" s="3" t="s">
        <v>213</v>
      </c>
      <c r="E151" s="3" t="s">
        <v>212</v>
      </c>
      <c r="F151" s="87">
        <v>737.40300000000002</v>
      </c>
      <c r="G151" s="3" t="s">
        <v>282</v>
      </c>
      <c r="H151" s="66" t="s">
        <v>314</v>
      </c>
      <c r="I151" s="3"/>
      <c r="J151" s="8"/>
      <c r="K151" s="8"/>
      <c r="L151" s="3"/>
      <c r="M151" s="16"/>
      <c r="N151" s="16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5" hidden="1">
      <c r="A152" s="3">
        <v>150</v>
      </c>
      <c r="B152" s="3"/>
      <c r="C152" s="3" t="s">
        <v>213</v>
      </c>
      <c r="D152" s="3" t="s">
        <v>38</v>
      </c>
      <c r="E152" s="3" t="s">
        <v>214</v>
      </c>
      <c r="F152" s="87">
        <v>734.048</v>
      </c>
      <c r="G152" s="3" t="s">
        <v>282</v>
      </c>
      <c r="H152" s="66" t="s">
        <v>314</v>
      </c>
      <c r="I152" s="3"/>
      <c r="J152" s="8"/>
      <c r="K152" s="8"/>
      <c r="L152" s="3"/>
      <c r="M152" s="16"/>
      <c r="N152" s="16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5" hidden="1">
      <c r="A153" s="3">
        <v>151</v>
      </c>
      <c r="B153" s="3"/>
      <c r="C153" s="3" t="s">
        <v>38</v>
      </c>
      <c r="D153" s="3" t="s">
        <v>215</v>
      </c>
      <c r="E153" s="3" t="s">
        <v>355</v>
      </c>
      <c r="F153" s="87">
        <v>1835.7380000000001</v>
      </c>
      <c r="G153" s="3" t="s">
        <v>281</v>
      </c>
      <c r="H153" s="66" t="s">
        <v>314</v>
      </c>
      <c r="I153" s="3"/>
      <c r="J153" s="8"/>
      <c r="K153" s="8"/>
      <c r="L153" s="3"/>
      <c r="M153" s="16"/>
      <c r="N153" s="16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5" hidden="1">
      <c r="A154" s="3">
        <v>152</v>
      </c>
      <c r="B154" s="3"/>
      <c r="C154" s="3" t="s">
        <v>215</v>
      </c>
      <c r="D154" s="3" t="s">
        <v>39</v>
      </c>
      <c r="E154" s="3"/>
      <c r="F154" s="87">
        <v>280.01499999999999</v>
      </c>
      <c r="G154" s="88" t="s">
        <v>287</v>
      </c>
      <c r="H154" s="66" t="s">
        <v>314</v>
      </c>
      <c r="I154" s="3"/>
      <c r="J154" s="8"/>
      <c r="K154" s="8"/>
      <c r="L154" s="3"/>
      <c r="M154" s="16"/>
      <c r="N154" s="16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5" hidden="1">
      <c r="A155" s="3">
        <v>153</v>
      </c>
      <c r="B155" s="3"/>
      <c r="C155" s="3" t="s">
        <v>39</v>
      </c>
      <c r="D155" s="3" t="s">
        <v>216</v>
      </c>
      <c r="E155" s="3" t="s">
        <v>356</v>
      </c>
      <c r="F155" s="87">
        <v>1372.6</v>
      </c>
      <c r="G155" s="3" t="s">
        <v>281</v>
      </c>
      <c r="H155" s="66" t="s">
        <v>315</v>
      </c>
      <c r="I155" s="3"/>
      <c r="J155" s="8"/>
      <c r="K155" s="8"/>
      <c r="L155" s="3"/>
      <c r="M155" s="16"/>
      <c r="N155" s="16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5" hidden="1">
      <c r="A156" s="3">
        <v>154</v>
      </c>
      <c r="B156" s="3"/>
      <c r="C156" s="3" t="s">
        <v>216</v>
      </c>
      <c r="D156" s="3" t="s">
        <v>217</v>
      </c>
      <c r="E156" s="3" t="s">
        <v>357</v>
      </c>
      <c r="F156" s="87">
        <v>2778.1210000000001</v>
      </c>
      <c r="G156" s="3" t="s">
        <v>281</v>
      </c>
      <c r="H156" s="66" t="s">
        <v>315</v>
      </c>
      <c r="I156" s="3"/>
      <c r="J156" s="8"/>
      <c r="K156" s="8"/>
      <c r="L156" s="3"/>
      <c r="M156" s="16"/>
      <c r="N156" s="16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5" hidden="1">
      <c r="A157" s="3">
        <v>155</v>
      </c>
      <c r="B157" s="3"/>
      <c r="C157" s="3" t="s">
        <v>217</v>
      </c>
      <c r="D157" s="3" t="s">
        <v>219</v>
      </c>
      <c r="E157" s="3" t="s">
        <v>218</v>
      </c>
      <c r="F157" s="87">
        <v>791.62599999999998</v>
      </c>
      <c r="G157" s="3" t="s">
        <v>282</v>
      </c>
      <c r="H157" s="66" t="s">
        <v>298</v>
      </c>
      <c r="I157" s="3" t="s">
        <v>72</v>
      </c>
      <c r="J157" s="8">
        <v>46123</v>
      </c>
      <c r="K157" s="8">
        <v>46126</v>
      </c>
      <c r="L157" s="16" t="s">
        <v>49</v>
      </c>
      <c r="M157" s="16">
        <v>46126</v>
      </c>
      <c r="N157" s="16">
        <v>46127</v>
      </c>
      <c r="O157" s="3"/>
      <c r="P157" s="3" t="s">
        <v>49</v>
      </c>
      <c r="Q157" s="3" t="s">
        <v>49</v>
      </c>
      <c r="R157" s="3"/>
      <c r="S157" s="3" t="s">
        <v>49</v>
      </c>
      <c r="T157" s="3" t="s">
        <v>316</v>
      </c>
      <c r="U157" s="3">
        <v>30</v>
      </c>
      <c r="V157" s="3"/>
      <c r="W157" s="3"/>
      <c r="X157" s="3"/>
    </row>
    <row r="158" spans="1:24" ht="15.5" hidden="1">
      <c r="A158" s="3">
        <v>156</v>
      </c>
      <c r="B158" s="3"/>
      <c r="C158" s="3" t="s">
        <v>219</v>
      </c>
      <c r="D158" s="3" t="s">
        <v>237</v>
      </c>
      <c r="E158" s="3"/>
      <c r="F158" s="87">
        <v>463.1</v>
      </c>
      <c r="G158" s="3" t="s">
        <v>282</v>
      </c>
      <c r="H158" s="66" t="s">
        <v>315</v>
      </c>
      <c r="I158" s="3"/>
      <c r="J158" s="8"/>
      <c r="K158" s="8"/>
      <c r="L158" s="3"/>
      <c r="M158" s="16"/>
      <c r="N158" s="16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5" hidden="1">
      <c r="A159" s="3">
        <v>157</v>
      </c>
      <c r="B159" s="3"/>
      <c r="C159" s="3" t="s">
        <v>237</v>
      </c>
      <c r="D159" s="3" t="s">
        <v>238</v>
      </c>
      <c r="E159" s="3"/>
      <c r="F159" s="87">
        <v>256.45</v>
      </c>
      <c r="G159" s="88" t="s">
        <v>287</v>
      </c>
      <c r="H159" s="66" t="s">
        <v>315</v>
      </c>
      <c r="I159" s="3"/>
      <c r="J159" s="8"/>
      <c r="K159" s="8"/>
      <c r="L159" s="3"/>
      <c r="M159" s="16"/>
      <c r="N159" s="16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5" hidden="1">
      <c r="A160" s="3">
        <v>158</v>
      </c>
      <c r="B160" s="3"/>
      <c r="C160" s="3" t="s">
        <v>238</v>
      </c>
      <c r="D160" s="3" t="s">
        <v>57</v>
      </c>
      <c r="E160" s="3"/>
      <c r="F160" s="87">
        <v>425.57</v>
      </c>
      <c r="G160" s="3" t="s">
        <v>282</v>
      </c>
      <c r="H160" s="66" t="s">
        <v>315</v>
      </c>
      <c r="I160" s="3"/>
      <c r="J160" s="8"/>
      <c r="K160" s="8"/>
      <c r="L160" s="3"/>
      <c r="M160" s="16"/>
      <c r="N160" s="16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5" hidden="1">
      <c r="A161" s="3">
        <v>159</v>
      </c>
      <c r="B161" s="3"/>
      <c r="C161" s="3" t="s">
        <v>57</v>
      </c>
      <c r="D161" s="3" t="s">
        <v>59</v>
      </c>
      <c r="E161" s="3" t="s">
        <v>58</v>
      </c>
      <c r="F161" s="87">
        <v>566.9</v>
      </c>
      <c r="G161" s="3" t="s">
        <v>282</v>
      </c>
      <c r="H161" s="66" t="s">
        <v>315</v>
      </c>
      <c r="I161" s="3"/>
      <c r="J161" s="8"/>
      <c r="K161" s="8"/>
      <c r="L161" s="3"/>
      <c r="M161" s="16"/>
      <c r="N161" s="16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5" hidden="1">
      <c r="A162" s="3">
        <v>160</v>
      </c>
      <c r="B162" s="3"/>
      <c r="C162" s="3" t="s">
        <v>59</v>
      </c>
      <c r="D162" s="3" t="s">
        <v>40</v>
      </c>
      <c r="E162" s="3" t="s">
        <v>358</v>
      </c>
      <c r="F162" s="87">
        <v>1620.626</v>
      </c>
      <c r="G162" s="3" t="s">
        <v>281</v>
      </c>
      <c r="H162" s="66" t="s">
        <v>315</v>
      </c>
      <c r="I162" s="3"/>
      <c r="J162" s="8"/>
      <c r="K162" s="8"/>
      <c r="L162" s="3"/>
      <c r="M162" s="16"/>
      <c r="N162" s="16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5" hidden="1">
      <c r="A163" s="3">
        <v>161</v>
      </c>
      <c r="B163" s="3"/>
      <c r="C163" s="3" t="s">
        <v>40</v>
      </c>
      <c r="D163" s="3" t="s">
        <v>220</v>
      </c>
      <c r="E163" s="3" t="s">
        <v>359</v>
      </c>
      <c r="F163" s="87">
        <v>1630.951</v>
      </c>
      <c r="G163" s="3" t="s">
        <v>281</v>
      </c>
      <c r="H163" s="66" t="s">
        <v>315</v>
      </c>
      <c r="I163" s="3"/>
      <c r="J163" s="8"/>
      <c r="K163" s="8"/>
      <c r="L163" s="3"/>
      <c r="M163" s="16"/>
      <c r="N163" s="16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5" hidden="1">
      <c r="A164" s="3">
        <v>162</v>
      </c>
      <c r="B164" s="3"/>
      <c r="C164" s="3" t="s">
        <v>220</v>
      </c>
      <c r="D164" s="3" t="s">
        <v>41</v>
      </c>
      <c r="E164" s="3" t="s">
        <v>360</v>
      </c>
      <c r="F164" s="87">
        <v>1133.9739999999999</v>
      </c>
      <c r="G164" s="3" t="s">
        <v>281</v>
      </c>
      <c r="H164" s="66" t="s">
        <v>314</v>
      </c>
      <c r="I164" s="3"/>
      <c r="J164" s="8"/>
      <c r="K164" s="8"/>
      <c r="L164" s="3"/>
      <c r="M164" s="16"/>
      <c r="N164" s="16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5" hidden="1">
      <c r="A165" s="3">
        <v>163</v>
      </c>
      <c r="B165" s="3"/>
      <c r="C165" s="3" t="s">
        <v>41</v>
      </c>
      <c r="D165" s="3" t="s">
        <v>42</v>
      </c>
      <c r="E165" s="3" t="s">
        <v>221</v>
      </c>
      <c r="F165" s="87">
        <v>840.86800000000005</v>
      </c>
      <c r="G165" s="3" t="s">
        <v>282</v>
      </c>
      <c r="H165" s="66" t="s">
        <v>314</v>
      </c>
      <c r="I165" s="3"/>
      <c r="J165" s="8"/>
      <c r="K165" s="8"/>
      <c r="L165" s="3"/>
      <c r="M165" s="16"/>
      <c r="N165" s="16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5" hidden="1">
      <c r="A166" s="3">
        <v>164</v>
      </c>
      <c r="B166" s="3"/>
      <c r="C166" s="3" t="s">
        <v>42</v>
      </c>
      <c r="D166" s="3" t="s">
        <v>222</v>
      </c>
      <c r="E166" s="3" t="s">
        <v>361</v>
      </c>
      <c r="F166" s="87">
        <v>2021.9960000000001</v>
      </c>
      <c r="G166" s="3" t="s">
        <v>281</v>
      </c>
      <c r="H166" s="66" t="s">
        <v>314</v>
      </c>
      <c r="I166" s="3"/>
      <c r="J166" s="8"/>
      <c r="K166" s="8"/>
      <c r="L166" s="3"/>
      <c r="M166" s="16"/>
      <c r="N166" s="16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5" hidden="1">
      <c r="A167" s="3">
        <v>165</v>
      </c>
      <c r="B167" s="3"/>
      <c r="C167" s="3" t="s">
        <v>222</v>
      </c>
      <c r="D167" s="3" t="s">
        <v>223</v>
      </c>
      <c r="E167" s="3"/>
      <c r="F167" s="87">
        <v>487.45400000000001</v>
      </c>
      <c r="G167" s="3" t="s">
        <v>282</v>
      </c>
      <c r="H167" s="66" t="s">
        <v>315</v>
      </c>
      <c r="I167" s="3"/>
      <c r="J167" s="8"/>
      <c r="K167" s="8"/>
      <c r="L167" s="3"/>
      <c r="M167" s="16"/>
      <c r="N167" s="16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5" hidden="1">
      <c r="A168" s="3">
        <v>166</v>
      </c>
      <c r="B168" s="3"/>
      <c r="C168" s="3" t="s">
        <v>223</v>
      </c>
      <c r="D168" s="3" t="s">
        <v>224</v>
      </c>
      <c r="E168" s="3"/>
      <c r="F168" s="87">
        <v>304.45999999999998</v>
      </c>
      <c r="G168" s="88" t="s">
        <v>287</v>
      </c>
      <c r="H168" s="66" t="s">
        <v>315</v>
      </c>
      <c r="I168" s="3"/>
      <c r="J168" s="8"/>
      <c r="K168" s="8"/>
      <c r="L168" s="3"/>
      <c r="M168" s="16"/>
      <c r="N168" s="16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5" hidden="1">
      <c r="A169" s="3">
        <v>167</v>
      </c>
      <c r="B169" s="3"/>
      <c r="C169" s="3" t="s">
        <v>224</v>
      </c>
      <c r="D169" s="3" t="s">
        <v>225</v>
      </c>
      <c r="E169" s="3"/>
      <c r="F169" s="87">
        <v>353.19</v>
      </c>
      <c r="G169" s="3" t="s">
        <v>282</v>
      </c>
      <c r="H169" s="66" t="s">
        <v>315</v>
      </c>
      <c r="I169" s="3"/>
      <c r="J169" s="8"/>
      <c r="K169" s="8"/>
      <c r="L169" s="3"/>
      <c r="M169" s="16"/>
      <c r="N169" s="16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5" hidden="1">
      <c r="A170" s="3">
        <v>168</v>
      </c>
      <c r="B170" s="3"/>
      <c r="C170" s="3" t="s">
        <v>225</v>
      </c>
      <c r="D170" s="3" t="s">
        <v>226</v>
      </c>
      <c r="E170" s="3"/>
      <c r="F170" s="87">
        <v>263.06</v>
      </c>
      <c r="G170" s="3" t="s">
        <v>282</v>
      </c>
      <c r="H170" s="66" t="s">
        <v>314</v>
      </c>
      <c r="I170" s="3"/>
      <c r="J170" s="8"/>
      <c r="K170" s="8"/>
      <c r="L170" s="3"/>
      <c r="M170" s="16"/>
      <c r="N170" s="16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5" hidden="1">
      <c r="A171" s="3">
        <v>169</v>
      </c>
      <c r="B171" s="3"/>
      <c r="C171" s="3" t="s">
        <v>226</v>
      </c>
      <c r="D171" s="3" t="s">
        <v>228</v>
      </c>
      <c r="E171" s="3" t="s">
        <v>227</v>
      </c>
      <c r="F171" s="87">
        <v>736.76</v>
      </c>
      <c r="G171" s="3" t="s">
        <v>282</v>
      </c>
      <c r="H171" s="66" t="s">
        <v>315</v>
      </c>
      <c r="I171" s="3"/>
      <c r="J171" s="8"/>
      <c r="K171" s="8"/>
      <c r="L171" s="3"/>
      <c r="M171" s="16"/>
      <c r="N171" s="16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5" hidden="1">
      <c r="A172" s="3">
        <v>170</v>
      </c>
      <c r="B172" s="3"/>
      <c r="C172" s="3" t="s">
        <v>228</v>
      </c>
      <c r="D172" s="3" t="s">
        <v>230</v>
      </c>
      <c r="E172" s="3" t="s">
        <v>229</v>
      </c>
      <c r="F172" s="87">
        <v>583.35</v>
      </c>
      <c r="G172" s="88" t="s">
        <v>287</v>
      </c>
      <c r="H172" s="66" t="s">
        <v>315</v>
      </c>
      <c r="I172" s="3"/>
      <c r="J172" s="8"/>
      <c r="K172" s="8"/>
      <c r="L172" s="3"/>
      <c r="M172" s="16"/>
      <c r="N172" s="16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5" hidden="1">
      <c r="A173" s="3">
        <v>171</v>
      </c>
      <c r="B173" s="3"/>
      <c r="C173" s="3" t="s">
        <v>230</v>
      </c>
      <c r="D173" s="3" t="s">
        <v>231</v>
      </c>
      <c r="E173" s="3"/>
      <c r="F173" s="87">
        <v>94.77</v>
      </c>
      <c r="G173" s="3" t="s">
        <v>282</v>
      </c>
      <c r="H173" s="66" t="s">
        <v>315</v>
      </c>
      <c r="I173" s="3"/>
      <c r="J173" s="8"/>
      <c r="K173" s="8"/>
      <c r="L173" s="3"/>
      <c r="M173" s="16"/>
      <c r="N173" s="16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5" hidden="1">
      <c r="A174" s="3">
        <v>172</v>
      </c>
      <c r="B174" s="3"/>
      <c r="C174" s="3" t="s">
        <v>231</v>
      </c>
      <c r="D174" s="3" t="s">
        <v>232</v>
      </c>
      <c r="E174" s="3"/>
      <c r="F174" s="87">
        <v>79</v>
      </c>
      <c r="G174" s="3" t="s">
        <v>282</v>
      </c>
      <c r="H174" s="66" t="s">
        <v>315</v>
      </c>
      <c r="I174" s="3"/>
      <c r="J174" s="8"/>
      <c r="K174" s="8"/>
      <c r="L174" s="3"/>
      <c r="M174" s="16"/>
      <c r="N174" s="16"/>
      <c r="O174" s="3"/>
      <c r="P174" s="3"/>
      <c r="Q174" s="3"/>
      <c r="R174" s="3"/>
      <c r="S174" s="3"/>
      <c r="T174" s="3"/>
      <c r="U174" s="3"/>
      <c r="V174" s="3"/>
      <c r="W174" s="3"/>
      <c r="X174" s="3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26" priority="1352"/>
  </conditionalFormatting>
  <conditionalFormatting sqref="C2">
    <cfRule type="duplicateValues" dxfId="25" priority="37"/>
  </conditionalFormatting>
  <conditionalFormatting sqref="C3:C11">
    <cfRule type="duplicateValues" dxfId="24" priority="1355"/>
  </conditionalFormatting>
  <conditionalFormatting sqref="C174">
    <cfRule type="duplicateValues" dxfId="23" priority="5"/>
  </conditionalFormatting>
  <conditionalFormatting sqref="D174">
    <cfRule type="duplicateValues" dxfId="22" priority="6"/>
  </conditionalFormatting>
  <conditionalFormatting sqref="D2:E2 D4:E11 D3">
    <cfRule type="duplicateValues" dxfId="21" priority="1356"/>
  </conditionalFormatting>
  <conditionalFormatting sqref="E3">
    <cfRule type="duplicateValues" dxfId="20" priority="7"/>
  </conditionalFormatting>
  <conditionalFormatting sqref="E174">
    <cfRule type="duplicateValues" dxfId="19" priority="4"/>
  </conditionalFormatting>
  <conditionalFormatting sqref="H3:H174">
    <cfRule type="containsText" dxfId="18" priority="1" operator="containsText" text="Complete">
      <formula>NOT(ISERROR(SEARCH("Complete",H3)))</formula>
    </cfRule>
    <cfRule type="containsText" dxfId="17" priority="2" operator="containsText" text="Not Ready">
      <formula>NOT(ISERROR(SEARCH("Not Ready",H3)))</formula>
    </cfRule>
    <cfRule type="containsText" dxfId="16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81"/>
  <sheetViews>
    <sheetView zoomScale="60" zoomScaleNormal="53" zoomScaleSheetLayoutView="50" workbookViewId="0">
      <pane ySplit="2" topLeftCell="A162" activePane="bottomLeft" state="frozen"/>
      <selection pane="bottomLeft" activeCell="N178" sqref="N178"/>
    </sheetView>
  </sheetViews>
  <sheetFormatPr defaultColWidth="9.453125" defaultRowHeight="14.5"/>
  <cols>
    <col min="1" max="1" width="6.453125" style="4" customWidth="1"/>
    <col min="2" max="2" width="9.453125" style="4" customWidth="1"/>
    <col min="3" max="3" width="16.54296875" style="4" customWidth="1"/>
    <col min="4" max="4" width="12.54296875" style="4" customWidth="1"/>
    <col min="5" max="5" width="10.453125" style="18" customWidth="1"/>
    <col min="6" max="6" width="16.453125" style="4" customWidth="1"/>
    <col min="7" max="7" width="30" style="7" customWidth="1"/>
    <col min="8" max="12" width="18.453125" style="7" customWidth="1"/>
    <col min="13" max="13" width="15.7265625" style="4" customWidth="1"/>
    <col min="14" max="14" width="26.26953125" style="4" customWidth="1"/>
    <col min="15" max="15" width="22" style="42" hidden="1" customWidth="1"/>
    <col min="16" max="16" width="13.90625" style="4" customWidth="1"/>
    <col min="17" max="17" width="18.54296875" style="4" customWidth="1"/>
    <col min="18" max="18" width="0" style="4" hidden="1" customWidth="1"/>
    <col min="19" max="16384" width="9.453125" style="4"/>
  </cols>
  <sheetData>
    <row r="1" spans="1:18" ht="50.5" customHeight="1" thickBot="1">
      <c r="A1" s="139" t="s">
        <v>365</v>
      </c>
      <c r="B1" s="140"/>
      <c r="C1" s="140"/>
      <c r="D1" s="140"/>
      <c r="E1" s="141"/>
      <c r="F1" s="140"/>
      <c r="G1" s="140"/>
      <c r="H1" s="140"/>
      <c r="I1" s="140"/>
      <c r="J1" s="140"/>
      <c r="K1" s="140"/>
      <c r="L1" s="140"/>
      <c r="M1" s="140"/>
      <c r="N1" s="140"/>
      <c r="O1" s="128"/>
      <c r="P1" s="140"/>
      <c r="Q1" s="142"/>
    </row>
    <row r="2" spans="1:18" s="6" customFormat="1" ht="62.9" customHeight="1">
      <c r="A2" s="92" t="s">
        <v>47</v>
      </c>
      <c r="B2" s="74" t="s">
        <v>55</v>
      </c>
      <c r="C2" s="74" t="s">
        <v>50</v>
      </c>
      <c r="D2" s="74" t="s">
        <v>56</v>
      </c>
      <c r="E2" s="93" t="s">
        <v>61</v>
      </c>
      <c r="F2" s="74" t="s">
        <v>240</v>
      </c>
      <c r="G2" s="78" t="s">
        <v>73</v>
      </c>
      <c r="H2" s="78" t="s">
        <v>272</v>
      </c>
      <c r="I2" s="78" t="s">
        <v>273</v>
      </c>
      <c r="J2" s="78" t="s">
        <v>274</v>
      </c>
      <c r="K2" s="78" t="s">
        <v>275</v>
      </c>
      <c r="L2" s="78" t="s">
        <v>364</v>
      </c>
      <c r="M2" s="78" t="s">
        <v>241</v>
      </c>
      <c r="N2" s="74" t="s">
        <v>54</v>
      </c>
      <c r="O2" s="94" t="s">
        <v>242</v>
      </c>
      <c r="P2" s="74" t="s">
        <v>60</v>
      </c>
      <c r="Q2" s="80" t="s">
        <v>71</v>
      </c>
    </row>
    <row r="3" spans="1:18" ht="30" customHeight="1">
      <c r="A3" s="2">
        <v>1</v>
      </c>
      <c r="B3" s="95" t="s">
        <v>125</v>
      </c>
      <c r="C3" s="2" t="s">
        <v>501</v>
      </c>
      <c r="D3" s="3" t="s">
        <v>542</v>
      </c>
      <c r="E3" s="15"/>
      <c r="F3" s="96">
        <v>45902</v>
      </c>
      <c r="G3" s="58"/>
      <c r="H3" s="110" t="s">
        <v>276</v>
      </c>
      <c r="I3" s="110" t="s">
        <v>276</v>
      </c>
      <c r="J3" s="9" t="s">
        <v>276</v>
      </c>
      <c r="K3" s="9" t="s">
        <v>276</v>
      </c>
      <c r="L3" s="3" t="s">
        <v>49</v>
      </c>
      <c r="M3" s="96">
        <v>45915</v>
      </c>
      <c r="N3" s="13"/>
      <c r="O3" s="43" t="s">
        <v>502</v>
      </c>
      <c r="P3" s="3"/>
      <c r="Q3" s="98"/>
      <c r="R3" s="4">
        <v>11</v>
      </c>
    </row>
    <row r="4" spans="1:18" ht="30" customHeight="1">
      <c r="A4" s="2">
        <v>2</v>
      </c>
      <c r="B4" s="95" t="s">
        <v>455</v>
      </c>
      <c r="C4" s="2" t="s">
        <v>503</v>
      </c>
      <c r="D4" s="3" t="s">
        <v>542</v>
      </c>
      <c r="E4" s="15"/>
      <c r="F4" s="96">
        <v>45909</v>
      </c>
      <c r="G4" s="39"/>
      <c r="H4" s="110" t="s">
        <v>276</v>
      </c>
      <c r="I4" s="110" t="s">
        <v>276</v>
      </c>
      <c r="J4" s="9" t="s">
        <v>276</v>
      </c>
      <c r="K4" s="9" t="s">
        <v>276</v>
      </c>
      <c r="L4" s="3" t="s">
        <v>49</v>
      </c>
      <c r="M4" s="96">
        <v>45933</v>
      </c>
      <c r="N4" s="13"/>
      <c r="O4" s="43" t="s">
        <v>502</v>
      </c>
      <c r="P4" s="3"/>
      <c r="Q4" s="98"/>
      <c r="R4" s="4">
        <v>11</v>
      </c>
    </row>
    <row r="5" spans="1:18" ht="30" customHeight="1">
      <c r="A5" s="2">
        <v>3</v>
      </c>
      <c r="B5" s="95" t="s">
        <v>449</v>
      </c>
      <c r="C5" s="2" t="s">
        <v>504</v>
      </c>
      <c r="D5" s="3" t="s">
        <v>505</v>
      </c>
      <c r="E5" s="15"/>
      <c r="F5" s="96">
        <v>45931</v>
      </c>
      <c r="G5" s="99"/>
      <c r="H5" s="110" t="s">
        <v>276</v>
      </c>
      <c r="I5" s="110" t="s">
        <v>276</v>
      </c>
      <c r="J5" s="9" t="s">
        <v>276</v>
      </c>
      <c r="K5" s="9" t="s">
        <v>276</v>
      </c>
      <c r="L5" s="3" t="s">
        <v>49</v>
      </c>
      <c r="M5" s="96">
        <v>45937</v>
      </c>
      <c r="N5" s="13"/>
      <c r="O5" s="43" t="s">
        <v>506</v>
      </c>
      <c r="P5" s="3" t="s">
        <v>304</v>
      </c>
      <c r="Q5" s="98">
        <v>45940</v>
      </c>
      <c r="R5" s="4">
        <v>11</v>
      </c>
    </row>
    <row r="6" spans="1:18" ht="30" customHeight="1">
      <c r="A6" s="2">
        <v>4</v>
      </c>
      <c r="B6" s="95" t="s">
        <v>88</v>
      </c>
      <c r="C6" s="2" t="s">
        <v>503</v>
      </c>
      <c r="D6" s="3" t="s">
        <v>543</v>
      </c>
      <c r="E6" s="15"/>
      <c r="F6" s="96">
        <v>45921</v>
      </c>
      <c r="G6" s="99"/>
      <c r="H6" s="110" t="s">
        <v>276</v>
      </c>
      <c r="I6" s="110" t="s">
        <v>276</v>
      </c>
      <c r="J6" s="9" t="s">
        <v>276</v>
      </c>
      <c r="K6" s="9" t="s">
        <v>276</v>
      </c>
      <c r="L6" s="3" t="s">
        <v>49</v>
      </c>
      <c r="M6" s="96">
        <v>45938</v>
      </c>
      <c r="N6" s="13"/>
      <c r="O6" s="43" t="s">
        <v>502</v>
      </c>
      <c r="P6" s="3" t="s">
        <v>304</v>
      </c>
      <c r="Q6" s="98">
        <v>45982</v>
      </c>
      <c r="R6" s="4">
        <v>11</v>
      </c>
    </row>
    <row r="7" spans="1:18" ht="30" customHeight="1">
      <c r="A7" s="2">
        <v>5</v>
      </c>
      <c r="B7" s="95" t="s">
        <v>122</v>
      </c>
      <c r="C7" s="2" t="s">
        <v>503</v>
      </c>
      <c r="D7" s="3" t="s">
        <v>505</v>
      </c>
      <c r="E7" s="15"/>
      <c r="F7" s="96">
        <v>45907</v>
      </c>
      <c r="G7" s="39"/>
      <c r="H7" s="110" t="s">
        <v>276</v>
      </c>
      <c r="I7" s="110" t="s">
        <v>276</v>
      </c>
      <c r="J7" s="9" t="s">
        <v>276</v>
      </c>
      <c r="K7" s="9" t="s">
        <v>276</v>
      </c>
      <c r="L7" s="3" t="s">
        <v>49</v>
      </c>
      <c r="M7" s="96">
        <v>45945</v>
      </c>
      <c r="N7" s="13"/>
      <c r="O7" s="43" t="s">
        <v>507</v>
      </c>
      <c r="P7" s="3" t="s">
        <v>304</v>
      </c>
      <c r="Q7" s="98">
        <v>45950</v>
      </c>
      <c r="R7" s="4">
        <v>11</v>
      </c>
    </row>
    <row r="8" spans="1:18" ht="30" customHeight="1">
      <c r="A8" s="2">
        <v>6</v>
      </c>
      <c r="B8" s="95" t="s">
        <v>84</v>
      </c>
      <c r="C8" s="2" t="s">
        <v>504</v>
      </c>
      <c r="D8" s="3" t="s">
        <v>505</v>
      </c>
      <c r="E8" s="15"/>
      <c r="F8" s="96">
        <v>45924</v>
      </c>
      <c r="G8" s="37"/>
      <c r="H8" s="110" t="s">
        <v>276</v>
      </c>
      <c r="I8" s="110" t="s">
        <v>276</v>
      </c>
      <c r="J8" s="9" t="s">
        <v>276</v>
      </c>
      <c r="K8" s="9" t="s">
        <v>276</v>
      </c>
      <c r="L8" s="3" t="s">
        <v>49</v>
      </c>
      <c r="M8" s="96">
        <v>45946</v>
      </c>
      <c r="N8" s="13"/>
      <c r="O8" s="43" t="s">
        <v>508</v>
      </c>
      <c r="P8" s="3" t="s">
        <v>304</v>
      </c>
      <c r="Q8" s="98">
        <v>45968</v>
      </c>
      <c r="R8" s="4">
        <v>11</v>
      </c>
    </row>
    <row r="9" spans="1:18" ht="30" customHeight="1">
      <c r="A9" s="2">
        <v>7</v>
      </c>
      <c r="B9" s="95" t="s">
        <v>82</v>
      </c>
      <c r="C9" s="2" t="s">
        <v>503</v>
      </c>
      <c r="D9" s="3" t="s">
        <v>542</v>
      </c>
      <c r="E9" s="15"/>
      <c r="F9" s="96">
        <v>45938</v>
      </c>
      <c r="G9" s="37"/>
      <c r="H9" s="110" t="s">
        <v>276</v>
      </c>
      <c r="I9" s="110" t="s">
        <v>276</v>
      </c>
      <c r="J9" s="9" t="s">
        <v>276</v>
      </c>
      <c r="K9" s="9" t="s">
        <v>276</v>
      </c>
      <c r="L9" s="3" t="s">
        <v>49</v>
      </c>
      <c r="M9" s="96">
        <v>45949</v>
      </c>
      <c r="N9" s="13"/>
      <c r="O9" s="43" t="s">
        <v>502</v>
      </c>
      <c r="P9" s="3" t="s">
        <v>304</v>
      </c>
      <c r="Q9" s="98">
        <v>45950</v>
      </c>
      <c r="R9" s="4">
        <v>11</v>
      </c>
    </row>
    <row r="10" spans="1:18" ht="30" customHeight="1">
      <c r="A10" s="2">
        <v>8</v>
      </c>
      <c r="B10" s="95" t="s">
        <v>451</v>
      </c>
      <c r="C10" s="2" t="s">
        <v>509</v>
      </c>
      <c r="D10" s="3" t="s">
        <v>542</v>
      </c>
      <c r="E10" s="15"/>
      <c r="F10" s="96">
        <v>45938</v>
      </c>
      <c r="G10" s="39"/>
      <c r="H10" s="110" t="s">
        <v>276</v>
      </c>
      <c r="I10" s="110" t="s">
        <v>276</v>
      </c>
      <c r="J10" s="9" t="s">
        <v>276</v>
      </c>
      <c r="K10" s="9" t="s">
        <v>276</v>
      </c>
      <c r="L10" s="3" t="s">
        <v>49</v>
      </c>
      <c r="M10" s="96">
        <v>45949</v>
      </c>
      <c r="N10" s="13"/>
      <c r="O10" s="43" t="s">
        <v>506</v>
      </c>
      <c r="P10" s="3" t="s">
        <v>304</v>
      </c>
      <c r="Q10" s="98">
        <v>45952</v>
      </c>
      <c r="R10" s="4">
        <v>11</v>
      </c>
    </row>
    <row r="11" spans="1:18" ht="30" customHeight="1">
      <c r="A11" s="2">
        <v>9</v>
      </c>
      <c r="B11" s="95" t="s">
        <v>447</v>
      </c>
      <c r="C11" s="2" t="s">
        <v>504</v>
      </c>
      <c r="D11" s="3" t="s">
        <v>505</v>
      </c>
      <c r="E11" s="15"/>
      <c r="F11" s="96">
        <v>45940</v>
      </c>
      <c r="G11" s="37"/>
      <c r="H11" s="110" t="s">
        <v>276</v>
      </c>
      <c r="I11" s="110" t="s">
        <v>276</v>
      </c>
      <c r="J11" s="9" t="s">
        <v>276</v>
      </c>
      <c r="K11" s="9" t="s">
        <v>276</v>
      </c>
      <c r="L11" s="3" t="s">
        <v>49</v>
      </c>
      <c r="M11" s="96">
        <v>45955</v>
      </c>
      <c r="N11" s="13"/>
      <c r="O11" s="43" t="s">
        <v>507</v>
      </c>
      <c r="P11" s="3" t="s">
        <v>304</v>
      </c>
      <c r="Q11" s="98">
        <v>45963</v>
      </c>
      <c r="R11" s="4">
        <v>11</v>
      </c>
    </row>
    <row r="12" spans="1:18" ht="30" customHeight="1">
      <c r="A12" s="2">
        <v>10</v>
      </c>
      <c r="B12" s="100" t="s">
        <v>457</v>
      </c>
      <c r="C12" s="2" t="s">
        <v>501</v>
      </c>
      <c r="D12" s="3" t="s">
        <v>542</v>
      </c>
      <c r="E12" s="15"/>
      <c r="F12" s="96">
        <v>45941</v>
      </c>
      <c r="G12" s="39"/>
      <c r="H12" s="110" t="s">
        <v>276</v>
      </c>
      <c r="I12" s="110" t="s">
        <v>276</v>
      </c>
      <c r="J12" s="9" t="s">
        <v>276</v>
      </c>
      <c r="K12" s="9" t="s">
        <v>276</v>
      </c>
      <c r="L12" s="3" t="s">
        <v>49</v>
      </c>
      <c r="M12" s="96">
        <v>45958</v>
      </c>
      <c r="N12" s="14"/>
      <c r="O12" s="43" t="s">
        <v>510</v>
      </c>
      <c r="P12" s="3" t="s">
        <v>304</v>
      </c>
      <c r="Q12" s="98">
        <v>45964</v>
      </c>
      <c r="R12" s="4">
        <v>11</v>
      </c>
    </row>
    <row r="13" spans="1:18" ht="30" customHeight="1">
      <c r="A13" s="2">
        <v>11</v>
      </c>
      <c r="B13" s="95" t="s">
        <v>445</v>
      </c>
      <c r="C13" s="2" t="s">
        <v>501</v>
      </c>
      <c r="D13" s="3" t="s">
        <v>542</v>
      </c>
      <c r="E13" s="15"/>
      <c r="F13" s="96">
        <v>45942</v>
      </c>
      <c r="G13" s="37"/>
      <c r="H13" s="110" t="s">
        <v>276</v>
      </c>
      <c r="I13" s="110" t="s">
        <v>276</v>
      </c>
      <c r="J13" s="9" t="s">
        <v>276</v>
      </c>
      <c r="K13" s="9" t="s">
        <v>276</v>
      </c>
      <c r="L13" s="3" t="s">
        <v>49</v>
      </c>
      <c r="M13" s="96">
        <v>45962</v>
      </c>
      <c r="N13" s="13"/>
      <c r="O13" s="43" t="s">
        <v>511</v>
      </c>
      <c r="P13" s="3" t="s">
        <v>304</v>
      </c>
      <c r="Q13" s="98">
        <v>45965</v>
      </c>
      <c r="R13" s="4">
        <v>11</v>
      </c>
    </row>
    <row r="14" spans="1:18" ht="30" customHeight="1">
      <c r="A14" s="2">
        <v>12</v>
      </c>
      <c r="B14" s="100" t="s">
        <v>456</v>
      </c>
      <c r="C14" s="2" t="s">
        <v>504</v>
      </c>
      <c r="D14" s="3" t="s">
        <v>542</v>
      </c>
      <c r="E14" s="15"/>
      <c r="F14" s="96">
        <v>45942</v>
      </c>
      <c r="G14" s="39"/>
      <c r="H14" s="110" t="s">
        <v>276</v>
      </c>
      <c r="I14" s="110" t="s">
        <v>276</v>
      </c>
      <c r="J14" s="9" t="s">
        <v>276</v>
      </c>
      <c r="K14" s="9" t="s">
        <v>276</v>
      </c>
      <c r="L14" s="3" t="s">
        <v>49</v>
      </c>
      <c r="M14" s="96">
        <v>45962</v>
      </c>
      <c r="N14" s="13"/>
      <c r="O14" s="43" t="s">
        <v>510</v>
      </c>
      <c r="P14" s="3" t="s">
        <v>304</v>
      </c>
      <c r="Q14" s="98">
        <v>45968</v>
      </c>
      <c r="R14" s="4">
        <v>11</v>
      </c>
    </row>
    <row r="15" spans="1:18" ht="30" customHeight="1">
      <c r="A15" s="2">
        <v>13</v>
      </c>
      <c r="B15" s="95" t="s">
        <v>446</v>
      </c>
      <c r="C15" s="2" t="s">
        <v>501</v>
      </c>
      <c r="D15" s="3" t="s">
        <v>542</v>
      </c>
      <c r="E15" s="15"/>
      <c r="F15" s="96">
        <v>45942</v>
      </c>
      <c r="G15" s="37"/>
      <c r="H15" s="110" t="s">
        <v>276</v>
      </c>
      <c r="I15" s="110" t="s">
        <v>276</v>
      </c>
      <c r="J15" s="9" t="s">
        <v>276</v>
      </c>
      <c r="K15" s="9" t="s">
        <v>276</v>
      </c>
      <c r="L15" s="3" t="s">
        <v>49</v>
      </c>
      <c r="M15" s="96">
        <v>45964</v>
      </c>
      <c r="N15" s="13"/>
      <c r="O15" s="43" t="s">
        <v>511</v>
      </c>
      <c r="P15" s="3" t="s">
        <v>304</v>
      </c>
      <c r="Q15" s="98">
        <v>45969</v>
      </c>
      <c r="R15" s="4">
        <v>11</v>
      </c>
    </row>
    <row r="16" spans="1:18" ht="30" customHeight="1">
      <c r="A16" s="2">
        <v>14</v>
      </c>
      <c r="B16" s="95" t="s">
        <v>123</v>
      </c>
      <c r="C16" s="2" t="s">
        <v>509</v>
      </c>
      <c r="D16" s="3" t="s">
        <v>505</v>
      </c>
      <c r="E16" s="15"/>
      <c r="F16" s="96">
        <v>45910</v>
      </c>
      <c r="G16" s="37"/>
      <c r="H16" s="110" t="s">
        <v>276</v>
      </c>
      <c r="I16" s="110" t="s">
        <v>276</v>
      </c>
      <c r="J16" s="9" t="s">
        <v>276</v>
      </c>
      <c r="K16" s="9" t="s">
        <v>276</v>
      </c>
      <c r="L16" s="3" t="s">
        <v>49</v>
      </c>
      <c r="M16" s="96">
        <v>45965</v>
      </c>
      <c r="N16" s="14"/>
      <c r="O16" s="43" t="s">
        <v>507</v>
      </c>
      <c r="P16" s="3"/>
      <c r="Q16" s="98"/>
      <c r="R16" s="4">
        <v>11</v>
      </c>
    </row>
    <row r="17" spans="1:18" ht="30" customHeight="1">
      <c r="A17" s="2">
        <v>15</v>
      </c>
      <c r="B17" s="95" t="s">
        <v>452</v>
      </c>
      <c r="C17" s="2" t="s">
        <v>504</v>
      </c>
      <c r="D17" s="3" t="s">
        <v>544</v>
      </c>
      <c r="E17" s="15"/>
      <c r="F17" s="96">
        <v>45930</v>
      </c>
      <c r="G17" s="37"/>
      <c r="H17" s="110" t="s">
        <v>276</v>
      </c>
      <c r="I17" s="110" t="s">
        <v>276</v>
      </c>
      <c r="J17" s="9" t="s">
        <v>276</v>
      </c>
      <c r="K17" s="9" t="s">
        <v>276</v>
      </c>
      <c r="L17" s="3" t="s">
        <v>49</v>
      </c>
      <c r="M17" s="96">
        <v>45967</v>
      </c>
      <c r="N17" s="13"/>
      <c r="O17" s="43" t="s">
        <v>512</v>
      </c>
      <c r="P17" s="3" t="s">
        <v>304</v>
      </c>
      <c r="Q17" s="98">
        <v>45969</v>
      </c>
      <c r="R17" s="4">
        <v>11</v>
      </c>
    </row>
    <row r="18" spans="1:18" ht="30" customHeight="1">
      <c r="A18" s="2">
        <v>16</v>
      </c>
      <c r="B18" s="100" t="s">
        <v>126</v>
      </c>
      <c r="C18" s="2" t="s">
        <v>501</v>
      </c>
      <c r="D18" s="3" t="s">
        <v>542</v>
      </c>
      <c r="E18" s="15"/>
      <c r="F18" s="96">
        <v>45960</v>
      </c>
      <c r="G18" s="99"/>
      <c r="H18" s="110" t="s">
        <v>276</v>
      </c>
      <c r="I18" s="110" t="s">
        <v>276</v>
      </c>
      <c r="J18" s="9" t="s">
        <v>276</v>
      </c>
      <c r="K18" s="9" t="s">
        <v>276</v>
      </c>
      <c r="L18" s="3" t="s">
        <v>49</v>
      </c>
      <c r="M18" s="96">
        <v>45967</v>
      </c>
      <c r="N18" s="14"/>
      <c r="O18" s="43" t="s">
        <v>510</v>
      </c>
      <c r="P18" s="3" t="s">
        <v>304</v>
      </c>
      <c r="Q18" s="98">
        <v>45974</v>
      </c>
      <c r="R18" s="4">
        <v>11</v>
      </c>
    </row>
    <row r="19" spans="1:18" ht="30" customHeight="1">
      <c r="A19" s="2">
        <v>17</v>
      </c>
      <c r="B19" s="100" t="s">
        <v>472</v>
      </c>
      <c r="C19" s="2" t="s">
        <v>504</v>
      </c>
      <c r="D19" s="3" t="s">
        <v>542</v>
      </c>
      <c r="E19" s="15"/>
      <c r="F19" s="96">
        <v>45957</v>
      </c>
      <c r="G19" s="39"/>
      <c r="H19" s="110" t="s">
        <v>276</v>
      </c>
      <c r="I19" s="110" t="s">
        <v>276</v>
      </c>
      <c r="J19" s="9" t="s">
        <v>276</v>
      </c>
      <c r="K19" s="9" t="s">
        <v>276</v>
      </c>
      <c r="L19" s="3" t="s">
        <v>49</v>
      </c>
      <c r="M19" s="96">
        <v>45969</v>
      </c>
      <c r="N19" s="13"/>
      <c r="O19" s="43" t="s">
        <v>506</v>
      </c>
      <c r="P19" s="3" t="s">
        <v>304</v>
      </c>
      <c r="Q19" s="98">
        <v>45995</v>
      </c>
      <c r="R19" s="4">
        <v>11</v>
      </c>
    </row>
    <row r="20" spans="1:18" ht="30" customHeight="1">
      <c r="A20" s="2">
        <v>18</v>
      </c>
      <c r="B20" s="95" t="s">
        <v>439</v>
      </c>
      <c r="C20" s="2" t="s">
        <v>504</v>
      </c>
      <c r="D20" s="3" t="s">
        <v>542</v>
      </c>
      <c r="E20" s="15"/>
      <c r="F20" s="96">
        <v>45961</v>
      </c>
      <c r="G20" s="9"/>
      <c r="H20" s="110" t="s">
        <v>276</v>
      </c>
      <c r="I20" s="110" t="s">
        <v>276</v>
      </c>
      <c r="J20" s="9" t="s">
        <v>276</v>
      </c>
      <c r="K20" s="9" t="s">
        <v>276</v>
      </c>
      <c r="L20" s="3" t="s">
        <v>49</v>
      </c>
      <c r="M20" s="96">
        <v>45970</v>
      </c>
      <c r="N20" s="13"/>
      <c r="O20" s="43" t="s">
        <v>511</v>
      </c>
      <c r="P20" s="3"/>
      <c r="Q20" s="98"/>
      <c r="R20" s="4">
        <v>11</v>
      </c>
    </row>
    <row r="21" spans="1:18" ht="30" customHeight="1">
      <c r="A21" s="2">
        <v>19</v>
      </c>
      <c r="B21" s="100" t="s">
        <v>459</v>
      </c>
      <c r="C21" s="2" t="s">
        <v>501</v>
      </c>
      <c r="D21" s="3" t="s">
        <v>542</v>
      </c>
      <c r="E21" s="15"/>
      <c r="F21" s="96">
        <v>45941</v>
      </c>
      <c r="G21" s="39"/>
      <c r="H21" s="110" t="s">
        <v>276</v>
      </c>
      <c r="I21" s="110" t="s">
        <v>276</v>
      </c>
      <c r="J21" s="9" t="s">
        <v>276</v>
      </c>
      <c r="K21" s="9" t="s">
        <v>276</v>
      </c>
      <c r="L21" s="3" t="s">
        <v>49</v>
      </c>
      <c r="M21" s="96">
        <v>45972</v>
      </c>
      <c r="N21" s="13"/>
      <c r="O21" s="43" t="s">
        <v>510</v>
      </c>
      <c r="P21" s="3" t="s">
        <v>304</v>
      </c>
      <c r="Q21" s="98">
        <v>45985</v>
      </c>
      <c r="R21" s="4">
        <v>11</v>
      </c>
    </row>
    <row r="22" spans="1:18" ht="30" customHeight="1">
      <c r="A22" s="2">
        <v>20</v>
      </c>
      <c r="B22" s="95" t="s">
        <v>450</v>
      </c>
      <c r="C22" s="2" t="s">
        <v>504</v>
      </c>
      <c r="D22" s="3" t="s">
        <v>505</v>
      </c>
      <c r="E22" s="15"/>
      <c r="F22" s="96">
        <v>45958</v>
      </c>
      <c r="G22" s="39"/>
      <c r="H22" s="110" t="s">
        <v>276</v>
      </c>
      <c r="I22" s="110" t="s">
        <v>276</v>
      </c>
      <c r="J22" s="9" t="s">
        <v>276</v>
      </c>
      <c r="K22" s="9" t="s">
        <v>276</v>
      </c>
      <c r="L22" s="3" t="s">
        <v>49</v>
      </c>
      <c r="M22" s="96">
        <v>45974</v>
      </c>
      <c r="N22" s="13"/>
      <c r="O22" s="43" t="s">
        <v>507</v>
      </c>
      <c r="P22" s="3" t="s">
        <v>304</v>
      </c>
      <c r="Q22" s="98">
        <v>45981</v>
      </c>
      <c r="R22" s="4">
        <v>11</v>
      </c>
    </row>
    <row r="23" spans="1:18" ht="30" customHeight="1">
      <c r="A23" s="2">
        <v>21</v>
      </c>
      <c r="B23" s="95" t="s">
        <v>440</v>
      </c>
      <c r="C23" s="2" t="s">
        <v>501</v>
      </c>
      <c r="D23" s="3" t="s">
        <v>542</v>
      </c>
      <c r="E23" s="15"/>
      <c r="F23" s="96">
        <v>45969</v>
      </c>
      <c r="G23" s="37"/>
      <c r="H23" s="110" t="s">
        <v>276</v>
      </c>
      <c r="I23" s="110" t="s">
        <v>276</v>
      </c>
      <c r="J23" s="9" t="s">
        <v>276</v>
      </c>
      <c r="K23" s="9" t="s">
        <v>276</v>
      </c>
      <c r="L23" s="3" t="s">
        <v>49</v>
      </c>
      <c r="M23" s="96">
        <v>45975</v>
      </c>
      <c r="N23" s="13"/>
      <c r="O23" s="43" t="s">
        <v>511</v>
      </c>
      <c r="P23" s="3" t="s">
        <v>304</v>
      </c>
      <c r="Q23" s="98">
        <v>45985</v>
      </c>
      <c r="R23" s="4">
        <v>11</v>
      </c>
    </row>
    <row r="24" spans="1:18" ht="30" customHeight="1">
      <c r="A24" s="2">
        <v>22</v>
      </c>
      <c r="B24" s="100" t="s">
        <v>460</v>
      </c>
      <c r="C24" s="2" t="s">
        <v>504</v>
      </c>
      <c r="D24" s="3" t="s">
        <v>542</v>
      </c>
      <c r="E24" s="15"/>
      <c r="F24" s="96">
        <v>45940</v>
      </c>
      <c r="G24" s="99"/>
      <c r="H24" s="110" t="s">
        <v>276</v>
      </c>
      <c r="I24" s="110" t="s">
        <v>276</v>
      </c>
      <c r="J24" s="9" t="s">
        <v>276</v>
      </c>
      <c r="K24" s="9" t="s">
        <v>276</v>
      </c>
      <c r="L24" s="3" t="s">
        <v>49</v>
      </c>
      <c r="M24" s="96">
        <v>45975</v>
      </c>
      <c r="N24" s="13"/>
      <c r="O24" s="43" t="s">
        <v>510</v>
      </c>
      <c r="P24" s="3" t="s">
        <v>304</v>
      </c>
      <c r="Q24" s="98">
        <v>45986</v>
      </c>
      <c r="R24" s="4">
        <v>11</v>
      </c>
    </row>
    <row r="25" spans="1:18" ht="30" customHeight="1">
      <c r="A25" s="2">
        <v>23</v>
      </c>
      <c r="B25" s="95" t="s">
        <v>83</v>
      </c>
      <c r="C25" s="2" t="s">
        <v>504</v>
      </c>
      <c r="D25" s="3" t="s">
        <v>542</v>
      </c>
      <c r="E25" s="15"/>
      <c r="F25" s="96">
        <v>45968</v>
      </c>
      <c r="G25" s="37"/>
      <c r="H25" s="110" t="s">
        <v>276</v>
      </c>
      <c r="I25" s="110" t="s">
        <v>276</v>
      </c>
      <c r="J25" s="9" t="s">
        <v>276</v>
      </c>
      <c r="K25" s="9" t="s">
        <v>276</v>
      </c>
      <c r="L25" s="3" t="s">
        <v>49</v>
      </c>
      <c r="M25" s="96">
        <v>45976</v>
      </c>
      <c r="N25" s="13"/>
      <c r="O25" s="43" t="s">
        <v>508</v>
      </c>
      <c r="P25" s="3"/>
      <c r="Q25" s="98"/>
      <c r="R25" s="4">
        <v>11</v>
      </c>
    </row>
    <row r="26" spans="1:18" ht="30" customHeight="1">
      <c r="A26" s="2">
        <v>24</v>
      </c>
      <c r="B26" s="95" t="s">
        <v>85</v>
      </c>
      <c r="C26" s="2" t="s">
        <v>504</v>
      </c>
      <c r="D26" s="3" t="s">
        <v>542</v>
      </c>
      <c r="E26" s="15"/>
      <c r="F26" s="96">
        <v>45968</v>
      </c>
      <c r="G26" s="9"/>
      <c r="H26" s="110" t="s">
        <v>276</v>
      </c>
      <c r="I26" s="110" t="s">
        <v>276</v>
      </c>
      <c r="J26" s="9" t="s">
        <v>276</v>
      </c>
      <c r="K26" s="9" t="s">
        <v>276</v>
      </c>
      <c r="L26" s="3" t="s">
        <v>49</v>
      </c>
      <c r="M26" s="96">
        <v>45977</v>
      </c>
      <c r="N26" s="13"/>
      <c r="O26" s="43" t="s">
        <v>512</v>
      </c>
      <c r="P26" s="3" t="s">
        <v>304</v>
      </c>
      <c r="Q26" s="98">
        <v>45980</v>
      </c>
      <c r="R26" s="4">
        <v>11</v>
      </c>
    </row>
    <row r="27" spans="1:18" ht="30" customHeight="1">
      <c r="A27" s="2">
        <v>25</v>
      </c>
      <c r="B27" s="95" t="s">
        <v>441</v>
      </c>
      <c r="C27" s="2" t="s">
        <v>504</v>
      </c>
      <c r="D27" s="3" t="s">
        <v>505</v>
      </c>
      <c r="E27" s="15"/>
      <c r="F27" s="96">
        <v>45968</v>
      </c>
      <c r="G27" s="38"/>
      <c r="H27" s="110" t="s">
        <v>276</v>
      </c>
      <c r="I27" s="110" t="s">
        <v>276</v>
      </c>
      <c r="J27" s="9" t="s">
        <v>276</v>
      </c>
      <c r="K27" s="9" t="s">
        <v>276</v>
      </c>
      <c r="L27" s="3" t="s">
        <v>49</v>
      </c>
      <c r="M27" s="96">
        <v>45980</v>
      </c>
      <c r="N27" s="13"/>
      <c r="O27" s="43" t="s">
        <v>511</v>
      </c>
      <c r="P27" s="3" t="s">
        <v>304</v>
      </c>
      <c r="Q27" s="98">
        <v>45987</v>
      </c>
      <c r="R27" s="4">
        <v>11</v>
      </c>
    </row>
    <row r="28" spans="1:18" ht="30" customHeight="1">
      <c r="A28" s="2">
        <v>26</v>
      </c>
      <c r="B28" s="100" t="s">
        <v>474</v>
      </c>
      <c r="C28" s="2" t="s">
        <v>501</v>
      </c>
      <c r="D28" s="3" t="s">
        <v>505</v>
      </c>
      <c r="E28" s="15"/>
      <c r="F28" s="96">
        <v>45970</v>
      </c>
      <c r="G28" s="39"/>
      <c r="H28" s="110" t="s">
        <v>276</v>
      </c>
      <c r="I28" s="110" t="s">
        <v>276</v>
      </c>
      <c r="J28" s="9" t="s">
        <v>276</v>
      </c>
      <c r="K28" s="9" t="s">
        <v>276</v>
      </c>
      <c r="L28" s="3" t="s">
        <v>49</v>
      </c>
      <c r="M28" s="96">
        <v>45980</v>
      </c>
      <c r="N28" s="13"/>
      <c r="O28" s="43" t="s">
        <v>506</v>
      </c>
      <c r="P28" s="3" t="s">
        <v>304</v>
      </c>
      <c r="Q28" s="98">
        <v>45987</v>
      </c>
      <c r="R28" s="4">
        <v>11</v>
      </c>
    </row>
    <row r="29" spans="1:18" ht="30" customHeight="1">
      <c r="A29" s="2">
        <v>27</v>
      </c>
      <c r="B29" s="95" t="s">
        <v>412</v>
      </c>
      <c r="C29" s="2" t="s">
        <v>504</v>
      </c>
      <c r="D29" s="3" t="s">
        <v>513</v>
      </c>
      <c r="E29" s="101"/>
      <c r="F29" s="96">
        <v>45970</v>
      </c>
      <c r="G29" s="9"/>
      <c r="H29" s="110" t="s">
        <v>276</v>
      </c>
      <c r="I29" s="110" t="s">
        <v>276</v>
      </c>
      <c r="J29" s="9" t="s">
        <v>276</v>
      </c>
      <c r="K29" s="9" t="s">
        <v>276</v>
      </c>
      <c r="L29" s="3" t="s">
        <v>49</v>
      </c>
      <c r="M29" s="96">
        <v>45981</v>
      </c>
      <c r="N29" s="24"/>
      <c r="O29" s="43" t="s">
        <v>514</v>
      </c>
      <c r="P29" s="3" t="s">
        <v>304</v>
      </c>
      <c r="Q29" s="98">
        <v>45984</v>
      </c>
      <c r="R29" s="4">
        <v>11</v>
      </c>
    </row>
    <row r="30" spans="1:18" ht="30" customHeight="1">
      <c r="A30" s="2">
        <v>28</v>
      </c>
      <c r="B30" s="95" t="s">
        <v>453</v>
      </c>
      <c r="C30" s="2" t="s">
        <v>501</v>
      </c>
      <c r="D30" s="3" t="s">
        <v>505</v>
      </c>
      <c r="E30" s="15"/>
      <c r="F30" s="96">
        <v>45969</v>
      </c>
      <c r="G30" s="37"/>
      <c r="H30" s="110" t="s">
        <v>276</v>
      </c>
      <c r="I30" s="110" t="s">
        <v>276</v>
      </c>
      <c r="J30" s="9" t="s">
        <v>276</v>
      </c>
      <c r="K30" s="9" t="s">
        <v>276</v>
      </c>
      <c r="L30" s="3" t="s">
        <v>49</v>
      </c>
      <c r="M30" s="96">
        <v>45982</v>
      </c>
      <c r="N30" s="13"/>
      <c r="O30" s="43" t="s">
        <v>507</v>
      </c>
      <c r="P30" s="3" t="s">
        <v>304</v>
      </c>
      <c r="Q30" s="98">
        <v>45984</v>
      </c>
      <c r="R30" s="4">
        <v>11</v>
      </c>
    </row>
    <row r="31" spans="1:18" ht="30" customHeight="1">
      <c r="A31" s="2">
        <v>29</v>
      </c>
      <c r="B31" s="100" t="s">
        <v>91</v>
      </c>
      <c r="C31" s="2" t="s">
        <v>509</v>
      </c>
      <c r="D31" s="3" t="s">
        <v>505</v>
      </c>
      <c r="E31" s="15"/>
      <c r="F31" s="96">
        <v>45974</v>
      </c>
      <c r="G31" s="37"/>
      <c r="H31" s="110" t="s">
        <v>276</v>
      </c>
      <c r="I31" s="110" t="s">
        <v>276</v>
      </c>
      <c r="J31" s="9" t="s">
        <v>276</v>
      </c>
      <c r="K31" s="9" t="s">
        <v>276</v>
      </c>
      <c r="L31" s="3" t="s">
        <v>49</v>
      </c>
      <c r="M31" s="96">
        <v>45982</v>
      </c>
      <c r="N31" s="13"/>
      <c r="O31" s="43" t="s">
        <v>510</v>
      </c>
      <c r="P31" s="3" t="s">
        <v>304</v>
      </c>
      <c r="Q31" s="98">
        <v>45984</v>
      </c>
      <c r="R31" s="4">
        <v>11</v>
      </c>
    </row>
    <row r="32" spans="1:18" ht="30" customHeight="1">
      <c r="A32" s="2">
        <v>30</v>
      </c>
      <c r="B32" s="95" t="s">
        <v>81</v>
      </c>
      <c r="C32" s="2" t="s">
        <v>504</v>
      </c>
      <c r="D32" s="3" t="s">
        <v>542</v>
      </c>
      <c r="E32" s="15"/>
      <c r="F32" s="96">
        <v>45977</v>
      </c>
      <c r="G32" s="37"/>
      <c r="H32" s="110" t="s">
        <v>276</v>
      </c>
      <c r="I32" s="110" t="s">
        <v>276</v>
      </c>
      <c r="J32" s="9" t="s">
        <v>276</v>
      </c>
      <c r="K32" s="9" t="s">
        <v>276</v>
      </c>
      <c r="L32" s="3" t="s">
        <v>49</v>
      </c>
      <c r="M32" s="96">
        <v>45983</v>
      </c>
      <c r="N32" s="13"/>
      <c r="O32" s="43" t="s">
        <v>508</v>
      </c>
      <c r="P32" s="3" t="s">
        <v>304</v>
      </c>
      <c r="Q32" s="98">
        <v>45986</v>
      </c>
      <c r="R32" s="4">
        <v>11</v>
      </c>
    </row>
    <row r="33" spans="1:18" ht="30" customHeight="1">
      <c r="A33" s="2">
        <v>31</v>
      </c>
      <c r="B33" s="95" t="s">
        <v>442</v>
      </c>
      <c r="C33" s="2" t="s">
        <v>504</v>
      </c>
      <c r="D33" s="3" t="s">
        <v>542</v>
      </c>
      <c r="E33" s="15"/>
      <c r="F33" s="96">
        <v>45975</v>
      </c>
      <c r="G33" s="102"/>
      <c r="H33" s="110" t="s">
        <v>276</v>
      </c>
      <c r="I33" s="110" t="s">
        <v>276</v>
      </c>
      <c r="J33" s="9" t="s">
        <v>276</v>
      </c>
      <c r="K33" s="9" t="s">
        <v>276</v>
      </c>
      <c r="L33" s="3" t="s">
        <v>49</v>
      </c>
      <c r="M33" s="96">
        <v>45984</v>
      </c>
      <c r="N33" s="13"/>
      <c r="O33" s="43" t="s">
        <v>511</v>
      </c>
      <c r="P33" s="3" t="s">
        <v>304</v>
      </c>
      <c r="Q33" s="98">
        <v>45986</v>
      </c>
      <c r="R33" s="4">
        <v>11</v>
      </c>
    </row>
    <row r="34" spans="1:18" ht="30" customHeight="1">
      <c r="A34" s="2">
        <v>32</v>
      </c>
      <c r="B34" s="95" t="s">
        <v>413</v>
      </c>
      <c r="C34" s="2" t="s">
        <v>501</v>
      </c>
      <c r="D34" s="3" t="s">
        <v>513</v>
      </c>
      <c r="E34" s="101"/>
      <c r="F34" s="96">
        <v>45968</v>
      </c>
      <c r="G34" s="9"/>
      <c r="H34" s="110" t="s">
        <v>276</v>
      </c>
      <c r="I34" s="110" t="s">
        <v>276</v>
      </c>
      <c r="J34" s="9" t="s">
        <v>276</v>
      </c>
      <c r="K34" s="9" t="s">
        <v>276</v>
      </c>
      <c r="L34" s="3" t="s">
        <v>49</v>
      </c>
      <c r="M34" s="96">
        <v>45985</v>
      </c>
      <c r="N34" s="13"/>
      <c r="O34" s="43" t="s">
        <v>514</v>
      </c>
      <c r="P34" s="3" t="s">
        <v>304</v>
      </c>
      <c r="Q34" s="98">
        <v>45987</v>
      </c>
      <c r="R34" s="4">
        <v>11</v>
      </c>
    </row>
    <row r="35" spans="1:18" ht="30" customHeight="1">
      <c r="A35" s="2">
        <v>33</v>
      </c>
      <c r="B35" s="95" t="s">
        <v>475</v>
      </c>
      <c r="C35" s="2" t="s">
        <v>501</v>
      </c>
      <c r="D35" s="3" t="s">
        <v>505</v>
      </c>
      <c r="E35" s="15"/>
      <c r="F35" s="96">
        <v>45976</v>
      </c>
      <c r="G35" s="39"/>
      <c r="H35" s="110" t="s">
        <v>276</v>
      </c>
      <c r="I35" s="110" t="s">
        <v>276</v>
      </c>
      <c r="J35" s="9" t="s">
        <v>276</v>
      </c>
      <c r="K35" s="9" t="s">
        <v>276</v>
      </c>
      <c r="L35" s="3" t="s">
        <v>49</v>
      </c>
      <c r="M35" s="96">
        <v>45985</v>
      </c>
      <c r="N35" s="13"/>
      <c r="O35" s="43" t="s">
        <v>506</v>
      </c>
      <c r="P35" s="3"/>
      <c r="Q35" s="98"/>
      <c r="R35" s="4">
        <v>11</v>
      </c>
    </row>
    <row r="36" spans="1:18" ht="30" customHeight="1">
      <c r="A36" s="2">
        <v>34</v>
      </c>
      <c r="B36" s="95" t="s">
        <v>411</v>
      </c>
      <c r="C36" s="2" t="s">
        <v>503</v>
      </c>
      <c r="D36" s="3" t="s">
        <v>513</v>
      </c>
      <c r="E36" s="101"/>
      <c r="F36" s="96">
        <v>45984</v>
      </c>
      <c r="G36" s="9"/>
      <c r="H36" s="110" t="s">
        <v>276</v>
      </c>
      <c r="I36" s="110" t="s">
        <v>276</v>
      </c>
      <c r="J36" s="9" t="s">
        <v>276</v>
      </c>
      <c r="K36" s="9" t="s">
        <v>276</v>
      </c>
      <c r="L36" s="3" t="s">
        <v>49</v>
      </c>
      <c r="M36" s="96">
        <v>45989</v>
      </c>
      <c r="N36" s="13"/>
      <c r="O36" s="43" t="s">
        <v>514</v>
      </c>
      <c r="P36" s="3" t="s">
        <v>304</v>
      </c>
      <c r="Q36" s="98">
        <v>45993</v>
      </c>
      <c r="R36" s="4">
        <v>11</v>
      </c>
    </row>
    <row r="37" spans="1:18" ht="30" customHeight="1">
      <c r="A37" s="2">
        <v>35</v>
      </c>
      <c r="B37" s="95" t="s">
        <v>443</v>
      </c>
      <c r="C37" s="2" t="s">
        <v>503</v>
      </c>
      <c r="D37" s="3" t="s">
        <v>542</v>
      </c>
      <c r="E37" s="15"/>
      <c r="F37" s="96">
        <v>45981</v>
      </c>
      <c r="G37" s="58"/>
      <c r="H37" s="110" t="s">
        <v>276</v>
      </c>
      <c r="I37" s="110" t="s">
        <v>276</v>
      </c>
      <c r="J37" s="9" t="s">
        <v>276</v>
      </c>
      <c r="K37" s="9" t="s">
        <v>276</v>
      </c>
      <c r="L37" s="3" t="s">
        <v>49</v>
      </c>
      <c r="M37" s="96">
        <v>45989</v>
      </c>
      <c r="N37" s="13"/>
      <c r="O37" s="43" t="s">
        <v>511</v>
      </c>
      <c r="P37" s="3" t="s">
        <v>304</v>
      </c>
      <c r="Q37" s="98">
        <v>45991</v>
      </c>
      <c r="R37" s="4">
        <v>11</v>
      </c>
    </row>
    <row r="38" spans="1:18" ht="30" customHeight="1">
      <c r="A38" s="2">
        <v>36</v>
      </c>
      <c r="B38" s="95" t="s">
        <v>476</v>
      </c>
      <c r="C38" s="2" t="s">
        <v>503</v>
      </c>
      <c r="D38" s="3" t="s">
        <v>505</v>
      </c>
      <c r="E38" s="15"/>
      <c r="F38" s="96">
        <v>45985</v>
      </c>
      <c r="G38" s="99"/>
      <c r="H38" s="110" t="s">
        <v>276</v>
      </c>
      <c r="I38" s="110" t="s">
        <v>276</v>
      </c>
      <c r="J38" s="9" t="s">
        <v>276</v>
      </c>
      <c r="K38" s="9" t="s">
        <v>276</v>
      </c>
      <c r="L38" s="3" t="s">
        <v>49</v>
      </c>
      <c r="M38" s="96">
        <v>45989</v>
      </c>
      <c r="N38" s="13"/>
      <c r="O38" s="43" t="s">
        <v>506</v>
      </c>
      <c r="P38" s="3"/>
      <c r="Q38" s="98"/>
      <c r="R38" s="4">
        <v>11</v>
      </c>
    </row>
    <row r="39" spans="1:18" ht="30" customHeight="1">
      <c r="A39" s="2">
        <v>37</v>
      </c>
      <c r="B39" s="95" t="s">
        <v>406</v>
      </c>
      <c r="C39" s="2" t="s">
        <v>504</v>
      </c>
      <c r="D39" s="3" t="s">
        <v>513</v>
      </c>
      <c r="E39" s="103"/>
      <c r="F39" s="96">
        <v>45968</v>
      </c>
      <c r="G39" s="9"/>
      <c r="H39" s="110" t="s">
        <v>276</v>
      </c>
      <c r="I39" s="110" t="s">
        <v>276</v>
      </c>
      <c r="J39" s="9" t="s">
        <v>276</v>
      </c>
      <c r="K39" s="9" t="s">
        <v>276</v>
      </c>
      <c r="L39" s="3" t="s">
        <v>49</v>
      </c>
      <c r="M39" s="96">
        <v>45991</v>
      </c>
      <c r="N39" s="13"/>
      <c r="O39" s="43" t="s">
        <v>510</v>
      </c>
      <c r="P39" s="3" t="s">
        <v>304</v>
      </c>
      <c r="Q39" s="98">
        <v>46000</v>
      </c>
      <c r="R39" s="4">
        <v>11</v>
      </c>
    </row>
    <row r="40" spans="1:18" ht="30" customHeight="1">
      <c r="A40" s="2">
        <v>38</v>
      </c>
      <c r="B40" s="95" t="s">
        <v>436</v>
      </c>
      <c r="C40" s="2" t="s">
        <v>504</v>
      </c>
      <c r="D40" s="3" t="s">
        <v>542</v>
      </c>
      <c r="E40" s="103"/>
      <c r="F40" s="96">
        <v>45984</v>
      </c>
      <c r="G40" s="9"/>
      <c r="H40" s="110" t="s">
        <v>276</v>
      </c>
      <c r="I40" s="110" t="s">
        <v>276</v>
      </c>
      <c r="J40" s="9" t="s">
        <v>276</v>
      </c>
      <c r="K40" s="9" t="s">
        <v>276</v>
      </c>
      <c r="L40" s="3" t="s">
        <v>49</v>
      </c>
      <c r="M40" s="96">
        <v>45991</v>
      </c>
      <c r="N40" s="13"/>
      <c r="O40" s="43" t="s">
        <v>512</v>
      </c>
      <c r="P40" s="3" t="s">
        <v>304</v>
      </c>
      <c r="Q40" s="98">
        <v>45996</v>
      </c>
      <c r="R40" s="4">
        <v>11</v>
      </c>
    </row>
    <row r="41" spans="1:18" ht="30" customHeight="1">
      <c r="A41" s="2">
        <v>39</v>
      </c>
      <c r="B41" s="95" t="s">
        <v>80</v>
      </c>
      <c r="C41" s="2" t="s">
        <v>504</v>
      </c>
      <c r="D41" s="3" t="s">
        <v>542</v>
      </c>
      <c r="E41" s="15"/>
      <c r="F41" s="96">
        <v>45984</v>
      </c>
      <c r="G41" s="37"/>
      <c r="H41" s="110" t="s">
        <v>276</v>
      </c>
      <c r="I41" s="110" t="s">
        <v>276</v>
      </c>
      <c r="J41" s="9" t="s">
        <v>276</v>
      </c>
      <c r="K41" s="9" t="s">
        <v>276</v>
      </c>
      <c r="L41" s="3" t="s">
        <v>49</v>
      </c>
      <c r="M41" s="96">
        <v>45991</v>
      </c>
      <c r="N41" s="13"/>
      <c r="O41" s="43" t="s">
        <v>508</v>
      </c>
      <c r="P41" s="3"/>
      <c r="Q41" s="98"/>
      <c r="R41" s="4">
        <v>11</v>
      </c>
    </row>
    <row r="42" spans="1:18" ht="30" customHeight="1">
      <c r="A42" s="2">
        <v>40</v>
      </c>
      <c r="B42" s="95" t="s">
        <v>478</v>
      </c>
      <c r="C42" s="2" t="s">
        <v>504</v>
      </c>
      <c r="D42" s="3" t="s">
        <v>542</v>
      </c>
      <c r="E42" s="15"/>
      <c r="F42" s="96">
        <v>45984</v>
      </c>
      <c r="G42" s="39"/>
      <c r="H42" s="110" t="s">
        <v>276</v>
      </c>
      <c r="I42" s="110" t="s">
        <v>276</v>
      </c>
      <c r="J42" s="9" t="s">
        <v>276</v>
      </c>
      <c r="K42" s="9" t="s">
        <v>276</v>
      </c>
      <c r="L42" s="3" t="s">
        <v>49</v>
      </c>
      <c r="M42" s="96">
        <v>45991</v>
      </c>
      <c r="N42" s="13"/>
      <c r="O42" s="43" t="s">
        <v>507</v>
      </c>
      <c r="P42" s="3"/>
      <c r="Q42" s="98"/>
      <c r="R42" s="4">
        <v>11</v>
      </c>
    </row>
    <row r="43" spans="1:18" ht="30" customHeight="1">
      <c r="A43" s="2">
        <v>41</v>
      </c>
      <c r="B43" s="95" t="s">
        <v>435</v>
      </c>
      <c r="C43" s="2" t="s">
        <v>515</v>
      </c>
      <c r="D43" s="3" t="s">
        <v>542</v>
      </c>
      <c r="E43" s="101"/>
      <c r="F43" s="96">
        <v>45989</v>
      </c>
      <c r="G43" s="9"/>
      <c r="H43" s="110" t="s">
        <v>276</v>
      </c>
      <c r="I43" s="110" t="s">
        <v>276</v>
      </c>
      <c r="J43" s="9" t="s">
        <v>276</v>
      </c>
      <c r="K43" s="9" t="s">
        <v>276</v>
      </c>
      <c r="L43" s="3" t="s">
        <v>49</v>
      </c>
      <c r="M43" s="96">
        <v>45994</v>
      </c>
      <c r="N43" s="13"/>
      <c r="O43" s="43" t="s">
        <v>511</v>
      </c>
      <c r="P43" s="3" t="s">
        <v>304</v>
      </c>
      <c r="Q43" s="98">
        <v>45996</v>
      </c>
      <c r="R43" s="4">
        <v>10</v>
      </c>
    </row>
    <row r="44" spans="1:18" ht="30" customHeight="1">
      <c r="A44" s="2">
        <v>42</v>
      </c>
      <c r="B44" s="95" t="s">
        <v>477</v>
      </c>
      <c r="C44" s="2" t="s">
        <v>501</v>
      </c>
      <c r="D44" s="3" t="s">
        <v>542</v>
      </c>
      <c r="E44" s="15"/>
      <c r="F44" s="96">
        <v>45981</v>
      </c>
      <c r="G44" s="39"/>
      <c r="H44" s="110" t="s">
        <v>276</v>
      </c>
      <c r="I44" s="110" t="s">
        <v>276</v>
      </c>
      <c r="J44" s="9" t="s">
        <v>276</v>
      </c>
      <c r="K44" s="9" t="s">
        <v>276</v>
      </c>
      <c r="L44" s="3" t="s">
        <v>49</v>
      </c>
      <c r="M44" s="96">
        <v>45994</v>
      </c>
      <c r="N44" s="13"/>
      <c r="O44" s="43" t="s">
        <v>506</v>
      </c>
      <c r="P44" s="3"/>
      <c r="Q44" s="98"/>
      <c r="R44" s="4">
        <v>10</v>
      </c>
    </row>
    <row r="45" spans="1:18" ht="30" customHeight="1">
      <c r="A45" s="2">
        <v>43</v>
      </c>
      <c r="B45" s="95" t="s">
        <v>403</v>
      </c>
      <c r="C45" s="2" t="s">
        <v>501</v>
      </c>
      <c r="D45" s="3" t="s">
        <v>513</v>
      </c>
      <c r="E45" s="103"/>
      <c r="F45" s="96">
        <v>45985</v>
      </c>
      <c r="G45" s="9"/>
      <c r="H45" s="110" t="s">
        <v>276</v>
      </c>
      <c r="I45" s="110" t="s">
        <v>276</v>
      </c>
      <c r="J45" s="9" t="s">
        <v>276</v>
      </c>
      <c r="K45" s="9" t="s">
        <v>276</v>
      </c>
      <c r="L45" s="3" t="s">
        <v>49</v>
      </c>
      <c r="M45" s="96">
        <v>45997</v>
      </c>
      <c r="N45" s="13"/>
      <c r="O45" s="43" t="s">
        <v>516</v>
      </c>
      <c r="P45" s="3" t="s">
        <v>304</v>
      </c>
      <c r="Q45" s="98">
        <v>46000</v>
      </c>
      <c r="R45" s="4">
        <v>10</v>
      </c>
    </row>
    <row r="46" spans="1:18" ht="30" customHeight="1">
      <c r="A46" s="2">
        <v>44</v>
      </c>
      <c r="B46" s="95" t="s">
        <v>426</v>
      </c>
      <c r="C46" s="2" t="s">
        <v>501</v>
      </c>
      <c r="D46" s="3" t="s">
        <v>513</v>
      </c>
      <c r="E46" s="103"/>
      <c r="F46" s="96">
        <v>45991</v>
      </c>
      <c r="G46" s="9"/>
      <c r="H46" s="110" t="s">
        <v>276</v>
      </c>
      <c r="I46" s="110" t="s">
        <v>276</v>
      </c>
      <c r="J46" s="9" t="s">
        <v>276</v>
      </c>
      <c r="K46" s="9" t="s">
        <v>276</v>
      </c>
      <c r="L46" s="3" t="s">
        <v>49</v>
      </c>
      <c r="M46" s="96">
        <v>45997</v>
      </c>
      <c r="N46" s="13"/>
      <c r="O46" s="43" t="s">
        <v>514</v>
      </c>
      <c r="P46" s="3" t="s">
        <v>304</v>
      </c>
      <c r="Q46" s="98">
        <v>45998</v>
      </c>
      <c r="R46" s="4">
        <v>10</v>
      </c>
    </row>
    <row r="47" spans="1:18" ht="30" customHeight="1">
      <c r="A47" s="2">
        <v>45</v>
      </c>
      <c r="B47" s="95" t="s">
        <v>479</v>
      </c>
      <c r="C47" s="2" t="s">
        <v>501</v>
      </c>
      <c r="D47" s="3" t="s">
        <v>542</v>
      </c>
      <c r="E47" s="15"/>
      <c r="F47" s="96">
        <v>45986</v>
      </c>
      <c r="G47" s="39"/>
      <c r="H47" s="110" t="s">
        <v>276</v>
      </c>
      <c r="I47" s="110" t="s">
        <v>276</v>
      </c>
      <c r="J47" s="9" t="s">
        <v>276</v>
      </c>
      <c r="K47" s="9" t="s">
        <v>276</v>
      </c>
      <c r="L47" s="3" t="s">
        <v>49</v>
      </c>
      <c r="M47" s="96">
        <v>45997</v>
      </c>
      <c r="N47" s="13"/>
      <c r="O47" s="43" t="s">
        <v>507</v>
      </c>
      <c r="P47" s="3"/>
      <c r="Q47" s="98"/>
      <c r="R47" s="4">
        <v>10</v>
      </c>
    </row>
    <row r="48" spans="1:18" ht="30" customHeight="1">
      <c r="A48" s="2">
        <v>46</v>
      </c>
      <c r="B48" s="95" t="s">
        <v>408</v>
      </c>
      <c r="C48" s="2" t="s">
        <v>501</v>
      </c>
      <c r="D48" s="3" t="s">
        <v>513</v>
      </c>
      <c r="E48" s="103"/>
      <c r="F48" s="96">
        <v>45982</v>
      </c>
      <c r="G48" s="9"/>
      <c r="H48" s="110" t="s">
        <v>276</v>
      </c>
      <c r="I48" s="110" t="s">
        <v>276</v>
      </c>
      <c r="J48" s="9" t="s">
        <v>276</v>
      </c>
      <c r="K48" s="9" t="s">
        <v>276</v>
      </c>
      <c r="L48" s="3" t="s">
        <v>49</v>
      </c>
      <c r="M48" s="96">
        <v>45998</v>
      </c>
      <c r="N48" s="13"/>
      <c r="O48" s="43" t="s">
        <v>510</v>
      </c>
      <c r="P48" s="3" t="s">
        <v>304</v>
      </c>
      <c r="Q48" s="98">
        <v>46000</v>
      </c>
      <c r="R48" s="4">
        <v>10</v>
      </c>
    </row>
    <row r="49" spans="1:18" ht="30" customHeight="1">
      <c r="A49" s="2">
        <v>47</v>
      </c>
      <c r="B49" s="95" t="s">
        <v>433</v>
      </c>
      <c r="C49" s="2" t="s">
        <v>517</v>
      </c>
      <c r="D49" s="3" t="s">
        <v>542</v>
      </c>
      <c r="E49" s="101"/>
      <c r="F49" s="96">
        <v>45994</v>
      </c>
      <c r="G49" s="9"/>
      <c r="H49" s="110" t="s">
        <v>276</v>
      </c>
      <c r="I49" s="110" t="s">
        <v>276</v>
      </c>
      <c r="J49" s="9" t="s">
        <v>276</v>
      </c>
      <c r="K49" s="9" t="s">
        <v>276</v>
      </c>
      <c r="L49" s="3" t="s">
        <v>49</v>
      </c>
      <c r="M49" s="96">
        <v>45998</v>
      </c>
      <c r="N49" s="13"/>
      <c r="O49" s="43" t="s">
        <v>511</v>
      </c>
      <c r="P49" s="3"/>
      <c r="Q49" s="98"/>
      <c r="R49" s="4">
        <v>10</v>
      </c>
    </row>
    <row r="50" spans="1:18" ht="30" customHeight="1">
      <c r="A50" s="2">
        <v>48</v>
      </c>
      <c r="B50" s="95" t="s">
        <v>482</v>
      </c>
      <c r="C50" s="2" t="s">
        <v>504</v>
      </c>
      <c r="D50" s="3" t="s">
        <v>513</v>
      </c>
      <c r="E50" s="15"/>
      <c r="F50" s="96">
        <v>45992</v>
      </c>
      <c r="G50" s="39"/>
      <c r="H50" s="110" t="s">
        <v>276</v>
      </c>
      <c r="I50" s="110" t="s">
        <v>276</v>
      </c>
      <c r="J50" s="9" t="s">
        <v>276</v>
      </c>
      <c r="K50" s="9" t="s">
        <v>276</v>
      </c>
      <c r="L50" s="3" t="s">
        <v>49</v>
      </c>
      <c r="M50" s="96">
        <v>45998</v>
      </c>
      <c r="N50" s="13"/>
      <c r="O50" s="43" t="s">
        <v>506</v>
      </c>
      <c r="P50" s="3" t="s">
        <v>304</v>
      </c>
      <c r="Q50" s="98">
        <v>45999</v>
      </c>
      <c r="R50" s="4">
        <v>10</v>
      </c>
    </row>
    <row r="51" spans="1:18" ht="30" customHeight="1">
      <c r="A51" s="2">
        <v>49</v>
      </c>
      <c r="B51" s="95" t="s">
        <v>480</v>
      </c>
      <c r="C51" s="2" t="s">
        <v>501</v>
      </c>
      <c r="D51" s="3" t="s">
        <v>542</v>
      </c>
      <c r="E51" s="15"/>
      <c r="F51" s="96">
        <v>45992</v>
      </c>
      <c r="G51" s="39"/>
      <c r="H51" s="110" t="s">
        <v>276</v>
      </c>
      <c r="I51" s="110" t="s">
        <v>276</v>
      </c>
      <c r="J51" s="9" t="s">
        <v>276</v>
      </c>
      <c r="K51" s="9" t="s">
        <v>276</v>
      </c>
      <c r="L51" s="3" t="s">
        <v>49</v>
      </c>
      <c r="M51" s="96">
        <v>45999</v>
      </c>
      <c r="N51" s="13"/>
      <c r="O51" s="43" t="s">
        <v>507</v>
      </c>
      <c r="P51" s="3"/>
      <c r="Q51" s="98"/>
      <c r="R51" s="4">
        <v>10</v>
      </c>
    </row>
    <row r="52" spans="1:18" ht="30" customHeight="1">
      <c r="A52" s="2">
        <v>50</v>
      </c>
      <c r="B52" s="95" t="s">
        <v>483</v>
      </c>
      <c r="C52" s="2" t="s">
        <v>501</v>
      </c>
      <c r="D52" s="3" t="s">
        <v>543</v>
      </c>
      <c r="E52" s="15"/>
      <c r="F52" s="96">
        <v>45992</v>
      </c>
      <c r="G52" s="39"/>
      <c r="H52" s="110" t="s">
        <v>276</v>
      </c>
      <c r="I52" s="110" t="s">
        <v>276</v>
      </c>
      <c r="J52" s="9" t="s">
        <v>276</v>
      </c>
      <c r="K52" s="9" t="s">
        <v>276</v>
      </c>
      <c r="L52" s="3" t="s">
        <v>49</v>
      </c>
      <c r="M52" s="96">
        <v>46001</v>
      </c>
      <c r="N52" s="13"/>
      <c r="O52" s="43" t="s">
        <v>506</v>
      </c>
      <c r="P52" s="3" t="s">
        <v>304</v>
      </c>
      <c r="Q52" s="98">
        <v>46012</v>
      </c>
      <c r="R52" s="4">
        <v>10</v>
      </c>
    </row>
    <row r="53" spans="1:18" ht="30" customHeight="1">
      <c r="A53" s="2">
        <v>51</v>
      </c>
      <c r="B53" s="95" t="s">
        <v>437</v>
      </c>
      <c r="C53" s="2" t="s">
        <v>504</v>
      </c>
      <c r="D53" s="3" t="s">
        <v>542</v>
      </c>
      <c r="E53" s="103"/>
      <c r="F53" s="96">
        <v>45990</v>
      </c>
      <c r="G53" s="9"/>
      <c r="H53" s="110" t="s">
        <v>276</v>
      </c>
      <c r="I53" s="110" t="s">
        <v>276</v>
      </c>
      <c r="J53" s="9" t="s">
        <v>276</v>
      </c>
      <c r="K53" s="9" t="s">
        <v>276</v>
      </c>
      <c r="L53" s="3" t="s">
        <v>49</v>
      </c>
      <c r="M53" s="96">
        <v>46002</v>
      </c>
      <c r="N53" s="13"/>
      <c r="O53" s="43" t="s">
        <v>512</v>
      </c>
      <c r="P53" s="3" t="s">
        <v>304</v>
      </c>
      <c r="Q53" s="98">
        <v>46004</v>
      </c>
      <c r="R53" s="4">
        <v>10</v>
      </c>
    </row>
    <row r="54" spans="1:18" ht="30" customHeight="1">
      <c r="A54" s="2">
        <v>52</v>
      </c>
      <c r="B54" s="95" t="s">
        <v>427</v>
      </c>
      <c r="C54" s="2" t="s">
        <v>504</v>
      </c>
      <c r="D54" s="3" t="s">
        <v>513</v>
      </c>
      <c r="E54" s="15"/>
      <c r="F54" s="96">
        <v>45998</v>
      </c>
      <c r="G54" s="9"/>
      <c r="H54" s="110" t="s">
        <v>276</v>
      </c>
      <c r="I54" s="110" t="s">
        <v>276</v>
      </c>
      <c r="J54" s="9" t="s">
        <v>276</v>
      </c>
      <c r="K54" s="9" t="s">
        <v>276</v>
      </c>
      <c r="L54" s="3" t="s">
        <v>49</v>
      </c>
      <c r="M54" s="96">
        <v>46003</v>
      </c>
      <c r="N54" s="13"/>
      <c r="O54" s="43" t="s">
        <v>514</v>
      </c>
      <c r="P54" s="3" t="s">
        <v>304</v>
      </c>
      <c r="Q54" s="98">
        <v>46019</v>
      </c>
      <c r="R54" s="4">
        <v>10</v>
      </c>
    </row>
    <row r="55" spans="1:18" ht="30" customHeight="1">
      <c r="A55" s="2">
        <v>53</v>
      </c>
      <c r="B55" s="95" t="s">
        <v>434</v>
      </c>
      <c r="C55" s="2" t="s">
        <v>501</v>
      </c>
      <c r="D55" s="3" t="s">
        <v>542</v>
      </c>
      <c r="E55" s="103"/>
      <c r="F55" s="96">
        <v>45995</v>
      </c>
      <c r="G55" s="9"/>
      <c r="H55" s="110" t="s">
        <v>276</v>
      </c>
      <c r="I55" s="110" t="s">
        <v>276</v>
      </c>
      <c r="J55" s="9" t="s">
        <v>276</v>
      </c>
      <c r="K55" s="9" t="s">
        <v>276</v>
      </c>
      <c r="L55" s="3" t="s">
        <v>49</v>
      </c>
      <c r="M55" s="96">
        <v>46003</v>
      </c>
      <c r="N55" s="13"/>
      <c r="O55" s="43" t="s">
        <v>511</v>
      </c>
      <c r="P55" s="3"/>
      <c r="Q55" s="98"/>
      <c r="R55" s="4">
        <v>10</v>
      </c>
    </row>
    <row r="56" spans="1:18" ht="30" customHeight="1">
      <c r="A56" s="2">
        <v>54</v>
      </c>
      <c r="B56" s="95" t="s">
        <v>488</v>
      </c>
      <c r="C56" s="2" t="s">
        <v>504</v>
      </c>
      <c r="D56" s="3" t="s">
        <v>513</v>
      </c>
      <c r="E56" s="104"/>
      <c r="F56" s="96">
        <v>45997</v>
      </c>
      <c r="G56" s="105"/>
      <c r="H56" s="110" t="s">
        <v>276</v>
      </c>
      <c r="I56" s="110" t="s">
        <v>276</v>
      </c>
      <c r="J56" s="9" t="s">
        <v>276</v>
      </c>
      <c r="K56" s="9" t="s">
        <v>276</v>
      </c>
      <c r="L56" s="3" t="s">
        <v>49</v>
      </c>
      <c r="M56" s="96">
        <v>46003</v>
      </c>
      <c r="N56" s="106"/>
      <c r="O56" s="43" t="s">
        <v>506</v>
      </c>
      <c r="P56" s="3" t="s">
        <v>304</v>
      </c>
      <c r="Q56" s="98">
        <v>46011</v>
      </c>
      <c r="R56" s="4">
        <v>10</v>
      </c>
    </row>
    <row r="57" spans="1:18" ht="30" customHeight="1">
      <c r="A57" s="2">
        <v>55</v>
      </c>
      <c r="B57" s="95" t="s">
        <v>404</v>
      </c>
      <c r="C57" s="2" t="s">
        <v>501</v>
      </c>
      <c r="D57" s="3" t="s">
        <v>513</v>
      </c>
      <c r="E57" s="103"/>
      <c r="F57" s="96">
        <v>45998</v>
      </c>
      <c r="G57" s="9"/>
      <c r="H57" s="110" t="s">
        <v>276</v>
      </c>
      <c r="I57" s="110" t="s">
        <v>276</v>
      </c>
      <c r="J57" s="9" t="s">
        <v>276</v>
      </c>
      <c r="K57" s="9" t="s">
        <v>276</v>
      </c>
      <c r="L57" s="3" t="s">
        <v>49</v>
      </c>
      <c r="M57" s="96">
        <v>46004</v>
      </c>
      <c r="N57" s="13"/>
      <c r="O57" s="43" t="s">
        <v>516</v>
      </c>
      <c r="P57" s="3" t="s">
        <v>304</v>
      </c>
      <c r="Q57" s="98">
        <v>46011</v>
      </c>
      <c r="R57" s="4">
        <v>10</v>
      </c>
    </row>
    <row r="58" spans="1:18" ht="30" customHeight="1">
      <c r="A58" s="2">
        <v>56</v>
      </c>
      <c r="B58" s="95" t="s">
        <v>407</v>
      </c>
      <c r="C58" s="2" t="s">
        <v>504</v>
      </c>
      <c r="D58" s="3" t="s">
        <v>513</v>
      </c>
      <c r="E58" s="103"/>
      <c r="F58" s="96">
        <v>45998</v>
      </c>
      <c r="G58" s="9"/>
      <c r="H58" s="110" t="s">
        <v>276</v>
      </c>
      <c r="I58" s="110" t="s">
        <v>276</v>
      </c>
      <c r="J58" s="9" t="s">
        <v>276</v>
      </c>
      <c r="K58" s="9" t="s">
        <v>276</v>
      </c>
      <c r="L58" s="3" t="s">
        <v>49</v>
      </c>
      <c r="M58" s="96">
        <v>46006</v>
      </c>
      <c r="N58" s="13"/>
      <c r="O58" s="43" t="s">
        <v>510</v>
      </c>
      <c r="P58" s="3" t="s">
        <v>304</v>
      </c>
      <c r="Q58" s="98">
        <v>46012</v>
      </c>
      <c r="R58" s="4">
        <v>10</v>
      </c>
    </row>
    <row r="59" spans="1:18" ht="30" customHeight="1">
      <c r="A59" s="2">
        <v>57</v>
      </c>
      <c r="B59" s="95" t="s">
        <v>424</v>
      </c>
      <c r="C59" s="2" t="s">
        <v>517</v>
      </c>
      <c r="D59" s="3" t="s">
        <v>513</v>
      </c>
      <c r="E59" s="101"/>
      <c r="F59" s="96">
        <v>46001</v>
      </c>
      <c r="G59" s="9"/>
      <c r="H59" s="110" t="s">
        <v>276</v>
      </c>
      <c r="I59" s="110" t="s">
        <v>276</v>
      </c>
      <c r="J59" s="9" t="s">
        <v>276</v>
      </c>
      <c r="K59" s="9" t="s">
        <v>276</v>
      </c>
      <c r="L59" s="3" t="s">
        <v>49</v>
      </c>
      <c r="M59" s="96">
        <v>46007</v>
      </c>
      <c r="N59" s="13"/>
      <c r="O59" s="43" t="s">
        <v>514</v>
      </c>
      <c r="P59" s="3" t="s">
        <v>304</v>
      </c>
      <c r="Q59" s="98">
        <v>46018</v>
      </c>
      <c r="R59" s="4">
        <v>10</v>
      </c>
    </row>
    <row r="60" spans="1:18" ht="30" customHeight="1">
      <c r="A60" s="2">
        <v>58</v>
      </c>
      <c r="B60" s="95" t="s">
        <v>489</v>
      </c>
      <c r="C60" s="2" t="s">
        <v>504</v>
      </c>
      <c r="D60" s="3" t="s">
        <v>513</v>
      </c>
      <c r="E60" s="104"/>
      <c r="F60" s="96">
        <v>45998</v>
      </c>
      <c r="G60" s="105"/>
      <c r="H60" s="110" t="s">
        <v>276</v>
      </c>
      <c r="I60" s="110" t="s">
        <v>276</v>
      </c>
      <c r="J60" s="9" t="s">
        <v>276</v>
      </c>
      <c r="K60" s="9" t="s">
        <v>276</v>
      </c>
      <c r="L60" s="3" t="s">
        <v>49</v>
      </c>
      <c r="M60" s="96">
        <v>46007</v>
      </c>
      <c r="N60" s="106"/>
      <c r="O60" s="43" t="s">
        <v>506</v>
      </c>
      <c r="P60" s="3" t="s">
        <v>304</v>
      </c>
      <c r="Q60" s="98">
        <v>46012</v>
      </c>
      <c r="R60" s="4">
        <v>10</v>
      </c>
    </row>
    <row r="61" spans="1:18" ht="30" customHeight="1">
      <c r="A61" s="2">
        <v>59</v>
      </c>
      <c r="B61" s="95" t="s">
        <v>481</v>
      </c>
      <c r="C61" s="2" t="s">
        <v>501</v>
      </c>
      <c r="D61" s="3" t="s">
        <v>505</v>
      </c>
      <c r="E61" s="15"/>
      <c r="F61" s="96">
        <v>45987</v>
      </c>
      <c r="G61" s="39"/>
      <c r="H61" s="110" t="s">
        <v>276</v>
      </c>
      <c r="I61" s="110" t="s">
        <v>276</v>
      </c>
      <c r="J61" s="9" t="s">
        <v>276</v>
      </c>
      <c r="K61" s="9" t="s">
        <v>276</v>
      </c>
      <c r="L61" s="3" t="s">
        <v>49</v>
      </c>
      <c r="M61" s="96">
        <v>46008</v>
      </c>
      <c r="N61" s="14" t="s">
        <v>248</v>
      </c>
      <c r="O61" s="43" t="s">
        <v>507</v>
      </c>
      <c r="P61" s="3"/>
      <c r="Q61" s="98"/>
      <c r="R61" s="4">
        <v>10</v>
      </c>
    </row>
    <row r="62" spans="1:18" ht="30" customHeight="1">
      <c r="A62" s="2">
        <v>60</v>
      </c>
      <c r="B62" s="95" t="s">
        <v>486</v>
      </c>
      <c r="C62" s="2" t="s">
        <v>504</v>
      </c>
      <c r="D62" s="3" t="s">
        <v>513</v>
      </c>
      <c r="E62" s="15"/>
      <c r="F62" s="96">
        <v>46004</v>
      </c>
      <c r="G62" s="39"/>
      <c r="H62" s="110" t="s">
        <v>276</v>
      </c>
      <c r="I62" s="110" t="s">
        <v>276</v>
      </c>
      <c r="J62" s="9" t="s">
        <v>276</v>
      </c>
      <c r="K62" s="9" t="s">
        <v>276</v>
      </c>
      <c r="L62" s="3" t="s">
        <v>49</v>
      </c>
      <c r="M62" s="96">
        <v>46008</v>
      </c>
      <c r="N62" s="14"/>
      <c r="O62" s="43" t="s">
        <v>506</v>
      </c>
      <c r="P62" s="3" t="s">
        <v>304</v>
      </c>
      <c r="Q62" s="98">
        <v>46011</v>
      </c>
      <c r="R62" s="4">
        <v>10</v>
      </c>
    </row>
    <row r="63" spans="1:18" ht="30" customHeight="1">
      <c r="A63" s="2">
        <v>61</v>
      </c>
      <c r="B63" s="95" t="s">
        <v>438</v>
      </c>
      <c r="C63" s="2" t="s">
        <v>504</v>
      </c>
      <c r="D63" s="3" t="s">
        <v>542</v>
      </c>
      <c r="E63" s="15"/>
      <c r="F63" s="96">
        <v>46001</v>
      </c>
      <c r="G63" s="9"/>
      <c r="H63" s="110" t="s">
        <v>276</v>
      </c>
      <c r="I63" s="110" t="s">
        <v>276</v>
      </c>
      <c r="J63" s="9" t="s">
        <v>276</v>
      </c>
      <c r="K63" s="9" t="s">
        <v>276</v>
      </c>
      <c r="L63" s="3" t="s">
        <v>49</v>
      </c>
      <c r="M63" s="96">
        <v>46010</v>
      </c>
      <c r="N63" s="23"/>
      <c r="O63" s="43" t="s">
        <v>512</v>
      </c>
      <c r="P63" s="3"/>
      <c r="Q63" s="98"/>
      <c r="R63" s="4">
        <v>10</v>
      </c>
    </row>
    <row r="64" spans="1:18" ht="30" customHeight="1">
      <c r="A64" s="2">
        <v>62</v>
      </c>
      <c r="B64" s="95" t="s">
        <v>490</v>
      </c>
      <c r="C64" s="2" t="s">
        <v>504</v>
      </c>
      <c r="D64" s="3" t="s">
        <v>513</v>
      </c>
      <c r="E64" s="104"/>
      <c r="F64" s="96">
        <v>46005</v>
      </c>
      <c r="G64" s="105"/>
      <c r="H64" s="110" t="s">
        <v>276</v>
      </c>
      <c r="I64" s="110" t="s">
        <v>276</v>
      </c>
      <c r="J64" s="9" t="s">
        <v>276</v>
      </c>
      <c r="K64" s="9" t="s">
        <v>276</v>
      </c>
      <c r="L64" s="3" t="s">
        <v>49</v>
      </c>
      <c r="M64" s="96">
        <v>46010</v>
      </c>
      <c r="N64" s="106"/>
      <c r="O64" s="43" t="s">
        <v>506</v>
      </c>
      <c r="P64" s="3" t="s">
        <v>304</v>
      </c>
      <c r="Q64" s="98">
        <v>46012</v>
      </c>
      <c r="R64" s="4">
        <v>10</v>
      </c>
    </row>
    <row r="65" spans="1:18" ht="30" customHeight="1">
      <c r="A65" s="2">
        <v>63</v>
      </c>
      <c r="B65" s="95" t="s">
        <v>430</v>
      </c>
      <c r="C65" s="2" t="s">
        <v>501</v>
      </c>
      <c r="D65" s="3" t="s">
        <v>542</v>
      </c>
      <c r="E65" s="101"/>
      <c r="F65" s="96">
        <v>46002</v>
      </c>
      <c r="G65" s="9"/>
      <c r="H65" s="110" t="s">
        <v>276</v>
      </c>
      <c r="I65" s="110" t="s">
        <v>276</v>
      </c>
      <c r="J65" s="9" t="s">
        <v>276</v>
      </c>
      <c r="K65" s="9" t="s">
        <v>276</v>
      </c>
      <c r="L65" s="3" t="s">
        <v>49</v>
      </c>
      <c r="M65" s="96">
        <v>46011</v>
      </c>
      <c r="N65" s="13"/>
      <c r="O65" s="43" t="s">
        <v>511</v>
      </c>
      <c r="P65" s="3"/>
      <c r="Q65" s="98"/>
      <c r="R65" s="4">
        <v>10</v>
      </c>
    </row>
    <row r="66" spans="1:18" ht="30" customHeight="1">
      <c r="A66" s="2">
        <v>64</v>
      </c>
      <c r="B66" s="95" t="s">
        <v>422</v>
      </c>
      <c r="C66" s="2" t="s">
        <v>517</v>
      </c>
      <c r="D66" s="3" t="s">
        <v>513</v>
      </c>
      <c r="E66" s="103"/>
      <c r="F66" s="96">
        <v>46003</v>
      </c>
      <c r="G66" s="9"/>
      <c r="H66" s="110" t="s">
        <v>276</v>
      </c>
      <c r="I66" s="110" t="s">
        <v>276</v>
      </c>
      <c r="J66" s="9" t="s">
        <v>276</v>
      </c>
      <c r="K66" s="9" t="s">
        <v>276</v>
      </c>
      <c r="L66" s="3" t="s">
        <v>49</v>
      </c>
      <c r="M66" s="96">
        <v>46013</v>
      </c>
      <c r="N66" s="13"/>
      <c r="O66" s="43" t="s">
        <v>514</v>
      </c>
      <c r="P66" s="3" t="s">
        <v>304</v>
      </c>
      <c r="Q66" s="98">
        <v>46015</v>
      </c>
      <c r="R66" s="4">
        <v>10</v>
      </c>
    </row>
    <row r="67" spans="1:18" ht="30" customHeight="1">
      <c r="A67" s="2">
        <v>65</v>
      </c>
      <c r="B67" s="95" t="s">
        <v>487</v>
      </c>
      <c r="C67" s="2" t="s">
        <v>504</v>
      </c>
      <c r="D67" s="3" t="s">
        <v>543</v>
      </c>
      <c r="E67" s="104"/>
      <c r="F67" s="96">
        <v>45998</v>
      </c>
      <c r="G67" s="105"/>
      <c r="H67" s="110" t="s">
        <v>276</v>
      </c>
      <c r="I67" s="110" t="s">
        <v>276</v>
      </c>
      <c r="J67" s="9" t="s">
        <v>276</v>
      </c>
      <c r="K67" s="9" t="s">
        <v>276</v>
      </c>
      <c r="L67" s="3" t="s">
        <v>49</v>
      </c>
      <c r="M67" s="96">
        <v>46013</v>
      </c>
      <c r="N67" s="106"/>
      <c r="O67" s="43" t="s">
        <v>506</v>
      </c>
      <c r="P67" s="3" t="s">
        <v>304</v>
      </c>
      <c r="Q67" s="98">
        <v>46014</v>
      </c>
      <c r="R67" s="4">
        <v>10</v>
      </c>
    </row>
    <row r="68" spans="1:18" ht="30" customHeight="1">
      <c r="A68" s="2">
        <v>66</v>
      </c>
      <c r="B68" s="95" t="s">
        <v>402</v>
      </c>
      <c r="C68" s="2" t="s">
        <v>504</v>
      </c>
      <c r="D68" s="3" t="s">
        <v>505</v>
      </c>
      <c r="E68" s="103"/>
      <c r="F68" s="96">
        <v>46013</v>
      </c>
      <c r="G68" s="9"/>
      <c r="H68" s="110" t="s">
        <v>276</v>
      </c>
      <c r="I68" s="110" t="s">
        <v>276</v>
      </c>
      <c r="J68" s="9" t="s">
        <v>276</v>
      </c>
      <c r="K68" s="9" t="s">
        <v>276</v>
      </c>
      <c r="L68" s="3" t="s">
        <v>49</v>
      </c>
      <c r="M68" s="96">
        <v>46015</v>
      </c>
      <c r="N68" s="13"/>
      <c r="O68" s="43" t="s">
        <v>518</v>
      </c>
      <c r="P68" s="3" t="s">
        <v>304</v>
      </c>
      <c r="Q68" s="98">
        <v>46018</v>
      </c>
      <c r="R68" s="4">
        <v>10</v>
      </c>
    </row>
    <row r="69" spans="1:18" ht="30" customHeight="1">
      <c r="A69" s="2">
        <v>67</v>
      </c>
      <c r="B69" s="95" t="s">
        <v>432</v>
      </c>
      <c r="C69" s="2" t="s">
        <v>501</v>
      </c>
      <c r="D69" s="3" t="s">
        <v>542</v>
      </c>
      <c r="E69" s="101"/>
      <c r="F69" s="96">
        <v>46013</v>
      </c>
      <c r="G69" s="9"/>
      <c r="H69" s="110" t="s">
        <v>276</v>
      </c>
      <c r="I69" s="110" t="s">
        <v>276</v>
      </c>
      <c r="J69" s="9" t="s">
        <v>276</v>
      </c>
      <c r="K69" s="9" t="s">
        <v>276</v>
      </c>
      <c r="L69" s="3" t="s">
        <v>49</v>
      </c>
      <c r="M69" s="96">
        <v>46015</v>
      </c>
      <c r="N69" s="13"/>
      <c r="O69" s="43" t="s">
        <v>511</v>
      </c>
      <c r="P69" s="3"/>
      <c r="Q69" s="98"/>
      <c r="R69" s="4">
        <v>10</v>
      </c>
    </row>
    <row r="70" spans="1:18" ht="30" customHeight="1">
      <c r="A70" s="2">
        <v>68</v>
      </c>
      <c r="B70" s="95" t="s">
        <v>127</v>
      </c>
      <c r="C70" s="2" t="s">
        <v>501</v>
      </c>
      <c r="D70" s="3" t="s">
        <v>542</v>
      </c>
      <c r="E70" s="104"/>
      <c r="F70" s="96">
        <v>46013</v>
      </c>
      <c r="G70" s="105"/>
      <c r="H70" s="110" t="s">
        <v>276</v>
      </c>
      <c r="I70" s="110" t="s">
        <v>276</v>
      </c>
      <c r="J70" s="9" t="s">
        <v>276</v>
      </c>
      <c r="K70" s="9" t="s">
        <v>276</v>
      </c>
      <c r="L70" s="3" t="s">
        <v>49</v>
      </c>
      <c r="M70" s="96">
        <v>46015</v>
      </c>
      <c r="N70" s="106"/>
      <c r="O70" s="43" t="s">
        <v>507</v>
      </c>
      <c r="P70" s="3"/>
      <c r="Q70" s="98"/>
      <c r="R70" s="4">
        <v>10</v>
      </c>
    </row>
    <row r="71" spans="1:18" ht="30" customHeight="1">
      <c r="A71" s="2">
        <v>69</v>
      </c>
      <c r="B71" s="95" t="s">
        <v>417</v>
      </c>
      <c r="C71" s="2" t="s">
        <v>517</v>
      </c>
      <c r="D71" s="3" t="s">
        <v>505</v>
      </c>
      <c r="E71" s="15"/>
      <c r="F71" s="96">
        <v>46013</v>
      </c>
      <c r="G71" s="33"/>
      <c r="H71" s="110" t="s">
        <v>276</v>
      </c>
      <c r="I71" s="110" t="s">
        <v>276</v>
      </c>
      <c r="J71" s="9" t="s">
        <v>276</v>
      </c>
      <c r="K71" s="9" t="s">
        <v>276</v>
      </c>
      <c r="L71" s="3" t="s">
        <v>49</v>
      </c>
      <c r="M71" s="96">
        <v>46017</v>
      </c>
      <c r="N71" s="23"/>
      <c r="O71" s="43" t="s">
        <v>510</v>
      </c>
      <c r="P71" s="3"/>
      <c r="Q71" s="98"/>
      <c r="R71" s="4">
        <v>10</v>
      </c>
    </row>
    <row r="72" spans="1:18" ht="30" customHeight="1">
      <c r="A72" s="2">
        <v>70</v>
      </c>
      <c r="B72" s="95" t="s">
        <v>423</v>
      </c>
      <c r="C72" s="2" t="s">
        <v>517</v>
      </c>
      <c r="D72" s="3" t="s">
        <v>513</v>
      </c>
      <c r="E72" s="103"/>
      <c r="F72" s="96">
        <v>46013</v>
      </c>
      <c r="G72" s="9"/>
      <c r="H72" s="110" t="s">
        <v>276</v>
      </c>
      <c r="I72" s="110" t="s">
        <v>276</v>
      </c>
      <c r="J72" s="9" t="s">
        <v>276</v>
      </c>
      <c r="K72" s="9" t="s">
        <v>276</v>
      </c>
      <c r="L72" s="3" t="s">
        <v>49</v>
      </c>
      <c r="M72" s="96">
        <v>46017</v>
      </c>
      <c r="N72" s="13"/>
      <c r="O72" s="43" t="s">
        <v>514</v>
      </c>
      <c r="P72" s="3" t="s">
        <v>304</v>
      </c>
      <c r="Q72" s="98">
        <v>46018</v>
      </c>
      <c r="R72" s="4">
        <v>10</v>
      </c>
    </row>
    <row r="73" spans="1:18" ht="30" customHeight="1">
      <c r="A73" s="2">
        <v>71</v>
      </c>
      <c r="B73" s="95" t="s">
        <v>429</v>
      </c>
      <c r="C73" s="2" t="s">
        <v>501</v>
      </c>
      <c r="D73" s="3" t="s">
        <v>542</v>
      </c>
      <c r="E73" s="103"/>
      <c r="F73" s="96">
        <v>46013</v>
      </c>
      <c r="G73" s="9"/>
      <c r="H73" s="110" t="s">
        <v>276</v>
      </c>
      <c r="I73" s="110" t="s">
        <v>276</v>
      </c>
      <c r="J73" s="9" t="s">
        <v>276</v>
      </c>
      <c r="K73" s="9" t="s">
        <v>276</v>
      </c>
      <c r="L73" s="3" t="s">
        <v>49</v>
      </c>
      <c r="M73" s="96">
        <v>46018</v>
      </c>
      <c r="N73" s="13"/>
      <c r="O73" s="43" t="s">
        <v>511</v>
      </c>
      <c r="P73" s="3"/>
      <c r="Q73" s="98"/>
      <c r="R73" s="4">
        <v>10</v>
      </c>
    </row>
    <row r="74" spans="1:18" ht="30" customHeight="1">
      <c r="A74" s="2">
        <v>72</v>
      </c>
      <c r="B74" s="100" t="s">
        <v>473</v>
      </c>
      <c r="C74" s="2" t="s">
        <v>503</v>
      </c>
      <c r="D74" s="3" t="s">
        <v>542</v>
      </c>
      <c r="E74" s="15"/>
      <c r="F74" s="96">
        <v>45967</v>
      </c>
      <c r="G74" s="39"/>
      <c r="H74" s="110" t="s">
        <v>276</v>
      </c>
      <c r="I74" s="110" t="s">
        <v>276</v>
      </c>
      <c r="J74" s="9" t="s">
        <v>276</v>
      </c>
      <c r="K74" s="9" t="s">
        <v>276</v>
      </c>
      <c r="L74" s="3" t="s">
        <v>49</v>
      </c>
      <c r="M74" s="96">
        <v>46018</v>
      </c>
      <c r="N74" s="13"/>
      <c r="O74" s="43" t="s">
        <v>506</v>
      </c>
      <c r="P74" s="3" t="s">
        <v>304</v>
      </c>
      <c r="Q74" s="98">
        <v>46020</v>
      </c>
      <c r="R74" s="4">
        <v>10</v>
      </c>
    </row>
    <row r="75" spans="1:18" ht="30" customHeight="1">
      <c r="A75" s="2">
        <v>73</v>
      </c>
      <c r="B75" s="95" t="s">
        <v>401</v>
      </c>
      <c r="C75" s="2" t="s">
        <v>504</v>
      </c>
      <c r="D75" s="3" t="s">
        <v>542</v>
      </c>
      <c r="E75" s="101"/>
      <c r="F75" s="96">
        <v>46013</v>
      </c>
      <c r="G75" s="9"/>
      <c r="H75" s="110" t="s">
        <v>276</v>
      </c>
      <c r="I75" s="110" t="s">
        <v>276</v>
      </c>
      <c r="J75" s="9" t="s">
        <v>276</v>
      </c>
      <c r="K75" s="9" t="s">
        <v>276</v>
      </c>
      <c r="L75" s="3" t="s">
        <v>49</v>
      </c>
      <c r="M75" s="96">
        <v>46019</v>
      </c>
      <c r="N75" s="13"/>
      <c r="O75" s="43" t="s">
        <v>519</v>
      </c>
      <c r="P75" s="3" t="s">
        <v>304</v>
      </c>
      <c r="Q75" s="98">
        <v>46021</v>
      </c>
      <c r="R75" s="4">
        <v>10</v>
      </c>
    </row>
    <row r="76" spans="1:18" ht="30" customHeight="1">
      <c r="A76" s="2">
        <v>74</v>
      </c>
      <c r="B76" s="95" t="s">
        <v>86</v>
      </c>
      <c r="C76" s="2" t="s">
        <v>504</v>
      </c>
      <c r="D76" s="3" t="s">
        <v>513</v>
      </c>
      <c r="E76" s="15"/>
      <c r="F76" s="96">
        <v>46016</v>
      </c>
      <c r="G76" s="39"/>
      <c r="H76" s="110" t="s">
        <v>276</v>
      </c>
      <c r="I76" s="110" t="s">
        <v>276</v>
      </c>
      <c r="J76" s="9" t="s">
        <v>276</v>
      </c>
      <c r="K76" s="9" t="s">
        <v>276</v>
      </c>
      <c r="L76" s="3" t="s">
        <v>49</v>
      </c>
      <c r="M76" s="96">
        <v>46020</v>
      </c>
      <c r="N76" s="13"/>
      <c r="O76" s="43" t="s">
        <v>506</v>
      </c>
      <c r="P76" s="3" t="s">
        <v>304</v>
      </c>
      <c r="Q76" s="98">
        <v>46021</v>
      </c>
      <c r="R76" s="4">
        <v>10</v>
      </c>
    </row>
    <row r="77" spans="1:18" ht="30" customHeight="1">
      <c r="A77" s="2">
        <v>75</v>
      </c>
      <c r="B77" s="95" t="s">
        <v>400</v>
      </c>
      <c r="C77" s="2" t="s">
        <v>504</v>
      </c>
      <c r="D77" s="3" t="s">
        <v>542</v>
      </c>
      <c r="E77" s="103"/>
      <c r="F77" s="96">
        <v>46015</v>
      </c>
      <c r="G77" s="9"/>
      <c r="H77" s="110" t="s">
        <v>276</v>
      </c>
      <c r="I77" s="110" t="s">
        <v>276</v>
      </c>
      <c r="J77" s="9" t="s">
        <v>276</v>
      </c>
      <c r="K77" s="9" t="s">
        <v>276</v>
      </c>
      <c r="L77" s="3" t="s">
        <v>49</v>
      </c>
      <c r="M77" s="96">
        <v>46021</v>
      </c>
      <c r="N77" s="13"/>
      <c r="O77" s="43" t="s">
        <v>518</v>
      </c>
      <c r="P77" s="3" t="s">
        <v>304</v>
      </c>
      <c r="Q77" s="98">
        <v>46025</v>
      </c>
      <c r="R77" s="4">
        <v>10</v>
      </c>
    </row>
    <row r="78" spans="1:18" ht="30" customHeight="1">
      <c r="A78" s="2">
        <v>76</v>
      </c>
      <c r="B78" s="95" t="s">
        <v>428</v>
      </c>
      <c r="C78" s="2" t="s">
        <v>501</v>
      </c>
      <c r="D78" s="3" t="s">
        <v>542</v>
      </c>
      <c r="E78" s="101"/>
      <c r="F78" s="96">
        <v>46013</v>
      </c>
      <c r="G78" s="9"/>
      <c r="H78" s="110" t="s">
        <v>276</v>
      </c>
      <c r="I78" s="110" t="s">
        <v>276</v>
      </c>
      <c r="J78" s="9" t="s">
        <v>276</v>
      </c>
      <c r="K78" s="9" t="s">
        <v>276</v>
      </c>
      <c r="L78" s="3" t="s">
        <v>49</v>
      </c>
      <c r="M78" s="96">
        <v>46021</v>
      </c>
      <c r="N78" s="13"/>
      <c r="O78" s="43" t="s">
        <v>511</v>
      </c>
      <c r="P78" s="3"/>
      <c r="Q78" s="98"/>
      <c r="R78" s="4">
        <v>10</v>
      </c>
    </row>
    <row r="79" spans="1:18" ht="30" customHeight="1">
      <c r="A79" s="2">
        <v>77</v>
      </c>
      <c r="B79" s="95" t="s">
        <v>112</v>
      </c>
      <c r="C79" s="2" t="s">
        <v>504</v>
      </c>
      <c r="D79" s="3" t="s">
        <v>542</v>
      </c>
      <c r="E79" s="104"/>
      <c r="F79" s="96">
        <v>46016</v>
      </c>
      <c r="G79" s="105"/>
      <c r="H79" s="110" t="s">
        <v>276</v>
      </c>
      <c r="I79" s="110" t="s">
        <v>276</v>
      </c>
      <c r="J79" s="9" t="s">
        <v>276</v>
      </c>
      <c r="K79" s="9" t="s">
        <v>276</v>
      </c>
      <c r="L79" s="3" t="s">
        <v>49</v>
      </c>
      <c r="M79" s="96">
        <v>46021</v>
      </c>
      <c r="N79" s="106"/>
      <c r="O79" s="43" t="s">
        <v>507</v>
      </c>
      <c r="P79" s="3"/>
      <c r="Q79" s="98"/>
      <c r="R79" s="4">
        <v>10</v>
      </c>
    </row>
    <row r="80" spans="1:18" ht="30" customHeight="1">
      <c r="A80" s="2">
        <v>78</v>
      </c>
      <c r="B80" s="95" t="s">
        <v>416</v>
      </c>
      <c r="C80" s="2" t="s">
        <v>504</v>
      </c>
      <c r="D80" s="3" t="s">
        <v>505</v>
      </c>
      <c r="E80" s="103"/>
      <c r="F80" s="96">
        <v>46014</v>
      </c>
      <c r="G80" s="9"/>
      <c r="H80" s="110" t="s">
        <v>276</v>
      </c>
      <c r="I80" s="110" t="s">
        <v>276</v>
      </c>
      <c r="J80" s="9" t="s">
        <v>276</v>
      </c>
      <c r="K80" s="9" t="s">
        <v>276</v>
      </c>
      <c r="L80" s="3" t="s">
        <v>49</v>
      </c>
      <c r="M80" s="96">
        <v>46025</v>
      </c>
      <c r="N80" s="13"/>
      <c r="O80" s="43" t="s">
        <v>510</v>
      </c>
      <c r="P80" s="3"/>
      <c r="Q80" s="98"/>
      <c r="R80" s="4">
        <v>10</v>
      </c>
    </row>
    <row r="81" spans="1:18" ht="30" customHeight="1">
      <c r="A81" s="2">
        <v>79</v>
      </c>
      <c r="B81" s="95" t="s">
        <v>399</v>
      </c>
      <c r="C81" s="2" t="s">
        <v>504</v>
      </c>
      <c r="D81" s="3" t="s">
        <v>542</v>
      </c>
      <c r="E81" s="101"/>
      <c r="F81" s="96">
        <v>46019</v>
      </c>
      <c r="G81" s="9"/>
      <c r="H81" s="110" t="s">
        <v>276</v>
      </c>
      <c r="I81" s="110" t="s">
        <v>276</v>
      </c>
      <c r="J81" s="9" t="s">
        <v>276</v>
      </c>
      <c r="K81" s="9" t="s">
        <v>276</v>
      </c>
      <c r="L81" s="3" t="s">
        <v>49</v>
      </c>
      <c r="M81" s="96">
        <v>46026</v>
      </c>
      <c r="N81" s="13"/>
      <c r="O81" s="43" t="s">
        <v>519</v>
      </c>
      <c r="P81" s="3" t="s">
        <v>304</v>
      </c>
      <c r="Q81" s="98">
        <v>46030</v>
      </c>
      <c r="R81" s="4">
        <v>11</v>
      </c>
    </row>
    <row r="82" spans="1:18" ht="30" customHeight="1">
      <c r="A82" s="2">
        <v>80</v>
      </c>
      <c r="B82" s="95" t="s">
        <v>464</v>
      </c>
      <c r="C82" s="2" t="s">
        <v>517</v>
      </c>
      <c r="D82" s="3" t="s">
        <v>542</v>
      </c>
      <c r="E82" s="15"/>
      <c r="F82" s="96">
        <v>46026</v>
      </c>
      <c r="G82" s="39"/>
      <c r="H82" s="110" t="s">
        <v>276</v>
      </c>
      <c r="I82" s="110" t="s">
        <v>276</v>
      </c>
      <c r="J82" s="9" t="s">
        <v>276</v>
      </c>
      <c r="K82" s="9" t="s">
        <v>276</v>
      </c>
      <c r="L82" s="3" t="s">
        <v>49</v>
      </c>
      <c r="M82" s="96">
        <v>46029</v>
      </c>
      <c r="N82" s="13"/>
      <c r="O82" s="43" t="s">
        <v>506</v>
      </c>
      <c r="P82" s="3"/>
      <c r="Q82" s="98"/>
      <c r="R82" s="4">
        <v>11</v>
      </c>
    </row>
    <row r="83" spans="1:18" ht="30" customHeight="1">
      <c r="A83" s="2">
        <v>81</v>
      </c>
      <c r="B83" s="95" t="s">
        <v>492</v>
      </c>
      <c r="C83" s="2" t="s">
        <v>504</v>
      </c>
      <c r="D83" s="3" t="s">
        <v>542</v>
      </c>
      <c r="E83" s="104"/>
      <c r="F83" s="96">
        <v>46022</v>
      </c>
      <c r="G83" s="105"/>
      <c r="H83" s="110" t="s">
        <v>276</v>
      </c>
      <c r="I83" s="110" t="s">
        <v>276</v>
      </c>
      <c r="J83" s="9" t="s">
        <v>276</v>
      </c>
      <c r="K83" s="9" t="s">
        <v>276</v>
      </c>
      <c r="L83" s="3" t="s">
        <v>49</v>
      </c>
      <c r="M83" s="96">
        <v>46031</v>
      </c>
      <c r="N83" s="106"/>
      <c r="O83" s="43" t="s">
        <v>507</v>
      </c>
      <c r="P83" s="3"/>
      <c r="Q83" s="98"/>
      <c r="R83" s="4">
        <v>10</v>
      </c>
    </row>
    <row r="84" spans="1:18" ht="30" customHeight="1">
      <c r="A84" s="2">
        <v>82</v>
      </c>
      <c r="B84" s="95" t="s">
        <v>398</v>
      </c>
      <c r="C84" s="2" t="s">
        <v>501</v>
      </c>
      <c r="D84" s="3" t="s">
        <v>542</v>
      </c>
      <c r="E84" s="103"/>
      <c r="F84" s="96">
        <v>46024</v>
      </c>
      <c r="G84" s="9"/>
      <c r="H84" s="110" t="s">
        <v>276</v>
      </c>
      <c r="I84" s="110" t="s">
        <v>276</v>
      </c>
      <c r="J84" s="9" t="s">
        <v>276</v>
      </c>
      <c r="K84" s="9" t="s">
        <v>276</v>
      </c>
      <c r="L84" s="3" t="s">
        <v>49</v>
      </c>
      <c r="M84" s="96">
        <v>46032</v>
      </c>
      <c r="N84" s="13"/>
      <c r="O84" s="43" t="s">
        <v>518</v>
      </c>
      <c r="P84" s="3" t="s">
        <v>304</v>
      </c>
      <c r="Q84" s="98">
        <v>46034</v>
      </c>
      <c r="R84" s="4">
        <v>11</v>
      </c>
    </row>
    <row r="85" spans="1:18" ht="30" customHeight="1">
      <c r="A85" s="2">
        <v>83</v>
      </c>
      <c r="B85" s="95" t="s">
        <v>421</v>
      </c>
      <c r="C85" s="2" t="s">
        <v>501</v>
      </c>
      <c r="D85" s="3" t="s">
        <v>505</v>
      </c>
      <c r="E85" s="101"/>
      <c r="F85" s="96">
        <v>46009</v>
      </c>
      <c r="G85" s="9"/>
      <c r="H85" s="110" t="s">
        <v>276</v>
      </c>
      <c r="I85" s="110" t="s">
        <v>276</v>
      </c>
      <c r="J85" s="9" t="s">
        <v>276</v>
      </c>
      <c r="K85" s="9" t="s">
        <v>276</v>
      </c>
      <c r="L85" s="3" t="s">
        <v>49</v>
      </c>
      <c r="M85" s="96">
        <v>46033</v>
      </c>
      <c r="N85" s="13"/>
      <c r="O85" s="43" t="s">
        <v>511</v>
      </c>
      <c r="P85" s="3"/>
      <c r="Q85" s="98"/>
      <c r="R85" s="4">
        <v>10</v>
      </c>
    </row>
    <row r="86" spans="1:18" ht="30" customHeight="1">
      <c r="A86" s="2">
        <v>84</v>
      </c>
      <c r="B86" s="95" t="s">
        <v>468</v>
      </c>
      <c r="C86" s="2" t="s">
        <v>509</v>
      </c>
      <c r="D86" s="3" t="s">
        <v>542</v>
      </c>
      <c r="E86" s="15"/>
      <c r="F86" s="96">
        <v>46026</v>
      </c>
      <c r="G86" s="39"/>
      <c r="H86" s="110" t="s">
        <v>276</v>
      </c>
      <c r="I86" s="110" t="s">
        <v>276</v>
      </c>
      <c r="J86" s="9" t="s">
        <v>276</v>
      </c>
      <c r="K86" s="9" t="s">
        <v>276</v>
      </c>
      <c r="L86" s="3" t="s">
        <v>49</v>
      </c>
      <c r="M86" s="96">
        <v>46033</v>
      </c>
      <c r="N86" s="13"/>
      <c r="O86" s="43" t="s">
        <v>506</v>
      </c>
      <c r="P86" s="3"/>
      <c r="Q86" s="98"/>
      <c r="R86" s="31">
        <v>11</v>
      </c>
    </row>
    <row r="87" spans="1:18" ht="30" customHeight="1">
      <c r="A87" s="2">
        <v>85</v>
      </c>
      <c r="B87" s="95" t="s">
        <v>420</v>
      </c>
      <c r="C87" s="2" t="s">
        <v>509</v>
      </c>
      <c r="D87" s="3" t="s">
        <v>542</v>
      </c>
      <c r="E87" s="103"/>
      <c r="F87" s="96">
        <v>46033</v>
      </c>
      <c r="G87" s="9"/>
      <c r="H87" s="110" t="s">
        <v>276</v>
      </c>
      <c r="I87" s="110" t="s">
        <v>276</v>
      </c>
      <c r="J87" s="9" t="s">
        <v>276</v>
      </c>
      <c r="K87" s="9" t="s">
        <v>276</v>
      </c>
      <c r="L87" s="3" t="s">
        <v>49</v>
      </c>
      <c r="M87" s="96">
        <v>46039</v>
      </c>
      <c r="N87" s="13"/>
      <c r="O87" s="43" t="s">
        <v>511</v>
      </c>
      <c r="P87" s="3" t="s">
        <v>304</v>
      </c>
      <c r="Q87" s="98">
        <v>46041</v>
      </c>
      <c r="R87" s="4">
        <v>11</v>
      </c>
    </row>
    <row r="88" spans="1:18" ht="29.9" customHeight="1">
      <c r="A88" s="2">
        <v>86</v>
      </c>
      <c r="B88" s="95" t="s">
        <v>381</v>
      </c>
      <c r="C88" s="2" t="s">
        <v>503</v>
      </c>
      <c r="D88" s="3" t="s">
        <v>542</v>
      </c>
      <c r="E88" s="101"/>
      <c r="F88" s="96">
        <v>46036</v>
      </c>
      <c r="G88" s="9"/>
      <c r="H88" s="110" t="s">
        <v>276</v>
      </c>
      <c r="I88" s="110" t="s">
        <v>276</v>
      </c>
      <c r="J88" s="9" t="s">
        <v>276</v>
      </c>
      <c r="K88" s="9" t="s">
        <v>276</v>
      </c>
      <c r="L88" s="3" t="s">
        <v>49</v>
      </c>
      <c r="M88" s="96">
        <v>46042</v>
      </c>
      <c r="N88" s="13"/>
      <c r="O88" s="43" t="s">
        <v>519</v>
      </c>
      <c r="P88" s="3" t="s">
        <v>304</v>
      </c>
      <c r="Q88" s="98">
        <v>46046</v>
      </c>
      <c r="R88" s="4">
        <v>11</v>
      </c>
    </row>
    <row r="89" spans="1:18" ht="29.9" customHeight="1">
      <c r="A89" s="2">
        <v>87</v>
      </c>
      <c r="B89" s="95" t="s">
        <v>485</v>
      </c>
      <c r="C89" s="2" t="s">
        <v>504</v>
      </c>
      <c r="D89" s="3" t="s">
        <v>513</v>
      </c>
      <c r="E89" s="15"/>
      <c r="F89" s="96">
        <v>46038</v>
      </c>
      <c r="G89" s="39"/>
      <c r="H89" s="110" t="s">
        <v>276</v>
      </c>
      <c r="I89" s="110" t="s">
        <v>276</v>
      </c>
      <c r="J89" s="9" t="s">
        <v>276</v>
      </c>
      <c r="K89" s="9" t="s">
        <v>276</v>
      </c>
      <c r="L89" s="3" t="s">
        <v>49</v>
      </c>
      <c r="M89" s="96">
        <v>46042</v>
      </c>
      <c r="N89" s="13"/>
      <c r="O89" s="43" t="s">
        <v>506</v>
      </c>
      <c r="P89" s="3" t="s">
        <v>304</v>
      </c>
      <c r="Q89" s="98">
        <v>46043</v>
      </c>
      <c r="R89" s="4">
        <v>10</v>
      </c>
    </row>
    <row r="90" spans="1:18" ht="29.9" customHeight="1">
      <c r="A90" s="2">
        <v>88</v>
      </c>
      <c r="B90" s="95" t="s">
        <v>385</v>
      </c>
      <c r="C90" s="2" t="s">
        <v>517</v>
      </c>
      <c r="D90" s="3" t="s">
        <v>542</v>
      </c>
      <c r="E90" s="101"/>
      <c r="F90" s="96">
        <v>46040</v>
      </c>
      <c r="G90" s="9"/>
      <c r="H90" s="110" t="s">
        <v>276</v>
      </c>
      <c r="I90" s="110" t="s">
        <v>276</v>
      </c>
      <c r="J90" s="9" t="s">
        <v>276</v>
      </c>
      <c r="K90" s="9" t="s">
        <v>276</v>
      </c>
      <c r="L90" s="3" t="s">
        <v>49</v>
      </c>
      <c r="M90" s="96">
        <v>46046</v>
      </c>
      <c r="N90" s="13"/>
      <c r="O90" s="43" t="s">
        <v>518</v>
      </c>
      <c r="P90" s="3" t="s">
        <v>304</v>
      </c>
      <c r="Q90" s="98">
        <v>46055</v>
      </c>
      <c r="R90" s="4">
        <v>11</v>
      </c>
    </row>
    <row r="91" spans="1:18" ht="30" customHeight="1">
      <c r="A91" s="2">
        <v>89</v>
      </c>
      <c r="B91" s="95" t="s">
        <v>418</v>
      </c>
      <c r="C91" s="2" t="s">
        <v>501</v>
      </c>
      <c r="D91" s="3" t="s">
        <v>542</v>
      </c>
      <c r="E91" s="103"/>
      <c r="F91" s="96">
        <v>46038</v>
      </c>
      <c r="G91" s="9"/>
      <c r="H91" s="110" t="s">
        <v>276</v>
      </c>
      <c r="I91" s="110" t="s">
        <v>276</v>
      </c>
      <c r="J91" s="9" t="s">
        <v>276</v>
      </c>
      <c r="K91" s="9" t="s">
        <v>276</v>
      </c>
      <c r="L91" s="3" t="s">
        <v>49</v>
      </c>
      <c r="M91" s="96">
        <v>46047</v>
      </c>
      <c r="N91" s="13"/>
      <c r="O91" s="43" t="s">
        <v>511</v>
      </c>
      <c r="P91" s="3"/>
      <c r="Q91" s="98"/>
      <c r="R91" s="4">
        <v>10</v>
      </c>
    </row>
    <row r="92" spans="1:18" ht="31.5" customHeight="1">
      <c r="A92" s="2">
        <v>90</v>
      </c>
      <c r="B92" s="95" t="s">
        <v>380</v>
      </c>
      <c r="C92" s="2" t="s">
        <v>503</v>
      </c>
      <c r="D92" s="3" t="s">
        <v>542</v>
      </c>
      <c r="E92" s="101"/>
      <c r="F92" s="96">
        <v>46036</v>
      </c>
      <c r="G92" s="9"/>
      <c r="H92" s="110" t="s">
        <v>276</v>
      </c>
      <c r="I92" s="110" t="s">
        <v>276</v>
      </c>
      <c r="J92" s="9" t="s">
        <v>276</v>
      </c>
      <c r="K92" s="9" t="s">
        <v>276</v>
      </c>
      <c r="L92" s="3" t="s">
        <v>49</v>
      </c>
      <c r="M92" s="96">
        <v>46049</v>
      </c>
      <c r="N92" s="13"/>
      <c r="O92" s="43" t="s">
        <v>519</v>
      </c>
      <c r="P92" s="3" t="s">
        <v>304</v>
      </c>
      <c r="Q92" s="98">
        <v>46057</v>
      </c>
      <c r="R92" s="4">
        <v>11</v>
      </c>
    </row>
    <row r="93" spans="1:18" ht="26.15" customHeight="1">
      <c r="A93" s="2">
        <v>91</v>
      </c>
      <c r="B93" s="95" t="s">
        <v>470</v>
      </c>
      <c r="C93" s="2" t="s">
        <v>545</v>
      </c>
      <c r="D93" s="3" t="s">
        <v>542</v>
      </c>
      <c r="E93" s="15"/>
      <c r="F93" s="96">
        <v>46036</v>
      </c>
      <c r="G93" s="39"/>
      <c r="H93" s="110" t="s">
        <v>276</v>
      </c>
      <c r="I93" s="110" t="s">
        <v>276</v>
      </c>
      <c r="J93" s="9" t="s">
        <v>276</v>
      </c>
      <c r="K93" s="9" t="s">
        <v>276</v>
      </c>
      <c r="L93" s="3" t="s">
        <v>49</v>
      </c>
      <c r="M93" s="96">
        <v>46049</v>
      </c>
      <c r="N93" s="13"/>
      <c r="O93" s="43" t="s">
        <v>506</v>
      </c>
      <c r="P93" s="3"/>
      <c r="Q93" s="98"/>
      <c r="R93" s="32">
        <v>10</v>
      </c>
    </row>
    <row r="94" spans="1:18" ht="30" customHeight="1">
      <c r="A94" s="2">
        <v>92</v>
      </c>
      <c r="B94" s="95" t="s">
        <v>493</v>
      </c>
      <c r="C94" s="2" t="s">
        <v>504</v>
      </c>
      <c r="D94" s="3" t="s">
        <v>542</v>
      </c>
      <c r="E94" s="104"/>
      <c r="F94" s="96">
        <v>46033</v>
      </c>
      <c r="G94" s="105"/>
      <c r="H94" s="110" t="s">
        <v>276</v>
      </c>
      <c r="I94" s="110" t="s">
        <v>276</v>
      </c>
      <c r="J94" s="9" t="s">
        <v>276</v>
      </c>
      <c r="K94" s="9" t="s">
        <v>276</v>
      </c>
      <c r="L94" s="3" t="s">
        <v>49</v>
      </c>
      <c r="M94" s="96">
        <v>46050</v>
      </c>
      <c r="N94" s="106"/>
      <c r="O94" s="43" t="s">
        <v>507</v>
      </c>
      <c r="P94" s="3"/>
      <c r="Q94" s="98"/>
      <c r="R94" s="32">
        <v>10</v>
      </c>
    </row>
    <row r="95" spans="1:18" ht="30" customHeight="1">
      <c r="A95" s="2">
        <v>93</v>
      </c>
      <c r="B95" s="43" t="s">
        <v>463</v>
      </c>
      <c r="C95" s="2" t="s">
        <v>517</v>
      </c>
      <c r="D95" s="3" t="s">
        <v>542</v>
      </c>
      <c r="E95" s="15"/>
      <c r="F95" s="96">
        <v>46041</v>
      </c>
      <c r="G95" s="39"/>
      <c r="H95" s="110" t="s">
        <v>276</v>
      </c>
      <c r="I95" s="110" t="s">
        <v>276</v>
      </c>
      <c r="J95" s="9" t="s">
        <v>276</v>
      </c>
      <c r="K95" s="9" t="s">
        <v>276</v>
      </c>
      <c r="L95" s="3" t="s">
        <v>49</v>
      </c>
      <c r="M95" s="96">
        <v>46052</v>
      </c>
      <c r="N95" s="13"/>
      <c r="O95" s="43" t="s">
        <v>511</v>
      </c>
      <c r="P95" s="3" t="s">
        <v>304</v>
      </c>
      <c r="Q95" s="98">
        <v>46055</v>
      </c>
      <c r="R95" s="32">
        <v>10</v>
      </c>
    </row>
    <row r="96" spans="1:18" ht="30" customHeight="1">
      <c r="A96" s="2">
        <v>94</v>
      </c>
      <c r="B96" s="95" t="s">
        <v>465</v>
      </c>
      <c r="C96" s="2" t="s">
        <v>515</v>
      </c>
      <c r="D96" s="3" t="s">
        <v>542</v>
      </c>
      <c r="E96" s="15"/>
      <c r="F96" s="96">
        <v>46045</v>
      </c>
      <c r="G96" s="39"/>
      <c r="H96" s="110" t="s">
        <v>276</v>
      </c>
      <c r="I96" s="110" t="s">
        <v>276</v>
      </c>
      <c r="J96" s="9" t="s">
        <v>276</v>
      </c>
      <c r="K96" s="9" t="s">
        <v>276</v>
      </c>
      <c r="L96" s="3" t="s">
        <v>49</v>
      </c>
      <c r="M96" s="96">
        <v>46052</v>
      </c>
      <c r="N96" s="13"/>
      <c r="O96" s="43" t="s">
        <v>506</v>
      </c>
      <c r="P96" s="3" t="s">
        <v>304</v>
      </c>
      <c r="Q96" s="98">
        <v>46055</v>
      </c>
      <c r="R96" s="32">
        <v>10</v>
      </c>
    </row>
    <row r="97" spans="1:18" ht="30" customHeight="1">
      <c r="A97" s="2">
        <v>95</v>
      </c>
      <c r="B97" s="95" t="s">
        <v>384</v>
      </c>
      <c r="C97" s="2" t="s">
        <v>545</v>
      </c>
      <c r="D97" s="3" t="s">
        <v>542</v>
      </c>
      <c r="E97" s="101"/>
      <c r="F97" s="96">
        <v>46042</v>
      </c>
      <c r="G97" s="9"/>
      <c r="H97" s="110" t="s">
        <v>276</v>
      </c>
      <c r="I97" s="110" t="s">
        <v>276</v>
      </c>
      <c r="J97" s="9" t="s">
        <v>276</v>
      </c>
      <c r="K97" s="9" t="s">
        <v>276</v>
      </c>
      <c r="L97" s="3" t="s">
        <v>49</v>
      </c>
      <c r="M97" s="96">
        <v>46053</v>
      </c>
      <c r="N97" s="13"/>
      <c r="O97" s="43" t="s">
        <v>518</v>
      </c>
      <c r="P97" s="3"/>
      <c r="Q97" s="98"/>
      <c r="R97" s="32">
        <v>11</v>
      </c>
    </row>
    <row r="98" spans="1:18" ht="30" customHeight="1">
      <c r="A98" s="2">
        <v>96</v>
      </c>
      <c r="B98" s="107" t="s">
        <v>467</v>
      </c>
      <c r="C98" s="2" t="s">
        <v>503</v>
      </c>
      <c r="D98" s="3" t="s">
        <v>542</v>
      </c>
      <c r="E98" s="15"/>
      <c r="F98" s="96">
        <v>46045</v>
      </c>
      <c r="G98" s="39"/>
      <c r="H98" s="110" t="s">
        <v>276</v>
      </c>
      <c r="I98" s="110" t="s">
        <v>276</v>
      </c>
      <c r="J98" s="9" t="s">
        <v>276</v>
      </c>
      <c r="K98" s="9" t="s">
        <v>276</v>
      </c>
      <c r="L98" s="3" t="s">
        <v>49</v>
      </c>
      <c r="M98" s="96">
        <v>46053</v>
      </c>
      <c r="N98" s="13"/>
      <c r="O98" s="43" t="s">
        <v>506</v>
      </c>
      <c r="P98" s="3" t="s">
        <v>304</v>
      </c>
      <c r="Q98" s="98">
        <v>46056</v>
      </c>
      <c r="R98" s="32">
        <v>10</v>
      </c>
    </row>
    <row r="99" spans="1:18" ht="30" customHeight="1">
      <c r="A99" s="2">
        <v>97</v>
      </c>
      <c r="B99" s="95" t="s">
        <v>484</v>
      </c>
      <c r="C99" s="2" t="s">
        <v>501</v>
      </c>
      <c r="D99" s="3" t="s">
        <v>542</v>
      </c>
      <c r="E99" s="15"/>
      <c r="F99" s="96">
        <v>46049</v>
      </c>
      <c r="G99" s="39"/>
      <c r="H99" s="110" t="s">
        <v>276</v>
      </c>
      <c r="I99" s="110" t="s">
        <v>276</v>
      </c>
      <c r="J99" s="9" t="s">
        <v>276</v>
      </c>
      <c r="K99" s="9" t="s">
        <v>276</v>
      </c>
      <c r="L99" s="3" t="s">
        <v>49</v>
      </c>
      <c r="M99" s="96">
        <v>46053</v>
      </c>
      <c r="N99" s="13"/>
      <c r="O99" s="43" t="s">
        <v>507</v>
      </c>
      <c r="P99" s="3"/>
      <c r="Q99" s="98"/>
      <c r="R99" s="32">
        <v>10</v>
      </c>
    </row>
    <row r="100" spans="1:18" ht="30" customHeight="1">
      <c r="A100" s="2">
        <v>98</v>
      </c>
      <c r="B100" s="95" t="s">
        <v>386</v>
      </c>
      <c r="C100" s="2" t="s">
        <v>515</v>
      </c>
      <c r="D100" s="3" t="s">
        <v>505</v>
      </c>
      <c r="E100" s="103"/>
      <c r="F100" s="96">
        <v>46049</v>
      </c>
      <c r="G100" s="9"/>
      <c r="H100" s="110" t="s">
        <v>276</v>
      </c>
      <c r="I100" s="110" t="s">
        <v>276</v>
      </c>
      <c r="J100" s="9" t="s">
        <v>276</v>
      </c>
      <c r="K100" s="9" t="s">
        <v>276</v>
      </c>
      <c r="L100" s="3" t="s">
        <v>49</v>
      </c>
      <c r="M100" s="96">
        <v>46055</v>
      </c>
      <c r="N100" s="13"/>
      <c r="O100" s="43" t="s">
        <v>519</v>
      </c>
      <c r="P100" s="3" t="s">
        <v>304</v>
      </c>
      <c r="Q100" s="98">
        <v>46057</v>
      </c>
      <c r="R100" s="32">
        <v>10</v>
      </c>
    </row>
    <row r="101" spans="1:18" ht="30" customHeight="1">
      <c r="A101" s="2">
        <v>99</v>
      </c>
      <c r="B101" s="43" t="s">
        <v>462</v>
      </c>
      <c r="C101" s="2" t="s">
        <v>501</v>
      </c>
      <c r="D101" s="3" t="s">
        <v>505</v>
      </c>
      <c r="E101" s="15"/>
      <c r="F101" s="96">
        <v>46042</v>
      </c>
      <c r="G101" s="39"/>
      <c r="H101" s="110" t="s">
        <v>276</v>
      </c>
      <c r="I101" s="110" t="s">
        <v>276</v>
      </c>
      <c r="J101" s="9" t="s">
        <v>276</v>
      </c>
      <c r="K101" s="9" t="s">
        <v>276</v>
      </c>
      <c r="L101" s="3" t="s">
        <v>49</v>
      </c>
      <c r="M101" s="96">
        <v>46056</v>
      </c>
      <c r="N101" s="13"/>
      <c r="O101" s="43" t="s">
        <v>511</v>
      </c>
      <c r="P101" s="3" t="s">
        <v>304</v>
      </c>
      <c r="Q101" s="98">
        <v>46129</v>
      </c>
      <c r="R101" s="32">
        <v>10</v>
      </c>
    </row>
    <row r="102" spans="1:18" ht="30" customHeight="1">
      <c r="A102" s="2">
        <v>100</v>
      </c>
      <c r="B102" s="95" t="s">
        <v>471</v>
      </c>
      <c r="C102" s="2" t="s">
        <v>545</v>
      </c>
      <c r="D102" s="3" t="s">
        <v>542</v>
      </c>
      <c r="E102" s="15"/>
      <c r="F102" s="96">
        <v>46052</v>
      </c>
      <c r="G102" s="99"/>
      <c r="H102" s="110" t="s">
        <v>276</v>
      </c>
      <c r="I102" s="110" t="s">
        <v>276</v>
      </c>
      <c r="J102" s="9" t="s">
        <v>276</v>
      </c>
      <c r="K102" s="9" t="s">
        <v>276</v>
      </c>
      <c r="L102" s="3" t="s">
        <v>49</v>
      </c>
      <c r="M102" s="96">
        <v>46058</v>
      </c>
      <c r="N102" s="13"/>
      <c r="O102" s="43" t="s">
        <v>506</v>
      </c>
      <c r="P102" s="3"/>
      <c r="Q102" s="98"/>
      <c r="R102" s="32">
        <v>11</v>
      </c>
    </row>
    <row r="103" spans="1:18" ht="30" customHeight="1">
      <c r="A103" s="2">
        <v>101</v>
      </c>
      <c r="B103" s="95" t="s">
        <v>387</v>
      </c>
      <c r="C103" s="2" t="s">
        <v>509</v>
      </c>
      <c r="D103" s="3" t="s">
        <v>544</v>
      </c>
      <c r="E103" s="103"/>
      <c r="F103" s="96">
        <v>46053</v>
      </c>
      <c r="G103" s="9"/>
      <c r="H103" s="110" t="s">
        <v>276</v>
      </c>
      <c r="I103" s="110" t="s">
        <v>276</v>
      </c>
      <c r="J103" s="9" t="s">
        <v>276</v>
      </c>
      <c r="K103" s="9" t="s">
        <v>276</v>
      </c>
      <c r="L103" s="3" t="s">
        <v>49</v>
      </c>
      <c r="M103" s="96">
        <v>46061</v>
      </c>
      <c r="N103" s="13"/>
      <c r="O103" s="43" t="s">
        <v>519</v>
      </c>
      <c r="P103" s="3" t="s">
        <v>304</v>
      </c>
      <c r="Q103" s="98">
        <v>46062</v>
      </c>
      <c r="R103" s="32">
        <v>11</v>
      </c>
    </row>
    <row r="104" spans="1:18" ht="30" customHeight="1">
      <c r="A104" s="2">
        <v>102</v>
      </c>
      <c r="B104" s="43" t="s">
        <v>98</v>
      </c>
      <c r="C104" s="2" t="s">
        <v>501</v>
      </c>
      <c r="D104" s="3" t="s">
        <v>542</v>
      </c>
      <c r="E104" s="15"/>
      <c r="F104" s="96">
        <v>46052</v>
      </c>
      <c r="G104" s="39"/>
      <c r="H104" s="110" t="s">
        <v>276</v>
      </c>
      <c r="I104" s="110" t="s">
        <v>276</v>
      </c>
      <c r="J104" s="9" t="s">
        <v>276</v>
      </c>
      <c r="K104" s="9" t="s">
        <v>276</v>
      </c>
      <c r="L104" s="3" t="s">
        <v>49</v>
      </c>
      <c r="M104" s="96">
        <v>46062</v>
      </c>
      <c r="N104" s="13"/>
      <c r="O104" s="43" t="s">
        <v>511</v>
      </c>
      <c r="P104" s="3" t="s">
        <v>304</v>
      </c>
      <c r="Q104" s="98">
        <v>46063</v>
      </c>
      <c r="R104" s="32">
        <v>11</v>
      </c>
    </row>
    <row r="105" spans="1:18" ht="30" customHeight="1">
      <c r="A105" s="2">
        <v>103</v>
      </c>
      <c r="B105" s="95" t="s">
        <v>466</v>
      </c>
      <c r="C105" s="2" t="s">
        <v>501</v>
      </c>
      <c r="D105" s="3" t="s">
        <v>542</v>
      </c>
      <c r="E105" s="15"/>
      <c r="F105" s="96">
        <v>46060</v>
      </c>
      <c r="G105" s="39"/>
      <c r="H105" s="110" t="s">
        <v>276</v>
      </c>
      <c r="I105" s="110" t="s">
        <v>276</v>
      </c>
      <c r="J105" s="9" t="s">
        <v>276</v>
      </c>
      <c r="K105" s="9" t="s">
        <v>276</v>
      </c>
      <c r="L105" s="3" t="s">
        <v>49</v>
      </c>
      <c r="M105" s="96">
        <v>46064</v>
      </c>
      <c r="N105" s="13"/>
      <c r="O105" s="43" t="s">
        <v>506</v>
      </c>
      <c r="P105" s="3" t="s">
        <v>304</v>
      </c>
      <c r="Q105" s="98">
        <v>46066</v>
      </c>
      <c r="R105" s="32">
        <v>11</v>
      </c>
    </row>
    <row r="106" spans="1:18" ht="30" customHeight="1">
      <c r="A106" s="2">
        <v>104</v>
      </c>
      <c r="B106" s="108" t="s">
        <v>373</v>
      </c>
      <c r="C106" s="2" t="s">
        <v>517</v>
      </c>
      <c r="D106" s="3" t="s">
        <v>542</v>
      </c>
      <c r="E106" s="103"/>
      <c r="F106" s="96">
        <v>46059</v>
      </c>
      <c r="G106" s="9"/>
      <c r="H106" s="110" t="s">
        <v>276</v>
      </c>
      <c r="I106" s="110" t="s">
        <v>276</v>
      </c>
      <c r="J106" s="9" t="s">
        <v>276</v>
      </c>
      <c r="K106" s="9" t="s">
        <v>276</v>
      </c>
      <c r="L106" s="3" t="s">
        <v>49</v>
      </c>
      <c r="M106" s="96">
        <v>46066</v>
      </c>
      <c r="N106" s="13"/>
      <c r="O106" s="43" t="s">
        <v>519</v>
      </c>
      <c r="P106" s="3" t="s">
        <v>304</v>
      </c>
      <c r="Q106" s="98">
        <v>46072</v>
      </c>
      <c r="R106" s="32">
        <v>11</v>
      </c>
    </row>
    <row r="107" spans="1:18" ht="30" customHeight="1">
      <c r="A107" s="2">
        <v>105</v>
      </c>
      <c r="B107" s="43" t="s">
        <v>99</v>
      </c>
      <c r="C107" s="2" t="s">
        <v>504</v>
      </c>
      <c r="D107" s="3" t="s">
        <v>542</v>
      </c>
      <c r="E107" s="15"/>
      <c r="F107" s="96">
        <v>46059</v>
      </c>
      <c r="G107" s="39"/>
      <c r="H107" s="110" t="s">
        <v>276</v>
      </c>
      <c r="I107" s="110" t="s">
        <v>276</v>
      </c>
      <c r="J107" s="9" t="s">
        <v>276</v>
      </c>
      <c r="K107" s="9" t="s">
        <v>276</v>
      </c>
      <c r="L107" s="3" t="s">
        <v>49</v>
      </c>
      <c r="M107" s="96">
        <v>46066</v>
      </c>
      <c r="N107" s="13"/>
      <c r="O107" s="43" t="s">
        <v>511</v>
      </c>
      <c r="P107" s="3" t="s">
        <v>304</v>
      </c>
      <c r="Q107" s="98">
        <v>46067</v>
      </c>
      <c r="R107" s="32">
        <v>11</v>
      </c>
    </row>
    <row r="108" spans="1:18" ht="30" customHeight="1">
      <c r="A108" s="2">
        <v>106</v>
      </c>
      <c r="B108" s="95" t="s">
        <v>469</v>
      </c>
      <c r="C108" s="2" t="s">
        <v>509</v>
      </c>
      <c r="D108" s="3" t="s">
        <v>505</v>
      </c>
      <c r="E108" s="15"/>
      <c r="F108" s="96">
        <v>46033</v>
      </c>
      <c r="G108" s="39"/>
      <c r="H108" s="110" t="s">
        <v>276</v>
      </c>
      <c r="I108" s="110" t="s">
        <v>276</v>
      </c>
      <c r="J108" s="9" t="s">
        <v>276</v>
      </c>
      <c r="K108" s="9" t="s">
        <v>276</v>
      </c>
      <c r="L108" s="3" t="s">
        <v>49</v>
      </c>
      <c r="M108" s="96">
        <v>46069</v>
      </c>
      <c r="N108" s="13"/>
      <c r="O108" s="43" t="s">
        <v>506</v>
      </c>
      <c r="P108" s="3" t="s">
        <v>304</v>
      </c>
      <c r="Q108" s="98">
        <v>46070</v>
      </c>
      <c r="R108" s="32">
        <v>10</v>
      </c>
    </row>
    <row r="109" spans="1:18" ht="30" customHeight="1">
      <c r="A109" s="2">
        <v>107</v>
      </c>
      <c r="B109" s="95" t="s">
        <v>89</v>
      </c>
      <c r="C109" s="2" t="s">
        <v>509</v>
      </c>
      <c r="D109" s="3" t="s">
        <v>542</v>
      </c>
      <c r="E109" s="15"/>
      <c r="F109" s="96">
        <v>46064</v>
      </c>
      <c r="G109" s="37"/>
      <c r="H109" s="110" t="s">
        <v>276</v>
      </c>
      <c r="I109" s="110" t="s">
        <v>276</v>
      </c>
      <c r="J109" s="9" t="s">
        <v>276</v>
      </c>
      <c r="K109" s="9" t="s">
        <v>276</v>
      </c>
      <c r="L109" s="3" t="s">
        <v>49</v>
      </c>
      <c r="M109" s="96">
        <v>46070</v>
      </c>
      <c r="N109" s="13"/>
      <c r="O109" s="43" t="s">
        <v>511</v>
      </c>
      <c r="P109" s="3" t="s">
        <v>304</v>
      </c>
      <c r="Q109" s="98">
        <v>46080</v>
      </c>
      <c r="R109" s="32">
        <v>11</v>
      </c>
    </row>
    <row r="110" spans="1:18" ht="30" customHeight="1">
      <c r="A110" s="2">
        <v>108</v>
      </c>
      <c r="B110" s="108" t="s">
        <v>371</v>
      </c>
      <c r="C110" s="2" t="s">
        <v>546</v>
      </c>
      <c r="D110" s="3" t="s">
        <v>542</v>
      </c>
      <c r="E110" s="103"/>
      <c r="F110" s="96">
        <v>46059</v>
      </c>
      <c r="G110" s="9"/>
      <c r="H110" s="110" t="s">
        <v>276</v>
      </c>
      <c r="I110" s="110" t="s">
        <v>276</v>
      </c>
      <c r="J110" s="9" t="s">
        <v>276</v>
      </c>
      <c r="K110" s="9" t="s">
        <v>276</v>
      </c>
      <c r="L110" s="3" t="s">
        <v>49</v>
      </c>
      <c r="M110" s="96">
        <v>46076</v>
      </c>
      <c r="N110" s="13"/>
      <c r="O110" s="43" t="s">
        <v>519</v>
      </c>
      <c r="P110" s="3" t="s">
        <v>304</v>
      </c>
      <c r="Q110" s="98">
        <v>46077</v>
      </c>
      <c r="R110" s="32">
        <v>11</v>
      </c>
    </row>
    <row r="111" spans="1:18" s="42" customFormat="1" ht="44.15" customHeight="1">
      <c r="A111" s="2">
        <v>109</v>
      </c>
      <c r="B111" s="95" t="s">
        <v>124</v>
      </c>
      <c r="C111" s="2" t="s">
        <v>501</v>
      </c>
      <c r="D111" s="3" t="s">
        <v>505</v>
      </c>
      <c r="E111" s="15"/>
      <c r="F111" s="96">
        <v>46070</v>
      </c>
      <c r="G111" s="39"/>
      <c r="H111" s="110" t="s">
        <v>276</v>
      </c>
      <c r="I111" s="110" t="s">
        <v>276</v>
      </c>
      <c r="J111" s="9" t="s">
        <v>276</v>
      </c>
      <c r="K111" s="9" t="s">
        <v>276</v>
      </c>
      <c r="L111" s="3" t="s">
        <v>49</v>
      </c>
      <c r="M111" s="96">
        <v>46081</v>
      </c>
      <c r="N111" s="13"/>
      <c r="O111" s="43" t="s">
        <v>511</v>
      </c>
      <c r="P111" s="3"/>
      <c r="Q111" s="98"/>
      <c r="R111" s="41">
        <v>10</v>
      </c>
    </row>
    <row r="112" spans="1:18" ht="44.15" customHeight="1">
      <c r="A112" s="2">
        <v>110</v>
      </c>
      <c r="B112" s="100" t="s">
        <v>458</v>
      </c>
      <c r="C112" s="2" t="s">
        <v>504</v>
      </c>
      <c r="D112" s="3" t="s">
        <v>542</v>
      </c>
      <c r="E112" s="15"/>
      <c r="F112" s="96">
        <v>46070</v>
      </c>
      <c r="G112" s="99"/>
      <c r="H112" s="110" t="s">
        <v>276</v>
      </c>
      <c r="I112" s="110" t="s">
        <v>276</v>
      </c>
      <c r="J112" s="9" t="s">
        <v>276</v>
      </c>
      <c r="K112" s="9" t="s">
        <v>276</v>
      </c>
      <c r="L112" s="3" t="s">
        <v>49</v>
      </c>
      <c r="M112" s="96">
        <v>46084</v>
      </c>
      <c r="N112" s="13"/>
      <c r="O112" s="43" t="s">
        <v>511</v>
      </c>
      <c r="P112" s="3" t="s">
        <v>304</v>
      </c>
      <c r="Q112" s="98">
        <v>46091</v>
      </c>
      <c r="R112" s="41">
        <v>11</v>
      </c>
    </row>
    <row r="113" spans="1:18" s="42" customFormat="1" ht="44.15" customHeight="1">
      <c r="A113" s="2">
        <v>111</v>
      </c>
      <c r="B113" s="108" t="s">
        <v>372</v>
      </c>
      <c r="C113" s="2" t="s">
        <v>509</v>
      </c>
      <c r="D113" s="3" t="s">
        <v>505</v>
      </c>
      <c r="E113" s="103"/>
      <c r="F113" s="96">
        <v>46066</v>
      </c>
      <c r="G113" s="9"/>
      <c r="H113" s="110" t="s">
        <v>276</v>
      </c>
      <c r="I113" s="110" t="s">
        <v>276</v>
      </c>
      <c r="J113" s="9" t="s">
        <v>276</v>
      </c>
      <c r="K113" s="9" t="s">
        <v>276</v>
      </c>
      <c r="L113" s="3" t="s">
        <v>49</v>
      </c>
      <c r="M113" s="96">
        <v>46088</v>
      </c>
      <c r="N113" s="13"/>
      <c r="O113" s="43" t="s">
        <v>520</v>
      </c>
      <c r="P113" s="3" t="s">
        <v>304</v>
      </c>
      <c r="Q113" s="98">
        <v>46089</v>
      </c>
      <c r="R113" s="41">
        <v>10</v>
      </c>
    </row>
    <row r="114" spans="1:18" ht="30" customHeight="1">
      <c r="A114" s="2">
        <v>112</v>
      </c>
      <c r="B114" s="95" t="s">
        <v>454</v>
      </c>
      <c r="C114" s="2" t="s">
        <v>503</v>
      </c>
      <c r="D114" s="3" t="s">
        <v>542</v>
      </c>
      <c r="E114" s="15"/>
      <c r="F114" s="96">
        <v>46061</v>
      </c>
      <c r="G114" s="37"/>
      <c r="H114" s="110" t="s">
        <v>276</v>
      </c>
      <c r="I114" s="110" t="s">
        <v>276</v>
      </c>
      <c r="J114" s="9" t="s">
        <v>276</v>
      </c>
      <c r="K114" s="9" t="s">
        <v>276</v>
      </c>
      <c r="L114" s="3" t="s">
        <v>49</v>
      </c>
      <c r="M114" s="96">
        <v>46095</v>
      </c>
      <c r="N114" s="14"/>
      <c r="O114" s="43" t="s">
        <v>511</v>
      </c>
      <c r="P114" s="3"/>
      <c r="Q114" s="98"/>
      <c r="R114" s="32">
        <v>10</v>
      </c>
    </row>
    <row r="115" spans="1:18" s="42" customFormat="1" ht="48" customHeight="1">
      <c r="A115" s="2">
        <v>113</v>
      </c>
      <c r="B115" s="95" t="s">
        <v>383</v>
      </c>
      <c r="C115" s="2" t="s">
        <v>509</v>
      </c>
      <c r="D115" s="3" t="s">
        <v>542</v>
      </c>
      <c r="E115" s="103"/>
      <c r="F115" s="96">
        <v>46093</v>
      </c>
      <c r="G115" s="9"/>
      <c r="H115" s="110" t="s">
        <v>276</v>
      </c>
      <c r="I115" s="110" t="s">
        <v>276</v>
      </c>
      <c r="J115" s="9" t="s">
        <v>276</v>
      </c>
      <c r="K115" s="9" t="s">
        <v>276</v>
      </c>
      <c r="L115" s="3" t="s">
        <v>49</v>
      </c>
      <c r="M115" s="96">
        <v>46102</v>
      </c>
      <c r="N115" s="13"/>
      <c r="O115" s="43" t="s">
        <v>520</v>
      </c>
      <c r="P115" s="3" t="s">
        <v>304</v>
      </c>
      <c r="Q115" s="98">
        <v>46104</v>
      </c>
      <c r="R115" s="32">
        <v>11</v>
      </c>
    </row>
    <row r="116" spans="1:18" ht="43.4" customHeight="1">
      <c r="A116" s="2">
        <v>114</v>
      </c>
      <c r="B116" s="95" t="s">
        <v>394</v>
      </c>
      <c r="C116" s="2" t="s">
        <v>504</v>
      </c>
      <c r="D116" s="3" t="s">
        <v>542</v>
      </c>
      <c r="E116" s="103"/>
      <c r="F116" s="96">
        <v>46076</v>
      </c>
      <c r="G116" s="9"/>
      <c r="H116" s="110" t="s">
        <v>276</v>
      </c>
      <c r="I116" s="110" t="s">
        <v>276</v>
      </c>
      <c r="J116" s="9" t="s">
        <v>276</v>
      </c>
      <c r="K116" s="9" t="s">
        <v>276</v>
      </c>
      <c r="L116" s="3" t="s">
        <v>49</v>
      </c>
      <c r="M116" s="96">
        <v>46111</v>
      </c>
      <c r="N116" s="13"/>
      <c r="O116" s="43" t="s">
        <v>520</v>
      </c>
      <c r="P116" s="3" t="s">
        <v>304</v>
      </c>
      <c r="Q116" s="98">
        <v>46116</v>
      </c>
      <c r="R116" s="32">
        <v>10</v>
      </c>
    </row>
    <row r="117" spans="1:18" ht="30" customHeight="1">
      <c r="A117" s="2">
        <v>115</v>
      </c>
      <c r="B117" s="95" t="s">
        <v>393</v>
      </c>
      <c r="C117" s="2" t="s">
        <v>501</v>
      </c>
      <c r="D117" s="3" t="s">
        <v>542</v>
      </c>
      <c r="E117" s="101"/>
      <c r="F117" s="96">
        <v>46103</v>
      </c>
      <c r="G117" s="9"/>
      <c r="H117" s="110" t="s">
        <v>276</v>
      </c>
      <c r="I117" s="110" t="s">
        <v>276</v>
      </c>
      <c r="J117" s="9" t="s">
        <v>276</v>
      </c>
      <c r="K117" s="9" t="s">
        <v>276</v>
      </c>
      <c r="L117" s="3" t="s">
        <v>49</v>
      </c>
      <c r="M117" s="96">
        <v>46114</v>
      </c>
      <c r="N117" s="13"/>
      <c r="O117" s="43" t="s">
        <v>519</v>
      </c>
      <c r="P117" s="3" t="s">
        <v>304</v>
      </c>
      <c r="Q117" s="98">
        <v>46124</v>
      </c>
      <c r="R117" s="32">
        <v>11</v>
      </c>
    </row>
    <row r="118" spans="1:18" ht="30" customHeight="1">
      <c r="A118" s="2">
        <v>116</v>
      </c>
      <c r="B118" s="43" t="s">
        <v>461</v>
      </c>
      <c r="C118" s="2" t="s">
        <v>504</v>
      </c>
      <c r="D118" s="3" t="s">
        <v>542</v>
      </c>
      <c r="E118" s="15"/>
      <c r="F118" s="96">
        <v>46087</v>
      </c>
      <c r="G118" s="39"/>
      <c r="H118" s="110" t="s">
        <v>276</v>
      </c>
      <c r="I118" s="110" t="s">
        <v>276</v>
      </c>
      <c r="J118" s="9" t="s">
        <v>276</v>
      </c>
      <c r="K118" s="9" t="s">
        <v>276</v>
      </c>
      <c r="L118" s="3" t="s">
        <v>49</v>
      </c>
      <c r="M118" s="96">
        <v>46115</v>
      </c>
      <c r="N118" s="13"/>
      <c r="O118" s="43" t="s">
        <v>521</v>
      </c>
      <c r="P118" s="3"/>
      <c r="Q118" s="98"/>
      <c r="R118" s="32">
        <v>11</v>
      </c>
    </row>
    <row r="119" spans="1:18" ht="30" customHeight="1">
      <c r="A119" s="2">
        <v>117</v>
      </c>
      <c r="B119" s="95" t="s">
        <v>390</v>
      </c>
      <c r="C119" s="2" t="s">
        <v>504</v>
      </c>
      <c r="D119" s="3" t="s">
        <v>542</v>
      </c>
      <c r="E119" s="101"/>
      <c r="F119" s="96">
        <v>46110</v>
      </c>
      <c r="G119" s="9"/>
      <c r="H119" s="110" t="s">
        <v>276</v>
      </c>
      <c r="I119" s="110" t="s">
        <v>276</v>
      </c>
      <c r="J119" s="9" t="s">
        <v>276</v>
      </c>
      <c r="K119" s="9" t="s">
        <v>276</v>
      </c>
      <c r="L119" s="3" t="s">
        <v>49</v>
      </c>
      <c r="M119" s="96">
        <v>46120</v>
      </c>
      <c r="N119" s="13"/>
      <c r="O119" s="43" t="s">
        <v>519</v>
      </c>
      <c r="P119" s="3" t="s">
        <v>304</v>
      </c>
      <c r="Q119" s="98">
        <v>46134</v>
      </c>
      <c r="R119" s="32">
        <v>10</v>
      </c>
    </row>
    <row r="120" spans="1:18" s="42" customFormat="1" ht="30" customHeight="1">
      <c r="A120" s="2">
        <v>118</v>
      </c>
      <c r="B120" s="95" t="s">
        <v>4</v>
      </c>
      <c r="C120" s="2" t="s">
        <v>547</v>
      </c>
      <c r="D120" s="3" t="s">
        <v>548</v>
      </c>
      <c r="E120" s="15"/>
      <c r="F120" s="96">
        <v>46097</v>
      </c>
      <c r="G120" s="99"/>
      <c r="H120" s="110" t="s">
        <v>276</v>
      </c>
      <c r="I120" s="110" t="s">
        <v>276</v>
      </c>
      <c r="J120" s="9" t="s">
        <v>276</v>
      </c>
      <c r="K120" s="9" t="s">
        <v>276</v>
      </c>
      <c r="L120" s="3" t="s">
        <v>49</v>
      </c>
      <c r="M120" s="96">
        <v>46120</v>
      </c>
      <c r="N120" s="13"/>
      <c r="O120" s="43" t="s">
        <v>511</v>
      </c>
      <c r="P120" s="3" t="s">
        <v>304</v>
      </c>
      <c r="Q120" s="98">
        <v>46121</v>
      </c>
      <c r="R120" s="41">
        <v>10</v>
      </c>
    </row>
    <row r="121" spans="1:18" s="42" customFormat="1" ht="30" customHeight="1">
      <c r="A121" s="2">
        <v>119</v>
      </c>
      <c r="B121" s="95" t="s">
        <v>410</v>
      </c>
      <c r="C121" s="2" t="s">
        <v>509</v>
      </c>
      <c r="D121" s="3" t="s">
        <v>548</v>
      </c>
      <c r="E121" s="103"/>
      <c r="F121" s="96">
        <v>46105</v>
      </c>
      <c r="G121" s="9"/>
      <c r="H121" s="110" t="s">
        <v>276</v>
      </c>
      <c r="I121" s="110" t="s">
        <v>276</v>
      </c>
      <c r="J121" s="9" t="s">
        <v>276</v>
      </c>
      <c r="K121" s="9" t="s">
        <v>276</v>
      </c>
      <c r="L121" s="3" t="s">
        <v>49</v>
      </c>
      <c r="M121" s="96">
        <v>46123</v>
      </c>
      <c r="N121" s="13"/>
      <c r="O121" s="43" t="s">
        <v>522</v>
      </c>
      <c r="P121" s="3" t="s">
        <v>304</v>
      </c>
      <c r="Q121" s="98">
        <v>46125</v>
      </c>
      <c r="R121" s="32">
        <v>11</v>
      </c>
    </row>
    <row r="122" spans="1:18" ht="30" customHeight="1">
      <c r="A122" s="2">
        <v>120</v>
      </c>
      <c r="B122" s="95" t="s">
        <v>491</v>
      </c>
      <c r="C122" s="2" t="s">
        <v>504</v>
      </c>
      <c r="D122" s="3" t="s">
        <v>542</v>
      </c>
      <c r="E122" s="104"/>
      <c r="F122" s="96">
        <v>46099</v>
      </c>
      <c r="G122" s="105"/>
      <c r="H122" s="110" t="s">
        <v>276</v>
      </c>
      <c r="I122" s="110" t="s">
        <v>276</v>
      </c>
      <c r="J122" s="9" t="s">
        <v>276</v>
      </c>
      <c r="K122" s="9" t="s">
        <v>276</v>
      </c>
      <c r="L122" s="3" t="s">
        <v>49</v>
      </c>
      <c r="M122" s="96">
        <v>46123</v>
      </c>
      <c r="N122" s="106"/>
      <c r="O122" s="43" t="s">
        <v>521</v>
      </c>
      <c r="P122" s="3"/>
      <c r="Q122" s="98"/>
      <c r="R122" s="32">
        <v>11</v>
      </c>
    </row>
    <row r="123" spans="1:18" ht="30" customHeight="1">
      <c r="A123" s="2">
        <v>121</v>
      </c>
      <c r="B123" s="108" t="s">
        <v>368</v>
      </c>
      <c r="C123" s="2" t="s">
        <v>504</v>
      </c>
      <c r="D123" s="3" t="s">
        <v>542</v>
      </c>
      <c r="E123" s="103"/>
      <c r="F123" s="96">
        <v>46098</v>
      </c>
      <c r="G123" s="9"/>
      <c r="H123" s="110" t="s">
        <v>276</v>
      </c>
      <c r="I123" s="110" t="s">
        <v>276</v>
      </c>
      <c r="J123" s="9" t="s">
        <v>276</v>
      </c>
      <c r="K123" s="9" t="s">
        <v>276</v>
      </c>
      <c r="L123" s="3" t="s">
        <v>49</v>
      </c>
      <c r="M123" s="96">
        <v>46125</v>
      </c>
      <c r="N123" s="13"/>
      <c r="O123" s="43" t="s">
        <v>523</v>
      </c>
      <c r="P123" s="3" t="s">
        <v>304</v>
      </c>
      <c r="Q123" s="98">
        <v>46129</v>
      </c>
      <c r="R123" s="32">
        <v>10</v>
      </c>
    </row>
    <row r="124" spans="1:18" ht="30" customHeight="1">
      <c r="A124" s="2">
        <v>122</v>
      </c>
      <c r="B124" s="95" t="s">
        <v>391</v>
      </c>
      <c r="C124" s="2" t="s">
        <v>501</v>
      </c>
      <c r="D124" s="3" t="s">
        <v>542</v>
      </c>
      <c r="E124" s="103"/>
      <c r="F124" s="96">
        <v>46118</v>
      </c>
      <c r="G124" s="9"/>
      <c r="H124" s="110" t="s">
        <v>276</v>
      </c>
      <c r="I124" s="110" t="s">
        <v>276</v>
      </c>
      <c r="J124" s="9" t="s">
        <v>276</v>
      </c>
      <c r="K124" s="9" t="s">
        <v>276</v>
      </c>
      <c r="L124" s="3" t="s">
        <v>49</v>
      </c>
      <c r="M124" s="96">
        <v>46126</v>
      </c>
      <c r="N124" s="13"/>
      <c r="O124" s="43" t="s">
        <v>519</v>
      </c>
      <c r="P124" s="3" t="s">
        <v>304</v>
      </c>
      <c r="Q124" s="98">
        <v>46131</v>
      </c>
      <c r="R124" s="32">
        <v>11</v>
      </c>
    </row>
    <row r="125" spans="1:18" ht="30" customHeight="1">
      <c r="A125" s="2">
        <v>123</v>
      </c>
      <c r="B125" s="95" t="s">
        <v>87</v>
      </c>
      <c r="C125" s="2" t="s">
        <v>504</v>
      </c>
      <c r="D125" s="3" t="s">
        <v>542</v>
      </c>
      <c r="E125" s="15"/>
      <c r="F125" s="96">
        <v>46115</v>
      </c>
      <c r="G125" s="37"/>
      <c r="H125" s="110" t="s">
        <v>276</v>
      </c>
      <c r="I125" s="110" t="s">
        <v>276</v>
      </c>
      <c r="J125" s="9" t="s">
        <v>276</v>
      </c>
      <c r="K125" s="9" t="s">
        <v>276</v>
      </c>
      <c r="L125" s="3" t="s">
        <v>49</v>
      </c>
      <c r="M125" s="96">
        <v>46127</v>
      </c>
      <c r="N125" s="13"/>
      <c r="O125" s="43" t="s">
        <v>511</v>
      </c>
      <c r="P125" s="3"/>
      <c r="Q125" s="98"/>
      <c r="R125" s="32">
        <v>10</v>
      </c>
    </row>
    <row r="126" spans="1:18" ht="30" customHeight="1">
      <c r="A126" s="2">
        <v>124</v>
      </c>
      <c r="B126" s="95" t="s">
        <v>374</v>
      </c>
      <c r="C126" s="2" t="s">
        <v>501</v>
      </c>
      <c r="D126" s="3" t="s">
        <v>505</v>
      </c>
      <c r="E126" s="103"/>
      <c r="F126" s="96">
        <v>46095</v>
      </c>
      <c r="G126" s="9"/>
      <c r="H126" s="110" t="s">
        <v>276</v>
      </c>
      <c r="I126" s="110" t="s">
        <v>276</v>
      </c>
      <c r="J126" s="9" t="s">
        <v>276</v>
      </c>
      <c r="K126" s="9" t="s">
        <v>276</v>
      </c>
      <c r="L126" s="3" t="s">
        <v>49</v>
      </c>
      <c r="M126" s="96">
        <v>46130</v>
      </c>
      <c r="N126" s="13"/>
      <c r="O126" s="43" t="s">
        <v>524</v>
      </c>
      <c r="P126" s="3" t="s">
        <v>304</v>
      </c>
      <c r="Q126" s="98">
        <v>46133</v>
      </c>
      <c r="R126" s="32">
        <v>11</v>
      </c>
    </row>
    <row r="127" spans="1:18" ht="30" customHeight="1">
      <c r="A127" s="2">
        <v>125</v>
      </c>
      <c r="B127" s="95" t="s">
        <v>388</v>
      </c>
      <c r="C127" s="2" t="s">
        <v>504</v>
      </c>
      <c r="D127" s="3" t="s">
        <v>542</v>
      </c>
      <c r="E127" s="103"/>
      <c r="F127" s="96">
        <v>46118</v>
      </c>
      <c r="G127" s="9"/>
      <c r="H127" s="110" t="s">
        <v>276</v>
      </c>
      <c r="I127" s="110" t="s">
        <v>276</v>
      </c>
      <c r="J127" s="9" t="s">
        <v>276</v>
      </c>
      <c r="K127" s="9" t="s">
        <v>276</v>
      </c>
      <c r="L127" s="3" t="s">
        <v>49</v>
      </c>
      <c r="M127" s="96">
        <v>46130</v>
      </c>
      <c r="N127" s="13"/>
      <c r="O127" s="43" t="s">
        <v>519</v>
      </c>
      <c r="P127" s="3" t="s">
        <v>304</v>
      </c>
      <c r="Q127" s="98">
        <v>46139</v>
      </c>
      <c r="R127" s="32">
        <v>11</v>
      </c>
    </row>
    <row r="128" spans="1:18" ht="30" customHeight="1">
      <c r="A128" s="2">
        <v>126</v>
      </c>
      <c r="B128" s="108" t="s">
        <v>367</v>
      </c>
      <c r="C128" s="2" t="s">
        <v>504</v>
      </c>
      <c r="D128" s="3" t="s">
        <v>542</v>
      </c>
      <c r="E128" s="103"/>
      <c r="F128" s="96">
        <v>46106</v>
      </c>
      <c r="G128" s="9"/>
      <c r="H128" s="110" t="s">
        <v>276</v>
      </c>
      <c r="I128" s="110" t="s">
        <v>276</v>
      </c>
      <c r="J128" s="9" t="s">
        <v>276</v>
      </c>
      <c r="K128" s="9" t="s">
        <v>276</v>
      </c>
      <c r="L128" s="3" t="s">
        <v>49</v>
      </c>
      <c r="M128" s="96">
        <v>46133</v>
      </c>
      <c r="N128" s="13"/>
      <c r="O128" s="43" t="s">
        <v>523</v>
      </c>
      <c r="P128" s="3" t="s">
        <v>304</v>
      </c>
      <c r="Q128" s="98">
        <v>46135</v>
      </c>
      <c r="R128" s="32">
        <v>11</v>
      </c>
    </row>
    <row r="129" spans="1:18" ht="30" customHeight="1">
      <c r="A129" s="2">
        <v>127</v>
      </c>
      <c r="B129" s="95" t="s">
        <v>431</v>
      </c>
      <c r="C129" s="2" t="s">
        <v>501</v>
      </c>
      <c r="D129" s="3" t="s">
        <v>542</v>
      </c>
      <c r="E129" s="101"/>
      <c r="F129" s="96">
        <v>46119</v>
      </c>
      <c r="G129" s="9"/>
      <c r="H129" s="110" t="s">
        <v>276</v>
      </c>
      <c r="I129" s="110" t="s">
        <v>276</v>
      </c>
      <c r="J129" s="9" t="s">
        <v>276</v>
      </c>
      <c r="K129" s="9" t="s">
        <v>276</v>
      </c>
      <c r="L129" s="3" t="s">
        <v>49</v>
      </c>
      <c r="M129" s="96">
        <v>46134</v>
      </c>
      <c r="N129" s="13"/>
      <c r="O129" s="43" t="s">
        <v>511</v>
      </c>
      <c r="P129" s="3"/>
      <c r="Q129" s="98"/>
      <c r="R129" s="32">
        <v>11</v>
      </c>
    </row>
    <row r="130" spans="1:18" ht="30" customHeight="1">
      <c r="A130" s="2">
        <v>128</v>
      </c>
      <c r="B130" s="95" t="s">
        <v>96</v>
      </c>
      <c r="C130" s="2" t="s">
        <v>549</v>
      </c>
      <c r="D130" s="3" t="s">
        <v>542</v>
      </c>
      <c r="E130" s="15"/>
      <c r="F130" s="96">
        <v>46099</v>
      </c>
      <c r="G130" s="37"/>
      <c r="H130" s="110" t="s">
        <v>276</v>
      </c>
      <c r="I130" s="110" t="s">
        <v>276</v>
      </c>
      <c r="J130" s="9" t="s">
        <v>276</v>
      </c>
      <c r="K130" s="9" t="s">
        <v>276</v>
      </c>
      <c r="L130" s="3" t="s">
        <v>49</v>
      </c>
      <c r="M130" s="96">
        <v>46135</v>
      </c>
      <c r="N130" s="40"/>
      <c r="O130" s="43" t="s">
        <v>525</v>
      </c>
      <c r="P130" s="3"/>
      <c r="Q130" s="98"/>
      <c r="R130" s="41">
        <v>10</v>
      </c>
    </row>
    <row r="131" spans="1:18" ht="30" customHeight="1">
      <c r="A131" s="2">
        <v>129</v>
      </c>
      <c r="B131" s="95" t="s">
        <v>375</v>
      </c>
      <c r="C131" s="2" t="s">
        <v>517</v>
      </c>
      <c r="D131" s="3" t="s">
        <v>542</v>
      </c>
      <c r="E131" s="101"/>
      <c r="F131" s="96">
        <v>46099</v>
      </c>
      <c r="G131" s="9"/>
      <c r="H131" s="110" t="s">
        <v>276</v>
      </c>
      <c r="I131" s="110" t="s">
        <v>276</v>
      </c>
      <c r="J131" s="9" t="s">
        <v>276</v>
      </c>
      <c r="K131" s="9" t="s">
        <v>276</v>
      </c>
      <c r="L131" s="3" t="s">
        <v>49</v>
      </c>
      <c r="M131" s="96">
        <v>46136</v>
      </c>
      <c r="N131" s="13"/>
      <c r="O131" s="43" t="s">
        <v>526</v>
      </c>
      <c r="P131" s="3" t="s">
        <v>304</v>
      </c>
      <c r="Q131" s="98">
        <v>46139</v>
      </c>
      <c r="R131" s="32">
        <v>11</v>
      </c>
    </row>
    <row r="132" spans="1:18" ht="30" customHeight="1">
      <c r="A132" s="2">
        <v>130</v>
      </c>
      <c r="B132" s="95" t="s">
        <v>108</v>
      </c>
      <c r="C132" s="2" t="s">
        <v>550</v>
      </c>
      <c r="D132" s="3" t="s">
        <v>548</v>
      </c>
      <c r="E132" s="15"/>
      <c r="F132" s="96">
        <v>46109</v>
      </c>
      <c r="G132" s="39"/>
      <c r="H132" s="110" t="s">
        <v>276</v>
      </c>
      <c r="I132" s="110" t="s">
        <v>276</v>
      </c>
      <c r="J132" s="9" t="s">
        <v>276</v>
      </c>
      <c r="K132" s="9" t="s">
        <v>276</v>
      </c>
      <c r="L132" s="3" t="s">
        <v>49</v>
      </c>
      <c r="M132" s="96">
        <v>46136</v>
      </c>
      <c r="N132" s="13"/>
      <c r="O132" s="43" t="s">
        <v>527</v>
      </c>
      <c r="P132" s="3"/>
      <c r="Q132" s="98"/>
      <c r="R132" s="32">
        <v>10</v>
      </c>
    </row>
    <row r="133" spans="1:18" ht="30" customHeight="1">
      <c r="A133" s="2">
        <v>131</v>
      </c>
      <c r="B133" s="95" t="s">
        <v>389</v>
      </c>
      <c r="C133" s="2" t="s">
        <v>501</v>
      </c>
      <c r="D133" s="3" t="s">
        <v>542</v>
      </c>
      <c r="E133" s="103"/>
      <c r="F133" s="96">
        <v>46130</v>
      </c>
      <c r="G133" s="9"/>
      <c r="H133" s="110" t="s">
        <v>276</v>
      </c>
      <c r="I133" s="110" t="s">
        <v>276</v>
      </c>
      <c r="J133" s="9" t="s">
        <v>276</v>
      </c>
      <c r="K133" s="9" t="s">
        <v>276</v>
      </c>
      <c r="L133" s="3" t="s">
        <v>49</v>
      </c>
      <c r="M133" s="96">
        <v>46137</v>
      </c>
      <c r="N133" s="13"/>
      <c r="O133" s="43" t="s">
        <v>519</v>
      </c>
      <c r="P133" s="3" t="s">
        <v>304</v>
      </c>
      <c r="Q133" s="98">
        <v>46145</v>
      </c>
      <c r="R133" s="32">
        <v>11</v>
      </c>
    </row>
    <row r="134" spans="1:18" ht="30" customHeight="1">
      <c r="A134" s="2">
        <v>132</v>
      </c>
      <c r="B134" s="108" t="s">
        <v>369</v>
      </c>
      <c r="C134" s="2" t="s">
        <v>504</v>
      </c>
      <c r="D134" s="3" t="s">
        <v>542</v>
      </c>
      <c r="E134" s="103"/>
      <c r="F134" s="96">
        <v>46119</v>
      </c>
      <c r="G134" s="9"/>
      <c r="H134" s="110" t="s">
        <v>276</v>
      </c>
      <c r="I134" s="110" t="s">
        <v>276</v>
      </c>
      <c r="J134" s="9" t="s">
        <v>276</v>
      </c>
      <c r="K134" s="9" t="s">
        <v>276</v>
      </c>
      <c r="L134" s="3" t="s">
        <v>49</v>
      </c>
      <c r="M134" s="96">
        <v>46140</v>
      </c>
      <c r="N134" s="13"/>
      <c r="O134" s="43" t="s">
        <v>523</v>
      </c>
      <c r="P134" s="3" t="s">
        <v>304</v>
      </c>
      <c r="Q134" s="98">
        <v>46140</v>
      </c>
      <c r="R134" s="32">
        <v>11</v>
      </c>
    </row>
    <row r="135" spans="1:18" ht="30" customHeight="1">
      <c r="A135" s="2">
        <v>133</v>
      </c>
      <c r="B135" s="95" t="s">
        <v>376</v>
      </c>
      <c r="C135" s="2" t="s">
        <v>504</v>
      </c>
      <c r="D135" s="3" t="s">
        <v>542</v>
      </c>
      <c r="E135" s="103"/>
      <c r="F135" s="96">
        <v>46133</v>
      </c>
      <c r="G135" s="9"/>
      <c r="H135" s="110" t="s">
        <v>276</v>
      </c>
      <c r="I135" s="110" t="s">
        <v>276</v>
      </c>
      <c r="J135" s="9" t="s">
        <v>276</v>
      </c>
      <c r="K135" s="9" t="s">
        <v>276</v>
      </c>
      <c r="L135" s="3" t="s">
        <v>49</v>
      </c>
      <c r="M135" s="96">
        <v>46142</v>
      </c>
      <c r="N135" s="13"/>
      <c r="O135" s="43" t="s">
        <v>526</v>
      </c>
      <c r="P135" s="3" t="s">
        <v>304</v>
      </c>
      <c r="Q135" s="98">
        <v>46144</v>
      </c>
      <c r="R135" s="32">
        <v>11</v>
      </c>
    </row>
    <row r="136" spans="1:18" ht="30" customHeight="1">
      <c r="A136" s="2">
        <v>134</v>
      </c>
      <c r="B136" s="95" t="s">
        <v>395</v>
      </c>
      <c r="C136" s="2" t="s">
        <v>517</v>
      </c>
      <c r="D136" s="3" t="s">
        <v>542</v>
      </c>
      <c r="E136" s="101"/>
      <c r="F136" s="96">
        <v>46130</v>
      </c>
      <c r="G136" s="9"/>
      <c r="H136" s="110" t="s">
        <v>276</v>
      </c>
      <c r="I136" s="110" t="s">
        <v>276</v>
      </c>
      <c r="J136" s="9" t="s">
        <v>276</v>
      </c>
      <c r="K136" s="9" t="s">
        <v>276</v>
      </c>
      <c r="L136" s="3" t="s">
        <v>49</v>
      </c>
      <c r="M136" s="96">
        <v>46142</v>
      </c>
      <c r="N136" s="13"/>
      <c r="O136" s="43" t="s">
        <v>519</v>
      </c>
      <c r="P136" s="3" t="s">
        <v>304</v>
      </c>
      <c r="Q136" s="98">
        <v>46162</v>
      </c>
      <c r="R136" s="32">
        <v>11</v>
      </c>
    </row>
    <row r="137" spans="1:18" ht="30" customHeight="1">
      <c r="A137" s="2">
        <v>135</v>
      </c>
      <c r="B137" s="100" t="s">
        <v>97</v>
      </c>
      <c r="C137" s="2" t="s">
        <v>551</v>
      </c>
      <c r="D137" s="3" t="s">
        <v>542</v>
      </c>
      <c r="E137" s="15"/>
      <c r="F137" s="96">
        <v>46101</v>
      </c>
      <c r="G137" s="39"/>
      <c r="H137" s="110" t="s">
        <v>276</v>
      </c>
      <c r="I137" s="110" t="s">
        <v>276</v>
      </c>
      <c r="J137" s="9" t="s">
        <v>276</v>
      </c>
      <c r="K137" s="9" t="s">
        <v>276</v>
      </c>
      <c r="L137" s="3" t="s">
        <v>49</v>
      </c>
      <c r="M137" s="96">
        <v>46142</v>
      </c>
      <c r="N137" s="13"/>
      <c r="O137" s="43" t="s">
        <v>511</v>
      </c>
      <c r="P137" s="3"/>
      <c r="Q137" s="98"/>
      <c r="R137" s="32">
        <v>10</v>
      </c>
    </row>
    <row r="138" spans="1:18" ht="30" customHeight="1">
      <c r="A138" s="2">
        <v>136</v>
      </c>
      <c r="B138" s="95" t="s">
        <v>110</v>
      </c>
      <c r="C138" s="2" t="s">
        <v>547</v>
      </c>
      <c r="D138" s="3" t="s">
        <v>548</v>
      </c>
      <c r="E138" s="104"/>
      <c r="F138" s="96">
        <v>46111</v>
      </c>
      <c r="G138" s="105"/>
      <c r="H138" s="110" t="s">
        <v>276</v>
      </c>
      <c r="I138" s="110" t="s">
        <v>276</v>
      </c>
      <c r="J138" s="9" t="s">
        <v>276</v>
      </c>
      <c r="K138" s="9" t="s">
        <v>276</v>
      </c>
      <c r="L138" s="3" t="s">
        <v>49</v>
      </c>
      <c r="M138" s="96">
        <v>46142</v>
      </c>
      <c r="N138" s="106"/>
      <c r="O138" s="43" t="s">
        <v>521</v>
      </c>
      <c r="P138" s="3" t="s">
        <v>304</v>
      </c>
      <c r="Q138" s="98">
        <v>46144</v>
      </c>
      <c r="R138" s="32">
        <v>10</v>
      </c>
    </row>
    <row r="139" spans="1:18" ht="30" customHeight="1">
      <c r="A139" s="2">
        <v>137</v>
      </c>
      <c r="B139" s="95" t="s">
        <v>377</v>
      </c>
      <c r="C139" s="2" t="s">
        <v>517</v>
      </c>
      <c r="D139" s="3" t="s">
        <v>542</v>
      </c>
      <c r="E139" s="103"/>
      <c r="F139" s="96">
        <v>46135</v>
      </c>
      <c r="G139" s="9"/>
      <c r="H139" s="110" t="s">
        <v>276</v>
      </c>
      <c r="I139" s="110" t="s">
        <v>276</v>
      </c>
      <c r="J139" s="9" t="s">
        <v>276</v>
      </c>
      <c r="K139" s="9" t="s">
        <v>276</v>
      </c>
      <c r="L139" s="3" t="s">
        <v>49</v>
      </c>
      <c r="M139" s="96">
        <v>46146</v>
      </c>
      <c r="N139" s="13"/>
      <c r="O139" s="43" t="s">
        <v>526</v>
      </c>
      <c r="P139" s="3" t="s">
        <v>304</v>
      </c>
      <c r="Q139" s="98">
        <v>46146</v>
      </c>
      <c r="R139" s="32">
        <v>10</v>
      </c>
    </row>
    <row r="140" spans="1:18" ht="30" customHeight="1">
      <c r="A140" s="2">
        <v>138</v>
      </c>
      <c r="B140" s="95" t="s">
        <v>419</v>
      </c>
      <c r="C140" s="2" t="s">
        <v>552</v>
      </c>
      <c r="D140" s="3" t="s">
        <v>542</v>
      </c>
      <c r="E140" s="101"/>
      <c r="F140" s="96">
        <v>46136</v>
      </c>
      <c r="G140" s="9"/>
      <c r="H140" s="110" t="s">
        <v>276</v>
      </c>
      <c r="I140" s="110" t="s">
        <v>276</v>
      </c>
      <c r="J140" s="9" t="s">
        <v>276</v>
      </c>
      <c r="K140" s="9" t="s">
        <v>276</v>
      </c>
      <c r="L140" s="3" t="s">
        <v>49</v>
      </c>
      <c r="M140" s="96">
        <v>46146</v>
      </c>
      <c r="N140" s="13"/>
      <c r="O140" s="43" t="s">
        <v>525</v>
      </c>
      <c r="P140" s="3"/>
      <c r="Q140" s="98"/>
      <c r="R140" s="32">
        <v>10</v>
      </c>
    </row>
    <row r="141" spans="1:18" ht="30" customHeight="1">
      <c r="A141" s="2">
        <v>139</v>
      </c>
      <c r="B141" s="95" t="s">
        <v>111</v>
      </c>
      <c r="C141" s="2" t="s">
        <v>501</v>
      </c>
      <c r="D141" s="3" t="s">
        <v>542</v>
      </c>
      <c r="E141" s="104"/>
      <c r="F141" s="96">
        <v>46135</v>
      </c>
      <c r="G141" s="105"/>
      <c r="H141" s="110" t="s">
        <v>276</v>
      </c>
      <c r="I141" s="110" t="s">
        <v>276</v>
      </c>
      <c r="J141" s="9" t="s">
        <v>276</v>
      </c>
      <c r="K141" s="9" t="s">
        <v>276</v>
      </c>
      <c r="L141" s="3" t="s">
        <v>49</v>
      </c>
      <c r="M141" s="96">
        <v>46146</v>
      </c>
      <c r="N141" s="106"/>
      <c r="O141" s="43" t="s">
        <v>521</v>
      </c>
      <c r="P141" s="3"/>
      <c r="Q141" s="98"/>
      <c r="R141" s="32">
        <v>10</v>
      </c>
    </row>
    <row r="142" spans="1:18" ht="30" customHeight="1">
      <c r="A142" s="2">
        <v>140</v>
      </c>
      <c r="B142" s="95" t="s">
        <v>415</v>
      </c>
      <c r="C142" s="2" t="s">
        <v>553</v>
      </c>
      <c r="D142" s="3" t="s">
        <v>542</v>
      </c>
      <c r="E142" s="103"/>
      <c r="F142" s="96">
        <v>46108</v>
      </c>
      <c r="G142" s="9"/>
      <c r="H142" s="110" t="s">
        <v>276</v>
      </c>
      <c r="I142" s="110" t="s">
        <v>276</v>
      </c>
      <c r="J142" s="9" t="s">
        <v>276</v>
      </c>
      <c r="K142" s="9" t="s">
        <v>276</v>
      </c>
      <c r="L142" s="3" t="s">
        <v>49</v>
      </c>
      <c r="M142" s="96">
        <v>46148</v>
      </c>
      <c r="N142" s="13"/>
      <c r="O142" s="43" t="s">
        <v>528</v>
      </c>
      <c r="P142" s="3"/>
      <c r="Q142" s="98"/>
      <c r="R142" s="32">
        <v>10</v>
      </c>
    </row>
    <row r="143" spans="1:18" ht="30" customHeight="1">
      <c r="A143" s="2">
        <v>141</v>
      </c>
      <c r="B143" s="108" t="s">
        <v>370</v>
      </c>
      <c r="C143" s="2" t="s">
        <v>504</v>
      </c>
      <c r="D143" s="3" t="s">
        <v>542</v>
      </c>
      <c r="E143" s="103"/>
      <c r="F143" s="96">
        <v>46143</v>
      </c>
      <c r="G143" s="9"/>
      <c r="H143" s="110" t="s">
        <v>276</v>
      </c>
      <c r="I143" s="110" t="s">
        <v>276</v>
      </c>
      <c r="J143" s="9" t="s">
        <v>276</v>
      </c>
      <c r="K143" s="9" t="s">
        <v>276</v>
      </c>
      <c r="L143" s="3" t="s">
        <v>49</v>
      </c>
      <c r="M143" s="96">
        <v>46150</v>
      </c>
      <c r="N143" s="13"/>
      <c r="O143" s="43" t="s">
        <v>526</v>
      </c>
      <c r="P143" s="3" t="s">
        <v>304</v>
      </c>
      <c r="Q143" s="98">
        <v>46165</v>
      </c>
      <c r="R143" s="32">
        <v>10</v>
      </c>
    </row>
    <row r="144" spans="1:18" ht="30" customHeight="1">
      <c r="A144" s="2">
        <v>142</v>
      </c>
      <c r="B144" s="100" t="s">
        <v>5</v>
      </c>
      <c r="C144" s="2" t="s">
        <v>554</v>
      </c>
      <c r="D144" s="3" t="s">
        <v>542</v>
      </c>
      <c r="E144" s="15"/>
      <c r="F144" s="96">
        <v>46141</v>
      </c>
      <c r="G144" s="39"/>
      <c r="H144" s="110" t="s">
        <v>276</v>
      </c>
      <c r="I144" s="110" t="s">
        <v>276</v>
      </c>
      <c r="J144" s="9" t="s">
        <v>276</v>
      </c>
      <c r="K144" s="9" t="s">
        <v>276</v>
      </c>
      <c r="L144" s="3" t="s">
        <v>49</v>
      </c>
      <c r="M144" s="96">
        <v>46154</v>
      </c>
      <c r="N144" s="13"/>
      <c r="O144" s="43" t="s">
        <v>525</v>
      </c>
      <c r="P144" s="3"/>
      <c r="Q144" s="98"/>
      <c r="R144" s="32">
        <v>10</v>
      </c>
    </row>
    <row r="145" spans="1:18" ht="30" customHeight="1">
      <c r="A145" s="2">
        <v>143</v>
      </c>
      <c r="B145" s="95" t="s">
        <v>392</v>
      </c>
      <c r="C145" s="2" t="s">
        <v>553</v>
      </c>
      <c r="D145" s="3" t="s">
        <v>542</v>
      </c>
      <c r="E145" s="101"/>
      <c r="F145" s="96">
        <v>46137</v>
      </c>
      <c r="G145" s="9"/>
      <c r="H145" s="110" t="s">
        <v>276</v>
      </c>
      <c r="I145" s="110" t="s">
        <v>276</v>
      </c>
      <c r="J145" s="9" t="s">
        <v>276</v>
      </c>
      <c r="K145" s="9" t="s">
        <v>276</v>
      </c>
      <c r="L145" s="3" t="s">
        <v>49</v>
      </c>
      <c r="M145" s="96">
        <v>46157</v>
      </c>
      <c r="N145" s="13"/>
      <c r="O145" s="43" t="s">
        <v>529</v>
      </c>
      <c r="P145" s="3"/>
      <c r="Q145" s="98"/>
      <c r="R145" s="32">
        <v>10</v>
      </c>
    </row>
    <row r="146" spans="1:18" ht="30" customHeight="1">
      <c r="A146" s="2">
        <v>144</v>
      </c>
      <c r="B146" s="95" t="s">
        <v>10</v>
      </c>
      <c r="C146" s="2" t="s">
        <v>555</v>
      </c>
      <c r="D146" s="3" t="s">
        <v>548</v>
      </c>
      <c r="E146" s="15"/>
      <c r="F146" s="96">
        <v>46128</v>
      </c>
      <c r="G146" s="39"/>
      <c r="H146" s="110" t="s">
        <v>276</v>
      </c>
      <c r="I146" s="110" t="s">
        <v>276</v>
      </c>
      <c r="J146" s="9" t="s">
        <v>276</v>
      </c>
      <c r="K146" s="9" t="s">
        <v>276</v>
      </c>
      <c r="L146" s="3" t="s">
        <v>49</v>
      </c>
      <c r="M146" s="96">
        <v>46161</v>
      </c>
      <c r="N146" s="13"/>
      <c r="O146" s="43" t="s">
        <v>527</v>
      </c>
      <c r="P146" s="3"/>
      <c r="Q146" s="98"/>
      <c r="R146" s="32">
        <v>10</v>
      </c>
    </row>
    <row r="147" spans="1:18" ht="30" customHeight="1">
      <c r="A147" s="2">
        <v>145</v>
      </c>
      <c r="B147" s="95" t="s">
        <v>378</v>
      </c>
      <c r="C147" s="2" t="s">
        <v>501</v>
      </c>
      <c r="D147" s="3" t="s">
        <v>505</v>
      </c>
      <c r="E147" s="103"/>
      <c r="F147" s="96">
        <v>46146</v>
      </c>
      <c r="G147" s="9"/>
      <c r="H147" s="110" t="s">
        <v>276</v>
      </c>
      <c r="I147" s="110" t="s">
        <v>276</v>
      </c>
      <c r="J147" s="9" t="s">
        <v>276</v>
      </c>
      <c r="K147" s="9" t="s">
        <v>276</v>
      </c>
      <c r="L147" s="3" t="s">
        <v>49</v>
      </c>
      <c r="M147" s="96">
        <v>46163</v>
      </c>
      <c r="N147" s="13"/>
      <c r="O147" s="43" t="s">
        <v>526</v>
      </c>
      <c r="P147" s="3" t="s">
        <v>304</v>
      </c>
      <c r="Q147" s="98">
        <v>46179</v>
      </c>
      <c r="R147" s="32">
        <v>10</v>
      </c>
    </row>
    <row r="148" spans="1:18" ht="30" customHeight="1">
      <c r="A148" s="2">
        <v>146</v>
      </c>
      <c r="B148" s="95" t="s">
        <v>409</v>
      </c>
      <c r="C148" s="2" t="s">
        <v>504</v>
      </c>
      <c r="D148" s="3" t="s">
        <v>548</v>
      </c>
      <c r="E148" s="103"/>
      <c r="F148" s="96">
        <v>46133</v>
      </c>
      <c r="G148" s="9"/>
      <c r="H148" s="110" t="s">
        <v>276</v>
      </c>
      <c r="I148" s="110" t="s">
        <v>276</v>
      </c>
      <c r="J148" s="9" t="s">
        <v>276</v>
      </c>
      <c r="K148" s="9" t="s">
        <v>276</v>
      </c>
      <c r="L148" s="3" t="s">
        <v>49</v>
      </c>
      <c r="M148" s="96">
        <v>46165</v>
      </c>
      <c r="N148" s="13"/>
      <c r="O148" s="43" t="s">
        <v>530</v>
      </c>
      <c r="P148" s="3" t="s">
        <v>304</v>
      </c>
      <c r="Q148" s="98">
        <v>46177</v>
      </c>
      <c r="R148" s="32">
        <v>10</v>
      </c>
    </row>
    <row r="149" spans="1:18" ht="30" customHeight="1">
      <c r="A149" s="2">
        <v>147</v>
      </c>
      <c r="B149" s="95" t="s">
        <v>425</v>
      </c>
      <c r="C149" s="2" t="s">
        <v>547</v>
      </c>
      <c r="D149" s="3" t="s">
        <v>556</v>
      </c>
      <c r="E149" s="103"/>
      <c r="F149" s="96">
        <v>46131</v>
      </c>
      <c r="G149" s="9"/>
      <c r="H149" s="110" t="s">
        <v>276</v>
      </c>
      <c r="I149" s="110" t="s">
        <v>276</v>
      </c>
      <c r="J149" s="9" t="s">
        <v>276</v>
      </c>
      <c r="K149" s="9" t="s">
        <v>276</v>
      </c>
      <c r="L149" s="3" t="s">
        <v>49</v>
      </c>
      <c r="M149" s="96">
        <v>46165</v>
      </c>
      <c r="N149" s="13"/>
      <c r="O149" s="43" t="s">
        <v>525</v>
      </c>
      <c r="P149" s="3"/>
      <c r="Q149" s="98"/>
      <c r="R149" s="32">
        <v>10</v>
      </c>
    </row>
    <row r="150" spans="1:18" ht="30" customHeight="1">
      <c r="A150" s="2">
        <v>148</v>
      </c>
      <c r="B150" s="95" t="s">
        <v>448</v>
      </c>
      <c r="C150" s="2" t="s">
        <v>547</v>
      </c>
      <c r="D150" s="3" t="s">
        <v>542</v>
      </c>
      <c r="E150" s="15"/>
      <c r="F150" s="96">
        <v>46147</v>
      </c>
      <c r="G150" s="37"/>
      <c r="H150" s="110" t="s">
        <v>276</v>
      </c>
      <c r="I150" s="110" t="s">
        <v>276</v>
      </c>
      <c r="J150" s="9" t="s">
        <v>276</v>
      </c>
      <c r="K150" s="9" t="s">
        <v>276</v>
      </c>
      <c r="L150" s="3" t="s">
        <v>49</v>
      </c>
      <c r="M150" s="96">
        <v>46165</v>
      </c>
      <c r="N150" s="13"/>
      <c r="O150" s="43" t="s">
        <v>525</v>
      </c>
      <c r="P150" s="3"/>
      <c r="Q150" s="98"/>
      <c r="R150" s="32">
        <v>10</v>
      </c>
    </row>
    <row r="151" spans="1:18" ht="30" customHeight="1">
      <c r="A151" s="2">
        <v>149</v>
      </c>
      <c r="B151" s="95" t="s">
        <v>397</v>
      </c>
      <c r="C151" s="2" t="s">
        <v>551</v>
      </c>
      <c r="D151" s="3" t="s">
        <v>542</v>
      </c>
      <c r="E151" s="101"/>
      <c r="F151" s="96">
        <v>46142</v>
      </c>
      <c r="G151" s="9"/>
      <c r="H151" s="110" t="s">
        <v>276</v>
      </c>
      <c r="I151" s="110" t="s">
        <v>276</v>
      </c>
      <c r="J151" s="9" t="s">
        <v>276</v>
      </c>
      <c r="K151" s="9" t="s">
        <v>276</v>
      </c>
      <c r="L151" s="3" t="s">
        <v>49</v>
      </c>
      <c r="M151" s="96">
        <v>46166</v>
      </c>
      <c r="N151" s="13"/>
      <c r="O151" s="43" t="s">
        <v>529</v>
      </c>
      <c r="P151" s="3" t="s">
        <v>304</v>
      </c>
      <c r="Q151" s="98">
        <v>46175</v>
      </c>
      <c r="R151" s="32">
        <v>10</v>
      </c>
    </row>
    <row r="152" spans="1:18" ht="30" customHeight="1">
      <c r="A152" s="2">
        <v>150</v>
      </c>
      <c r="B152" s="95" t="s">
        <v>405</v>
      </c>
      <c r="C152" s="2" t="s">
        <v>504</v>
      </c>
      <c r="D152" s="3" t="s">
        <v>513</v>
      </c>
      <c r="E152" s="101"/>
      <c r="F152" s="96">
        <v>46128</v>
      </c>
      <c r="G152" s="9"/>
      <c r="H152" s="110" t="s">
        <v>276</v>
      </c>
      <c r="I152" s="110" t="s">
        <v>276</v>
      </c>
      <c r="J152" s="9" t="s">
        <v>276</v>
      </c>
      <c r="K152" s="9" t="s">
        <v>276</v>
      </c>
      <c r="L152" s="3" t="s">
        <v>49</v>
      </c>
      <c r="M152" s="96">
        <v>46168</v>
      </c>
      <c r="N152" s="13"/>
      <c r="O152" s="43" t="s">
        <v>531</v>
      </c>
      <c r="P152" s="3"/>
      <c r="Q152" s="98"/>
      <c r="R152" s="32">
        <v>10</v>
      </c>
    </row>
    <row r="153" spans="1:18" ht="30" customHeight="1">
      <c r="A153" s="2">
        <v>151</v>
      </c>
      <c r="B153" s="95" t="s">
        <v>379</v>
      </c>
      <c r="C153" s="2" t="s">
        <v>509</v>
      </c>
      <c r="D153" s="3" t="s">
        <v>542</v>
      </c>
      <c r="E153" s="101"/>
      <c r="F153" s="96">
        <v>46161</v>
      </c>
      <c r="G153" s="9"/>
      <c r="H153" s="110" t="s">
        <v>276</v>
      </c>
      <c r="I153" s="110" t="s">
        <v>276</v>
      </c>
      <c r="J153" s="9" t="s">
        <v>276</v>
      </c>
      <c r="K153" s="9" t="s">
        <v>276</v>
      </c>
      <c r="L153" s="3" t="s">
        <v>49</v>
      </c>
      <c r="M153" s="96">
        <v>46169</v>
      </c>
      <c r="N153" s="13"/>
      <c r="O153" s="43" t="s">
        <v>526</v>
      </c>
      <c r="P153" s="3" t="s">
        <v>304</v>
      </c>
      <c r="Q153" s="98">
        <v>46179</v>
      </c>
      <c r="R153" s="32">
        <v>10</v>
      </c>
    </row>
    <row r="154" spans="1:18" ht="30" customHeight="1">
      <c r="A154" s="2">
        <v>152</v>
      </c>
      <c r="B154" s="95" t="s">
        <v>396</v>
      </c>
      <c r="C154" s="2" t="s">
        <v>557</v>
      </c>
      <c r="D154" s="3" t="s">
        <v>548</v>
      </c>
      <c r="E154" s="101"/>
      <c r="F154" s="96">
        <v>46144</v>
      </c>
      <c r="G154" s="9"/>
      <c r="H154" s="110" t="s">
        <v>276</v>
      </c>
      <c r="I154" s="110" t="s">
        <v>276</v>
      </c>
      <c r="J154" s="9" t="s">
        <v>276</v>
      </c>
      <c r="K154" s="9" t="s">
        <v>276</v>
      </c>
      <c r="L154" s="3" t="s">
        <v>49</v>
      </c>
      <c r="M154" s="96">
        <v>46171</v>
      </c>
      <c r="N154" s="13"/>
      <c r="O154" s="43" t="s">
        <v>529</v>
      </c>
      <c r="P154" s="3" t="s">
        <v>304</v>
      </c>
      <c r="Q154" s="98">
        <v>46175</v>
      </c>
      <c r="R154" s="32">
        <v>10</v>
      </c>
    </row>
    <row r="155" spans="1:18" ht="30" customHeight="1">
      <c r="A155" s="2">
        <v>153</v>
      </c>
      <c r="B155" s="95" t="s">
        <v>101</v>
      </c>
      <c r="C155" s="2" t="s">
        <v>504</v>
      </c>
      <c r="D155" s="3" t="s">
        <v>542</v>
      </c>
      <c r="E155" s="15"/>
      <c r="F155" s="96">
        <v>46147</v>
      </c>
      <c r="G155" s="39"/>
      <c r="H155" s="110" t="s">
        <v>276</v>
      </c>
      <c r="I155" s="110" t="s">
        <v>276</v>
      </c>
      <c r="J155" s="9" t="s">
        <v>276</v>
      </c>
      <c r="K155" s="9" t="s">
        <v>276</v>
      </c>
      <c r="L155" s="3" t="s">
        <v>49</v>
      </c>
      <c r="M155" s="96">
        <v>46172</v>
      </c>
      <c r="N155" s="13"/>
      <c r="O155" s="43" t="s">
        <v>521</v>
      </c>
      <c r="P155" s="3"/>
      <c r="Q155" s="98"/>
      <c r="R155" s="32">
        <v>10</v>
      </c>
    </row>
    <row r="156" spans="1:18" ht="30" customHeight="1">
      <c r="A156" s="2">
        <v>154</v>
      </c>
      <c r="B156" s="95" t="s">
        <v>382</v>
      </c>
      <c r="C156" s="2" t="s">
        <v>504</v>
      </c>
      <c r="D156" s="3" t="s">
        <v>542</v>
      </c>
      <c r="E156" s="101"/>
      <c r="F156" s="96">
        <v>46163</v>
      </c>
      <c r="G156" s="9"/>
      <c r="H156" s="110" t="s">
        <v>276</v>
      </c>
      <c r="I156" s="110" t="s">
        <v>276</v>
      </c>
      <c r="J156" s="9" t="s">
        <v>276</v>
      </c>
      <c r="K156" s="9" t="s">
        <v>276</v>
      </c>
      <c r="L156" s="3" t="s">
        <v>49</v>
      </c>
      <c r="M156" s="96">
        <v>46173</v>
      </c>
      <c r="N156" s="13"/>
      <c r="O156" s="43" t="s">
        <v>526</v>
      </c>
      <c r="P156" s="3" t="s">
        <v>304</v>
      </c>
      <c r="Q156" s="98">
        <v>46179</v>
      </c>
      <c r="R156" s="32">
        <v>10</v>
      </c>
    </row>
    <row r="157" spans="1:18" ht="30" customHeight="1">
      <c r="A157" s="2">
        <v>155</v>
      </c>
      <c r="B157" s="108" t="s">
        <v>366</v>
      </c>
      <c r="C157" s="2" t="s">
        <v>501</v>
      </c>
      <c r="D157" s="3" t="s">
        <v>548</v>
      </c>
      <c r="E157" s="103"/>
      <c r="F157" s="96">
        <v>46167</v>
      </c>
      <c r="G157" s="9"/>
      <c r="H157" s="110" t="s">
        <v>276</v>
      </c>
      <c r="I157" s="110" t="s">
        <v>276</v>
      </c>
      <c r="J157" s="9" t="s">
        <v>276</v>
      </c>
      <c r="K157" s="9" t="s">
        <v>276</v>
      </c>
      <c r="L157" s="3" t="s">
        <v>49</v>
      </c>
      <c r="M157" s="96">
        <v>46174</v>
      </c>
      <c r="N157" s="13"/>
      <c r="O157" s="43" t="s">
        <v>529</v>
      </c>
      <c r="P157" s="3"/>
      <c r="Q157" s="98"/>
      <c r="R157" s="32">
        <v>10</v>
      </c>
    </row>
    <row r="158" spans="1:18" ht="30" customHeight="1">
      <c r="A158" s="2">
        <v>156</v>
      </c>
      <c r="B158" s="95" t="s">
        <v>414</v>
      </c>
      <c r="C158" s="2" t="s">
        <v>549</v>
      </c>
      <c r="D158" s="3" t="s">
        <v>548</v>
      </c>
      <c r="E158" s="103"/>
      <c r="F158" s="96">
        <v>46130</v>
      </c>
      <c r="G158" s="9"/>
      <c r="H158" s="110" t="s">
        <v>276</v>
      </c>
      <c r="I158" s="110" t="s">
        <v>276</v>
      </c>
      <c r="J158" s="9" t="s">
        <v>276</v>
      </c>
      <c r="K158" s="9" t="s">
        <v>276</v>
      </c>
      <c r="L158" s="3" t="s">
        <v>49</v>
      </c>
      <c r="M158" s="96">
        <v>46174</v>
      </c>
      <c r="N158" s="13"/>
      <c r="O158" s="43" t="s">
        <v>530</v>
      </c>
      <c r="P158" s="3" t="s">
        <v>304</v>
      </c>
      <c r="Q158" s="98">
        <v>46175</v>
      </c>
      <c r="R158" s="32">
        <v>10</v>
      </c>
    </row>
    <row r="159" spans="1:18" ht="27" customHeight="1">
      <c r="A159" s="2">
        <v>157</v>
      </c>
      <c r="B159" s="95" t="s">
        <v>444</v>
      </c>
      <c r="C159" s="2" t="s">
        <v>558</v>
      </c>
      <c r="D159" s="3" t="s">
        <v>542</v>
      </c>
      <c r="E159" s="15"/>
      <c r="F159" s="96">
        <v>46166</v>
      </c>
      <c r="G159" s="37"/>
      <c r="H159" s="110" t="s">
        <v>276</v>
      </c>
      <c r="I159" s="110" t="s">
        <v>276</v>
      </c>
      <c r="J159" s="9" t="s">
        <v>276</v>
      </c>
      <c r="K159" s="9" t="s">
        <v>276</v>
      </c>
      <c r="L159" s="3" t="s">
        <v>49</v>
      </c>
      <c r="M159" s="96">
        <v>46176</v>
      </c>
      <c r="N159" s="13"/>
      <c r="O159" s="43" t="s">
        <v>511</v>
      </c>
      <c r="P159" s="3" t="s">
        <v>304</v>
      </c>
      <c r="Q159" s="98">
        <v>46182</v>
      </c>
      <c r="R159" s="32">
        <v>10</v>
      </c>
    </row>
    <row r="160" spans="1:18" ht="27" customHeight="1">
      <c r="A160" s="2">
        <v>158</v>
      </c>
      <c r="B160" s="95" t="s">
        <v>498</v>
      </c>
      <c r="C160" s="2" t="s">
        <v>559</v>
      </c>
      <c r="D160" s="3" t="s">
        <v>542</v>
      </c>
      <c r="E160" s="101"/>
      <c r="F160" s="96">
        <v>46159</v>
      </c>
      <c r="G160" s="9"/>
      <c r="H160" s="110" t="s">
        <v>276</v>
      </c>
      <c r="I160" s="110" t="s">
        <v>276</v>
      </c>
      <c r="J160" s="110" t="s">
        <v>276</v>
      </c>
      <c r="K160" s="110" t="s">
        <v>276</v>
      </c>
      <c r="L160" s="3" t="s">
        <v>49</v>
      </c>
      <c r="M160" s="96">
        <v>46177</v>
      </c>
      <c r="N160" s="13"/>
      <c r="O160" s="43" t="s">
        <v>529</v>
      </c>
      <c r="P160" s="3" t="s">
        <v>304</v>
      </c>
      <c r="Q160" s="98">
        <v>46183</v>
      </c>
      <c r="R160" s="32">
        <v>10</v>
      </c>
    </row>
    <row r="161" spans="1:18" ht="27" customHeight="1">
      <c r="A161" s="2">
        <v>159</v>
      </c>
      <c r="B161" s="95" t="s">
        <v>500</v>
      </c>
      <c r="C161" s="2" t="s">
        <v>509</v>
      </c>
      <c r="D161" s="3" t="s">
        <v>542</v>
      </c>
      <c r="E161" s="15"/>
      <c r="F161" s="96">
        <v>46176</v>
      </c>
      <c r="G161" s="37"/>
      <c r="H161" s="110" t="s">
        <v>276</v>
      </c>
      <c r="I161" s="110" t="s">
        <v>276</v>
      </c>
      <c r="J161" s="110" t="s">
        <v>276</v>
      </c>
      <c r="K161" s="110" t="s">
        <v>276</v>
      </c>
      <c r="L161" s="3" t="s">
        <v>49</v>
      </c>
      <c r="M161" s="96">
        <v>46180</v>
      </c>
      <c r="N161" s="13"/>
      <c r="O161" s="43" t="s">
        <v>525</v>
      </c>
      <c r="P161" s="3"/>
      <c r="Q161" s="98"/>
      <c r="R161" s="32">
        <v>10</v>
      </c>
    </row>
    <row r="162" spans="1:18" ht="27.5" customHeight="1">
      <c r="A162" s="2">
        <v>160</v>
      </c>
      <c r="B162" s="95" t="s">
        <v>499</v>
      </c>
      <c r="C162" s="2" t="s">
        <v>509</v>
      </c>
      <c r="D162" s="3" t="s">
        <v>513</v>
      </c>
      <c r="E162" s="101"/>
      <c r="F162" s="96">
        <v>46171</v>
      </c>
      <c r="G162" s="9"/>
      <c r="H162" s="97" t="s">
        <v>276</v>
      </c>
      <c r="I162" s="97" t="s">
        <v>276</v>
      </c>
      <c r="J162" s="97" t="s">
        <v>276</v>
      </c>
      <c r="K162" s="97" t="s">
        <v>276</v>
      </c>
      <c r="L162" s="3" t="s">
        <v>49</v>
      </c>
      <c r="M162" s="96">
        <v>46182</v>
      </c>
      <c r="N162" s="13"/>
      <c r="O162" s="43" t="s">
        <v>533</v>
      </c>
      <c r="P162" s="3"/>
      <c r="Q162" s="98"/>
      <c r="R162" s="32">
        <v>10</v>
      </c>
    </row>
    <row r="163" spans="1:18" ht="28.5" customHeight="1">
      <c r="A163" s="2">
        <v>161</v>
      </c>
      <c r="B163" s="108" t="s">
        <v>494</v>
      </c>
      <c r="C163" s="2" t="s">
        <v>504</v>
      </c>
      <c r="D163" s="3" t="s">
        <v>542</v>
      </c>
      <c r="E163" s="109"/>
      <c r="F163" s="96">
        <v>46167</v>
      </c>
      <c r="G163" s="9"/>
      <c r="H163" s="97" t="s">
        <v>276</v>
      </c>
      <c r="I163" s="97" t="s">
        <v>276</v>
      </c>
      <c r="J163" s="97" t="s">
        <v>276</v>
      </c>
      <c r="K163" s="97" t="s">
        <v>276</v>
      </c>
      <c r="L163" s="3" t="s">
        <v>49</v>
      </c>
      <c r="M163" s="96">
        <v>46182</v>
      </c>
      <c r="N163" s="13"/>
      <c r="O163" s="43" t="s">
        <v>529</v>
      </c>
      <c r="P163" s="3" t="s">
        <v>304</v>
      </c>
      <c r="Q163" s="98">
        <v>46184</v>
      </c>
      <c r="R163" s="32">
        <v>10</v>
      </c>
    </row>
    <row r="164" spans="1:18" ht="28.5" customHeight="1">
      <c r="A164" s="2">
        <v>162</v>
      </c>
      <c r="B164" s="108" t="s">
        <v>496</v>
      </c>
      <c r="C164" s="2" t="s">
        <v>560</v>
      </c>
      <c r="D164" s="3" t="s">
        <v>542</v>
      </c>
      <c r="E164" s="103"/>
      <c r="F164" s="96">
        <v>46145</v>
      </c>
      <c r="G164" s="9"/>
      <c r="H164" s="97" t="s">
        <v>276</v>
      </c>
      <c r="I164" s="97" t="s">
        <v>276</v>
      </c>
      <c r="J164" s="97" t="s">
        <v>276</v>
      </c>
      <c r="K164" s="97" t="s">
        <v>276</v>
      </c>
      <c r="L164" s="3" t="s">
        <v>49</v>
      </c>
      <c r="M164" s="96">
        <v>46186</v>
      </c>
      <c r="N164" s="13"/>
      <c r="O164" s="43" t="s">
        <v>526</v>
      </c>
      <c r="P164" s="3" t="s">
        <v>304</v>
      </c>
      <c r="Q164" s="98">
        <v>46188</v>
      </c>
      <c r="R164" s="32">
        <v>10</v>
      </c>
    </row>
    <row r="165" spans="1:18" ht="28.5" customHeight="1">
      <c r="A165" s="2">
        <v>163</v>
      </c>
      <c r="B165" s="108" t="s">
        <v>495</v>
      </c>
      <c r="C165" s="2" t="s">
        <v>504</v>
      </c>
      <c r="D165" s="3" t="s">
        <v>542</v>
      </c>
      <c r="E165" s="15"/>
      <c r="F165" s="96">
        <v>46176</v>
      </c>
      <c r="G165" s="9"/>
      <c r="H165" s="97" t="s">
        <v>276</v>
      </c>
      <c r="I165" s="97" t="s">
        <v>276</v>
      </c>
      <c r="J165" s="97" t="s">
        <v>276</v>
      </c>
      <c r="K165" s="97" t="s">
        <v>276</v>
      </c>
      <c r="L165" s="3" t="s">
        <v>49</v>
      </c>
      <c r="M165" s="96">
        <v>46192</v>
      </c>
      <c r="N165" s="13"/>
      <c r="O165" s="43" t="s">
        <v>529</v>
      </c>
      <c r="P165" s="3" t="s">
        <v>304</v>
      </c>
      <c r="Q165" s="98">
        <v>46194</v>
      </c>
      <c r="R165" s="32">
        <v>10</v>
      </c>
    </row>
    <row r="166" spans="1:18" ht="28.5" customHeight="1">
      <c r="A166" s="2">
        <v>164</v>
      </c>
      <c r="B166" s="95" t="s">
        <v>497</v>
      </c>
      <c r="C166" s="2" t="s">
        <v>547</v>
      </c>
      <c r="D166" s="3" t="s">
        <v>542</v>
      </c>
      <c r="E166" s="101"/>
      <c r="F166" s="96">
        <v>46176</v>
      </c>
      <c r="G166" s="9"/>
      <c r="H166" s="97" t="s">
        <v>276</v>
      </c>
      <c r="I166" s="97" t="s">
        <v>276</v>
      </c>
      <c r="J166" s="97" t="s">
        <v>276</v>
      </c>
      <c r="K166" s="97" t="s">
        <v>276</v>
      </c>
      <c r="L166" s="3" t="s">
        <v>49</v>
      </c>
      <c r="M166" s="96">
        <v>46194</v>
      </c>
      <c r="N166" s="13"/>
      <c r="O166" s="43" t="s">
        <v>526</v>
      </c>
      <c r="P166" s="3" t="s">
        <v>304</v>
      </c>
      <c r="Q166" s="98">
        <v>46205</v>
      </c>
      <c r="R166" s="32">
        <v>10</v>
      </c>
    </row>
    <row r="167" spans="1:18" ht="27.5" customHeight="1">
      <c r="A167" s="2">
        <v>165</v>
      </c>
      <c r="B167" s="3" t="s">
        <v>576</v>
      </c>
      <c r="C167" s="2" t="s">
        <v>566</v>
      </c>
      <c r="D167" s="3" t="s">
        <v>542</v>
      </c>
      <c r="E167" s="104"/>
      <c r="F167" s="35">
        <v>46190</v>
      </c>
      <c r="G167" s="9"/>
      <c r="H167" s="111" t="s">
        <v>276</v>
      </c>
      <c r="I167" s="111" t="s">
        <v>276</v>
      </c>
      <c r="J167" s="111" t="s">
        <v>276</v>
      </c>
      <c r="K167" s="111" t="s">
        <v>276</v>
      </c>
      <c r="L167" s="3" t="s">
        <v>49</v>
      </c>
      <c r="M167" s="96">
        <v>46198</v>
      </c>
      <c r="N167" s="3"/>
      <c r="O167" s="43" t="s">
        <v>525</v>
      </c>
      <c r="P167" s="3" t="s">
        <v>304</v>
      </c>
      <c r="Q167" s="98">
        <v>46207</v>
      </c>
      <c r="R167" s="4">
        <v>7</v>
      </c>
    </row>
    <row r="168" spans="1:18" ht="27.5" customHeight="1">
      <c r="A168" s="2">
        <v>166</v>
      </c>
      <c r="B168" s="3" t="s">
        <v>570</v>
      </c>
      <c r="C168" s="2" t="s">
        <v>517</v>
      </c>
      <c r="D168" s="3" t="s">
        <v>542</v>
      </c>
      <c r="E168" s="104"/>
      <c r="F168" s="35">
        <v>46185</v>
      </c>
      <c r="G168" s="9"/>
      <c r="H168" s="111" t="s">
        <v>276</v>
      </c>
      <c r="I168" s="111" t="s">
        <v>276</v>
      </c>
      <c r="J168" s="111" t="s">
        <v>276</v>
      </c>
      <c r="K168" s="111" t="s">
        <v>276</v>
      </c>
      <c r="L168" s="3" t="s">
        <v>49</v>
      </c>
      <c r="M168" s="96">
        <v>46200</v>
      </c>
      <c r="N168" s="3"/>
      <c r="O168" s="43" t="s">
        <v>529</v>
      </c>
      <c r="P168" s="3" t="s">
        <v>304</v>
      </c>
      <c r="Q168" s="98">
        <v>46206</v>
      </c>
      <c r="R168" s="126" t="s">
        <v>586</v>
      </c>
    </row>
    <row r="169" spans="1:18" ht="27.5" customHeight="1">
      <c r="A169" s="2">
        <v>168</v>
      </c>
      <c r="B169" s="3" t="s">
        <v>574</v>
      </c>
      <c r="C169" s="2" t="s">
        <v>560</v>
      </c>
      <c r="D169" s="3" t="s">
        <v>542</v>
      </c>
      <c r="E169" s="104"/>
      <c r="F169" s="35">
        <v>46188</v>
      </c>
      <c r="G169" s="9"/>
      <c r="H169" s="111" t="s">
        <v>276</v>
      </c>
      <c r="I169" s="111" t="s">
        <v>276</v>
      </c>
      <c r="J169" s="111" t="s">
        <v>276</v>
      </c>
      <c r="K169" s="111" t="s">
        <v>276</v>
      </c>
      <c r="L169" s="3" t="s">
        <v>49</v>
      </c>
      <c r="M169" s="96">
        <v>46202</v>
      </c>
      <c r="N169" s="3"/>
      <c r="O169" s="43" t="s">
        <v>526</v>
      </c>
      <c r="P169" s="3" t="s">
        <v>304</v>
      </c>
      <c r="Q169" s="98">
        <v>46205</v>
      </c>
      <c r="R169" s="126" t="s">
        <v>586</v>
      </c>
    </row>
    <row r="170" spans="1:18" ht="27.5" customHeight="1">
      <c r="A170" s="2">
        <v>169</v>
      </c>
      <c r="B170" s="3" t="s">
        <v>572</v>
      </c>
      <c r="C170" s="2" t="s">
        <v>547</v>
      </c>
      <c r="D170" s="3" t="s">
        <v>542</v>
      </c>
      <c r="E170" s="104"/>
      <c r="F170" s="35">
        <v>411433</v>
      </c>
      <c r="G170" s="9"/>
      <c r="H170" s="111" t="s">
        <v>276</v>
      </c>
      <c r="I170" s="111" t="s">
        <v>276</v>
      </c>
      <c r="J170" s="111" t="s">
        <v>276</v>
      </c>
      <c r="K170" s="111" t="s">
        <v>276</v>
      </c>
      <c r="L170" s="2" t="s">
        <v>49</v>
      </c>
      <c r="M170" s="96">
        <v>46204</v>
      </c>
      <c r="N170" s="3"/>
      <c r="O170" s="43" t="s">
        <v>529</v>
      </c>
      <c r="P170" s="3" t="s">
        <v>304</v>
      </c>
      <c r="Q170" s="98">
        <v>46212</v>
      </c>
      <c r="R170" s="4">
        <v>6</v>
      </c>
    </row>
    <row r="171" spans="1:18" ht="27.5" customHeight="1">
      <c r="A171" s="2">
        <v>167</v>
      </c>
      <c r="B171" s="3" t="s">
        <v>571</v>
      </c>
      <c r="C171" s="2" t="s">
        <v>504</v>
      </c>
      <c r="D171" s="3" t="s">
        <v>542</v>
      </c>
      <c r="E171" s="104"/>
      <c r="F171" s="35">
        <v>46185</v>
      </c>
      <c r="G171" s="9"/>
      <c r="H171" s="111" t="s">
        <v>276</v>
      </c>
      <c r="I171" s="111" t="s">
        <v>276</v>
      </c>
      <c r="J171" s="111" t="s">
        <v>276</v>
      </c>
      <c r="K171" s="111" t="s">
        <v>276</v>
      </c>
      <c r="L171" s="2" t="s">
        <v>49</v>
      </c>
      <c r="M171" s="96">
        <v>46206</v>
      </c>
      <c r="N171" s="3"/>
      <c r="O171" s="43" t="s">
        <v>529</v>
      </c>
      <c r="P171" s="3" t="s">
        <v>304</v>
      </c>
      <c r="Q171" s="98">
        <v>46210</v>
      </c>
      <c r="R171" s="126" t="s">
        <v>586</v>
      </c>
    </row>
    <row r="172" spans="1:18" ht="27.5" hidden="1" customHeight="1">
      <c r="A172" s="2">
        <v>170</v>
      </c>
      <c r="B172" s="3" t="s">
        <v>540</v>
      </c>
      <c r="C172" s="2" t="s">
        <v>503</v>
      </c>
      <c r="D172" s="3" t="s">
        <v>542</v>
      </c>
      <c r="E172" s="104"/>
      <c r="F172" s="35">
        <v>46178</v>
      </c>
      <c r="G172" s="9" t="s">
        <v>94</v>
      </c>
      <c r="H172" s="111" t="s">
        <v>532</v>
      </c>
      <c r="I172" s="111" t="s">
        <v>532</v>
      </c>
      <c r="J172" s="111" t="s">
        <v>532</v>
      </c>
      <c r="K172" s="111" t="s">
        <v>532</v>
      </c>
      <c r="L172" s="2" t="s">
        <v>94</v>
      </c>
      <c r="M172" s="3"/>
      <c r="N172" s="3" t="s">
        <v>578</v>
      </c>
      <c r="O172" s="43" t="s">
        <v>529</v>
      </c>
      <c r="P172" s="3"/>
      <c r="Q172" s="98"/>
    </row>
    <row r="173" spans="1:18" ht="27.5" hidden="1" customHeight="1">
      <c r="A173" s="122"/>
      <c r="B173" s="91"/>
      <c r="C173" s="122"/>
      <c r="D173" s="91"/>
      <c r="F173" s="120"/>
      <c r="G173" s="123"/>
      <c r="H173" s="124"/>
      <c r="I173" s="124"/>
      <c r="J173" s="124"/>
      <c r="K173" s="124"/>
      <c r="L173" s="122"/>
      <c r="M173" s="91"/>
      <c r="N173" s="91"/>
      <c r="O173" s="125"/>
      <c r="P173" s="3"/>
      <c r="Q173" s="98"/>
    </row>
    <row r="174" spans="1:18" ht="27.5" customHeight="1">
      <c r="A174" s="2">
        <v>170</v>
      </c>
      <c r="B174" s="3" t="s">
        <v>573</v>
      </c>
      <c r="C174" s="2" t="s">
        <v>566</v>
      </c>
      <c r="D174" s="3" t="s">
        <v>544</v>
      </c>
      <c r="E174" s="104"/>
      <c r="F174" s="35">
        <v>46203</v>
      </c>
      <c r="G174" s="9"/>
      <c r="H174" s="111" t="s">
        <v>276</v>
      </c>
      <c r="I174" s="111" t="s">
        <v>276</v>
      </c>
      <c r="J174" s="111" t="s">
        <v>276</v>
      </c>
      <c r="K174" s="111" t="s">
        <v>276</v>
      </c>
      <c r="L174" s="2" t="s">
        <v>49</v>
      </c>
      <c r="M174" s="35">
        <v>46222</v>
      </c>
      <c r="N174" s="3"/>
      <c r="O174" s="43" t="s">
        <v>529</v>
      </c>
      <c r="P174" s="3" t="s">
        <v>304</v>
      </c>
      <c r="Q174" s="98">
        <v>46223</v>
      </c>
    </row>
    <row r="175" spans="1:18" ht="27.5" customHeight="1">
      <c r="A175" s="2">
        <v>171</v>
      </c>
      <c r="B175" s="3" t="s">
        <v>569</v>
      </c>
      <c r="C175" s="2" t="s">
        <v>558</v>
      </c>
      <c r="D175" s="3" t="s">
        <v>542</v>
      </c>
      <c r="E175" s="104"/>
      <c r="F175" s="35">
        <v>46203</v>
      </c>
      <c r="G175" s="9"/>
      <c r="H175" s="111" t="s">
        <v>276</v>
      </c>
      <c r="I175" s="111" t="s">
        <v>276</v>
      </c>
      <c r="J175" s="111" t="s">
        <v>276</v>
      </c>
      <c r="K175" s="111" t="s">
        <v>276</v>
      </c>
      <c r="L175" s="2" t="s">
        <v>49</v>
      </c>
      <c r="M175" s="35">
        <v>46223</v>
      </c>
      <c r="N175" s="3"/>
      <c r="O175" s="43" t="s">
        <v>526</v>
      </c>
      <c r="P175" s="3" t="s">
        <v>304</v>
      </c>
      <c r="Q175" s="98">
        <v>46224</v>
      </c>
    </row>
    <row r="176" spans="1:18" ht="27.5" customHeight="1">
      <c r="A176" s="2">
        <v>172</v>
      </c>
      <c r="B176" s="3" t="s">
        <v>568</v>
      </c>
      <c r="C176" s="2" t="s">
        <v>503</v>
      </c>
      <c r="D176" s="3" t="s">
        <v>542</v>
      </c>
      <c r="E176" s="104"/>
      <c r="F176" s="35">
        <v>46218</v>
      </c>
      <c r="G176" s="9"/>
      <c r="H176" s="111" t="s">
        <v>276</v>
      </c>
      <c r="I176" s="111" t="s">
        <v>276</v>
      </c>
      <c r="J176" s="111" t="s">
        <v>276</v>
      </c>
      <c r="K176" s="111" t="s">
        <v>276</v>
      </c>
      <c r="L176" s="2" t="s">
        <v>49</v>
      </c>
      <c r="M176" s="35">
        <v>46230</v>
      </c>
      <c r="N176" s="3"/>
      <c r="O176" s="43"/>
      <c r="P176" s="3"/>
      <c r="Q176" s="98"/>
    </row>
    <row r="177" spans="1:17" ht="27.5" customHeight="1">
      <c r="A177" s="2">
        <v>173</v>
      </c>
      <c r="B177" s="3" t="s">
        <v>575</v>
      </c>
      <c r="C177" s="2" t="s">
        <v>504</v>
      </c>
      <c r="D177" s="3"/>
      <c r="E177" s="104"/>
      <c r="F177" s="35">
        <v>46231</v>
      </c>
      <c r="G177" s="9" t="s">
        <v>588</v>
      </c>
      <c r="H177" s="111" t="s">
        <v>590</v>
      </c>
      <c r="I177" s="111" t="s">
        <v>590</v>
      </c>
      <c r="J177" s="111" t="s">
        <v>589</v>
      </c>
      <c r="K177" s="111" t="s">
        <v>590</v>
      </c>
      <c r="L177" s="2" t="s">
        <v>43</v>
      </c>
      <c r="M177" s="3"/>
      <c r="N177" s="3"/>
      <c r="O177" s="43"/>
      <c r="P177" s="3"/>
      <c r="Q177" s="98"/>
    </row>
    <row r="178" spans="1:17" ht="27.5" customHeight="1">
      <c r="A178" s="2">
        <v>174</v>
      </c>
      <c r="B178" s="3" t="s">
        <v>567</v>
      </c>
      <c r="C178" s="2" t="s">
        <v>517</v>
      </c>
      <c r="D178" s="3"/>
      <c r="E178" s="104"/>
      <c r="F178" s="35">
        <v>46234</v>
      </c>
      <c r="G178" s="9" t="s">
        <v>44</v>
      </c>
      <c r="H178" s="111" t="s">
        <v>532</v>
      </c>
      <c r="I178" s="111" t="s">
        <v>532</v>
      </c>
      <c r="J178" s="111" t="s">
        <v>532</v>
      </c>
      <c r="K178" s="111" t="s">
        <v>532</v>
      </c>
      <c r="L178" s="2" t="s">
        <v>43</v>
      </c>
      <c r="M178" s="3"/>
      <c r="N178" s="3"/>
      <c r="O178" s="43"/>
      <c r="P178" s="3"/>
      <c r="Q178" s="98"/>
    </row>
    <row r="179" spans="1:17" ht="27.5" customHeight="1">
      <c r="A179" s="122"/>
      <c r="B179" s="91"/>
      <c r="C179" s="122"/>
      <c r="D179" s="91"/>
      <c r="F179" s="120"/>
      <c r="G179" s="123"/>
      <c r="H179" s="124"/>
      <c r="I179" s="124"/>
      <c r="J179" s="124"/>
      <c r="K179" s="124"/>
      <c r="L179" s="122"/>
      <c r="M179" s="91"/>
      <c r="N179" s="91"/>
      <c r="O179" s="125"/>
      <c r="P179" s="91"/>
      <c r="Q179" s="127"/>
    </row>
    <row r="180" spans="1:17">
      <c r="K180" s="117" t="s">
        <v>49</v>
      </c>
      <c r="L180" s="115">
        <f>COUNTIF(L3:L176,"Completed")</f>
        <v>172</v>
      </c>
      <c r="P180" s="115">
        <f>COUNTIF(P3:P176,"C")</f>
        <v>115</v>
      </c>
    </row>
    <row r="181" spans="1:17">
      <c r="K181" s="117" t="s">
        <v>43</v>
      </c>
      <c r="L181" s="116">
        <f>COUNTIF(L165:L179,"WIP")</f>
        <v>2</v>
      </c>
    </row>
  </sheetData>
  <mergeCells count="1">
    <mergeCell ref="A1:Q1"/>
  </mergeCells>
  <phoneticPr fontId="59" type="noConversion"/>
  <conditionalFormatting sqref="B167:B1048576 B1:B2">
    <cfRule type="duplicateValues" dxfId="15" priority="1486"/>
    <cfRule type="duplicateValues" dxfId="14" priority="1487"/>
    <cfRule type="duplicateValues" dxfId="13" priority="1488"/>
    <cfRule type="duplicateValues" dxfId="12" priority="1489"/>
    <cfRule type="duplicateValues" dxfId="11" priority="1490"/>
    <cfRule type="duplicateValues" dxfId="10" priority="1491"/>
    <cfRule type="duplicateValues" dxfId="9" priority="1492"/>
  </conditionalFormatting>
  <conditionalFormatting sqref="H3:K171">
    <cfRule type="containsText" dxfId="8" priority="175" operator="containsText" text="Frustum Done">
      <formula>NOT(ISERROR(SEARCH("Frustum Done",H3)))</formula>
    </cfRule>
    <cfRule type="containsText" dxfId="7" priority="176" operator="containsText" text="RCC Complete">
      <formula>NOT(ISERROR(SEARCH("RCC Complete",H3)))</formula>
    </cfRule>
  </conditionalFormatting>
  <conditionalFormatting sqref="H174:K176">
    <cfRule type="containsText" dxfId="6" priority="1" operator="containsText" text="Frustum Done">
      <formula>NOT(ISERROR(SEARCH("Frustum Done",H174)))</formula>
    </cfRule>
    <cfRule type="containsText" dxfId="5" priority="2" operator="containsText" text="RCC Complete">
      <formula>NOT(ISERROR(SEARCH("RCC Complete",H174)))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95"/>
  <sheetViews>
    <sheetView zoomScale="55" zoomScaleNormal="63" zoomScaleSheetLayoutView="46" workbookViewId="0">
      <pane ySplit="3" topLeftCell="A90" activePane="bottomLeft" state="frozen"/>
      <selection pane="bottomLeft" activeCell="L91" sqref="L91"/>
    </sheetView>
  </sheetViews>
  <sheetFormatPr defaultRowHeight="14.5"/>
  <cols>
    <col min="2" max="2" width="11.90625" customWidth="1"/>
    <col min="3" max="3" width="9.81640625" bestFit="1" customWidth="1"/>
    <col min="4" max="4" width="12.453125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50" customWidth="1"/>
    <col min="9" max="9" width="25" hidden="1" customWidth="1"/>
    <col min="10" max="10" width="12.7265625" hidden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34" t="s">
        <v>539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ht="65" customHeight="1">
      <c r="A3" s="25" t="s">
        <v>47</v>
      </c>
      <c r="B3" s="10" t="s">
        <v>239</v>
      </c>
      <c r="C3" s="10" t="s">
        <v>53</v>
      </c>
      <c r="D3" s="10"/>
      <c r="E3" s="11" t="s">
        <v>240</v>
      </c>
      <c r="F3" s="5" t="s">
        <v>62</v>
      </c>
      <c r="G3" s="10" t="s">
        <v>48</v>
      </c>
      <c r="H3" s="11" t="s">
        <v>241</v>
      </c>
      <c r="I3" s="12" t="s">
        <v>243</v>
      </c>
      <c r="J3" s="12" t="s">
        <v>74</v>
      </c>
      <c r="K3" s="12" t="s">
        <v>78</v>
      </c>
      <c r="L3" s="12" t="s">
        <v>54</v>
      </c>
      <c r="M3" s="10" t="s">
        <v>68</v>
      </c>
      <c r="N3" s="10" t="s">
        <v>69</v>
      </c>
      <c r="O3" s="10" t="s">
        <v>63</v>
      </c>
      <c r="P3" s="26" t="s">
        <v>70</v>
      </c>
    </row>
    <row r="4" spans="1:16" ht="30" customHeight="1">
      <c r="A4" s="27">
        <v>1</v>
      </c>
      <c r="B4" s="2" t="s">
        <v>125</v>
      </c>
      <c r="C4" s="2" t="s">
        <v>501</v>
      </c>
      <c r="D4" s="2" t="s">
        <v>501</v>
      </c>
      <c r="E4" s="112">
        <v>46071</v>
      </c>
      <c r="F4" s="59">
        <f>VLOOKUP(D4,'[1]Tower Weight Individual'!$S$13:$Y$50,7,0)/1000</f>
        <v>24.041023000000003</v>
      </c>
      <c r="G4" s="34" t="s">
        <v>304</v>
      </c>
      <c r="H4" s="57">
        <v>46075</v>
      </c>
      <c r="I4" s="3" t="s">
        <v>561</v>
      </c>
      <c r="J4" s="3">
        <v>18</v>
      </c>
      <c r="K4" s="47"/>
      <c r="L4" s="20"/>
      <c r="M4" s="20"/>
      <c r="N4" s="20"/>
      <c r="O4" s="20"/>
      <c r="P4" s="48"/>
    </row>
    <row r="5" spans="1:16" ht="30" customHeight="1">
      <c r="A5" s="17">
        <v>2</v>
      </c>
      <c r="B5" s="2" t="s">
        <v>447</v>
      </c>
      <c r="C5" s="2" t="s">
        <v>504</v>
      </c>
      <c r="D5" s="2" t="s">
        <v>504</v>
      </c>
      <c r="E5" s="112">
        <v>46078</v>
      </c>
      <c r="F5" s="59">
        <f>VLOOKUP(D5,'[1]Tower Weight Individual'!$S$13:$Y$50,7,0)/1000</f>
        <v>22.923735000000001</v>
      </c>
      <c r="G5" s="34" t="s">
        <v>304</v>
      </c>
      <c r="H5" s="57">
        <v>46081</v>
      </c>
      <c r="I5" s="3" t="s">
        <v>561</v>
      </c>
      <c r="J5" s="3">
        <v>18</v>
      </c>
      <c r="K5" s="20"/>
      <c r="L5" s="20"/>
      <c r="M5" s="20"/>
      <c r="N5" s="20"/>
      <c r="O5" s="20"/>
      <c r="P5" s="20"/>
    </row>
    <row r="6" spans="1:16" ht="30" customHeight="1">
      <c r="A6" s="17">
        <v>3</v>
      </c>
      <c r="B6" s="2" t="s">
        <v>472</v>
      </c>
      <c r="C6" s="2" t="s">
        <v>504</v>
      </c>
      <c r="D6" s="2" t="s">
        <v>504</v>
      </c>
      <c r="E6" s="112">
        <v>46075</v>
      </c>
      <c r="F6" s="59">
        <f>VLOOKUP(D6,'[1]Tower Weight Individual'!$S$13:$Y$50,7,0)/1000</f>
        <v>22.923735000000001</v>
      </c>
      <c r="G6" s="34" t="s">
        <v>304</v>
      </c>
      <c r="H6" s="57">
        <v>46081</v>
      </c>
      <c r="I6" s="3" t="s">
        <v>562</v>
      </c>
      <c r="J6" s="3">
        <v>35</v>
      </c>
      <c r="K6" s="20"/>
      <c r="L6" s="20"/>
      <c r="M6" s="20"/>
      <c r="N6" s="20"/>
      <c r="O6" s="20"/>
      <c r="P6" s="20"/>
    </row>
    <row r="7" spans="1:16" ht="30" customHeight="1">
      <c r="A7" s="17">
        <v>4</v>
      </c>
      <c r="B7" s="2" t="s">
        <v>460</v>
      </c>
      <c r="C7" s="2" t="s">
        <v>504</v>
      </c>
      <c r="D7" s="2" t="s">
        <v>504</v>
      </c>
      <c r="E7" s="112">
        <v>46084</v>
      </c>
      <c r="F7" s="59">
        <f>VLOOKUP(D7,'[1]Tower Weight Individual'!$S$13:$Y$50,7,0)/1000</f>
        <v>22.923735000000001</v>
      </c>
      <c r="G7" s="34" t="s">
        <v>304</v>
      </c>
      <c r="H7" s="57">
        <v>46088</v>
      </c>
      <c r="I7" s="3" t="s">
        <v>563</v>
      </c>
      <c r="J7" s="3">
        <v>23</v>
      </c>
      <c r="K7" s="20"/>
      <c r="L7" s="20"/>
      <c r="M7" s="20"/>
      <c r="N7" s="20"/>
      <c r="O7" s="20"/>
      <c r="P7" s="20"/>
    </row>
    <row r="8" spans="1:16" ht="30" customHeight="1">
      <c r="A8" s="17">
        <v>5</v>
      </c>
      <c r="B8" s="2" t="s">
        <v>466</v>
      </c>
      <c r="C8" s="2" t="s">
        <v>501</v>
      </c>
      <c r="D8" s="2" t="s">
        <v>501</v>
      </c>
      <c r="E8" s="112">
        <v>46082</v>
      </c>
      <c r="F8" s="59">
        <f>VLOOKUP(D8,'[1]Tower Weight Individual'!$S$13:$Y$50,7,0)/1000</f>
        <v>24.041023000000003</v>
      </c>
      <c r="G8" s="34" t="s">
        <v>304</v>
      </c>
      <c r="H8" s="57">
        <v>46091</v>
      </c>
      <c r="I8" s="3" t="s">
        <v>535</v>
      </c>
      <c r="J8" s="3">
        <v>23</v>
      </c>
      <c r="K8" s="20"/>
      <c r="L8" s="20"/>
      <c r="M8" s="20"/>
      <c r="N8" s="20"/>
      <c r="O8" s="20"/>
      <c r="P8" s="20"/>
    </row>
    <row r="9" spans="1:16" ht="30" customHeight="1">
      <c r="A9" s="17">
        <v>6</v>
      </c>
      <c r="B9" s="2" t="s">
        <v>459</v>
      </c>
      <c r="C9" s="2" t="s">
        <v>501</v>
      </c>
      <c r="D9" s="2" t="s">
        <v>501</v>
      </c>
      <c r="E9" s="112">
        <v>46082</v>
      </c>
      <c r="F9" s="59">
        <f>VLOOKUP(D9,'[1]Tower Weight Individual'!$S$13:$Y$50,7,0)/1000</f>
        <v>24.041023000000003</v>
      </c>
      <c r="G9" s="34" t="s">
        <v>304</v>
      </c>
      <c r="H9" s="57">
        <v>46092</v>
      </c>
      <c r="I9" s="3" t="s">
        <v>563</v>
      </c>
      <c r="J9" s="3">
        <v>38</v>
      </c>
      <c r="K9" s="20"/>
      <c r="L9" s="20"/>
      <c r="M9" s="20"/>
      <c r="N9" s="20"/>
      <c r="O9" s="20"/>
      <c r="P9" s="20"/>
    </row>
    <row r="10" spans="1:16" ht="30" customHeight="1">
      <c r="A10" s="17">
        <v>7</v>
      </c>
      <c r="B10" s="2" t="s">
        <v>467</v>
      </c>
      <c r="C10" s="2" t="s">
        <v>503</v>
      </c>
      <c r="D10" s="2" t="s">
        <v>503</v>
      </c>
      <c r="E10" s="112">
        <v>46092</v>
      </c>
      <c r="F10" s="59">
        <f>VLOOKUP(D10,'[1]Tower Weight Individual'!$S$13:$Y$50,7,0)/1000</f>
        <v>26.764163</v>
      </c>
      <c r="G10" s="34" t="s">
        <v>304</v>
      </c>
      <c r="H10" s="57">
        <v>46095</v>
      </c>
      <c r="I10" s="3" t="s">
        <v>535</v>
      </c>
      <c r="J10" s="3">
        <v>35</v>
      </c>
      <c r="K10" s="20"/>
      <c r="L10" s="20"/>
      <c r="M10" s="20"/>
      <c r="N10" s="20"/>
      <c r="O10" s="20"/>
      <c r="P10" s="20"/>
    </row>
    <row r="11" spans="1:16" ht="30" customHeight="1">
      <c r="A11" s="17">
        <v>8</v>
      </c>
      <c r="B11" s="2" t="s">
        <v>457</v>
      </c>
      <c r="C11" s="2" t="s">
        <v>501</v>
      </c>
      <c r="D11" s="2" t="s">
        <v>501</v>
      </c>
      <c r="E11" s="112">
        <v>45717</v>
      </c>
      <c r="F11" s="59">
        <f>VLOOKUP(D11,'[1]Tower Weight Individual'!$S$13:$Y$50,7,0)/1000</f>
        <v>24.041023000000003</v>
      </c>
      <c r="G11" s="34" t="s">
        <v>304</v>
      </c>
      <c r="H11" s="57">
        <v>46096</v>
      </c>
      <c r="I11" s="3" t="s">
        <v>563</v>
      </c>
      <c r="J11" s="3">
        <v>35</v>
      </c>
      <c r="K11" s="20"/>
      <c r="L11" s="20"/>
      <c r="M11" s="20"/>
      <c r="N11" s="20"/>
      <c r="O11" s="20"/>
      <c r="P11" s="20"/>
    </row>
    <row r="12" spans="1:16" ht="30" customHeight="1">
      <c r="A12" s="17">
        <v>9</v>
      </c>
      <c r="B12" s="2" t="s">
        <v>456</v>
      </c>
      <c r="C12" s="2" t="s">
        <v>504</v>
      </c>
      <c r="D12" s="2" t="s">
        <v>504</v>
      </c>
      <c r="E12" s="112">
        <v>46096</v>
      </c>
      <c r="F12" s="59">
        <f>VLOOKUP(D12,'[1]Tower Weight Individual'!$S$13:$Y$50,7,0)/1000</f>
        <v>22.923735000000001</v>
      </c>
      <c r="G12" s="34" t="s">
        <v>304</v>
      </c>
      <c r="H12" s="57">
        <v>46100</v>
      </c>
      <c r="I12" s="3" t="s">
        <v>563</v>
      </c>
      <c r="J12" s="21">
        <v>35</v>
      </c>
      <c r="K12" s="20"/>
      <c r="L12" s="20"/>
      <c r="M12" s="20"/>
      <c r="N12" s="20"/>
      <c r="O12" s="20"/>
      <c r="P12" s="20"/>
    </row>
    <row r="13" spans="1:16" ht="30" customHeight="1">
      <c r="A13" s="17">
        <v>10</v>
      </c>
      <c r="B13" s="2" t="s">
        <v>473</v>
      </c>
      <c r="C13" s="2" t="s">
        <v>503</v>
      </c>
      <c r="D13" s="2" t="s">
        <v>503</v>
      </c>
      <c r="E13" s="112">
        <v>46096</v>
      </c>
      <c r="F13" s="59">
        <f>VLOOKUP(D13,'[1]Tower Weight Individual'!$S$13:$Y$50,7,0)/1000</f>
        <v>26.764163</v>
      </c>
      <c r="G13" s="34" t="s">
        <v>304</v>
      </c>
      <c r="H13" s="57">
        <v>46100</v>
      </c>
      <c r="I13" s="3" t="s">
        <v>535</v>
      </c>
      <c r="J13" s="3">
        <v>18</v>
      </c>
      <c r="K13" s="20"/>
      <c r="L13" s="20"/>
      <c r="M13" s="20"/>
      <c r="N13" s="20"/>
      <c r="O13" s="20"/>
      <c r="P13" s="20"/>
    </row>
    <row r="14" spans="1:16" ht="30" customHeight="1">
      <c r="A14" s="17">
        <v>11</v>
      </c>
      <c r="B14" s="2" t="s">
        <v>474</v>
      </c>
      <c r="C14" s="2" t="s">
        <v>501</v>
      </c>
      <c r="D14" s="2" t="s">
        <v>501</v>
      </c>
      <c r="E14" s="112">
        <v>46100</v>
      </c>
      <c r="F14" s="59">
        <f>VLOOKUP(D14,'[1]Tower Weight Individual'!$S$13:$Y$50,7,0)/1000</f>
        <v>24.041023000000003</v>
      </c>
      <c r="G14" s="34" t="s">
        <v>304</v>
      </c>
      <c r="H14" s="57">
        <v>46103</v>
      </c>
      <c r="I14" s="3" t="s">
        <v>535</v>
      </c>
      <c r="J14" s="3">
        <v>23</v>
      </c>
      <c r="K14" s="20"/>
      <c r="L14" s="20"/>
      <c r="M14" s="20"/>
      <c r="N14" s="20"/>
      <c r="O14" s="20"/>
      <c r="P14" s="20"/>
    </row>
    <row r="15" spans="1:16" ht="30" customHeight="1">
      <c r="A15" s="17">
        <v>12</v>
      </c>
      <c r="B15" s="2" t="s">
        <v>126</v>
      </c>
      <c r="C15" s="2" t="s">
        <v>501</v>
      </c>
      <c r="D15" s="2" t="s">
        <v>501</v>
      </c>
      <c r="E15" s="112">
        <v>46100</v>
      </c>
      <c r="F15" s="59">
        <f>VLOOKUP(D15,'[1]Tower Weight Individual'!$S$13:$Y$50,7,0)/1000</f>
        <v>24.041023000000003</v>
      </c>
      <c r="G15" s="34" t="s">
        <v>304</v>
      </c>
      <c r="H15" s="57">
        <v>46104</v>
      </c>
      <c r="I15" s="3" t="s">
        <v>563</v>
      </c>
      <c r="J15" s="3">
        <v>19</v>
      </c>
      <c r="K15" s="20"/>
      <c r="L15" s="20"/>
      <c r="M15" s="20"/>
      <c r="N15" s="20"/>
      <c r="O15" s="20"/>
      <c r="P15" s="20"/>
    </row>
    <row r="16" spans="1:16" ht="30" customHeight="1">
      <c r="A16" s="17">
        <v>13</v>
      </c>
      <c r="B16" s="2" t="s">
        <v>475</v>
      </c>
      <c r="C16" s="2" t="s">
        <v>501</v>
      </c>
      <c r="D16" s="2" t="s">
        <v>501</v>
      </c>
      <c r="E16" s="112">
        <v>46104</v>
      </c>
      <c r="F16" s="59">
        <f>VLOOKUP(D16,'[1]Tower Weight Individual'!$S$13:$Y$50,7,0)/1000</f>
        <v>24.041023000000003</v>
      </c>
      <c r="G16" s="34" t="s">
        <v>304</v>
      </c>
      <c r="H16" s="57">
        <v>46108</v>
      </c>
      <c r="I16" s="3" t="s">
        <v>535</v>
      </c>
      <c r="J16" s="3">
        <v>18</v>
      </c>
      <c r="K16" s="20"/>
      <c r="L16" s="20"/>
      <c r="M16" s="20"/>
      <c r="N16" s="20"/>
      <c r="O16" s="20"/>
      <c r="P16" s="20"/>
    </row>
    <row r="17" spans="1:16" ht="30" customHeight="1">
      <c r="A17" s="17">
        <v>14</v>
      </c>
      <c r="B17" s="2" t="s">
        <v>455</v>
      </c>
      <c r="C17" s="2" t="s">
        <v>503</v>
      </c>
      <c r="D17" s="2" t="s">
        <v>503</v>
      </c>
      <c r="E17" s="112">
        <v>46104</v>
      </c>
      <c r="F17" s="59">
        <f>VLOOKUP(D17,'[1]Tower Weight Individual'!$S$13:$Y$50,7,0)/1000</f>
        <v>26.764163</v>
      </c>
      <c r="G17" s="34" t="s">
        <v>304</v>
      </c>
      <c r="H17" s="57">
        <v>46109</v>
      </c>
      <c r="I17" s="3" t="s">
        <v>563</v>
      </c>
      <c r="J17" s="3">
        <v>24</v>
      </c>
      <c r="K17" s="20"/>
      <c r="L17" s="20"/>
      <c r="M17" s="20"/>
      <c r="N17" s="20"/>
      <c r="O17" s="20"/>
      <c r="P17" s="20"/>
    </row>
    <row r="18" spans="1:16" ht="30" customHeight="1">
      <c r="A18" s="17">
        <v>15</v>
      </c>
      <c r="B18" s="2" t="s">
        <v>476</v>
      </c>
      <c r="C18" s="2" t="s">
        <v>503</v>
      </c>
      <c r="D18" s="2" t="s">
        <v>503</v>
      </c>
      <c r="E18" s="112">
        <v>46108</v>
      </c>
      <c r="F18" s="59">
        <f>VLOOKUP(D18,'[1]Tower Weight Individual'!$S$13:$Y$50,7,0)/1000</f>
        <v>26.764163</v>
      </c>
      <c r="G18" s="34" t="s">
        <v>304</v>
      </c>
      <c r="H18" s="57">
        <v>46111</v>
      </c>
      <c r="I18" s="3" t="s">
        <v>535</v>
      </c>
      <c r="J18" s="3">
        <v>20</v>
      </c>
      <c r="K18" s="20"/>
      <c r="L18" s="20"/>
      <c r="M18" s="20"/>
      <c r="N18" s="20"/>
      <c r="O18" s="20"/>
      <c r="P18" s="20"/>
    </row>
    <row r="19" spans="1:16" ht="30" customHeight="1">
      <c r="A19" s="17">
        <v>16</v>
      </c>
      <c r="B19" s="2" t="s">
        <v>453</v>
      </c>
      <c r="C19" s="2" t="s">
        <v>501</v>
      </c>
      <c r="D19" s="2" t="s">
        <v>501</v>
      </c>
      <c r="E19" s="112">
        <v>46109</v>
      </c>
      <c r="F19" s="59">
        <f>VLOOKUP(D19,'[1]Tower Weight Individual'!$S$13:$Y$50,7,0)/1000</f>
        <v>24.041023000000003</v>
      </c>
      <c r="G19" s="34" t="s">
        <v>304</v>
      </c>
      <c r="H19" s="57">
        <v>46114</v>
      </c>
      <c r="I19" s="3" t="s">
        <v>561</v>
      </c>
      <c r="J19" s="3">
        <v>21</v>
      </c>
      <c r="K19" s="20"/>
      <c r="L19" s="20"/>
      <c r="M19" s="20"/>
      <c r="N19" s="20"/>
      <c r="O19" s="20"/>
      <c r="P19" s="20"/>
    </row>
    <row r="20" spans="1:16" ht="30" customHeight="1">
      <c r="A20" s="17">
        <v>17</v>
      </c>
      <c r="B20" s="2" t="s">
        <v>477</v>
      </c>
      <c r="C20" s="2" t="s">
        <v>501</v>
      </c>
      <c r="D20" s="2" t="s">
        <v>501</v>
      </c>
      <c r="E20" s="112">
        <v>46112</v>
      </c>
      <c r="F20" s="59">
        <f>VLOOKUP(D20,'[1]Tower Weight Individual'!$S$13:$Y$50,7,0)/1000</f>
        <v>24.041023000000003</v>
      </c>
      <c r="G20" s="34" t="s">
        <v>304</v>
      </c>
      <c r="H20" s="57">
        <v>46115</v>
      </c>
      <c r="I20" s="3" t="s">
        <v>535</v>
      </c>
      <c r="J20" s="3">
        <v>35</v>
      </c>
      <c r="K20" s="20"/>
      <c r="L20" s="114"/>
      <c r="M20" s="20"/>
      <c r="N20" s="20"/>
      <c r="O20" s="20"/>
      <c r="P20" s="20"/>
    </row>
    <row r="21" spans="1:16" ht="30" customHeight="1">
      <c r="A21" s="17">
        <v>18</v>
      </c>
      <c r="B21" s="2" t="s">
        <v>481</v>
      </c>
      <c r="C21" s="2" t="s">
        <v>501</v>
      </c>
      <c r="D21" s="2" t="s">
        <v>501</v>
      </c>
      <c r="E21" s="112">
        <v>46116</v>
      </c>
      <c r="F21" s="59">
        <f>VLOOKUP(D21,'[1]Tower Weight Individual'!$S$13:$Y$50,7,0)/1000</f>
        <v>24.041023000000003</v>
      </c>
      <c r="G21" s="34" t="s">
        <v>304</v>
      </c>
      <c r="H21" s="57">
        <v>46119</v>
      </c>
      <c r="I21" s="3" t="s">
        <v>535</v>
      </c>
      <c r="J21" s="3">
        <v>21</v>
      </c>
      <c r="K21" s="20"/>
      <c r="L21" s="20"/>
      <c r="M21" s="20"/>
      <c r="N21" s="20"/>
      <c r="O21" s="20"/>
      <c r="P21" s="20"/>
    </row>
    <row r="22" spans="1:16" ht="30" customHeight="1">
      <c r="A22" s="17">
        <v>19</v>
      </c>
      <c r="B22" s="2" t="s">
        <v>482</v>
      </c>
      <c r="C22" s="2" t="s">
        <v>504</v>
      </c>
      <c r="D22" s="2" t="s">
        <v>504</v>
      </c>
      <c r="E22" s="112">
        <v>46119</v>
      </c>
      <c r="F22" s="59">
        <f>VLOOKUP(D22,'[1]Tower Weight Individual'!$S$13:$Y$50,7,0)/1000</f>
        <v>22.923735000000001</v>
      </c>
      <c r="G22" s="34" t="s">
        <v>304</v>
      </c>
      <c r="H22" s="57">
        <v>46123</v>
      </c>
      <c r="I22" s="3" t="s">
        <v>535</v>
      </c>
      <c r="J22" s="21">
        <v>35</v>
      </c>
      <c r="K22" s="20"/>
      <c r="L22" s="20"/>
      <c r="M22" s="20"/>
      <c r="N22" s="20"/>
      <c r="O22" s="20"/>
      <c r="P22" s="20"/>
    </row>
    <row r="23" spans="1:16" ht="30" customHeight="1">
      <c r="A23" s="17">
        <v>20</v>
      </c>
      <c r="B23" s="2" t="s">
        <v>480</v>
      </c>
      <c r="C23" s="2" t="s">
        <v>501</v>
      </c>
      <c r="D23" s="2" t="s">
        <v>501</v>
      </c>
      <c r="E23" s="112">
        <v>46124</v>
      </c>
      <c r="F23" s="59">
        <f>VLOOKUP(D23,'[1]Tower Weight Individual'!$S$13:$Y$50,7,0)/1000</f>
        <v>24.041023000000003</v>
      </c>
      <c r="G23" s="34" t="s">
        <v>304</v>
      </c>
      <c r="H23" s="57">
        <v>46127</v>
      </c>
      <c r="I23" s="3" t="s">
        <v>535</v>
      </c>
      <c r="J23" s="21">
        <v>35</v>
      </c>
      <c r="K23" s="20"/>
      <c r="L23" s="20"/>
      <c r="M23" s="20"/>
      <c r="N23" s="20"/>
      <c r="O23" s="20"/>
      <c r="P23" s="20"/>
    </row>
    <row r="24" spans="1:16" ht="30" customHeight="1">
      <c r="A24" s="17">
        <v>21</v>
      </c>
      <c r="B24" s="2" t="s">
        <v>478</v>
      </c>
      <c r="C24" s="2" t="s">
        <v>504</v>
      </c>
      <c r="D24" s="2" t="s">
        <v>504</v>
      </c>
      <c r="E24" s="112">
        <v>46127</v>
      </c>
      <c r="F24" s="59">
        <f>VLOOKUP(D24,'[1]Tower Weight Individual'!$S$13:$Y$50,7,0)/1000</f>
        <v>22.923735000000001</v>
      </c>
      <c r="G24" s="34" t="s">
        <v>304</v>
      </c>
      <c r="H24" s="57">
        <v>46131</v>
      </c>
      <c r="I24" s="3" t="s">
        <v>535</v>
      </c>
      <c r="J24" s="21">
        <v>35</v>
      </c>
      <c r="K24" s="20"/>
      <c r="L24" s="20"/>
      <c r="M24" s="20"/>
      <c r="N24" s="20"/>
      <c r="O24" s="20"/>
      <c r="P24" s="20"/>
    </row>
    <row r="25" spans="1:16" ht="30" customHeight="1">
      <c r="A25" s="17">
        <v>22</v>
      </c>
      <c r="B25" s="2" t="s">
        <v>483</v>
      </c>
      <c r="C25" s="2" t="s">
        <v>501</v>
      </c>
      <c r="D25" s="2" t="s">
        <v>501</v>
      </c>
      <c r="E25" s="112">
        <v>46131</v>
      </c>
      <c r="F25" s="59">
        <f>VLOOKUP(D25,'[1]Tower Weight Individual'!$S$13:$Y$50,7,0)/1000</f>
        <v>24.041023000000003</v>
      </c>
      <c r="G25" s="34" t="s">
        <v>304</v>
      </c>
      <c r="H25" s="57">
        <v>46135</v>
      </c>
      <c r="I25" s="3" t="s">
        <v>535</v>
      </c>
      <c r="J25" s="21">
        <v>20</v>
      </c>
      <c r="K25" s="20"/>
      <c r="L25" s="20"/>
      <c r="M25" s="20"/>
      <c r="N25" s="20"/>
      <c r="O25" s="20"/>
      <c r="P25" s="20"/>
    </row>
    <row r="26" spans="1:16" ht="30" customHeight="1">
      <c r="A26" s="17">
        <v>23</v>
      </c>
      <c r="B26" s="2" t="s">
        <v>86</v>
      </c>
      <c r="C26" s="2" t="s">
        <v>504</v>
      </c>
      <c r="D26" s="2" t="s">
        <v>504</v>
      </c>
      <c r="E26" s="112">
        <v>46136</v>
      </c>
      <c r="F26" s="59">
        <f>VLOOKUP(D26,'[1]Tower Weight Individual'!$S$13:$Y$50,7,0)/1000</f>
        <v>22.923735000000001</v>
      </c>
      <c r="G26" s="34" t="s">
        <v>304</v>
      </c>
      <c r="H26" s="57">
        <v>46140</v>
      </c>
      <c r="I26" s="3" t="s">
        <v>564</v>
      </c>
      <c r="J26" s="3">
        <v>22</v>
      </c>
      <c r="K26" s="20"/>
      <c r="L26" s="20"/>
      <c r="M26" s="20"/>
      <c r="N26" s="20"/>
      <c r="O26" s="20"/>
      <c r="P26" s="20"/>
    </row>
    <row r="27" spans="1:16" ht="30" customHeight="1">
      <c r="A27" s="17">
        <v>24</v>
      </c>
      <c r="B27" s="2" t="s">
        <v>484</v>
      </c>
      <c r="C27" s="2" t="s">
        <v>501</v>
      </c>
      <c r="D27" s="2" t="s">
        <v>501</v>
      </c>
      <c r="E27" s="112">
        <v>46140</v>
      </c>
      <c r="F27" s="59">
        <f>VLOOKUP(D27,'[1]Tower Weight Individual'!$S$13:$Y$50,7,0)/1000</f>
        <v>24.041023000000003</v>
      </c>
      <c r="G27" s="34" t="s">
        <v>304</v>
      </c>
      <c r="H27" s="57">
        <v>46144</v>
      </c>
      <c r="I27" s="3" t="s">
        <v>564</v>
      </c>
      <c r="J27" s="3">
        <v>20</v>
      </c>
      <c r="K27" s="20"/>
      <c r="L27" s="20"/>
      <c r="M27" s="20"/>
      <c r="N27" s="20"/>
      <c r="O27" s="20"/>
      <c r="P27" s="20"/>
    </row>
    <row r="28" spans="1:16" ht="30" customHeight="1">
      <c r="A28" s="17">
        <v>25</v>
      </c>
      <c r="B28" s="2" t="s">
        <v>406</v>
      </c>
      <c r="C28" s="2" t="s">
        <v>504</v>
      </c>
      <c r="D28" s="2" t="s">
        <v>504</v>
      </c>
      <c r="E28" s="112">
        <v>46140</v>
      </c>
      <c r="F28" s="59">
        <f>VLOOKUP(D28,'[1]Tower Weight Individual'!$S$13:$Y$50,7,0)/1000</f>
        <v>22.923735000000001</v>
      </c>
      <c r="G28" s="34" t="s">
        <v>304</v>
      </c>
      <c r="H28" s="57">
        <v>46146</v>
      </c>
      <c r="I28" s="3" t="s">
        <v>565</v>
      </c>
      <c r="J28" s="3">
        <v>32</v>
      </c>
      <c r="K28" s="20"/>
      <c r="L28" s="20"/>
      <c r="M28" s="20"/>
      <c r="N28" s="20"/>
      <c r="O28" s="20"/>
      <c r="P28" s="20"/>
    </row>
    <row r="29" spans="1:16" ht="30" customHeight="1">
      <c r="A29" s="17">
        <v>26</v>
      </c>
      <c r="B29" s="2" t="s">
        <v>446</v>
      </c>
      <c r="C29" s="2" t="s">
        <v>501</v>
      </c>
      <c r="D29" s="2" t="s">
        <v>501</v>
      </c>
      <c r="E29" s="112">
        <v>46140</v>
      </c>
      <c r="F29" s="59">
        <f>VLOOKUP(D29,'[1]Tower Weight Individual'!$S$13:$Y$50,7,0)/1000</f>
        <v>24.041023000000003</v>
      </c>
      <c r="G29" s="34" t="s">
        <v>304</v>
      </c>
      <c r="H29" s="57">
        <v>46146</v>
      </c>
      <c r="I29" s="3" t="s">
        <v>538</v>
      </c>
      <c r="J29" s="3">
        <v>42</v>
      </c>
      <c r="K29" s="20"/>
      <c r="L29" s="20"/>
      <c r="M29" s="20"/>
      <c r="N29" s="20"/>
      <c r="O29" s="20"/>
      <c r="P29" s="20"/>
    </row>
    <row r="30" spans="1:16" ht="30" customHeight="1">
      <c r="A30" s="17">
        <v>27</v>
      </c>
      <c r="B30" s="2" t="s">
        <v>82</v>
      </c>
      <c r="C30" s="2" t="s">
        <v>503</v>
      </c>
      <c r="D30" s="2" t="s">
        <v>503</v>
      </c>
      <c r="E30" s="112">
        <v>46140</v>
      </c>
      <c r="F30" s="59">
        <f>VLOOKUP(D30,'[1]Tower Weight Individual'!$S$13:$Y$50,7,0)/1000</f>
        <v>26.764163</v>
      </c>
      <c r="G30" s="34" t="s">
        <v>304</v>
      </c>
      <c r="H30" s="57">
        <v>46146</v>
      </c>
      <c r="I30" s="3" t="s">
        <v>534</v>
      </c>
      <c r="J30" s="3">
        <v>33</v>
      </c>
      <c r="K30" s="20"/>
      <c r="L30" s="20"/>
      <c r="M30" s="20"/>
      <c r="N30" s="20"/>
      <c r="O30" s="20"/>
      <c r="P30" s="20"/>
    </row>
    <row r="31" spans="1:16" ht="30" customHeight="1">
      <c r="A31" s="17">
        <v>28</v>
      </c>
      <c r="B31" s="2" t="s">
        <v>485</v>
      </c>
      <c r="C31" s="2" t="s">
        <v>504</v>
      </c>
      <c r="D31" s="2" t="s">
        <v>504</v>
      </c>
      <c r="E31" s="112">
        <v>46144</v>
      </c>
      <c r="F31" s="59">
        <f>VLOOKUP(D31,'[1]Tower Weight Individual'!$S$13:$Y$50,7,0)/1000</f>
        <v>22.923735000000001</v>
      </c>
      <c r="G31" s="34" t="s">
        <v>304</v>
      </c>
      <c r="H31" s="57">
        <v>46146</v>
      </c>
      <c r="I31" s="3" t="s">
        <v>564</v>
      </c>
      <c r="J31" s="3">
        <v>19</v>
      </c>
      <c r="K31" s="20"/>
      <c r="L31" s="20"/>
      <c r="M31" s="20"/>
      <c r="N31" s="20"/>
      <c r="O31" s="20"/>
      <c r="P31" s="20"/>
    </row>
    <row r="32" spans="1:16" ht="30" customHeight="1">
      <c r="A32" s="17">
        <v>29</v>
      </c>
      <c r="B32" s="2" t="s">
        <v>85</v>
      </c>
      <c r="C32" s="2" t="s">
        <v>504</v>
      </c>
      <c r="D32" s="2" t="s">
        <v>504</v>
      </c>
      <c r="E32" s="112">
        <v>46146</v>
      </c>
      <c r="F32" s="59">
        <f>VLOOKUP(D32,'[1]Tower Weight Individual'!$S$13:$Y$50,7,0)/1000</f>
        <v>22.923735000000001</v>
      </c>
      <c r="G32" s="34" t="s">
        <v>304</v>
      </c>
      <c r="H32" s="57">
        <v>46150</v>
      </c>
      <c r="I32" s="3" t="s">
        <v>534</v>
      </c>
      <c r="J32" s="43">
        <v>20</v>
      </c>
      <c r="K32" s="20"/>
      <c r="L32" s="20"/>
      <c r="M32" s="20"/>
      <c r="N32" s="20"/>
      <c r="O32" s="20"/>
      <c r="P32" s="20"/>
    </row>
    <row r="33" spans="1:16" ht="30" customHeight="1">
      <c r="A33" s="17">
        <v>30</v>
      </c>
      <c r="B33" s="2" t="s">
        <v>486</v>
      </c>
      <c r="C33" s="2" t="s">
        <v>504</v>
      </c>
      <c r="D33" s="2" t="s">
        <v>504</v>
      </c>
      <c r="E33" s="112">
        <v>46146</v>
      </c>
      <c r="F33" s="59">
        <f>VLOOKUP(D33,'[1]Tower Weight Individual'!$S$13:$Y$50,7,0)/1000</f>
        <v>22.923735000000001</v>
      </c>
      <c r="G33" s="34" t="s">
        <v>304</v>
      </c>
      <c r="H33" s="57">
        <v>46150</v>
      </c>
      <c r="I33" s="3" t="s">
        <v>564</v>
      </c>
      <c r="J33" s="3">
        <v>20</v>
      </c>
      <c r="K33" s="20"/>
      <c r="L33" s="20"/>
      <c r="M33" s="20"/>
      <c r="N33" s="20"/>
      <c r="O33" s="20"/>
      <c r="P33" s="20"/>
    </row>
    <row r="34" spans="1:16" ht="30" customHeight="1">
      <c r="A34" s="17">
        <v>31</v>
      </c>
      <c r="B34" s="22" t="s">
        <v>445</v>
      </c>
      <c r="C34" s="2" t="s">
        <v>501</v>
      </c>
      <c r="D34" s="2" t="s">
        <v>501</v>
      </c>
      <c r="E34" s="112">
        <v>46146</v>
      </c>
      <c r="F34" s="59">
        <f>VLOOKUP(D34,'[1]Tower Weight Individual'!$S$13:$Y$50,7,0)/1000</f>
        <v>24.041023000000003</v>
      </c>
      <c r="G34" s="34" t="s">
        <v>304</v>
      </c>
      <c r="H34" s="57">
        <v>46151</v>
      </c>
      <c r="I34" s="3" t="s">
        <v>538</v>
      </c>
      <c r="J34" s="17">
        <v>28</v>
      </c>
      <c r="K34" s="9"/>
      <c r="L34" s="9"/>
      <c r="M34" s="2"/>
      <c r="N34" s="2"/>
      <c r="O34" s="2"/>
      <c r="P34" s="2"/>
    </row>
    <row r="35" spans="1:16" ht="30" customHeight="1">
      <c r="A35" s="17">
        <v>32</v>
      </c>
      <c r="B35" s="2" t="s">
        <v>426</v>
      </c>
      <c r="C35" s="2" t="s">
        <v>501</v>
      </c>
      <c r="D35" s="2" t="s">
        <v>501</v>
      </c>
      <c r="E35" s="112">
        <v>46145</v>
      </c>
      <c r="F35" s="59">
        <f>VLOOKUP(D35,'[1]Tower Weight Individual'!$S$13:$Y$50,7,0)/1000</f>
        <v>24.041023000000003</v>
      </c>
      <c r="G35" s="34" t="s">
        <v>304</v>
      </c>
      <c r="H35" s="57">
        <v>46152</v>
      </c>
      <c r="I35" s="3" t="s">
        <v>537</v>
      </c>
      <c r="J35" s="9">
        <v>42</v>
      </c>
      <c r="K35" s="9"/>
      <c r="L35" s="9"/>
      <c r="M35" s="2"/>
      <c r="N35" s="2"/>
      <c r="O35" s="2"/>
      <c r="P35" s="2"/>
    </row>
    <row r="36" spans="1:16" ht="30" customHeight="1">
      <c r="A36" s="17">
        <v>33</v>
      </c>
      <c r="B36" s="2" t="s">
        <v>81</v>
      </c>
      <c r="C36" s="2" t="s">
        <v>504</v>
      </c>
      <c r="D36" s="2" t="s">
        <v>504</v>
      </c>
      <c r="E36" s="112">
        <v>46150</v>
      </c>
      <c r="F36" s="59">
        <f>VLOOKUP(D36,'[1]Tower Weight Individual'!$S$13:$Y$50,7,0)/1000</f>
        <v>22.923735000000001</v>
      </c>
      <c r="G36" s="34" t="s">
        <v>304</v>
      </c>
      <c r="H36" s="57">
        <v>46154</v>
      </c>
      <c r="I36" s="3" t="s">
        <v>534</v>
      </c>
      <c r="J36" s="3">
        <v>22</v>
      </c>
      <c r="K36" s="20"/>
      <c r="L36" s="20"/>
      <c r="M36" s="20"/>
      <c r="N36" s="20"/>
      <c r="O36" s="20"/>
      <c r="P36" s="20"/>
    </row>
    <row r="37" spans="1:16" ht="30" customHeight="1">
      <c r="A37" s="17">
        <v>34</v>
      </c>
      <c r="B37" s="2" t="s">
        <v>112</v>
      </c>
      <c r="C37" s="2" t="s">
        <v>504</v>
      </c>
      <c r="D37" s="2" t="s">
        <v>504</v>
      </c>
      <c r="E37" s="112">
        <v>46150</v>
      </c>
      <c r="F37" s="59">
        <f>VLOOKUP(D37,'[1]Tower Weight Individual'!$S$13:$Y$50,7,0)/1000</f>
        <v>22.923735000000001</v>
      </c>
      <c r="G37" s="34" t="s">
        <v>304</v>
      </c>
      <c r="H37" s="57">
        <v>46154</v>
      </c>
      <c r="I37" s="3" t="s">
        <v>564</v>
      </c>
      <c r="J37" s="3">
        <v>22</v>
      </c>
      <c r="K37" s="20"/>
      <c r="L37" s="20"/>
      <c r="M37" s="20"/>
      <c r="N37" s="20"/>
      <c r="O37" s="20"/>
      <c r="P37" s="20"/>
    </row>
    <row r="38" spans="1:16" ht="30" customHeight="1">
      <c r="A38" s="17">
        <v>35</v>
      </c>
      <c r="B38" s="2" t="s">
        <v>439</v>
      </c>
      <c r="C38" s="2" t="s">
        <v>504</v>
      </c>
      <c r="D38" s="2" t="s">
        <v>504</v>
      </c>
      <c r="E38" s="112">
        <v>46151</v>
      </c>
      <c r="F38" s="59">
        <f>VLOOKUP(D38,'[1]Tower Weight Individual'!$S$13:$Y$50,7,0)/1000</f>
        <v>22.923735000000001</v>
      </c>
      <c r="G38" s="34" t="s">
        <v>304</v>
      </c>
      <c r="H38" s="57">
        <v>46156</v>
      </c>
      <c r="I38" s="3" t="s">
        <v>538</v>
      </c>
      <c r="J38" s="3">
        <v>26</v>
      </c>
      <c r="K38" s="20"/>
      <c r="L38" s="20"/>
      <c r="M38" s="20"/>
      <c r="N38" s="20"/>
      <c r="O38" s="20"/>
      <c r="P38" s="20"/>
    </row>
    <row r="39" spans="1:16" ht="30" customHeight="1">
      <c r="A39" s="17">
        <v>36</v>
      </c>
      <c r="B39" s="2" t="s">
        <v>492</v>
      </c>
      <c r="C39" s="2" t="s">
        <v>504</v>
      </c>
      <c r="D39" s="2" t="s">
        <v>504</v>
      </c>
      <c r="E39" s="112">
        <v>46151</v>
      </c>
      <c r="F39" s="59">
        <f>VLOOKUP(D39,'[1]Tower Weight Individual'!$S$13:$Y$50,7,0)/1000</f>
        <v>22.923735000000001</v>
      </c>
      <c r="G39" s="34" t="s">
        <v>304</v>
      </c>
      <c r="H39" s="57">
        <v>46157</v>
      </c>
      <c r="I39" s="3" t="s">
        <v>564</v>
      </c>
      <c r="J39" s="3">
        <v>35</v>
      </c>
      <c r="K39" s="20"/>
      <c r="L39" s="20"/>
      <c r="M39" s="20"/>
      <c r="N39" s="20"/>
      <c r="O39" s="20"/>
      <c r="P39" s="20"/>
    </row>
    <row r="40" spans="1:16" ht="30" customHeight="1">
      <c r="A40" s="17">
        <v>37</v>
      </c>
      <c r="B40" s="2" t="s">
        <v>427</v>
      </c>
      <c r="C40" s="2" t="s">
        <v>504</v>
      </c>
      <c r="D40" s="2" t="s">
        <v>504</v>
      </c>
      <c r="E40" s="112">
        <v>46152</v>
      </c>
      <c r="F40" s="59">
        <f>VLOOKUP(D40,'[1]Tower Weight Individual'!$S$13:$Y$50,7,0)/1000</f>
        <v>22.923735000000001</v>
      </c>
      <c r="G40" s="34" t="s">
        <v>304</v>
      </c>
      <c r="H40" s="57">
        <v>46158</v>
      </c>
      <c r="I40" s="3" t="s">
        <v>537</v>
      </c>
      <c r="J40" s="9">
        <v>32</v>
      </c>
      <c r="K40" s="9"/>
      <c r="L40" s="9"/>
      <c r="M40" s="2"/>
      <c r="N40" s="2"/>
      <c r="O40" s="2"/>
      <c r="P40" s="2"/>
    </row>
    <row r="41" spans="1:16" ht="30" customHeight="1">
      <c r="A41" s="17">
        <v>38</v>
      </c>
      <c r="B41" s="2" t="s">
        <v>84</v>
      </c>
      <c r="C41" s="2" t="s">
        <v>504</v>
      </c>
      <c r="D41" s="2" t="s">
        <v>504</v>
      </c>
      <c r="E41" s="112">
        <v>46154</v>
      </c>
      <c r="F41" s="59">
        <f>VLOOKUP(D41,'[1]Tower Weight Individual'!$S$13:$Y$50,7,0)/1000</f>
        <v>22.923735000000001</v>
      </c>
      <c r="G41" s="34" t="s">
        <v>304</v>
      </c>
      <c r="H41" s="57">
        <v>46158</v>
      </c>
      <c r="I41" s="3" t="s">
        <v>534</v>
      </c>
      <c r="J41" s="3">
        <v>18</v>
      </c>
      <c r="K41" s="20"/>
      <c r="L41" s="20"/>
      <c r="M41" s="20"/>
      <c r="N41" s="20"/>
      <c r="O41" s="20"/>
      <c r="P41" s="20"/>
    </row>
    <row r="42" spans="1:16" ht="30" customHeight="1">
      <c r="A42" s="17">
        <v>39</v>
      </c>
      <c r="B42" s="2" t="s">
        <v>440</v>
      </c>
      <c r="C42" s="2" t="s">
        <v>501</v>
      </c>
      <c r="D42" s="2" t="s">
        <v>501</v>
      </c>
      <c r="E42" s="112">
        <v>46157</v>
      </c>
      <c r="F42" s="59">
        <f>VLOOKUP(D42,'[1]Tower Weight Individual'!$S$13:$Y$50,7,0)/1000</f>
        <v>24.041023000000003</v>
      </c>
      <c r="G42" s="34" t="s">
        <v>304</v>
      </c>
      <c r="H42" s="57">
        <v>46160</v>
      </c>
      <c r="I42" s="3" t="s">
        <v>538</v>
      </c>
      <c r="J42" s="3">
        <v>26</v>
      </c>
      <c r="K42" s="20"/>
      <c r="L42" s="20"/>
      <c r="M42" s="20"/>
      <c r="N42" s="20"/>
      <c r="O42" s="20"/>
      <c r="P42" s="20"/>
    </row>
    <row r="43" spans="1:16" ht="30" customHeight="1">
      <c r="A43" s="17">
        <v>40</v>
      </c>
      <c r="B43" s="2" t="s">
        <v>83</v>
      </c>
      <c r="C43" s="2" t="s">
        <v>504</v>
      </c>
      <c r="D43" s="2" t="s">
        <v>504</v>
      </c>
      <c r="E43" s="112">
        <v>46038</v>
      </c>
      <c r="F43" s="59">
        <f>VLOOKUP(D43,'[1]Tower Weight Individual'!$S$13:$Y$50,7,0)/1000</f>
        <v>22.923735000000001</v>
      </c>
      <c r="G43" s="34" t="s">
        <v>304</v>
      </c>
      <c r="H43" s="57">
        <v>46160</v>
      </c>
      <c r="I43" s="3" t="s">
        <v>534</v>
      </c>
      <c r="J43" s="3"/>
      <c r="K43" s="20"/>
      <c r="L43" s="20"/>
      <c r="M43" s="20"/>
      <c r="N43" s="20"/>
      <c r="O43" s="20"/>
      <c r="P43" s="20"/>
    </row>
    <row r="44" spans="1:16" ht="30" customHeight="1">
      <c r="A44" s="17">
        <v>41</v>
      </c>
      <c r="B44" s="2" t="s">
        <v>489</v>
      </c>
      <c r="C44" s="2" t="s">
        <v>504</v>
      </c>
      <c r="D44" s="2" t="s">
        <v>504</v>
      </c>
      <c r="E44" s="112">
        <v>46158</v>
      </c>
      <c r="F44" s="59">
        <f>VLOOKUP(D44,'[1]Tower Weight Individual'!$S$13:$Y$50,7,0)/1000</f>
        <v>22.923735000000001</v>
      </c>
      <c r="G44" s="34" t="s">
        <v>304</v>
      </c>
      <c r="H44" s="57">
        <v>46160</v>
      </c>
      <c r="I44" s="3" t="s">
        <v>564</v>
      </c>
      <c r="J44" s="3">
        <v>23</v>
      </c>
      <c r="K44" s="20"/>
      <c r="L44" s="20"/>
      <c r="M44" s="20"/>
      <c r="N44" s="20"/>
      <c r="O44" s="20"/>
      <c r="P44" s="20"/>
    </row>
    <row r="45" spans="1:16" ht="30" customHeight="1">
      <c r="A45" s="17">
        <v>42</v>
      </c>
      <c r="B45" s="2" t="s">
        <v>80</v>
      </c>
      <c r="C45" s="2" t="s">
        <v>504</v>
      </c>
      <c r="D45" s="2" t="s">
        <v>504</v>
      </c>
      <c r="E45" s="112">
        <v>46160</v>
      </c>
      <c r="F45" s="59">
        <f>VLOOKUP(D45,'[1]Tower Weight Individual'!$S$13:$Y$50,7,0)/1000</f>
        <v>22.923735000000001</v>
      </c>
      <c r="G45" s="34" t="s">
        <v>304</v>
      </c>
      <c r="H45" s="57">
        <v>46162</v>
      </c>
      <c r="I45" s="3" t="s">
        <v>534</v>
      </c>
      <c r="J45" s="3">
        <v>24</v>
      </c>
      <c r="K45" s="20"/>
      <c r="L45" s="20"/>
      <c r="M45" s="20"/>
      <c r="N45" s="20"/>
      <c r="O45" s="20"/>
      <c r="P45" s="20"/>
    </row>
    <row r="46" spans="1:16" ht="30" customHeight="1">
      <c r="A46" s="17">
        <v>43</v>
      </c>
      <c r="B46" s="2" t="s">
        <v>428</v>
      </c>
      <c r="C46" s="2" t="s">
        <v>501</v>
      </c>
      <c r="D46" s="2" t="s">
        <v>501</v>
      </c>
      <c r="E46" s="112">
        <v>46159</v>
      </c>
      <c r="F46" s="59">
        <f>VLOOKUP(D46,'[1]Tower Weight Individual'!$S$13:$Y$50,7,0)/1000</f>
        <v>24.041023000000003</v>
      </c>
      <c r="G46" s="34" t="s">
        <v>304</v>
      </c>
      <c r="H46" s="57">
        <v>46163</v>
      </c>
      <c r="I46" s="3" t="s">
        <v>537</v>
      </c>
      <c r="J46" s="113">
        <v>32</v>
      </c>
      <c r="K46" s="9"/>
      <c r="L46" s="9"/>
      <c r="M46" s="2"/>
      <c r="N46" s="2"/>
      <c r="O46" s="2"/>
      <c r="P46" s="2"/>
    </row>
    <row r="47" spans="1:16" ht="30" customHeight="1">
      <c r="A47" s="17">
        <v>44</v>
      </c>
      <c r="B47" s="2" t="s">
        <v>111</v>
      </c>
      <c r="C47" s="2" t="s">
        <v>501</v>
      </c>
      <c r="D47" s="2" t="s">
        <v>501</v>
      </c>
      <c r="E47" s="112">
        <v>46160</v>
      </c>
      <c r="F47" s="59">
        <f>VLOOKUP(D47,'[1]Tower Weight Individual'!$S$13:$Y$50,7,0)/1000</f>
        <v>24.041023000000003</v>
      </c>
      <c r="G47" s="34" t="s">
        <v>304</v>
      </c>
      <c r="H47" s="57">
        <v>46163</v>
      </c>
      <c r="I47" s="3" t="s">
        <v>564</v>
      </c>
      <c r="J47" s="49">
        <v>23</v>
      </c>
      <c r="K47" s="20"/>
      <c r="L47" s="20"/>
      <c r="M47" s="20"/>
      <c r="N47" s="20"/>
      <c r="O47" s="20"/>
      <c r="P47" s="20"/>
    </row>
    <row r="48" spans="1:16" ht="30" customHeight="1">
      <c r="A48" s="17">
        <v>45</v>
      </c>
      <c r="B48" s="2" t="s">
        <v>441</v>
      </c>
      <c r="C48" s="2" t="s">
        <v>504</v>
      </c>
      <c r="D48" s="2" t="s">
        <v>504</v>
      </c>
      <c r="E48" s="112">
        <v>46160</v>
      </c>
      <c r="F48" s="59">
        <f>VLOOKUP(D48,'[1]Tower Weight Individual'!$S$13:$Y$50,7,0)/1000</f>
        <v>22.923735000000001</v>
      </c>
      <c r="G48" s="34" t="s">
        <v>304</v>
      </c>
      <c r="H48" s="57">
        <v>46164</v>
      </c>
      <c r="I48" s="3" t="s">
        <v>538</v>
      </c>
      <c r="J48" s="113">
        <v>26</v>
      </c>
      <c r="K48" s="9"/>
      <c r="L48" s="9"/>
      <c r="M48" s="2"/>
      <c r="N48" s="2"/>
      <c r="O48" s="2"/>
      <c r="P48" s="2"/>
    </row>
    <row r="49" spans="1:16" ht="30" customHeight="1">
      <c r="A49" s="17">
        <v>46</v>
      </c>
      <c r="B49" s="2" t="s">
        <v>454</v>
      </c>
      <c r="C49" s="2" t="s">
        <v>503</v>
      </c>
      <c r="D49" s="2" t="s">
        <v>503</v>
      </c>
      <c r="E49" s="112">
        <v>46163</v>
      </c>
      <c r="F49" s="59">
        <f>VLOOKUP(D49,'[1]Tower Weight Individual'!$S$13:$Y$50,7,0)/1000</f>
        <v>26.764163</v>
      </c>
      <c r="G49" s="34" t="s">
        <v>304</v>
      </c>
      <c r="H49" s="57">
        <v>46165</v>
      </c>
      <c r="I49" s="3" t="s">
        <v>534</v>
      </c>
      <c r="J49" s="49">
        <v>35</v>
      </c>
      <c r="K49" s="20"/>
      <c r="L49" s="20"/>
      <c r="M49" s="20"/>
      <c r="N49" s="20"/>
      <c r="O49" s="20"/>
      <c r="P49" s="20"/>
    </row>
    <row r="50" spans="1:16" ht="30" customHeight="1">
      <c r="A50" s="17">
        <v>47</v>
      </c>
      <c r="B50" s="2" t="s">
        <v>124</v>
      </c>
      <c r="C50" s="2" t="s">
        <v>501</v>
      </c>
      <c r="D50" s="2" t="s">
        <v>501</v>
      </c>
      <c r="E50" s="112">
        <v>46165</v>
      </c>
      <c r="F50" s="59">
        <f>VLOOKUP(D50,'[1]Tower Weight Individual'!$S$13:$Y$50,7,0)/1000</f>
        <v>24.041023000000003</v>
      </c>
      <c r="G50" s="34" t="s">
        <v>304</v>
      </c>
      <c r="H50" s="57">
        <v>46167</v>
      </c>
      <c r="I50" s="3" t="s">
        <v>534</v>
      </c>
      <c r="J50" s="3">
        <v>24</v>
      </c>
      <c r="K50" s="118"/>
      <c r="L50" s="20"/>
      <c r="M50" s="20"/>
      <c r="N50" s="20"/>
      <c r="O50" s="20"/>
      <c r="P50" s="20"/>
    </row>
    <row r="51" spans="1:16" ht="30" customHeight="1">
      <c r="A51" s="17">
        <v>48</v>
      </c>
      <c r="B51" s="2" t="s">
        <v>442</v>
      </c>
      <c r="C51" s="2" t="s">
        <v>504</v>
      </c>
      <c r="D51" s="2" t="s">
        <v>504</v>
      </c>
      <c r="E51" s="112">
        <v>46165</v>
      </c>
      <c r="F51" s="59">
        <f>VLOOKUP(D51,'[1]Tower Weight Individual'!$S$13:$Y$50,7,0)/1000</f>
        <v>22.923735000000001</v>
      </c>
      <c r="G51" s="34" t="s">
        <v>304</v>
      </c>
      <c r="H51" s="57">
        <v>46168</v>
      </c>
      <c r="I51" s="3" t="s">
        <v>538</v>
      </c>
      <c r="J51" s="49">
        <v>32</v>
      </c>
      <c r="K51" s="20"/>
      <c r="L51" s="20"/>
      <c r="M51" s="20"/>
      <c r="N51" s="20"/>
      <c r="O51" s="20"/>
      <c r="P51" s="20"/>
    </row>
    <row r="52" spans="1:16" ht="30" customHeight="1">
      <c r="A52" s="17">
        <v>49</v>
      </c>
      <c r="B52" s="2" t="s">
        <v>429</v>
      </c>
      <c r="C52" s="2" t="s">
        <v>501</v>
      </c>
      <c r="D52" s="2" t="s">
        <v>501</v>
      </c>
      <c r="E52" s="112">
        <v>46163</v>
      </c>
      <c r="F52" s="59">
        <f>VLOOKUP(D52,'[1]Tower Weight Individual'!$S$13:$Y$50,7,0)/1000</f>
        <v>24.041023000000003</v>
      </c>
      <c r="G52" s="34" t="s">
        <v>304</v>
      </c>
      <c r="H52" s="57">
        <v>46170</v>
      </c>
      <c r="I52" s="3" t="s">
        <v>537</v>
      </c>
      <c r="J52" s="3">
        <v>26</v>
      </c>
      <c r="K52" s="20"/>
      <c r="L52" s="20"/>
      <c r="M52" s="20"/>
      <c r="N52" s="20"/>
      <c r="O52" s="20"/>
      <c r="P52" s="20"/>
    </row>
    <row r="53" spans="1:16" ht="30" customHeight="1">
      <c r="A53" s="17">
        <v>50</v>
      </c>
      <c r="B53" s="2" t="s">
        <v>96</v>
      </c>
      <c r="C53" s="2" t="s">
        <v>549</v>
      </c>
      <c r="D53" s="2" t="s">
        <v>584</v>
      </c>
      <c r="E53" s="112">
        <v>46168</v>
      </c>
      <c r="F53" s="59">
        <f>VLOOKUP(D53,'[1]Tower Weight Individual'!$S$13:$Y$50,7,0)/1000</f>
        <v>31.667057</v>
      </c>
      <c r="G53" s="34" t="s">
        <v>304</v>
      </c>
      <c r="H53" s="57">
        <v>46171</v>
      </c>
      <c r="I53" s="3" t="s">
        <v>534</v>
      </c>
      <c r="J53" s="3">
        <v>23</v>
      </c>
      <c r="K53" s="46"/>
      <c r="L53" s="45"/>
      <c r="M53" s="20"/>
      <c r="N53" s="20"/>
      <c r="O53" s="20"/>
      <c r="P53" s="20"/>
    </row>
    <row r="54" spans="1:16" ht="30" customHeight="1">
      <c r="A54" s="17">
        <v>51</v>
      </c>
      <c r="B54" s="2" t="s">
        <v>108</v>
      </c>
      <c r="C54" s="2" t="s">
        <v>550</v>
      </c>
      <c r="D54" s="2" t="s">
        <v>583</v>
      </c>
      <c r="E54" s="112">
        <v>111907</v>
      </c>
      <c r="F54" s="59">
        <f>VLOOKUP(D54,'[1]Tower Weight Individual'!$S$13:$Y$50,7,0)/1000</f>
        <v>42.197071999999999</v>
      </c>
      <c r="G54" s="34" t="s">
        <v>304</v>
      </c>
      <c r="H54" s="57">
        <v>46171</v>
      </c>
      <c r="I54" s="3" t="s">
        <v>564</v>
      </c>
      <c r="J54" s="3">
        <v>22</v>
      </c>
      <c r="K54" s="20"/>
      <c r="L54" s="20"/>
      <c r="M54" s="20"/>
      <c r="N54" s="20"/>
      <c r="O54" s="20"/>
      <c r="P54" s="20"/>
    </row>
    <row r="55" spans="1:16" ht="30" customHeight="1">
      <c r="A55" s="17">
        <v>52</v>
      </c>
      <c r="B55" s="2" t="s">
        <v>430</v>
      </c>
      <c r="C55" s="2" t="s">
        <v>501</v>
      </c>
      <c r="D55" s="2" t="s">
        <v>501</v>
      </c>
      <c r="E55" s="112">
        <v>46163</v>
      </c>
      <c r="F55" s="59">
        <f>VLOOKUP(D55,'[1]Tower Weight Individual'!$S$13:$Y$50,7,0)/1000</f>
        <v>24.041023000000003</v>
      </c>
      <c r="G55" s="34" t="s">
        <v>304</v>
      </c>
      <c r="H55" s="57">
        <v>46173</v>
      </c>
      <c r="I55" s="3" t="s">
        <v>537</v>
      </c>
      <c r="J55" s="9">
        <v>26</v>
      </c>
      <c r="K55" s="9"/>
      <c r="L55" s="9"/>
      <c r="M55" s="2"/>
      <c r="N55" s="2"/>
      <c r="O55" s="2"/>
      <c r="P55" s="2"/>
    </row>
    <row r="56" spans="1:16" ht="30" customHeight="1">
      <c r="A56" s="17">
        <v>53</v>
      </c>
      <c r="B56" s="2" t="s">
        <v>443</v>
      </c>
      <c r="C56" s="2" t="s">
        <v>503</v>
      </c>
      <c r="D56" s="2" t="s">
        <v>503</v>
      </c>
      <c r="E56" s="112">
        <v>46169</v>
      </c>
      <c r="F56" s="59">
        <f>VLOOKUP(D56,'[1]Tower Weight Individual'!$S$13:$Y$50,7,0)/1000</f>
        <v>26.764163</v>
      </c>
      <c r="G56" s="34" t="s">
        <v>304</v>
      </c>
      <c r="H56" s="57">
        <v>46174</v>
      </c>
      <c r="I56" s="3" t="s">
        <v>538</v>
      </c>
      <c r="J56" s="3">
        <v>26</v>
      </c>
      <c r="K56" s="20"/>
      <c r="L56" s="20"/>
      <c r="M56" s="20"/>
      <c r="N56" s="20"/>
      <c r="O56" s="20"/>
      <c r="P56" s="20"/>
    </row>
    <row r="57" spans="1:16" ht="30" customHeight="1">
      <c r="A57" s="17">
        <v>54</v>
      </c>
      <c r="B57" s="2" t="s">
        <v>123</v>
      </c>
      <c r="C57" s="2" t="s">
        <v>509</v>
      </c>
      <c r="D57" s="2" t="s">
        <v>509</v>
      </c>
      <c r="E57" s="112">
        <v>46172</v>
      </c>
      <c r="F57" s="59">
        <f>VLOOKUP(D57,'[1]Tower Weight Individual'!$S$13:$Y$50,7,0)/1000</f>
        <v>27.965095000000002</v>
      </c>
      <c r="G57" s="34" t="s">
        <v>304</v>
      </c>
      <c r="H57" s="57">
        <v>46175</v>
      </c>
      <c r="I57" s="3" t="s">
        <v>534</v>
      </c>
      <c r="J57" s="3">
        <v>25</v>
      </c>
      <c r="K57" s="20"/>
      <c r="L57" s="20"/>
      <c r="M57" s="20"/>
      <c r="N57" s="20"/>
      <c r="O57" s="20"/>
      <c r="P57" s="20"/>
    </row>
    <row r="58" spans="1:16" ht="30" customHeight="1">
      <c r="A58" s="17">
        <v>55</v>
      </c>
      <c r="B58" s="2" t="s">
        <v>449</v>
      </c>
      <c r="C58" s="2" t="s">
        <v>504</v>
      </c>
      <c r="D58" s="2" t="s">
        <v>504</v>
      </c>
      <c r="E58" s="112">
        <v>46175</v>
      </c>
      <c r="F58" s="59">
        <f>VLOOKUP(D58,'[1]Tower Weight Individual'!$S$13:$Y$50,7,0)/1000</f>
        <v>22.923735000000001</v>
      </c>
      <c r="G58" s="34" t="s">
        <v>304</v>
      </c>
      <c r="H58" s="57">
        <v>46176</v>
      </c>
      <c r="I58" s="3" t="s">
        <v>534</v>
      </c>
      <c r="J58" s="3">
        <v>23</v>
      </c>
      <c r="K58" s="20"/>
      <c r="L58" s="20"/>
      <c r="M58" s="20"/>
      <c r="N58" s="20"/>
      <c r="O58" s="20"/>
      <c r="P58" s="20"/>
    </row>
    <row r="59" spans="1:16" ht="30" customHeight="1">
      <c r="A59" s="17">
        <v>56</v>
      </c>
      <c r="B59" s="2" t="s">
        <v>461</v>
      </c>
      <c r="C59" s="2" t="s">
        <v>504</v>
      </c>
      <c r="D59" s="2" t="s">
        <v>504</v>
      </c>
      <c r="E59" s="112">
        <v>46172</v>
      </c>
      <c r="F59" s="59">
        <f>VLOOKUP(D59,'[1]Tower Weight Individual'!$S$13:$Y$50,7,0)/1000</f>
        <v>22.923735000000001</v>
      </c>
      <c r="G59" s="34" t="s">
        <v>304</v>
      </c>
      <c r="H59" s="57">
        <v>46176</v>
      </c>
      <c r="I59" s="3" t="s">
        <v>535</v>
      </c>
      <c r="J59" s="3">
        <v>24</v>
      </c>
      <c r="K59" s="20"/>
      <c r="L59" s="20"/>
      <c r="M59" s="20"/>
      <c r="N59" s="20"/>
      <c r="O59" s="20"/>
      <c r="P59" s="20"/>
    </row>
    <row r="60" spans="1:16" ht="33.5" customHeight="1">
      <c r="A60" s="17">
        <v>57</v>
      </c>
      <c r="B60" s="2" t="s">
        <v>122</v>
      </c>
      <c r="C60" s="2" t="s">
        <v>503</v>
      </c>
      <c r="D60" s="2" t="s">
        <v>503</v>
      </c>
      <c r="E60" s="112">
        <v>46176</v>
      </c>
      <c r="F60" s="59">
        <f>VLOOKUP(D60,'[1]Tower Weight Individual'!$S$13:$Y$50,7,0)/1000</f>
        <v>26.764163</v>
      </c>
      <c r="G60" s="34" t="s">
        <v>304</v>
      </c>
      <c r="H60" s="57">
        <v>46179</v>
      </c>
      <c r="I60" s="3" t="s">
        <v>534</v>
      </c>
      <c r="J60" s="3">
        <v>35</v>
      </c>
      <c r="K60" s="20"/>
      <c r="L60" s="20"/>
      <c r="M60" s="20"/>
      <c r="N60" s="20"/>
      <c r="O60" s="20"/>
      <c r="P60" s="20"/>
    </row>
    <row r="61" spans="1:16" ht="33.5" customHeight="1">
      <c r="A61" s="17">
        <v>58</v>
      </c>
      <c r="B61" s="2" t="s">
        <v>437</v>
      </c>
      <c r="C61" s="2" t="s">
        <v>504</v>
      </c>
      <c r="D61" s="2" t="s">
        <v>504</v>
      </c>
      <c r="E61" s="112">
        <v>46174</v>
      </c>
      <c r="F61" s="59">
        <f>VLOOKUP(D61,'[1]Tower Weight Individual'!$S$13:$Y$50,7,0)/1000</f>
        <v>22.923735000000001</v>
      </c>
      <c r="G61" s="34" t="s">
        <v>304</v>
      </c>
      <c r="H61" s="57">
        <v>46180</v>
      </c>
      <c r="I61" s="3" t="s">
        <v>538</v>
      </c>
      <c r="J61" s="9">
        <v>26</v>
      </c>
      <c r="K61" s="9"/>
      <c r="L61" s="9"/>
      <c r="M61" s="2"/>
      <c r="N61" s="2"/>
      <c r="O61" s="2"/>
      <c r="P61" s="2"/>
    </row>
    <row r="62" spans="1:16" ht="33.5" customHeight="1">
      <c r="A62" s="17">
        <v>59</v>
      </c>
      <c r="B62" s="2" t="s">
        <v>98</v>
      </c>
      <c r="C62" s="2" t="s">
        <v>501</v>
      </c>
      <c r="D62" s="2" t="s">
        <v>501</v>
      </c>
      <c r="E62" s="112">
        <v>46176</v>
      </c>
      <c r="F62" s="59">
        <f>VLOOKUP(D62,'[1]Tower Weight Individual'!$S$13:$Y$50,7,0)/1000</f>
        <v>24.041023000000003</v>
      </c>
      <c r="G62" s="34" t="s">
        <v>304</v>
      </c>
      <c r="H62" s="57">
        <v>46180</v>
      </c>
      <c r="I62" s="3" t="s">
        <v>535</v>
      </c>
      <c r="J62" s="3">
        <v>22</v>
      </c>
      <c r="K62" s="20"/>
      <c r="L62" s="20"/>
      <c r="M62" s="20"/>
      <c r="N62" s="20"/>
      <c r="O62" s="20"/>
      <c r="P62" s="20"/>
    </row>
    <row r="63" spans="1:16" ht="33.5" customHeight="1">
      <c r="A63" s="17">
        <v>60</v>
      </c>
      <c r="B63" s="2" t="s">
        <v>450</v>
      </c>
      <c r="C63" s="2" t="s">
        <v>501</v>
      </c>
      <c r="D63" s="2" t="s">
        <v>501</v>
      </c>
      <c r="E63" s="112">
        <v>46179</v>
      </c>
      <c r="F63" s="59">
        <f>VLOOKUP(D63,'[1]Tower Weight Individual'!$S$13:$Y$50,7,0)/1000</f>
        <v>24.041023000000003</v>
      </c>
      <c r="G63" s="34" t="s">
        <v>304</v>
      </c>
      <c r="H63" s="57">
        <v>46180</v>
      </c>
      <c r="I63" s="3" t="s">
        <v>536</v>
      </c>
      <c r="J63" s="3">
        <v>23</v>
      </c>
      <c r="K63" s="20"/>
      <c r="L63" s="20"/>
      <c r="M63" s="20"/>
      <c r="N63" s="20"/>
      <c r="O63" s="20"/>
      <c r="P63" s="20"/>
    </row>
    <row r="64" spans="1:16" ht="33.5" customHeight="1">
      <c r="A64" s="17">
        <v>61</v>
      </c>
      <c r="B64" s="2" t="s">
        <v>420</v>
      </c>
      <c r="C64" s="2" t="s">
        <v>509</v>
      </c>
      <c r="D64" s="2" t="s">
        <v>509</v>
      </c>
      <c r="E64" s="112">
        <v>46173</v>
      </c>
      <c r="F64" s="59">
        <f>VLOOKUP(D64,'[1]Tower Weight Individual'!$S$13:$Y$50,7,0)/1000</f>
        <v>27.965095000000002</v>
      </c>
      <c r="G64" s="34" t="s">
        <v>304</v>
      </c>
      <c r="H64" s="57">
        <v>46181</v>
      </c>
      <c r="I64" s="3" t="s">
        <v>537</v>
      </c>
      <c r="J64" s="9">
        <v>24</v>
      </c>
      <c r="K64" s="9"/>
      <c r="L64" s="9"/>
      <c r="M64" s="2"/>
      <c r="N64" s="2"/>
      <c r="O64" s="2"/>
      <c r="P64" s="2"/>
    </row>
    <row r="65" spans="1:17" ht="33.5" customHeight="1">
      <c r="A65" s="17">
        <v>62</v>
      </c>
      <c r="B65" s="2" t="s">
        <v>88</v>
      </c>
      <c r="C65" s="2" t="s">
        <v>503</v>
      </c>
      <c r="D65" s="2" t="s">
        <v>503</v>
      </c>
      <c r="E65" s="112">
        <v>46180</v>
      </c>
      <c r="F65" s="59">
        <f>VLOOKUP(D65,'[1]Tower Weight Individual'!$S$13:$Y$50,7,0)/1000</f>
        <v>26.764163</v>
      </c>
      <c r="G65" s="34" t="s">
        <v>304</v>
      </c>
      <c r="H65" s="57">
        <v>46184</v>
      </c>
      <c r="I65" s="3" t="s">
        <v>536</v>
      </c>
      <c r="J65" s="3">
        <v>23</v>
      </c>
      <c r="K65" s="20"/>
      <c r="L65" s="20"/>
      <c r="M65" s="20"/>
      <c r="N65" s="20"/>
      <c r="O65" s="20"/>
      <c r="P65" s="20"/>
    </row>
    <row r="66" spans="1:17" ht="33.5" customHeight="1">
      <c r="A66" s="17">
        <v>63</v>
      </c>
      <c r="B66" s="2" t="s">
        <v>99</v>
      </c>
      <c r="C66" s="2" t="s">
        <v>504</v>
      </c>
      <c r="D66" s="2" t="s">
        <v>504</v>
      </c>
      <c r="E66" s="112">
        <v>46180</v>
      </c>
      <c r="F66" s="59">
        <f>VLOOKUP(D66,'[1]Tower Weight Individual'!$S$13:$Y$50,7,0)/1000</f>
        <v>22.923735000000001</v>
      </c>
      <c r="G66" s="34" t="s">
        <v>304</v>
      </c>
      <c r="H66" s="57">
        <v>46184</v>
      </c>
      <c r="I66" s="3" t="s">
        <v>541</v>
      </c>
      <c r="J66" s="3">
        <v>22</v>
      </c>
      <c r="K66" s="20"/>
      <c r="L66" s="20"/>
      <c r="M66" s="20"/>
      <c r="N66" s="20"/>
      <c r="O66" s="20"/>
      <c r="P66" s="20"/>
    </row>
    <row r="67" spans="1:17" ht="33.5" customHeight="1">
      <c r="A67" s="17">
        <v>64</v>
      </c>
      <c r="B67" s="2" t="s">
        <v>416</v>
      </c>
      <c r="C67" s="2" t="s">
        <v>504</v>
      </c>
      <c r="D67" s="2" t="s">
        <v>504</v>
      </c>
      <c r="E67" s="112">
        <v>46181</v>
      </c>
      <c r="F67" s="59">
        <f>VLOOKUP(D67,'[1]Tower Weight Individual'!$S$13:$Y$50,7,0)/1000</f>
        <v>22.923735000000001</v>
      </c>
      <c r="G67" s="34" t="s">
        <v>304</v>
      </c>
      <c r="H67" s="57">
        <v>46185</v>
      </c>
      <c r="I67" s="3" t="s">
        <v>537</v>
      </c>
      <c r="J67" s="3">
        <v>24</v>
      </c>
      <c r="K67" s="20"/>
      <c r="L67" s="20"/>
      <c r="M67" s="20"/>
      <c r="N67" s="20"/>
      <c r="O67" s="20"/>
      <c r="P67" s="20"/>
    </row>
    <row r="68" spans="1:17" s="91" customFormat="1" ht="27.5" customHeight="1">
      <c r="A68" s="17">
        <v>65</v>
      </c>
      <c r="B68" s="2" t="s">
        <v>448</v>
      </c>
      <c r="C68" s="2" t="s">
        <v>547</v>
      </c>
      <c r="D68" s="2" t="s">
        <v>581</v>
      </c>
      <c r="E68" s="112">
        <v>46183</v>
      </c>
      <c r="F68" s="59">
        <f>VLOOKUP(D68,'[1]Tower Weight Individual'!$S$13:$Y$50,7,0)/1000</f>
        <v>30.257179000000001</v>
      </c>
      <c r="G68" s="34" t="s">
        <v>304</v>
      </c>
      <c r="H68" s="57">
        <v>46186</v>
      </c>
      <c r="I68" s="3" t="s">
        <v>577</v>
      </c>
      <c r="J68" s="3">
        <v>26</v>
      </c>
      <c r="K68" s="3"/>
      <c r="L68" s="3"/>
      <c r="M68" s="3"/>
      <c r="N68" s="3"/>
      <c r="O68" s="3"/>
      <c r="P68" s="3"/>
    </row>
    <row r="69" spans="1:17" ht="33.5" customHeight="1">
      <c r="A69" s="17">
        <v>66</v>
      </c>
      <c r="B69" s="2" t="s">
        <v>451</v>
      </c>
      <c r="C69" s="2" t="s">
        <v>509</v>
      </c>
      <c r="D69" s="2" t="s">
        <v>509</v>
      </c>
      <c r="E69" s="112">
        <v>46180</v>
      </c>
      <c r="F69" s="59">
        <f>VLOOKUP(D69,'[1]Tower Weight Individual'!$S$13:$Y$50,7,0)/1000</f>
        <v>27.965095000000002</v>
      </c>
      <c r="G69" s="34" t="s">
        <v>304</v>
      </c>
      <c r="H69" s="57">
        <v>46187</v>
      </c>
      <c r="I69" s="3" t="s">
        <v>536</v>
      </c>
      <c r="J69" s="3">
        <v>26</v>
      </c>
      <c r="K69" s="20"/>
      <c r="L69" s="20"/>
      <c r="M69" s="20"/>
      <c r="N69" s="20"/>
      <c r="O69" s="20"/>
      <c r="P69" s="20"/>
    </row>
    <row r="70" spans="1:17" s="91" customFormat="1" ht="27.5" customHeight="1">
      <c r="A70" s="17">
        <v>67</v>
      </c>
      <c r="B70" s="2" t="s">
        <v>458</v>
      </c>
      <c r="C70" s="2" t="s">
        <v>504</v>
      </c>
      <c r="D70" s="2" t="s">
        <v>504</v>
      </c>
      <c r="E70" s="112">
        <v>46185</v>
      </c>
      <c r="F70" s="59">
        <f>VLOOKUP(D70,'[1]Tower Weight Individual'!$S$13:$Y$50,7,0)/1000</f>
        <v>22.923735000000001</v>
      </c>
      <c r="G70" s="34" t="s">
        <v>304</v>
      </c>
      <c r="H70" s="57">
        <v>46187</v>
      </c>
      <c r="I70" s="3" t="s">
        <v>579</v>
      </c>
      <c r="J70" s="3">
        <v>22</v>
      </c>
      <c r="K70" s="3"/>
      <c r="L70" s="3"/>
      <c r="M70" s="3"/>
      <c r="N70" s="3"/>
      <c r="O70" s="3"/>
      <c r="P70" s="3"/>
    </row>
    <row r="71" spans="1:17" ht="29" customHeight="1">
      <c r="A71" s="17">
        <v>68</v>
      </c>
      <c r="B71" s="2" t="s">
        <v>402</v>
      </c>
      <c r="C71" s="2" t="s">
        <v>504</v>
      </c>
      <c r="D71" s="2" t="s">
        <v>504</v>
      </c>
      <c r="E71" s="112">
        <v>46181</v>
      </c>
      <c r="F71" s="59">
        <f>VLOOKUP(D71,'[1]Tower Weight Individual'!$S$13:$Y$50,7,0)/1000</f>
        <v>22.923735000000001</v>
      </c>
      <c r="G71" s="34" t="s">
        <v>304</v>
      </c>
      <c r="H71" s="57">
        <v>46188</v>
      </c>
      <c r="I71" s="3" t="s">
        <v>538</v>
      </c>
      <c r="J71" s="3">
        <v>26</v>
      </c>
      <c r="K71" s="106"/>
      <c r="L71" s="20"/>
      <c r="M71" s="20"/>
      <c r="N71" s="20"/>
      <c r="O71" s="20"/>
      <c r="P71" s="20"/>
    </row>
    <row r="72" spans="1:17" ht="32" customHeight="1">
      <c r="A72" s="17">
        <v>69</v>
      </c>
      <c r="B72" s="119" t="s">
        <v>87</v>
      </c>
      <c r="C72" s="2" t="s">
        <v>504</v>
      </c>
      <c r="D72" s="2" t="s">
        <v>504</v>
      </c>
      <c r="E72" s="112">
        <v>46186</v>
      </c>
      <c r="F72" s="59">
        <f>VLOOKUP(D72,'[1]Tower Weight Individual'!$S$13:$Y$50,7,0)/1000</f>
        <v>22.923735000000001</v>
      </c>
      <c r="G72" s="34" t="s">
        <v>304</v>
      </c>
      <c r="H72" s="57">
        <v>46188</v>
      </c>
      <c r="I72" s="3" t="s">
        <v>580</v>
      </c>
      <c r="J72" s="3">
        <v>26</v>
      </c>
      <c r="K72" s="3"/>
      <c r="L72" s="21"/>
      <c r="M72" s="21"/>
      <c r="N72" s="21"/>
      <c r="O72" s="21"/>
      <c r="P72" s="21"/>
    </row>
    <row r="73" spans="1:17" s="91" customFormat="1" ht="32" customHeight="1">
      <c r="A73" s="17">
        <v>70</v>
      </c>
      <c r="B73" s="2" t="s">
        <v>418</v>
      </c>
      <c r="C73" s="2" t="s">
        <v>501</v>
      </c>
      <c r="D73" s="2" t="s">
        <v>501</v>
      </c>
      <c r="E73" s="112">
        <v>46185</v>
      </c>
      <c r="F73" s="59">
        <f>VLOOKUP(D73,'[1]Tower Weight Individual'!$S$13:$Y$50,7,0)/1000</f>
        <v>24.041023000000003</v>
      </c>
      <c r="G73" s="34" t="s">
        <v>304</v>
      </c>
      <c r="H73" s="57">
        <v>46190</v>
      </c>
      <c r="I73" s="3" t="s">
        <v>537</v>
      </c>
      <c r="J73" s="3">
        <v>24</v>
      </c>
      <c r="K73" s="3"/>
      <c r="L73" s="3"/>
      <c r="M73" s="3"/>
      <c r="N73" s="3"/>
      <c r="O73" s="3"/>
      <c r="P73" s="3"/>
      <c r="Q73" s="120"/>
    </row>
    <row r="74" spans="1:17" ht="33" customHeight="1">
      <c r="A74" s="17">
        <v>71</v>
      </c>
      <c r="B74" s="2" t="s">
        <v>399</v>
      </c>
      <c r="C74" s="2" t="s">
        <v>504</v>
      </c>
      <c r="D74" s="2" t="s">
        <v>504</v>
      </c>
      <c r="E74" s="112">
        <v>46188</v>
      </c>
      <c r="F74" s="59">
        <f>VLOOKUP(D74,'[1]Tower Weight Individual'!$S$13:$Y$50,7,0)/1000</f>
        <v>22.923735000000001</v>
      </c>
      <c r="G74" s="34" t="s">
        <v>304</v>
      </c>
      <c r="H74" s="57">
        <v>46192</v>
      </c>
      <c r="I74" s="3" t="s">
        <v>538</v>
      </c>
      <c r="J74" s="3">
        <v>26</v>
      </c>
      <c r="K74" s="3"/>
      <c r="L74" s="3"/>
      <c r="M74" s="3"/>
      <c r="N74" s="3"/>
      <c r="O74" s="3"/>
      <c r="P74" s="3"/>
      <c r="Q74" s="44"/>
    </row>
    <row r="75" spans="1:17" ht="32" customHeight="1">
      <c r="A75" s="17">
        <v>72</v>
      </c>
      <c r="B75" s="2" t="s">
        <v>444</v>
      </c>
      <c r="C75" s="2" t="s">
        <v>558</v>
      </c>
      <c r="D75" s="2" t="s">
        <v>582</v>
      </c>
      <c r="E75" s="112">
        <v>46189</v>
      </c>
      <c r="F75" s="59">
        <f>VLOOKUP(D75,'[1]Tower Weight Individual'!$S$13:$Y$50,7,0)/1000</f>
        <v>36.178663999999998</v>
      </c>
      <c r="G75" s="34" t="s">
        <v>304</v>
      </c>
      <c r="H75" s="57">
        <v>46192</v>
      </c>
      <c r="I75" s="3" t="s">
        <v>580</v>
      </c>
      <c r="J75" s="3">
        <v>26</v>
      </c>
      <c r="K75" s="3"/>
      <c r="L75" s="3"/>
      <c r="M75" s="3"/>
      <c r="N75" s="3"/>
      <c r="O75" s="3"/>
      <c r="P75" s="3"/>
      <c r="Q75" s="44"/>
    </row>
    <row r="76" spans="1:17" ht="33" customHeight="1">
      <c r="A76" s="17">
        <v>73</v>
      </c>
      <c r="B76" s="2" t="s">
        <v>97</v>
      </c>
      <c r="C76" s="2" t="s">
        <v>551</v>
      </c>
      <c r="D76" s="2" t="s">
        <v>581</v>
      </c>
      <c r="E76" s="112">
        <v>46187</v>
      </c>
      <c r="F76" s="59">
        <f>VLOOKUP(D76,'[1]Tower Weight Individual'!$S$13:$Y$50,7,0)/1000</f>
        <v>30.257179000000001</v>
      </c>
      <c r="G76" s="34" t="s">
        <v>304</v>
      </c>
      <c r="H76" s="57">
        <v>46194</v>
      </c>
      <c r="I76" s="3" t="s">
        <v>541</v>
      </c>
      <c r="J76" s="3">
        <v>22</v>
      </c>
      <c r="K76" s="3"/>
      <c r="L76" s="3"/>
      <c r="M76" s="21"/>
      <c r="N76" s="21"/>
      <c r="O76" s="21"/>
      <c r="P76" s="21"/>
      <c r="Q76" s="44"/>
    </row>
    <row r="77" spans="1:17" ht="29.5" customHeight="1">
      <c r="A77" s="3">
        <v>74</v>
      </c>
      <c r="B77" s="2" t="s">
        <v>400</v>
      </c>
      <c r="C77" s="2" t="s">
        <v>504</v>
      </c>
      <c r="D77" s="2" t="s">
        <v>504</v>
      </c>
      <c r="E77" s="35">
        <v>46193</v>
      </c>
      <c r="F77" s="121">
        <f>VLOOKUP(D77,'[1]Tower Weight Individual'!$S$13:$Y$50,7,0)/1000</f>
        <v>22.923735000000001</v>
      </c>
      <c r="G77" s="34" t="s">
        <v>304</v>
      </c>
      <c r="H77" s="57">
        <v>46198</v>
      </c>
      <c r="I77" s="3" t="s">
        <v>538</v>
      </c>
      <c r="J77" s="3">
        <v>26</v>
      </c>
      <c r="K77" s="20"/>
      <c r="L77" s="3"/>
      <c r="M77" s="20"/>
      <c r="N77" s="20"/>
      <c r="O77" s="20"/>
      <c r="P77" s="20"/>
    </row>
    <row r="78" spans="1:17" ht="29.5" customHeight="1">
      <c r="A78" s="3">
        <v>75</v>
      </c>
      <c r="B78" s="2" t="s">
        <v>500</v>
      </c>
      <c r="C78" s="2" t="s">
        <v>509</v>
      </c>
      <c r="D78" s="2" t="s">
        <v>509</v>
      </c>
      <c r="E78" s="35">
        <v>111936</v>
      </c>
      <c r="F78" s="121">
        <f>VLOOKUP(D78,'[1]Tower Weight Individual'!$S$13:$Y$50,7,0)/1000</f>
        <v>27.965095000000002</v>
      </c>
      <c r="G78" s="34" t="s">
        <v>304</v>
      </c>
      <c r="H78" s="57">
        <v>46198</v>
      </c>
      <c r="I78" s="3" t="s">
        <v>587</v>
      </c>
      <c r="J78" s="3">
        <v>26</v>
      </c>
      <c r="K78" s="20"/>
      <c r="L78" s="3"/>
      <c r="M78" s="20"/>
      <c r="N78" s="20"/>
      <c r="O78" s="20"/>
      <c r="P78" s="20"/>
    </row>
    <row r="79" spans="1:17" s="4" customFormat="1" ht="29.5" customHeight="1">
      <c r="A79" s="3">
        <v>76</v>
      </c>
      <c r="B79" s="2" t="s">
        <v>419</v>
      </c>
      <c r="C79" s="2" t="s">
        <v>552</v>
      </c>
      <c r="D79" s="2" t="s">
        <v>582</v>
      </c>
      <c r="E79" s="35">
        <v>46191</v>
      </c>
      <c r="F79" s="121">
        <f>VLOOKUP(D79,'[1]Tower Weight Individual'!$S$13:$Y$50,7,0)/1000</f>
        <v>36.178663999999998</v>
      </c>
      <c r="G79" s="34" t="s">
        <v>304</v>
      </c>
      <c r="H79" s="57">
        <v>46199</v>
      </c>
      <c r="I79" s="106" t="s">
        <v>537</v>
      </c>
      <c r="J79" s="3">
        <v>24</v>
      </c>
      <c r="K79" s="106"/>
      <c r="L79" s="106"/>
      <c r="M79" s="106"/>
      <c r="N79" s="106"/>
      <c r="O79" s="106"/>
      <c r="P79" s="106"/>
    </row>
    <row r="80" spans="1:17" ht="28" customHeight="1">
      <c r="A80" s="3">
        <v>77</v>
      </c>
      <c r="B80" s="2" t="s">
        <v>468</v>
      </c>
      <c r="C80" s="2" t="s">
        <v>509</v>
      </c>
      <c r="D80" s="2" t="s">
        <v>509</v>
      </c>
      <c r="E80" s="35">
        <v>46195</v>
      </c>
      <c r="F80" s="121">
        <f>VLOOKUP(D80,'[1]Tower Weight Individual'!$S$13:$Y$50,7,0)/1000</f>
        <v>27.965095000000002</v>
      </c>
      <c r="G80" s="34" t="s">
        <v>304</v>
      </c>
      <c r="H80" s="57">
        <v>46199</v>
      </c>
      <c r="I80" s="3" t="s">
        <v>585</v>
      </c>
      <c r="J80" s="3">
        <v>22</v>
      </c>
      <c r="K80" s="20"/>
      <c r="L80" s="3"/>
      <c r="M80" s="20"/>
      <c r="N80" s="20"/>
      <c r="O80" s="20"/>
      <c r="P80" s="20"/>
    </row>
    <row r="81" spans="1:16" ht="28" customHeight="1">
      <c r="A81" s="3">
        <v>78</v>
      </c>
      <c r="B81" s="2" t="s">
        <v>421</v>
      </c>
      <c r="C81" s="2" t="s">
        <v>501</v>
      </c>
      <c r="D81" s="2" t="s">
        <v>501</v>
      </c>
      <c r="E81" s="35">
        <v>46199</v>
      </c>
      <c r="F81" s="121">
        <f>VLOOKUP(D81,'[1]Tower Weight Individual'!$S$13:$Y$50,7,0)/1000</f>
        <v>24.041023000000003</v>
      </c>
      <c r="G81" s="34" t="s">
        <v>304</v>
      </c>
      <c r="H81" s="57">
        <v>46203</v>
      </c>
      <c r="I81" s="3" t="s">
        <v>537</v>
      </c>
      <c r="J81" s="3">
        <v>24</v>
      </c>
      <c r="K81" s="20"/>
      <c r="L81" s="20"/>
      <c r="M81" s="20"/>
      <c r="N81" s="20"/>
      <c r="O81" s="20"/>
      <c r="P81" s="20"/>
    </row>
    <row r="82" spans="1:16" ht="28" customHeight="1">
      <c r="A82" s="3">
        <v>79</v>
      </c>
      <c r="B82" s="9" t="s">
        <v>398</v>
      </c>
      <c r="C82" s="2" t="s">
        <v>501</v>
      </c>
      <c r="D82" s="2" t="s">
        <v>501</v>
      </c>
      <c r="E82" s="35">
        <v>46198</v>
      </c>
      <c r="F82" s="121">
        <f>VLOOKUP(D82,'[1]Tower Weight Individual'!$S$13:$Y$50,7,0)/1000</f>
        <v>24.041023000000003</v>
      </c>
      <c r="G82" s="34" t="s">
        <v>304</v>
      </c>
      <c r="H82" s="57">
        <v>46204</v>
      </c>
      <c r="I82" s="3" t="s">
        <v>538</v>
      </c>
      <c r="J82" s="3">
        <v>26</v>
      </c>
      <c r="K82" s="20"/>
      <c r="L82" s="20"/>
      <c r="M82" s="20"/>
      <c r="N82" s="20"/>
      <c r="O82" s="20"/>
      <c r="P82" s="20"/>
    </row>
    <row r="83" spans="1:16" ht="27.5" customHeight="1">
      <c r="A83" s="3">
        <v>80</v>
      </c>
      <c r="B83" s="2" t="s">
        <v>381</v>
      </c>
      <c r="C83" s="2" t="s">
        <v>504</v>
      </c>
      <c r="D83" s="2" t="s">
        <v>504</v>
      </c>
      <c r="E83" s="35">
        <v>46203</v>
      </c>
      <c r="F83" s="121">
        <f>VLOOKUP(D83,'[1]Tower Weight Individual'!$S$13:$Y$50,7,0)/1000</f>
        <v>22.923735000000001</v>
      </c>
      <c r="G83" s="34" t="s">
        <v>304</v>
      </c>
      <c r="H83" s="57">
        <v>46207</v>
      </c>
      <c r="I83" s="3" t="s">
        <v>564</v>
      </c>
      <c r="J83" s="3">
        <v>26</v>
      </c>
      <c r="K83" s="21"/>
      <c r="L83" s="21"/>
      <c r="M83" s="21"/>
      <c r="N83" s="21"/>
      <c r="O83" s="21"/>
      <c r="P83" s="21"/>
    </row>
    <row r="84" spans="1:16" ht="27.5" customHeight="1">
      <c r="A84" s="3">
        <v>81</v>
      </c>
      <c r="B84" s="2" t="s">
        <v>412</v>
      </c>
      <c r="C84" s="2" t="s">
        <v>504</v>
      </c>
      <c r="D84" s="2" t="s">
        <v>504</v>
      </c>
      <c r="E84" s="35">
        <v>46198</v>
      </c>
      <c r="F84" s="121">
        <f>VLOOKUP(D84,'[1]Tower Weight Individual'!$S$13:$Y$50,7,0)/1000</f>
        <v>22.923735000000001</v>
      </c>
      <c r="G84" s="34" t="s">
        <v>304</v>
      </c>
      <c r="H84" s="57">
        <v>46209</v>
      </c>
      <c r="I84" s="3" t="s">
        <v>587</v>
      </c>
      <c r="J84" s="3">
        <v>22</v>
      </c>
      <c r="K84" s="20"/>
      <c r="L84" s="20"/>
      <c r="M84" s="20"/>
      <c r="N84" s="20"/>
      <c r="O84" s="20"/>
      <c r="P84" s="20"/>
    </row>
    <row r="85" spans="1:16" ht="28.5" customHeight="1">
      <c r="A85" s="3">
        <v>82</v>
      </c>
      <c r="B85" s="2" t="s">
        <v>393</v>
      </c>
      <c r="C85" s="2" t="s">
        <v>504</v>
      </c>
      <c r="D85" s="2" t="s">
        <v>504</v>
      </c>
      <c r="E85" s="35">
        <v>46203</v>
      </c>
      <c r="F85" s="121">
        <f>VLOOKUP(D85,'[1]Tower Weight Individual'!$S$13:$Y$50,7,0)/1000</f>
        <v>22.923735000000001</v>
      </c>
      <c r="G85" s="34" t="s">
        <v>304</v>
      </c>
      <c r="H85" s="57">
        <v>46209</v>
      </c>
      <c r="I85" s="3" t="s">
        <v>538</v>
      </c>
      <c r="J85" s="3">
        <v>26</v>
      </c>
      <c r="K85" s="20"/>
      <c r="L85" s="20"/>
      <c r="M85" s="20"/>
      <c r="N85" s="20"/>
      <c r="O85" s="20"/>
      <c r="P85" s="20"/>
    </row>
    <row r="86" spans="1:16" ht="28.5" customHeight="1">
      <c r="A86" s="3">
        <v>83</v>
      </c>
      <c r="B86" s="2" t="s">
        <v>380</v>
      </c>
      <c r="C86" s="2" t="s">
        <v>503</v>
      </c>
      <c r="D86" s="2" t="s">
        <v>504</v>
      </c>
      <c r="E86" s="35">
        <v>46207</v>
      </c>
      <c r="F86" s="121">
        <f>VLOOKUP(D86,'[1]Tower Weight Individual'!$S$13:$Y$50,7,0)/1000</f>
        <v>22.923735000000001</v>
      </c>
      <c r="G86" s="34" t="s">
        <v>304</v>
      </c>
      <c r="H86" s="57">
        <v>46212</v>
      </c>
      <c r="I86" s="3" t="s">
        <v>564</v>
      </c>
      <c r="J86" s="3">
        <v>26</v>
      </c>
      <c r="K86" s="20"/>
      <c r="L86" s="20"/>
      <c r="M86" s="20"/>
      <c r="N86" s="20"/>
      <c r="O86" s="20"/>
      <c r="P86" s="20"/>
    </row>
    <row r="87" spans="1:16" ht="25.5" customHeight="1">
      <c r="A87" s="3">
        <v>84</v>
      </c>
      <c r="B87" s="2" t="s">
        <v>367</v>
      </c>
      <c r="C87" s="2" t="s">
        <v>504</v>
      </c>
      <c r="D87" s="2" t="s">
        <v>504</v>
      </c>
      <c r="E87" s="35">
        <v>46209</v>
      </c>
      <c r="F87" s="121">
        <f>VLOOKUP(D87,'[1]Tower Weight Individual'!$S$13:$Y$50,7,0)/1000</f>
        <v>22.923735000000001</v>
      </c>
      <c r="G87" s="34" t="s">
        <v>304</v>
      </c>
      <c r="H87" s="57">
        <v>46215</v>
      </c>
      <c r="I87" s="3" t="s">
        <v>538</v>
      </c>
      <c r="J87" s="3">
        <v>22</v>
      </c>
      <c r="K87" s="20"/>
      <c r="L87" s="20"/>
      <c r="M87" s="20"/>
      <c r="N87" s="20"/>
      <c r="O87" s="20"/>
      <c r="P87" s="20"/>
    </row>
    <row r="88" spans="1:16" ht="25.5" customHeight="1">
      <c r="A88" s="3">
        <v>85</v>
      </c>
      <c r="B88" s="2" t="s">
        <v>383</v>
      </c>
      <c r="C88" s="2" t="s">
        <v>509</v>
      </c>
      <c r="D88" s="2" t="s">
        <v>509</v>
      </c>
      <c r="E88" s="35">
        <v>46209</v>
      </c>
      <c r="F88" s="121">
        <f>VLOOKUP(D88,'[1]Tower Weight Individual'!$S$13:$Y$50,7,0)/1000</f>
        <v>27.965095000000002</v>
      </c>
      <c r="G88" s="34" t="s">
        <v>304</v>
      </c>
      <c r="H88" s="57">
        <v>46216</v>
      </c>
      <c r="I88" s="3" t="s">
        <v>564</v>
      </c>
      <c r="J88" s="3">
        <v>22</v>
      </c>
      <c r="K88" s="20"/>
      <c r="L88" s="20"/>
      <c r="M88" s="20"/>
      <c r="N88" s="20"/>
      <c r="O88" s="20"/>
      <c r="P88" s="20"/>
    </row>
    <row r="89" spans="1:16" ht="25.5" customHeight="1">
      <c r="A89" s="3">
        <v>86</v>
      </c>
      <c r="B89" s="2" t="s">
        <v>368</v>
      </c>
      <c r="C89" s="2" t="s">
        <v>504</v>
      </c>
      <c r="D89" s="2" t="s">
        <v>504</v>
      </c>
      <c r="E89" s="35">
        <v>46216</v>
      </c>
      <c r="F89" s="121">
        <f>VLOOKUP(D89,'[1]Tower Weight Individual'!$S$13:$Y$50,7,0)/1000</f>
        <v>22.923735000000001</v>
      </c>
      <c r="G89" s="34" t="s">
        <v>304</v>
      </c>
      <c r="H89" s="57">
        <v>46220</v>
      </c>
      <c r="I89" s="3" t="s">
        <v>564</v>
      </c>
      <c r="J89" s="3">
        <v>2</v>
      </c>
      <c r="K89" s="20"/>
      <c r="L89" s="20"/>
      <c r="M89" s="20"/>
      <c r="N89" s="20"/>
      <c r="O89" s="20"/>
      <c r="P89" s="20"/>
    </row>
    <row r="90" spans="1:16" ht="25.5" customHeight="1">
      <c r="A90" s="3">
        <v>87</v>
      </c>
      <c r="B90" s="2" t="s">
        <v>369</v>
      </c>
      <c r="C90" s="2" t="s">
        <v>504</v>
      </c>
      <c r="D90" s="2" t="s">
        <v>504</v>
      </c>
      <c r="E90" s="35">
        <v>46220</v>
      </c>
      <c r="F90" s="121">
        <f>VLOOKUP(D90,'[1]Tower Weight Individual'!$S$13:$Y$50,7,0)/1000</f>
        <v>22.923735000000001</v>
      </c>
      <c r="G90" s="34" t="s">
        <v>304</v>
      </c>
      <c r="H90" s="57">
        <v>46223</v>
      </c>
      <c r="I90" s="3" t="s">
        <v>564</v>
      </c>
      <c r="J90" s="3">
        <v>22</v>
      </c>
      <c r="K90" s="20"/>
      <c r="L90" s="20"/>
      <c r="M90" s="20"/>
      <c r="N90" s="20"/>
      <c r="O90" s="20"/>
      <c r="P90" s="20"/>
    </row>
    <row r="91" spans="1:16" ht="24.5" customHeight="1">
      <c r="A91" s="3">
        <v>88</v>
      </c>
      <c r="B91" s="2" t="s">
        <v>370</v>
      </c>
      <c r="C91" s="2" t="s">
        <v>504</v>
      </c>
      <c r="D91" s="2" t="s">
        <v>504</v>
      </c>
      <c r="E91" s="35">
        <v>46221</v>
      </c>
      <c r="F91" s="121">
        <f>VLOOKUP(D91,'[1]Tower Weight Individual'!$S$13:$Y$50,7,0)/1000</f>
        <v>22.923735000000001</v>
      </c>
      <c r="G91" s="34" t="s">
        <v>304</v>
      </c>
      <c r="H91" s="57">
        <v>46227</v>
      </c>
      <c r="I91" s="3" t="s">
        <v>564</v>
      </c>
      <c r="J91" s="3">
        <v>22</v>
      </c>
      <c r="K91" s="20"/>
      <c r="L91" s="20"/>
      <c r="M91" s="20"/>
      <c r="N91" s="20"/>
      <c r="O91" s="20"/>
      <c r="P91" s="20"/>
    </row>
    <row r="92" spans="1:16" ht="30" customHeight="1">
      <c r="A92" s="3">
        <v>89</v>
      </c>
      <c r="B92" s="2" t="s">
        <v>390</v>
      </c>
      <c r="C92" s="2" t="s">
        <v>504</v>
      </c>
      <c r="D92" s="2" t="s">
        <v>504</v>
      </c>
      <c r="E92" s="35">
        <v>46227</v>
      </c>
      <c r="F92" s="121">
        <f>VLOOKUP(D92,'[1]Tower Weight Individual'!$S$13:$Y$50,7,0)/1000</f>
        <v>22.923735000000001</v>
      </c>
      <c r="G92" s="34" t="s">
        <v>304</v>
      </c>
      <c r="H92" s="57">
        <v>46232</v>
      </c>
      <c r="I92" s="3" t="s">
        <v>564</v>
      </c>
      <c r="J92" s="3">
        <v>22</v>
      </c>
      <c r="K92" s="20"/>
      <c r="L92" s="20"/>
      <c r="M92" s="20"/>
      <c r="N92" s="20"/>
      <c r="O92" s="20"/>
      <c r="P92" s="20"/>
    </row>
    <row r="93" spans="1:16" ht="30" customHeight="1">
      <c r="A93" s="3">
        <v>90</v>
      </c>
      <c r="B93" s="2" t="s">
        <v>389</v>
      </c>
      <c r="C93" s="2" t="s">
        <v>501</v>
      </c>
      <c r="D93" s="2" t="s">
        <v>501</v>
      </c>
      <c r="E93" s="35">
        <v>46232</v>
      </c>
      <c r="F93" s="121">
        <f>VLOOKUP(D93,'[1]Tower Weight Individual'!$S$13:$Y$50,7,0)/1000</f>
        <v>24.041023000000003</v>
      </c>
      <c r="G93" s="34" t="s">
        <v>304</v>
      </c>
      <c r="H93" s="57">
        <v>46238</v>
      </c>
      <c r="I93" s="20"/>
      <c r="J93" s="20"/>
      <c r="K93" s="20"/>
      <c r="L93" s="20"/>
      <c r="M93" s="20"/>
      <c r="N93" s="20"/>
      <c r="O93" s="20"/>
      <c r="P93" s="20"/>
    </row>
    <row r="94" spans="1:16" ht="22" customHeight="1">
      <c r="A94" s="3">
        <v>91</v>
      </c>
      <c r="B94" s="2" t="s">
        <v>376</v>
      </c>
      <c r="C94" s="2" t="s">
        <v>504</v>
      </c>
      <c r="D94" s="2" t="s">
        <v>504</v>
      </c>
      <c r="E94" s="35">
        <v>46239</v>
      </c>
      <c r="F94" s="121">
        <f>VLOOKUP(D94,'[1]Tower Weight Individual'!$S$13:$Y$50,7,0)/1000</f>
        <v>22.923735000000001</v>
      </c>
      <c r="G94" s="34" t="s">
        <v>591</v>
      </c>
      <c r="H94" s="57">
        <v>46244</v>
      </c>
      <c r="I94" s="20"/>
      <c r="J94" s="20"/>
      <c r="K94" s="20"/>
      <c r="L94" s="20"/>
      <c r="M94" s="20"/>
      <c r="N94" s="20"/>
      <c r="O94" s="20"/>
      <c r="P94" s="20"/>
    </row>
    <row r="95" spans="1:16" ht="22" customHeight="1">
      <c r="A95" s="3">
        <v>92</v>
      </c>
      <c r="B95" s="2" t="s">
        <v>497</v>
      </c>
      <c r="C95" s="2" t="s">
        <v>547</v>
      </c>
      <c r="D95" s="2" t="s">
        <v>547</v>
      </c>
      <c r="E95" s="20"/>
      <c r="F95" s="121"/>
      <c r="G95" s="20"/>
      <c r="H95" s="21"/>
      <c r="I95" s="20"/>
      <c r="J95" s="20"/>
      <c r="K95" s="20"/>
      <c r="L95" s="20"/>
      <c r="M95" s="20"/>
      <c r="N95" s="20"/>
      <c r="O95" s="20"/>
      <c r="P95" s="20"/>
    </row>
  </sheetData>
  <conditionalFormatting sqref="B1 B4:B1048576">
    <cfRule type="duplicateValues" dxfId="4" priority="1444"/>
  </conditionalFormatting>
  <conditionalFormatting sqref="B22:B71 B73">
    <cfRule type="duplicateValues" dxfId="3" priority="1"/>
    <cfRule type="duplicateValues" dxfId="2" priority="2"/>
  </conditionalFormatting>
  <conditionalFormatting sqref="B69 B18:B64">
    <cfRule type="duplicateValues" dxfId="1" priority="1481"/>
  </conditionalFormatting>
  <conditionalFormatting sqref="G95:G1048576">
    <cfRule type="containsText" dxfId="0" priority="3" operator="containsText" text="C">
      <formula>NOT(ISERROR(SEARCH("C",G95)))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colBreaks count="1" manualBreakCount="1">
    <brk id="7" max="6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Stringing Completed</vt:lpstr>
      <vt:lpstr>Stringing Compiled</vt:lpstr>
      <vt:lpstr>FDN</vt:lpstr>
      <vt:lpstr>Erection </vt:lpstr>
      <vt:lpstr>'Erection '!Print_Area</vt:lpstr>
      <vt:lpstr>FDN!Print_Area</vt:lpstr>
      <vt:lpstr>'Stringing Compiled'!Print_Area</vt:lpstr>
      <vt:lpstr>FDN!Print_Titles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Bharat Kaushik</cp:lastModifiedBy>
  <cp:lastPrinted>2026-06-23T06:06:57Z</cp:lastPrinted>
  <dcterms:created xsi:type="dcterms:W3CDTF">2023-12-20T18:09:34Z</dcterms:created>
  <dcterms:modified xsi:type="dcterms:W3CDTF">2026-08-11T11:21:49Z</dcterms:modified>
</cp:coreProperties>
</file>