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09 June 2026/"/>
    </mc:Choice>
  </mc:AlternateContent>
  <xr:revisionPtr revIDLastSave="3881" documentId="8_{16FA9FDA-04F7-4315-B5A3-F2AC902332DB}" xr6:coauthVersionLast="47" xr6:coauthVersionMax="47" xr10:uidLastSave="{92D9775F-1518-466E-834A-C5583B66DEF7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/>
  <c r="E3" i="9"/>
  <c r="U3" i="9"/>
  <c r="B87" i="9"/>
  <c r="B88" i="9"/>
  <c r="P22" i="13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L37" i="16"/>
  <c r="L43" i="16"/>
  <c r="K43" i="16"/>
  <c r="K37" i="16" l="1"/>
  <c r="I37" i="16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L23" i="16"/>
  <c r="L22" i="16"/>
  <c r="K22" i="16"/>
  <c r="K23" i="16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B6" i="15"/>
  <c r="BA6" i="15"/>
  <c r="BB15" i="15"/>
  <c r="AU126" i="15"/>
  <c r="BA123" i="15"/>
  <c r="BA24" i="15"/>
  <c r="I31" i="5"/>
  <c r="I16" i="5"/>
  <c r="I15" i="5"/>
  <c r="I17" i="5" l="1"/>
  <c r="BB42" i="15"/>
  <c r="AW36" i="14" l="1"/>
  <c r="BA42" i="15"/>
  <c r="BB33" i="15"/>
  <c r="BA33" i="15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J16" i="7" s="1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N15" i="5" l="1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AE148" i="15" l="1"/>
  <c r="AK148" i="15" s="1"/>
  <c r="AE146" i="15"/>
  <c r="AH141" i="15"/>
  <c r="AE141" i="15"/>
  <c r="AH142" i="15"/>
  <c r="AK142" i="15" s="1"/>
  <c r="AH147" i="15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J60" i="7" s="1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J52" i="7" s="1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J40" i="7" l="1"/>
  <c r="J56" i="7"/>
  <c r="N36" i="7"/>
  <c r="N64" i="7"/>
  <c r="BI5" i="8"/>
  <c r="K13" i="5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K24" i="5" l="1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<sst xmlns="http://schemas.openxmlformats.org/spreadsheetml/2006/main" count="11621" uniqueCount="771">
  <si>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</si>
  <si>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</si>
  <si>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</si>
  <si>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</si>
  <si>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</si>
  <si>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</si>
  <si>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</si>
  <si>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</si>
  <si>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</si>
  <si>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</si>
  <si>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</si>
  <si>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</si>
  <si>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</si>
  <si>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</si>
  <si>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</si>
  <si>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</si>
  <si>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</si>
  <si>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</si>
  <si>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</si>
  <si>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</si>
  <si>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</si>
  <si>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</si>
  <si>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</si>
  <si>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</si>
  <si>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</si>
  <si>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</si>
  <si>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</si>
  <si>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</si>
  <si>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</si>
  <si>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</si>
  <si>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</si>
  <si>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</si>
  <si>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</si>
  <si>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</si>
  <si>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</si>
  <si>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</si>
  <si>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</si>
  <si>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</si>
  <si>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</si>
  <si>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</si>
  <si>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</si>
  <si>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</si>
  <si>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</si>
  <si>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</si>
  <si>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</si>
  <si>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</si>
  <si>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</si>
  <si>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</si>
  <si>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</si>
  <si>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</si>
  <si>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</si>
  <si>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</si>
  <si>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</si>
  <si>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</si>
  <si>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</si>
  <si>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</si>
  <si>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</si>
  <si>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</si>
  <si>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</si>
  <si>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</si>
  <si>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</si>
  <si>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</si>
  <si>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</si>
  <si>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</si>
  <si>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</si>
  <si>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</si>
  <si>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</si>
  <si>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</si>
  <si>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</si>
  <si>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</si>
  <si>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</si>
  <si>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</si>
  <si>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</si>
  <si>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</si>
  <si>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</si>
  <si>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</si>
  <si>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</si>
  <si>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</si>
  <si>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</si>
  <si>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</si>
  <si>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</si>
  <si>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</si>
  <si>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</si>
  <si>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</si>
  <si>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</si>
  <si>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</si>
  <si>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</si>
  <si>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</si>
  <si>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</si>
  <si>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</si>
  <si>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</si>
  <si>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</si>
  <si>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</si>
  <si>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</si>
  <si>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</si>
  <si>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</si>
  <si>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</si>
  <si>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</si>
  <si>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</si>
  <si>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</si>
  <si>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</si>
  <si>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</si>
  <si>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</si>
  <si>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</si>
  <si>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</si>
  <si>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</si>
  <si>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</si>
  <si>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</si>
  <si>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</si>
  <si>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</si>
  <si>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</si>
  <si>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</si>
  <si>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</si>
  <si>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</si>
  <si>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</si>
  <si>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</si>
  <si>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</si>
  <si>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</si>
  <si>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</si>
  <si>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</si>
  <si>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</si>
  <si>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</si>
  <si>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</si>
  <si>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</si>
  <si>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</si>
  <si>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</si>
  <si>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</si>
  <si>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</si>
  <si>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</si>
  <si>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</si>
  <si>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</si>
  <si>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</si>
  <si>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</si>
  <si>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</si>
  <si>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</si>
  <si>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</si>
  <si>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</si>
  <si>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</si>
  <si>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</si>
  <si>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</si>
  <si>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</si>
  <si>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</si>
  <si>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</si>
  <si>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</si>
  <si>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</si>
  <si>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</si>
  <si>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</si>
  <si>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</si>
  <si>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</si>
  <si>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</si>
  <si>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</si>
  <si>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</si>
  <si>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</si>
  <si>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</si>
  <si>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</si>
  <si>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</si>
  <si>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</si>
  <si>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</si>
  <si>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</si>
  <si>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</si>
  <si>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</si>
  <si>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</si>
  <si>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</si>
  <si>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</si>
  <si>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</si>
  <si>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</si>
  <si>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</si>
  <si>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</si>
  <si>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</si>
  <si>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</si>
  <si>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</si>
  <si>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</si>
  <si>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</si>
  <si>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</si>
  <si>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</si>
  <si>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</si>
  <si>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</si>
  <si>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</si>
  <si>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</si>
  <si>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</si>
  <si>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</si>
  <si>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</si>
  <si>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</si>
  <si>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</si>
  <si>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</si>
  <si>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</si>
  <si>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</si>
  <si>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</si>
  <si>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</si>
  <si>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</si>
  <si>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</si>
  <si>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</si>
  <si>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</si>
  <si>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</si>
  <si>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</si>
  <si>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</si>
  <si>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</si>
  <si>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</si>
  <si>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</si>
  <si>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</si>
  <si>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</si>
  <si>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</si>
  <si>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</si>
  <si>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</si>
  <si>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</si>
  <si>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</si>
  <si>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</si>
  <si>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</si>
  <si>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</si>
  <si>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</si>
  <si>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</si>
  <si>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</si>
  <si>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</si>
  <si>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</si>
  <si>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</si>
  <si>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</si>
  <si>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</si>
  <si>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</si>
  <si>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</si>
  <si>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</si>
  <si>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</si>
  <si>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</si>
  <si>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</si>
  <si>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</si>
  <si>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</si>
  <si>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</si>
  <si>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</si>
  <si>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</si>
  <si>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</si>
  <si>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</si>
  <si>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</si>
  <si>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</si>
  <si>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</si>
  <si>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</si>
  <si>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</si>
  <si>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</si>
  <si>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</si>
  <si>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</si>
  <si>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</si>
  <si>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</si>
  <si>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</si>
  <si>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</si>
  <si>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</si>
  <si>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</si>
  <si>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</si>
  <si>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</si>
  <si>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</si>
  <si>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</si>
  <si>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</si>
  <si>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</si>
  <si>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</si>
  <si>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</si>
  <si>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</si>
  <si>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</si>
  <si>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</si>
  <si>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</si>
  <si>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</si>
  <si>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</si>
  <si>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</si>
  <si>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</si>
  <si>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</si>
  <si>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</si>
  <si>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</si>
  <si>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</si>
  <si>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</si>
  <si>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</si>
  <si>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</si>
  <si>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</si>
  <si>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</si>
  <si>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</si>
  <si>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</si>
  <si>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</si>
  <si>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</si>
  <si>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</si>
  <si>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</si>
  <si>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</si>
  <si>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</si>
  <si>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</si>
  <si>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</si>
  <si>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</si>
  <si>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</si>
  <si>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</si>
  <si>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</si>
  <si>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</si>
  <si>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</si>
  <si>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</si>
  <si>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</si>
  <si>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</si>
  <si>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</si>
  <si>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</si>
  <si>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</si>
  <si>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</si>
  <si>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</si>
  <si>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</si>
  <si>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</si>
  <si>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</si>
  <si>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</si>
  <si>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</si>
  <si>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</si>
  <si>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</si>
  <si>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</si>
  <si>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</si>
  <si>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</si>
  <si>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</si>
  <si>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</si>
  <si>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</si>
  <si>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</si>
  <si>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</si>
  <si>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</si>
  <si>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</si>
  <si>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</si>
  <si>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</si>
  <si>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</si>
  <si>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</si>
  <si>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</si>
  <si>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</si>
  <si>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</si>
  <si>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</si>
  <si>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</si>
  <si>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</si>
  <si>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</si>
  <si>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</si>
  <si>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</si>
  <si>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</si>
  <si>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</si>
  <si>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</si>
  <si>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</si>
  <si>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</si>
  <si>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</si>
  <si>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</si>
  <si>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</si>
  <si>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</si>
  <si>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</si>
  <si>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</si>
  <si>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</si>
  <si>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</si>
  <si>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</si>
  <si>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</si>
  <si>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</si>
  <si>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</si>
  <si>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</si>
  <si>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</si>
  <si>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</si>
  <si>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</si>
  <si>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</si>
  <si>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</si>
  <si>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</si>
  <si>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</si>
  <si>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</si>
  <si>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</si>
  <si>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</si>
  <si>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</si>
  <si>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</si>
  <si>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</si>
  <si>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</si>
  <si>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</si>
  <si>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</si>
  <si>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</si>
  <si>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</si>
  <si>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</si>
  <si>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</si>
  <si>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</si>
  <si>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</si>
  <si>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</si>
  <si>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</si>
  <si>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</si>
  <si>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</si>
  <si>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</si>
  <si>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</si>
  <si>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</si>
  <si>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</si>
  <si>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</si>
  <si>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</si>
  <si>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</si>
  <si>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</si>
  <si>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</si>
  <si>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</si>
  <si>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</si>
  <si>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</si>
  <si>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</si>
  <si>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</si>
  <si>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</si>
  <si>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</si>
  <si>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</si>
  <si>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</si>
  <si>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</si>
  <si>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</si>
  <si>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</si>
  <si>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</si>
  <si>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</si>
  <si>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</si>
  <si>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</si>
  <si>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</si>
  <si>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</si>
  <si>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</si>
  <si>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</si>
  <si>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</si>
  <si>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</si>
  <si>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</si>
  <si>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</si>
  <si>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</si>
  <si>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</si>
  <si>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</si>
  <si>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</si>
  <si>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</si>
  <si>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</si>
  <si>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</si>
  <si>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</si>
  <si>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</si>
  <si>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</si>
  <si>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</si>
  <si>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</si>
  <si>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</si>
  <si>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</si>
  <si>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</si>
  <si>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</si>
  <si>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</si>
  <si>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</si>
  <si>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</si>
  <si>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</si>
  <si>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</si>
  <si>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</si>
  <si>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</si>
  <si>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</si>
  <si>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</si>
  <si>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</si>
  <si>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</si>
  <si>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</si>
  <si>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</si>
  <si>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</si>
  <si>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</si>
  <si>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</si>
  <si>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</si>
  <si>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</si>
  <si>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</si>
  <si>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</si>
  <si>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</si>
  <si>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</si>
  <si>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</si>
  <si>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</si>
  <si>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</si>
  <si>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</si>
  <si>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</si>
  <si>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</si>
  <si>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</si>
  <si>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</si>
  <si>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</si>
  <si>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</si>
  <si>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</si>
  <si>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</si>
  <si>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</si>
  <si>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</si>
  <si>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</si>
  <si>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</si>
  <si>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</si>
  <si>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</si>
  <si>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</si>
  <si>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</si>
  <si>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</si>
  <si>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</si>
  <si>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</si>
  <si>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</si>
  <si>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</si>
  <si>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</si>
  <si>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</si>
  <si>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</si>
  <si>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</si>
  <si>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</si>
  <si>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</si>
  <si>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</si>
  <si>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</si>
  <si>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</si>
  <si>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</si>
  <si>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</si>
  <si>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</si>
  <si>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</si>
  <si>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</si>
  <si>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</si>
  <si>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</si>
  <si>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</si>
  <si>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</si>
  <si>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</si>
  <si>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</si>
  <si>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</si>
  <si>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</si>
  <si>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</si>
  <si>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</si>
  <si>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</si>
  <si>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</si>
  <si>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</si>
  <si>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</si>
  <si>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</si>
  <si>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</si>
  <si>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</si>
  <si>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</si>
  <si>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</si>
  <si>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</si>
  <si>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</si>
  <si>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</si>
  <si>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</si>
  <si>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</si>
  <si>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</si>
  <si>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</si>
  <si>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</si>
  <si>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</si>
  <si>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</si>
  <si>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</si>
  <si>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</si>
  <si>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</si>
  <si>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</si>
  <si>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</si>
  <si>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</si>
  <si>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</si>
  <si>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</si>
  <si>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</si>
  <si>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</si>
  <si>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</si>
  <si>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</si>
  <si>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</si>
  <si>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</si>
  <si>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</si>
  <si>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</si>
  <si>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</si>
  <si>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</si>
  <si>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</si>
  <si>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</si>
  <si>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</si>
  <si>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</si>
  <si>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</si>
  <si>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</si>
  <si>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</si>
  <si>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</si>
  <si>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</si>
  <si>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</si>
  <si>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</si>
  <si>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</si>
  <si>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</si>
  <si>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</si>
  <si>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</si>
  <si>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</si>
  <si>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</si>
  <si>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</si>
  <si>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</si>
  <si>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</si>
  <si>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</si>
  <si>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</si>
  <si>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</si>
  <si>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</si>
  <si>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</si>
  <si>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</si>
  <si>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</si>
  <si>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</si>
  <si>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</si>
  <si>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</si>
  <si>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</si>
  <si>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</si>
  <si>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</si>
  <si>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</si>
  <si>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</si>
  <si>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</si>
  <si>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</si>
  <si>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</si>
  <si>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</si>
  <si>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</si>
  <si>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</si>
  <si>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</si>
  <si>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</si>
  <si>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</si>
  <si>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</si>
  <si>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</si>
  <si>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</si>
  <si>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</si>
  <si>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</si>
  <si>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</si>
  <si>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</si>
  <si>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</si>
  <si>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</si>
  <si>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</si>
  <si>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</si>
  <si>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</si>
  <si>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</si>
  <si>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</si>
  <si>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</si>
  <si>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</si>
  <si>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</si>
  <si>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</si>
  <si>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</si>
  <si>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</si>
  <si>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</si>
  <si>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</si>
  <si>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</si>
  <si>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</si>
  <si>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</si>
  <si>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</si>
  <si>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</si>
  <si>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</si>
  <si>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</si>
  <si>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</si>
  <si>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</si>
  <si>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</si>
  <si>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</si>
  <si>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</si>
  <si>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</si>
  <si>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</si>
  <si>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</si>
  <si>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</si>
  <si>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</si>
  <si>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</si>
  <si>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</si>
  <si>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</si>
  <si>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</si>
  <si>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</si>
  <si>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</si>
  <si>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</si>
  <si>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</si>
  <si>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</si>
  <si>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</si>
  <si>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</si>
  <si>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</si>
  <si>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</si>
  <si>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</si>
  <si>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</si>
  <si>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</si>
  <si>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</si>
  <si>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</si>
  <si>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</si>
  <si>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</si>
  <si>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</si>
  <si>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</si>
  <si>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</si>
  <si>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</si>
  <si>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</si>
  <si>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</si>
  <si>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</si>
  <si>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</si>
  <si>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</si>
  <si>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</si>
  <si>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</si>
  <si>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</si>
  <si>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</si>
  <si>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</si>
  <si>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</si>
  <si>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</si>
  <si>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</si>
  <si>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</si>
  <si>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</si>
  <si>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</si>
  <si>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</si>
  <si>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</si>
  <si>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</si>
  <si>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</si>
  <si>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</si>
  <si>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</si>
  <si>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</si>
  <si>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</si>
  <si>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</si>
  <si>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</si>
  <si>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</si>
  <si>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</si>
  <si>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</si>
  <si>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</si>
  <si>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</si>
  <si>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</si>
  <si>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</si>
  <si>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</si>
  <si>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</si>
  <si>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</si>
  <si>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</si>
  <si>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</si>
  <si>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</si>
  <si>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</si>
  <si>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</si>
  <si>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</si>
  <si>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</si>
  <si>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</si>
  <si>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</si>
  <si>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</si>
  <si>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</si>
  <si>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</si>
  <si>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</si>
  <si>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</si>
  <si>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</si>
  <si>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</si>
  <si>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</si>
  <si>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</si>
  <si>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</si>
  <si>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</si>
  <si>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</si>
  <si>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</si>
  <si>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</si>
  <si>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</si>
  <si>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</si>
  <si>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</si>
  <si>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</si>
  <si>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</si>
  <si>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</si>
  <si>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</si>
  <si>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</si>
  <si>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</si>
  <si>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</si>
  <si>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</si>
  <si>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</si>
  <si>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</si>
  <si>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</si>
  <si>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</si>
  <si>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</si>
  <si>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</si>
  <si>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</si>
  <si>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</si>
  <si>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</si>
  <si>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</si>
  <si>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</si>
  <si>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</si>
  <si>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</si>
  <si>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</si>
  <si>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</si>
  <si>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</si>
  <si>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</si>
  <si>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</si>
  <si>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</si>
  <si>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</si>
  <si>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</si>
  <si>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</si>
  <si>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</si>
  <si>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</si>
  <si>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</si>
  <si>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</si>
  <si>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</si>
  <si>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</si>
  <si>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</si>
  <si>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</si>
  <si>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</si>
  <si>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</si>
  <si>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</si>
  <si>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</si>
  <si>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</si>
  <si>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</si>
  <si>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</si>
  <si>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</si>
  <si>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</si>
  <si>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</si>
  <si>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</si>
  <si>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</si>
  <si>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</si>
  <si>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</si>
  <si>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</si>
  <si>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</si>
  <si>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</si>
  <si>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</si>
  <si>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</si>
  <si>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</si>
  <si>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</si>
  <si>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</si>
  <si>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</si>
  <si>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</si>
  <si>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</si>
  <si>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</si>
  <si>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</si>
  <si>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</si>
  <si>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U/P</t>
  </si>
  <si>
    <t>Sc-5</t>
  </si>
  <si>
    <t>Prayag Saw</t>
  </si>
  <si>
    <t>Compney Team</t>
  </si>
  <si>
    <t>M K Construction</t>
  </si>
  <si>
    <t>cp</t>
  </si>
  <si>
    <t>Progress of Current Month (June'26)</t>
  </si>
  <si>
    <t>GKFS Enterprises</t>
  </si>
  <si>
    <t xml:space="preserve">Ram singh </t>
  </si>
  <si>
    <t> 32/0-33/0-33/1 all Phase Final sag complet , Final checking Stringing WIP</t>
  </si>
  <si>
    <t xml:space="preserve">
SC-4 Pit-A,C,D Steel Binding Done 
</t>
  </si>
  <si>
    <t>2/1 Erection second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</si>
</sst>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EFCE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89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2" fontId="34" fillId="97" borderId="4" xfId="0" applyNumberFormat="1" applyFont="1" applyFill="1" applyBorder="1" applyAlignment="1">
      <alignment horizontal="center"/>
    </xf>
    <xf numFmtId="0" fontId="18" fillId="5" borderId="9" xfId="0" applyFont="1" applyFill="1" applyBorder="1" applyAlignment="1">
      <alignment horizontal="center" vertical="center" wrapText="1"/>
    </xf>
    <xf numFmtId="0" fontId="18" fillId="5" borderId="63" xfId="0" applyFont="1" applyFill="1" applyBorder="1" applyAlignment="1">
      <alignment horizontal="center" vertical="center" wrapText="1"/>
    </xf>
    <xf numFmtId="0" fontId="18" fillId="5" borderId="72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1" xfId="335" applyBorder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2" xfId="335" quotePrefix="1" applyNumberFormat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0" borderId="80" xfId="335" applyBorder="1" applyAlignment="1">
      <alignment horizontal="center" vertical="center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2" xfId="335" applyBorder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0" fontId="10" fillId="0" borderId="122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1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2" xfId="335" applyFont="1" applyBorder="1" applyAlignment="1">
      <alignment horizontal="center"/>
    </xf>
    <xf numFmtId="0" fontId="36" fillId="0" borderId="80" xfId="335" applyFont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80" xfId="335" applyFont="1" applyBorder="1" applyAlignment="1">
      <alignment horizontal="left" vertic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28" xfId="335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122" xfId="335" applyFont="1" applyBorder="1" applyAlignment="1">
      <alignment horizontal="center" vertical="center"/>
    </xf>
    <xf numFmtId="0" fontId="36" fillId="0" borderId="81" xfId="335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68" xfId="0" applyFont="1" applyFill="1" applyBorder="1" applyAlignment="1">
      <alignment horizontal="center" vertical="center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3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4" t="s">
        <v>0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6"/>
    </row>
    <row r="2" spans="1:26" ht="14.25" customHeight="1">
      <c r="A2" s="624" t="s">
        <v>1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Z2" s="62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7" t="s">
        <v>7</v>
      </c>
      <c r="G3" s="625"/>
      <c r="H3" s="625"/>
      <c r="I3" s="626"/>
      <c r="J3" s="2" t="s">
        <v>8</v>
      </c>
      <c r="K3" s="627" t="s">
        <v>9</v>
      </c>
      <c r="L3" s="625"/>
      <c r="M3" s="625"/>
      <c r="N3" s="626"/>
      <c r="O3" s="2" t="s">
        <v>10</v>
      </c>
      <c r="P3" s="4" t="s">
        <v>11</v>
      </c>
      <c r="Q3" s="628" t="s">
        <v>12</v>
      </c>
      <c r="R3" s="625"/>
      <c r="S3" s="626"/>
      <c r="T3" s="629" t="s">
        <v>13</v>
      </c>
      <c r="U3" s="625"/>
      <c r="V3" s="626"/>
      <c r="W3" s="630" t="s">
        <v>14</v>
      </c>
      <c r="X3" s="631"/>
      <c r="Y3" s="63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24" t="str">
        <f>+Summary!A2</f>
        <v>Name of the Line: 220KV DC AL59 line from Neemuch - Chanderiya + 132KV DC ACSS Line from Chanderiya to Hindustan Zinc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6"/>
    </row>
    <row r="2" spans="1:26" ht="14.25" customHeight="1">
      <c r="A2" s="624" t="s">
        <v>296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Z2" s="62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7" t="s">
        <v>7</v>
      </c>
      <c r="G3" s="625"/>
      <c r="H3" s="625"/>
      <c r="I3" s="626"/>
      <c r="J3" s="2" t="s">
        <v>8</v>
      </c>
      <c r="K3" s="627" t="s">
        <v>9</v>
      </c>
      <c r="L3" s="625"/>
      <c r="M3" s="625"/>
      <c r="N3" s="626"/>
      <c r="O3" s="2" t="s">
        <v>10</v>
      </c>
      <c r="P3" s="4" t="s">
        <v>11</v>
      </c>
      <c r="Q3" s="628" t="s">
        <v>12</v>
      </c>
      <c r="R3" s="625"/>
      <c r="S3" s="626"/>
      <c r="T3" s="629" t="s">
        <v>13</v>
      </c>
      <c r="U3" s="625"/>
      <c r="V3" s="626"/>
      <c r="W3" s="630" t="s">
        <v>14</v>
      </c>
      <c r="X3" s="631"/>
      <c r="Y3" s="63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4" t="str">
        <f>+Summary!A2</f>
        <v>Name of the Line: 220KV DC AL59 line from Neemuch - Chanderiya + 132KV DC ACSS Line from Chanderiya to Hindustan Zinc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6"/>
    </row>
    <row r="2" spans="1:26" ht="14.25" customHeight="1">
      <c r="A2" s="624" t="s">
        <v>302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Z2" s="626"/>
    </row>
    <row r="3" spans="1:26" ht="30" customHeight="1">
      <c r="A3" s="635" t="s">
        <v>2</v>
      </c>
      <c r="B3" s="635" t="s">
        <v>3</v>
      </c>
      <c r="C3" s="635" t="s">
        <v>4</v>
      </c>
      <c r="D3" s="2" t="s">
        <v>5</v>
      </c>
      <c r="E3" s="2" t="s">
        <v>6</v>
      </c>
      <c r="F3" s="627" t="s">
        <v>7</v>
      </c>
      <c r="G3" s="625"/>
      <c r="H3" s="625"/>
      <c r="I3" s="626"/>
      <c r="J3" s="2" t="s">
        <v>8</v>
      </c>
      <c r="K3" s="627" t="s">
        <v>9</v>
      </c>
      <c r="L3" s="625"/>
      <c r="M3" s="625"/>
      <c r="N3" s="626"/>
      <c r="O3" s="2" t="s">
        <v>10</v>
      </c>
      <c r="P3" s="4" t="s">
        <v>11</v>
      </c>
      <c r="Q3" s="628" t="s">
        <v>12</v>
      </c>
      <c r="R3" s="625"/>
      <c r="S3" s="626"/>
      <c r="T3" s="629" t="s">
        <v>13</v>
      </c>
      <c r="U3" s="625"/>
      <c r="V3" s="626"/>
      <c r="W3" s="630" t="s">
        <v>14</v>
      </c>
      <c r="X3" s="631"/>
      <c r="Y3" s="632"/>
      <c r="Z3" s="633" t="s">
        <v>15</v>
      </c>
    </row>
    <row r="4" spans="1:26" ht="22.5" customHeight="1">
      <c r="A4" s="634"/>
      <c r="B4" s="634"/>
      <c r="C4" s="634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4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4" t="str">
        <f>+Summary!A2</f>
        <v>Name of the Line: 220KV DC AL59 line from Neemuch - Chanderiya + 132KV DC ACSS Line from Chanderiya to Hindustan Zinc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6"/>
    </row>
    <row r="2" spans="1:26" ht="14.25" customHeight="1">
      <c r="A2" s="624" t="s">
        <v>296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Z2" s="626"/>
    </row>
    <row r="3" spans="1:26" ht="30" customHeight="1">
      <c r="A3" s="635" t="s">
        <v>2</v>
      </c>
      <c r="B3" s="635" t="s">
        <v>3</v>
      </c>
      <c r="C3" s="635" t="s">
        <v>4</v>
      </c>
      <c r="D3" s="2" t="s">
        <v>5</v>
      </c>
      <c r="E3" s="2" t="s">
        <v>6</v>
      </c>
      <c r="F3" s="627" t="s">
        <v>7</v>
      </c>
      <c r="G3" s="625"/>
      <c r="H3" s="625"/>
      <c r="I3" s="626"/>
      <c r="J3" s="2" t="s">
        <v>8</v>
      </c>
      <c r="K3" s="627" t="s">
        <v>9</v>
      </c>
      <c r="L3" s="625"/>
      <c r="M3" s="625"/>
      <c r="N3" s="626"/>
      <c r="O3" s="2" t="s">
        <v>10</v>
      </c>
      <c r="P3" s="4" t="s">
        <v>11</v>
      </c>
      <c r="Q3" s="628" t="s">
        <v>12</v>
      </c>
      <c r="R3" s="625"/>
      <c r="S3" s="626"/>
      <c r="T3" s="629" t="s">
        <v>13</v>
      </c>
      <c r="U3" s="625"/>
      <c r="V3" s="626"/>
      <c r="W3" s="630" t="s">
        <v>14</v>
      </c>
      <c r="X3" s="631"/>
      <c r="Y3" s="632"/>
      <c r="Z3" s="633" t="s">
        <v>15</v>
      </c>
    </row>
    <row r="4" spans="1:26" ht="22.5" customHeight="1">
      <c r="A4" s="634"/>
      <c r="B4" s="634"/>
      <c r="C4" s="634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4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23" activePane="bottomRight" state="frozen"/>
      <selection pane="topRight" activeCell="C1" sqref="C1"/>
      <selection pane="bottomLeft" activeCell="A8" sqref="A8"/>
      <selection pane="bottomRight" activeCell="R28" sqref="R28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2.425781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615" t="s">
        <v>345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6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617" t="s">
        <v>346</v>
      </c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339"/>
      <c r="O2" s="619" t="s">
        <v>347</v>
      </c>
      <c r="P2" s="618"/>
      <c r="Q2" s="618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620" t="s">
        <v>348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21"/>
      <c r="N3" s="622"/>
      <c r="O3" s="623" t="s">
        <v>349</v>
      </c>
      <c r="P3" s="618"/>
      <c r="Q3" s="618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08" t="s">
        <v>350</v>
      </c>
      <c r="B4" s="606"/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340"/>
      <c r="N4" s="340"/>
      <c r="O4" s="605" t="s">
        <v>351</v>
      </c>
      <c r="P4" s="606"/>
      <c r="Q4" s="606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09" t="s">
        <v>353</v>
      </c>
      <c r="B5" s="610"/>
      <c r="C5" s="610"/>
      <c r="D5" s="610"/>
      <c r="E5" s="610"/>
      <c r="F5" s="610"/>
      <c r="G5" s="610"/>
      <c r="H5" s="610"/>
      <c r="I5" s="610"/>
      <c r="J5" s="610"/>
      <c r="K5" s="610"/>
      <c r="L5" s="610"/>
      <c r="M5" s="610"/>
      <c r="N5" s="610"/>
      <c r="O5" s="610"/>
      <c r="P5" s="611"/>
      <c r="Q5" s="387" t="s">
        <v>354</v>
      </c>
      <c r="R5" s="388">
        <v>46182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12" t="s">
        <v>355</v>
      </c>
      <c r="B6" s="614" t="s">
        <v>356</v>
      </c>
      <c r="C6" s="614" t="s">
        <v>357</v>
      </c>
      <c r="D6" s="614" t="s">
        <v>358</v>
      </c>
      <c r="E6" s="597" t="s">
        <v>359</v>
      </c>
      <c r="F6" s="599"/>
      <c r="G6" s="597" t="s">
        <v>360</v>
      </c>
      <c r="H6" s="599"/>
      <c r="I6" s="607" t="s">
        <v>765</v>
      </c>
      <c r="J6" s="598"/>
      <c r="K6" s="599"/>
      <c r="L6" s="597" t="s">
        <v>361</v>
      </c>
      <c r="M6" s="598"/>
      <c r="N6" s="599"/>
      <c r="O6" s="597" t="s">
        <v>362</v>
      </c>
      <c r="P6" s="598"/>
      <c r="Q6" s="599"/>
      <c r="R6" s="595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13"/>
      <c r="B7" s="601"/>
      <c r="C7" s="601"/>
      <c r="D7" s="601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96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00"/>
      <c r="P10" s="600"/>
      <c r="Q10" s="602">
        <f t="shared" si="1"/>
        <v>0</v>
      </c>
      <c r="R10" s="604"/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01"/>
      <c r="P11" s="601"/>
      <c r="Q11" s="603"/>
      <c r="R11" s="604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60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195</v>
      </c>
      <c r="I13" s="83">
        <v>4</v>
      </c>
      <c r="J13" s="83">
        <v>0</v>
      </c>
      <c r="K13" s="84">
        <f>M13-H13</f>
        <v>0</v>
      </c>
      <c r="L13" s="79">
        <v>199</v>
      </c>
      <c r="M13" s="83">
        <f>'Progress-220kV'!BI411</f>
        <v>195</v>
      </c>
      <c r="N13" s="79">
        <f>D13-M13</f>
        <v>4</v>
      </c>
      <c r="O13" s="78">
        <v>0</v>
      </c>
      <c r="P13" s="78">
        <v>0</v>
      </c>
      <c r="Q13" s="78">
        <f t="shared" ref="Q13" si="3">+O13-P13</f>
        <v>0</v>
      </c>
      <c r="R13" s="255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92" t="s">
        <v>768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1.5681009999999915</v>
      </c>
      <c r="L15" s="79">
        <v>64</v>
      </c>
      <c r="M15" s="479">
        <f>'Stringing-220kV'!I3</f>
        <v>62.768100999999994</v>
      </c>
      <c r="N15" s="474">
        <f>D15-M15</f>
        <v>1.2318990000000056</v>
      </c>
      <c r="O15" s="575">
        <v>1</v>
      </c>
      <c r="P15" s="600">
        <v>0</v>
      </c>
      <c r="Q15" s="575">
        <f>+O15-P15</f>
        <v>1</v>
      </c>
      <c r="R15" s="593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1.5681009999999915</v>
      </c>
      <c r="L16" s="79">
        <v>64</v>
      </c>
      <c r="M16" s="479">
        <f>'Stringing-220kV'!L3</f>
        <v>62.768100999999994</v>
      </c>
      <c r="N16" s="474">
        <f t="shared" ref="N16:N17" si="6">D16-M16</f>
        <v>1.2318990000000056</v>
      </c>
      <c r="O16" s="601"/>
      <c r="P16" s="601"/>
      <c r="Q16" s="601"/>
      <c r="R16" s="594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9.5172659999999922</v>
      </c>
      <c r="L17" s="394">
        <v>64</v>
      </c>
      <c r="M17" s="500">
        <f>'Stringing-220kV'!X3</f>
        <v>63.239100999999991</v>
      </c>
      <c r="N17" s="394">
        <f t="shared" si="6"/>
        <v>0.7608990000000091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583" t="s">
        <v>391</v>
      </c>
      <c r="B19" s="584"/>
      <c r="C19" s="584"/>
      <c r="D19" s="584"/>
      <c r="E19" s="584"/>
      <c r="F19" s="584"/>
      <c r="G19" s="584"/>
      <c r="H19" s="584"/>
      <c r="I19" s="584"/>
      <c r="J19" s="584"/>
      <c r="K19" s="584"/>
      <c r="L19" s="584"/>
      <c r="M19" s="584"/>
      <c r="N19" s="584"/>
      <c r="O19" s="584"/>
      <c r="P19" s="585"/>
      <c r="Q19" s="74" t="s">
        <v>354</v>
      </c>
      <c r="R19" s="75">
        <f>+R5</f>
        <v>46182</v>
      </c>
    </row>
    <row r="20" spans="1:18" ht="30" customHeight="1">
      <c r="A20" s="586" t="s">
        <v>355</v>
      </c>
      <c r="B20" s="588" t="s">
        <v>356</v>
      </c>
      <c r="C20" s="588" t="s">
        <v>357</v>
      </c>
      <c r="D20" s="588" t="s">
        <v>358</v>
      </c>
      <c r="E20" s="589" t="s">
        <v>359</v>
      </c>
      <c r="F20" s="590"/>
      <c r="G20" s="589" t="s">
        <v>360</v>
      </c>
      <c r="H20" s="590"/>
      <c r="I20" s="589" t="str">
        <f>+I6</f>
        <v>Progress of Current Month (June'26)</v>
      </c>
      <c r="J20" s="591"/>
      <c r="K20" s="590"/>
      <c r="L20" s="589" t="s">
        <v>361</v>
      </c>
      <c r="M20" s="591"/>
      <c r="N20" s="590"/>
      <c r="O20" s="589" t="s">
        <v>362</v>
      </c>
      <c r="P20" s="591"/>
      <c r="Q20" s="590"/>
      <c r="R20" s="579" t="s">
        <v>363</v>
      </c>
    </row>
    <row r="21" spans="1:18" ht="12.75" customHeight="1">
      <c r="A21" s="587"/>
      <c r="B21" s="582"/>
      <c r="C21" s="582"/>
      <c r="D21" s="582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80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5</v>
      </c>
      <c r="J24" s="81">
        <v>0</v>
      </c>
      <c r="K24" s="84">
        <f>M24-H24</f>
        <v>0</v>
      </c>
      <c r="L24" s="79">
        <v>39</v>
      </c>
      <c r="M24" s="81">
        <f>'Progress-132kV'!AF89</f>
        <v>36</v>
      </c>
      <c r="N24" s="79">
        <f>D24-M24</f>
        <v>3</v>
      </c>
      <c r="O24" s="82">
        <v>1</v>
      </c>
      <c r="P24" s="82">
        <v>1</v>
      </c>
      <c r="Q24" s="82">
        <f>O24-P24</f>
        <v>0</v>
      </c>
      <c r="R24" s="564" t="s">
        <v>769</v>
      </c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2</v>
      </c>
      <c r="L25" s="79">
        <v>39</v>
      </c>
      <c r="M25" s="81">
        <f>'Progress-132kV'!AL89</f>
        <v>36</v>
      </c>
      <c r="N25" s="79">
        <f t="shared" si="9"/>
        <v>3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'Progress-132kV'!AQ89</f>
        <v>31</v>
      </c>
      <c r="N26" s="79">
        <f t="shared" si="9"/>
        <v>8</v>
      </c>
      <c r="O26" s="82">
        <v>1</v>
      </c>
      <c r="P26" s="78">
        <v>1</v>
      </c>
      <c r="Q26" s="78">
        <f t="shared" ref="Q26" si="10">+O26-P26</f>
        <v>0</v>
      </c>
      <c r="R26" s="565" t="s">
        <v>770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43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3.2600000000027052E-4</v>
      </c>
      <c r="L29" s="474">
        <v>9</v>
      </c>
      <c r="M29" s="474">
        <f>'Stringing-132KV'!I3</f>
        <v>6.2313260000000001</v>
      </c>
      <c r="N29" s="474">
        <f t="shared" ref="N29:N31" si="11">D29-M29</f>
        <v>3.0086740000000001</v>
      </c>
      <c r="O29" s="575">
        <v>1</v>
      </c>
      <c r="P29" s="575">
        <v>1</v>
      </c>
      <c r="Q29" s="581">
        <f>+O29-P29</f>
        <v>0</v>
      </c>
      <c r="R29" s="577"/>
    </row>
    <row r="30" spans="1:18" ht="27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3.2600000000027052E-4</v>
      </c>
      <c r="L30" s="474">
        <v>9</v>
      </c>
      <c r="M30" s="474">
        <f>'Stringing-132KV'!L3</f>
        <v>6.2313260000000001</v>
      </c>
      <c r="N30" s="474">
        <f t="shared" si="11"/>
        <v>3.0086740000000001</v>
      </c>
      <c r="O30" s="576"/>
      <c r="P30" s="576"/>
      <c r="Q30" s="582"/>
      <c r="R30" s="578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75">
        <v>9</v>
      </c>
      <c r="M31" s="94">
        <f>'Stringing-132KV'!Y3</f>
        <v>6.2313260000000001</v>
      </c>
      <c r="N31" s="475">
        <f t="shared" si="11"/>
        <v>3.0086740000000001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42" priority="1" operator="equal">
      <formula>"U/P"</formula>
    </cfRule>
    <cfRule type="cellIs" dxfId="1541" priority="2" operator="equal">
      <formula>"C"</formula>
    </cfRule>
  </conditionalFormatting>
  <conditionalFormatting sqref="R19">
    <cfRule type="cellIs" dxfId="1540" priority="3" operator="equal">
      <formula>"U/P"</formula>
    </cfRule>
    <cfRule type="cellIs" dxfId="1539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36" t="str">
        <f>+Summary!A2</f>
        <v>Name of the Line: 220KV DC AL59 line from Neemuch - Chanderiya + 132KV DC ACSS Line from Chanderiya to Hindustan Zinc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6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37" t="s">
        <v>410</v>
      </c>
      <c r="B3" s="625"/>
      <c r="C3" s="625"/>
      <c r="D3" s="625"/>
      <c r="E3" s="625"/>
      <c r="F3" s="625"/>
      <c r="G3" s="625"/>
      <c r="H3" s="625"/>
      <c r="I3" s="625"/>
      <c r="J3" s="625"/>
      <c r="K3" s="625"/>
      <c r="L3" s="625"/>
      <c r="M3" s="625"/>
      <c r="N3" s="625"/>
      <c r="O3" s="625"/>
      <c r="P3" s="625"/>
      <c r="Q3" s="625"/>
      <c r="R3" s="625"/>
      <c r="S3" s="626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37" t="s">
        <v>437</v>
      </c>
      <c r="B11" s="625"/>
      <c r="C11" s="625"/>
      <c r="D11" s="625"/>
      <c r="E11" s="625"/>
      <c r="F11" s="625"/>
      <c r="G11" s="625"/>
      <c r="H11" s="625"/>
      <c r="I11" s="625"/>
      <c r="J11" s="625"/>
      <c r="K11" s="625"/>
      <c r="L11" s="625"/>
      <c r="M11" s="625"/>
      <c r="N11" s="625"/>
      <c r="O11" s="625"/>
      <c r="P11" s="625"/>
      <c r="Q11" s="625"/>
      <c r="R11" s="625"/>
      <c r="S11" s="626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6" t="s">
        <v>393</v>
      </c>
      <c r="B22" s="567" t="s">
        <v>394</v>
      </c>
      <c r="C22" s="566" t="s">
        <v>395</v>
      </c>
      <c r="D22" s="566" t="s">
        <v>459</v>
      </c>
      <c r="E22" s="566" t="s">
        <v>460</v>
      </c>
      <c r="F22" s="566" t="s">
        <v>461</v>
      </c>
      <c r="G22" s="566" t="s">
        <v>15</v>
      </c>
    </row>
    <row r="23" spans="1:19" ht="14.25" customHeight="1">
      <c r="A23" s="572" t="s">
        <v>411</v>
      </c>
      <c r="B23" s="572" t="s">
        <v>412</v>
      </c>
      <c r="C23" s="572" t="s">
        <v>413</v>
      </c>
      <c r="D23" s="572" t="s">
        <v>414</v>
      </c>
      <c r="E23" s="572"/>
      <c r="F23" s="573">
        <v>45654</v>
      </c>
      <c r="G23" s="572" t="s">
        <v>462</v>
      </c>
    </row>
    <row r="24" spans="1:19" ht="14.25" customHeight="1">
      <c r="A24" s="572" t="s">
        <v>411</v>
      </c>
      <c r="B24" s="572" t="s">
        <v>412</v>
      </c>
      <c r="C24" s="572" t="s">
        <v>413</v>
      </c>
      <c r="D24" s="572" t="s">
        <v>417</v>
      </c>
      <c r="E24" s="572"/>
      <c r="F24" s="573">
        <v>45586</v>
      </c>
      <c r="G24" s="572" t="s">
        <v>462</v>
      </c>
    </row>
    <row r="25" spans="1:19" ht="14.25" customHeight="1">
      <c r="A25" s="572" t="s">
        <v>419</v>
      </c>
      <c r="B25" s="572" t="s">
        <v>420</v>
      </c>
      <c r="C25" s="572" t="s">
        <v>421</v>
      </c>
      <c r="D25" s="572" t="s">
        <v>423</v>
      </c>
      <c r="E25" s="572" t="s">
        <v>463</v>
      </c>
      <c r="F25" s="572"/>
      <c r="G25" s="572" t="s">
        <v>462</v>
      </c>
    </row>
    <row r="26" spans="1:19" ht="14.25" customHeight="1">
      <c r="A26" s="572" t="s">
        <v>426</v>
      </c>
      <c r="B26" s="572" t="s">
        <v>420</v>
      </c>
      <c r="C26" s="572" t="s">
        <v>421</v>
      </c>
      <c r="D26" s="572" t="s">
        <v>427</v>
      </c>
      <c r="E26" s="572" t="s">
        <v>463</v>
      </c>
      <c r="F26" s="572"/>
      <c r="G26" s="572" t="s">
        <v>462</v>
      </c>
    </row>
    <row r="27" spans="1:19" ht="14.25" customHeight="1">
      <c r="A27" s="572" t="s">
        <v>430</v>
      </c>
      <c r="B27" s="572" t="s">
        <v>420</v>
      </c>
      <c r="C27" s="572" t="s">
        <v>421</v>
      </c>
      <c r="D27" s="572" t="s">
        <v>431</v>
      </c>
      <c r="E27" s="572" t="s">
        <v>463</v>
      </c>
      <c r="F27" s="572"/>
      <c r="G27" s="572" t="s">
        <v>462</v>
      </c>
    </row>
    <row r="28" spans="1:19" ht="14.25" customHeight="1">
      <c r="A28" s="572" t="s">
        <v>701</v>
      </c>
      <c r="B28" s="572" t="s">
        <v>420</v>
      </c>
      <c r="C28" s="572" t="s">
        <v>421</v>
      </c>
      <c r="D28" s="572" t="s">
        <v>703</v>
      </c>
      <c r="E28" s="572"/>
      <c r="F28" s="572"/>
      <c r="G28" s="572" t="s">
        <v>462</v>
      </c>
    </row>
    <row r="29" spans="1:19" ht="14.25" customHeight="1">
      <c r="A29" s="572" t="s">
        <v>702</v>
      </c>
      <c r="B29" s="572" t="s">
        <v>420</v>
      </c>
      <c r="C29" s="572" t="s">
        <v>421</v>
      </c>
      <c r="D29" s="572" t="s">
        <v>704</v>
      </c>
      <c r="E29" s="572"/>
      <c r="F29" s="572"/>
      <c r="G29" s="572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6" t="s">
        <v>393</v>
      </c>
      <c r="B33" s="567" t="s">
        <v>394</v>
      </c>
      <c r="C33" s="566" t="s">
        <v>395</v>
      </c>
      <c r="D33" s="566" t="s">
        <v>459</v>
      </c>
      <c r="E33" s="566" t="s">
        <v>460</v>
      </c>
      <c r="F33" s="566" t="s">
        <v>461</v>
      </c>
      <c r="G33" s="566" t="s">
        <v>15</v>
      </c>
    </row>
    <row r="34" spans="1:7" ht="14.25" customHeight="1">
      <c r="A34" s="568" t="s">
        <v>448</v>
      </c>
      <c r="B34" s="569" t="s">
        <v>421</v>
      </c>
      <c r="C34" s="570"/>
      <c r="D34" s="569" t="s">
        <v>705</v>
      </c>
      <c r="E34" s="571">
        <v>45667</v>
      </c>
      <c r="F34" s="571">
        <v>45667</v>
      </c>
      <c r="G34" s="572" t="s">
        <v>462</v>
      </c>
    </row>
    <row r="35" spans="1:7" ht="14.25" customHeight="1">
      <c r="A35" s="568" t="s">
        <v>451</v>
      </c>
      <c r="B35" s="569" t="s">
        <v>452</v>
      </c>
      <c r="C35" s="570"/>
      <c r="D35" s="569" t="s">
        <v>453</v>
      </c>
      <c r="E35" s="571">
        <v>45659</v>
      </c>
      <c r="F35" s="571">
        <v>45666</v>
      </c>
      <c r="G35" s="572" t="s">
        <v>462</v>
      </c>
    </row>
    <row r="36" spans="1:7" ht="14.25" customHeight="1">
      <c r="A36" s="568" t="s">
        <v>419</v>
      </c>
      <c r="B36" s="569" t="s">
        <v>421</v>
      </c>
      <c r="C36" s="570"/>
      <c r="D36" s="569" t="s">
        <v>455</v>
      </c>
      <c r="E36" s="570"/>
      <c r="F36" s="571">
        <v>45648</v>
      </c>
      <c r="G36" s="572" t="s">
        <v>462</v>
      </c>
    </row>
    <row r="37" spans="1:7" ht="14.25" customHeight="1">
      <c r="A37" s="568" t="s">
        <v>465</v>
      </c>
      <c r="B37" s="569" t="s">
        <v>421</v>
      </c>
      <c r="C37" s="570"/>
      <c r="D37" s="569" t="s">
        <v>466</v>
      </c>
      <c r="E37" s="571">
        <v>45637</v>
      </c>
      <c r="F37" s="570"/>
      <c r="G37" s="572" t="s">
        <v>462</v>
      </c>
    </row>
    <row r="38" spans="1:7" ht="14.25" customHeight="1">
      <c r="A38" s="572" t="s">
        <v>411</v>
      </c>
      <c r="B38" s="572" t="s">
        <v>412</v>
      </c>
      <c r="C38" s="572" t="s">
        <v>413</v>
      </c>
      <c r="D38" s="572" t="s">
        <v>457</v>
      </c>
      <c r="E38" s="572"/>
      <c r="F38" s="573"/>
      <c r="G38" s="572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55" zoomScaleNormal="5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S10" sqref="S10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624" t="str">
        <f>+Summary!A2</f>
        <v>Name of the Line: 220KV DC AL59 line from Neemuch - Chanderiya + 132KV DC ACSS Line from Chanderiya to Hindustan Zinc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  <c r="S1" s="639"/>
      <c r="T1" s="639"/>
      <c r="U1" s="639"/>
      <c r="V1" s="639"/>
      <c r="W1" s="639"/>
      <c r="X1" s="639"/>
      <c r="Y1" s="639"/>
      <c r="Z1" s="639"/>
      <c r="AA1" s="639"/>
      <c r="AB1" s="639"/>
      <c r="AC1" s="639"/>
      <c r="AD1" s="639"/>
      <c r="AE1" s="639"/>
      <c r="AF1" s="639"/>
      <c r="AG1" s="639"/>
      <c r="AH1" s="639"/>
      <c r="AI1" s="639"/>
      <c r="AJ1" s="639"/>
      <c r="AK1" s="639"/>
      <c r="AL1" s="625"/>
      <c r="AM1" s="625"/>
      <c r="AN1" s="625"/>
      <c r="AO1" s="625"/>
      <c r="AP1" s="625"/>
      <c r="AQ1" s="639"/>
      <c r="AR1" s="639"/>
      <c r="AS1" s="639"/>
      <c r="AT1" s="639"/>
      <c r="AU1" s="639"/>
      <c r="AV1" s="639"/>
      <c r="AW1" s="639"/>
      <c r="AX1" s="639"/>
      <c r="AY1" s="639"/>
      <c r="AZ1" s="639"/>
      <c r="BA1" s="638"/>
    </row>
    <row r="2" spans="1:53" ht="14.25" customHeight="1">
      <c r="A2" s="624" t="str">
        <f>+Summary!A5</f>
        <v>Progress of 220kV Line</v>
      </c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39"/>
      <c r="P2" s="639"/>
      <c r="Q2" s="639"/>
      <c r="R2" s="639"/>
      <c r="S2" s="639"/>
      <c r="T2" s="639"/>
      <c r="U2" s="639"/>
      <c r="V2" s="639"/>
      <c r="W2" s="639"/>
      <c r="X2" s="639"/>
      <c r="Y2" s="639"/>
      <c r="Z2" s="639"/>
      <c r="AA2" s="639"/>
      <c r="AB2" s="639"/>
      <c r="AC2" s="639"/>
      <c r="AD2" s="639"/>
      <c r="AE2" s="639"/>
      <c r="AF2" s="639"/>
      <c r="AG2" s="639"/>
      <c r="AH2" s="639"/>
      <c r="AI2" s="639"/>
      <c r="AJ2" s="639"/>
      <c r="AK2" s="639"/>
      <c r="AL2" s="625"/>
      <c r="AM2" s="625"/>
      <c r="AN2" s="625"/>
      <c r="AO2" s="625"/>
      <c r="AP2" s="625"/>
      <c r="AQ2" s="639"/>
      <c r="AR2" s="639"/>
      <c r="AS2" s="639"/>
      <c r="AT2" s="639"/>
      <c r="AU2" s="639"/>
      <c r="AV2" s="639"/>
      <c r="AW2" s="639"/>
      <c r="AX2" s="639"/>
      <c r="AY2" s="639"/>
      <c r="AZ2" s="639"/>
      <c r="BA2" s="638"/>
    </row>
    <row r="3" spans="1:53" ht="23.1" customHeight="1">
      <c r="A3" s="624" t="s">
        <v>467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639"/>
      <c r="O3" s="639"/>
      <c r="P3" s="639"/>
      <c r="Q3" s="639"/>
      <c r="R3" s="639"/>
      <c r="S3" s="638"/>
      <c r="T3" s="624" t="s">
        <v>379</v>
      </c>
      <c r="U3" s="639"/>
      <c r="V3" s="639"/>
      <c r="W3" s="639"/>
      <c r="X3" s="639"/>
      <c r="Y3" s="639"/>
      <c r="Z3" s="639"/>
      <c r="AA3" s="639"/>
      <c r="AB3" s="639"/>
      <c r="AC3" s="639"/>
      <c r="AD3" s="639"/>
      <c r="AE3" s="639"/>
      <c r="AF3" s="639"/>
      <c r="AG3" s="639"/>
      <c r="AH3" s="639"/>
      <c r="AI3" s="639"/>
      <c r="AJ3" s="639"/>
      <c r="AK3" s="638"/>
      <c r="AL3" s="624" t="s">
        <v>381</v>
      </c>
      <c r="AM3" s="625"/>
      <c r="AN3" s="625"/>
      <c r="AO3" s="625"/>
      <c r="AP3" s="626"/>
      <c r="AQ3" s="624" t="s">
        <v>468</v>
      </c>
      <c r="AR3" s="639"/>
      <c r="AS3" s="639"/>
      <c r="AT3" s="638"/>
      <c r="AU3" s="55" t="s">
        <v>469</v>
      </c>
      <c r="AV3" s="624" t="s">
        <v>470</v>
      </c>
      <c r="AW3" s="639"/>
      <c r="AX3" s="639"/>
      <c r="AY3" s="639"/>
      <c r="AZ3" s="638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40" t="s">
        <v>472</v>
      </c>
      <c r="H4" s="641"/>
      <c r="I4" s="641"/>
      <c r="J4" s="642"/>
      <c r="K4" s="640" t="s">
        <v>473</v>
      </c>
      <c r="L4" s="641"/>
      <c r="M4" s="641"/>
      <c r="N4" s="642"/>
      <c r="O4" s="643" t="s">
        <v>9</v>
      </c>
      <c r="P4" s="639"/>
      <c r="Q4" s="639"/>
      <c r="R4" s="638"/>
      <c r="S4" s="111" t="s">
        <v>474</v>
      </c>
      <c r="T4" s="55" t="s">
        <v>475</v>
      </c>
      <c r="U4" s="2" t="s">
        <v>476</v>
      </c>
      <c r="V4" s="624" t="s">
        <v>477</v>
      </c>
      <c r="W4" s="639"/>
      <c r="X4" s="638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44" t="s">
        <v>486</v>
      </c>
      <c r="AH4" s="638"/>
      <c r="AI4" s="624" t="s">
        <v>487</v>
      </c>
      <c r="AJ4" s="638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760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380"/>
      <c r="AG8" s="6"/>
      <c r="AH8" s="6"/>
      <c r="AI8" s="6"/>
      <c r="AJ8" s="6"/>
      <c r="AK8" s="380"/>
      <c r="AL8" s="380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380"/>
      <c r="AL10" s="380"/>
      <c r="AM10" s="380"/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380" t="s">
        <v>20</v>
      </c>
      <c r="AM12" s="380" t="s">
        <v>764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1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759</v>
      </c>
      <c r="AG14" s="15"/>
      <c r="AH14" s="15"/>
      <c r="AI14" s="6"/>
      <c r="AJ14" s="6"/>
      <c r="AK14" s="380"/>
      <c r="AL14" s="380"/>
      <c r="AM14" s="380"/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36</v>
      </c>
      <c r="AL89" s="129">
        <f>+COUNTIF($AL$6:$AL$88,"C")</f>
        <v>36</v>
      </c>
      <c r="AM89" s="129"/>
      <c r="AQ89" s="43">
        <f>+COUNTIF($AQ$6:$AQ$88,"C")</f>
        <v>31</v>
      </c>
      <c r="AV89" s="12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AT382" activePane="bottomRight" state="frozen"/>
      <selection activeCell="A5" sqref="A5"/>
      <selection pane="topRight" activeCell="L5" sqref="L5"/>
      <selection pane="bottomLeft" activeCell="A20" sqref="A20"/>
      <selection pane="bottomRight" activeCell="BG220" sqref="BG220:BG224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48" t="s">
        <v>507</v>
      </c>
      <c r="I4" s="649"/>
      <c r="J4" s="649"/>
      <c r="K4" s="650"/>
      <c r="L4" s="648" t="s">
        <v>472</v>
      </c>
      <c r="M4" s="651"/>
      <c r="N4" s="651"/>
      <c r="O4" s="651"/>
      <c r="P4" s="652"/>
      <c r="Q4" s="648" t="s">
        <v>473</v>
      </c>
      <c r="R4" s="651"/>
      <c r="S4" s="652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627" t="s">
        <v>512</v>
      </c>
      <c r="AC6" s="626"/>
      <c r="AD6" s="627" t="s">
        <v>513</v>
      </c>
      <c r="AE6" s="625"/>
      <c r="AF6" s="625"/>
      <c r="AG6" s="625"/>
      <c r="AH6" s="625"/>
      <c r="AI6" s="625"/>
      <c r="AJ6" s="625"/>
      <c r="AK6" s="626"/>
      <c r="AL6" s="150"/>
      <c r="AM6" s="55" t="s">
        <v>514</v>
      </c>
      <c r="AN6" s="6" t="s">
        <v>515</v>
      </c>
      <c r="AO6" s="6" t="s">
        <v>516</v>
      </c>
      <c r="AP6" s="644" t="s">
        <v>486</v>
      </c>
      <c r="AQ6" s="626"/>
      <c r="AR6" s="624" t="s">
        <v>487</v>
      </c>
      <c r="AS6" s="626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127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45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46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46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47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762</v>
      </c>
      <c r="BH404" s="167"/>
      <c r="BI404" s="15"/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761</v>
      </c>
      <c r="BH406" s="167"/>
      <c r="BI406" s="15"/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761</v>
      </c>
      <c r="BH408" s="167"/>
      <c r="BI408" s="15"/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195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76" activePane="bottomRight" state="frozen"/>
      <selection pane="topRight" activeCell="E1" sqref="E1"/>
      <selection pane="bottomLeft" activeCell="A6" sqref="A6"/>
      <selection pane="bottomRight" activeCell="I92" sqref="I92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78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53" t="str">
        <f>+Summary!A2</f>
        <v>Name of the Line: 220KV DC AL59 line from Neemuch - Chanderiya + 132KV DC ACSS Line from Chanderiya to Hindustan Zinc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6"/>
    </row>
    <row r="2" spans="1:25" ht="14.25" customHeight="1">
      <c r="A2" s="653" t="str">
        <f>+Summary!A5</f>
        <v>Progress of 220kV Line</v>
      </c>
      <c r="B2" s="625"/>
      <c r="C2" s="625"/>
      <c r="D2" s="626"/>
      <c r="E2" s="109"/>
      <c r="F2" s="653" t="s">
        <v>601</v>
      </c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626"/>
      <c r="R2" s="195"/>
      <c r="S2" s="653" t="s">
        <v>602</v>
      </c>
      <c r="T2" s="625"/>
      <c r="U2" s="625"/>
      <c r="V2" s="625"/>
      <c r="W2" s="625"/>
      <c r="X2" s="625"/>
      <c r="Y2" s="626"/>
    </row>
    <row r="3" spans="1:25" ht="14.25" customHeight="1">
      <c r="A3" s="653" t="s">
        <v>603</v>
      </c>
      <c r="B3" s="625"/>
      <c r="C3" s="626"/>
      <c r="D3" s="196">
        <f>Summary!R5</f>
        <v>46182</v>
      </c>
      <c r="E3" s="197">
        <f>SUMIF(E6:E213,"C",$D$6:$D$213)/1000</f>
        <v>62.768100999999994</v>
      </c>
      <c r="F3" s="198"/>
      <c r="G3" s="198"/>
      <c r="H3" s="199">
        <f>SUMIF(G7:G213,"WIP",$D$7:$D$213)/1000</f>
        <v>0</v>
      </c>
      <c r="I3" s="483">
        <f>SUMIF(G6:G213,"C",$D$6:$D$213)/1000</f>
        <v>62.768100999999994</v>
      </c>
      <c r="J3" s="484"/>
      <c r="K3" s="52">
        <f>SUMIF(J7:J213,"WIP",$D$7:$D$213)/1000</f>
        <v>0</v>
      </c>
      <c r="L3" s="483">
        <f>SUMIF(J6:J213,"C",$D$6:$D$213)/1000</f>
        <v>62.768100999999994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63.239100999999991</v>
      </c>
      <c r="V3" s="199"/>
      <c r="W3" s="199">
        <f>SUMIF(V7:V213,"WIP",$D$7:$D$213)/1000</f>
        <v>0</v>
      </c>
      <c r="X3" s="199">
        <f>SUMIF(V7:V213,"C",$D$7:$D$213)/1000</f>
        <v>63.239100999999991</v>
      </c>
      <c r="Y3" s="198"/>
    </row>
    <row r="4" spans="1:25" ht="14.25" customHeight="1">
      <c r="A4" s="201" t="s">
        <v>2</v>
      </c>
      <c r="B4" s="654" t="s">
        <v>459</v>
      </c>
      <c r="C4" s="626"/>
      <c r="D4" s="201" t="s">
        <v>604</v>
      </c>
      <c r="E4" s="202" t="s">
        <v>605</v>
      </c>
      <c r="F4" s="55" t="s">
        <v>606</v>
      </c>
      <c r="G4" s="627" t="s">
        <v>607</v>
      </c>
      <c r="H4" s="625"/>
      <c r="I4" s="626"/>
      <c r="J4" s="627" t="s">
        <v>388</v>
      </c>
      <c r="K4" s="625"/>
      <c r="L4" s="626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624" t="s">
        <v>611</v>
      </c>
      <c r="T4" s="625"/>
      <c r="U4" s="626"/>
      <c r="V4" s="624" t="s">
        <v>612</v>
      </c>
      <c r="W4" s="625"/>
      <c r="X4" s="626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/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01"/>
      <c r="I19" s="268"/>
      <c r="J19" s="24"/>
      <c r="K19" s="268"/>
      <c r="L19" s="268"/>
      <c r="M19" s="24"/>
      <c r="N19" s="24"/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01"/>
      <c r="I20" s="268"/>
      <c r="J20" s="24"/>
      <c r="K20" s="268"/>
      <c r="L20" s="268"/>
      <c r="M20" s="24"/>
      <c r="N20" s="24"/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01"/>
      <c r="I21" s="268"/>
      <c r="J21" s="24"/>
      <c r="K21" s="268"/>
      <c r="L21" s="268"/>
      <c r="M21" s="24"/>
      <c r="N21" s="24"/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24"/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24"/>
      <c r="N84" s="24"/>
      <c r="O84" s="24" t="s">
        <v>766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24"/>
      <c r="N85" s="24"/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5"/>
      <c r="N86" s="15"/>
      <c r="O86" s="172" t="s">
        <v>767</v>
      </c>
      <c r="P86" s="25"/>
      <c r="Q86" s="24"/>
      <c r="R86" s="211"/>
      <c r="S86" s="574"/>
      <c r="T86" s="268"/>
      <c r="U86" s="268"/>
      <c r="V86" s="574"/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/>
      <c r="F87" s="16"/>
      <c r="G87" s="16"/>
      <c r="H87" s="401"/>
      <c r="I87" s="268"/>
      <c r="J87" s="16"/>
      <c r="K87" s="268"/>
      <c r="L87" s="268"/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402">
        <f t="shared" si="35"/>
        <v>0.17357</v>
      </c>
      <c r="R223" s="222"/>
    </row>
    <row r="224" spans="1:25" ht="14.25" customHeight="1">
      <c r="G224" s="16">
        <v>336.5</v>
      </c>
      <c r="H224" s="402">
        <f t="shared" si="35"/>
        <v>0.33650000000000002</v>
      </c>
      <c r="R224" s="222"/>
    </row>
    <row r="225" spans="7:18" ht="14.25" customHeight="1">
      <c r="G225" s="16">
        <v>900.14</v>
      </c>
      <c r="H225" s="402">
        <f t="shared" si="35"/>
        <v>0.90013999999999994</v>
      </c>
      <c r="R225" s="222"/>
    </row>
    <row r="226" spans="7:18" ht="14.25" customHeight="1">
      <c r="G226" s="16">
        <v>1697.24</v>
      </c>
      <c r="H226" s="402">
        <f t="shared" si="35"/>
        <v>1.6972400000000001</v>
      </c>
    </row>
    <row r="227" spans="7:18" ht="14.25" customHeight="1">
      <c r="G227" s="16">
        <v>1600.078</v>
      </c>
      <c r="H227" s="402">
        <f t="shared" si="35"/>
        <v>1.6000779999999999</v>
      </c>
    </row>
    <row r="228" spans="7:18" ht="14.25" customHeight="1">
      <c r="G228" s="16">
        <v>525.89</v>
      </c>
      <c r="H228" s="402">
        <f t="shared" si="35"/>
        <v>0.52588999999999997</v>
      </c>
    </row>
    <row r="229" spans="7:18" ht="14.25" customHeight="1">
      <c r="G229" s="16">
        <v>356.279</v>
      </c>
      <c r="H229" s="402">
        <f t="shared" si="35"/>
        <v>0.35627900000000001</v>
      </c>
    </row>
    <row r="230" spans="7:18" ht="14.25" customHeight="1">
      <c r="G230" s="16">
        <v>190.524</v>
      </c>
      <c r="H230" s="402">
        <f t="shared" si="35"/>
        <v>0.190524</v>
      </c>
    </row>
    <row r="231" spans="7:18" ht="14.25" customHeight="1">
      <c r="G231" s="16">
        <v>142.38399999999999</v>
      </c>
      <c r="H231" s="402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8" priority="101" operator="containsText" text="WIP">
      <formula>NOT(ISERROR(SEARCH(("WIP"),(E17))))</formula>
    </cfRule>
  </conditionalFormatting>
  <conditionalFormatting sqref="F13:F18">
    <cfRule type="containsText" dxfId="1537" priority="102" operator="containsText" text="WIP">
      <formula>NOT(ISERROR(SEARCH(("WIP"),(F13))))</formula>
    </cfRule>
  </conditionalFormatting>
  <conditionalFormatting sqref="F50 E87:E101">
    <cfRule type="containsText" dxfId="1536" priority="92" operator="containsText" text="C">
      <formula>NOT(ISERROR(SEARCH(("C"),(E95))))</formula>
    </cfRule>
  </conditionalFormatting>
  <conditionalFormatting sqref="F51">
    <cfRule type="containsText" dxfId="1535" priority="68" operator="containsText" text="C">
      <formula>NOT(ISERROR(SEARCH(("C"),(F51))))</formula>
    </cfRule>
  </conditionalFormatting>
  <conditionalFormatting sqref="F131">
    <cfRule type="containsText" dxfId="1534" priority="104" operator="containsText" text="WIP">
      <formula>NOT(ISERROR(SEARCH(("WIP"),(F131))))</formula>
    </cfRule>
  </conditionalFormatting>
  <conditionalFormatting sqref="F132:F161">
    <cfRule type="containsText" dxfId="1533" priority="105" operator="containsText" text="C">
      <formula>NOT(ISERROR(SEARCH(("C"),(F132))))</formula>
    </cfRule>
  </conditionalFormatting>
  <conditionalFormatting sqref="F176:F187">
    <cfRule type="containsText" dxfId="1532" priority="106" operator="containsText" text="C">
      <formula>NOT(ISERROR(SEARCH(("C"),(F176))))</formula>
    </cfRule>
  </conditionalFormatting>
  <conditionalFormatting sqref="F30:G32">
    <cfRule type="containsText" dxfId="1531" priority="107" operator="containsText" text="WIP">
      <formula>NOT(ISERROR(SEARCH(("WIP"),(F30))))</formula>
    </cfRule>
  </conditionalFormatting>
  <conditionalFormatting sqref="F42:G50 E42:E60 E64:E86">
    <cfRule type="containsText" dxfId="1530" priority="91" operator="containsText" text="C">
      <formula>NOT(ISERROR(SEARCH(("C"),(E42))))</formula>
    </cfRule>
  </conditionalFormatting>
  <conditionalFormatting sqref="F64:G101 F52:G60 E61:G63">
    <cfRule type="containsText" dxfId="1529" priority="109" operator="containsText" text="C">
      <formula>NOT(ISERROR(SEARCH(("C"),(E52))))</formula>
    </cfRule>
  </conditionalFormatting>
  <conditionalFormatting sqref="F102:G114 E102:E214 F193:F194">
    <cfRule type="containsText" dxfId="1528" priority="93" operator="containsText" text="C">
      <formula>NOT(ISERROR(SEARCH(("C"),(E102))))</formula>
    </cfRule>
  </conditionalFormatting>
  <conditionalFormatting sqref="F115:G131">
    <cfRule type="containsText" dxfId="1527" priority="112" operator="containsText" text="C">
      <formula>NOT(ISERROR(SEARCH(("C"),(F115))))</formula>
    </cfRule>
  </conditionalFormatting>
  <conditionalFormatting sqref="F162:G175">
    <cfRule type="containsText" dxfId="1526" priority="113" operator="containsText" text="C">
      <formula>NOT(ISERROR(SEARCH(("C"),(F162))))</formula>
    </cfRule>
  </conditionalFormatting>
  <conditionalFormatting sqref="F188:G192 G193:G194">
    <cfRule type="containsText" dxfId="1525" priority="123" operator="containsText" text="C">
      <formula>NOT(ISERROR(SEARCH(("C"),(F336))))</formula>
    </cfRule>
  </conditionalFormatting>
  <conditionalFormatting sqref="F195:G213">
    <cfRule type="containsText" dxfId="1524" priority="115" operator="containsText" text="C">
      <formula>NOT(ISERROR(SEARCH(("C"),(F195))))</formula>
    </cfRule>
  </conditionalFormatting>
  <conditionalFormatting sqref="G7:G22">
    <cfRule type="containsText" dxfId="1523" priority="118" operator="containsText" text="WIP">
      <formula>NOT(ISERROR(SEARCH(("WIP"),(G7))))</formula>
    </cfRule>
  </conditionalFormatting>
  <conditionalFormatting sqref="G50:G51">
    <cfRule type="containsText" dxfId="1522" priority="67" operator="containsText" text="C">
      <formula>NOT(ISERROR(SEARCH(("C"),(G50))))</formula>
    </cfRule>
  </conditionalFormatting>
  <conditionalFormatting sqref="G69:G70 E132:E133 H70">
    <cfRule type="containsText" dxfId="1521" priority="146" operator="containsText" text="WIP">
      <formula>NOT(ISERROR(SEARCH(("WIP"),(E132))))</formula>
    </cfRule>
  </conditionalFormatting>
  <conditionalFormatting sqref="G87:G88">
    <cfRule type="containsText" dxfId="1520" priority="126" operator="containsText" text="WIP">
      <formula>NOT(ISERROR(SEARCH(("WIP"),(G87))))</formula>
    </cfRule>
  </conditionalFormatting>
  <conditionalFormatting sqref="G93:G98">
    <cfRule type="containsText" dxfId="1519" priority="127" operator="containsText" text="WIP">
      <formula>NOT(ISERROR(SEARCH(("WIP"),(G93))))</formula>
    </cfRule>
  </conditionalFormatting>
  <conditionalFormatting sqref="G100 G102:G110">
    <cfRule type="containsText" dxfId="1518" priority="128" operator="containsText" text="WIP">
      <formula>NOT(ISERROR(SEARCH(("WIP"),(G100))))</formula>
    </cfRule>
  </conditionalFormatting>
  <conditionalFormatting sqref="G115 G112">
    <cfRule type="containsText" dxfId="1517" priority="129" operator="containsText" text="WIP">
      <formula>NOT(ISERROR(SEARCH(("WIP"),(G112))))</formula>
    </cfRule>
  </conditionalFormatting>
  <conditionalFormatting sqref="G119:G121">
    <cfRule type="containsText" dxfId="1516" priority="130" operator="containsText" text="WIP">
      <formula>NOT(ISERROR(SEARCH(("WIP"),(G119))))</formula>
    </cfRule>
  </conditionalFormatting>
  <conditionalFormatting sqref="G132:G134">
    <cfRule type="containsText" dxfId="1515" priority="131" operator="containsText" text="C">
      <formula>NOT(ISERROR(SEARCH(("C"),(G132))))</formula>
    </cfRule>
  </conditionalFormatting>
  <conditionalFormatting sqref="G135:G146">
    <cfRule type="containsText" dxfId="1514" priority="132" operator="containsText" text="WIP">
      <formula>NOT(ISERROR(SEARCH(("WIP"),(G135))))</formula>
    </cfRule>
  </conditionalFormatting>
  <conditionalFormatting sqref="G135:G161">
    <cfRule type="containsText" dxfId="1513" priority="133" operator="containsText" text="C">
      <formula>NOT(ISERROR(SEARCH(("C"),(G135))))</formula>
    </cfRule>
  </conditionalFormatting>
  <conditionalFormatting sqref="G151 G153">
    <cfRule type="containsText" dxfId="1512" priority="134" operator="containsText" text="WIP">
      <formula>NOT(ISERROR(SEARCH(("WIP"),(G151))))</formula>
    </cfRule>
  </conditionalFormatting>
  <conditionalFormatting sqref="G155:G160">
    <cfRule type="containsText" dxfId="1511" priority="135" operator="containsText" text="WIP">
      <formula>NOT(ISERROR(SEARCH(("WIP"),(G155))))</formula>
    </cfRule>
  </conditionalFormatting>
  <conditionalFormatting sqref="G164:G171">
    <cfRule type="containsText" dxfId="1510" priority="136" operator="containsText" text="WIP">
      <formula>NOT(ISERROR(SEARCH(("WIP"),(G164))))</formula>
    </cfRule>
  </conditionalFormatting>
  <conditionalFormatting sqref="G171">
    <cfRule type="containsText" dxfId="1509" priority="137" operator="containsText" text="C">
      <formula>NOT(ISERROR(SEARCH(("C"),(G171))))</formula>
    </cfRule>
  </conditionalFormatting>
  <conditionalFormatting sqref="G173:G180">
    <cfRule type="containsText" dxfId="1508" priority="138" operator="containsText" text="WIP">
      <formula>NOT(ISERROR(SEARCH(("WIP"),(G173))))</formula>
    </cfRule>
  </conditionalFormatting>
  <conditionalFormatting sqref="G174:G187">
    <cfRule type="containsText" dxfId="1507" priority="139" operator="containsText" text="C">
      <formula>NOT(ISERROR(SEARCH(("C"),(G174))))</formula>
    </cfRule>
  </conditionalFormatting>
  <conditionalFormatting sqref="G176:G180">
    <cfRule type="containsText" dxfId="1506" priority="114" operator="containsText" text="C">
      <formula>NOT(ISERROR(SEARCH(("C"),(G176))))</formula>
    </cfRule>
  </conditionalFormatting>
  <conditionalFormatting sqref="G183:G186">
    <cfRule type="containsText" dxfId="1505" priority="140" operator="containsText" text="WIP">
      <formula>NOT(ISERROR(SEARCH(("WIP"),(G183))))</formula>
    </cfRule>
  </conditionalFormatting>
  <conditionalFormatting sqref="G188:G194">
    <cfRule type="containsText" dxfId="1504" priority="141" operator="containsText" text="WIP">
      <formula>NOT(ISERROR(SEARCH(("WIP"),(G188))))</formula>
    </cfRule>
  </conditionalFormatting>
  <conditionalFormatting sqref="G192:G194">
    <cfRule type="containsText" dxfId="1503" priority="143" operator="containsText" text="C">
      <formula>NOT(ISERROR(SEARCH(("C"),(G192))))</formula>
    </cfRule>
  </conditionalFormatting>
  <conditionalFormatting sqref="G196:G202">
    <cfRule type="containsText" dxfId="1502" priority="144" operator="containsText" text="WIP">
      <formula>NOT(ISERROR(SEARCH(("WIP"),(G196))))</formula>
    </cfRule>
  </conditionalFormatting>
  <conditionalFormatting sqref="G206:G207">
    <cfRule type="containsText" dxfId="1501" priority="145" operator="containsText" text="WIP">
      <formula>NOT(ISERROR(SEARCH(("WIP"),(G206))))</formula>
    </cfRule>
  </conditionalFormatting>
  <conditionalFormatting sqref="H70">
    <cfRule type="containsText" dxfId="1500" priority="147" operator="containsText" text="C">
      <formula>NOT(ISERROR(SEARCH(("C"),(H70))))</formula>
    </cfRule>
  </conditionalFormatting>
  <conditionalFormatting sqref="J6:J12">
    <cfRule type="containsText" dxfId="1499" priority="71" operator="containsText" text="C">
      <formula>NOT(ISERROR(SEARCH(("C"),(J6))))</formula>
    </cfRule>
  </conditionalFormatting>
  <conditionalFormatting sqref="J7:J21">
    <cfRule type="containsText" dxfId="1498" priority="149" operator="containsText" text="WIP">
      <formula>NOT(ISERROR(SEARCH(("WIP"),(J7))))</formula>
    </cfRule>
  </conditionalFormatting>
  <conditionalFormatting sqref="J7:J33">
    <cfRule type="containsText" dxfId="1497" priority="150" operator="containsText" text="C">
      <formula>NOT(ISERROR(SEARCH(("C"),(J7))))</formula>
    </cfRule>
  </conditionalFormatting>
  <conditionalFormatting sqref="J30:J33">
    <cfRule type="containsText" dxfId="1496" priority="154" operator="containsText" text="WIP">
      <formula>NOT(ISERROR(SEARCH(("WIP"),(J30))))</formula>
    </cfRule>
  </conditionalFormatting>
  <conditionalFormatting sqref="J34:J46">
    <cfRule type="containsText" dxfId="1495" priority="29" operator="containsText" text="C">
      <formula>NOT(ISERROR(SEARCH(("C"),(J34))))</formula>
    </cfRule>
  </conditionalFormatting>
  <conditionalFormatting sqref="J39">
    <cfRule type="containsText" dxfId="1494" priority="156" operator="containsText" text="WIP">
      <formula>NOT(ISERROR(SEARCH(("WIP"),(J39))))</formula>
    </cfRule>
  </conditionalFormatting>
  <conditionalFormatting sqref="J47:J85 J39">
    <cfRule type="containsText" dxfId="1493" priority="158" operator="containsText" text="C">
      <formula>NOT(ISERROR(SEARCH(("C"),(J39))))</formula>
    </cfRule>
  </conditionalFormatting>
  <conditionalFormatting sqref="J50:J51">
    <cfRule type="containsText" dxfId="1492" priority="157" operator="containsText" text="WIP">
      <formula>NOT(ISERROR(SEARCH(("WIP"),(J50))))</formula>
    </cfRule>
  </conditionalFormatting>
  <conditionalFormatting sqref="J61:J64 J69:J71 J74:J79 J82 G58:G59 G62:G64 E204">
    <cfRule type="containsText" dxfId="1491" priority="159" operator="containsText" text="WIP">
      <formula>NOT(ISERROR(SEARCH(("WIP"),(G58))))</formula>
    </cfRule>
  </conditionalFormatting>
  <conditionalFormatting sqref="J86:J101">
    <cfRule type="containsText" dxfId="1490" priority="1" operator="containsText" text="C">
      <formula>NOT(ISERROR(SEARCH(("C"),(J86))))</formula>
    </cfRule>
  </conditionalFormatting>
  <conditionalFormatting sqref="J88:J98">
    <cfRule type="containsText" dxfId="1489" priority="162" operator="containsText" text="WIP">
      <formula>NOT(ISERROR(SEARCH(("WIP"),(J88))))</formula>
    </cfRule>
  </conditionalFormatting>
  <conditionalFormatting sqref="J100:J122">
    <cfRule type="containsText" dxfId="1488" priority="161" operator="containsText" text="WIP">
      <formula>NOT(ISERROR(SEARCH(("WIP"),(J100))))</formula>
    </cfRule>
  </conditionalFormatting>
  <conditionalFormatting sqref="J102:J133">
    <cfRule type="containsText" dxfId="1487" priority="163" operator="containsText" text="C">
      <formula>NOT(ISERROR(SEARCH(("C"),(J102))))</formula>
    </cfRule>
  </conditionalFormatting>
  <conditionalFormatting sqref="J113:J117">
    <cfRule type="containsText" dxfId="1486" priority="165" operator="containsText" text="WIP">
      <formula>NOT(ISERROR(SEARCH(("WIP"),(J113))))</formula>
    </cfRule>
  </conditionalFormatting>
  <conditionalFormatting sqref="J132:J151">
    <cfRule type="containsText" dxfId="1485" priority="166" operator="containsText" text="WIP">
      <formula>NOT(ISERROR(SEARCH(("WIP"),(J132))))</formula>
    </cfRule>
  </conditionalFormatting>
  <conditionalFormatting sqref="J133:J154">
    <cfRule type="containsText" dxfId="1484" priority="167" operator="containsText" text="C">
      <formula>NOT(ISERROR(SEARCH(("C"),(J133))))</formula>
    </cfRule>
  </conditionalFormatting>
  <conditionalFormatting sqref="J154:J171">
    <cfRule type="containsText" dxfId="1483" priority="168" operator="containsText" text="WIP">
      <formula>NOT(ISERROR(SEARCH(("WIP"),(J154))))</formula>
    </cfRule>
  </conditionalFormatting>
  <conditionalFormatting sqref="J155:J213">
    <cfRule type="containsText" dxfId="1482" priority="169" operator="containsText" text="C">
      <formula>NOT(ISERROR(SEARCH(("C"),(J155))))</formula>
    </cfRule>
  </conditionalFormatting>
  <conditionalFormatting sqref="J173:J180">
    <cfRule type="containsText" dxfId="1481" priority="171" operator="containsText" text="WIP">
      <formula>NOT(ISERROR(SEARCH(("WIP"),(J173))))</formula>
    </cfRule>
  </conditionalFormatting>
  <conditionalFormatting sqref="J186:J209">
    <cfRule type="containsText" dxfId="1480" priority="173" operator="containsText" text="WIP">
      <formula>NOT(ISERROR(SEARCH(("WIP"),(J186))))</formula>
    </cfRule>
  </conditionalFormatting>
  <conditionalFormatting sqref="J7:K8">
    <cfRule type="containsText" dxfId="1479" priority="174" operator="containsText" text="C">
      <formula>NOT(ISERROR(SEARCH(("C"),(J7))))</formula>
    </cfRule>
  </conditionalFormatting>
  <conditionalFormatting sqref="K7:K8">
    <cfRule type="containsText" dxfId="1478" priority="175" operator="containsText" text="WIP">
      <formula>NOT(ISERROR(SEARCH(("WIP"),(K7))))</formula>
    </cfRule>
  </conditionalFormatting>
  <conditionalFormatting sqref="M22:M29">
    <cfRule type="containsText" dxfId="1477" priority="188" operator="containsText" text="WIP">
      <formula>NOT(ISERROR(SEARCH(("WIP"),(M22))))</formula>
    </cfRule>
  </conditionalFormatting>
  <conditionalFormatting sqref="M22:M32">
    <cfRule type="containsText" dxfId="1476" priority="56" operator="containsText" text="C">
      <formula>NOT(ISERROR(SEARCH(("C"),(M22))))</formula>
    </cfRule>
  </conditionalFormatting>
  <conditionalFormatting sqref="M30 M51:N51 M61:N64 M6:N6">
    <cfRule type="containsText" dxfId="1475" priority="55" operator="containsText" text="WIP">
      <formula>NOT(ISERROR(SEARCH(("WIP"),(M6))))</formula>
    </cfRule>
  </conditionalFormatting>
  <conditionalFormatting sqref="M30 M51:N51 M61:N64">
    <cfRule type="containsText" dxfId="1474" priority="54" operator="containsText" text="C">
      <formula>NOT(ISERROR(SEARCH(("C"),(M30))))</formula>
    </cfRule>
  </conditionalFormatting>
  <conditionalFormatting sqref="M33:M34">
    <cfRule type="containsText" dxfId="1473" priority="53" operator="containsText" text="C">
      <formula>NOT(ISERROR(SEARCH(("C"),(M33))))</formula>
    </cfRule>
  </conditionalFormatting>
  <conditionalFormatting sqref="M40:M41">
    <cfRule type="containsText" dxfId="1472" priority="45" operator="containsText" text="WIP">
      <formula>NOT(ISERROR(SEARCH(("WIP"),(M40))))</formula>
    </cfRule>
  </conditionalFormatting>
  <conditionalFormatting sqref="M40:M43">
    <cfRule type="containsText" dxfId="1471" priority="46" operator="containsText" text="C">
      <formula>NOT(ISERROR(SEARCH(("C"),(M40))))</formula>
    </cfRule>
  </conditionalFormatting>
  <conditionalFormatting sqref="M42:M43">
    <cfRule type="containsText" dxfId="1470" priority="50" operator="containsText" text="C">
      <formula>NOT(ISERROR(SEARCH(("C"),(M42))))</formula>
    </cfRule>
    <cfRule type="containsText" dxfId="1469" priority="49" operator="containsText" text="WIP">
      <formula>NOT(ISERROR(SEARCH(("WIP"),(M42))))</formula>
    </cfRule>
  </conditionalFormatting>
  <conditionalFormatting sqref="M44:M46 M77:N79">
    <cfRule type="containsText" dxfId="1468" priority="26" operator="containsText" text="WIP">
      <formula>NOT(ISERROR(SEARCH(("WIP"),(M44))))</formula>
    </cfRule>
    <cfRule type="containsText" dxfId="1467" priority="27" operator="containsText" text="C">
      <formula>NOT(ISERROR(SEARCH(("C"),(M44))))</formula>
    </cfRule>
    <cfRule type="containsText" dxfId="1466" priority="25" operator="containsText" text="C">
      <formula>NOT(ISERROR(SEARCH(("C"),(M44))))</formula>
    </cfRule>
  </conditionalFormatting>
  <conditionalFormatting sqref="M88">
    <cfRule type="containsText" dxfId="1465" priority="179" operator="containsText" text="WIP">
      <formula>NOT(ISERROR(SEARCH(("WIP"),(M88))))</formula>
    </cfRule>
    <cfRule type="containsText" dxfId="1464" priority="180" operator="containsText" text="C">
      <formula>NOT(ISERROR(SEARCH(("C"),(M88))))</formula>
    </cfRule>
  </conditionalFormatting>
  <conditionalFormatting sqref="M6:N12">
    <cfRule type="containsText" dxfId="1463" priority="12" operator="containsText" text="C">
      <formula>NOT(ISERROR(SEARCH(("C"),(M6))))</formula>
    </cfRule>
  </conditionalFormatting>
  <conditionalFormatting sqref="M7:N12">
    <cfRule type="containsText" dxfId="1462" priority="11" operator="containsText" text="WIP">
      <formula>NOT(ISERROR(SEARCH(("WIP"),(M7))))</formula>
    </cfRule>
  </conditionalFormatting>
  <conditionalFormatting sqref="M13:N14">
    <cfRule type="containsText" dxfId="1461" priority="17" operator="containsText" text="C">
      <formula>NOT(ISERROR(SEARCH(("C"),(M13))))</formula>
    </cfRule>
  </conditionalFormatting>
  <conditionalFormatting sqref="M15:N16">
    <cfRule type="containsText" dxfId="1460" priority="18" operator="containsText" text="WIP">
      <formula>NOT(ISERROR(SEARCH(("WIP"),(M15))))</formula>
    </cfRule>
  </conditionalFormatting>
  <conditionalFormatting sqref="M15:N18">
    <cfRule type="containsText" dxfId="1459" priority="19" operator="containsText" text="C">
      <formula>NOT(ISERROR(SEARCH(("C"),(M15))))</formula>
    </cfRule>
  </conditionalFormatting>
  <conditionalFormatting sqref="M31:N32">
    <cfRule type="containsText" dxfId="1458" priority="58" operator="containsText" text="WIP">
      <formula>NOT(ISERROR(SEARCH(("WIP"),(M31))))</formula>
    </cfRule>
  </conditionalFormatting>
  <conditionalFormatting sqref="M31:N41 M6:N10 M47:N76 E6:G41">
    <cfRule type="containsText" dxfId="1457" priority="70" operator="containsText" text="C">
      <formula>NOT(ISERROR(SEARCH(("C"),(E6))))</formula>
    </cfRule>
  </conditionalFormatting>
  <conditionalFormatting sqref="M33:N34">
    <cfRule type="containsText" dxfId="1456" priority="32" operator="containsText" text="WIP">
      <formula>NOT(ISERROR(SEARCH(("WIP"),(M33))))</formula>
    </cfRule>
  </conditionalFormatting>
  <conditionalFormatting sqref="N11:N13 M13:M14 N17 N22:N30 N80:N82 M80:M83">
    <cfRule type="containsText" dxfId="1455" priority="178" operator="containsText" text="C">
      <formula>NOT(ISERROR(SEARCH(("C"),(M11))))</formula>
    </cfRule>
  </conditionalFormatting>
  <conditionalFormatting sqref="N14">
    <cfRule type="containsText" dxfId="1454" priority="16" operator="containsText" text="WIP">
      <formula>NOT(ISERROR(SEARCH(("WIP"),(N14))))</formula>
    </cfRule>
  </conditionalFormatting>
  <conditionalFormatting sqref="N17 N80:N82 M80:M83 N22:N30 N13 M13:M14">
    <cfRule type="containsText" dxfId="1453" priority="177" operator="containsText" text="WIP">
      <formula>NOT(ISERROR(SEARCH(("WIP"),(M13))))</formula>
    </cfRule>
  </conditionalFormatting>
  <conditionalFormatting sqref="N17 N80:N82 M80:M83">
    <cfRule type="containsText" dxfId="1452" priority="176" operator="containsText" text="C">
      <formula>NOT(ISERROR(SEARCH(("C"),(M17))))</formula>
    </cfRule>
  </conditionalFormatting>
  <conditionalFormatting sqref="N22:N32">
    <cfRule type="containsText" dxfId="1451" priority="62" operator="containsText" text="C">
      <formula>NOT(ISERROR(SEARCH(("C"),(N22))))</formula>
    </cfRule>
  </conditionalFormatting>
  <conditionalFormatting sqref="N33:N34">
    <cfRule type="containsText" dxfId="1450" priority="31" operator="containsText" text="C">
      <formula>NOT(ISERROR(SEARCH(("C"),(N33))))</formula>
    </cfRule>
  </conditionalFormatting>
  <conditionalFormatting sqref="N39">
    <cfRule type="containsText" dxfId="1449" priority="23" operator="containsText" text="WIP">
      <formula>NOT(ISERROR(SEARCH(("WIP"),(N39))))</formula>
    </cfRule>
  </conditionalFormatting>
  <conditionalFormatting sqref="N39:N40">
    <cfRule type="containsText" dxfId="1448" priority="24" operator="containsText" text="C">
      <formula>NOT(ISERROR(SEARCH(("C"),(N39))))</formula>
    </cfRule>
  </conditionalFormatting>
  <conditionalFormatting sqref="N40:N46">
    <cfRule type="containsText" dxfId="1447" priority="35" operator="containsText" text="WIP">
      <formula>NOT(ISERROR(SEARCH(("WIP"),(N40))))</formula>
    </cfRule>
  </conditionalFormatting>
  <conditionalFormatting sqref="N41:N46">
    <cfRule type="containsText" dxfId="1446" priority="39" operator="containsText" text="C">
      <formula>NOT(ISERROR(SEARCH(("C"),(N41))))</formula>
    </cfRule>
  </conditionalFormatting>
  <conditionalFormatting sqref="N42:N46">
    <cfRule type="containsText" dxfId="1445" priority="28" operator="containsText" text="C">
      <formula>NOT(ISERROR(SEARCH(("C"),(N42))))</formula>
    </cfRule>
  </conditionalFormatting>
  <conditionalFormatting sqref="S6:S64">
    <cfRule type="containsText" dxfId="1444" priority="8" operator="containsText" text="WIP">
      <formula>NOT(ISERROR(SEARCH(("WIP"),(S6))))</formula>
    </cfRule>
  </conditionalFormatting>
  <conditionalFormatting sqref="S6:S70">
    <cfRule type="containsText" dxfId="1443" priority="9" operator="containsText" text="C">
      <formula>NOT(ISERROR(SEARCH(("C"),(S6))))</formula>
    </cfRule>
  </conditionalFormatting>
  <conditionalFormatting sqref="S87:S93 V87:V93">
    <cfRule type="containsText" dxfId="1442" priority="192" operator="containsText" text="WIP">
      <formula>NOT(ISERROR(SEARCH(("WIP"),(S87))))</formula>
    </cfRule>
    <cfRule type="containsText" dxfId="1441" priority="193" operator="containsText" text="C">
      <formula>NOT(ISERROR(SEARCH(("C"),(S87))))</formula>
    </cfRule>
  </conditionalFormatting>
  <conditionalFormatting sqref="S103:S213">
    <cfRule type="containsText" dxfId="1440" priority="194" operator="containsText" text="WIP">
      <formula>NOT(ISERROR(SEARCH(("WIP"),(S103))))</formula>
    </cfRule>
    <cfRule type="containsText" dxfId="1439" priority="195" operator="containsText" text="C">
      <formula>NOT(ISERROR(SEARCH(("C"),(S103))))</formula>
    </cfRule>
  </conditionalFormatting>
  <conditionalFormatting sqref="V6:V64">
    <cfRule type="containsText" dxfId="1438" priority="4" operator="containsText" text="WIP">
      <formula>NOT(ISERROR(SEARCH(("WIP"),(V6))))</formula>
    </cfRule>
  </conditionalFormatting>
  <conditionalFormatting sqref="V6:V70">
    <cfRule type="containsText" dxfId="1437" priority="5" operator="containsText" text="C">
      <formula>NOT(ISERROR(SEARCH(("C"),(V6))))</formula>
    </cfRule>
  </conditionalFormatting>
  <conditionalFormatting sqref="V103:V213">
    <cfRule type="containsText" dxfId="1436" priority="199" operator="containsText" text="WIP">
      <formula>NOT(ISERROR(SEARCH(("WIP"),(V103))))</formula>
    </cfRule>
    <cfRule type="containsText" dxfId="1435" priority="200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16" sqref="F16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659" t="str">
        <f>+Summary!A2</f>
        <v>Name of the Line: 220KV DC AL59 line from Neemuch - Chanderiya + 132KV DC ACSS Line from Chanderiya to Hindustan Zinc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  <c r="N1" s="660"/>
      <c r="O1" s="660"/>
      <c r="P1" s="660"/>
      <c r="Q1" s="660"/>
      <c r="R1" s="660"/>
      <c r="S1" s="660"/>
      <c r="T1" s="660"/>
      <c r="U1" s="660"/>
      <c r="V1" s="660"/>
      <c r="W1" s="660"/>
      <c r="X1" s="660"/>
      <c r="Y1" s="660"/>
      <c r="Z1" s="661"/>
    </row>
    <row r="2" spans="1:26" ht="14.25" customHeight="1">
      <c r="A2" s="658" t="str">
        <f>+Summary!A5</f>
        <v>Progress of 220kV Line</v>
      </c>
      <c r="B2" s="656"/>
      <c r="C2" s="656"/>
      <c r="D2" s="656"/>
      <c r="E2" s="441"/>
      <c r="F2" s="658" t="s">
        <v>601</v>
      </c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449"/>
      <c r="T2" s="658" t="s">
        <v>602</v>
      </c>
      <c r="U2" s="656"/>
      <c r="V2" s="656"/>
      <c r="W2" s="656"/>
      <c r="X2" s="656"/>
      <c r="Y2" s="656"/>
      <c r="Z2" s="656"/>
    </row>
    <row r="3" spans="1:26" ht="14.25" customHeight="1">
      <c r="A3" s="658" t="s">
        <v>603</v>
      </c>
      <c r="B3" s="656"/>
      <c r="C3" s="656"/>
      <c r="D3" s="448">
        <f>Summary!R5</f>
        <v>46182</v>
      </c>
      <c r="E3" s="435">
        <f>SUMIF(E6:E52,"C",$D$6:$D$52)/1000</f>
        <v>6.2313260000000001</v>
      </c>
      <c r="F3" s="441"/>
      <c r="G3" s="441"/>
      <c r="H3" s="436">
        <f>SUMIF(G7:G45,"WIP",$D$7:$D$45)/1000</f>
        <v>0</v>
      </c>
      <c r="I3" s="435">
        <f>SUMIF(G6:G52,"C",$D$6:$D$52)/1000</f>
        <v>6.2313260000000001</v>
      </c>
      <c r="J3" s="441"/>
      <c r="K3" s="436">
        <f>SUMIF(J7:J45,"WIP",$D$7:$D$45)/1000</f>
        <v>0</v>
      </c>
      <c r="L3" s="435">
        <f>SUMIF(J6:J52,"C",$D$6:$D$52)/1000</f>
        <v>6.2313260000000001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6.2313260000000001</v>
      </c>
      <c r="W3" s="436"/>
      <c r="X3" s="436">
        <f>SUMIF(W7:W45,"WIP",$D$7:$D$45)/1000</f>
        <v>0</v>
      </c>
      <c r="Y3" s="436">
        <f>SUMIF(W7:W52,"C",$D$7:$D$52)/1000</f>
        <v>6.2313260000000001</v>
      </c>
      <c r="Z3" s="441"/>
    </row>
    <row r="4" spans="1:26" ht="14.25" customHeight="1">
      <c r="A4" s="437" t="s">
        <v>2</v>
      </c>
      <c r="B4" s="655" t="s">
        <v>459</v>
      </c>
      <c r="C4" s="656"/>
      <c r="D4" s="437" t="s">
        <v>604</v>
      </c>
      <c r="E4" s="437" t="s">
        <v>605</v>
      </c>
      <c r="F4" s="439" t="s">
        <v>606</v>
      </c>
      <c r="G4" s="657" t="s">
        <v>607</v>
      </c>
      <c r="H4" s="656"/>
      <c r="I4" s="656"/>
      <c r="J4" s="657" t="s">
        <v>388</v>
      </c>
      <c r="K4" s="656"/>
      <c r="L4" s="656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658" t="s">
        <v>611</v>
      </c>
      <c r="U4" s="656"/>
      <c r="V4" s="656"/>
      <c r="W4" s="658" t="s">
        <v>612</v>
      </c>
      <c r="X4" s="656"/>
      <c r="Y4" s="656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83.39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120.53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259.51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256.61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277.95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202.25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278.14999999999998</v>
      </c>
      <c r="E19" s="432"/>
      <c r="F19" s="431"/>
      <c r="G19" s="431"/>
      <c r="H19" s="443"/>
      <c r="I19" s="443"/>
      <c r="J19" s="431"/>
      <c r="K19" s="443"/>
      <c r="L19" s="443"/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234.56</v>
      </c>
      <c r="E20" s="432"/>
      <c r="F20" s="431"/>
      <c r="G20" s="431"/>
      <c r="H20" s="443"/>
      <c r="I20" s="443"/>
      <c r="J20" s="431"/>
      <c r="K20" s="443"/>
      <c r="L20" s="443"/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249.04</v>
      </c>
      <c r="E21" s="432"/>
      <c r="F21" s="431"/>
      <c r="G21" s="431"/>
      <c r="H21" s="443"/>
      <c r="I21" s="443"/>
      <c r="J21" s="431"/>
      <c r="K21" s="443"/>
      <c r="L21" s="443"/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256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2">
        <v>46156</v>
      </c>
      <c r="V22" s="562">
        <v>46156</v>
      </c>
      <c r="W22" s="455" t="s">
        <v>20</v>
      </c>
      <c r="X22" s="562">
        <v>46157</v>
      </c>
      <c r="Y22" s="562">
        <v>46157</v>
      </c>
      <c r="Z22" s="431" t="s">
        <v>763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226.52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2">
        <v>46156</v>
      </c>
      <c r="V23" s="562">
        <v>46156</v>
      </c>
      <c r="W23" s="455" t="s">
        <v>20</v>
      </c>
      <c r="X23" s="562">
        <v>46157</v>
      </c>
      <c r="Y23" s="562">
        <v>46157</v>
      </c>
      <c r="Z23" s="431" t="s">
        <v>763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43.62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2">
        <v>46156</v>
      </c>
      <c r="V24" s="562">
        <v>46156</v>
      </c>
      <c r="W24" s="455" t="s">
        <v>20</v>
      </c>
      <c r="X24" s="562">
        <v>46157</v>
      </c>
      <c r="Y24" s="562">
        <v>46157</v>
      </c>
      <c r="Z24" s="431" t="s">
        <v>763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2">
        <v>46156</v>
      </c>
      <c r="V25" s="562">
        <v>46156</v>
      </c>
      <c r="W25" s="455" t="s">
        <v>20</v>
      </c>
      <c r="X25" s="562">
        <v>46157</v>
      </c>
      <c r="Y25" s="562">
        <v>46157</v>
      </c>
      <c r="Z25" s="431" t="s">
        <v>763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47.06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2">
        <v>46156</v>
      </c>
      <c r="V26" s="562">
        <v>46156</v>
      </c>
      <c r="W26" s="455" t="s">
        <v>20</v>
      </c>
      <c r="X26" s="562">
        <v>46157</v>
      </c>
      <c r="Y26" s="562">
        <v>46157</v>
      </c>
      <c r="Z26" s="431" t="s">
        <v>763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286.44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2">
        <v>46156</v>
      </c>
      <c r="V27" s="562">
        <v>46156</v>
      </c>
      <c r="W27" s="455" t="s">
        <v>20</v>
      </c>
      <c r="X27" s="562">
        <v>46157</v>
      </c>
      <c r="Y27" s="562">
        <v>46157</v>
      </c>
      <c r="Z27" s="431" t="s">
        <v>763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317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2">
        <v>46156</v>
      </c>
      <c r="V28" s="562">
        <v>46156</v>
      </c>
      <c r="W28" s="455" t="s">
        <v>20</v>
      </c>
      <c r="X28" s="562">
        <v>46157</v>
      </c>
      <c r="Y28" s="562">
        <v>46157</v>
      </c>
      <c r="Z28" s="431" t="s">
        <v>763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328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2">
        <v>46156</v>
      </c>
      <c r="V29" s="562">
        <v>46156</v>
      </c>
      <c r="W29" s="455" t="s">
        <v>20</v>
      </c>
      <c r="X29" s="562">
        <v>46157</v>
      </c>
      <c r="Y29" s="562">
        <v>46157</v>
      </c>
      <c r="Z29" s="431" t="s">
        <v>763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2">
        <v>46156</v>
      </c>
      <c r="V30" s="562">
        <v>46156</v>
      </c>
      <c r="W30" s="455" t="s">
        <v>20</v>
      </c>
      <c r="X30" s="562">
        <v>46157</v>
      </c>
      <c r="Y30" s="562">
        <v>46157</v>
      </c>
      <c r="Z30" s="431" t="s">
        <v>763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251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2">
        <v>46156</v>
      </c>
      <c r="V31" s="562">
        <v>46156</v>
      </c>
      <c r="W31" s="455" t="s">
        <v>20</v>
      </c>
      <c r="X31" s="562">
        <v>46157</v>
      </c>
      <c r="Y31" s="562">
        <v>46157</v>
      </c>
      <c r="Z31" s="431" t="s">
        <v>763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308.23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2">
        <v>46156</v>
      </c>
      <c r="V32" s="562">
        <v>46156</v>
      </c>
      <c r="W32" s="455" t="s">
        <v>20</v>
      </c>
      <c r="X32" s="562">
        <v>46157</v>
      </c>
      <c r="Y32" s="562">
        <v>46157</v>
      </c>
      <c r="Z32" s="431" t="s">
        <v>763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2">
        <v>46156</v>
      </c>
      <c r="V33" s="562">
        <v>46156</v>
      </c>
      <c r="W33" s="455" t="s">
        <v>20</v>
      </c>
      <c r="X33" s="562">
        <v>46157</v>
      </c>
      <c r="Y33" s="562">
        <v>46157</v>
      </c>
      <c r="Z33" s="431" t="s">
        <v>763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385.96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2">
        <v>46156</v>
      </c>
      <c r="V34" s="562">
        <v>46156</v>
      </c>
      <c r="W34" s="455" t="s">
        <v>20</v>
      </c>
      <c r="X34" s="562">
        <v>46157</v>
      </c>
      <c r="Y34" s="562">
        <v>46157</v>
      </c>
      <c r="Z34" s="431" t="s">
        <v>763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259.92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2">
        <v>46160</v>
      </c>
      <c r="W35" s="455" t="s">
        <v>20</v>
      </c>
      <c r="X35" s="562">
        <v>46161</v>
      </c>
      <c r="Y35" s="562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215.13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2">
        <v>46160</v>
      </c>
      <c r="W36" s="455" t="s">
        <v>20</v>
      </c>
      <c r="X36" s="562">
        <v>46161</v>
      </c>
      <c r="Y36" s="562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316.14999999999998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2">
        <v>46160</v>
      </c>
      <c r="W37" s="455" t="s">
        <v>20</v>
      </c>
      <c r="X37" s="562">
        <v>46161</v>
      </c>
      <c r="Y37" s="562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2">
        <v>46160</v>
      </c>
      <c r="W38" s="455" t="s">
        <v>20</v>
      </c>
      <c r="X38" s="562">
        <v>46161</v>
      </c>
      <c r="Y38" s="562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293.27999999999997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2">
        <v>46160</v>
      </c>
      <c r="W39" s="455" t="s">
        <v>20</v>
      </c>
      <c r="X39" s="562">
        <v>46161</v>
      </c>
      <c r="Y39" s="562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48.42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2">
        <v>46160</v>
      </c>
      <c r="W40" s="455" t="s">
        <v>20</v>
      </c>
      <c r="X40" s="562">
        <v>46161</v>
      </c>
      <c r="Y40" s="562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58.24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2">
        <v>46160</v>
      </c>
      <c r="W41" s="455" t="s">
        <v>20</v>
      </c>
      <c r="X41" s="562">
        <v>46161</v>
      </c>
      <c r="Y41" s="562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70.13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2">
        <v>46160</v>
      </c>
      <c r="W42" s="455" t="s">
        <v>20</v>
      </c>
      <c r="X42" s="562">
        <v>46161</v>
      </c>
      <c r="Y42" s="562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2">
        <v>46160</v>
      </c>
      <c r="W43" s="455" t="s">
        <v>20</v>
      </c>
      <c r="X43" s="562">
        <v>46161</v>
      </c>
      <c r="Y43" s="562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262.95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2">
        <v>46160</v>
      </c>
      <c r="W44" s="455" t="s">
        <v>20</v>
      </c>
      <c r="X44" s="562">
        <v>46161</v>
      </c>
      <c r="Y44" s="562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251.57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2">
        <v>46160</v>
      </c>
      <c r="W45" s="455" t="s">
        <v>20</v>
      </c>
      <c r="X45" s="562">
        <v>46161</v>
      </c>
      <c r="Y45" s="562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271.76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2">
        <v>46160</v>
      </c>
      <c r="W46" s="455" t="s">
        <v>20</v>
      </c>
      <c r="X46" s="562">
        <v>46161</v>
      </c>
      <c r="Y46" s="562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261.04000000000002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2">
        <v>46160</v>
      </c>
      <c r="W47" s="455" t="s">
        <v>20</v>
      </c>
      <c r="X47" s="562">
        <v>46161</v>
      </c>
      <c r="Y47" s="562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37.42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2">
        <v>46160</v>
      </c>
      <c r="W48" s="455" t="s">
        <v>20</v>
      </c>
      <c r="X48" s="562">
        <v>46161</v>
      </c>
      <c r="Y48" s="562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2">
        <v>46160</v>
      </c>
      <c r="W49" s="455" t="s">
        <v>20</v>
      </c>
      <c r="X49" s="562">
        <v>46161</v>
      </c>
      <c r="Y49" s="562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37.520000000000003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2">
        <v>46160</v>
      </c>
      <c r="W50" s="455" t="s">
        <v>20</v>
      </c>
      <c r="X50" s="562">
        <v>46161</v>
      </c>
      <c r="Y50" s="562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165.14699999999999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2">
        <v>46160</v>
      </c>
      <c r="W51" s="455" t="s">
        <v>20</v>
      </c>
      <c r="X51" s="562">
        <v>46161</v>
      </c>
      <c r="Y51" s="562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39.999000000000002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2">
        <v>46160</v>
      </c>
      <c r="W52" s="455" t="s">
        <v>20</v>
      </c>
      <c r="X52" s="562">
        <v>46161</v>
      </c>
      <c r="Y52" s="562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1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21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21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0" activePane="bottomLeft" state="frozen"/>
      <selection sqref="A1:H1"/>
      <selection pane="bottomLeft" activeCell="AZ132" sqref="AZ132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725" t="str">
        <f>+[1]Summary!A2</f>
        <v>Name of the Line: 220KV DC AL59 line from Neemuch - Chanderiya + 132KV DC ACSS Line from Chanderiya to Hindustan Zinc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  <c r="N1" s="726"/>
      <c r="O1" s="726"/>
      <c r="P1" s="726"/>
      <c r="Q1" s="726"/>
      <c r="R1" s="726"/>
      <c r="S1" s="726"/>
      <c r="T1" s="726"/>
      <c r="U1" s="726"/>
      <c r="V1" s="726"/>
      <c r="W1" s="726"/>
      <c r="X1" s="726"/>
      <c r="Y1" s="726"/>
      <c r="Z1" s="726"/>
      <c r="AA1" s="726"/>
      <c r="AB1" s="726"/>
      <c r="AC1" s="726"/>
      <c r="AD1" s="726"/>
      <c r="AE1" s="726"/>
      <c r="AF1" s="726"/>
      <c r="AG1" s="726"/>
      <c r="AH1" s="726"/>
      <c r="AI1" s="726"/>
      <c r="AJ1" s="726"/>
      <c r="AK1" s="726"/>
      <c r="AL1" s="726"/>
      <c r="AM1" s="726"/>
      <c r="AN1" s="726"/>
      <c r="AO1" s="726"/>
      <c r="AP1" s="726"/>
      <c r="AQ1" s="726"/>
      <c r="AR1" s="726"/>
      <c r="AS1" s="726"/>
      <c r="AT1" s="726"/>
      <c r="AU1" s="727"/>
      <c r="AW1" s="728">
        <f>Summary!R5</f>
        <v>46182</v>
      </c>
      <c r="AX1" s="728"/>
      <c r="AY1" s="728"/>
      <c r="AZ1" s="728"/>
      <c r="BA1" s="728"/>
    </row>
    <row r="2" spans="1:55" ht="18.75">
      <c r="A2" s="287"/>
      <c r="T2" s="732" t="s">
        <v>663</v>
      </c>
      <c r="U2" s="732"/>
      <c r="V2" s="732"/>
      <c r="W2" s="732"/>
      <c r="X2" s="732"/>
      <c r="Y2" s="732"/>
      <c r="Z2" s="732"/>
      <c r="AA2" s="732"/>
      <c r="AB2" s="732"/>
      <c r="AC2" s="732"/>
      <c r="AD2" s="732"/>
      <c r="AK2" s="667" t="s">
        <v>26</v>
      </c>
      <c r="AL2" s="667"/>
      <c r="AM2" s="667"/>
      <c r="AN2" s="731">
        <f>AW1</f>
        <v>46182</v>
      </c>
      <c r="AO2" s="731"/>
      <c r="AP2" s="731"/>
      <c r="AW2" s="290" t="s">
        <v>620</v>
      </c>
      <c r="AX2" s="290" t="s">
        <v>621</v>
      </c>
      <c r="AY2" s="290" t="s">
        <v>622</v>
      </c>
      <c r="AZ2" s="305" t="s">
        <v>623</v>
      </c>
      <c r="BA2" s="729" t="s">
        <v>624</v>
      </c>
      <c r="BB2" s="730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663"/>
      <c r="C4" s="663"/>
      <c r="E4" s="663"/>
      <c r="F4" s="663"/>
      <c r="H4" s="714"/>
      <c r="I4" s="714"/>
      <c r="K4" s="663"/>
      <c r="L4" s="663"/>
      <c r="N4" s="663"/>
      <c r="O4" s="663"/>
      <c r="Q4" s="714"/>
      <c r="R4" s="714"/>
      <c r="T4" s="714"/>
      <c r="U4" s="714"/>
      <c r="W4" s="665"/>
      <c r="X4" s="665"/>
      <c r="Z4" s="665"/>
      <c r="AA4" s="665"/>
      <c r="AC4" s="714"/>
      <c r="AD4" s="663"/>
      <c r="AF4" s="714"/>
      <c r="AG4" s="663"/>
      <c r="AI4" s="714"/>
      <c r="AJ4" s="663"/>
      <c r="AL4" s="714"/>
      <c r="AM4" s="663"/>
      <c r="AO4" s="714"/>
      <c r="AP4" s="663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669" t="s">
        <v>33</v>
      </c>
      <c r="C7" s="669"/>
      <c r="D7" s="300"/>
      <c r="E7" s="669" t="s">
        <v>36</v>
      </c>
      <c r="F7" s="669"/>
      <c r="G7" s="300"/>
      <c r="H7" s="669" t="s">
        <v>38</v>
      </c>
      <c r="I7" s="669"/>
      <c r="J7" s="300"/>
      <c r="K7" s="709" t="s">
        <v>41</v>
      </c>
      <c r="L7" s="669"/>
      <c r="M7" s="300"/>
      <c r="N7" s="709" t="s">
        <v>43</v>
      </c>
      <c r="O7" s="669"/>
      <c r="P7" s="300"/>
      <c r="Q7" s="710" t="s">
        <v>45</v>
      </c>
      <c r="R7" s="711"/>
      <c r="S7" s="300"/>
      <c r="T7" s="668" t="s">
        <v>47</v>
      </c>
      <c r="U7" s="669"/>
      <c r="V7" s="300"/>
      <c r="W7" s="671" t="s">
        <v>48</v>
      </c>
      <c r="X7" s="666"/>
      <c r="Y7" s="300"/>
      <c r="Z7" s="671" t="s">
        <v>50</v>
      </c>
      <c r="AA7" s="666"/>
      <c r="AB7" s="300"/>
      <c r="AC7" s="674" t="s">
        <v>53</v>
      </c>
      <c r="AD7" s="669"/>
      <c r="AF7" s="674" t="s">
        <v>55</v>
      </c>
      <c r="AG7" s="669"/>
      <c r="AH7" s="300"/>
      <c r="AI7" s="669" t="s">
        <v>58</v>
      </c>
      <c r="AJ7" s="669"/>
      <c r="AK7" s="300"/>
      <c r="AL7" s="674" t="s">
        <v>59</v>
      </c>
      <c r="AM7" s="669"/>
      <c r="AN7" s="300"/>
      <c r="AO7" s="674" t="s">
        <v>61</v>
      </c>
      <c r="AP7" s="669"/>
      <c r="AQ7" s="300"/>
      <c r="AR7" s="300"/>
      <c r="AS7" s="300"/>
      <c r="AT7" s="300"/>
      <c r="AU7" s="300"/>
      <c r="BA7" s="334"/>
      <c r="BB7" s="334"/>
    </row>
    <row r="8" spans="1:55">
      <c r="A8" s="287"/>
      <c r="B8" s="713" t="s">
        <v>34</v>
      </c>
      <c r="C8" s="713"/>
      <c r="D8" s="353"/>
      <c r="E8" s="713" t="s">
        <v>37</v>
      </c>
      <c r="F8" s="713"/>
      <c r="G8" s="353"/>
      <c r="H8" s="713" t="s">
        <v>39</v>
      </c>
      <c r="I8" s="713"/>
      <c r="J8" s="353"/>
      <c r="K8" s="715" t="s">
        <v>42</v>
      </c>
      <c r="L8" s="713"/>
      <c r="M8" s="353"/>
      <c r="N8" s="715" t="s">
        <v>37</v>
      </c>
      <c r="O8" s="713"/>
      <c r="P8" s="353"/>
      <c r="Q8" s="718" t="s">
        <v>46</v>
      </c>
      <c r="R8" s="718"/>
      <c r="S8" s="353"/>
      <c r="T8" s="718" t="s">
        <v>37</v>
      </c>
      <c r="U8" s="718"/>
      <c r="V8" s="353"/>
      <c r="W8" s="713" t="s">
        <v>39</v>
      </c>
      <c r="X8" s="713"/>
      <c r="Y8" s="353"/>
      <c r="Z8" s="713" t="s">
        <v>51</v>
      </c>
      <c r="AA8" s="713"/>
      <c r="AB8" s="353"/>
      <c r="AC8" s="713" t="s">
        <v>54</v>
      </c>
      <c r="AD8" s="713"/>
      <c r="AE8" s="511"/>
      <c r="AF8" s="713" t="s">
        <v>56</v>
      </c>
      <c r="AG8" s="713"/>
      <c r="AH8" s="353"/>
      <c r="AI8" s="713" t="s">
        <v>39</v>
      </c>
      <c r="AJ8" s="713"/>
      <c r="AK8" s="353"/>
      <c r="AL8" s="713" t="s">
        <v>42</v>
      </c>
      <c r="AM8" s="713"/>
      <c r="AN8" s="353"/>
      <c r="AO8" s="713" t="s">
        <v>62</v>
      </c>
      <c r="AP8" s="713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5"/>
      <c r="C13" s="665"/>
      <c r="E13" s="714"/>
      <c r="F13" s="663"/>
      <c r="H13" s="714"/>
      <c r="I13" s="663"/>
      <c r="K13" s="663"/>
      <c r="L13" s="663"/>
      <c r="N13" s="714"/>
      <c r="O13" s="663"/>
      <c r="Q13" s="714"/>
      <c r="R13" s="663"/>
      <c r="T13" s="714"/>
      <c r="U13" s="663"/>
      <c r="W13" s="714"/>
      <c r="X13" s="663"/>
      <c r="Z13" s="714"/>
      <c r="AA13" s="663"/>
      <c r="AC13" s="663"/>
      <c r="AD13" s="663"/>
      <c r="AF13" s="714"/>
      <c r="AG13" s="663"/>
      <c r="AI13" s="663"/>
      <c r="AJ13" s="663"/>
      <c r="AL13" s="663"/>
      <c r="AM13" s="663"/>
      <c r="AO13" s="714"/>
      <c r="AP13" s="663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666" t="s">
        <v>64</v>
      </c>
      <c r="C16" s="666"/>
      <c r="D16" s="300"/>
      <c r="E16" s="669" t="s">
        <v>67</v>
      </c>
      <c r="F16" s="669"/>
      <c r="G16" s="327"/>
      <c r="H16" s="709" t="s">
        <v>69</v>
      </c>
      <c r="I16" s="669"/>
      <c r="J16" s="299"/>
      <c r="K16" s="674" t="s">
        <v>71</v>
      </c>
      <c r="L16" s="669"/>
      <c r="M16" s="300"/>
      <c r="N16" s="674" t="s">
        <v>72</v>
      </c>
      <c r="O16" s="669"/>
      <c r="P16" s="300"/>
      <c r="Q16" s="710" t="s">
        <v>73</v>
      </c>
      <c r="R16" s="711"/>
      <c r="S16" s="300"/>
      <c r="T16" s="668" t="s">
        <v>74</v>
      </c>
      <c r="U16" s="669"/>
      <c r="V16" s="300"/>
      <c r="W16" s="671" t="s">
        <v>75</v>
      </c>
      <c r="X16" s="666"/>
      <c r="Y16" s="300"/>
      <c r="Z16" s="668" t="s">
        <v>77</v>
      </c>
      <c r="AA16" s="669"/>
      <c r="AB16" s="300"/>
      <c r="AC16" s="674" t="s">
        <v>78</v>
      </c>
      <c r="AD16" s="669"/>
      <c r="AE16" s="300"/>
      <c r="AF16" s="674" t="s">
        <v>79</v>
      </c>
      <c r="AG16" s="669"/>
      <c r="AH16" s="300"/>
      <c r="AI16" s="674" t="s">
        <v>80</v>
      </c>
      <c r="AJ16" s="669"/>
      <c r="AK16" s="300"/>
      <c r="AL16" s="674" t="s">
        <v>82</v>
      </c>
      <c r="AM16" s="669"/>
      <c r="AN16" s="300"/>
      <c r="AO16" s="674" t="s">
        <v>83</v>
      </c>
      <c r="AP16" s="669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713" t="s">
        <v>65</v>
      </c>
      <c r="C17" s="713"/>
      <c r="D17" s="353"/>
      <c r="E17" s="713" t="s">
        <v>51</v>
      </c>
      <c r="F17" s="713"/>
      <c r="G17" s="353"/>
      <c r="H17" s="713" t="s">
        <v>70</v>
      </c>
      <c r="I17" s="713"/>
      <c r="J17" s="353"/>
      <c r="K17" s="713" t="s">
        <v>56</v>
      </c>
      <c r="L17" s="713"/>
      <c r="M17" s="353"/>
      <c r="N17" s="715" t="s">
        <v>37</v>
      </c>
      <c r="O17" s="713"/>
      <c r="P17" s="353"/>
      <c r="Q17" s="715" t="s">
        <v>56</v>
      </c>
      <c r="R17" s="713"/>
      <c r="S17" s="353"/>
      <c r="T17" s="718" t="s">
        <v>37</v>
      </c>
      <c r="U17" s="718"/>
      <c r="V17" s="353"/>
      <c r="W17" s="713" t="s">
        <v>76</v>
      </c>
      <c r="X17" s="713"/>
      <c r="Y17" s="353"/>
      <c r="Z17" s="718" t="s">
        <v>70</v>
      </c>
      <c r="AA17" s="718"/>
      <c r="AB17" s="353"/>
      <c r="AC17" s="713" t="s">
        <v>70</v>
      </c>
      <c r="AD17" s="713"/>
      <c r="AE17" s="353"/>
      <c r="AF17" s="713" t="s">
        <v>70</v>
      </c>
      <c r="AG17" s="713"/>
      <c r="AH17" s="353"/>
      <c r="AI17" s="713" t="s">
        <v>81</v>
      </c>
      <c r="AJ17" s="713"/>
      <c r="AK17" s="353"/>
      <c r="AL17" s="713" t="s">
        <v>81</v>
      </c>
      <c r="AM17" s="713"/>
      <c r="AN17" s="353"/>
      <c r="AO17" s="666" t="s">
        <v>76</v>
      </c>
      <c r="AP17" s="666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12"/>
      <c r="C22" s="665"/>
      <c r="E22" s="663"/>
      <c r="F22" s="663"/>
      <c r="H22" s="714"/>
      <c r="I22" s="663"/>
      <c r="K22" s="663"/>
      <c r="L22" s="663"/>
      <c r="N22" s="663"/>
      <c r="O22" s="663"/>
      <c r="Q22" s="714"/>
      <c r="R22" s="663"/>
      <c r="T22" s="714"/>
      <c r="U22" s="663"/>
      <c r="W22" s="714"/>
      <c r="X22" s="663"/>
      <c r="Z22" s="714"/>
      <c r="AA22" s="663"/>
      <c r="AC22" s="714"/>
      <c r="AD22" s="663"/>
      <c r="AF22" s="714"/>
      <c r="AG22" s="663"/>
      <c r="AI22" s="714"/>
      <c r="AJ22" s="663"/>
      <c r="AL22" s="714"/>
      <c r="AM22" s="663"/>
      <c r="AO22" s="714"/>
      <c r="AP22" s="663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671" t="s">
        <v>84</v>
      </c>
      <c r="C25" s="666"/>
      <c r="D25" s="299"/>
      <c r="E25" s="674" t="s">
        <v>86</v>
      </c>
      <c r="F25" s="669"/>
      <c r="G25" s="299"/>
      <c r="H25" s="709" t="s">
        <v>87</v>
      </c>
      <c r="I25" s="669"/>
      <c r="J25" s="300"/>
      <c r="K25" s="674" t="s">
        <v>88</v>
      </c>
      <c r="L25" s="669"/>
      <c r="M25" s="300"/>
      <c r="N25" s="674" t="s">
        <v>90</v>
      </c>
      <c r="O25" s="669"/>
      <c r="P25" s="300"/>
      <c r="Q25" s="710" t="s">
        <v>91</v>
      </c>
      <c r="R25" s="711"/>
      <c r="S25" s="300"/>
      <c r="T25" s="668" t="s">
        <v>93</v>
      </c>
      <c r="U25" s="669"/>
      <c r="V25" s="300"/>
      <c r="W25" s="671" t="s">
        <v>94</v>
      </c>
      <c r="X25" s="666"/>
      <c r="Y25" s="300"/>
      <c r="Z25" s="671" t="s">
        <v>95</v>
      </c>
      <c r="AA25" s="666"/>
      <c r="AB25" s="300"/>
      <c r="AC25" s="717" t="s">
        <v>96</v>
      </c>
      <c r="AD25" s="717"/>
      <c r="AE25" s="300"/>
      <c r="AF25" s="717" t="s">
        <v>98</v>
      </c>
      <c r="AG25" s="717"/>
      <c r="AH25" s="299"/>
      <c r="AI25" s="717" t="s">
        <v>99</v>
      </c>
      <c r="AJ25" s="717"/>
      <c r="AK25" s="325"/>
      <c r="AL25" s="717" t="s">
        <v>100</v>
      </c>
      <c r="AM25" s="717"/>
      <c r="AN25" s="299"/>
      <c r="AO25" s="717" t="s">
        <v>102</v>
      </c>
      <c r="AP25" s="717"/>
      <c r="BA25" s="334"/>
      <c r="BB25" s="334"/>
    </row>
    <row r="26" spans="1:55">
      <c r="A26" s="287"/>
      <c r="B26" s="666" t="s">
        <v>85</v>
      </c>
      <c r="C26" s="666"/>
      <c r="D26" s="299"/>
      <c r="E26" s="666" t="s">
        <v>56</v>
      </c>
      <c r="F26" s="666"/>
      <c r="G26" s="299"/>
      <c r="H26" s="666" t="s">
        <v>42</v>
      </c>
      <c r="I26" s="666"/>
      <c r="J26" s="299"/>
      <c r="K26" s="666" t="s">
        <v>89</v>
      </c>
      <c r="L26" s="666"/>
      <c r="M26" s="299"/>
      <c r="N26" s="708" t="s">
        <v>76</v>
      </c>
      <c r="O26" s="666"/>
      <c r="P26" s="299"/>
      <c r="Q26" s="708" t="s">
        <v>76</v>
      </c>
      <c r="R26" s="666"/>
      <c r="S26" s="299"/>
      <c r="T26" s="708" t="s">
        <v>81</v>
      </c>
      <c r="U26" s="666"/>
      <c r="V26" s="299"/>
      <c r="W26" s="666" t="s">
        <v>89</v>
      </c>
      <c r="X26" s="666"/>
      <c r="Y26" s="299"/>
      <c r="Z26" s="666" t="s">
        <v>56</v>
      </c>
      <c r="AA26" s="666"/>
      <c r="AB26" s="299"/>
      <c r="AC26" s="667" t="s">
        <v>37</v>
      </c>
      <c r="AD26" s="667"/>
      <c r="AE26" s="326"/>
      <c r="AF26" s="716" t="s">
        <v>39</v>
      </c>
      <c r="AG26" s="716"/>
      <c r="AH26" s="326"/>
      <c r="AI26" s="716" t="s">
        <v>76</v>
      </c>
      <c r="AJ26" s="716"/>
      <c r="AK26" s="326"/>
      <c r="AL26" s="716" t="s">
        <v>76</v>
      </c>
      <c r="AM26" s="716"/>
      <c r="AN26" s="326"/>
      <c r="AO26" s="716" t="s">
        <v>89</v>
      </c>
      <c r="AP26" s="716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12"/>
      <c r="C31" s="665"/>
      <c r="E31" s="663"/>
      <c r="F31" s="663"/>
      <c r="H31" s="663"/>
      <c r="I31" s="663"/>
      <c r="K31" s="663"/>
      <c r="L31" s="663"/>
      <c r="N31" s="663"/>
      <c r="O31" s="663"/>
      <c r="Q31" s="663"/>
      <c r="R31" s="663"/>
      <c r="T31" s="663"/>
      <c r="U31" s="663"/>
      <c r="W31" s="663"/>
      <c r="X31" s="663"/>
      <c r="Z31" s="663"/>
      <c r="AA31" s="663"/>
      <c r="AC31" s="663"/>
      <c r="AD31" s="663"/>
      <c r="AF31" s="663"/>
      <c r="AG31" s="663"/>
      <c r="AI31" s="663"/>
      <c r="AJ31" s="663"/>
      <c r="AL31" s="663"/>
      <c r="AM31" s="663"/>
      <c r="AO31" s="663"/>
      <c r="AP31" s="663"/>
      <c r="AR31" s="663"/>
      <c r="AS31" s="663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671" t="s">
        <v>104</v>
      </c>
      <c r="C34" s="666"/>
      <c r="D34" s="300"/>
      <c r="E34" s="674" t="s">
        <v>106</v>
      </c>
      <c r="F34" s="669"/>
      <c r="G34" s="300"/>
      <c r="H34" s="674" t="s">
        <v>107</v>
      </c>
      <c r="I34" s="669"/>
      <c r="J34" s="300"/>
      <c r="K34" s="674" t="s">
        <v>108</v>
      </c>
      <c r="L34" s="669"/>
      <c r="M34" s="300"/>
      <c r="N34" s="674" t="s">
        <v>109</v>
      </c>
      <c r="O34" s="669"/>
      <c r="P34" s="300"/>
      <c r="Q34" s="674" t="s">
        <v>111</v>
      </c>
      <c r="R34" s="669"/>
      <c r="S34" s="300"/>
      <c r="T34" s="674" t="s">
        <v>113</v>
      </c>
      <c r="U34" s="669"/>
      <c r="V34" s="300"/>
      <c r="W34" s="674" t="s">
        <v>115</v>
      </c>
      <c r="X34" s="669"/>
      <c r="Y34" s="299"/>
      <c r="Z34" s="674" t="s">
        <v>117</v>
      </c>
      <c r="AA34" s="669"/>
      <c r="AB34" s="300"/>
      <c r="AC34" s="674" t="s">
        <v>118</v>
      </c>
      <c r="AD34" s="669"/>
      <c r="AE34" s="300"/>
      <c r="AF34" s="674" t="s">
        <v>120</v>
      </c>
      <c r="AG34" s="669"/>
      <c r="AH34" s="299"/>
      <c r="AI34" s="674" t="s">
        <v>122</v>
      </c>
      <c r="AJ34" s="669"/>
      <c r="AK34" s="300"/>
      <c r="AL34" s="674" t="s">
        <v>567</v>
      </c>
      <c r="AM34" s="669"/>
      <c r="AN34" s="299"/>
      <c r="AO34" s="674" t="s">
        <v>123</v>
      </c>
      <c r="AP34" s="669"/>
      <c r="AQ34" s="300"/>
      <c r="AR34" s="664" t="s">
        <v>124</v>
      </c>
      <c r="AS34" s="664"/>
      <c r="AT34" s="300"/>
      <c r="AU34" s="300"/>
      <c r="BA34" s="334"/>
      <c r="BB34" s="334"/>
    </row>
    <row r="35" spans="1:55">
      <c r="A35" s="287"/>
      <c r="B35" s="666" t="s">
        <v>39</v>
      </c>
      <c r="C35" s="666"/>
      <c r="D35" s="299"/>
      <c r="E35" s="666" t="s">
        <v>70</v>
      </c>
      <c r="F35" s="666"/>
      <c r="G35" s="299"/>
      <c r="H35" s="666" t="s">
        <v>42</v>
      </c>
      <c r="I35" s="666"/>
      <c r="J35" s="299"/>
      <c r="K35" s="666" t="s">
        <v>42</v>
      </c>
      <c r="L35" s="666"/>
      <c r="M35" s="299"/>
      <c r="N35" s="666" t="s">
        <v>42</v>
      </c>
      <c r="O35" s="666"/>
      <c r="P35" s="299"/>
      <c r="Q35" s="666" t="s">
        <v>34</v>
      </c>
      <c r="R35" s="666"/>
      <c r="S35" s="299"/>
      <c r="T35" s="666" t="s">
        <v>34</v>
      </c>
      <c r="U35" s="666"/>
      <c r="V35" s="299"/>
      <c r="W35" s="666" t="s">
        <v>116</v>
      </c>
      <c r="X35" s="666"/>
      <c r="Y35" s="299"/>
      <c r="Z35" s="666" t="s">
        <v>42</v>
      </c>
      <c r="AA35" s="666"/>
      <c r="AB35" s="299"/>
      <c r="AC35" s="666" t="s">
        <v>42</v>
      </c>
      <c r="AD35" s="666"/>
      <c r="AE35" s="299"/>
      <c r="AF35" s="666" t="s">
        <v>34</v>
      </c>
      <c r="AG35" s="666"/>
      <c r="AH35" s="299"/>
      <c r="AI35" s="666" t="s">
        <v>34</v>
      </c>
      <c r="AJ35" s="666"/>
      <c r="AK35" s="299"/>
      <c r="AL35" s="666" t="s">
        <v>37</v>
      </c>
      <c r="AM35" s="666"/>
      <c r="AN35" s="299"/>
      <c r="AO35" s="666" t="s">
        <v>62</v>
      </c>
      <c r="AP35" s="666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5"/>
      <c r="C40" s="665"/>
      <c r="E40" s="663"/>
      <c r="F40" s="663"/>
      <c r="H40" s="663"/>
      <c r="I40" s="663"/>
      <c r="K40" s="663"/>
      <c r="L40" s="663"/>
      <c r="N40" s="663"/>
      <c r="O40" s="663"/>
      <c r="Q40" s="663"/>
      <c r="R40" s="663"/>
      <c r="T40" s="663"/>
      <c r="U40" s="663"/>
      <c r="W40" s="663"/>
      <c r="X40" s="663"/>
      <c r="Z40" s="663"/>
      <c r="AA40" s="663"/>
      <c r="AC40" s="663"/>
      <c r="AD40" s="663"/>
      <c r="AF40" s="663"/>
      <c r="AG40" s="663"/>
      <c r="AI40" s="663"/>
      <c r="AJ40" s="663"/>
      <c r="AL40" s="663"/>
      <c r="AM40" s="663"/>
      <c r="AO40" s="663"/>
      <c r="AP40" s="663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671" t="s">
        <v>125</v>
      </c>
      <c r="C43" s="666"/>
      <c r="D43" s="299"/>
      <c r="E43" s="674" t="s">
        <v>126</v>
      </c>
      <c r="F43" s="669"/>
      <c r="G43" s="299"/>
      <c r="H43" s="674" t="s">
        <v>127</v>
      </c>
      <c r="I43" s="669"/>
      <c r="J43" s="299"/>
      <c r="K43" s="674" t="s">
        <v>128</v>
      </c>
      <c r="L43" s="669"/>
      <c r="M43" s="299"/>
      <c r="N43" s="674" t="s">
        <v>130</v>
      </c>
      <c r="O43" s="669"/>
      <c r="P43" s="299"/>
      <c r="Q43" s="674" t="s">
        <v>131</v>
      </c>
      <c r="R43" s="669"/>
      <c r="S43" s="299"/>
      <c r="T43" s="674" t="s">
        <v>132</v>
      </c>
      <c r="U43" s="669"/>
      <c r="V43" s="299"/>
      <c r="W43" s="674" t="s">
        <v>133</v>
      </c>
      <c r="X43" s="669"/>
      <c r="Y43" s="299"/>
      <c r="Z43" s="674" t="s">
        <v>134</v>
      </c>
      <c r="AA43" s="669"/>
      <c r="AB43" s="299"/>
      <c r="AC43" s="674" t="s">
        <v>135</v>
      </c>
      <c r="AD43" s="669"/>
      <c r="AE43" s="299"/>
      <c r="AF43" s="674" t="s">
        <v>136</v>
      </c>
      <c r="AG43" s="669"/>
      <c r="AH43" s="299"/>
      <c r="AI43" s="674" t="s">
        <v>137</v>
      </c>
      <c r="AJ43" s="669"/>
      <c r="AK43" s="325"/>
      <c r="AL43" s="674" t="s">
        <v>138</v>
      </c>
      <c r="AM43" s="669"/>
      <c r="AN43" s="299"/>
      <c r="AO43" s="674" t="s">
        <v>139</v>
      </c>
      <c r="AP43" s="669"/>
      <c r="BA43" s="334"/>
      <c r="BB43" s="334"/>
    </row>
    <row r="44" spans="1:55">
      <c r="A44" s="287"/>
      <c r="B44" s="666" t="s">
        <v>76</v>
      </c>
      <c r="C44" s="666"/>
      <c r="D44" s="299"/>
      <c r="E44" s="666" t="s">
        <v>89</v>
      </c>
      <c r="F44" s="666"/>
      <c r="G44" s="299"/>
      <c r="H44" s="666" t="s">
        <v>76</v>
      </c>
      <c r="I44" s="666"/>
      <c r="J44" s="299"/>
      <c r="K44" s="666" t="s">
        <v>76</v>
      </c>
      <c r="L44" s="666"/>
      <c r="M44" s="299"/>
      <c r="N44" s="666" t="s">
        <v>39</v>
      </c>
      <c r="O44" s="666"/>
      <c r="P44" s="299"/>
      <c r="Q44" s="666" t="s">
        <v>89</v>
      </c>
      <c r="R44" s="666"/>
      <c r="S44" s="299"/>
      <c r="T44" s="666" t="s">
        <v>70</v>
      </c>
      <c r="U44" s="666"/>
      <c r="V44" s="299"/>
      <c r="W44" s="666" t="s">
        <v>37</v>
      </c>
      <c r="X44" s="666"/>
      <c r="Y44" s="299"/>
      <c r="Z44" s="666" t="s">
        <v>42</v>
      </c>
      <c r="AA44" s="666"/>
      <c r="AB44" s="299"/>
      <c r="AC44" s="666" t="s">
        <v>70</v>
      </c>
      <c r="AD44" s="666"/>
      <c r="AE44" s="299"/>
      <c r="AF44" s="666" t="s">
        <v>70</v>
      </c>
      <c r="AG44" s="666"/>
      <c r="AH44" s="299"/>
      <c r="AI44" s="666" t="s">
        <v>89</v>
      </c>
      <c r="AJ44" s="666"/>
      <c r="AK44" s="299"/>
      <c r="AL44" s="666" t="s">
        <v>70</v>
      </c>
      <c r="AM44" s="666"/>
      <c r="AN44" s="299"/>
      <c r="AO44" s="666" t="s">
        <v>42</v>
      </c>
      <c r="AP44" s="666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5"/>
      <c r="C49" s="665"/>
      <c r="E49" s="663"/>
      <c r="F49" s="663"/>
      <c r="H49" s="663"/>
      <c r="I49" s="663"/>
      <c r="K49" s="663"/>
      <c r="L49" s="663"/>
      <c r="N49" s="663"/>
      <c r="O49" s="663"/>
      <c r="Q49" s="663"/>
      <c r="R49" s="663"/>
      <c r="T49" s="663"/>
      <c r="U49" s="663"/>
      <c r="W49" s="663"/>
      <c r="X49" s="663"/>
      <c r="Z49" s="663"/>
      <c r="AA49" s="663"/>
      <c r="AC49" s="663"/>
      <c r="AD49" s="663"/>
      <c r="AF49" s="663"/>
      <c r="AG49" s="663"/>
      <c r="AI49" s="663"/>
      <c r="AJ49" s="663"/>
      <c r="AL49" s="663"/>
      <c r="AM49" s="663"/>
      <c r="AO49" s="663"/>
      <c r="AP49" s="663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671" t="s">
        <v>140</v>
      </c>
      <c r="C52" s="666"/>
      <c r="D52" s="299"/>
      <c r="E52" s="674" t="s">
        <v>141</v>
      </c>
      <c r="F52" s="669"/>
      <c r="G52" s="299"/>
      <c r="H52" s="709" t="s">
        <v>142</v>
      </c>
      <c r="I52" s="669"/>
      <c r="J52" s="300"/>
      <c r="K52" s="674" t="s">
        <v>144</v>
      </c>
      <c r="L52" s="669"/>
      <c r="M52" s="316"/>
      <c r="N52" s="674" t="s">
        <v>145</v>
      </c>
      <c r="O52" s="669"/>
      <c r="P52" s="299"/>
      <c r="Q52" s="710" t="s">
        <v>146</v>
      </c>
      <c r="R52" s="711"/>
      <c r="S52" s="299"/>
      <c r="T52" s="668" t="s">
        <v>147</v>
      </c>
      <c r="U52" s="669"/>
      <c r="V52" s="299"/>
      <c r="W52" s="671" t="s">
        <v>148</v>
      </c>
      <c r="X52" s="666"/>
      <c r="Y52" s="299"/>
      <c r="Z52" s="671" t="s">
        <v>149</v>
      </c>
      <c r="AA52" s="666"/>
      <c r="AB52" s="299"/>
      <c r="AC52" s="674" t="s">
        <v>150</v>
      </c>
      <c r="AD52" s="669"/>
      <c r="AE52" s="299"/>
      <c r="AF52" s="674" t="s">
        <v>151</v>
      </c>
      <c r="AG52" s="669"/>
      <c r="AH52" s="325"/>
      <c r="AI52" s="674" t="s">
        <v>152</v>
      </c>
      <c r="AJ52" s="669"/>
      <c r="AK52" s="325"/>
      <c r="AL52" s="674" t="s">
        <v>153</v>
      </c>
      <c r="AM52" s="669"/>
      <c r="AN52" s="299"/>
      <c r="AO52" s="674" t="s">
        <v>155</v>
      </c>
      <c r="AP52" s="669"/>
      <c r="BA52" s="334"/>
      <c r="BB52" s="334"/>
    </row>
    <row r="53" spans="1:55">
      <c r="A53" s="287"/>
      <c r="B53" s="666" t="s">
        <v>56</v>
      </c>
      <c r="C53" s="666"/>
      <c r="D53" s="299"/>
      <c r="E53" s="666" t="s">
        <v>89</v>
      </c>
      <c r="F53" s="666"/>
      <c r="G53" s="299"/>
      <c r="H53" s="666" t="s">
        <v>76</v>
      </c>
      <c r="I53" s="666"/>
      <c r="J53" s="299"/>
      <c r="K53" s="666" t="s">
        <v>116</v>
      </c>
      <c r="L53" s="666"/>
      <c r="M53" s="299"/>
      <c r="N53" s="666" t="s">
        <v>42</v>
      </c>
      <c r="O53" s="666"/>
      <c r="P53" s="299"/>
      <c r="Q53" s="708" t="s">
        <v>37</v>
      </c>
      <c r="R53" s="708"/>
      <c r="S53" s="299"/>
      <c r="T53" s="708" t="s">
        <v>42</v>
      </c>
      <c r="U53" s="708"/>
      <c r="V53" s="299"/>
      <c r="W53" s="666" t="s">
        <v>76</v>
      </c>
      <c r="X53" s="666"/>
      <c r="Y53" s="299"/>
      <c r="Z53" s="666" t="s">
        <v>81</v>
      </c>
      <c r="AA53" s="666"/>
      <c r="AB53" s="299"/>
      <c r="AC53" s="666" t="s">
        <v>85</v>
      </c>
      <c r="AD53" s="666"/>
      <c r="AE53" s="299"/>
      <c r="AF53" s="666" t="s">
        <v>42</v>
      </c>
      <c r="AG53" s="666"/>
      <c r="AH53" s="299"/>
      <c r="AI53" s="666" t="s">
        <v>42</v>
      </c>
      <c r="AJ53" s="666"/>
      <c r="AK53" s="299"/>
      <c r="AL53" s="666" t="s">
        <v>37</v>
      </c>
      <c r="AM53" s="666"/>
      <c r="AN53" s="299"/>
      <c r="AO53" s="666" t="s">
        <v>34</v>
      </c>
      <c r="AP53" s="666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5"/>
      <c r="C58" s="665"/>
      <c r="E58" s="663"/>
      <c r="F58" s="663"/>
      <c r="H58" s="663"/>
      <c r="I58" s="663"/>
      <c r="K58" s="663"/>
      <c r="L58" s="663"/>
      <c r="N58" s="663"/>
      <c r="O58" s="663"/>
      <c r="Q58" s="663"/>
      <c r="R58" s="663"/>
      <c r="T58" s="663"/>
      <c r="U58" s="663"/>
      <c r="W58" s="663"/>
      <c r="X58" s="663"/>
      <c r="Z58" s="663"/>
      <c r="AA58" s="663"/>
      <c r="AC58" s="663"/>
      <c r="AD58" s="663"/>
      <c r="AF58" s="663"/>
      <c r="AG58" s="663"/>
      <c r="AI58" s="663"/>
      <c r="AJ58" s="663"/>
      <c r="AL58" s="663"/>
      <c r="AM58" s="663"/>
      <c r="AO58" s="663"/>
      <c r="AP58" s="663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671" t="s">
        <v>156</v>
      </c>
      <c r="C61" s="666"/>
      <c r="D61" s="300"/>
      <c r="E61" s="674" t="s">
        <v>157</v>
      </c>
      <c r="F61" s="669"/>
      <c r="G61" s="300"/>
      <c r="H61" s="674" t="s">
        <v>158</v>
      </c>
      <c r="I61" s="669"/>
      <c r="J61" s="300"/>
      <c r="K61" s="674" t="s">
        <v>159</v>
      </c>
      <c r="L61" s="669"/>
      <c r="M61" s="300"/>
      <c r="N61" s="669" t="s">
        <v>161</v>
      </c>
      <c r="O61" s="669"/>
      <c r="P61" s="300"/>
      <c r="Q61" s="674" t="s">
        <v>162</v>
      </c>
      <c r="R61" s="669"/>
      <c r="S61" s="300"/>
      <c r="T61" s="669" t="s">
        <v>164</v>
      </c>
      <c r="U61" s="669"/>
      <c r="V61" s="300"/>
      <c r="W61" s="669" t="s">
        <v>166</v>
      </c>
      <c r="X61" s="669"/>
      <c r="Y61" s="300"/>
      <c r="Z61" s="674" t="s">
        <v>167</v>
      </c>
      <c r="AA61" s="669"/>
      <c r="AB61" s="300"/>
      <c r="AC61" s="669" t="s">
        <v>169</v>
      </c>
      <c r="AD61" s="669"/>
      <c r="AE61" s="300"/>
      <c r="AF61" s="674" t="s">
        <v>170</v>
      </c>
      <c r="AG61" s="669"/>
      <c r="AH61" s="300"/>
      <c r="AI61" s="668" t="s">
        <v>171</v>
      </c>
      <c r="AJ61" s="669"/>
      <c r="AK61" s="299"/>
      <c r="AL61" s="668" t="s">
        <v>172</v>
      </c>
      <c r="AM61" s="669"/>
      <c r="AN61" s="300"/>
      <c r="AO61" s="668" t="s">
        <v>173</v>
      </c>
      <c r="AP61" s="669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666" t="s">
        <v>37</v>
      </c>
      <c r="C62" s="666"/>
      <c r="D62" s="299"/>
      <c r="E62" s="666" t="s">
        <v>85</v>
      </c>
      <c r="F62" s="666"/>
      <c r="G62" s="299"/>
      <c r="H62" s="666" t="s">
        <v>42</v>
      </c>
      <c r="I62" s="666"/>
      <c r="J62" s="299"/>
      <c r="K62" s="666" t="s">
        <v>37</v>
      </c>
      <c r="L62" s="666"/>
      <c r="M62" s="299"/>
      <c r="N62" s="666" t="s">
        <v>39</v>
      </c>
      <c r="O62" s="666"/>
      <c r="P62" s="299"/>
      <c r="Q62" s="666" t="s">
        <v>42</v>
      </c>
      <c r="R62" s="666"/>
      <c r="S62" s="299"/>
      <c r="T62" s="666" t="s">
        <v>34</v>
      </c>
      <c r="U62" s="666"/>
      <c r="V62" s="299"/>
      <c r="W62" s="666" t="s">
        <v>46</v>
      </c>
      <c r="X62" s="666"/>
      <c r="Y62" s="299"/>
      <c r="Z62" s="666" t="s">
        <v>37</v>
      </c>
      <c r="AA62" s="666"/>
      <c r="AB62" s="299"/>
      <c r="AC62" s="666" t="s">
        <v>46</v>
      </c>
      <c r="AD62" s="666"/>
      <c r="AE62" s="299"/>
      <c r="AF62" s="666" t="s">
        <v>76</v>
      </c>
      <c r="AG62" s="666"/>
      <c r="AH62" s="299"/>
      <c r="AI62" s="672" t="s">
        <v>56</v>
      </c>
      <c r="AJ62" s="666"/>
      <c r="AK62" s="299"/>
      <c r="AL62" s="672" t="s">
        <v>76</v>
      </c>
      <c r="AM62" s="666"/>
      <c r="AN62" s="299"/>
      <c r="AO62" s="672" t="s">
        <v>56</v>
      </c>
      <c r="AP62" s="666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5"/>
      <c r="C67" s="665"/>
      <c r="E67" s="663"/>
      <c r="F67" s="663"/>
      <c r="H67" s="663"/>
      <c r="I67" s="663"/>
      <c r="K67" s="663"/>
      <c r="L67" s="663"/>
      <c r="N67" s="663"/>
      <c r="O67" s="663"/>
      <c r="Q67" s="663"/>
      <c r="R67" s="663"/>
      <c r="T67" s="663"/>
      <c r="U67" s="663"/>
      <c r="W67" s="663"/>
      <c r="X67" s="663"/>
      <c r="Z67" s="663"/>
      <c r="AA67" s="663"/>
      <c r="AC67" s="663"/>
      <c r="AD67" s="663"/>
      <c r="AF67" s="663"/>
      <c r="AG67" s="663"/>
      <c r="AI67" s="663"/>
      <c r="AJ67" s="663"/>
      <c r="AL67" s="663"/>
      <c r="AM67" s="663"/>
      <c r="AO67" s="663"/>
      <c r="AP67" s="663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707" t="s">
        <v>174</v>
      </c>
      <c r="C70" s="666"/>
      <c r="D70" s="300"/>
      <c r="E70" s="707" t="s">
        <v>175</v>
      </c>
      <c r="F70" s="666"/>
      <c r="G70" s="300"/>
      <c r="H70" s="668" t="s">
        <v>176</v>
      </c>
      <c r="I70" s="703"/>
      <c r="J70" s="300"/>
      <c r="K70" s="668" t="s">
        <v>177</v>
      </c>
      <c r="L70" s="703"/>
      <c r="M70" s="300"/>
      <c r="N70" s="674" t="s">
        <v>178</v>
      </c>
      <c r="O70" s="669"/>
      <c r="P70" s="300"/>
      <c r="Q70" s="669" t="s">
        <v>180</v>
      </c>
      <c r="R70" s="669"/>
      <c r="S70" s="300"/>
      <c r="T70" s="674" t="s">
        <v>181</v>
      </c>
      <c r="U70" s="669"/>
      <c r="V70" s="300"/>
      <c r="W70" s="668" t="s">
        <v>182</v>
      </c>
      <c r="X70" s="703"/>
      <c r="Y70" s="299"/>
      <c r="Z70" s="674" t="s">
        <v>183</v>
      </c>
      <c r="AA70" s="669"/>
      <c r="AB70" s="299"/>
      <c r="AC70" s="674" t="s">
        <v>184</v>
      </c>
      <c r="AD70" s="669"/>
      <c r="AE70" s="300"/>
      <c r="AF70" s="674" t="s">
        <v>185</v>
      </c>
      <c r="AG70" s="669"/>
      <c r="AH70" s="300"/>
      <c r="AI70" s="674" t="s">
        <v>186</v>
      </c>
      <c r="AJ70" s="669"/>
      <c r="AK70" s="300"/>
      <c r="AL70" s="674" t="s">
        <v>187</v>
      </c>
      <c r="AM70" s="669"/>
      <c r="AO70" s="706" t="s">
        <v>188</v>
      </c>
      <c r="AP70" s="697"/>
      <c r="BA70" s="334"/>
      <c r="BB70" s="334"/>
    </row>
    <row r="71" spans="1:55">
      <c r="A71" s="287"/>
      <c r="B71" s="672" t="s">
        <v>42</v>
      </c>
      <c r="C71" s="666"/>
      <c r="D71" s="299"/>
      <c r="E71" s="672" t="s">
        <v>37</v>
      </c>
      <c r="F71" s="666"/>
      <c r="G71" s="299"/>
      <c r="H71" s="672" t="s">
        <v>42</v>
      </c>
      <c r="I71" s="672"/>
      <c r="J71" s="299"/>
      <c r="K71" s="672" t="s">
        <v>37</v>
      </c>
      <c r="L71" s="672"/>
      <c r="M71" s="299"/>
      <c r="N71" s="666" t="s">
        <v>42</v>
      </c>
      <c r="O71" s="666"/>
      <c r="P71" s="299"/>
      <c r="Q71" s="666" t="s">
        <v>34</v>
      </c>
      <c r="R71" s="666"/>
      <c r="S71" s="299"/>
      <c r="T71" s="666" t="s">
        <v>37</v>
      </c>
      <c r="U71" s="666"/>
      <c r="V71" s="299"/>
      <c r="W71" s="672" t="s">
        <v>42</v>
      </c>
      <c r="X71" s="672"/>
      <c r="Y71" s="299"/>
      <c r="Z71" s="666" t="s">
        <v>42</v>
      </c>
      <c r="AA71" s="666"/>
      <c r="AB71" s="299"/>
      <c r="AC71" s="666" t="s">
        <v>56</v>
      </c>
      <c r="AD71" s="666"/>
      <c r="AE71" s="300"/>
      <c r="AF71" s="666" t="s">
        <v>37</v>
      </c>
      <c r="AG71" s="666"/>
      <c r="AH71" s="300"/>
      <c r="AI71" s="666" t="s">
        <v>42</v>
      </c>
      <c r="AJ71" s="666"/>
      <c r="AL71" s="667" t="s">
        <v>37</v>
      </c>
      <c r="AM71" s="667"/>
      <c r="AN71" s="299"/>
      <c r="AO71" s="667" t="s">
        <v>42</v>
      </c>
      <c r="AP71" s="667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5"/>
      <c r="C76" s="665"/>
      <c r="E76" s="663"/>
      <c r="F76" s="663"/>
      <c r="H76" s="663"/>
      <c r="I76" s="663"/>
      <c r="K76" s="663"/>
      <c r="L76" s="663"/>
      <c r="N76" s="663"/>
      <c r="O76" s="663"/>
      <c r="Q76" s="663"/>
      <c r="R76" s="663"/>
      <c r="T76" s="663"/>
      <c r="U76" s="663"/>
      <c r="W76" s="663"/>
      <c r="X76" s="663"/>
      <c r="Z76" s="663"/>
      <c r="AA76" s="663"/>
      <c r="AC76" s="663"/>
      <c r="AD76" s="663"/>
      <c r="AF76" s="663"/>
      <c r="AG76" s="663"/>
      <c r="AI76" s="663"/>
      <c r="AJ76" s="663"/>
      <c r="AL76" s="663"/>
      <c r="AM76" s="663"/>
      <c r="AO76" s="663"/>
      <c r="AP76" s="663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674" t="s">
        <v>189</v>
      </c>
      <c r="C79" s="669"/>
      <c r="D79" s="300"/>
      <c r="E79" s="669" t="s">
        <v>191</v>
      </c>
      <c r="F79" s="669"/>
      <c r="G79" s="300"/>
      <c r="H79" s="674" t="s">
        <v>192</v>
      </c>
      <c r="I79" s="669"/>
      <c r="J79" s="299"/>
      <c r="K79" s="674" t="s">
        <v>193</v>
      </c>
      <c r="L79" s="669"/>
      <c r="M79" s="299"/>
      <c r="N79" s="674" t="s">
        <v>194</v>
      </c>
      <c r="O79" s="669"/>
      <c r="P79" s="300"/>
      <c r="Q79" s="669" t="s">
        <v>196</v>
      </c>
      <c r="R79" s="669"/>
      <c r="S79" s="300"/>
      <c r="T79" s="674" t="s">
        <v>197</v>
      </c>
      <c r="U79" s="669"/>
      <c r="V79" s="300"/>
      <c r="W79" s="674" t="s">
        <v>198</v>
      </c>
      <c r="X79" s="669"/>
      <c r="Y79" s="299"/>
      <c r="Z79" s="674" t="s">
        <v>199</v>
      </c>
      <c r="AA79" s="669"/>
      <c r="AB79" s="299"/>
      <c r="AC79" s="669" t="s">
        <v>201</v>
      </c>
      <c r="AD79" s="669"/>
      <c r="AE79" s="300"/>
      <c r="AF79" s="674" t="s">
        <v>202</v>
      </c>
      <c r="AG79" s="669"/>
      <c r="AH79" s="299"/>
      <c r="AI79" s="674" t="s">
        <v>203</v>
      </c>
      <c r="AJ79" s="669"/>
      <c r="AK79" s="300"/>
      <c r="AL79" s="674" t="s">
        <v>204</v>
      </c>
      <c r="AM79" s="669"/>
      <c r="AN79" s="300"/>
      <c r="AO79" s="674" t="s">
        <v>205</v>
      </c>
      <c r="AP79" s="669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666" t="s">
        <v>42</v>
      </c>
      <c r="C80" s="666"/>
      <c r="E80" s="666" t="s">
        <v>39</v>
      </c>
      <c r="F80" s="666"/>
      <c r="G80" s="299"/>
      <c r="H80" s="666" t="s">
        <v>37</v>
      </c>
      <c r="I80" s="666"/>
      <c r="J80" s="299"/>
      <c r="K80" s="666" t="s">
        <v>37</v>
      </c>
      <c r="L80" s="666"/>
      <c r="M80" s="299"/>
      <c r="N80" s="666" t="s">
        <v>37</v>
      </c>
      <c r="O80" s="666"/>
      <c r="P80" s="299"/>
      <c r="Q80" s="666" t="s">
        <v>46</v>
      </c>
      <c r="R80" s="666"/>
      <c r="S80" s="299"/>
      <c r="T80" s="666" t="s">
        <v>56</v>
      </c>
      <c r="U80" s="666"/>
      <c r="V80" s="299"/>
      <c r="W80" s="666" t="s">
        <v>37</v>
      </c>
      <c r="X80" s="666"/>
      <c r="Y80" s="299"/>
      <c r="Z80" s="666" t="s">
        <v>56</v>
      </c>
      <c r="AA80" s="666"/>
      <c r="AB80" s="299"/>
      <c r="AC80" s="666" t="s">
        <v>39</v>
      </c>
      <c r="AD80" s="666"/>
      <c r="AE80" s="299"/>
      <c r="AF80" s="666" t="s">
        <v>42</v>
      </c>
      <c r="AG80" s="666"/>
      <c r="AH80" s="299"/>
      <c r="AI80" s="666" t="s">
        <v>37</v>
      </c>
      <c r="AJ80" s="666"/>
      <c r="AK80" s="299"/>
      <c r="AL80" s="666" t="s">
        <v>42</v>
      </c>
      <c r="AM80" s="666"/>
      <c r="AN80" s="299"/>
      <c r="AO80" s="666" t="s">
        <v>42</v>
      </c>
      <c r="AP80" s="666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5"/>
      <c r="C85" s="665"/>
      <c r="E85" s="663"/>
      <c r="F85" s="663"/>
      <c r="H85" s="663"/>
      <c r="I85" s="663"/>
      <c r="K85" s="704"/>
      <c r="L85" s="663"/>
      <c r="N85" s="704"/>
      <c r="O85" s="663"/>
      <c r="Q85" s="704"/>
      <c r="R85" s="663"/>
      <c r="T85" s="704"/>
      <c r="U85" s="663"/>
      <c r="W85" s="663"/>
      <c r="X85" s="663"/>
      <c r="Z85" s="663"/>
      <c r="AA85" s="663"/>
      <c r="AC85" s="663"/>
      <c r="AD85" s="663"/>
      <c r="AF85" s="663"/>
      <c r="AG85" s="663"/>
      <c r="AI85" s="663"/>
      <c r="AJ85" s="663"/>
      <c r="AL85" s="663"/>
      <c r="AM85" s="663"/>
      <c r="AO85" s="663"/>
      <c r="AP85" s="663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671" t="s">
        <v>206</v>
      </c>
      <c r="C88" s="666"/>
      <c r="D88" s="300"/>
      <c r="E88" s="674" t="s">
        <v>207</v>
      </c>
      <c r="F88" s="669"/>
      <c r="G88" s="300"/>
      <c r="H88" s="674" t="s">
        <v>208</v>
      </c>
      <c r="I88" s="669"/>
      <c r="J88" s="299"/>
      <c r="K88" s="674" t="s">
        <v>209</v>
      </c>
      <c r="L88" s="669"/>
      <c r="M88" s="299"/>
      <c r="N88" s="674" t="s">
        <v>210</v>
      </c>
      <c r="O88" s="669"/>
      <c r="P88" s="300"/>
      <c r="Q88" s="674" t="s">
        <v>211</v>
      </c>
      <c r="R88" s="669"/>
      <c r="S88" s="299"/>
      <c r="T88" s="674" t="s">
        <v>212</v>
      </c>
      <c r="U88" s="669"/>
      <c r="V88" s="300"/>
      <c r="W88" s="669" t="s">
        <v>214</v>
      </c>
      <c r="X88" s="669"/>
      <c r="Y88" s="300"/>
      <c r="Z88" s="674" t="s">
        <v>215</v>
      </c>
      <c r="AA88" s="669"/>
      <c r="AB88" s="300"/>
      <c r="AC88" s="674" t="s">
        <v>216</v>
      </c>
      <c r="AD88" s="669"/>
      <c r="AE88" s="300"/>
      <c r="AF88" s="674" t="s">
        <v>217</v>
      </c>
      <c r="AG88" s="669"/>
      <c r="AH88" s="300"/>
      <c r="AI88" s="674" t="s">
        <v>218</v>
      </c>
      <c r="AJ88" s="669"/>
      <c r="AK88" s="300"/>
      <c r="AL88" s="674" t="s">
        <v>219</v>
      </c>
      <c r="AM88" s="669"/>
      <c r="AN88" s="299"/>
      <c r="AO88" s="669" t="s">
        <v>221</v>
      </c>
      <c r="AP88" s="669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666" t="s">
        <v>37</v>
      </c>
      <c r="C89" s="666"/>
      <c r="D89" s="299"/>
      <c r="E89" s="666" t="s">
        <v>37</v>
      </c>
      <c r="F89" s="666"/>
      <c r="G89" s="300"/>
      <c r="H89" s="666" t="s">
        <v>56</v>
      </c>
      <c r="I89" s="666"/>
      <c r="J89" s="299"/>
      <c r="K89" s="666" t="s">
        <v>37</v>
      </c>
      <c r="L89" s="666"/>
      <c r="M89" s="299"/>
      <c r="N89" s="666" t="s">
        <v>37</v>
      </c>
      <c r="O89" s="666"/>
      <c r="P89" s="324"/>
      <c r="Q89" s="666" t="s">
        <v>37</v>
      </c>
      <c r="R89" s="666"/>
      <c r="S89" s="299"/>
      <c r="T89" s="666" t="s">
        <v>37</v>
      </c>
      <c r="U89" s="666"/>
      <c r="V89" s="299"/>
      <c r="W89" s="666" t="s">
        <v>89</v>
      </c>
      <c r="X89" s="666"/>
      <c r="Y89" s="299"/>
      <c r="Z89" s="666" t="s">
        <v>42</v>
      </c>
      <c r="AA89" s="666"/>
      <c r="AB89" s="299"/>
      <c r="AC89" s="666" t="s">
        <v>37</v>
      </c>
      <c r="AD89" s="666"/>
      <c r="AE89" s="300"/>
      <c r="AF89" s="666" t="s">
        <v>37</v>
      </c>
      <c r="AG89" s="666"/>
      <c r="AH89" s="299"/>
      <c r="AI89" s="666" t="s">
        <v>42</v>
      </c>
      <c r="AJ89" s="666"/>
      <c r="AK89" s="299"/>
      <c r="AL89" s="666" t="s">
        <v>42</v>
      </c>
      <c r="AM89" s="666"/>
      <c r="AN89" s="299"/>
      <c r="AO89" s="666" t="s">
        <v>76</v>
      </c>
      <c r="AP89" s="666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5"/>
      <c r="C94" s="665"/>
      <c r="E94" s="663"/>
      <c r="F94" s="663"/>
      <c r="H94" s="663"/>
      <c r="I94" s="663"/>
      <c r="K94" s="663"/>
      <c r="L94" s="663"/>
      <c r="N94" s="663"/>
      <c r="O94" s="663"/>
      <c r="Q94" s="705"/>
      <c r="R94" s="663"/>
      <c r="T94" s="663"/>
      <c r="U94" s="663"/>
      <c r="W94" s="663"/>
      <c r="X94" s="663"/>
      <c r="Z94" s="663"/>
      <c r="AA94" s="663"/>
      <c r="AC94" s="663"/>
      <c r="AD94" s="663"/>
      <c r="AF94" s="663"/>
      <c r="AG94" s="663"/>
      <c r="AI94" s="663"/>
      <c r="AJ94" s="663"/>
      <c r="AL94" s="663"/>
      <c r="AM94" s="663"/>
      <c r="AO94" s="663"/>
      <c r="AP94" s="663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671" t="s">
        <v>222</v>
      </c>
      <c r="C97" s="666"/>
      <c r="D97" s="300"/>
      <c r="E97" s="674" t="s">
        <v>223</v>
      </c>
      <c r="F97" s="669"/>
      <c r="G97" s="300"/>
      <c r="H97" s="674" t="s">
        <v>224</v>
      </c>
      <c r="I97" s="669"/>
      <c r="J97" s="300"/>
      <c r="K97" s="674" t="s">
        <v>225</v>
      </c>
      <c r="L97" s="669"/>
      <c r="M97" s="300"/>
      <c r="N97" s="674" t="s">
        <v>226</v>
      </c>
      <c r="O97" s="669"/>
      <c r="P97" s="300"/>
      <c r="Q97" s="674" t="s">
        <v>227</v>
      </c>
      <c r="R97" s="669"/>
      <c r="S97" s="300"/>
      <c r="T97" s="674" t="s">
        <v>228</v>
      </c>
      <c r="U97" s="669"/>
      <c r="V97" s="300"/>
      <c r="W97" s="674" t="s">
        <v>229</v>
      </c>
      <c r="X97" s="669"/>
      <c r="Y97" s="300"/>
      <c r="Z97" s="669" t="s">
        <v>231</v>
      </c>
      <c r="AA97" s="669"/>
      <c r="AB97" s="300"/>
      <c r="AC97" s="674" t="s">
        <v>232</v>
      </c>
      <c r="AD97" s="669"/>
      <c r="AE97" s="300"/>
      <c r="AF97" s="674" t="s">
        <v>233</v>
      </c>
      <c r="AG97" s="669"/>
      <c r="AH97" s="300"/>
      <c r="AI97" s="674" t="s">
        <v>234</v>
      </c>
      <c r="AJ97" s="669"/>
      <c r="AK97" s="300"/>
      <c r="AL97" s="674" t="s">
        <v>235</v>
      </c>
      <c r="AM97" s="669"/>
      <c r="AN97" s="300"/>
      <c r="AO97" s="674" t="s">
        <v>236</v>
      </c>
      <c r="AP97" s="669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666" t="s">
        <v>42</v>
      </c>
      <c r="C98" s="666"/>
      <c r="D98" s="299"/>
      <c r="E98" s="666" t="s">
        <v>37</v>
      </c>
      <c r="F98" s="666"/>
      <c r="G98" s="299"/>
      <c r="H98" s="666" t="s">
        <v>42</v>
      </c>
      <c r="I98" s="666"/>
      <c r="J98" s="299"/>
      <c r="K98" s="666" t="s">
        <v>42</v>
      </c>
      <c r="L98" s="666"/>
      <c r="M98" s="300"/>
      <c r="N98" s="666" t="s">
        <v>42</v>
      </c>
      <c r="O98" s="666"/>
      <c r="P98" s="299"/>
      <c r="Q98" s="666" t="s">
        <v>37</v>
      </c>
      <c r="R98" s="666"/>
      <c r="S98" s="299"/>
      <c r="T98" s="666" t="s">
        <v>37</v>
      </c>
      <c r="U98" s="666"/>
      <c r="V98" s="299"/>
      <c r="W98" s="666" t="s">
        <v>37</v>
      </c>
      <c r="X98" s="666"/>
      <c r="Y98" s="299"/>
      <c r="Z98" s="666" t="s">
        <v>76</v>
      </c>
      <c r="AA98" s="666"/>
      <c r="AB98" s="299"/>
      <c r="AC98" s="666" t="s">
        <v>37</v>
      </c>
      <c r="AD98" s="666"/>
      <c r="AE98" s="299"/>
      <c r="AF98" s="666" t="s">
        <v>37</v>
      </c>
      <c r="AG98" s="666"/>
      <c r="AH98" s="299"/>
      <c r="AI98" s="666" t="s">
        <v>37</v>
      </c>
      <c r="AJ98" s="666"/>
      <c r="AK98" s="299"/>
      <c r="AL98" s="666" t="s">
        <v>42</v>
      </c>
      <c r="AM98" s="666"/>
      <c r="AN98" s="299"/>
      <c r="AO98" s="666" t="s">
        <v>37</v>
      </c>
      <c r="AP98" s="666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663"/>
      <c r="C103" s="663"/>
      <c r="E103" s="663"/>
      <c r="F103" s="663"/>
      <c r="H103" s="663"/>
      <c r="I103" s="663"/>
      <c r="K103" s="663"/>
      <c r="L103" s="663"/>
      <c r="N103" s="663"/>
      <c r="O103" s="663"/>
      <c r="Q103" s="663"/>
      <c r="R103" s="663"/>
      <c r="T103" s="663"/>
      <c r="U103" s="663"/>
      <c r="W103" s="663"/>
      <c r="X103" s="663"/>
      <c r="Z103" s="663"/>
      <c r="AA103" s="663"/>
      <c r="AC103" s="663"/>
      <c r="AD103" s="663"/>
      <c r="AF103" s="663"/>
      <c r="AG103" s="663"/>
      <c r="AI103" s="663"/>
      <c r="AJ103" s="663"/>
      <c r="AL103" s="663"/>
      <c r="AM103" s="663"/>
      <c r="AN103" s="306"/>
      <c r="AO103" s="663"/>
      <c r="AP103" s="663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674" t="s">
        <v>237</v>
      </c>
      <c r="C106" s="669"/>
      <c r="D106" s="300"/>
      <c r="E106" s="674" t="s">
        <v>238</v>
      </c>
      <c r="F106" s="669"/>
      <c r="G106" s="299"/>
      <c r="H106" s="674" t="s">
        <v>239</v>
      </c>
      <c r="I106" s="669"/>
      <c r="J106" s="300"/>
      <c r="K106" s="674" t="s">
        <v>240</v>
      </c>
      <c r="L106" s="669"/>
      <c r="M106" s="300"/>
      <c r="N106" s="674" t="s">
        <v>241</v>
      </c>
      <c r="O106" s="669"/>
      <c r="P106" s="300"/>
      <c r="Q106" s="674" t="s">
        <v>242</v>
      </c>
      <c r="R106" s="669"/>
      <c r="S106" s="299"/>
      <c r="T106" s="674" t="s">
        <v>243</v>
      </c>
      <c r="U106" s="669"/>
      <c r="V106" s="300"/>
      <c r="W106" s="669" t="s">
        <v>244</v>
      </c>
      <c r="X106" s="669"/>
      <c r="Y106" s="300"/>
      <c r="Z106" s="669" t="s">
        <v>246</v>
      </c>
      <c r="AA106" s="669"/>
      <c r="AB106" s="300"/>
      <c r="AC106" s="674" t="s">
        <v>247</v>
      </c>
      <c r="AD106" s="669"/>
      <c r="AE106" s="300"/>
      <c r="AF106" s="674" t="s">
        <v>248</v>
      </c>
      <c r="AG106" s="669"/>
      <c r="AH106" s="300"/>
      <c r="AI106" s="669" t="s">
        <v>250</v>
      </c>
      <c r="AJ106" s="669"/>
      <c r="AK106" s="300" t="s">
        <v>0</v>
      </c>
      <c r="AL106" s="674" t="s">
        <v>251</v>
      </c>
      <c r="AM106" s="669"/>
      <c r="AN106" s="300" t="s">
        <v>0</v>
      </c>
      <c r="AO106" s="674" t="s">
        <v>252</v>
      </c>
      <c r="AP106" s="669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666" t="s">
        <v>37</v>
      </c>
      <c r="C107" s="666"/>
      <c r="D107" s="299"/>
      <c r="E107" s="666" t="s">
        <v>37</v>
      </c>
      <c r="F107" s="666"/>
      <c r="G107" s="299"/>
      <c r="H107" s="666" t="s">
        <v>37</v>
      </c>
      <c r="I107" s="666"/>
      <c r="J107" s="299"/>
      <c r="K107" s="666" t="s">
        <v>42</v>
      </c>
      <c r="L107" s="666"/>
      <c r="M107" s="299"/>
      <c r="N107" s="666" t="s">
        <v>37</v>
      </c>
      <c r="O107" s="666"/>
      <c r="P107" s="299"/>
      <c r="Q107" s="666" t="s">
        <v>42</v>
      </c>
      <c r="R107" s="666"/>
      <c r="S107" s="299"/>
      <c r="T107" s="666" t="s">
        <v>37</v>
      </c>
      <c r="U107" s="666"/>
      <c r="V107" s="299"/>
      <c r="W107" s="666" t="s">
        <v>37</v>
      </c>
      <c r="X107" s="666"/>
      <c r="Y107" s="299"/>
      <c r="Z107" s="666" t="s">
        <v>46</v>
      </c>
      <c r="AA107" s="666"/>
      <c r="AB107" s="299"/>
      <c r="AC107" s="666" t="s">
        <v>37</v>
      </c>
      <c r="AD107" s="666"/>
      <c r="AE107" s="299"/>
      <c r="AF107" s="666" t="s">
        <v>37</v>
      </c>
      <c r="AG107" s="666"/>
      <c r="AH107" s="299"/>
      <c r="AI107" s="666" t="s">
        <v>39</v>
      </c>
      <c r="AJ107" s="666"/>
      <c r="AK107" s="299"/>
      <c r="AL107" s="666" t="s">
        <v>42</v>
      </c>
      <c r="AM107" s="666"/>
      <c r="AN107" s="299"/>
      <c r="AO107" s="666" t="s">
        <v>42</v>
      </c>
      <c r="AP107" s="666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670"/>
      <c r="C112" s="670"/>
      <c r="D112" s="299"/>
      <c r="E112" s="670"/>
      <c r="F112" s="670"/>
      <c r="G112" s="299"/>
      <c r="H112" s="670"/>
      <c r="I112" s="670"/>
      <c r="J112" s="299"/>
      <c r="K112" s="670"/>
      <c r="L112" s="670"/>
      <c r="M112" s="299"/>
      <c r="N112" s="670"/>
      <c r="O112" s="670"/>
      <c r="P112" s="299"/>
      <c r="Q112" s="670"/>
      <c r="R112" s="670"/>
      <c r="S112" s="299"/>
      <c r="T112" s="670"/>
      <c r="U112" s="670"/>
      <c r="V112" s="299"/>
      <c r="W112" s="670"/>
      <c r="X112" s="670"/>
      <c r="Y112" s="299"/>
      <c r="Z112" s="670"/>
      <c r="AA112" s="670"/>
      <c r="AB112" s="299"/>
      <c r="AC112" s="670"/>
      <c r="AD112" s="670"/>
      <c r="AE112" s="299"/>
      <c r="AF112" s="670"/>
      <c r="AG112" s="670"/>
      <c r="AH112" s="299"/>
      <c r="AI112" s="670"/>
      <c r="AJ112" s="670"/>
      <c r="AK112" s="299"/>
      <c r="AL112" s="670"/>
      <c r="AM112" s="670"/>
      <c r="AN112" s="299"/>
      <c r="AO112" s="670"/>
      <c r="AP112" s="670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674" t="s">
        <v>253</v>
      </c>
      <c r="C115" s="669"/>
      <c r="D115" s="300" t="s">
        <v>0</v>
      </c>
      <c r="E115" s="674" t="s">
        <v>254</v>
      </c>
      <c r="F115" s="669"/>
      <c r="G115" s="300" t="s">
        <v>0</v>
      </c>
      <c r="H115" s="674" t="s">
        <v>255</v>
      </c>
      <c r="I115" s="669"/>
      <c r="J115" s="300" t="s">
        <v>0</v>
      </c>
      <c r="K115" s="703" t="s">
        <v>257</v>
      </c>
      <c r="L115" s="703"/>
      <c r="M115" s="300" t="s">
        <v>0</v>
      </c>
      <c r="N115" s="703" t="s">
        <v>259</v>
      </c>
      <c r="O115" s="703"/>
      <c r="P115" s="300" t="s">
        <v>0</v>
      </c>
      <c r="Q115" s="669" t="s">
        <v>262</v>
      </c>
      <c r="R115" s="669"/>
      <c r="S115" s="300" t="s">
        <v>0</v>
      </c>
      <c r="T115" s="669" t="s">
        <v>264</v>
      </c>
      <c r="U115" s="669"/>
      <c r="V115" s="300" t="s">
        <v>0</v>
      </c>
      <c r="W115" s="669" t="s">
        <v>266</v>
      </c>
      <c r="X115" s="669"/>
      <c r="Y115" s="299" t="s">
        <v>0</v>
      </c>
      <c r="Z115" s="674" t="s">
        <v>267</v>
      </c>
      <c r="AA115" s="669"/>
      <c r="AB115" s="299" t="s">
        <v>0</v>
      </c>
      <c r="AC115" s="674" t="s">
        <v>269</v>
      </c>
      <c r="AD115" s="669"/>
      <c r="AE115" s="300" t="s">
        <v>0</v>
      </c>
      <c r="AF115" s="669" t="s">
        <v>271</v>
      </c>
      <c r="AG115" s="669"/>
      <c r="AH115" s="299" t="s">
        <v>0</v>
      </c>
      <c r="AI115" s="674" t="s">
        <v>273</v>
      </c>
      <c r="AJ115" s="669"/>
      <c r="AK115" s="299" t="s">
        <v>0</v>
      </c>
      <c r="AL115" s="674" t="s">
        <v>274</v>
      </c>
      <c r="AM115" s="669"/>
      <c r="AN115" s="299" t="s">
        <v>0</v>
      </c>
      <c r="AO115" s="674" t="s">
        <v>275</v>
      </c>
      <c r="AP115" s="669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666" t="s">
        <v>42</v>
      </c>
      <c r="C116" s="666"/>
      <c r="D116" s="299"/>
      <c r="E116" s="666" t="s">
        <v>37</v>
      </c>
      <c r="F116" s="666"/>
      <c r="G116" s="299"/>
      <c r="H116" s="666" t="s">
        <v>42</v>
      </c>
      <c r="I116" s="666"/>
      <c r="J116" s="299"/>
      <c r="K116" s="672" t="s">
        <v>54</v>
      </c>
      <c r="L116" s="672"/>
      <c r="M116" s="299"/>
      <c r="N116" s="672" t="s">
        <v>260</v>
      </c>
      <c r="O116" s="672"/>
      <c r="P116" s="299"/>
      <c r="Q116" s="666" t="s">
        <v>260</v>
      </c>
      <c r="R116" s="666"/>
      <c r="S116" s="299"/>
      <c r="T116" s="666" t="s">
        <v>260</v>
      </c>
      <c r="U116" s="666"/>
      <c r="V116" s="299"/>
      <c r="W116" s="666" t="s">
        <v>34</v>
      </c>
      <c r="X116" s="666"/>
      <c r="Y116" s="299"/>
      <c r="Z116" s="666" t="s">
        <v>625</v>
      </c>
      <c r="AA116" s="666"/>
      <c r="AB116" s="299"/>
      <c r="AC116" s="666" t="s">
        <v>625</v>
      </c>
      <c r="AD116" s="666"/>
      <c r="AE116" s="299"/>
      <c r="AF116" s="666" t="s">
        <v>51</v>
      </c>
      <c r="AG116" s="666"/>
      <c r="AH116" s="299"/>
      <c r="AI116" s="666" t="s">
        <v>65</v>
      </c>
      <c r="AJ116" s="666"/>
      <c r="AK116" s="299"/>
      <c r="AL116" s="666" t="s">
        <v>42</v>
      </c>
      <c r="AM116" s="666"/>
      <c r="AN116" s="299"/>
      <c r="AO116" s="666" t="s">
        <v>56</v>
      </c>
      <c r="AP116" s="666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666"/>
      <c r="C121" s="666"/>
      <c r="D121" s="299"/>
      <c r="E121" s="670"/>
      <c r="F121" s="670"/>
      <c r="G121" s="299"/>
      <c r="H121" s="670"/>
      <c r="I121" s="670"/>
      <c r="J121" s="299"/>
      <c r="K121" s="670"/>
      <c r="L121" s="670"/>
      <c r="M121" s="299"/>
      <c r="N121" s="670"/>
      <c r="O121" s="670"/>
      <c r="P121" s="299"/>
      <c r="Q121" s="670"/>
      <c r="R121" s="670"/>
      <c r="S121" s="299"/>
      <c r="T121" s="670"/>
      <c r="U121" s="670"/>
      <c r="V121" s="299"/>
      <c r="W121" s="670"/>
      <c r="X121" s="670"/>
      <c r="Y121" s="299"/>
      <c r="Z121" s="666"/>
      <c r="AA121" s="666"/>
      <c r="AB121" s="299"/>
      <c r="AC121" s="666"/>
      <c r="AD121" s="666"/>
      <c r="AE121" s="667"/>
      <c r="AF121" s="667"/>
      <c r="AG121" s="667"/>
      <c r="AH121" s="667"/>
      <c r="AI121" s="665"/>
      <c r="AJ121" s="665"/>
      <c r="AL121" s="665"/>
      <c r="AM121" s="665"/>
      <c r="AO121" s="665"/>
      <c r="AP121" s="665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671" t="s">
        <v>276</v>
      </c>
      <c r="C124" s="666"/>
      <c r="D124" s="300"/>
      <c r="E124" s="674" t="s">
        <v>277</v>
      </c>
      <c r="F124" s="669"/>
      <c r="G124" s="300"/>
      <c r="H124" s="669" t="s">
        <v>279</v>
      </c>
      <c r="I124" s="669"/>
      <c r="J124" s="300"/>
      <c r="K124" s="674" t="s">
        <v>280</v>
      </c>
      <c r="L124" s="669"/>
      <c r="M124" s="300"/>
      <c r="N124" s="674" t="s">
        <v>281</v>
      </c>
      <c r="O124" s="669"/>
      <c r="P124" s="300"/>
      <c r="Q124" s="674" t="s">
        <v>282</v>
      </c>
      <c r="R124" s="669"/>
      <c r="S124" s="300"/>
      <c r="T124" s="668" t="s">
        <v>283</v>
      </c>
      <c r="U124" s="669"/>
      <c r="V124" s="300"/>
      <c r="W124" s="668" t="s">
        <v>284</v>
      </c>
      <c r="X124" s="669"/>
      <c r="Y124" s="299"/>
      <c r="Z124" s="671" t="s">
        <v>285</v>
      </c>
      <c r="AA124" s="666"/>
      <c r="AB124" s="316"/>
      <c r="AC124" s="671" t="s">
        <v>664</v>
      </c>
      <c r="AD124" s="671"/>
      <c r="AE124" s="299"/>
      <c r="AF124" s="671" t="s">
        <v>288</v>
      </c>
      <c r="AG124" s="666"/>
      <c r="AH124" s="306"/>
      <c r="AI124" s="673" t="s">
        <v>290</v>
      </c>
      <c r="AJ124" s="665"/>
      <c r="AL124" s="665" t="s">
        <v>291</v>
      </c>
      <c r="AM124" s="665"/>
      <c r="AO124" s="665" t="s">
        <v>292</v>
      </c>
      <c r="AP124" s="665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666" t="s">
        <v>56</v>
      </c>
      <c r="C125" s="666"/>
      <c r="D125" s="299"/>
      <c r="E125" s="666" t="s">
        <v>37</v>
      </c>
      <c r="F125" s="666"/>
      <c r="G125" s="299"/>
      <c r="H125" s="666" t="s">
        <v>76</v>
      </c>
      <c r="I125" s="666"/>
      <c r="J125" s="299"/>
      <c r="K125" s="666" t="s">
        <v>42</v>
      </c>
      <c r="L125" s="666"/>
      <c r="M125" s="299"/>
      <c r="N125" s="666" t="s">
        <v>42</v>
      </c>
      <c r="O125" s="666"/>
      <c r="P125" s="299"/>
      <c r="Q125" s="666" t="s">
        <v>42</v>
      </c>
      <c r="R125" s="666"/>
      <c r="S125" s="299"/>
      <c r="T125" s="666" t="s">
        <v>42</v>
      </c>
      <c r="U125" s="666"/>
      <c r="V125" s="299"/>
      <c r="W125" s="672" t="s">
        <v>42</v>
      </c>
      <c r="X125" s="666"/>
      <c r="Y125" s="299"/>
      <c r="Z125" s="666" t="s">
        <v>42</v>
      </c>
      <c r="AA125" s="666"/>
      <c r="AB125" s="299"/>
      <c r="AC125" s="666" t="s">
        <v>76</v>
      </c>
      <c r="AD125" s="666"/>
      <c r="AE125" s="299"/>
      <c r="AF125" s="666" t="s">
        <v>56</v>
      </c>
      <c r="AG125" s="666"/>
      <c r="AI125" s="673" t="s">
        <v>39</v>
      </c>
      <c r="AJ125" s="665"/>
      <c r="AL125" s="665" t="s">
        <v>42</v>
      </c>
      <c r="AM125" s="665"/>
      <c r="AO125" s="665" t="s">
        <v>42</v>
      </c>
      <c r="AP125" s="665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666"/>
      <c r="C130" s="666"/>
      <c r="D130" s="299"/>
      <c r="E130" s="666"/>
      <c r="F130" s="666"/>
      <c r="G130" s="299"/>
      <c r="H130" s="666"/>
      <c r="I130" s="666"/>
      <c r="J130" s="299"/>
      <c r="K130" s="666"/>
      <c r="L130" s="666"/>
      <c r="M130" s="299"/>
      <c r="N130" s="666"/>
      <c r="O130" s="666"/>
      <c r="P130" s="299"/>
      <c r="Q130" s="666"/>
      <c r="R130" s="666"/>
      <c r="S130" s="299"/>
      <c r="T130" s="666"/>
      <c r="U130" s="666"/>
      <c r="V130" s="299"/>
      <c r="W130" s="666"/>
      <c r="X130" s="666"/>
      <c r="Y130" s="299"/>
      <c r="Z130" s="666"/>
      <c r="AA130" s="666"/>
      <c r="AB130" s="299"/>
      <c r="AC130" s="666"/>
      <c r="AD130" s="666"/>
      <c r="AE130" s="667"/>
      <c r="AF130" s="667"/>
      <c r="AG130" s="667"/>
      <c r="AH130" s="667"/>
      <c r="AI130" s="665"/>
      <c r="AJ130" s="665"/>
      <c r="AL130" s="665"/>
      <c r="AM130" s="665"/>
      <c r="AO130" s="665"/>
      <c r="AP130" s="665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/>
      <c r="BA132" s="336"/>
      <c r="BB132" s="336"/>
    </row>
    <row r="133" spans="2:55">
      <c r="B133" s="669" t="s">
        <v>294</v>
      </c>
      <c r="C133" s="669"/>
      <c r="D133" s="300"/>
      <c r="E133" s="701" t="s">
        <v>694</v>
      </c>
      <c r="F133" s="701"/>
      <c r="G133" s="360"/>
      <c r="H133" s="701" t="s">
        <v>295</v>
      </c>
      <c r="I133" s="701"/>
      <c r="J133" s="300"/>
      <c r="K133" s="702" t="s">
        <v>695</v>
      </c>
      <c r="L133" s="702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666" t="s">
        <v>81</v>
      </c>
      <c r="C134" s="666"/>
      <c r="D134" s="300"/>
      <c r="E134" s="662" t="s">
        <v>260</v>
      </c>
      <c r="F134" s="662"/>
      <c r="G134" s="301"/>
      <c r="H134" s="662" t="s">
        <v>260</v>
      </c>
      <c r="I134" s="662"/>
      <c r="J134" s="300"/>
      <c r="K134" s="662" t="s">
        <v>260</v>
      </c>
      <c r="L134" s="662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680" t="s">
        <v>627</v>
      </c>
      <c r="C137" s="681"/>
      <c r="D137" s="678"/>
      <c r="E137" s="678"/>
      <c r="F137" s="678"/>
      <c r="G137" s="678"/>
      <c r="H137" s="678"/>
      <c r="I137" s="678"/>
      <c r="J137" s="678"/>
      <c r="K137" s="678"/>
      <c r="L137" s="679"/>
      <c r="M137" s="297"/>
      <c r="N137" s="677" t="s">
        <v>628</v>
      </c>
      <c r="O137" s="678"/>
      <c r="P137" s="678"/>
      <c r="Q137" s="678"/>
      <c r="R137" s="678"/>
      <c r="S137" s="678"/>
      <c r="T137" s="678"/>
      <c r="U137" s="678"/>
      <c r="V137" s="679"/>
      <c r="W137" s="774" t="s">
        <v>665</v>
      </c>
      <c r="X137" s="775"/>
      <c r="Y137" s="775"/>
      <c r="Z137" s="775"/>
      <c r="AA137" s="775"/>
      <c r="AB137" s="775"/>
      <c r="AC137" s="775"/>
      <c r="AD137" s="775"/>
      <c r="AE137" s="775"/>
      <c r="AF137" s="775"/>
      <c r="AG137" s="775"/>
      <c r="AH137" s="775"/>
      <c r="AI137" s="775"/>
      <c r="AJ137" s="775"/>
      <c r="AK137" s="775"/>
      <c r="AL137" s="775"/>
      <c r="AM137" s="775"/>
      <c r="AN137" s="719"/>
      <c r="AO137" s="719"/>
      <c r="AP137" s="719"/>
      <c r="AQ137" s="720"/>
      <c r="AR137" s="720"/>
      <c r="AS137" s="720"/>
      <c r="AT137" s="720"/>
      <c r="AU137" s="721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776"/>
      <c r="X138" s="777"/>
      <c r="Y138" s="777"/>
      <c r="Z138" s="777"/>
      <c r="AA138" s="777"/>
      <c r="AB138" s="777"/>
      <c r="AC138" s="777"/>
      <c r="AD138" s="777"/>
      <c r="AE138" s="777"/>
      <c r="AF138" s="777"/>
      <c r="AG138" s="777"/>
      <c r="AH138" s="777"/>
      <c r="AI138" s="777"/>
      <c r="AJ138" s="777"/>
      <c r="AK138" s="777"/>
      <c r="AL138" s="777"/>
      <c r="AM138" s="777"/>
      <c r="AN138" s="722"/>
      <c r="AO138" s="722"/>
      <c r="AP138" s="722"/>
      <c r="AQ138" s="723"/>
      <c r="AR138" s="723"/>
      <c r="AS138" s="723"/>
      <c r="AT138" s="723"/>
      <c r="AU138" s="724"/>
    </row>
    <row r="139" spans="2:55">
      <c r="B139" s="684" t="s">
        <v>470</v>
      </c>
      <c r="C139" s="685"/>
      <c r="D139" s="686"/>
      <c r="F139" s="751" t="s">
        <v>630</v>
      </c>
      <c r="G139" s="751"/>
      <c r="I139" s="752" t="s">
        <v>631</v>
      </c>
      <c r="J139" s="752"/>
      <c r="N139" s="754" t="s">
        <v>632</v>
      </c>
      <c r="O139" s="754"/>
      <c r="P139" s="687"/>
      <c r="R139" s="762" t="s">
        <v>633</v>
      </c>
      <c r="S139" s="763"/>
      <c r="T139" s="768"/>
      <c r="U139" s="769"/>
      <c r="V139" s="280"/>
      <c r="W139" s="737" t="s">
        <v>2</v>
      </c>
      <c r="X139" s="738"/>
      <c r="Y139" s="739" t="s">
        <v>356</v>
      </c>
      <c r="Z139" s="739"/>
      <c r="AA139" s="739"/>
      <c r="AB139" s="739"/>
      <c r="AC139" s="739" t="s">
        <v>634</v>
      </c>
      <c r="AD139" s="739"/>
      <c r="AE139" s="739" t="s">
        <v>635</v>
      </c>
      <c r="AF139" s="739"/>
      <c r="AG139" s="739"/>
      <c r="AH139" s="739" t="s">
        <v>32</v>
      </c>
      <c r="AI139" s="739"/>
      <c r="AJ139" s="739"/>
      <c r="AK139" s="739" t="s">
        <v>372</v>
      </c>
      <c r="AL139" s="739"/>
      <c r="AM139" s="739"/>
      <c r="AN139" s="739" t="s">
        <v>15</v>
      </c>
      <c r="AO139" s="739"/>
      <c r="AP139" s="739"/>
      <c r="AQ139" s="743"/>
      <c r="AR139" s="743"/>
      <c r="AS139" s="743"/>
      <c r="AT139" s="743"/>
      <c r="AU139" s="744"/>
    </row>
    <row r="140" spans="2:55">
      <c r="B140" s="287"/>
      <c r="N140" s="754"/>
      <c r="O140" s="754"/>
      <c r="P140" s="687"/>
      <c r="R140" s="764"/>
      <c r="S140" s="765"/>
      <c r="T140" s="770"/>
      <c r="U140" s="771"/>
      <c r="V140" s="280"/>
      <c r="W140" s="740">
        <v>1</v>
      </c>
      <c r="X140" s="741"/>
      <c r="Y140" s="742" t="s">
        <v>376</v>
      </c>
      <c r="Z140" s="742"/>
      <c r="AA140" s="742"/>
      <c r="AB140" s="742"/>
      <c r="AC140" s="733" t="s">
        <v>377</v>
      </c>
      <c r="AD140" s="733"/>
      <c r="AE140" s="736">
        <f>AU136</f>
        <v>64.033460000000005</v>
      </c>
      <c r="AF140" s="733"/>
      <c r="AG140" s="733"/>
      <c r="AH140" s="736">
        <f>AU136</f>
        <v>64.033460000000005</v>
      </c>
      <c r="AI140" s="733"/>
      <c r="AJ140" s="733"/>
      <c r="AK140" s="736">
        <f>AE140-AH140</f>
        <v>0</v>
      </c>
      <c r="AL140" s="736"/>
      <c r="AM140" s="736"/>
      <c r="AN140" s="733"/>
      <c r="AO140" s="733"/>
      <c r="AP140" s="733"/>
      <c r="AQ140" s="734"/>
      <c r="AR140" s="734"/>
      <c r="AS140" s="734"/>
      <c r="AT140" s="734"/>
      <c r="AU140" s="735"/>
    </row>
    <row r="141" spans="2:55">
      <c r="B141" s="688" t="s">
        <v>468</v>
      </c>
      <c r="C141" s="689"/>
      <c r="D141" s="690"/>
      <c r="N141" s="754" t="s">
        <v>636</v>
      </c>
      <c r="O141" s="754"/>
      <c r="P141" s="687"/>
      <c r="R141" s="764"/>
      <c r="S141" s="765"/>
      <c r="T141" s="770"/>
      <c r="U141" s="771"/>
      <c r="V141" s="280"/>
      <c r="W141" s="740">
        <v>2</v>
      </c>
      <c r="X141" s="741"/>
      <c r="Y141" s="742" t="s">
        <v>378</v>
      </c>
      <c r="Z141" s="742"/>
      <c r="AA141" s="742"/>
      <c r="AB141" s="742"/>
      <c r="AC141" s="733" t="s">
        <v>377</v>
      </c>
      <c r="AD141" s="733"/>
      <c r="AE141" s="736">
        <f>AU136</f>
        <v>64.033460000000005</v>
      </c>
      <c r="AF141" s="733"/>
      <c r="AG141" s="733"/>
      <c r="AH141" s="736">
        <f>AU136</f>
        <v>64.033460000000005</v>
      </c>
      <c r="AI141" s="733"/>
      <c r="AJ141" s="733"/>
      <c r="AK141" s="736">
        <f t="shared" ref="AK141:AK148" si="1">AE141-AH141</f>
        <v>0</v>
      </c>
      <c r="AL141" s="736"/>
      <c r="AM141" s="736"/>
      <c r="AN141" s="733"/>
      <c r="AO141" s="733"/>
      <c r="AP141" s="733"/>
      <c r="AQ141" s="734"/>
      <c r="AR141" s="734"/>
      <c r="AS141" s="734"/>
      <c r="AT141" s="734"/>
      <c r="AU141" s="735"/>
    </row>
    <row r="142" spans="2:55">
      <c r="B142" s="287"/>
      <c r="F142" s="275"/>
      <c r="G142" s="274"/>
      <c r="N142" s="754"/>
      <c r="O142" s="754"/>
      <c r="P142" s="687"/>
      <c r="R142" s="766"/>
      <c r="S142" s="767"/>
      <c r="T142" s="772"/>
      <c r="U142" s="773"/>
      <c r="V142" s="280"/>
      <c r="W142" s="740">
        <v>3</v>
      </c>
      <c r="X142" s="741"/>
      <c r="Y142" s="742" t="s">
        <v>379</v>
      </c>
      <c r="Z142" s="742"/>
      <c r="AA142" s="742"/>
      <c r="AB142" s="742"/>
      <c r="AC142" s="733" t="s">
        <v>637</v>
      </c>
      <c r="AD142" s="733"/>
      <c r="AE142" s="733">
        <v>199</v>
      </c>
      <c r="AF142" s="733"/>
      <c r="AG142" s="733"/>
      <c r="AH142" s="733">
        <f>+AW137</f>
        <v>199</v>
      </c>
      <c r="AI142" s="733"/>
      <c r="AJ142" s="733"/>
      <c r="AK142" s="736">
        <f t="shared" si="1"/>
        <v>0</v>
      </c>
      <c r="AL142" s="736"/>
      <c r="AM142" s="736"/>
      <c r="AN142" s="733"/>
      <c r="AO142" s="733"/>
      <c r="AP142" s="733"/>
      <c r="AQ142" s="734"/>
      <c r="AR142" s="734"/>
      <c r="AS142" s="734"/>
      <c r="AT142" s="734"/>
      <c r="AU142" s="735"/>
    </row>
    <row r="143" spans="2:55">
      <c r="B143" s="287"/>
      <c r="E143" s="663"/>
      <c r="F143" s="663"/>
      <c r="H143" s="714"/>
      <c r="I143" s="714"/>
      <c r="K143" s="663"/>
      <c r="L143" s="663"/>
      <c r="N143" s="754" t="s">
        <v>638</v>
      </c>
      <c r="O143" s="754"/>
      <c r="P143" s="687"/>
      <c r="R143" s="762" t="s">
        <v>452</v>
      </c>
      <c r="S143" s="763"/>
      <c r="T143" s="768"/>
      <c r="U143" s="769"/>
      <c r="V143" s="280"/>
      <c r="W143" s="740">
        <v>4</v>
      </c>
      <c r="X143" s="741"/>
      <c r="Y143" s="742" t="s">
        <v>381</v>
      </c>
      <c r="Z143" s="742"/>
      <c r="AA143" s="742"/>
      <c r="AB143" s="742"/>
      <c r="AC143" s="733" t="s">
        <v>637</v>
      </c>
      <c r="AD143" s="733"/>
      <c r="AE143" s="733">
        <v>199</v>
      </c>
      <c r="AF143" s="733"/>
      <c r="AG143" s="733"/>
      <c r="AH143" s="733">
        <f>AX137</f>
        <v>199</v>
      </c>
      <c r="AI143" s="733"/>
      <c r="AJ143" s="733"/>
      <c r="AK143" s="736">
        <f t="shared" si="1"/>
        <v>0</v>
      </c>
      <c r="AL143" s="736"/>
      <c r="AM143" s="736"/>
      <c r="AN143" s="733"/>
      <c r="AO143" s="733"/>
      <c r="AP143" s="733"/>
      <c r="AQ143" s="734"/>
      <c r="AR143" s="734"/>
      <c r="AS143" s="734"/>
      <c r="AT143" s="734"/>
      <c r="AU143" s="735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54"/>
      <c r="O144" s="754"/>
      <c r="P144" s="687"/>
      <c r="R144" s="764"/>
      <c r="S144" s="765"/>
      <c r="T144" s="770"/>
      <c r="U144" s="771"/>
      <c r="V144" s="280"/>
      <c r="W144" s="740">
        <v>5</v>
      </c>
      <c r="X144" s="741"/>
      <c r="Y144" s="742" t="s">
        <v>468</v>
      </c>
      <c r="Z144" s="742"/>
      <c r="AA144" s="742"/>
      <c r="AB144" s="742"/>
      <c r="AC144" s="733" t="s">
        <v>637</v>
      </c>
      <c r="AD144" s="733"/>
      <c r="AE144" s="733">
        <v>199</v>
      </c>
      <c r="AF144" s="733"/>
      <c r="AG144" s="733"/>
      <c r="AH144" s="736">
        <f>AY137</f>
        <v>199</v>
      </c>
      <c r="AI144" s="733"/>
      <c r="AJ144" s="733"/>
      <c r="AK144" s="736">
        <f t="shared" si="1"/>
        <v>0</v>
      </c>
      <c r="AL144" s="736"/>
      <c r="AM144" s="736"/>
      <c r="AN144" s="733"/>
      <c r="AO144" s="733"/>
      <c r="AP144" s="733"/>
      <c r="AQ144" s="734"/>
      <c r="AR144" s="734"/>
      <c r="AS144" s="734"/>
      <c r="AT144" s="734"/>
      <c r="AU144" s="735"/>
    </row>
    <row r="145" spans="2:47">
      <c r="B145" s="691" t="s">
        <v>379</v>
      </c>
      <c r="C145" s="692"/>
      <c r="D145" s="693"/>
      <c r="E145" s="291"/>
      <c r="F145" s="291"/>
      <c r="G145" s="282"/>
      <c r="H145" s="289"/>
      <c r="I145" s="289"/>
      <c r="K145" s="290"/>
      <c r="L145" s="289"/>
      <c r="M145" s="282"/>
      <c r="N145" s="754" t="s">
        <v>639</v>
      </c>
      <c r="O145" s="754"/>
      <c r="P145" s="687"/>
      <c r="R145" s="764"/>
      <c r="S145" s="765"/>
      <c r="T145" s="770"/>
      <c r="U145" s="771"/>
      <c r="V145" s="280"/>
      <c r="W145" s="740">
        <v>6</v>
      </c>
      <c r="X145" s="741"/>
      <c r="Y145" s="742" t="s">
        <v>640</v>
      </c>
      <c r="Z145" s="742"/>
      <c r="AA145" s="742"/>
      <c r="AB145" s="742"/>
      <c r="AC145" s="733" t="s">
        <v>637</v>
      </c>
      <c r="AD145" s="733"/>
      <c r="AE145" s="733">
        <v>199</v>
      </c>
      <c r="AF145" s="733"/>
      <c r="AG145" s="733"/>
      <c r="AH145" s="736">
        <f>AZ137</f>
        <v>194</v>
      </c>
      <c r="AI145" s="733"/>
      <c r="AJ145" s="733"/>
      <c r="AK145" s="736">
        <f t="shared" si="1"/>
        <v>5</v>
      </c>
      <c r="AL145" s="736"/>
      <c r="AM145" s="736"/>
      <c r="AN145" s="733"/>
      <c r="AO145" s="733"/>
      <c r="AP145" s="733"/>
      <c r="AQ145" s="734"/>
      <c r="AR145" s="734"/>
      <c r="AS145" s="734"/>
      <c r="AT145" s="734"/>
      <c r="AU145" s="735"/>
    </row>
    <row r="146" spans="2:47">
      <c r="B146" s="286" t="s">
        <v>641</v>
      </c>
      <c r="C146" s="285"/>
      <c r="E146" s="697" t="s">
        <v>38</v>
      </c>
      <c r="F146" s="697"/>
      <c r="G146" s="288">
        <v>293</v>
      </c>
      <c r="H146" s="698" t="s">
        <v>41</v>
      </c>
      <c r="I146" s="697"/>
      <c r="J146" s="283">
        <v>391</v>
      </c>
      <c r="K146" s="699" t="s">
        <v>45</v>
      </c>
      <c r="L146" s="700"/>
      <c r="M146" s="282"/>
      <c r="N146" s="754"/>
      <c r="O146" s="754"/>
      <c r="P146" s="687"/>
      <c r="R146" s="766"/>
      <c r="S146" s="767"/>
      <c r="T146" s="772"/>
      <c r="U146" s="773"/>
      <c r="V146" s="280"/>
      <c r="W146" s="740">
        <v>7</v>
      </c>
      <c r="X146" s="741"/>
      <c r="Y146" s="742" t="s">
        <v>642</v>
      </c>
      <c r="Z146" s="742"/>
      <c r="AA146" s="742"/>
      <c r="AB146" s="742"/>
      <c r="AC146" s="733" t="s">
        <v>377</v>
      </c>
      <c r="AD146" s="733"/>
      <c r="AE146" s="736">
        <f>AU136</f>
        <v>64.033460000000005</v>
      </c>
      <c r="AF146" s="733"/>
      <c r="AG146" s="733"/>
      <c r="AH146" s="745">
        <f>BA137</f>
        <v>61.141999999999996</v>
      </c>
      <c r="AI146" s="745"/>
      <c r="AJ146" s="745"/>
      <c r="AK146" s="745">
        <f t="shared" si="1"/>
        <v>2.8914600000000092</v>
      </c>
      <c r="AL146" s="745"/>
      <c r="AM146" s="745"/>
      <c r="AN146" s="742"/>
      <c r="AO146" s="742"/>
      <c r="AP146" s="742"/>
      <c r="AQ146" s="749"/>
      <c r="AR146" s="749"/>
      <c r="AS146" s="749"/>
      <c r="AT146" s="749"/>
      <c r="AU146" s="750"/>
    </row>
    <row r="147" spans="2:47">
      <c r="B147" s="286" t="s">
        <v>399</v>
      </c>
      <c r="C147" s="285"/>
      <c r="E147" s="665" t="s">
        <v>39</v>
      </c>
      <c r="F147" s="665"/>
      <c r="H147" s="665" t="s">
        <v>37</v>
      </c>
      <c r="I147" s="665"/>
      <c r="J147" s="283"/>
      <c r="K147" s="695" t="s">
        <v>46</v>
      </c>
      <c r="L147" s="696"/>
      <c r="M147" s="282"/>
      <c r="N147" s="754" t="s">
        <v>666</v>
      </c>
      <c r="O147" s="754"/>
      <c r="P147" s="687"/>
      <c r="R147" s="675" t="s">
        <v>667</v>
      </c>
      <c r="S147" s="675"/>
      <c r="T147" s="682"/>
      <c r="U147" s="682"/>
      <c r="V147" s="280"/>
      <c r="W147" s="740">
        <v>8</v>
      </c>
      <c r="X147" s="741"/>
      <c r="Y147" s="742" t="s">
        <v>668</v>
      </c>
      <c r="Z147" s="742"/>
      <c r="AA147" s="742"/>
      <c r="AB147" s="742"/>
      <c r="AC147" s="733" t="s">
        <v>377</v>
      </c>
      <c r="AD147" s="733"/>
      <c r="AE147" s="736">
        <f>AU136</f>
        <v>64.033460000000005</v>
      </c>
      <c r="AF147" s="733"/>
      <c r="AG147" s="733"/>
      <c r="AH147" s="745">
        <f>BB137</f>
        <v>61.141999999999996</v>
      </c>
      <c r="AI147" s="745"/>
      <c r="AJ147" s="745"/>
      <c r="AK147" s="745">
        <f t="shared" si="1"/>
        <v>2.8914600000000092</v>
      </c>
      <c r="AL147" s="745"/>
      <c r="AM147" s="745"/>
      <c r="AN147" s="733"/>
      <c r="AO147" s="733"/>
      <c r="AP147" s="733"/>
      <c r="AQ147" s="734"/>
      <c r="AR147" s="734"/>
      <c r="AS147" s="734"/>
      <c r="AT147" s="734"/>
      <c r="AU147" s="735"/>
    </row>
    <row r="148" spans="2:47" ht="15.75" thickBot="1">
      <c r="B148" s="279"/>
      <c r="C148" s="278"/>
      <c r="D148" s="277"/>
      <c r="E148" s="278"/>
      <c r="F148" s="694" t="s">
        <v>381</v>
      </c>
      <c r="G148" s="694"/>
      <c r="H148" s="278"/>
      <c r="I148" s="278"/>
      <c r="J148" s="753" t="s">
        <v>645</v>
      </c>
      <c r="K148" s="753"/>
      <c r="L148" s="753"/>
      <c r="M148" s="277"/>
      <c r="N148" s="755"/>
      <c r="O148" s="755"/>
      <c r="P148" s="761"/>
      <c r="Q148" s="277"/>
      <c r="R148" s="676"/>
      <c r="S148" s="676"/>
      <c r="T148" s="683"/>
      <c r="U148" s="683"/>
      <c r="V148" s="276"/>
      <c r="W148" s="757">
        <v>9</v>
      </c>
      <c r="X148" s="758"/>
      <c r="Y148" s="759" t="s">
        <v>390</v>
      </c>
      <c r="Z148" s="759"/>
      <c r="AA148" s="759"/>
      <c r="AB148" s="759"/>
      <c r="AC148" s="746" t="s">
        <v>377</v>
      </c>
      <c r="AD148" s="746"/>
      <c r="AE148" s="736">
        <f>AU136</f>
        <v>64.033460000000005</v>
      </c>
      <c r="AF148" s="733"/>
      <c r="AG148" s="733"/>
      <c r="AH148" s="760">
        <f>BC137</f>
        <v>54</v>
      </c>
      <c r="AI148" s="746"/>
      <c r="AJ148" s="746"/>
      <c r="AK148" s="736">
        <f t="shared" si="1"/>
        <v>10.033460000000005</v>
      </c>
      <c r="AL148" s="736"/>
      <c r="AM148" s="736"/>
      <c r="AN148" s="746"/>
      <c r="AO148" s="746"/>
      <c r="AP148" s="746"/>
      <c r="AQ148" s="747"/>
      <c r="AR148" s="747"/>
      <c r="AS148" s="747"/>
      <c r="AT148" s="747"/>
      <c r="AU148" s="748"/>
    </row>
    <row r="151" spans="2:47">
      <c r="AH151" s="756"/>
      <c r="AI151" s="756"/>
    </row>
    <row r="153" spans="2:47">
      <c r="AH153" s="306"/>
    </row>
    <row r="155" spans="2:47">
      <c r="AH155" s="665"/>
      <c r="AI155" s="665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8" activePane="bottomLeft" state="frozen"/>
      <selection sqref="A1:H1"/>
      <selection pane="bottomLeft" activeCell="AV28" sqref="AV28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49" t="str">
        <f>+[1]Summary!A2</f>
        <v>Name of the Line: 220KV DC AL59 line from Neemuch - Chanderiya + 132KV DC ACSS Line from Chanderiya to Hindustan Zinc</v>
      </c>
      <c r="B1" s="850"/>
      <c r="C1" s="85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850"/>
      <c r="P1" s="850"/>
      <c r="Q1" s="850"/>
      <c r="R1" s="850"/>
      <c r="S1" s="850"/>
      <c r="T1" s="850"/>
      <c r="U1" s="850"/>
      <c r="V1" s="850"/>
      <c r="W1" s="850"/>
      <c r="X1" s="850"/>
      <c r="Y1" s="850"/>
      <c r="Z1" s="850"/>
      <c r="AA1" s="850"/>
      <c r="AB1" s="850"/>
      <c r="AC1" s="850"/>
      <c r="AD1" s="850"/>
      <c r="AE1" s="850"/>
      <c r="AF1" s="850"/>
      <c r="AG1" s="850"/>
      <c r="AH1" s="850"/>
      <c r="AI1" s="850"/>
      <c r="AJ1" s="850"/>
      <c r="AK1" s="850"/>
      <c r="AL1" s="850"/>
      <c r="AM1" s="850"/>
      <c r="AN1" s="850"/>
      <c r="AO1" s="850"/>
      <c r="AP1" s="850"/>
      <c r="AQ1" s="851"/>
      <c r="AS1" s="728">
        <f>Summary!R5</f>
        <v>46182</v>
      </c>
      <c r="AT1" s="728"/>
      <c r="AU1" s="728"/>
      <c r="AV1" s="728"/>
      <c r="AW1" s="728"/>
      <c r="AX1" s="728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852" t="s">
        <v>619</v>
      </c>
      <c r="R2" s="852"/>
      <c r="S2" s="852"/>
      <c r="T2" s="852"/>
      <c r="U2" s="852"/>
      <c r="V2" s="852"/>
      <c r="W2" s="852"/>
      <c r="X2" s="852"/>
      <c r="Y2" s="852"/>
      <c r="Z2" s="852"/>
      <c r="AA2" s="852"/>
      <c r="AB2" s="460"/>
      <c r="AC2" s="297"/>
      <c r="AD2" s="297"/>
      <c r="AE2" s="297"/>
      <c r="AF2" s="297"/>
      <c r="AG2" s="297"/>
      <c r="AH2" s="460"/>
      <c r="AI2" s="297"/>
      <c r="AJ2" s="297"/>
      <c r="AK2" s="853" t="s">
        <v>26</v>
      </c>
      <c r="AL2" s="853"/>
      <c r="AM2" s="853"/>
      <c r="AN2" s="860">
        <f>AS1</f>
        <v>46182</v>
      </c>
      <c r="AO2" s="860"/>
      <c r="AP2" s="860"/>
      <c r="AQ2" s="861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4"/>
      <c r="H3" s="525"/>
      <c r="I3" s="525"/>
      <c r="J3" s="526"/>
      <c r="K3" s="525"/>
      <c r="L3" s="525"/>
      <c r="M3" s="526"/>
      <c r="N3" s="525"/>
      <c r="O3" s="525"/>
      <c r="P3" s="526"/>
      <c r="Q3" s="525"/>
      <c r="R3" s="525"/>
      <c r="S3" s="526"/>
      <c r="T3" s="525"/>
      <c r="U3" s="525"/>
      <c r="V3" s="526"/>
      <c r="W3" s="525"/>
      <c r="X3" s="525"/>
      <c r="Y3" s="526"/>
      <c r="Z3" s="525"/>
      <c r="AA3" s="525"/>
      <c r="AB3" s="526"/>
      <c r="AC3" s="525"/>
      <c r="AD3" s="525"/>
      <c r="AE3" s="525"/>
      <c r="AF3" s="525"/>
      <c r="AG3" s="525"/>
      <c r="AH3" s="527"/>
      <c r="AI3" s="528"/>
      <c r="AJ3" s="528"/>
      <c r="AK3" s="527"/>
      <c r="AL3" s="528"/>
      <c r="AM3" s="528"/>
      <c r="AN3" s="527"/>
      <c r="AO3" s="528"/>
      <c r="AP3" s="528"/>
      <c r="AQ3" s="529"/>
    </row>
    <row r="4" spans="1:60">
      <c r="A4" s="367"/>
      <c r="G4" s="530"/>
      <c r="H4" s="854" t="s">
        <v>757</v>
      </c>
      <c r="I4" s="855"/>
      <c r="J4" s="531"/>
      <c r="K4" s="532"/>
      <c r="L4" s="532"/>
      <c r="M4" s="533"/>
      <c r="N4" s="532"/>
      <c r="O4" s="532"/>
      <c r="P4" s="531"/>
      <c r="Q4" s="532"/>
      <c r="R4" s="532"/>
      <c r="S4" s="531"/>
      <c r="T4" s="532"/>
      <c r="U4" s="532"/>
      <c r="V4" s="531"/>
      <c r="W4" s="532"/>
      <c r="X4" s="532"/>
      <c r="Y4" s="531"/>
      <c r="Z4" s="532"/>
      <c r="AA4" s="532"/>
      <c r="AB4" s="531"/>
      <c r="AC4" s="532"/>
      <c r="AD4" s="532"/>
      <c r="AE4" s="532"/>
      <c r="AF4" s="532"/>
      <c r="AG4" s="532"/>
      <c r="AH4" s="531"/>
      <c r="AI4" s="532"/>
      <c r="AJ4" s="532"/>
      <c r="AK4" s="531"/>
      <c r="AL4" s="532"/>
      <c r="AM4" s="532"/>
      <c r="AN4" s="531"/>
      <c r="AO4" s="532"/>
      <c r="AP4" s="532"/>
      <c r="AQ4" s="534"/>
    </row>
    <row r="5" spans="1:60" ht="14.45" customHeight="1">
      <c r="A5" s="368"/>
      <c r="B5" s="559"/>
      <c r="C5" s="559"/>
      <c r="D5" s="559"/>
      <c r="G5" s="535"/>
      <c r="H5" s="856"/>
      <c r="I5" s="857"/>
      <c r="J5" s="533"/>
      <c r="K5" s="848"/>
      <c r="L5" s="848"/>
      <c r="M5" s="533"/>
      <c r="N5" s="848"/>
      <c r="O5" s="848"/>
      <c r="P5" s="533"/>
      <c r="Q5" s="848"/>
      <c r="R5" s="848"/>
      <c r="S5" s="533"/>
      <c r="T5" s="848"/>
      <c r="U5" s="848"/>
      <c r="V5" s="533"/>
      <c r="W5" s="848"/>
      <c r="X5" s="848"/>
      <c r="Y5" s="533"/>
      <c r="Z5" s="794"/>
      <c r="AA5" s="794"/>
      <c r="AB5" s="533"/>
      <c r="AC5" s="848"/>
      <c r="AD5" s="848"/>
      <c r="AE5" s="536"/>
      <c r="AF5" s="848"/>
      <c r="AG5" s="848"/>
      <c r="AH5" s="533"/>
      <c r="AI5" s="848"/>
      <c r="AJ5" s="848"/>
      <c r="AK5" s="533"/>
      <c r="AL5" s="848"/>
      <c r="AM5" s="848"/>
      <c r="AN5" s="533"/>
      <c r="AO5" s="848"/>
      <c r="AP5" s="848"/>
      <c r="AQ5" s="537"/>
    </row>
    <row r="6" spans="1:60" ht="15.75" customHeight="1">
      <c r="A6" s="368"/>
      <c r="B6" s="559"/>
      <c r="C6" s="559"/>
      <c r="D6" s="559"/>
      <c r="G6" s="538"/>
      <c r="H6" s="856"/>
      <c r="I6" s="857"/>
      <c r="J6" s="539"/>
      <c r="K6" s="523"/>
      <c r="L6" s="523"/>
      <c r="M6" s="539"/>
      <c r="N6" s="523"/>
      <c r="O6" s="523"/>
      <c r="P6" s="539"/>
      <c r="Q6" s="523"/>
      <c r="R6" s="523"/>
      <c r="S6" s="539"/>
      <c r="T6" s="523"/>
      <c r="U6" s="523"/>
      <c r="V6" s="539"/>
      <c r="W6" s="523"/>
      <c r="X6" s="523"/>
      <c r="Y6" s="539"/>
      <c r="Z6" s="523"/>
      <c r="AA6" s="523"/>
      <c r="AB6" s="539"/>
      <c r="AC6" s="523"/>
      <c r="AD6" s="523"/>
      <c r="AE6" s="540"/>
      <c r="AF6" s="513"/>
      <c r="AG6" s="513"/>
      <c r="AH6" s="539"/>
      <c r="AI6" s="513"/>
      <c r="AJ6" s="513"/>
      <c r="AK6" s="539"/>
      <c r="AL6" s="513"/>
      <c r="AM6" s="513"/>
      <c r="AN6" s="539"/>
      <c r="AO6" s="513"/>
      <c r="AP6" s="513"/>
      <c r="AQ6" s="541"/>
      <c r="AS6" s="281"/>
      <c r="AT6" s="281"/>
      <c r="AU6" s="281"/>
      <c r="AV6" s="281"/>
      <c r="AW6" s="281"/>
      <c r="AX6" s="281"/>
    </row>
    <row r="7" spans="1:60" ht="15.75" thickBot="1">
      <c r="A7" s="368"/>
      <c r="B7" s="559"/>
      <c r="C7" s="559"/>
      <c r="D7" s="559"/>
      <c r="G7" s="538"/>
      <c r="H7" s="858"/>
      <c r="I7" s="859"/>
      <c r="J7" s="539"/>
      <c r="K7" s="523"/>
      <c r="L7" s="523"/>
      <c r="M7" s="539"/>
      <c r="N7" s="523"/>
      <c r="O7" s="523"/>
      <c r="P7" s="539"/>
      <c r="Q7" s="523"/>
      <c r="R7" s="523"/>
      <c r="S7" s="539"/>
      <c r="T7" s="523"/>
      <c r="U7" s="523"/>
      <c r="V7" s="539"/>
      <c r="W7" s="523"/>
      <c r="X7" s="523"/>
      <c r="Y7" s="539"/>
      <c r="Z7" s="523"/>
      <c r="AA7" s="523"/>
      <c r="AB7" s="539"/>
      <c r="AC7" s="523"/>
      <c r="AD7" s="523"/>
      <c r="AE7" s="540"/>
      <c r="AF7" s="513"/>
      <c r="AG7" s="513"/>
      <c r="AH7" s="539"/>
      <c r="AI7" s="513"/>
      <c r="AJ7" s="513"/>
      <c r="AK7" s="539"/>
      <c r="AL7" s="513"/>
      <c r="AM7" s="513"/>
      <c r="AN7" s="539"/>
      <c r="AO7" s="513"/>
      <c r="AP7" s="513"/>
      <c r="AQ7" s="537"/>
    </row>
    <row r="8" spans="1:60" s="299" customFormat="1">
      <c r="A8" s="368"/>
      <c r="B8" s="667"/>
      <c r="C8" s="667"/>
      <c r="D8" s="462"/>
      <c r="E8" s="667"/>
      <c r="F8" s="667"/>
      <c r="G8" s="538"/>
      <c r="H8" s="536"/>
      <c r="I8" s="536"/>
      <c r="J8" s="542">
        <v>58.79</v>
      </c>
      <c r="K8" s="542"/>
      <c r="L8" s="533"/>
      <c r="M8" s="542">
        <v>149.12</v>
      </c>
      <c r="N8" s="533"/>
      <c r="O8" s="542"/>
      <c r="P8" s="542">
        <v>128.1</v>
      </c>
      <c r="Q8" s="542"/>
      <c r="R8" s="533"/>
      <c r="S8" s="542">
        <v>252.72</v>
      </c>
      <c r="T8" s="533"/>
      <c r="U8" s="542"/>
      <c r="V8" s="542">
        <v>146.74</v>
      </c>
      <c r="W8" s="542"/>
      <c r="X8" s="533"/>
      <c r="Y8" s="542">
        <v>190.05</v>
      </c>
      <c r="Z8" s="533"/>
      <c r="AA8" s="533"/>
      <c r="AB8" s="542">
        <v>83.39</v>
      </c>
      <c r="AC8" s="533"/>
      <c r="AD8" s="533"/>
      <c r="AE8" s="543">
        <v>120.53</v>
      </c>
      <c r="AF8" s="794"/>
      <c r="AG8" s="794"/>
      <c r="AH8" s="542">
        <v>259.51</v>
      </c>
      <c r="AI8" s="542"/>
      <c r="AJ8" s="536"/>
      <c r="AK8" s="542">
        <v>256.61</v>
      </c>
      <c r="AL8" s="536"/>
      <c r="AM8" s="542"/>
      <c r="AN8" s="542">
        <v>277.95</v>
      </c>
      <c r="AO8" s="542"/>
      <c r="AP8" s="536"/>
      <c r="AQ8" s="544">
        <v>202.25</v>
      </c>
    </row>
    <row r="9" spans="1:60" ht="14.45" customHeight="1">
      <c r="A9" s="368"/>
      <c r="B9" s="667"/>
      <c r="C9" s="667"/>
      <c r="D9" s="461"/>
      <c r="E9" s="667"/>
      <c r="F9" s="667"/>
      <c r="G9" s="535"/>
      <c r="H9" s="797"/>
      <c r="I9" s="797"/>
      <c r="J9" s="531"/>
      <c r="K9" s="797" t="s">
        <v>756</v>
      </c>
      <c r="L9" s="797"/>
      <c r="M9" s="531"/>
      <c r="N9" s="797" t="s">
        <v>755</v>
      </c>
      <c r="O9" s="797"/>
      <c r="P9" s="531"/>
      <c r="Q9" s="797" t="s">
        <v>754</v>
      </c>
      <c r="R9" s="797"/>
      <c r="S9" s="531"/>
      <c r="T9" s="797" t="s">
        <v>753</v>
      </c>
      <c r="U9" s="797"/>
      <c r="V9" s="531"/>
      <c r="W9" s="797" t="s">
        <v>752</v>
      </c>
      <c r="X9" s="797"/>
      <c r="Y9" s="531"/>
      <c r="Z9" s="797" t="s">
        <v>751</v>
      </c>
      <c r="AA9" s="797"/>
      <c r="AB9" s="531"/>
      <c r="AC9" s="797" t="s">
        <v>750</v>
      </c>
      <c r="AD9" s="797"/>
      <c r="AE9" s="532"/>
      <c r="AF9" s="794" t="s">
        <v>733</v>
      </c>
      <c r="AG9" s="794"/>
      <c r="AH9" s="536"/>
      <c r="AI9" s="794" t="s">
        <v>709</v>
      </c>
      <c r="AJ9" s="794"/>
      <c r="AK9" s="536"/>
      <c r="AL9" s="794" t="s">
        <v>749</v>
      </c>
      <c r="AM9" s="794"/>
      <c r="AN9" s="536"/>
      <c r="AO9" s="794" t="s">
        <v>713</v>
      </c>
      <c r="AP9" s="794"/>
      <c r="AQ9" s="534"/>
    </row>
    <row r="10" spans="1:60" ht="14.45" customHeight="1" thickBot="1">
      <c r="A10" s="368"/>
      <c r="B10" s="299"/>
      <c r="C10" s="299"/>
      <c r="D10" s="461"/>
      <c r="E10" s="299"/>
      <c r="F10" s="299"/>
      <c r="G10" s="545"/>
      <c r="H10" s="798"/>
      <c r="I10" s="798"/>
      <c r="J10" s="546"/>
      <c r="K10" s="798"/>
      <c r="L10" s="798"/>
      <c r="M10" s="546"/>
      <c r="N10" s="798"/>
      <c r="O10" s="798"/>
      <c r="P10" s="546"/>
      <c r="Q10" s="798"/>
      <c r="R10" s="798"/>
      <c r="S10" s="546"/>
      <c r="T10" s="798"/>
      <c r="U10" s="798"/>
      <c r="V10" s="546"/>
      <c r="W10" s="798"/>
      <c r="X10" s="798"/>
      <c r="Y10" s="546"/>
      <c r="Z10" s="798"/>
      <c r="AA10" s="798"/>
      <c r="AB10" s="546"/>
      <c r="AC10" s="798"/>
      <c r="AD10" s="798"/>
      <c r="AE10" s="547"/>
      <c r="AF10" s="796" t="s">
        <v>54</v>
      </c>
      <c r="AG10" s="796"/>
      <c r="AH10" s="546"/>
      <c r="AI10" s="796" t="s">
        <v>54</v>
      </c>
      <c r="AJ10" s="796"/>
      <c r="AK10" s="546"/>
      <c r="AL10" s="796" t="s">
        <v>54</v>
      </c>
      <c r="AM10" s="796"/>
      <c r="AN10" s="546"/>
      <c r="AO10" s="796" t="s">
        <v>34</v>
      </c>
      <c r="AP10" s="796"/>
      <c r="AQ10" s="549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2"/>
      <c r="AD11" s="522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4"/>
      <c r="C12" s="525"/>
      <c r="D12" s="526"/>
      <c r="E12" s="787" t="s">
        <v>748</v>
      </c>
      <c r="F12" s="788"/>
      <c r="G12" s="526"/>
      <c r="H12" s="525"/>
      <c r="I12" s="525"/>
      <c r="J12" s="526"/>
      <c r="K12" s="525"/>
      <c r="L12" s="525"/>
      <c r="M12" s="526"/>
      <c r="N12" s="525"/>
      <c r="O12" s="525"/>
      <c r="P12" s="555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847"/>
      <c r="C13" s="848"/>
      <c r="D13" s="533"/>
      <c r="E13" s="789"/>
      <c r="F13" s="790"/>
      <c r="G13" s="533"/>
      <c r="H13" s="848"/>
      <c r="I13" s="848"/>
      <c r="J13" s="533"/>
      <c r="K13" s="848"/>
      <c r="L13" s="848"/>
      <c r="M13" s="533"/>
      <c r="N13" s="848"/>
      <c r="O13" s="848"/>
      <c r="P13" s="537"/>
      <c r="Q13" s="800"/>
      <c r="R13" s="800"/>
      <c r="S13" s="461"/>
      <c r="T13" s="800"/>
      <c r="U13" s="800"/>
      <c r="V13" s="461"/>
      <c r="W13" s="800"/>
      <c r="X13" s="800"/>
      <c r="Y13" s="461"/>
      <c r="Z13" s="800"/>
      <c r="AA13" s="800"/>
      <c r="AB13" s="461"/>
      <c r="AC13" s="667"/>
      <c r="AD13" s="667"/>
      <c r="AE13" s="299"/>
      <c r="AF13" s="800"/>
      <c r="AG13" s="800"/>
      <c r="AH13" s="461"/>
      <c r="AI13" s="800"/>
      <c r="AJ13" s="800"/>
      <c r="AK13" s="461"/>
      <c r="AL13" s="800"/>
      <c r="AM13" s="800"/>
      <c r="AN13" s="461"/>
      <c r="AO13" s="800"/>
      <c r="AP13" s="800"/>
      <c r="AQ13" s="470"/>
    </row>
    <row r="14" spans="1:60">
      <c r="A14" s="368"/>
      <c r="B14" s="514"/>
      <c r="C14" s="513"/>
      <c r="D14" s="539"/>
      <c r="E14" s="789"/>
      <c r="F14" s="790"/>
      <c r="G14" s="539"/>
      <c r="H14" s="369"/>
      <c r="I14" s="369"/>
      <c r="J14" s="539"/>
      <c r="K14" s="369"/>
      <c r="L14" s="369"/>
      <c r="M14" s="539"/>
      <c r="N14" s="369"/>
      <c r="O14" s="369"/>
      <c r="P14" s="541"/>
      <c r="Q14" s="553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514"/>
      <c r="C15" s="513"/>
      <c r="D15" s="533"/>
      <c r="E15" s="791"/>
      <c r="F15" s="792"/>
      <c r="G15" s="539"/>
      <c r="H15" s="369"/>
      <c r="I15" s="369"/>
      <c r="J15" s="539"/>
      <c r="K15" s="369"/>
      <c r="L15" s="369"/>
      <c r="M15" s="533"/>
      <c r="N15" s="369"/>
      <c r="O15" s="369"/>
      <c r="P15" s="541"/>
      <c r="Q15" s="553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50"/>
      <c r="C16" s="536"/>
      <c r="D16" s="551">
        <v>62.76</v>
      </c>
      <c r="E16" s="536"/>
      <c r="F16" s="536"/>
      <c r="G16" s="536">
        <v>48</v>
      </c>
      <c r="H16" s="536"/>
      <c r="I16" s="536"/>
      <c r="J16" s="552">
        <v>230.15</v>
      </c>
      <c r="K16" s="536"/>
      <c r="L16" s="536"/>
      <c r="M16" s="552">
        <v>234.56</v>
      </c>
      <c r="N16" s="536"/>
      <c r="O16" s="536"/>
      <c r="P16" s="556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793" t="s">
        <v>714</v>
      </c>
      <c r="C17" s="794"/>
      <c r="D17" s="531"/>
      <c r="E17" s="532"/>
      <c r="F17" s="532"/>
      <c r="G17" s="531"/>
      <c r="H17" s="862" t="s">
        <v>38</v>
      </c>
      <c r="I17" s="862"/>
      <c r="J17" s="531"/>
      <c r="K17" s="794" t="s">
        <v>64</v>
      </c>
      <c r="L17" s="794"/>
      <c r="M17" s="531"/>
      <c r="N17" s="863" t="s">
        <v>344</v>
      </c>
      <c r="O17" s="863"/>
      <c r="P17" s="534"/>
      <c r="Q17" s="667" t="s">
        <v>67</v>
      </c>
      <c r="R17" s="667"/>
      <c r="T17" s="716" t="s">
        <v>310</v>
      </c>
      <c r="U17" s="716"/>
      <c r="W17" s="667" t="s">
        <v>69</v>
      </c>
      <c r="X17" s="667"/>
      <c r="Z17" s="845" t="s">
        <v>71</v>
      </c>
      <c r="AA17" s="716"/>
      <c r="AC17" s="845" t="s">
        <v>72</v>
      </c>
      <c r="AD17" s="716"/>
      <c r="AF17" s="845" t="s">
        <v>93</v>
      </c>
      <c r="AG17" s="667"/>
      <c r="AI17" s="716" t="s">
        <v>104</v>
      </c>
      <c r="AJ17" s="667"/>
      <c r="AL17" s="845" t="s">
        <v>696</v>
      </c>
      <c r="AM17" s="667"/>
      <c r="AO17" s="716" t="s">
        <v>697</v>
      </c>
      <c r="AP17" s="667"/>
    </row>
    <row r="18" spans="1:50" ht="15.75" thickBot="1">
      <c r="A18" s="368"/>
      <c r="B18" s="795" t="s">
        <v>34</v>
      </c>
      <c r="C18" s="796"/>
      <c r="D18" s="557"/>
      <c r="E18" s="548"/>
      <c r="F18" s="548"/>
      <c r="G18" s="557"/>
      <c r="H18" s="796" t="s">
        <v>34</v>
      </c>
      <c r="I18" s="796"/>
      <c r="J18" s="557"/>
      <c r="K18" s="796" t="s">
        <v>34</v>
      </c>
      <c r="L18" s="796"/>
      <c r="M18" s="557"/>
      <c r="N18" s="796" t="s">
        <v>62</v>
      </c>
      <c r="O18" s="796"/>
      <c r="P18" s="558"/>
      <c r="Q18" s="667" t="s">
        <v>34</v>
      </c>
      <c r="R18" s="667"/>
      <c r="S18" s="461"/>
      <c r="T18" s="667" t="s">
        <v>37</v>
      </c>
      <c r="U18" s="667"/>
      <c r="V18" s="461"/>
      <c r="W18" s="667" t="s">
        <v>34</v>
      </c>
      <c r="X18" s="667"/>
      <c r="Y18" s="461"/>
      <c r="Z18" s="667" t="s">
        <v>625</v>
      </c>
      <c r="AA18" s="667"/>
      <c r="AB18" s="461"/>
      <c r="AC18" s="667" t="s">
        <v>625</v>
      </c>
      <c r="AD18" s="667"/>
      <c r="AE18" s="299"/>
      <c r="AF18" s="667" t="s">
        <v>34</v>
      </c>
      <c r="AG18" s="667"/>
      <c r="AH18" s="461"/>
      <c r="AI18" s="667" t="s">
        <v>51</v>
      </c>
      <c r="AJ18" s="667"/>
      <c r="AK18" s="461"/>
      <c r="AL18" s="667" t="s">
        <v>56</v>
      </c>
      <c r="AM18" s="667"/>
      <c r="AN18" s="461"/>
      <c r="AO18" s="667" t="s">
        <v>56</v>
      </c>
      <c r="AP18" s="667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800"/>
      <c r="C21" s="800"/>
      <c r="D21" s="461"/>
      <c r="E21" s="800"/>
      <c r="F21" s="800"/>
      <c r="G21" s="461"/>
      <c r="H21" s="800"/>
      <c r="I21" s="800"/>
      <c r="J21" s="461"/>
      <c r="K21" s="800"/>
      <c r="L21" s="800"/>
      <c r="M21" s="461"/>
      <c r="N21" s="800"/>
      <c r="O21" s="800"/>
      <c r="P21" s="461"/>
      <c r="Q21" s="800"/>
      <c r="R21" s="800"/>
      <c r="S21" s="461"/>
      <c r="T21" s="800"/>
      <c r="U21" s="800"/>
      <c r="V21" s="461"/>
      <c r="W21" s="800"/>
      <c r="X21" s="800"/>
      <c r="Y21" s="461"/>
      <c r="Z21" s="667"/>
      <c r="AA21" s="667"/>
      <c r="AB21" s="461"/>
      <c r="AC21" s="667"/>
      <c r="AD21" s="667"/>
      <c r="AE21" s="299"/>
      <c r="AF21" s="667"/>
      <c r="AG21" s="667"/>
      <c r="AH21" s="461"/>
      <c r="AI21" s="667"/>
      <c r="AJ21" s="667"/>
      <c r="AK21" s="461"/>
      <c r="AL21" s="667"/>
      <c r="AM21" s="667"/>
      <c r="AN21" s="461"/>
      <c r="AO21" s="667"/>
      <c r="AP21" s="667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5"/>
      <c r="AA22" s="515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5"/>
      <c r="AA23" s="515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799"/>
      <c r="AD24" s="799"/>
      <c r="AE24" s="363">
        <v>48.42</v>
      </c>
      <c r="AF24" s="799"/>
      <c r="AG24" s="799"/>
      <c r="AH24" s="463">
        <v>58.24</v>
      </c>
      <c r="AI24" s="799"/>
      <c r="AJ24" s="799"/>
      <c r="AK24" s="463">
        <v>70.13</v>
      </c>
      <c r="AL24" s="799"/>
      <c r="AM24" s="799"/>
      <c r="AN24" s="463">
        <v>220.7</v>
      </c>
      <c r="AO24" s="799"/>
      <c r="AP24" s="799"/>
      <c r="AQ24" s="472">
        <v>262.95</v>
      </c>
    </row>
    <row r="25" spans="1:50">
      <c r="A25" s="368"/>
      <c r="B25" s="716" t="s">
        <v>698</v>
      </c>
      <c r="C25" s="667"/>
      <c r="E25" s="716" t="s">
        <v>699</v>
      </c>
      <c r="F25" s="667"/>
      <c r="H25" s="716" t="s">
        <v>106</v>
      </c>
      <c r="I25" s="667"/>
      <c r="K25" s="846" t="s">
        <v>111</v>
      </c>
      <c r="L25" s="667"/>
      <c r="N25" s="716" t="s">
        <v>320</v>
      </c>
      <c r="O25" s="667"/>
      <c r="Q25" s="667" t="s">
        <v>322</v>
      </c>
      <c r="R25" s="667"/>
      <c r="T25" s="299" t="s">
        <v>324</v>
      </c>
      <c r="U25" s="299"/>
      <c r="W25" s="716" t="s">
        <v>326</v>
      </c>
      <c r="X25" s="716"/>
      <c r="Z25" s="716" t="s">
        <v>328</v>
      </c>
      <c r="AA25" s="716"/>
      <c r="AC25" s="667" t="s">
        <v>329</v>
      </c>
      <c r="AD25" s="667"/>
      <c r="AF25" s="716" t="s">
        <v>167</v>
      </c>
      <c r="AG25" s="716"/>
      <c r="AI25" s="716" t="s">
        <v>331</v>
      </c>
      <c r="AJ25" s="716"/>
      <c r="AL25" s="667" t="s">
        <v>332</v>
      </c>
      <c r="AM25" s="667"/>
      <c r="AO25" s="667" t="s">
        <v>334</v>
      </c>
      <c r="AP25" s="667"/>
    </row>
    <row r="26" spans="1:50">
      <c r="A26" s="368"/>
      <c r="B26" s="667" t="s">
        <v>37</v>
      </c>
      <c r="C26" s="667"/>
      <c r="D26" s="461"/>
      <c r="E26" s="667" t="s">
        <v>42</v>
      </c>
      <c r="F26" s="667"/>
      <c r="G26" s="461"/>
      <c r="H26" s="667" t="s">
        <v>34</v>
      </c>
      <c r="I26" s="667"/>
      <c r="J26" s="461"/>
      <c r="K26" s="667" t="s">
        <v>51</v>
      </c>
      <c r="L26" s="667"/>
      <c r="M26" s="461"/>
      <c r="N26" s="667" t="s">
        <v>51</v>
      </c>
      <c r="O26" s="667"/>
      <c r="P26" s="461"/>
      <c r="Q26" s="667" t="s">
        <v>62</v>
      </c>
      <c r="R26" s="667"/>
      <c r="S26" s="461"/>
      <c r="T26" s="667" t="s">
        <v>62</v>
      </c>
      <c r="U26" s="667"/>
      <c r="V26" s="461"/>
      <c r="W26" s="667" t="s">
        <v>34</v>
      </c>
      <c r="X26" s="667"/>
      <c r="Y26" s="461"/>
      <c r="Z26" s="667" t="s">
        <v>37</v>
      </c>
      <c r="AA26" s="667"/>
      <c r="AB26" s="461"/>
      <c r="AC26" s="667" t="s">
        <v>34</v>
      </c>
      <c r="AD26" s="667"/>
      <c r="AE26" s="299"/>
      <c r="AF26" s="667" t="s">
        <v>625</v>
      </c>
      <c r="AG26" s="667"/>
      <c r="AH26" s="461"/>
      <c r="AI26" s="667" t="s">
        <v>625</v>
      </c>
      <c r="AJ26" s="667"/>
      <c r="AK26" s="461"/>
      <c r="AL26" s="667" t="s">
        <v>62</v>
      </c>
      <c r="AM26" s="667"/>
      <c r="AN26" s="461"/>
      <c r="AO26" s="667" t="s">
        <v>51</v>
      </c>
      <c r="AP26" s="667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778" t="s">
        <v>743</v>
      </c>
      <c r="AA29" s="779"/>
      <c r="AB29" s="780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781"/>
      <c r="AA30" s="782"/>
      <c r="AB30" s="783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784"/>
      <c r="AA31" s="785"/>
      <c r="AB31" s="786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845" t="s">
        <v>181</v>
      </c>
      <c r="C33" s="845"/>
      <c r="D33" s="275"/>
      <c r="E33" s="716" t="s">
        <v>182</v>
      </c>
      <c r="F33" s="716"/>
      <c r="G33" s="275"/>
      <c r="H33" s="716" t="s">
        <v>183</v>
      </c>
      <c r="I33" s="716"/>
      <c r="J33" s="275"/>
      <c r="K33" s="716" t="s">
        <v>336</v>
      </c>
      <c r="L33" s="716"/>
      <c r="M33" s="275"/>
      <c r="N33" s="716" t="s">
        <v>192</v>
      </c>
      <c r="O33" s="716"/>
      <c r="P33" s="275"/>
      <c r="Q33" s="716" t="s">
        <v>193</v>
      </c>
      <c r="R33" s="716"/>
      <c r="S33" s="275"/>
      <c r="T33" s="667" t="s">
        <v>338</v>
      </c>
      <c r="U33" s="667"/>
      <c r="V33" s="275"/>
      <c r="W33" s="667" t="s">
        <v>340</v>
      </c>
      <c r="X33" s="667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667" t="s">
        <v>42</v>
      </c>
      <c r="C34" s="667"/>
      <c r="D34" s="461"/>
      <c r="E34" s="667" t="s">
        <v>42</v>
      </c>
      <c r="F34" s="667"/>
      <c r="G34" s="461"/>
      <c r="H34" s="299" t="s">
        <v>42</v>
      </c>
      <c r="I34" s="299"/>
      <c r="J34" s="461"/>
      <c r="K34" s="667" t="s">
        <v>34</v>
      </c>
      <c r="L34" s="667"/>
      <c r="M34" s="461"/>
      <c r="N34" s="667" t="s">
        <v>625</v>
      </c>
      <c r="O34" s="667"/>
      <c r="P34" s="461"/>
      <c r="Q34" s="667" t="s">
        <v>625</v>
      </c>
      <c r="R34" s="667"/>
      <c r="S34" s="461"/>
      <c r="T34" s="667" t="s">
        <v>34</v>
      </c>
      <c r="U34" s="667"/>
      <c r="V34" s="461"/>
      <c r="W34" s="667" t="s">
        <v>626</v>
      </c>
      <c r="X34" s="667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6"/>
      <c r="E36" s="512"/>
      <c r="F36" s="512"/>
      <c r="G36" s="516"/>
      <c r="H36" s="512"/>
      <c r="I36" s="512"/>
      <c r="J36" s="516"/>
      <c r="K36" s="512"/>
      <c r="L36" s="512"/>
      <c r="M36" s="516"/>
      <c r="N36" s="512"/>
      <c r="O36" s="512"/>
      <c r="P36" s="516"/>
      <c r="Q36" s="512"/>
      <c r="R36" s="512"/>
      <c r="S36" s="516"/>
      <c r="T36" s="512"/>
      <c r="U36" s="512"/>
      <c r="V36" s="516"/>
      <c r="W36" s="512"/>
      <c r="X36" s="512"/>
      <c r="Y36" s="516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7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839" t="s">
        <v>627</v>
      </c>
      <c r="C37" s="840"/>
      <c r="D37" s="840"/>
      <c r="E37" s="840"/>
      <c r="F37" s="840"/>
      <c r="G37" s="840"/>
      <c r="H37" s="840"/>
      <c r="I37" s="840"/>
      <c r="J37" s="840"/>
      <c r="K37" s="840"/>
      <c r="L37" s="841"/>
      <c r="N37" s="839" t="s">
        <v>628</v>
      </c>
      <c r="O37" s="840"/>
      <c r="P37" s="840"/>
      <c r="Q37" s="840"/>
      <c r="R37" s="840"/>
      <c r="S37" s="840"/>
      <c r="T37" s="840"/>
      <c r="U37" s="840"/>
      <c r="V37" s="841"/>
      <c r="W37" s="822" t="s">
        <v>629</v>
      </c>
      <c r="X37" s="823"/>
      <c r="Y37" s="823"/>
      <c r="Z37" s="823"/>
      <c r="AA37" s="823"/>
      <c r="AB37" s="823"/>
      <c r="AC37" s="823"/>
      <c r="AD37" s="823"/>
      <c r="AE37" s="823"/>
      <c r="AF37" s="823"/>
      <c r="AG37" s="823"/>
      <c r="AH37" s="823"/>
      <c r="AI37" s="823"/>
      <c r="AJ37" s="823"/>
      <c r="AK37" s="823"/>
      <c r="AL37" s="823"/>
      <c r="AM37" s="823"/>
      <c r="AN37" s="826" t="s">
        <v>354</v>
      </c>
      <c r="AO37" s="826"/>
      <c r="AP37" s="826"/>
      <c r="AQ37" s="827"/>
    </row>
    <row r="38" spans="1:50" ht="15" customHeight="1">
      <c r="A38" s="367"/>
      <c r="B38" s="367"/>
      <c r="O38" s="518"/>
      <c r="V38" s="467"/>
      <c r="W38" s="824"/>
      <c r="X38" s="825"/>
      <c r="Y38" s="825"/>
      <c r="Z38" s="825"/>
      <c r="AA38" s="825"/>
      <c r="AB38" s="825"/>
      <c r="AC38" s="825"/>
      <c r="AD38" s="825"/>
      <c r="AE38" s="825"/>
      <c r="AF38" s="825"/>
      <c r="AG38" s="825"/>
      <c r="AH38" s="825"/>
      <c r="AI38" s="825"/>
      <c r="AJ38" s="825"/>
      <c r="AK38" s="825"/>
      <c r="AL38" s="825"/>
      <c r="AM38" s="825"/>
      <c r="AN38" s="828">
        <f>AS1</f>
        <v>46182</v>
      </c>
      <c r="AO38" s="828"/>
      <c r="AP38" s="828"/>
      <c r="AQ38" s="829"/>
    </row>
    <row r="39" spans="1:50">
      <c r="A39" s="367"/>
      <c r="B39" s="842" t="s">
        <v>470</v>
      </c>
      <c r="C39" s="843"/>
      <c r="D39" s="844"/>
      <c r="F39" s="752" t="s">
        <v>630</v>
      </c>
      <c r="G39" s="752"/>
      <c r="I39" s="752" t="s">
        <v>631</v>
      </c>
      <c r="J39" s="752"/>
      <c r="N39" s="754" t="s">
        <v>632</v>
      </c>
      <c r="O39" s="754"/>
      <c r="P39" s="805"/>
      <c r="R39" s="762" t="s">
        <v>633</v>
      </c>
      <c r="S39" s="763"/>
      <c r="T39" s="762"/>
      <c r="U39" s="763"/>
      <c r="V39" s="467"/>
      <c r="W39" s="830" t="s">
        <v>2</v>
      </c>
      <c r="X39" s="739"/>
      <c r="Y39" s="739" t="s">
        <v>356</v>
      </c>
      <c r="Z39" s="739"/>
      <c r="AA39" s="739"/>
      <c r="AB39" s="739"/>
      <c r="AC39" s="739" t="s">
        <v>634</v>
      </c>
      <c r="AD39" s="739"/>
      <c r="AE39" s="739" t="s">
        <v>635</v>
      </c>
      <c r="AF39" s="739"/>
      <c r="AG39" s="739"/>
      <c r="AH39" s="739" t="s">
        <v>32</v>
      </c>
      <c r="AI39" s="739"/>
      <c r="AJ39" s="739"/>
      <c r="AK39" s="739" t="s">
        <v>372</v>
      </c>
      <c r="AL39" s="739"/>
      <c r="AM39" s="739"/>
      <c r="AN39" s="739" t="s">
        <v>15</v>
      </c>
      <c r="AO39" s="739"/>
      <c r="AP39" s="739"/>
      <c r="AQ39" s="744"/>
    </row>
    <row r="40" spans="1:50">
      <c r="A40" s="367"/>
      <c r="B40" s="367"/>
      <c r="N40" s="754"/>
      <c r="O40" s="754"/>
      <c r="P40" s="805"/>
      <c r="R40" s="764"/>
      <c r="S40" s="765"/>
      <c r="T40" s="764"/>
      <c r="U40" s="765"/>
      <c r="V40" s="467"/>
      <c r="W40" s="806">
        <v>1</v>
      </c>
      <c r="X40" s="733"/>
      <c r="Y40" s="733" t="s">
        <v>376</v>
      </c>
      <c r="Z40" s="733"/>
      <c r="AA40" s="733"/>
      <c r="AB40" s="733"/>
      <c r="AC40" s="733" t="s">
        <v>377</v>
      </c>
      <c r="AD40" s="733"/>
      <c r="AE40" s="816">
        <v>9.23</v>
      </c>
      <c r="AF40" s="817"/>
      <c r="AG40" s="818"/>
      <c r="AH40" s="816">
        <v>9.23</v>
      </c>
      <c r="AI40" s="817"/>
      <c r="AJ40" s="818"/>
      <c r="AK40" s="733">
        <f t="shared" ref="AK40:AK48" si="1">AE40-AH40</f>
        <v>0</v>
      </c>
      <c r="AL40" s="733"/>
      <c r="AM40" s="733"/>
      <c r="AN40" s="733"/>
      <c r="AO40" s="733"/>
      <c r="AP40" s="733"/>
      <c r="AQ40" s="735"/>
    </row>
    <row r="41" spans="1:50">
      <c r="A41" s="367"/>
      <c r="B41" s="835" t="s">
        <v>468</v>
      </c>
      <c r="C41" s="836"/>
      <c r="D41" s="837"/>
      <c r="N41" s="754" t="s">
        <v>636</v>
      </c>
      <c r="O41" s="754"/>
      <c r="P41" s="805"/>
      <c r="R41" s="764"/>
      <c r="S41" s="765"/>
      <c r="T41" s="764"/>
      <c r="U41" s="765"/>
      <c r="V41" s="467"/>
      <c r="W41" s="806">
        <v>2</v>
      </c>
      <c r="X41" s="733"/>
      <c r="Y41" s="733" t="s">
        <v>378</v>
      </c>
      <c r="Z41" s="733"/>
      <c r="AA41" s="733"/>
      <c r="AB41" s="733"/>
      <c r="AC41" s="733" t="s">
        <v>377</v>
      </c>
      <c r="AD41" s="733"/>
      <c r="AE41" s="816">
        <v>9.23</v>
      </c>
      <c r="AF41" s="817"/>
      <c r="AG41" s="818"/>
      <c r="AH41" s="816">
        <v>9.23</v>
      </c>
      <c r="AI41" s="817"/>
      <c r="AJ41" s="818"/>
      <c r="AK41" s="733">
        <f t="shared" si="1"/>
        <v>0</v>
      </c>
      <c r="AL41" s="733"/>
      <c r="AM41" s="733"/>
      <c r="AN41" s="733"/>
      <c r="AO41" s="733"/>
      <c r="AP41" s="733"/>
      <c r="AQ41" s="735"/>
    </row>
    <row r="42" spans="1:50">
      <c r="A42" s="367"/>
      <c r="B42" s="367"/>
      <c r="N42" s="754"/>
      <c r="O42" s="754"/>
      <c r="P42" s="805"/>
      <c r="R42" s="766"/>
      <c r="S42" s="767"/>
      <c r="T42" s="766"/>
      <c r="U42" s="767"/>
      <c r="V42" s="467"/>
      <c r="W42" s="806">
        <v>3</v>
      </c>
      <c r="X42" s="733"/>
      <c r="Y42" s="733" t="s">
        <v>379</v>
      </c>
      <c r="Z42" s="733"/>
      <c r="AA42" s="733"/>
      <c r="AB42" s="733"/>
      <c r="AC42" s="733" t="s">
        <v>637</v>
      </c>
      <c r="AD42" s="733"/>
      <c r="AE42" s="733">
        <v>39</v>
      </c>
      <c r="AF42" s="733"/>
      <c r="AG42" s="733"/>
      <c r="AH42" s="733">
        <f>+AS36</f>
        <v>34</v>
      </c>
      <c r="AI42" s="733"/>
      <c r="AJ42" s="733"/>
      <c r="AK42" s="733">
        <f t="shared" si="1"/>
        <v>5</v>
      </c>
      <c r="AL42" s="733"/>
      <c r="AM42" s="733"/>
      <c r="AN42" s="733"/>
      <c r="AO42" s="733"/>
      <c r="AP42" s="733"/>
      <c r="AQ42" s="735"/>
    </row>
    <row r="43" spans="1:50">
      <c r="A43" s="367"/>
      <c r="B43" s="367"/>
      <c r="E43" s="834"/>
      <c r="F43" s="834"/>
      <c r="H43" s="838"/>
      <c r="I43" s="838"/>
      <c r="K43" s="834"/>
      <c r="L43" s="834"/>
      <c r="N43" s="754" t="s">
        <v>638</v>
      </c>
      <c r="O43" s="754"/>
      <c r="P43" s="805"/>
      <c r="R43" s="762" t="s">
        <v>452</v>
      </c>
      <c r="S43" s="763"/>
      <c r="T43" s="762"/>
      <c r="U43" s="763"/>
      <c r="V43" s="467"/>
      <c r="W43" s="806">
        <v>4</v>
      </c>
      <c r="X43" s="733"/>
      <c r="Y43" s="733" t="s">
        <v>381</v>
      </c>
      <c r="Z43" s="733"/>
      <c r="AA43" s="733"/>
      <c r="AB43" s="733"/>
      <c r="AC43" s="733" t="s">
        <v>637</v>
      </c>
      <c r="AD43" s="733"/>
      <c r="AE43" s="733">
        <v>39</v>
      </c>
      <c r="AF43" s="733"/>
      <c r="AG43" s="733"/>
      <c r="AH43" s="733">
        <f>+AT36</f>
        <v>34</v>
      </c>
      <c r="AI43" s="733"/>
      <c r="AJ43" s="733"/>
      <c r="AK43" s="733">
        <f t="shared" si="1"/>
        <v>5</v>
      </c>
      <c r="AL43" s="733"/>
      <c r="AM43" s="733"/>
      <c r="AN43" s="733"/>
      <c r="AO43" s="733"/>
      <c r="AP43" s="733"/>
      <c r="AQ43" s="735"/>
    </row>
    <row r="44" spans="1:50">
      <c r="A44" s="367"/>
      <c r="B44" s="372"/>
      <c r="C44" s="373"/>
      <c r="D44" s="374"/>
      <c r="E44" s="375"/>
      <c r="F44" s="293"/>
      <c r="G44" s="519"/>
      <c r="H44" s="281"/>
      <c r="I44" s="281"/>
      <c r="J44" s="519"/>
      <c r="K44" s="365"/>
      <c r="L44" s="281"/>
      <c r="M44" s="519"/>
      <c r="N44" s="754"/>
      <c r="O44" s="754"/>
      <c r="P44" s="805"/>
      <c r="R44" s="764"/>
      <c r="S44" s="765"/>
      <c r="T44" s="764"/>
      <c r="U44" s="765"/>
      <c r="V44" s="467"/>
      <c r="W44" s="806">
        <v>5</v>
      </c>
      <c r="X44" s="733"/>
      <c r="Y44" s="733" t="s">
        <v>468</v>
      </c>
      <c r="Z44" s="733"/>
      <c r="AA44" s="733"/>
      <c r="AB44" s="733"/>
      <c r="AC44" s="733" t="s">
        <v>637</v>
      </c>
      <c r="AD44" s="733"/>
      <c r="AE44" s="733">
        <v>39</v>
      </c>
      <c r="AF44" s="733"/>
      <c r="AG44" s="733"/>
      <c r="AH44" s="733">
        <f>+AU36</f>
        <v>31</v>
      </c>
      <c r="AI44" s="733"/>
      <c r="AJ44" s="733"/>
      <c r="AK44" s="733">
        <f t="shared" si="1"/>
        <v>8</v>
      </c>
      <c r="AL44" s="733"/>
      <c r="AM44" s="733"/>
      <c r="AN44" s="733"/>
      <c r="AO44" s="733"/>
      <c r="AP44" s="733"/>
      <c r="AQ44" s="735"/>
    </row>
    <row r="45" spans="1:50">
      <c r="A45" s="367"/>
      <c r="B45" s="831" t="s">
        <v>379</v>
      </c>
      <c r="C45" s="832"/>
      <c r="D45" s="833"/>
      <c r="E45" s="375"/>
      <c r="F45" s="375"/>
      <c r="G45" s="519"/>
      <c r="H45" s="281"/>
      <c r="I45" s="281"/>
      <c r="K45" s="365"/>
      <c r="L45" s="281"/>
      <c r="M45" s="519"/>
      <c r="N45" s="754" t="s">
        <v>639</v>
      </c>
      <c r="O45" s="754"/>
      <c r="P45" s="805"/>
      <c r="R45" s="764"/>
      <c r="S45" s="765"/>
      <c r="T45" s="764"/>
      <c r="U45" s="765"/>
      <c r="V45" s="467"/>
      <c r="W45" s="806">
        <v>6</v>
      </c>
      <c r="X45" s="733"/>
      <c r="Y45" s="733" t="s">
        <v>640</v>
      </c>
      <c r="Z45" s="733"/>
      <c r="AA45" s="733"/>
      <c r="AB45" s="733"/>
      <c r="AC45" s="733" t="s">
        <v>637</v>
      </c>
      <c r="AD45" s="733"/>
      <c r="AE45" s="733">
        <v>39</v>
      </c>
      <c r="AF45" s="733"/>
      <c r="AG45" s="733"/>
      <c r="AH45" s="733">
        <f>+AV36</f>
        <v>29</v>
      </c>
      <c r="AI45" s="733"/>
      <c r="AJ45" s="733"/>
      <c r="AK45" s="733">
        <f t="shared" si="1"/>
        <v>10</v>
      </c>
      <c r="AL45" s="733"/>
      <c r="AM45" s="733"/>
      <c r="AN45" s="734"/>
      <c r="AO45" s="819"/>
      <c r="AP45" s="819"/>
      <c r="AQ45" s="820"/>
    </row>
    <row r="46" spans="1:50">
      <c r="A46" s="367"/>
      <c r="B46" s="372" t="s">
        <v>641</v>
      </c>
      <c r="C46" s="373"/>
      <c r="E46" s="801" t="s">
        <v>38</v>
      </c>
      <c r="F46" s="801"/>
      <c r="G46" s="520">
        <v>293</v>
      </c>
      <c r="H46" s="802" t="s">
        <v>41</v>
      </c>
      <c r="I46" s="801"/>
      <c r="J46" s="521">
        <v>391</v>
      </c>
      <c r="K46" s="803" t="s">
        <v>45</v>
      </c>
      <c r="L46" s="804"/>
      <c r="M46" s="519"/>
      <c r="N46" s="754"/>
      <c r="O46" s="754"/>
      <c r="P46" s="805"/>
      <c r="R46" s="766"/>
      <c r="S46" s="767"/>
      <c r="T46" s="766"/>
      <c r="U46" s="767"/>
      <c r="V46" s="467"/>
      <c r="W46" s="806">
        <v>7</v>
      </c>
      <c r="X46" s="733"/>
      <c r="Y46" s="733" t="s">
        <v>642</v>
      </c>
      <c r="Z46" s="733"/>
      <c r="AA46" s="733"/>
      <c r="AB46" s="733"/>
      <c r="AC46" s="733" t="s">
        <v>377</v>
      </c>
      <c r="AD46" s="733"/>
      <c r="AE46" s="816">
        <v>9.23</v>
      </c>
      <c r="AF46" s="817"/>
      <c r="AG46" s="818"/>
      <c r="AH46" s="821">
        <f>+AX36</f>
        <v>6.016195999999999</v>
      </c>
      <c r="AI46" s="821"/>
      <c r="AJ46" s="821"/>
      <c r="AK46" s="745">
        <f t="shared" si="1"/>
        <v>3.2138040000000014</v>
      </c>
      <c r="AL46" s="745"/>
      <c r="AM46" s="745"/>
      <c r="AN46" s="733"/>
      <c r="AO46" s="733"/>
      <c r="AP46" s="733"/>
      <c r="AQ46" s="735"/>
    </row>
    <row r="47" spans="1:50">
      <c r="A47" s="367"/>
      <c r="B47" s="372" t="s">
        <v>399</v>
      </c>
      <c r="C47" s="373"/>
      <c r="E47" s="808" t="s">
        <v>39</v>
      </c>
      <c r="F47" s="808"/>
      <c r="H47" s="808" t="s">
        <v>37</v>
      </c>
      <c r="I47" s="808"/>
      <c r="J47" s="521"/>
      <c r="K47" s="809" t="s">
        <v>46</v>
      </c>
      <c r="L47" s="810"/>
      <c r="M47" s="519"/>
      <c r="N47" s="754" t="s">
        <v>643</v>
      </c>
      <c r="O47" s="754"/>
      <c r="P47" s="805"/>
      <c r="R47" s="675" t="s">
        <v>438</v>
      </c>
      <c r="S47" s="675"/>
      <c r="T47" s="687"/>
      <c r="U47" s="687"/>
      <c r="V47" s="467"/>
      <c r="W47" s="806">
        <v>8</v>
      </c>
      <c r="X47" s="733"/>
      <c r="Y47" s="733" t="s">
        <v>644</v>
      </c>
      <c r="Z47" s="733"/>
      <c r="AA47" s="733"/>
      <c r="AB47" s="733"/>
      <c r="AC47" s="733" t="s">
        <v>377</v>
      </c>
      <c r="AD47" s="733"/>
      <c r="AE47" s="816">
        <v>9.23</v>
      </c>
      <c r="AF47" s="817"/>
      <c r="AG47" s="818"/>
      <c r="AH47" s="736">
        <f>AX36</f>
        <v>6.016195999999999</v>
      </c>
      <c r="AI47" s="733"/>
      <c r="AJ47" s="733"/>
      <c r="AK47" s="745">
        <f t="shared" si="1"/>
        <v>3.2138040000000014</v>
      </c>
      <c r="AL47" s="745"/>
      <c r="AM47" s="745"/>
      <c r="AN47" s="733"/>
      <c r="AO47" s="733"/>
      <c r="AP47" s="733"/>
      <c r="AQ47" s="735"/>
    </row>
    <row r="48" spans="1:50" ht="15.75" thickBot="1">
      <c r="A48" s="376"/>
      <c r="B48" s="376"/>
      <c r="C48" s="277"/>
      <c r="D48" s="464"/>
      <c r="E48" s="277"/>
      <c r="F48" s="753" t="s">
        <v>381</v>
      </c>
      <c r="G48" s="753"/>
      <c r="H48" s="277"/>
      <c r="I48" s="277"/>
      <c r="J48" s="753" t="s">
        <v>645</v>
      </c>
      <c r="K48" s="753"/>
      <c r="L48" s="753"/>
      <c r="M48" s="464"/>
      <c r="N48" s="755"/>
      <c r="O48" s="755"/>
      <c r="P48" s="811"/>
      <c r="Q48" s="277"/>
      <c r="R48" s="676"/>
      <c r="S48" s="676"/>
      <c r="T48" s="761"/>
      <c r="U48" s="761"/>
      <c r="V48" s="468"/>
      <c r="W48" s="807">
        <v>9</v>
      </c>
      <c r="X48" s="746"/>
      <c r="Y48" s="746" t="s">
        <v>390</v>
      </c>
      <c r="Z48" s="746"/>
      <c r="AA48" s="746"/>
      <c r="AB48" s="746"/>
      <c r="AC48" s="746" t="s">
        <v>377</v>
      </c>
      <c r="AD48" s="746"/>
      <c r="AE48" s="813">
        <v>9.23</v>
      </c>
      <c r="AF48" s="814"/>
      <c r="AG48" s="815"/>
      <c r="AH48" s="760">
        <f>+[1]Summary!M31</f>
        <v>0</v>
      </c>
      <c r="AI48" s="746"/>
      <c r="AJ48" s="746"/>
      <c r="AK48" s="746">
        <f t="shared" si="1"/>
        <v>9.23</v>
      </c>
      <c r="AL48" s="746"/>
      <c r="AM48" s="746"/>
      <c r="AN48" s="746"/>
      <c r="AO48" s="746"/>
      <c r="AP48" s="746"/>
      <c r="AQ48" s="748"/>
    </row>
    <row r="52" spans="34:35">
      <c r="AH52" s="812"/>
      <c r="AI52" s="812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68" t="str">
        <f>+Summary!A2</f>
        <v>Name of the Line: 220KV DC AL59 line from Neemuch - Chanderiya + 132KV DC ACSS Line from Chanderiya to Hindustan Zinc</v>
      </c>
      <c r="B1" s="869"/>
      <c r="C1" s="869"/>
      <c r="D1" s="869"/>
      <c r="E1" s="869"/>
      <c r="F1" s="869"/>
      <c r="G1" s="869"/>
      <c r="H1" s="870"/>
    </row>
    <row r="2" spans="1:8" ht="14.25" customHeight="1">
      <c r="A2" s="871" t="s">
        <v>646</v>
      </c>
      <c r="B2" s="872"/>
      <c r="C2" s="872"/>
      <c r="D2" s="872"/>
      <c r="E2" s="872"/>
      <c r="F2" s="872"/>
      <c r="G2" s="873"/>
      <c r="H2" s="224">
        <f>+Summary!R5</f>
        <v>46182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7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5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5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5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5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5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6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7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5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5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5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6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71" t="s">
        <v>661</v>
      </c>
      <c r="B22" s="872"/>
      <c r="C22" s="872"/>
      <c r="D22" s="872"/>
      <c r="E22" s="872"/>
      <c r="F22" s="872"/>
      <c r="G22" s="873"/>
      <c r="H22" s="224">
        <f>+Summary!R5</f>
        <v>46182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4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5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6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7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5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6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workbookViewId="0">
      <selection activeCell="F5" sqref="F5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877" t="str">
        <f>+Summary!A5</f>
        <v>Progress of 220kV Line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240" t="s">
        <v>669</v>
      </c>
      <c r="P1" s="241">
        <f>+Summary!R5</f>
        <v>46182</v>
      </c>
      <c r="Q1" s="242"/>
      <c r="R1" s="242" t="s">
        <v>0</v>
      </c>
    </row>
    <row r="2" spans="1:18" ht="29.25" customHeight="1">
      <c r="A2" s="884" t="s">
        <v>355</v>
      </c>
      <c r="B2" s="886" t="s">
        <v>670</v>
      </c>
      <c r="C2" s="886" t="s">
        <v>357</v>
      </c>
      <c r="D2" s="887" t="s">
        <v>671</v>
      </c>
      <c r="E2" s="878" t="s">
        <v>672</v>
      </c>
      <c r="F2" s="873"/>
      <c r="G2" s="878" t="str">
        <f>+Summary!I6</f>
        <v>Progress of Current Month (June'26)</v>
      </c>
      <c r="H2" s="872"/>
      <c r="I2" s="873"/>
      <c r="J2" s="878" t="s">
        <v>361</v>
      </c>
      <c r="K2" s="872"/>
      <c r="L2" s="873"/>
      <c r="M2" s="878" t="str">
        <f>+Summary!O6</f>
        <v>Resources Status</v>
      </c>
      <c r="N2" s="872"/>
      <c r="O2" s="873"/>
      <c r="P2" s="879" t="s">
        <v>15</v>
      </c>
      <c r="Q2" s="242"/>
      <c r="R2" s="242"/>
    </row>
    <row r="3" spans="1:18" ht="12.75" customHeight="1">
      <c r="A3" s="885"/>
      <c r="B3" s="634"/>
      <c r="C3" s="634"/>
      <c r="D3" s="634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80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88">
        <f>Summary!O10</f>
        <v>0</v>
      </c>
      <c r="N6" s="888">
        <f>Summary!P10</f>
        <v>0</v>
      </c>
      <c r="O6" s="888">
        <f>Summary!Q10</f>
        <v>0</v>
      </c>
      <c r="P6" s="882">
        <f>+Summary!R10</f>
        <v>0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634"/>
      <c r="N7" s="634"/>
      <c r="O7" s="634"/>
      <c r="P7" s="883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82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195</v>
      </c>
      <c r="G9" s="249">
        <f>Summary!I13</f>
        <v>4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195</v>
      </c>
      <c r="L9" s="249">
        <f>+Summary!N13</f>
        <v>4</v>
      </c>
      <c r="M9" s="247">
        <f>+Summary!O13</f>
        <v>0</v>
      </c>
      <c r="N9" s="247">
        <f>+Summary!P13</f>
        <v>0</v>
      </c>
      <c r="O9" s="247">
        <f>+Summary!Q13</f>
        <v>0</v>
      </c>
      <c r="P9" s="883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74" t="str">
        <f>Summary!R14</f>
        <v> 32/0-33/0-33/1 all Phase Final sag complet , Final checking Stringing WIP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1.5681009999999915</v>
      </c>
      <c r="J11" s="248">
        <f t="shared" ref="J11:J12" si="1">J10</f>
        <v>0</v>
      </c>
      <c r="K11" s="248">
        <f>+Summary!M15</f>
        <v>62.768100999999994</v>
      </c>
      <c r="L11" s="477">
        <f>+Summary!N15</f>
        <v>1.2318990000000056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876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1.5681009999999915</v>
      </c>
      <c r="J12" s="248">
        <f t="shared" si="1"/>
        <v>0</v>
      </c>
      <c r="K12" s="248">
        <f>+Summary!M16</f>
        <v>62.768100999999994</v>
      </c>
      <c r="L12" s="477">
        <f>+Summary!N16</f>
        <v>1.2318990000000056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75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9.5172659999999922</v>
      </c>
      <c r="J13" s="260">
        <f>+Summary!L17</f>
        <v>64</v>
      </c>
      <c r="K13" s="478">
        <f>+Summary!M17</f>
        <v>63.239100999999991</v>
      </c>
      <c r="L13" s="260">
        <f>+Summary!N17</f>
        <v>0.7608990000000091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3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877" t="str">
        <f>+Summary!A19</f>
        <v>Progress of 132kV Line</v>
      </c>
      <c r="B15" s="869"/>
      <c r="C15" s="869"/>
      <c r="D15" s="869"/>
      <c r="E15" s="869"/>
      <c r="F15" s="869"/>
      <c r="G15" s="869"/>
      <c r="H15" s="869"/>
      <c r="I15" s="869"/>
      <c r="J15" s="869"/>
      <c r="K15" s="869"/>
      <c r="L15" s="869"/>
      <c r="M15" s="869"/>
      <c r="N15" s="869"/>
      <c r="O15" s="240" t="s">
        <v>669</v>
      </c>
      <c r="P15" s="241">
        <f>+Summary!R19</f>
        <v>46182</v>
      </c>
      <c r="Q15" s="242"/>
      <c r="R15" s="242"/>
    </row>
    <row r="16" spans="1:18" ht="28.5" customHeight="1">
      <c r="A16" s="884" t="s">
        <v>355</v>
      </c>
      <c r="B16" s="886" t="s">
        <v>670</v>
      </c>
      <c r="C16" s="886" t="s">
        <v>357</v>
      </c>
      <c r="D16" s="887" t="s">
        <v>671</v>
      </c>
      <c r="E16" s="878" t="s">
        <v>672</v>
      </c>
      <c r="F16" s="873"/>
      <c r="G16" s="878" t="str">
        <f>+Summary!I20</f>
        <v>Progress of Current Month (June'26)</v>
      </c>
      <c r="H16" s="872"/>
      <c r="I16" s="873"/>
      <c r="J16" s="878" t="s">
        <v>361</v>
      </c>
      <c r="K16" s="872"/>
      <c r="L16" s="873"/>
      <c r="M16" s="878" t="str">
        <f>+Summary!O20</f>
        <v>Resources Status</v>
      </c>
      <c r="N16" s="872"/>
      <c r="O16" s="873"/>
      <c r="P16" s="879" t="s">
        <v>15</v>
      </c>
      <c r="Q16" s="242"/>
      <c r="R16" s="242"/>
    </row>
    <row r="17" spans="1:16" ht="12.75" customHeight="1">
      <c r="A17" s="885"/>
      <c r="B17" s="634"/>
      <c r="C17" s="634"/>
      <c r="D17" s="634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80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5</v>
      </c>
      <c r="H20" s="250">
        <f>+Summary!J24</f>
        <v>0</v>
      </c>
      <c r="I20" s="264">
        <f>+Summary!K24</f>
        <v>0</v>
      </c>
      <c r="J20" s="249">
        <f>+Summary!L24</f>
        <v>39</v>
      </c>
      <c r="K20" s="248">
        <f t="shared" si="2"/>
        <v>36</v>
      </c>
      <c r="L20" s="248">
        <f>+Summary!N24</f>
        <v>3</v>
      </c>
      <c r="M20" s="881">
        <f>Summary!O24</f>
        <v>1</v>
      </c>
      <c r="N20" s="881">
        <f>Summary!P24</f>
        <v>1</v>
      </c>
      <c r="O20" s="881">
        <f>Summary!Q24</f>
        <v>0</v>
      </c>
      <c r="P20" s="882" t="str">
        <f>+Summary!R24</f>
        <v xml:space="preserve">
SC-4 Pit-A,C,D Steel Binding Done 
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2</v>
      </c>
      <c r="J21" s="249">
        <f>+Summary!L25</f>
        <v>39</v>
      </c>
      <c r="K21" s="248">
        <f t="shared" si="2"/>
        <v>36</v>
      </c>
      <c r="L21" s="248">
        <f>+Summary!N25</f>
        <v>3</v>
      </c>
      <c r="M21" s="634"/>
      <c r="N21" s="634"/>
      <c r="O21" s="634"/>
      <c r="P21" s="883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0</v>
      </c>
      <c r="J22" s="249">
        <f>+Summary!L26</f>
        <v>39</v>
      </c>
      <c r="K22" s="249">
        <f>+Summary!M26</f>
        <v>31</v>
      </c>
      <c r="L22" s="249">
        <f>+Summary!N26</f>
        <v>8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 t="str">
        <f>Summary!R26</f>
        <v>2/1 Erection second section WIP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0</v>
      </c>
      <c r="I23" s="248">
        <f>+Summary!K27</f>
        <v>0</v>
      </c>
      <c r="J23" s="249">
        <f>+Summary!L27</f>
        <v>39</v>
      </c>
      <c r="K23" s="249">
        <f>+Summary!M27</f>
        <v>29</v>
      </c>
      <c r="L23" s="249">
        <f>+Summary!N27</f>
        <v>10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3.2600000000027052E-4</v>
      </c>
      <c r="J25" s="477">
        <f>E25</f>
        <v>9</v>
      </c>
      <c r="K25" s="477">
        <f>+Summary!M29</f>
        <v>6.2313260000000001</v>
      </c>
      <c r="L25" s="248">
        <f>+Summary!N29</f>
        <v>3.0086740000000001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74">
        <f>+Summary!R29</f>
        <v>0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3.2600000000027052E-4</v>
      </c>
      <c r="J26" s="477">
        <f>E26</f>
        <v>9</v>
      </c>
      <c r="K26" s="477">
        <f>+Summary!M30</f>
        <v>6.2313260000000001</v>
      </c>
      <c r="L26" s="248">
        <f>+Summary!N30</f>
        <v>3.0086740000000001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75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6.2313260000000001</v>
      </c>
      <c r="J27" s="478">
        <f>+Summary!L31</f>
        <v>9</v>
      </c>
      <c r="K27" s="478">
        <f>+Summary!M31</f>
        <v>6.2313260000000001</v>
      </c>
      <c r="L27" s="260">
        <f>+Summary!N31</f>
        <v>3.0086740000000001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2026-06-09T13:28:45Z</dcterms:modified>
</cp:coreProperties>
</file>