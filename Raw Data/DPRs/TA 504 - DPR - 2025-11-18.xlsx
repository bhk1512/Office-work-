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D56623B6-BD18-4248-952B-93CD2F6DFBD7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8" i="92" l="1"/>
  <c r="A89" i="92"/>
  <c r="A90" i="92"/>
  <c r="I89" i="92"/>
  <c r="I90" i="92"/>
  <c r="AJ11" i="94"/>
  <c r="I88" i="92"/>
  <c r="N32" i="94"/>
  <c r="P29" i="94"/>
  <c r="R28" i="94"/>
  <c r="T29" i="94" s="1"/>
  <c r="R26" i="94"/>
  <c r="N26" i="94"/>
  <c r="AY25" i="94"/>
  <c r="AG15" i="94"/>
  <c r="AP15" i="94" s="1"/>
  <c r="AP14" i="94"/>
  <c r="AG14" i="94"/>
  <c r="AM12" i="94"/>
  <c r="AM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G13" i="94" l="1"/>
  <c r="AP13" i="94" s="1"/>
  <c r="AG12" i="94"/>
  <c r="AP12" i="94" s="1"/>
  <c r="V28" i="94"/>
  <c r="Z28" i="94" s="1"/>
  <c r="AP10" i="94"/>
  <c r="R32" i="94"/>
  <c r="K3" i="92"/>
  <c r="V32" i="94" l="1"/>
  <c r="X29" i="94"/>
  <c r="V26" i="94"/>
  <c r="Z32" i="94"/>
  <c r="Z26" i="94"/>
  <c r="AD28" i="94"/>
  <c r="AB29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P82" i="94" l="1"/>
  <c r="AR85" i="94"/>
  <c r="AV85" i="94" s="1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<sst xmlns="http://schemas.openxmlformats.org/spreadsheetml/2006/main" count="3410" uniqueCount="619">
  <si>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</si>
  <si>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</si>
  <si>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</si>
  <si>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</si>
  <si>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</si>
  <si>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</si>
  <si>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</si>
  <si>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</si>
  <si>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</si>
  <si>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</si>
  <si>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</si>
  <si>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</si>
  <si>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</si>
  <si>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</si>
  <si>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</si>
  <si>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</si>
  <si>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</si>
  <si>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</si>
  <si>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</si>
  <si>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</si>
  <si>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</si>
  <si>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</si>
  <si>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</si>
  <si>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</si>
  <si>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</si>
  <si>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</si>
  <si>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</si>
  <si>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</si>
  <si>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</si>
  <si>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</si>
  <si>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</si>
  <si>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</si>
  <si>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</si>
  <si>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</si>
  <si>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</si>
  <si>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</si>
  <si>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</si>
  <si>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</si>
  <si>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</si>
  <si>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</si>
  <si>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</si>
  <si>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</si>
  <si>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</si>
  <si>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</si>
  <si>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</si>
  <si>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</si>
  <si>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</si>
  <si>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</si>
  <si>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</si>
  <si>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</si>
  <si>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</si>
  <si>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</si>
  <si>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</si>
  <si>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</si>
  <si>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</si>
  <si>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</si>
  <si>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</si>
  <si>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</si>
  <si>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</si>
  <si>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</si>
  <si>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</si>
  <si>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</si>
  <si>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</si>
  <si>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</si>
  <si>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</si>
  <si>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</si>
  <si>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</si>
  <si>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</si>
  <si>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</si>
  <si>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</si>
  <si>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</si>
  <si>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</si>
  <si>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</si>
  <si>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</si>
  <si>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</si>
  <si>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</si>
  <si>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</si>
  <si>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</si>
  <si>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</si>
  <si>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</si>
  <si>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</si>
  <si>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</si>
  <si>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</si>
  <si>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</si>
  <si>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</si>
  <si>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</si>
  <si>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</si>
  <si>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</si>
  <si>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</si>
  <si>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</si>
  <si>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</si>
  <si>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</si>
  <si>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</si>
  <si>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</si>
  <si>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</si>
  <si>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</si>
  <si>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</si>
  <si>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</si>
  <si>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</si>
  <si>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</si>
  <si>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</si>
  <si>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</si>
  <si>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</si>
  <si>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</si>
  <si>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</si>
  <si>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</si>
  <si>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</si>
  <si>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</si>
  <si>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</si>
  <si>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</si>
  <si>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</si>
  <si>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</si>
  <si>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</si>
  <si>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</si>
  <si>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</si>
  <si>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</si>
  <si>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</si>
  <si>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</si>
  <si>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</si>
  <si>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</si>
  <si>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</si>
  <si>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</si>
  <si>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</si>
  <si>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</si>
  <si>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</si>
  <si>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</si>
  <si>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</si>
  <si>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</si>
  <si>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</si>
  <si>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</si>
  <si>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</si>
  <si>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</si>
  <si>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</si>
  <si>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</si>
  <si>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</si>
  <si>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</si>
  <si>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</si>
  <si>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</si>
  <si>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</si>
  <si>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</si>
  <si>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</si>
  <si>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</si>
  <si>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</si>
  <si>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</si>
  <si>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</si>
  <si>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</si>
  <si>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</si>
  <si>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</si>
  <si>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</si>
  <si>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</si>
  <si>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</si>
  <si>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</si>
  <si>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</si>
  <si>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</si>
  <si>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</si>
  <si>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</si>
  <si>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</si>
  <si>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</si>
  <si>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</si>
  <si>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</si>
  <si>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</si>
  <si>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</si>
  <si>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</si>
  <si>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</si>
  <si>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</si>
  <si>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</si>
  <si>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</si>
  <si>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</si>
  <si>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</si>
  <si>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</si>
  <si>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</si>
  <si>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</si>
  <si>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</si>
  <si>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</si>
  <si>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</si>
  <si>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</si>
  <si>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</si>
  <si>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</si>
  <si>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</si>
  <si>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</si>
  <si>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</si>
  <si>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</si>
  <si>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</si>
  <si>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</si>
  <si>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</si>
  <si>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</si>
  <si>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</si>
  <si>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</si>
  <si>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</si>
  <si>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</si>
  <si>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</si>
  <si>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</si>
  <si>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</si>
  <si>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</si>
  <si>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</si>
  <si>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</si>
  <si>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</si>
  <si>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</si>
  <si>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</si>
  <si>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</si>
  <si>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</si>
  <si>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</si>
  <si>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</si>
  <si>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</si>
  <si>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</si>
  <si>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</si>
  <si>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</si>
  <si>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</si>
  <si>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</si>
  <si>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</si>
  <si>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</si>
  <si>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</si>
  <si>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</si>
  <si>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</si>
  <si>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</si>
  <si>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</si>
  <si>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</si>
  <si>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</si>
  <si>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</si>
  <si>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</si>
  <si>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</si>
  <si>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</si>
  <si>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</si>
  <si>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</si>
  <si>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</si>
  <si>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</si>
  <si>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</si>
  <si>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</si>
  <si>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</si>
  <si>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</si>
  <si>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</si>
  <si>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</si>
  <si>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</si>
  <si>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</si>
  <si>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</si>
  <si>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</si>
  <si>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</si>
  <si>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</si>
  <si>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</si>
  <si>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</si>
  <si>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</si>
  <si>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</si>
  <si>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</si>
  <si>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</si>
  <si>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</si>
  <si>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</si>
  <si>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</si>
  <si>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</si>
  <si>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</si>
  <si>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</si>
  <si>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</si>
  <si>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</si>
  <si>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</si>
  <si>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</si>
  <si>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</si>
  <si>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</si>
  <si>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</si>
  <si>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</si>
  <si>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</si>
  <si>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</si>
  <si>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</si>
  <si>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</si>
  <si>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</si>
  <si>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</si>
  <si>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</si>
  <si>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</si>
  <si>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</si>
  <si>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</si>
  <si>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</si>
  <si>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</si>
  <si>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</si>
  <si>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</si>
  <si>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</si>
  <si>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</si>
  <si>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</si>
  <si>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</si>
  <si>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</si>
  <si>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</si>
  <si>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</si>
  <si>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</si>
  <si>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</si>
  <si>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</si>
  <si>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</si>
  <si>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</si>
  <si>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</si>
  <si>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</si>
  <si>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</si>
  <si>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</si>
  <si>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</si>
  <si>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</si>
  <si>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</si>
  <si>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</si>
  <si>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</si>
  <si>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</si>
  <si>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</si>
  <si>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</si>
  <si>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</si>
  <si>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</si>
  <si>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</si>
  <si>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</si>
  <si>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</si>
  <si>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</si>
  <si>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</si>
  <si>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</si>
  <si>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</si>
  <si>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</si>
  <si>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</si>
  <si>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</si>
  <si>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</si>
  <si>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</si>
  <si>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</si>
  <si>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</si>
  <si>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</si>
  <si>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</si>
  <si>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</si>
  <si>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</si>
  <si>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</si>
  <si>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</si>
  <si>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</si>
  <si>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</si>
  <si>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</si>
  <si>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</si>
  <si>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</si>
  <si>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</si>
  <si>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</si>
  <si>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</si>
  <si>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</si>
  <si>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</si>
  <si>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</si>
  <si>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</si>
  <si>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</si>
  <si>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</si>
  <si>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</si>
  <si>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</si>
  <si>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</si>
  <si>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</si>
  <si>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</si>
  <si>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</si>
  <si>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</si>
  <si>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</si>
  <si>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</si>
  <si>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</si>
  <si>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</si>
  <si>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</si>
  <si>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</si>
  <si>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</si>
  <si>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</si>
  <si>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</si>
  <si>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</si>
  <si>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</si>
  <si>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</si>
  <si>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</si>
  <si>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</si>
  <si>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</si>
  <si>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</si>
  <si>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</si>
  <si>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</si>
  <si>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</si>
  <si>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</si>
  <si>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</si>
  <si>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</si>
  <si>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</si>
  <si>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</si>
  <si>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</si>
  <si>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</si>
  <si>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</si>
  <si>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</si>
  <si>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</si>
  <si>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</si>
  <si>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</si>
  <si>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</si>
  <si>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</si>
  <si>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</si>
  <si>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</si>
  <si>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</si>
  <si>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</si>
  <si>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</si>
  <si>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</si>
  <si>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</si>
  <si>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</si>
  <si>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</si>
  <si>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</si>
  <si>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</si>
  <si>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</si>
  <si>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</si>
  <si>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</si>
  <si>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</si>
  <si>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</si>
  <si>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</si>
  <si>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</si>
  <si>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</si>
  <si>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</si>
  <si>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</si>
  <si>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</si>
  <si>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</si>
  <si>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</si>
  <si>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</si>
  <si>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</si>
  <si>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</si>
  <si>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</si>
  <si>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</si>
  <si>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</si>
  <si>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</si>
  <si>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</si>
  <si>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</si>
  <si>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</si>
  <si>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</si>
  <si>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</si>
  <si>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</si>
  <si>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</si>
  <si>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</si>
  <si>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</si>
  <si>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</si>
  <si>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</si>
  <si>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</si>
  <si>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</si>
  <si>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</si>
  <si>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</si>
  <si>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</si>
  <si>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</si>
  <si>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</si>
  <si>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</si>
  <si>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</si>
  <si>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</si>
  <si>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</si>
  <si>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</si>
  <si>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</si>
  <si>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</si>
  <si>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</si>
  <si>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</si>
  <si>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</si>
  <si>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</si>
  <si>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</si>
  <si>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</si>
  <si>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</si>
  <si>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</si>
  <si>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</si>
  <si>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</si>
  <si>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</si>
  <si>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</si>
  <si>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</si>
  <si>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</si>
  <si>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</si>
  <si>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</si>
  <si>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</si>
  <si>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</si>
  <si>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</si>
  <si>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</si>
  <si>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</si>
  <si>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</si>
  <si>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</si>
  <si>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</si>
  <si>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</si>
  <si>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</si>
  <si>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</si>
  <si>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</si>
  <si>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</si>
  <si>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</si>
  <si>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</si>
  <si>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</si>
  <si>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</si>
  <si>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</si>
  <si>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</si>
  <si>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</si>
  <si>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</si>
  <si>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</si>
  <si>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</si>
  <si>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</si>
  <si>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</si>
  <si>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</si>
  <si>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</si>
  <si>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</si>
  <si>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</si>
  <si>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</si>
  <si>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</si>
  <si>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</si>
  <si>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</si>
  <si>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</si>
  <si>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</si>
  <si>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</si>
  <si>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</si>
  <si>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</si>
  <si>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</si>
  <si>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</si>
  <si>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</si>
  <si>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</si>
  <si>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</si>
  <si>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</si>
  <si>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</si>
  <si>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</si>
  <si>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</si>
  <si>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</si>
  <si>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</si>
  <si>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</si>
  <si>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</si>
  <si>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</si>
  <si>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</si>
  <si>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</si>
  <si>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</si>
  <si>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</si>
  <si>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</si>
  <si>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</si>
  <si>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</si>
  <si>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</si>
  <si>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</si>
  <si>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</si>
  <si>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</si>
  <si>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</si>
  <si>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</si>
  <si>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</si>
  <si>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</si>
  <si>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</si>
  <si>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</si>
  <si>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</si>
  <si>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</si>
  <si>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</si>
  <si>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</si>
  <si>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</si>
  <si>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</si>
  <si>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</si>
  <si>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</si>
  <si>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</si>
  <si>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</si>
  <si>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</si>
  <si>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</si>
  <si>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</si>
  <si>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</si>
  <si>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</si>
  <si>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</si>
  <si>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</si>
  <si>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</si>
  <si>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</si>
  <si>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</si>
  <si>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</si>
  <si>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</si>
  <si>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</si>
  <si>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</si>
  <si>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</si>
  <si>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</si>
  <si>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</si>
  <si>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</si>
  <si>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</si>
  <si>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</si>
  <si>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</si>
  <si>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</si>
  <si>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</si>
  <si>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</si>
  <si>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</si>
  <si>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</si>
  <si>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</si>
  <si>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</si>
  <si>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</si>
  <si>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</si>
  <si>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</si>
  <si>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</si>
  <si>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</si>
  <si>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</si>
  <si>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</si>
  <si>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</si>
  <si>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</si>
  <si>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</si>
  <si>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</si>
  <si>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</si>
  <si>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</si>
  <si>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</si>
  <si>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</si>
  <si>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</si>
  <si>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</si>
  <si>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</si>
  <si>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</si>
  <si>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</si>
  <si>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</si>
  <si>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</si>
  <si>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</si>
  <si>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</si>
  <si>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</si>
  <si>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</si>
  <si>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</si>
  <si>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</si>
  <si>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</si>
  <si>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</si>
  <si>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</si>
  <si>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</si>
  <si>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</si>
  <si>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</si>
  <si>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</si>
  <si>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</si>
  <si>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</si>
  <si>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</si>
  <si>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</si>
  <si>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</si>
  <si>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</si>
  <si>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</si>
  <si>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</si>
  <si>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</si>
  <si>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</si>
  <si>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</si>
  <si>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</si>
  <si>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</si>
  <si>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</si>
  <si>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</si>
  <si>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</si>
  <si>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</si>
  <si>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</si>
  <si>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</si>
  <si>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</si>
  <si>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</si>
  <si>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</si>
  <si>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</si>
  <si>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</si>
  <si>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</si>
  <si>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</si>
  <si>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</si>
  <si>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</si>
  <si>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</si>
  <si>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</si>
  <si>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</si>
  <si>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</si>
  <si>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Date :-18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</si>
</sst>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1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8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</row>
        <row r="3">
          <cell r="I3">
            <v>128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4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1" t="s">
        <v>491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2:13" x14ac:dyDescent="0.35">
      <c r="B3" s="211" t="s">
        <v>616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2:13" x14ac:dyDescent="0.35">
      <c r="B4" s="211" t="s">
        <v>492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2:13" x14ac:dyDescent="0.35">
      <c r="B5" s="210" t="s">
        <v>493</v>
      </c>
      <c r="C5" s="210"/>
      <c r="D5" s="210"/>
      <c r="E5" s="210"/>
      <c r="F5" s="211" t="s">
        <v>494</v>
      </c>
      <c r="G5" s="211"/>
      <c r="H5" s="211"/>
      <c r="I5" s="211"/>
      <c r="J5" s="211"/>
      <c r="K5" s="215" t="s">
        <v>618</v>
      </c>
      <c r="L5" s="216"/>
      <c r="M5" s="217"/>
    </row>
    <row r="6" spans="2:13" x14ac:dyDescent="0.35">
      <c r="B6" s="210" t="s">
        <v>495</v>
      </c>
      <c r="C6" s="210"/>
      <c r="D6" s="210"/>
      <c r="E6" s="210"/>
      <c r="F6" s="211" t="s">
        <v>496</v>
      </c>
      <c r="G6" s="211"/>
      <c r="H6" s="211"/>
      <c r="I6" s="211"/>
      <c r="J6" s="211"/>
      <c r="K6" s="212" t="s">
        <v>497</v>
      </c>
      <c r="L6" s="212"/>
      <c r="M6" s="212"/>
    </row>
    <row r="7" spans="2:13" x14ac:dyDescent="0.35">
      <c r="B7" s="213" t="s">
        <v>444</v>
      </c>
      <c r="C7" s="213" t="s">
        <v>122</v>
      </c>
      <c r="D7" s="100" t="s">
        <v>48</v>
      </c>
      <c r="E7" s="100" t="s">
        <v>445</v>
      </c>
      <c r="F7" s="100" t="s">
        <v>0</v>
      </c>
      <c r="G7" s="214">
        <v>45962</v>
      </c>
      <c r="H7" s="213"/>
      <c r="I7" s="213" t="s">
        <v>125</v>
      </c>
      <c r="J7" s="213" t="s">
        <v>446</v>
      </c>
      <c r="K7" s="101">
        <v>45992</v>
      </c>
      <c r="L7" s="101">
        <f>K7+31</f>
        <v>46023</v>
      </c>
      <c r="M7" s="213" t="s">
        <v>1</v>
      </c>
    </row>
    <row r="8" spans="2:13" x14ac:dyDescent="0.35">
      <c r="B8" s="213"/>
      <c r="C8" s="213"/>
      <c r="D8" s="100" t="s">
        <v>124</v>
      </c>
      <c r="E8" s="100" t="s">
        <v>447</v>
      </c>
      <c r="F8" s="100" t="s">
        <v>448</v>
      </c>
      <c r="G8" s="213" t="s">
        <v>443</v>
      </c>
      <c r="H8" s="213" t="s">
        <v>449</v>
      </c>
      <c r="I8" s="213"/>
      <c r="J8" s="213"/>
      <c r="K8" s="213" t="s">
        <v>443</v>
      </c>
      <c r="L8" s="213" t="s">
        <v>443</v>
      </c>
      <c r="M8" s="213"/>
    </row>
    <row r="9" spans="2:13" x14ac:dyDescent="0.35">
      <c r="B9" s="213"/>
      <c r="C9" s="213"/>
      <c r="D9" s="102"/>
      <c r="E9" s="101">
        <v>45931</v>
      </c>
      <c r="F9" s="101" t="s">
        <v>490</v>
      </c>
      <c r="G9" s="213"/>
      <c r="H9" s="213"/>
      <c r="I9" s="213"/>
      <c r="J9" s="213"/>
      <c r="K9" s="213"/>
      <c r="L9" s="213"/>
      <c r="M9" s="213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1</v>
      </c>
      <c r="I13" s="115">
        <v>5</v>
      </c>
      <c r="J13" s="115">
        <f t="shared" si="0"/>
        <v>133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5</v>
      </c>
      <c r="I16" s="122">
        <v>5</v>
      </c>
      <c r="J16" s="122">
        <f t="shared" si="0"/>
        <v>86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F93" sqref="F93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8" t="str">
        <f>[79]Earthing!A1</f>
        <v>KEC International Limited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</row>
    <row r="2" spans="1:12" ht="15.5" x14ac:dyDescent="0.35">
      <c r="A2" s="218" t="s">
        <v>499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45979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0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554</v>
      </c>
      <c r="H89" s="209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560</v>
      </c>
      <c r="H90" s="209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203"/>
      <c r="D91" s="203"/>
      <c r="E91" s="203"/>
      <c r="F91" s="204"/>
      <c r="G91" s="204"/>
      <c r="H91" s="204"/>
      <c r="I91" s="203"/>
      <c r="J91" s="203"/>
      <c r="K91" s="203"/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1:C1048576">
    <cfRule type="duplicateValues" dxfId="34" priority="1265"/>
  </conditionalFormatting>
  <conditionalFormatting sqref="G5:G90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167"/>
  <sheetViews>
    <sheetView workbookViewId="0">
      <selection activeCell="AJ13" sqref="AJ13:AL13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40" t="s">
        <v>562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2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43" t="s">
        <v>564</v>
      </c>
      <c r="AN3" s="243"/>
      <c r="AO3" s="244">
        <f ca="1">TODAY()-1</f>
        <v>45979</v>
      </c>
      <c r="AP3" s="244"/>
      <c r="AQ3" s="244"/>
      <c r="AR3" s="244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45" t="s">
        <v>565</v>
      </c>
      <c r="M7" s="246"/>
      <c r="N7" s="246"/>
      <c r="O7" s="247"/>
      <c r="R7" t="s">
        <v>463</v>
      </c>
      <c r="AA7" s="248" t="s">
        <v>566</v>
      </c>
      <c r="AB7" s="249"/>
      <c r="AC7" s="249"/>
      <c r="AD7" s="249"/>
      <c r="AE7" s="249"/>
      <c r="AF7" s="250"/>
      <c r="AG7" s="257" t="s">
        <v>567</v>
      </c>
      <c r="AH7" s="258"/>
      <c r="AI7" s="258"/>
      <c r="AJ7" s="263" t="s">
        <v>568</v>
      </c>
      <c r="AK7" s="263"/>
      <c r="AL7" s="263"/>
      <c r="AM7" s="258" t="s">
        <v>569</v>
      </c>
      <c r="AN7" s="258"/>
      <c r="AO7" s="266"/>
      <c r="AP7" s="269" t="s">
        <v>570</v>
      </c>
      <c r="AQ7" s="258"/>
      <c r="AR7" s="266"/>
      <c r="AT7" s="145"/>
    </row>
    <row r="8" spans="1:46" x14ac:dyDescent="0.35">
      <c r="A8" s="144"/>
      <c r="E8" t="s">
        <v>571</v>
      </c>
      <c r="S8" t="s">
        <v>572</v>
      </c>
      <c r="AA8" s="251"/>
      <c r="AB8" s="252"/>
      <c r="AC8" s="252"/>
      <c r="AD8" s="252"/>
      <c r="AE8" s="252"/>
      <c r="AF8" s="253"/>
      <c r="AG8" s="259"/>
      <c r="AH8" s="260"/>
      <c r="AI8" s="260"/>
      <c r="AJ8" s="264"/>
      <c r="AK8" s="264"/>
      <c r="AL8" s="264"/>
      <c r="AM8" s="260"/>
      <c r="AN8" s="260"/>
      <c r="AO8" s="267"/>
      <c r="AP8" s="270"/>
      <c r="AQ8" s="260"/>
      <c r="AR8" s="267"/>
      <c r="AT8" s="145"/>
    </row>
    <row r="9" spans="1:46" ht="15" thickBot="1" x14ac:dyDescent="0.4">
      <c r="A9" s="144"/>
      <c r="L9" s="154"/>
      <c r="M9" s="155"/>
      <c r="N9" s="155"/>
      <c r="O9" s="272"/>
      <c r="P9" s="273"/>
      <c r="AA9" s="254"/>
      <c r="AB9" s="255"/>
      <c r="AC9" s="255"/>
      <c r="AD9" s="255"/>
      <c r="AE9" s="255"/>
      <c r="AF9" s="256"/>
      <c r="AG9" s="261"/>
      <c r="AH9" s="262"/>
      <c r="AI9" s="262"/>
      <c r="AJ9" s="265"/>
      <c r="AK9" s="265"/>
      <c r="AL9" s="265"/>
      <c r="AM9" s="262"/>
      <c r="AN9" s="262"/>
      <c r="AO9" s="268"/>
      <c r="AP9" s="271"/>
      <c r="AQ9" s="262"/>
      <c r="AR9" s="268"/>
      <c r="AT9" s="145"/>
    </row>
    <row r="10" spans="1:46" x14ac:dyDescent="0.35">
      <c r="A10" s="144"/>
      <c r="C10" t="s">
        <v>573</v>
      </c>
      <c r="U10" t="s">
        <v>574</v>
      </c>
      <c r="AA10" s="228" t="s">
        <v>51</v>
      </c>
      <c r="AB10" s="229"/>
      <c r="AC10" s="229"/>
      <c r="AD10" s="229"/>
      <c r="AE10" s="229"/>
      <c r="AF10" s="230"/>
      <c r="AG10" s="231">
        <f>'[80]Location Status'!J4</f>
        <v>171</v>
      </c>
      <c r="AH10" s="232"/>
      <c r="AI10" s="232"/>
      <c r="AJ10" s="233">
        <v>129</v>
      </c>
      <c r="AK10" s="233"/>
      <c r="AL10" s="233"/>
      <c r="AM10" s="234">
        <f>'[80]updated Progress'!L2+'[80]updated Progress'!K2-'[80]updated Progress'!I3</f>
        <v>5</v>
      </c>
      <c r="AN10" s="234"/>
      <c r="AO10" s="235"/>
      <c r="AP10" s="236">
        <f t="shared" ref="AP10:AP15" si="0">AG10-AJ10</f>
        <v>42</v>
      </c>
      <c r="AQ10" s="232"/>
      <c r="AR10" s="237"/>
      <c r="AT10" s="145"/>
    </row>
    <row r="11" spans="1:46" x14ac:dyDescent="0.35">
      <c r="A11" s="144"/>
      <c r="S11" t="s">
        <v>573</v>
      </c>
      <c r="AA11" s="222" t="s">
        <v>575</v>
      </c>
      <c r="AB11" s="223"/>
      <c r="AC11" s="223"/>
      <c r="AD11" s="223"/>
      <c r="AE11" s="223"/>
      <c r="AF11" s="224"/>
      <c r="AG11" s="225">
        <f>AG10</f>
        <v>171</v>
      </c>
      <c r="AH11" s="226"/>
      <c r="AI11" s="226"/>
      <c r="AJ11" s="227">
        <f>'[80]updated Progress'!N2</f>
        <v>82</v>
      </c>
      <c r="AK11" s="227"/>
      <c r="AL11" s="227"/>
      <c r="AM11" s="238"/>
      <c r="AN11" s="238"/>
      <c r="AO11" s="239"/>
      <c r="AP11" s="236">
        <f t="shared" si="0"/>
        <v>89</v>
      </c>
      <c r="AQ11" s="232"/>
      <c r="AR11" s="237"/>
      <c r="AT11" s="145"/>
    </row>
    <row r="12" spans="1:46" x14ac:dyDescent="0.35">
      <c r="A12" s="144"/>
      <c r="C12" t="s">
        <v>576</v>
      </c>
      <c r="I12" s="219"/>
      <c r="J12" s="220"/>
      <c r="K12" s="159" t="s">
        <v>577</v>
      </c>
      <c r="L12" s="159" t="s">
        <v>578</v>
      </c>
      <c r="M12" s="221" t="s">
        <v>579</v>
      </c>
      <c r="N12" s="220"/>
      <c r="O12" s="157" t="s">
        <v>577</v>
      </c>
      <c r="P12" s="157" t="s">
        <v>578</v>
      </c>
      <c r="Q12" s="221"/>
      <c r="R12" s="219"/>
      <c r="AA12" s="222" t="s">
        <v>580</v>
      </c>
      <c r="AB12" s="223"/>
      <c r="AC12" s="223"/>
      <c r="AD12" s="223"/>
      <c r="AE12" s="223"/>
      <c r="AF12" s="224"/>
      <c r="AG12" s="225">
        <f>AG10</f>
        <v>171</v>
      </c>
      <c r="AH12" s="226"/>
      <c r="AI12" s="226"/>
      <c r="AJ12" s="227">
        <v>86</v>
      </c>
      <c r="AK12" s="227"/>
      <c r="AL12" s="227"/>
      <c r="AM12" s="238">
        <f>'[80]updated Progress'!T2</f>
        <v>5</v>
      </c>
      <c r="AN12" s="238"/>
      <c r="AO12" s="239"/>
      <c r="AP12" s="236">
        <f t="shared" si="0"/>
        <v>85</v>
      </c>
      <c r="AQ12" s="232"/>
      <c r="AR12" s="237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2" t="s">
        <v>583</v>
      </c>
      <c r="AB13" s="223"/>
      <c r="AC13" s="223"/>
      <c r="AD13" s="223"/>
      <c r="AE13" s="223"/>
      <c r="AF13" s="224"/>
      <c r="AG13" s="225">
        <f>AG10</f>
        <v>171</v>
      </c>
      <c r="AH13" s="226"/>
      <c r="AI13" s="226"/>
      <c r="AJ13" s="227"/>
      <c r="AK13" s="227"/>
      <c r="AL13" s="227"/>
      <c r="AM13" s="238"/>
      <c r="AN13" s="238"/>
      <c r="AO13" s="239"/>
      <c r="AP13" s="236">
        <f t="shared" si="0"/>
        <v>171</v>
      </c>
      <c r="AQ13" s="232"/>
      <c r="AR13" s="237"/>
      <c r="AT13" s="145"/>
    </row>
    <row r="14" spans="1:46" x14ac:dyDescent="0.35">
      <c r="A14" s="144"/>
      <c r="C14" t="s">
        <v>584</v>
      </c>
      <c r="K14" s="289"/>
      <c r="L14" s="289"/>
      <c r="O14" s="226"/>
      <c r="P14" s="226"/>
      <c r="R14" s="160"/>
      <c r="S14" s="160"/>
      <c r="T14" s="160"/>
      <c r="U14" s="160"/>
      <c r="W14" t="s">
        <v>585</v>
      </c>
      <c r="AA14" s="222" t="s">
        <v>586</v>
      </c>
      <c r="AB14" s="223"/>
      <c r="AC14" s="223"/>
      <c r="AD14" s="223"/>
      <c r="AE14" s="223"/>
      <c r="AF14" s="224"/>
      <c r="AG14" s="290">
        <f>'[80]Location Status'!D179/1000</f>
        <v>66.565550093309042</v>
      </c>
      <c r="AH14" s="291"/>
      <c r="AI14" s="291"/>
      <c r="AJ14" s="227"/>
      <c r="AK14" s="227"/>
      <c r="AL14" s="227"/>
      <c r="AM14" s="238"/>
      <c r="AN14" s="238"/>
      <c r="AO14" s="239"/>
      <c r="AP14" s="274">
        <f t="shared" si="0"/>
        <v>66.565550093309042</v>
      </c>
      <c r="AQ14" s="275"/>
      <c r="AR14" s="276"/>
      <c r="AT14" s="145"/>
    </row>
    <row r="15" spans="1:46" ht="15" thickBot="1" x14ac:dyDescent="0.4">
      <c r="A15" s="144"/>
      <c r="K15" s="277"/>
      <c r="L15" s="277"/>
      <c r="O15" s="158"/>
      <c r="P15" s="158"/>
      <c r="AA15" s="278" t="s">
        <v>587</v>
      </c>
      <c r="AB15" s="279"/>
      <c r="AC15" s="279"/>
      <c r="AD15" s="279"/>
      <c r="AE15" s="279"/>
      <c r="AF15" s="280"/>
      <c r="AG15" s="281">
        <f>AG14</f>
        <v>66.565550093309042</v>
      </c>
      <c r="AH15" s="282"/>
      <c r="AI15" s="282"/>
      <c r="AJ15" s="283"/>
      <c r="AK15" s="283"/>
      <c r="AL15" s="283"/>
      <c r="AM15" s="284"/>
      <c r="AN15" s="284"/>
      <c r="AO15" s="285"/>
      <c r="AP15" s="286">
        <f t="shared" si="0"/>
        <v>66.565550093309042</v>
      </c>
      <c r="AQ15" s="287"/>
      <c r="AR15" s="288"/>
      <c r="AT15" s="145"/>
    </row>
    <row r="16" spans="1:46" x14ac:dyDescent="0.35">
      <c r="A16" s="144"/>
      <c r="F16" t="s">
        <v>469</v>
      </c>
      <c r="K16" s="297" t="s">
        <v>588</v>
      </c>
      <c r="L16" s="297"/>
      <c r="M16" s="297"/>
      <c r="N16" s="297"/>
      <c r="O16" s="297"/>
      <c r="P16" s="297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98" t="s">
        <v>594</v>
      </c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19">
        <f>SUM(AV27:AW167)</f>
        <v>66565.550093309022</v>
      </c>
      <c r="AW25" s="219"/>
      <c r="AX25" s="169"/>
      <c r="AY25" s="299">
        <f>SUM(AY27:AZ167)</f>
        <v>171</v>
      </c>
      <c r="AZ25" s="299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2"/>
      <c r="K26" s="293"/>
      <c r="L26" s="171"/>
      <c r="M26" s="171"/>
      <c r="N26" s="292" t="str">
        <f>VLOOKUP(N28,'[80]Location Status'!$A$7:$D$178,2,0)</f>
        <v>Gantry</v>
      </c>
      <c r="O26" s="293"/>
      <c r="P26" s="171"/>
      <c r="Q26" s="171"/>
      <c r="R26" s="292" t="str">
        <f>VLOOKUP(R28,'[80]Location Status'!$A$7:$D$178,2,0)</f>
        <v>1/0</v>
      </c>
      <c r="S26" s="293"/>
      <c r="T26" s="171"/>
      <c r="U26" s="171"/>
      <c r="V26" s="292" t="str">
        <f>VLOOKUP(V28,'[80]Location Status'!$A$7:$D$178,2,0)</f>
        <v>2/0</v>
      </c>
      <c r="W26" s="293"/>
      <c r="X26" s="171"/>
      <c r="Y26" s="171"/>
      <c r="Z26" s="292" t="str">
        <f>VLOOKUP(Z28,'[80]Location Status'!$A$7:$D$178,2,0)</f>
        <v>3/0</v>
      </c>
      <c r="AA26" s="293"/>
      <c r="AB26" s="171"/>
      <c r="AC26" s="171"/>
      <c r="AD26" s="292" t="str">
        <f>VLOOKUP(AD28,'[80]Location Status'!$A$7:$D$178,2,0)</f>
        <v>4/0</v>
      </c>
      <c r="AE26" s="293"/>
      <c r="AF26" s="171"/>
      <c r="AG26" s="171"/>
      <c r="AH26" s="292" t="str">
        <f>VLOOKUP(AH28,'[80]Location Status'!$A$7:$D$178,2,0)</f>
        <v>4/1</v>
      </c>
      <c r="AI26" s="293"/>
      <c r="AJ26" s="171"/>
      <c r="AK26" s="171"/>
      <c r="AL26" s="292" t="str">
        <f>VLOOKUP(AL28,'[80]Location Status'!$A$7:$D$178,2,0)</f>
        <v>4/2</v>
      </c>
      <c r="AM26" s="293"/>
      <c r="AN26" s="171"/>
      <c r="AO26" s="171"/>
      <c r="AP26" s="292" t="str">
        <f>VLOOKUP(AP28,'[80]Location Status'!$A$7:$D$178,2,0)</f>
        <v>5/0</v>
      </c>
      <c r="AQ26" s="293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94"/>
      <c r="M29" s="295"/>
      <c r="N29" s="178" t="s">
        <v>577</v>
      </c>
      <c r="O29" s="178" t="s">
        <v>578</v>
      </c>
      <c r="P29" s="296">
        <f>VLOOKUP(N28,'[80]Location Status'!$A$7:$D$178,4,0)</f>
        <v>116.51609330903607</v>
      </c>
      <c r="Q29" s="295"/>
      <c r="R29" s="71" t="s">
        <v>577</v>
      </c>
      <c r="S29" s="71" t="s">
        <v>578</v>
      </c>
      <c r="T29" s="296">
        <f>VLOOKUP(R28,'[80]Location Status'!$A$7:$D$178,4,0)</f>
        <v>181.08699999999999</v>
      </c>
      <c r="U29" s="295"/>
      <c r="V29" s="178" t="s">
        <v>577</v>
      </c>
      <c r="W29" s="178" t="s">
        <v>578</v>
      </c>
      <c r="X29" s="296">
        <f>VLOOKUP(V28,'[80]Location Status'!$A$7:$D$178,4,0)</f>
        <v>235.87100000000001</v>
      </c>
      <c r="Y29" s="295"/>
      <c r="Z29" s="178" t="s">
        <v>577</v>
      </c>
      <c r="AA29" s="178" t="s">
        <v>578</v>
      </c>
      <c r="AB29" s="296">
        <f>VLOOKUP(Z28,'[80]Location Status'!$A$7:$D$178,4,0)</f>
        <v>248.38800000000001</v>
      </c>
      <c r="AC29" s="295"/>
      <c r="AD29" s="178" t="s">
        <v>577</v>
      </c>
      <c r="AE29" s="178" t="s">
        <v>578</v>
      </c>
      <c r="AF29" s="296">
        <f>VLOOKUP(AD28,'[80]Location Status'!$A$7:$D$178,4,0)</f>
        <v>399.70400000000001</v>
      </c>
      <c r="AG29" s="295"/>
      <c r="AH29" s="178" t="s">
        <v>577</v>
      </c>
      <c r="AI29" s="178" t="s">
        <v>578</v>
      </c>
      <c r="AJ29" s="296">
        <f>VLOOKUP(AH28,'[80]Location Status'!$A$7:$D$178,4,0)</f>
        <v>433.65800000000002</v>
      </c>
      <c r="AK29" s="295"/>
      <c r="AL29" s="178" t="s">
        <v>577</v>
      </c>
      <c r="AM29" s="178" t="s">
        <v>578</v>
      </c>
      <c r="AN29" s="296">
        <f>VLOOKUP(AL28,'[80]Location Status'!$A$7:$D$178,4,0)</f>
        <v>405.41</v>
      </c>
      <c r="AO29" s="295"/>
      <c r="AP29" s="178" t="s">
        <v>577</v>
      </c>
      <c r="AQ29" s="178" t="s">
        <v>578</v>
      </c>
      <c r="AR29" s="294">
        <f>VLOOKUP(AP28,'[80]Location Status'!$A$7:$D$178,4,0)</f>
        <v>369.786</v>
      </c>
      <c r="AS29" s="294"/>
      <c r="AT29" s="176"/>
      <c r="AV29" s="219">
        <f>D29+H29+L29+P29+T29+X29+AB29+AF29+AJ29+AN29+AR29</f>
        <v>2390.420093309036</v>
      </c>
      <c r="AW29" s="219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19"/>
      <c r="AW30" s="219"/>
    </row>
    <row r="31" spans="1:52" x14ac:dyDescent="0.35">
      <c r="A31" s="144"/>
      <c r="N31" s="226"/>
      <c r="O31" s="226"/>
      <c r="R31" s="226"/>
      <c r="S31" s="226"/>
      <c r="V31" s="226"/>
      <c r="W31" s="226"/>
      <c r="Z31" s="226"/>
      <c r="AA31" s="226"/>
      <c r="AD31" s="226"/>
      <c r="AE31" s="226"/>
      <c r="AH31" s="226"/>
      <c r="AI31" s="226"/>
      <c r="AL31" s="226"/>
      <c r="AM31" s="226"/>
      <c r="AP31" s="226"/>
      <c r="AQ31" s="226"/>
      <c r="AT31" s="176"/>
      <c r="AV31" s="219"/>
      <c r="AW31" s="219"/>
    </row>
    <row r="32" spans="1:52" x14ac:dyDescent="0.35">
      <c r="A32" s="144"/>
      <c r="F32" s="179"/>
      <c r="J32" s="172"/>
      <c r="K32" s="171"/>
      <c r="N32" s="292" t="str">
        <f>VLOOKUP(N28,'[80]Location Status'!$A$7:$D$178,3,0)</f>
        <v>GNT</v>
      </c>
      <c r="O32" s="293"/>
      <c r="R32" s="292" t="str">
        <f>VLOOKUP(R28,'[80]Location Status'!$A$7:$D$178,3,0)</f>
        <v>DD60+0</v>
      </c>
      <c r="S32" s="293"/>
      <c r="V32" s="292" t="str">
        <f>VLOOKUP(V28,'[80]Location Status'!$A$7:$D$178,3,0)</f>
        <v>DD60+0</v>
      </c>
      <c r="W32" s="293"/>
      <c r="Z32" s="292" t="str">
        <f>VLOOKUP(Z28,'[80]Location Status'!$A$7:$D$178,3,0)</f>
        <v>DD45+0</v>
      </c>
      <c r="AA32" s="293"/>
      <c r="AD32" s="180" t="str">
        <f>VLOOKUP(AD28,'[80]Location Status'!$A$7:$D$178,3,0)</f>
        <v>DD60+0</v>
      </c>
      <c r="AE32" s="68"/>
      <c r="AH32" s="292" t="str">
        <f>VLOOKUP(AH28,'[80]Location Status'!$A$7:$D$178,3,0)</f>
        <v>DA+3</v>
      </c>
      <c r="AI32" s="293"/>
      <c r="AL32" s="292" t="str">
        <f>VLOOKUP(AL28,'[80]Location Status'!$A$7:$D$178,3,0)</f>
        <v>DA+3</v>
      </c>
      <c r="AM32" s="293"/>
      <c r="AP32" s="292" t="str">
        <f>VLOOKUP(AP28,'[80]Location Status'!$A$7:$D$178,3,0)</f>
        <v>DB2+0</v>
      </c>
      <c r="AQ32" s="293"/>
      <c r="AT32" s="145"/>
      <c r="AV32" s="219"/>
      <c r="AW32" s="219"/>
    </row>
    <row r="33" spans="1:56" x14ac:dyDescent="0.35">
      <c r="A33" s="144"/>
      <c r="AT33" s="145"/>
      <c r="AV33" s="219"/>
      <c r="AW33" s="219"/>
    </row>
    <row r="34" spans="1:56" x14ac:dyDescent="0.35">
      <c r="A34" s="144"/>
      <c r="B34" s="301" t="s">
        <v>594</v>
      </c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  <c r="AN34" s="301"/>
      <c r="AO34" s="301"/>
      <c r="AP34" s="301"/>
      <c r="AQ34" s="301"/>
      <c r="AR34" s="301"/>
      <c r="AS34" s="301"/>
      <c r="AT34" s="145"/>
      <c r="AV34" s="219"/>
      <c r="AW34" s="219"/>
    </row>
    <row r="35" spans="1:56" x14ac:dyDescent="0.35">
      <c r="A35" s="144"/>
      <c r="V35" s="160" t="s">
        <v>595</v>
      </c>
      <c r="AT35" s="145"/>
      <c r="AV35" s="219"/>
      <c r="AW35" s="219"/>
    </row>
    <row r="36" spans="1:56" x14ac:dyDescent="0.35">
      <c r="A36" s="170"/>
      <c r="B36" s="292" t="str">
        <f>VLOOKUP(B38,'[80]Location Status'!$A$7:$D$178,2,0)</f>
        <v>5/1</v>
      </c>
      <c r="C36" s="293"/>
      <c r="D36" s="171"/>
      <c r="E36" s="171"/>
      <c r="F36" s="292" t="str">
        <f>VLOOKUP(F38,'[80]Location Status'!$A$7:$D$178,2,0)</f>
        <v>5/2</v>
      </c>
      <c r="G36" s="293"/>
      <c r="H36" s="171"/>
      <c r="I36" s="171"/>
      <c r="J36" s="292" t="str">
        <f>VLOOKUP(J38,'[80]Location Status'!$A$7:$D$178,2,0)</f>
        <v>5/3</v>
      </c>
      <c r="K36" s="293"/>
      <c r="L36" s="171"/>
      <c r="M36" s="171"/>
      <c r="N36" s="292" t="str">
        <f>VLOOKUP(N38,'[80]Location Status'!$A$7:$D$178,2,0)</f>
        <v>5/4</v>
      </c>
      <c r="O36" s="293"/>
      <c r="P36" s="171"/>
      <c r="Q36" s="171"/>
      <c r="R36" s="292" t="str">
        <f>VLOOKUP(R38,'[80]Location Status'!$A$7:$D$178,2,0)</f>
        <v>5A/0</v>
      </c>
      <c r="S36" s="293"/>
      <c r="T36" s="171"/>
      <c r="U36" s="171"/>
      <c r="V36" s="292" t="str">
        <f>VLOOKUP(V38,'[80]Location Status'!$A$7:$D$178,2,0)</f>
        <v>5A/1</v>
      </c>
      <c r="W36" s="293"/>
      <c r="X36" s="171"/>
      <c r="Y36" s="171"/>
      <c r="Z36" s="292" t="str">
        <f>VLOOKUP(Z38,'[80]Location Status'!$A$7:$D$178,2,0)</f>
        <v>5A/2</v>
      </c>
      <c r="AA36" s="293"/>
      <c r="AB36" s="171"/>
      <c r="AC36" s="171"/>
      <c r="AD36" s="292" t="str">
        <f>VLOOKUP(AD38,'[80]Location Status'!$A$7:$D$178,2,0)</f>
        <v>5A/3</v>
      </c>
      <c r="AE36" s="293"/>
      <c r="AF36" s="171"/>
      <c r="AG36" s="171"/>
      <c r="AH36" s="292" t="str">
        <f>VLOOKUP(AH38,'[80]Location Status'!$A$7:$D$178,2,0)</f>
        <v>5A/4</v>
      </c>
      <c r="AI36" s="293"/>
      <c r="AJ36" s="171"/>
      <c r="AK36" s="171"/>
      <c r="AL36" s="292" t="str">
        <f>VLOOKUP(AL38,'[80]Location Status'!$A$7:$D$178,2,0)</f>
        <v>5B/0</v>
      </c>
      <c r="AM36" s="293"/>
      <c r="AN36" s="171"/>
      <c r="AO36" s="171"/>
      <c r="AP36" s="292" t="str">
        <f>VLOOKUP(AP38,'[80]Location Status'!$A$7:$D$178,2,0)</f>
        <v>5B/1</v>
      </c>
      <c r="AQ36" s="293"/>
      <c r="AR36" s="171"/>
      <c r="AS36" s="171"/>
      <c r="AT36" s="173"/>
      <c r="AU36" s="171"/>
      <c r="AV36" s="219"/>
      <c r="AW36" s="219"/>
      <c r="AX36" s="171"/>
      <c r="AY36" s="171"/>
      <c r="AZ36" s="171"/>
    </row>
    <row r="37" spans="1:56" x14ac:dyDescent="0.35">
      <c r="A37" s="144"/>
      <c r="AT37" s="145"/>
      <c r="AV37" s="219"/>
      <c r="AW37" s="219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300"/>
      <c r="AW38" s="300"/>
    </row>
    <row r="39" spans="1:56" x14ac:dyDescent="0.35">
      <c r="A39" s="144"/>
      <c r="B39" s="71" t="s">
        <v>577</v>
      </c>
      <c r="C39" s="71" t="s">
        <v>578</v>
      </c>
      <c r="D39" s="296">
        <f>VLOOKUP(B38,'[80]Location Status'!$A$7:$D$178,4,0)</f>
        <v>390.072</v>
      </c>
      <c r="E39" s="295"/>
      <c r="F39" s="178" t="s">
        <v>577</v>
      </c>
      <c r="G39" s="178" t="s">
        <v>578</v>
      </c>
      <c r="H39" s="296">
        <f>VLOOKUP(F38,'[80]Location Status'!$A$7:$D$178,4,0)</f>
        <v>388.65199999999999</v>
      </c>
      <c r="I39" s="295"/>
      <c r="J39" s="178" t="s">
        <v>577</v>
      </c>
      <c r="K39" s="178" t="s">
        <v>578</v>
      </c>
      <c r="L39" s="296">
        <f>VLOOKUP(J38,'[80]Location Status'!$A$7:$D$178,4,0)</f>
        <v>404.43799999999999</v>
      </c>
      <c r="M39" s="295"/>
      <c r="N39" s="178" t="s">
        <v>577</v>
      </c>
      <c r="O39" s="178" t="s">
        <v>578</v>
      </c>
      <c r="P39" s="296">
        <f>VLOOKUP(N38,'[80]Location Status'!$A$7:$D$178,4,0)</f>
        <v>409.68200000000002</v>
      </c>
      <c r="Q39" s="295"/>
      <c r="R39" s="178" t="s">
        <v>577</v>
      </c>
      <c r="S39" s="178" t="s">
        <v>578</v>
      </c>
      <c r="T39" s="296">
        <f>VLOOKUP(R38,'[80]Location Status'!$A$7:$D$178,4,0)</f>
        <v>411.935</v>
      </c>
      <c r="U39" s="295"/>
      <c r="V39" s="178" t="s">
        <v>577</v>
      </c>
      <c r="W39" s="178" t="s">
        <v>578</v>
      </c>
      <c r="X39" s="296">
        <f>VLOOKUP(V38,'[80]Location Status'!$A$7:$D$178,4,0)</f>
        <v>405.87900000000002</v>
      </c>
      <c r="Y39" s="295"/>
      <c r="Z39" s="178" t="s">
        <v>577</v>
      </c>
      <c r="AA39" s="178" t="s">
        <v>578</v>
      </c>
      <c r="AB39" s="296">
        <f>VLOOKUP(Z38,'[80]Location Status'!$A$7:$D$178,4,0)</f>
        <v>419.55900000000003</v>
      </c>
      <c r="AC39" s="295"/>
      <c r="AD39" s="178" t="s">
        <v>577</v>
      </c>
      <c r="AE39" s="178" t="s">
        <v>578</v>
      </c>
      <c r="AF39" s="296">
        <f>VLOOKUP(AD38,'[80]Location Status'!$A$7:$D$178,4,0)</f>
        <v>384.86200000000002</v>
      </c>
      <c r="AG39" s="295"/>
      <c r="AH39" s="178" t="s">
        <v>577</v>
      </c>
      <c r="AI39" s="178" t="s">
        <v>578</v>
      </c>
      <c r="AJ39" s="296">
        <f>VLOOKUP(AH38,'[80]Location Status'!$A$7:$D$178,4,0)</f>
        <v>386.18400000000003</v>
      </c>
      <c r="AK39" s="295"/>
      <c r="AL39" s="181" t="s">
        <v>577</v>
      </c>
      <c r="AM39" s="181" t="s">
        <v>578</v>
      </c>
      <c r="AN39" s="296">
        <f>VLOOKUP(AL38,'[80]Location Status'!$A$7:$D$178,4,0)</f>
        <v>411.63900000000001</v>
      </c>
      <c r="AO39" s="295"/>
      <c r="AP39" s="181" t="s">
        <v>577</v>
      </c>
      <c r="AQ39" s="181" t="s">
        <v>578</v>
      </c>
      <c r="AR39" s="302">
        <f>VLOOKUP(AP38,'[80]Location Status'!$A$7:$D$178,4,0)</f>
        <v>411.35899999999998</v>
      </c>
      <c r="AS39" s="303"/>
      <c r="AT39" s="145"/>
      <c r="AV39" s="219">
        <f>D39+H39+L39+P39+T39+X39+AB39+AF39+AJ39+AN39+AR39</f>
        <v>4424.2610000000004</v>
      </c>
      <c r="AW39" s="219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19"/>
      <c r="AW40" s="219"/>
    </row>
    <row r="41" spans="1:56" x14ac:dyDescent="0.35">
      <c r="A41" s="144"/>
      <c r="B41" s="226"/>
      <c r="C41" s="226"/>
      <c r="F41" s="226"/>
      <c r="G41" s="226"/>
      <c r="J41" s="226"/>
      <c r="K41" s="226"/>
      <c r="N41" s="226"/>
      <c r="O41" s="226"/>
      <c r="R41" s="226"/>
      <c r="S41" s="226"/>
      <c r="V41" s="226"/>
      <c r="W41" s="226"/>
      <c r="Z41" s="226"/>
      <c r="AA41" s="226"/>
      <c r="AD41" s="226"/>
      <c r="AE41" s="226"/>
      <c r="AH41" s="226"/>
      <c r="AI41" s="226"/>
      <c r="AL41" s="226"/>
      <c r="AM41" s="226"/>
      <c r="AP41" s="226" t="s">
        <v>596</v>
      </c>
      <c r="AQ41" s="226"/>
      <c r="AT41" s="145"/>
      <c r="AV41" s="219"/>
      <c r="AW41" s="219"/>
    </row>
    <row r="42" spans="1:56" x14ac:dyDescent="0.35">
      <c r="A42" s="144"/>
      <c r="B42" s="180" t="str">
        <f>VLOOKUP(B38,'[80]Location Status'!$A$7:$D$178,3,0)</f>
        <v>DA+0</v>
      </c>
      <c r="C42" s="68"/>
      <c r="F42" s="292" t="str">
        <f>VLOOKUP(F38,'[80]Location Status'!$A$7:$D$178,3,0)</f>
        <v>DA+0</v>
      </c>
      <c r="G42" s="293"/>
      <c r="J42" s="292" t="str">
        <f>VLOOKUP(J38,'[80]Location Status'!$A$7:$D$178,3,0)</f>
        <v>DA+0</v>
      </c>
      <c r="K42" s="293"/>
      <c r="N42" s="292" t="str">
        <f>VLOOKUP(N38,'[80]Location Status'!$A$7:$D$178,3,0)</f>
        <v>DA+3</v>
      </c>
      <c r="O42" s="293"/>
      <c r="R42" s="292" t="str">
        <f>VLOOKUP(R38,'[80]Location Status'!$A$7:$D$178,3,0)</f>
        <v>DC1+0</v>
      </c>
      <c r="S42" s="293"/>
      <c r="V42" s="292" t="str">
        <f>VLOOKUP(V38,'[80]Location Status'!$A$7:$D$178,3,0)</f>
        <v>DA+3</v>
      </c>
      <c r="W42" s="293"/>
      <c r="Z42" s="292" t="str">
        <f>VLOOKUP(Z38,'[80]Location Status'!$A$7:$D$178,3,0)</f>
        <v>DA+0</v>
      </c>
      <c r="AA42" s="293"/>
      <c r="AD42" s="292" t="str">
        <f>VLOOKUP(AD38,'[80]Location Status'!$A$7:$D$178,3,0)</f>
        <v>DA+3</v>
      </c>
      <c r="AE42" s="293"/>
      <c r="AH42" s="292" t="str">
        <f>VLOOKUP(AH38,'[80]Location Status'!$A$7:$D$178,3,0)</f>
        <v>DA+0</v>
      </c>
      <c r="AI42" s="293"/>
      <c r="AL42" s="292" t="str">
        <f>VLOOKUP(AL38,'[80]Location Status'!$A$7:$D$178,3,0)</f>
        <v>DB2+0</v>
      </c>
      <c r="AM42" s="293"/>
      <c r="AP42" s="292" t="str">
        <f>VLOOKUP(AP38,'[80]Location Status'!$A$7:$D$178,3,0)</f>
        <v>DA+3</v>
      </c>
      <c r="AQ42" s="293"/>
      <c r="AT42" s="145"/>
      <c r="AV42" s="219"/>
      <c r="AW42" s="219"/>
    </row>
    <row r="43" spans="1:56" x14ac:dyDescent="0.35">
      <c r="A43" s="144"/>
      <c r="Z43" s="168"/>
      <c r="AT43" s="145"/>
      <c r="AV43" s="219"/>
      <c r="AW43" s="219"/>
    </row>
    <row r="44" spans="1:56" x14ac:dyDescent="0.35">
      <c r="B44" s="301" t="s">
        <v>594</v>
      </c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1"/>
      <c r="AT44" s="145"/>
      <c r="AV44" s="219"/>
      <c r="AW44" s="219"/>
    </row>
    <row r="45" spans="1:56" x14ac:dyDescent="0.35">
      <c r="A45" s="170"/>
      <c r="B45" s="292" t="str">
        <f>VLOOKUP(B47,'[80]Location Status'!$A$7:$D$178,2,0)</f>
        <v>5B/2</v>
      </c>
      <c r="C45" s="293"/>
      <c r="D45" s="171"/>
      <c r="E45" s="171"/>
      <c r="F45" s="292" t="str">
        <f>VLOOKUP(F47,'[80]Location Status'!$A$7:$D$178,2,0)</f>
        <v>5B/3</v>
      </c>
      <c r="G45" s="293"/>
      <c r="H45" s="171"/>
      <c r="I45" s="171"/>
      <c r="J45" s="292" t="str">
        <f>VLOOKUP(J47,'[80]Location Status'!$A$7:$D$178,2,0)</f>
        <v>5B/4</v>
      </c>
      <c r="K45" s="293"/>
      <c r="L45" s="171"/>
      <c r="M45" s="171"/>
      <c r="N45" s="292" t="str">
        <f>VLOOKUP(N47,'[80]Location Status'!$A$7:$D$178,2,0)</f>
        <v>5B/5</v>
      </c>
      <c r="O45" s="293"/>
      <c r="P45" s="171"/>
      <c r="Q45" s="171"/>
      <c r="R45" s="292" t="str">
        <f>VLOOKUP(R47,'[80]Location Status'!$A$7:$D$178,2,0)</f>
        <v>5B/6</v>
      </c>
      <c r="S45" s="293"/>
      <c r="T45" s="171"/>
      <c r="U45" s="171"/>
      <c r="V45" s="292" t="str">
        <f>VLOOKUP(V47,'[80]Location Status'!$A$7:$D$178,2,0)</f>
        <v>5B/7</v>
      </c>
      <c r="W45" s="293"/>
      <c r="X45" s="171"/>
      <c r="Y45" s="171"/>
      <c r="Z45" s="292" t="str">
        <f>VLOOKUP(Z47,'[80]Location Status'!$A$7:$D$178,2,0)</f>
        <v>5B/8</v>
      </c>
      <c r="AA45" s="293"/>
      <c r="AB45" s="171"/>
      <c r="AC45" s="171"/>
      <c r="AD45" s="292" t="str">
        <f>VLOOKUP(AD47,'[80]Location Status'!$A$7:$D$178,2,0)</f>
        <v>5B/9</v>
      </c>
      <c r="AE45" s="293"/>
      <c r="AF45" s="171"/>
      <c r="AG45" s="171"/>
      <c r="AH45" s="292" t="str">
        <f>VLOOKUP(AH47,'[80]Location Status'!$A$7:$D$178,2,0)</f>
        <v>5B/10</v>
      </c>
      <c r="AI45" s="293"/>
      <c r="AJ45" s="171"/>
      <c r="AK45" s="171"/>
      <c r="AL45" s="292" t="str">
        <f>VLOOKUP(AL47,'[80]Location Status'!$A$7:$D$178,2,0)</f>
        <v>5B/11</v>
      </c>
      <c r="AM45" s="293"/>
      <c r="AN45" s="171"/>
      <c r="AO45" s="171"/>
      <c r="AP45" s="292" t="str">
        <f>VLOOKUP(AP47,'[80]Location Status'!$A$7:$D$178,2,0)</f>
        <v>5C/0</v>
      </c>
      <c r="AQ45" s="293"/>
      <c r="AT45" s="145"/>
      <c r="AU45" s="171"/>
      <c r="AV45" s="219"/>
      <c r="AW45" s="219"/>
      <c r="AX45" s="171"/>
      <c r="AY45" s="171"/>
      <c r="AZ45" s="171"/>
    </row>
    <row r="46" spans="1:56" x14ac:dyDescent="0.35">
      <c r="A46" s="144"/>
      <c r="AT46" s="145"/>
      <c r="AV46" s="219"/>
      <c r="AW46" s="219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300"/>
      <c r="AW47" s="300"/>
    </row>
    <row r="48" spans="1:56" x14ac:dyDescent="0.35">
      <c r="A48" s="144"/>
      <c r="B48" s="157" t="s">
        <v>577</v>
      </c>
      <c r="C48" s="157" t="s">
        <v>578</v>
      </c>
      <c r="D48" s="296">
        <f>VLOOKUP(B47,'[80]Location Status'!$A$7:$D$178,4,0)</f>
        <v>423.904</v>
      </c>
      <c r="E48" s="295"/>
      <c r="F48" s="182" t="s">
        <v>577</v>
      </c>
      <c r="G48" s="182" t="s">
        <v>578</v>
      </c>
      <c r="H48" s="296">
        <f>VLOOKUP(F47,'[80]Location Status'!$A$7:$D$178,4,0)</f>
        <v>412</v>
      </c>
      <c r="I48" s="295"/>
      <c r="J48" s="182" t="s">
        <v>577</v>
      </c>
      <c r="K48" s="182" t="s">
        <v>578</v>
      </c>
      <c r="L48" s="296">
        <f>VLOOKUP(J47,'[80]Location Status'!$A$7:$D$178,4,0)</f>
        <v>428.06099999999998</v>
      </c>
      <c r="M48" s="295"/>
      <c r="N48" s="181" t="s">
        <v>577</v>
      </c>
      <c r="O48" s="181" t="s">
        <v>578</v>
      </c>
      <c r="P48" s="296">
        <f>VLOOKUP(N47,'[80]Location Status'!$A$7:$D$178,4,0)</f>
        <v>407.06799999999998</v>
      </c>
      <c r="Q48" s="295"/>
      <c r="R48" s="178" t="s">
        <v>577</v>
      </c>
      <c r="S48" s="178" t="s">
        <v>578</v>
      </c>
      <c r="T48" s="296">
        <f>VLOOKUP(R47,'[80]Location Status'!$A$7:$D$178,4,0)</f>
        <v>431.339</v>
      </c>
      <c r="U48" s="295"/>
      <c r="V48" s="182" t="s">
        <v>577</v>
      </c>
      <c r="W48" s="182" t="s">
        <v>578</v>
      </c>
      <c r="X48" s="296">
        <f>VLOOKUP(V47,'[80]Location Status'!$A$7:$D$178,4,0)</f>
        <v>397.42700000000002</v>
      </c>
      <c r="Y48" s="295"/>
      <c r="Z48" s="182" t="s">
        <v>577</v>
      </c>
      <c r="AA48" s="182" t="s">
        <v>578</v>
      </c>
      <c r="AB48" s="296">
        <f>VLOOKUP(Z47,'[80]Location Status'!$A$7:$D$178,4,0)</f>
        <v>412.54300000000001</v>
      </c>
      <c r="AC48" s="295"/>
      <c r="AD48" s="182" t="s">
        <v>577</v>
      </c>
      <c r="AE48" s="182" t="s">
        <v>578</v>
      </c>
      <c r="AF48" s="302">
        <f>VLOOKUP(AD47,'[80]Location Status'!$A$7:$D$178,4,0)</f>
        <v>406.31599999999997</v>
      </c>
      <c r="AG48" s="304"/>
      <c r="AH48" s="182" t="s">
        <v>577</v>
      </c>
      <c r="AI48" s="182" t="s">
        <v>578</v>
      </c>
      <c r="AJ48" s="296">
        <f>VLOOKUP(AH47,'[80]Location Status'!$A$7:$D$178,4,0)</f>
        <v>431.584</v>
      </c>
      <c r="AK48" s="295"/>
      <c r="AL48" s="181" t="s">
        <v>577</v>
      </c>
      <c r="AM48" s="181" t="s">
        <v>578</v>
      </c>
      <c r="AN48" s="296">
        <f>VLOOKUP(AL47,'[80]Location Status'!$A$7:$D$178,4,0)</f>
        <v>406.78300000000002</v>
      </c>
      <c r="AO48" s="295"/>
      <c r="AP48" s="181" t="s">
        <v>577</v>
      </c>
      <c r="AQ48" s="181" t="s">
        <v>578</v>
      </c>
      <c r="AR48" s="296">
        <f>VLOOKUP(AP47,'[80]Location Status'!$A$7:$D$178,4,0)</f>
        <v>481.77699999999999</v>
      </c>
      <c r="AS48" s="294"/>
      <c r="AT48" s="145"/>
      <c r="AV48" s="219">
        <f>D48+H48+L48+P48+T48+X48+AB48+AF48+AJ48+AN48+AR48</f>
        <v>4638.8019999999997</v>
      </c>
      <c r="AW48" s="219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19"/>
      <c r="AW49" s="219"/>
      <c r="BB49" s="183"/>
      <c r="BC49" s="184"/>
      <c r="BD49" s="185"/>
    </row>
    <row r="50" spans="1:56" x14ac:dyDescent="0.35">
      <c r="A50" s="144"/>
      <c r="B50" s="226" t="s">
        <v>596</v>
      </c>
      <c r="C50" s="226"/>
      <c r="F50" s="226" t="s">
        <v>441</v>
      </c>
      <c r="G50" s="226"/>
      <c r="J50" s="226" t="s">
        <v>441</v>
      </c>
      <c r="K50" s="226"/>
      <c r="N50" s="226" t="s">
        <v>441</v>
      </c>
      <c r="O50" s="226"/>
      <c r="R50" s="226"/>
      <c r="S50" s="226"/>
      <c r="V50" s="226" t="s">
        <v>441</v>
      </c>
      <c r="W50" s="226"/>
      <c r="Z50" s="226" t="s">
        <v>596</v>
      </c>
      <c r="AA50" s="226"/>
      <c r="AD50" s="226" t="s">
        <v>441</v>
      </c>
      <c r="AE50" s="226"/>
      <c r="AH50" s="226" t="s">
        <v>596</v>
      </c>
      <c r="AI50" s="226"/>
      <c r="AL50" s="226" t="s">
        <v>441</v>
      </c>
      <c r="AM50" s="226"/>
      <c r="AP50" s="226"/>
      <c r="AQ50" s="226"/>
      <c r="AT50" s="145"/>
      <c r="AV50" s="219"/>
      <c r="AW50" s="219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19"/>
      <c r="AW51" s="219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19"/>
      <c r="AW52" s="219"/>
    </row>
    <row r="53" spans="1:56" x14ac:dyDescent="0.35">
      <c r="B53" s="301" t="s">
        <v>594</v>
      </c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AT53" s="145"/>
      <c r="AV53" s="219"/>
      <c r="AW53" s="219"/>
    </row>
    <row r="54" spans="1:56" x14ac:dyDescent="0.35">
      <c r="A54" s="170"/>
      <c r="B54" s="292" t="str">
        <f>VLOOKUP(B56,'[80]Location Status'!$A$7:$D$178,2,0)</f>
        <v>5C/1</v>
      </c>
      <c r="C54" s="293"/>
      <c r="D54" s="171"/>
      <c r="E54" s="171"/>
      <c r="F54" s="292" t="str">
        <f>VLOOKUP(F56,'[80]Location Status'!$A$7:$D$178,2,0)</f>
        <v>5C/2</v>
      </c>
      <c r="G54" s="293"/>
      <c r="H54" s="171"/>
      <c r="I54" s="171"/>
      <c r="J54" s="292" t="str">
        <f>VLOOKUP(J56,'[80]Location Status'!$A$7:$D$178,2,0)</f>
        <v>5C/3</v>
      </c>
      <c r="K54" s="293"/>
      <c r="L54" s="171"/>
      <c r="M54" s="171"/>
      <c r="N54" s="292" t="str">
        <f>VLOOKUP(N56,'[80]Location Status'!$A$7:$D$178,2,0)</f>
        <v>6/0</v>
      </c>
      <c r="O54" s="293"/>
      <c r="P54" s="171"/>
      <c r="Q54" s="171"/>
      <c r="R54" s="292" t="str">
        <f>VLOOKUP(R56,'[80]Location Status'!$A$7:$D$178,2,0)</f>
        <v>7/0</v>
      </c>
      <c r="S54" s="293"/>
      <c r="T54" s="171"/>
      <c r="U54" s="171"/>
      <c r="V54" s="292" t="str">
        <f>VLOOKUP(V56,'[80]Location Status'!$A$7:$D$178,2,0)</f>
        <v>7/1</v>
      </c>
      <c r="W54" s="293"/>
      <c r="X54" s="171"/>
      <c r="Y54" s="171"/>
      <c r="Z54" s="292" t="str">
        <f>VLOOKUP(Z56,'[80]Location Status'!$A$7:$D$178,2,0)</f>
        <v>7/2</v>
      </c>
      <c r="AA54" s="293"/>
      <c r="AB54" s="171"/>
      <c r="AC54" s="171"/>
      <c r="AD54" s="292" t="str">
        <f>VLOOKUP(AD56,'[80]Location Status'!$A$7:$D$178,2,0)</f>
        <v>8/0</v>
      </c>
      <c r="AE54" s="293"/>
      <c r="AF54" s="171"/>
      <c r="AG54" s="171"/>
      <c r="AH54" s="292" t="str">
        <f>VLOOKUP(AH56,'[80]Location Status'!$A$7:$D$178,2,0)</f>
        <v>8/1</v>
      </c>
      <c r="AI54" s="293"/>
      <c r="AJ54" s="171"/>
      <c r="AK54" s="171"/>
      <c r="AL54" s="292" t="str">
        <f>VLOOKUP(AL56,'[80]Location Status'!$A$7:$D$178,2,0)</f>
        <v>8/2</v>
      </c>
      <c r="AM54" s="293"/>
      <c r="AN54" s="171"/>
      <c r="AO54" s="171"/>
      <c r="AP54" s="292" t="str">
        <f>VLOOKUP(AP56,'[80]Location Status'!$A$7:$D$178,2,0)</f>
        <v>8/3</v>
      </c>
      <c r="AQ54" s="293"/>
      <c r="AR54" s="171"/>
      <c r="AS54" s="171"/>
      <c r="AT54" s="173"/>
      <c r="AU54" s="171"/>
      <c r="AV54" s="219"/>
      <c r="AW54" s="219"/>
      <c r="AX54" s="171"/>
      <c r="AY54" s="171"/>
      <c r="AZ54" s="171"/>
    </row>
    <row r="55" spans="1:56" x14ac:dyDescent="0.35">
      <c r="A55" s="144"/>
      <c r="AT55" s="145"/>
      <c r="AV55" s="219"/>
      <c r="AW55" s="219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300"/>
      <c r="AW56" s="300"/>
    </row>
    <row r="57" spans="1:56" x14ac:dyDescent="0.35">
      <c r="A57" s="144"/>
      <c r="B57" s="157" t="s">
        <v>577</v>
      </c>
      <c r="C57" s="157" t="s">
        <v>578</v>
      </c>
      <c r="D57" s="296">
        <f>VLOOKUP(B56,'[80]Location Status'!$A$7:$D$178,4,0)</f>
        <v>357.09899999999999</v>
      </c>
      <c r="E57" s="295"/>
      <c r="F57" s="182" t="s">
        <v>577</v>
      </c>
      <c r="G57" s="182" t="s">
        <v>578</v>
      </c>
      <c r="H57" s="296">
        <f>VLOOKUP(F56,'[80]Location Status'!$A$7:$D$178,4,0)</f>
        <v>479.70499999999998</v>
      </c>
      <c r="I57" s="295"/>
      <c r="J57" s="178" t="s">
        <v>577</v>
      </c>
      <c r="K57" s="178" t="s">
        <v>578</v>
      </c>
      <c r="L57" s="296">
        <f>VLOOKUP(J56,'[80]Location Status'!$A$7:$D$178,4,0)</f>
        <v>343.28800000000001</v>
      </c>
      <c r="M57" s="295"/>
      <c r="N57" s="178" t="s">
        <v>577</v>
      </c>
      <c r="O57" s="178" t="s">
        <v>578</v>
      </c>
      <c r="P57" s="302">
        <f>VLOOKUP(N56,'[80]Location Status'!$A$7:$D$178,4,0)</f>
        <v>233.81</v>
      </c>
      <c r="Q57" s="304"/>
      <c r="R57" s="178" t="s">
        <v>577</v>
      </c>
      <c r="S57" s="178" t="s">
        <v>578</v>
      </c>
      <c r="T57" s="296">
        <f>VLOOKUP(R56,'[80]Location Status'!$A$7:$D$178,4,0)</f>
        <v>370.22199999999998</v>
      </c>
      <c r="U57" s="295"/>
      <c r="V57" s="178" t="s">
        <v>577</v>
      </c>
      <c r="W57" s="178" t="s">
        <v>578</v>
      </c>
      <c r="X57" s="296">
        <f>VLOOKUP(V56,'[80]Location Status'!$A$7:$D$178,4,0)</f>
        <v>361.27300000000002</v>
      </c>
      <c r="Y57" s="295"/>
      <c r="Z57" s="182" t="s">
        <v>577</v>
      </c>
      <c r="AA57" s="182" t="s">
        <v>578</v>
      </c>
      <c r="AB57" s="296">
        <f>VLOOKUP(Z56,'[80]Location Status'!$A$7:$D$178,4,0)</f>
        <v>424.95800000000003</v>
      </c>
      <c r="AC57" s="295"/>
      <c r="AD57" s="182" t="s">
        <v>577</v>
      </c>
      <c r="AE57" s="182" t="s">
        <v>578</v>
      </c>
      <c r="AF57" s="302">
        <f>VLOOKUP(AD56,'[80]Location Status'!$A$7:$D$178,4,0)</f>
        <v>385.685</v>
      </c>
      <c r="AG57" s="304"/>
      <c r="AH57" s="182" t="s">
        <v>577</v>
      </c>
      <c r="AI57" s="182" t="s">
        <v>578</v>
      </c>
      <c r="AJ57" s="296">
        <f>VLOOKUP(AH56,'[80]Location Status'!$A$7:$D$178,4,0)</f>
        <v>365.00299999999999</v>
      </c>
      <c r="AK57" s="295"/>
      <c r="AL57" s="182" t="s">
        <v>577</v>
      </c>
      <c r="AM57" s="182" t="s">
        <v>578</v>
      </c>
      <c r="AN57" s="296">
        <f>VLOOKUP(AL56,'[80]Location Status'!$A$7:$D$178,4,0)</f>
        <v>345.87700000000001</v>
      </c>
      <c r="AO57" s="295"/>
      <c r="AP57" s="182" t="s">
        <v>577</v>
      </c>
      <c r="AQ57" s="182" t="s">
        <v>578</v>
      </c>
      <c r="AR57" s="296">
        <f>VLOOKUP(AP56,'[80]Location Status'!$A$7:$D$178,4,0)</f>
        <v>346.53800000000001</v>
      </c>
      <c r="AS57" s="294"/>
      <c r="AT57" s="145"/>
      <c r="AV57" s="219">
        <f>D57+H57+L57+P57+T57+X57+AB57+AF57+AJ57+AN57+AR57</f>
        <v>4013.4580000000001</v>
      </c>
      <c r="AW57" s="219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19"/>
      <c r="AW58" s="219"/>
      <c r="BB58" s="183"/>
      <c r="BC58" s="184"/>
      <c r="BD58" s="185"/>
    </row>
    <row r="59" spans="1:56" x14ac:dyDescent="0.35">
      <c r="A59" s="144"/>
      <c r="B59" s="226" t="s">
        <v>441</v>
      </c>
      <c r="C59" s="226"/>
      <c r="F59" s="226" t="s">
        <v>441</v>
      </c>
      <c r="G59" s="226"/>
      <c r="J59" s="226"/>
      <c r="K59" s="226"/>
      <c r="N59" s="226"/>
      <c r="O59" s="226"/>
      <c r="R59" s="226"/>
      <c r="S59" s="226"/>
      <c r="V59" s="226"/>
      <c r="W59" s="226"/>
      <c r="Z59" s="305" t="s">
        <v>441</v>
      </c>
      <c r="AA59" s="225"/>
      <c r="AD59" s="226" t="s">
        <v>441</v>
      </c>
      <c r="AE59" s="226"/>
      <c r="AH59" s="226" t="s">
        <v>441</v>
      </c>
      <c r="AI59" s="226"/>
      <c r="AL59" s="226" t="s">
        <v>441</v>
      </c>
      <c r="AM59" s="226"/>
      <c r="AP59" s="226" t="s">
        <v>596</v>
      </c>
      <c r="AQ59" s="226"/>
      <c r="AT59" s="145"/>
      <c r="AV59" s="219"/>
      <c r="AW59" s="219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19"/>
      <c r="AW60" s="219"/>
      <c r="BB60" s="183"/>
      <c r="BC60" s="184"/>
      <c r="BD60" s="185"/>
    </row>
    <row r="61" spans="1:56" x14ac:dyDescent="0.35">
      <c r="A61" s="144"/>
      <c r="AT61" s="145"/>
      <c r="AV61" s="219"/>
      <c r="AW61" s="219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19"/>
      <c r="AW62" s="219"/>
      <c r="BB62" s="183"/>
      <c r="BC62" s="184"/>
      <c r="BD62" s="185"/>
    </row>
    <row r="63" spans="1:56" x14ac:dyDescent="0.35">
      <c r="A63" s="144"/>
      <c r="B63" s="292" t="str">
        <f>VLOOKUP(B65,'[80]Location Status'!$A$7:$D$178,2,0)</f>
        <v>9/0</v>
      </c>
      <c r="C63" s="292"/>
      <c r="F63" s="292" t="str">
        <f>VLOOKUP(F65,'[80]Location Status'!$A$7:$D$178,2,0)</f>
        <v>10/0</v>
      </c>
      <c r="G63" s="292"/>
      <c r="J63" s="292" t="str">
        <f>VLOOKUP(J65,'[80]Location Status'!$A$7:$D$178,2,0)</f>
        <v>10/1</v>
      </c>
      <c r="K63" s="292"/>
      <c r="N63" s="292" t="str">
        <f>VLOOKUP(N65,'[80]Location Status'!$A$7:$D$178,2,0)</f>
        <v>10/2</v>
      </c>
      <c r="O63" s="292"/>
      <c r="R63" s="292" t="str">
        <f>VLOOKUP(R65,'[80]Location Status'!$A$7:$D$178,2,0)</f>
        <v>10/3</v>
      </c>
      <c r="S63" s="292"/>
      <c r="V63" s="292" t="str">
        <f>VLOOKUP(V65,'[80]Location Status'!$A$7:$D$178,2,0)</f>
        <v>10/4</v>
      </c>
      <c r="W63" s="292"/>
      <c r="Z63" s="292" t="str">
        <f>VLOOKUP(Z65,'[80]Location Status'!$A$7:$D$178,2,0)</f>
        <v>11/0</v>
      </c>
      <c r="AA63" s="292"/>
      <c r="AD63" s="292" t="str">
        <f>VLOOKUP(AD65,'[80]Location Status'!$A$7:$D$178,2,0)</f>
        <v>11/1</v>
      </c>
      <c r="AE63" s="292"/>
      <c r="AH63" s="292" t="str">
        <f>VLOOKUP(AH65,'[80]Location Status'!$A$7:$D$178,2,0)</f>
        <v>11/2</v>
      </c>
      <c r="AI63" s="292"/>
      <c r="AL63" s="292" t="str">
        <f>VLOOKUP(AL65,'[80]Location Status'!$A$7:$D$178,2,0)</f>
        <v>11/3</v>
      </c>
      <c r="AM63" s="292"/>
      <c r="AP63" s="292" t="str">
        <f>VLOOKUP(AP65,'[80]Location Status'!$A$7:$D$178,2,0)</f>
        <v>11/4</v>
      </c>
      <c r="AQ63" s="292"/>
      <c r="AT63" s="145"/>
      <c r="AV63" s="219"/>
      <c r="AW63" s="219"/>
      <c r="BB63" s="183"/>
      <c r="BC63" s="184"/>
      <c r="BD63" s="185"/>
    </row>
    <row r="64" spans="1:56" x14ac:dyDescent="0.35">
      <c r="A64" s="144"/>
      <c r="AT64" s="145"/>
      <c r="AV64" s="219"/>
      <c r="AW64" s="219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300"/>
      <c r="AW65" s="300"/>
    </row>
    <row r="66" spans="1:56" x14ac:dyDescent="0.35">
      <c r="A66" s="144"/>
      <c r="B66" s="157" t="s">
        <v>577</v>
      </c>
      <c r="C66" s="157" t="s">
        <v>578</v>
      </c>
      <c r="D66" s="302">
        <f>VLOOKUP(B65,'[80]Location Status'!$A$7:$D$178,4,0)</f>
        <v>195.429</v>
      </c>
      <c r="E66" s="304"/>
      <c r="F66" s="181" t="s">
        <v>577</v>
      </c>
      <c r="G66" s="181" t="s">
        <v>578</v>
      </c>
      <c r="H66" s="296">
        <f>VLOOKUP(F65,'[80]Location Status'!$A$7:$D$178,4,0)</f>
        <v>327.43</v>
      </c>
      <c r="I66" s="295"/>
      <c r="J66" s="182" t="s">
        <v>577</v>
      </c>
      <c r="K66" s="182" t="s">
        <v>578</v>
      </c>
      <c r="L66" s="296">
        <f>VLOOKUP(J65,'[80]Location Status'!$A$7:$D$178,4,0)</f>
        <v>437.142</v>
      </c>
      <c r="M66" s="295"/>
      <c r="N66" s="182" t="s">
        <v>577</v>
      </c>
      <c r="O66" s="182" t="s">
        <v>578</v>
      </c>
      <c r="P66" s="296">
        <f>VLOOKUP(N65,'[80]Location Status'!$A$7:$D$178,4,0)</f>
        <v>398.44499999999999</v>
      </c>
      <c r="Q66" s="295"/>
      <c r="R66" s="182" t="s">
        <v>577</v>
      </c>
      <c r="S66" s="182" t="s">
        <v>578</v>
      </c>
      <c r="T66" s="296">
        <f>VLOOKUP(R65,'[80]Location Status'!$A$7:$D$178,4,0)</f>
        <v>385.096</v>
      </c>
      <c r="U66" s="295"/>
      <c r="V66" s="178" t="s">
        <v>577</v>
      </c>
      <c r="W66" s="178" t="s">
        <v>578</v>
      </c>
      <c r="X66" s="296">
        <f>VLOOKUP(V65,'[80]Location Status'!$A$7:$D$178,4,0)</f>
        <v>418.04500000000002</v>
      </c>
      <c r="Y66" s="295"/>
      <c r="Z66" s="182" t="s">
        <v>577</v>
      </c>
      <c r="AA66" s="182" t="s">
        <v>578</v>
      </c>
      <c r="AB66" s="296">
        <f>VLOOKUP(Z65,'[80]Location Status'!$A$7:$D$178,4,0)</f>
        <v>356.43</v>
      </c>
      <c r="AC66" s="295"/>
      <c r="AD66" s="182" t="s">
        <v>577</v>
      </c>
      <c r="AE66" s="182" t="s">
        <v>578</v>
      </c>
      <c r="AF66" s="296">
        <f>VLOOKUP(AD65,'[80]Location Status'!$A$7:$D$178,4,0)</f>
        <v>400.90300000000002</v>
      </c>
      <c r="AG66" s="295"/>
      <c r="AH66" s="182" t="s">
        <v>577</v>
      </c>
      <c r="AI66" s="182" t="s">
        <v>578</v>
      </c>
      <c r="AJ66" s="296">
        <f>VLOOKUP(AH65,'[80]Location Status'!$A$7:$D$178,4,0)</f>
        <v>414.95100000000002</v>
      </c>
      <c r="AK66" s="295"/>
      <c r="AL66" s="182" t="s">
        <v>577</v>
      </c>
      <c r="AM66" s="182" t="s">
        <v>578</v>
      </c>
      <c r="AN66" s="296">
        <f>VLOOKUP(AL65,'[80]Location Status'!$A$7:$D$178,4,0)</f>
        <v>418.08800000000002</v>
      </c>
      <c r="AO66" s="295"/>
      <c r="AP66" s="182" t="s">
        <v>577</v>
      </c>
      <c r="AQ66" s="182" t="s">
        <v>578</v>
      </c>
      <c r="AR66" s="296">
        <f>VLOOKUP(AP65,'[80]Location Status'!$A$7:$D$178,4,0)</f>
        <v>397.64</v>
      </c>
      <c r="AS66" s="294"/>
      <c r="AT66" s="145"/>
      <c r="AV66" s="219">
        <f>D66+H66+L66+P66+T66+X66+AB66+AF66+AJ66+AN66+AR66</f>
        <v>4149.5990000000002</v>
      </c>
      <c r="AW66" s="219"/>
      <c r="AY66">
        <v>11</v>
      </c>
      <c r="BB66" s="184"/>
      <c r="BC66" s="184"/>
      <c r="BD66" s="185"/>
    </row>
    <row r="67" spans="1:56" x14ac:dyDescent="0.35">
      <c r="A67" s="144"/>
      <c r="B67" s="157" t="s">
        <v>581</v>
      </c>
      <c r="C67" s="157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19"/>
      <c r="AW67" s="219"/>
      <c r="BB67" s="184"/>
      <c r="BC67" s="184"/>
      <c r="BD67" s="185"/>
    </row>
    <row r="68" spans="1:56" x14ac:dyDescent="0.35">
      <c r="A68" s="144"/>
      <c r="B68" s="226"/>
      <c r="C68" s="226"/>
      <c r="F68" s="226"/>
      <c r="G68" s="226"/>
      <c r="J68" s="305" t="s">
        <v>596</v>
      </c>
      <c r="K68" s="225"/>
      <c r="N68" s="305" t="s">
        <v>441</v>
      </c>
      <c r="O68" s="225"/>
      <c r="R68" s="305" t="s">
        <v>441</v>
      </c>
      <c r="S68" s="225"/>
      <c r="V68" s="226"/>
      <c r="W68" s="226"/>
      <c r="Z68" s="306" t="s">
        <v>441</v>
      </c>
      <c r="AA68" s="306"/>
      <c r="AD68" s="305" t="s">
        <v>596</v>
      </c>
      <c r="AE68" s="225"/>
      <c r="AH68" s="305" t="s">
        <v>596</v>
      </c>
      <c r="AI68" s="225"/>
      <c r="AL68" s="306" t="s">
        <v>441</v>
      </c>
      <c r="AM68" s="306"/>
      <c r="AP68" s="306" t="s">
        <v>441</v>
      </c>
      <c r="AQ68" s="306"/>
      <c r="AT68" s="145"/>
      <c r="AV68" s="219"/>
      <c r="AW68" s="219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19"/>
      <c r="AW69" s="219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19"/>
      <c r="AW70" s="219"/>
      <c r="BB70" s="184"/>
      <c r="BC70" s="184"/>
      <c r="BD70" s="185"/>
    </row>
    <row r="71" spans="1:56" x14ac:dyDescent="0.35">
      <c r="A71" s="144"/>
      <c r="AT71" s="145"/>
      <c r="AV71" s="219"/>
      <c r="AW71" s="219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19"/>
      <c r="AW72" s="219"/>
      <c r="BB72" s="184"/>
      <c r="BC72" s="184"/>
      <c r="BD72" s="185"/>
    </row>
    <row r="73" spans="1:56" x14ac:dyDescent="0.35">
      <c r="A73" s="144"/>
      <c r="B73" s="292" t="str">
        <f>VLOOKUP(B75,'[80]Location Status'!$A$7:$D$178,2,0)</f>
        <v>11/5</v>
      </c>
      <c r="C73" s="293"/>
      <c r="F73" s="292" t="str">
        <f>VLOOKUP(F75,'[80]Location Status'!$A$7:$D$178,2,0)</f>
        <v>11/6</v>
      </c>
      <c r="G73" s="293"/>
      <c r="J73" s="292" t="str">
        <f>VLOOKUP(J75,'[80]Location Status'!$A$7:$D$178,2,0)</f>
        <v>12/0</v>
      </c>
      <c r="K73" s="293"/>
      <c r="N73" s="292" t="str">
        <f>VLOOKUP(N75,'[80]Location Status'!$A$7:$D$178,2,0)</f>
        <v>12/1</v>
      </c>
      <c r="O73" s="293"/>
      <c r="R73" s="292" t="str">
        <f>VLOOKUP(R75,'[80]Location Status'!$A$7:$D$178,2,0)</f>
        <v>12/2</v>
      </c>
      <c r="S73" s="293"/>
      <c r="V73" s="292" t="str">
        <f>VLOOKUP(V75,'[80]Location Status'!$A$7:$D$178,2,0)</f>
        <v>12/3</v>
      </c>
      <c r="W73" s="293"/>
      <c r="Z73" s="292" t="str">
        <f>VLOOKUP(Z75,'[80]Location Status'!$A$7:$D$178,2,0)</f>
        <v>12/4</v>
      </c>
      <c r="AA73" s="293"/>
      <c r="AD73" s="292" t="str">
        <f>VLOOKUP(AD75,'[80]Location Status'!$A$7:$D$178,2,0)</f>
        <v>12/5</v>
      </c>
      <c r="AE73" s="293"/>
      <c r="AH73" s="292" t="str">
        <f>VLOOKUP(AH75,'[80]Location Status'!$A$7:$D$178,2,0)</f>
        <v>13/0</v>
      </c>
      <c r="AI73" s="293"/>
      <c r="AL73" s="292" t="str">
        <f>VLOOKUP(AL75,'[80]Location Status'!$A$7:$D$178,2,0)</f>
        <v>13/1</v>
      </c>
      <c r="AM73" s="293"/>
      <c r="AP73" s="292" t="str">
        <f>VLOOKUP(AP75,'[80]Location Status'!$A$7:$D$178,2,0)</f>
        <v>13/2</v>
      </c>
      <c r="AQ73" s="293"/>
      <c r="AT73" s="145"/>
      <c r="AV73" s="219"/>
      <c r="AW73" s="219"/>
      <c r="BB73" s="183"/>
      <c r="BC73" s="184"/>
      <c r="BD73" s="185"/>
    </row>
    <row r="74" spans="1:56" x14ac:dyDescent="0.35">
      <c r="A74" s="144"/>
      <c r="AT74" s="145"/>
      <c r="AV74" s="219"/>
      <c r="AW74" s="219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300"/>
      <c r="AW75" s="300"/>
    </row>
    <row r="76" spans="1:56" x14ac:dyDescent="0.35">
      <c r="A76" s="144"/>
      <c r="B76" s="182" t="s">
        <v>577</v>
      </c>
      <c r="C76" s="182" t="s">
        <v>578</v>
      </c>
      <c r="D76" s="294">
        <f>VLOOKUP(B75,'[80]Location Status'!$A$7:$D$178,4,0)</f>
        <v>416.399</v>
      </c>
      <c r="E76" s="307"/>
      <c r="F76" s="181" t="s">
        <v>577</v>
      </c>
      <c r="G76" s="182" t="s">
        <v>578</v>
      </c>
      <c r="H76" s="294">
        <f>VLOOKUP(F75,'[80]Location Status'!$A$7:$D$178,4,0)</f>
        <v>328.48899999999998</v>
      </c>
      <c r="I76" s="307"/>
      <c r="J76" s="182" t="s">
        <v>577</v>
      </c>
      <c r="K76" s="182" t="s">
        <v>578</v>
      </c>
      <c r="L76" s="294">
        <f>VLOOKUP(J75,'[80]Location Status'!$A$7:$D$178,4,0)</f>
        <v>369</v>
      </c>
      <c r="M76" s="307"/>
      <c r="N76" s="182" t="s">
        <v>577</v>
      </c>
      <c r="O76" s="182" t="s">
        <v>578</v>
      </c>
      <c r="P76" s="294">
        <f>VLOOKUP(N75,'[80]Location Status'!$A$7:$D$178,4,0)</f>
        <v>381</v>
      </c>
      <c r="Q76" s="307"/>
      <c r="R76" s="182" t="s">
        <v>577</v>
      </c>
      <c r="S76" s="182" t="s">
        <v>578</v>
      </c>
      <c r="T76" s="294">
        <f>VLOOKUP(R75,'[80]Location Status'!$A$7:$D$178,4,0)</f>
        <v>385</v>
      </c>
      <c r="U76" s="307"/>
      <c r="V76" s="182" t="s">
        <v>577</v>
      </c>
      <c r="W76" s="182" t="s">
        <v>578</v>
      </c>
      <c r="X76" s="294">
        <f>VLOOKUP(V75,'[80]Location Status'!$A$7:$D$178,4,0)</f>
        <v>403</v>
      </c>
      <c r="Y76" s="307"/>
      <c r="Z76" s="182" t="s">
        <v>577</v>
      </c>
      <c r="AA76" s="182" t="s">
        <v>578</v>
      </c>
      <c r="AB76" s="294">
        <f>VLOOKUP(Z75,'[80]Location Status'!$A$7:$D$178,4,0)</f>
        <v>436</v>
      </c>
      <c r="AC76" s="307"/>
      <c r="AD76" s="182" t="s">
        <v>577</v>
      </c>
      <c r="AE76" s="182" t="s">
        <v>578</v>
      </c>
      <c r="AF76" s="294">
        <f>VLOOKUP(AD75,'[80]Location Status'!$A$7:$D$178,4,0)</f>
        <v>398.42599999999999</v>
      </c>
      <c r="AG76" s="307"/>
      <c r="AH76" s="182" t="s">
        <v>577</v>
      </c>
      <c r="AI76" s="182" t="s">
        <v>578</v>
      </c>
      <c r="AJ76" s="294">
        <f>VLOOKUP(AH75,'[80]Location Status'!$A$7:$D$178,4,0)</f>
        <v>387.00400000000002</v>
      </c>
      <c r="AK76" s="307"/>
      <c r="AL76" s="182" t="s">
        <v>577</v>
      </c>
      <c r="AM76" s="182" t="s">
        <v>578</v>
      </c>
      <c r="AN76" s="294">
        <f>VLOOKUP(AL75,'[80]Location Status'!$A$7:$D$178,4,0)</f>
        <v>361</v>
      </c>
      <c r="AO76" s="307"/>
      <c r="AP76" s="178" t="s">
        <v>577</v>
      </c>
      <c r="AQ76" s="178" t="s">
        <v>578</v>
      </c>
      <c r="AR76" s="294">
        <f>VLOOKUP(AP75,'[80]Location Status'!$A$7:$D$178,4,0)</f>
        <v>371</v>
      </c>
      <c r="AS76" s="307"/>
      <c r="AT76" s="145"/>
      <c r="AV76" s="219">
        <f>D76+H76+L76+P76+T76+X76+AB76+AF76+AJ76+AN76+AR76</f>
        <v>4236.3179999999993</v>
      </c>
      <c r="AW76" s="219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19"/>
      <c r="AW77" s="219"/>
      <c r="BB77" s="184"/>
      <c r="BC77" s="184"/>
      <c r="BD77" s="185"/>
    </row>
    <row r="78" spans="1:56" x14ac:dyDescent="0.35">
      <c r="A78" s="144"/>
      <c r="B78" s="306" t="s">
        <v>441</v>
      </c>
      <c r="C78" s="306"/>
      <c r="F78" s="305" t="s">
        <v>441</v>
      </c>
      <c r="G78" s="225"/>
      <c r="J78" s="305" t="s">
        <v>596</v>
      </c>
      <c r="K78" s="225"/>
      <c r="N78" s="306" t="s">
        <v>441</v>
      </c>
      <c r="O78" s="306"/>
      <c r="R78" s="306" t="s">
        <v>441</v>
      </c>
      <c r="S78" s="306"/>
      <c r="V78" s="305" t="s">
        <v>596</v>
      </c>
      <c r="W78" s="225"/>
      <c r="Z78" s="305" t="s">
        <v>596</v>
      </c>
      <c r="AA78" s="225"/>
      <c r="AD78" s="306" t="s">
        <v>441</v>
      </c>
      <c r="AE78" s="306"/>
      <c r="AH78" s="305" t="s">
        <v>441</v>
      </c>
      <c r="AI78" s="225"/>
      <c r="AL78" s="306" t="s">
        <v>441</v>
      </c>
      <c r="AM78" s="306"/>
      <c r="AP78" s="226"/>
      <c r="AQ78" s="226"/>
      <c r="AT78" s="145"/>
      <c r="AV78" s="219"/>
      <c r="AW78" s="219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19"/>
      <c r="AW79" s="219"/>
      <c r="BB79" s="184"/>
      <c r="BC79" s="184"/>
      <c r="BD79" s="185"/>
    </row>
    <row r="80" spans="1:56" x14ac:dyDescent="0.35">
      <c r="A80" s="144"/>
      <c r="AT80" s="145"/>
      <c r="AV80" s="219"/>
      <c r="AW80" s="219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19"/>
      <c r="AW81" s="219"/>
      <c r="BB81" s="184"/>
      <c r="BC81" s="184"/>
      <c r="BD81" s="185"/>
    </row>
    <row r="82" spans="1:56" x14ac:dyDescent="0.35">
      <c r="A82" s="144"/>
      <c r="B82" s="292" t="str">
        <f>VLOOKUP(B84,'[80]Location Status'!$A$7:$D$178,2,0)</f>
        <v>13/3</v>
      </c>
      <c r="C82" s="293"/>
      <c r="F82" s="292" t="str">
        <f>VLOOKUP(F84,'[80]Location Status'!$A$7:$D$178,2,0)</f>
        <v>13/4</v>
      </c>
      <c r="G82" s="293"/>
      <c r="J82" s="292" t="str">
        <f>VLOOKUP(J84,'[80]Location Status'!$A$7:$D$178,2,0)</f>
        <v>13/5</v>
      </c>
      <c r="K82" s="293"/>
      <c r="N82" s="292" t="str">
        <f>VLOOKUP(N84,'[80]Location Status'!$A$7:$D$178,2,0)</f>
        <v>13/6</v>
      </c>
      <c r="O82" s="293"/>
      <c r="R82" s="292" t="str">
        <f>VLOOKUP(R84,'[80]Location Status'!$A$7:$D$178,2,0)</f>
        <v>14/0</v>
      </c>
      <c r="S82" s="293"/>
      <c r="V82" s="292" t="str">
        <f>VLOOKUP(V84,'[80]Location Status'!$A$7:$D$178,2,0)</f>
        <v>14/1</v>
      </c>
      <c r="W82" s="293"/>
      <c r="Z82" s="292" t="str">
        <f>VLOOKUP(Z84,'[80]Location Status'!$A$7:$D$178,2,0)</f>
        <v>14/2</v>
      </c>
      <c r="AA82" s="293"/>
      <c r="AD82" s="292" t="str">
        <f>VLOOKUP(AD84,'[80]Location Status'!$A$7:$D$178,2,0)</f>
        <v>14/3</v>
      </c>
      <c r="AE82" s="293"/>
      <c r="AH82" s="292" t="str">
        <f>VLOOKUP(AH84,'[80]Location Status'!$A$7:$D$178,2,0)</f>
        <v>14/4</v>
      </c>
      <c r="AI82" s="293"/>
      <c r="AL82" s="292" t="str">
        <f>VLOOKUP(AL84,'[80]Location Status'!$A$7:$D$178,2,0)</f>
        <v>14/5</v>
      </c>
      <c r="AM82" s="293"/>
      <c r="AP82" s="292" t="str">
        <f>VLOOKUP(AP84,'[80]Location Status'!$A$7:$D$178,2,0)</f>
        <v>14/6</v>
      </c>
      <c r="AQ82" s="293"/>
      <c r="AT82" s="145"/>
      <c r="AV82" s="219"/>
      <c r="AW82" s="219"/>
      <c r="BB82" s="183"/>
      <c r="BC82" s="184"/>
      <c r="BD82" s="185"/>
    </row>
    <row r="83" spans="1:56" x14ac:dyDescent="0.35">
      <c r="A83" s="144"/>
      <c r="AT83" s="145"/>
      <c r="AV83" s="219"/>
      <c r="AW83" s="219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300"/>
      <c r="AW84" s="300"/>
    </row>
    <row r="85" spans="1:56" x14ac:dyDescent="0.35">
      <c r="A85" s="144"/>
      <c r="B85" s="181" t="s">
        <v>577</v>
      </c>
      <c r="C85" s="181" t="s">
        <v>578</v>
      </c>
      <c r="D85" s="292">
        <f>VLOOKUP(B84,'[80]Location Status'!$A$7:$D$178,4,0)</f>
        <v>374</v>
      </c>
      <c r="E85" s="293"/>
      <c r="F85" s="182" t="s">
        <v>577</v>
      </c>
      <c r="G85" s="182" t="s">
        <v>578</v>
      </c>
      <c r="H85" s="292">
        <f>VLOOKUP(F84,'[80]Location Status'!$A$7:$D$178,4,0)</f>
        <v>441</v>
      </c>
      <c r="I85" s="293"/>
      <c r="J85" s="182" t="s">
        <v>577</v>
      </c>
      <c r="K85" s="182" t="s">
        <v>578</v>
      </c>
      <c r="L85" s="292">
        <f>VLOOKUP(J84,'[80]Location Status'!$A$7:$D$178,4,0)</f>
        <v>376</v>
      </c>
      <c r="M85" s="293"/>
      <c r="N85" s="182" t="s">
        <v>577</v>
      </c>
      <c r="O85" s="182" t="s">
        <v>578</v>
      </c>
      <c r="P85" s="292">
        <f>VLOOKUP(N84,'[80]Location Status'!$A$7:$D$178,4,0)</f>
        <v>409.10300000000001</v>
      </c>
      <c r="Q85" s="293"/>
      <c r="R85" s="182" t="s">
        <v>577</v>
      </c>
      <c r="S85" s="182" t="s">
        <v>578</v>
      </c>
      <c r="T85" s="292">
        <f>VLOOKUP(R84,'[80]Location Status'!$A$7:$D$178,4,0)</f>
        <v>387.99700000000001</v>
      </c>
      <c r="U85" s="293"/>
      <c r="V85" s="178" t="s">
        <v>577</v>
      </c>
      <c r="W85" s="178" t="s">
        <v>578</v>
      </c>
      <c r="X85" s="292">
        <f>VLOOKUP(V84,'[80]Location Status'!$A$7:$D$178,4,0)</f>
        <v>393</v>
      </c>
      <c r="Y85" s="293"/>
      <c r="Z85" s="182" t="s">
        <v>577</v>
      </c>
      <c r="AA85" s="182" t="s">
        <v>578</v>
      </c>
      <c r="AB85" s="292">
        <f>VLOOKUP(Z84,'[80]Location Status'!$A$7:$D$178,4,0)</f>
        <v>399</v>
      </c>
      <c r="AC85" s="293"/>
      <c r="AD85" s="182" t="s">
        <v>577</v>
      </c>
      <c r="AE85" s="182" t="s">
        <v>578</v>
      </c>
      <c r="AF85" s="294">
        <f>VLOOKUP(AD84,'[80]Location Status'!$A$7:$D$178,4,0)</f>
        <v>395</v>
      </c>
      <c r="AG85" s="307"/>
      <c r="AH85" s="182" t="s">
        <v>577</v>
      </c>
      <c r="AI85" s="182" t="s">
        <v>578</v>
      </c>
      <c r="AJ85" s="292">
        <f>VLOOKUP(AH84,'[80]Location Status'!$A$7:$D$178,4,0)</f>
        <v>395</v>
      </c>
      <c r="AK85" s="293"/>
      <c r="AL85" s="182" t="s">
        <v>577</v>
      </c>
      <c r="AM85" s="182" t="s">
        <v>578</v>
      </c>
      <c r="AN85" s="292">
        <f>VLOOKUP(AL84,'[80]Location Status'!$A$7:$D$178,4,0)</f>
        <v>417</v>
      </c>
      <c r="AO85" s="293"/>
      <c r="AP85" s="182" t="s">
        <v>577</v>
      </c>
      <c r="AQ85" s="182" t="s">
        <v>578</v>
      </c>
      <c r="AR85" s="292">
        <f>VLOOKUP(AP84,'[80]Location Status'!$A$7:$D$178,4,0)</f>
        <v>415</v>
      </c>
      <c r="AS85" s="293"/>
      <c r="AT85" s="145"/>
      <c r="AV85" s="219">
        <f>D85+H85+L85+P85+T85+X85+AB85+AF85+AJ85+AN85+AR85</f>
        <v>4402.1000000000004</v>
      </c>
      <c r="AW85" s="219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19"/>
      <c r="AW86" s="219"/>
      <c r="BB86" s="184"/>
      <c r="BC86" s="184"/>
      <c r="BD86" s="185"/>
    </row>
    <row r="87" spans="1:56" x14ac:dyDescent="0.35">
      <c r="A87" s="144"/>
      <c r="B87" s="226"/>
      <c r="C87" s="226"/>
      <c r="F87" s="308" t="s">
        <v>441</v>
      </c>
      <c r="G87" s="309"/>
      <c r="J87" s="306" t="s">
        <v>441</v>
      </c>
      <c r="K87" s="306"/>
      <c r="N87" s="306" t="s">
        <v>441</v>
      </c>
      <c r="O87" s="306"/>
      <c r="R87" s="306" t="s">
        <v>441</v>
      </c>
      <c r="S87" s="306"/>
      <c r="V87" s="226"/>
      <c r="W87" s="226"/>
      <c r="Z87" s="306" t="s">
        <v>441</v>
      </c>
      <c r="AA87" s="306"/>
      <c r="AD87" s="305" t="s">
        <v>596</v>
      </c>
      <c r="AE87" s="225"/>
      <c r="AH87" s="306" t="s">
        <v>441</v>
      </c>
      <c r="AI87" s="306"/>
      <c r="AL87" s="306" t="s">
        <v>441</v>
      </c>
      <c r="AM87" s="306"/>
      <c r="AP87" s="306" t="s">
        <v>441</v>
      </c>
      <c r="AQ87" s="306"/>
      <c r="AT87" s="145"/>
      <c r="AV87" s="219"/>
      <c r="AW87" s="219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19"/>
      <c r="AW88" s="219"/>
      <c r="BB88" s="184"/>
      <c r="BC88" s="184"/>
      <c r="BD88" s="185"/>
    </row>
    <row r="89" spans="1:56" x14ac:dyDescent="0.35">
      <c r="A89" s="144"/>
      <c r="AT89" s="145"/>
      <c r="AV89" s="219"/>
      <c r="AW89" s="219"/>
      <c r="BB89" s="184"/>
      <c r="BC89" s="184"/>
      <c r="BD89" s="185"/>
    </row>
    <row r="90" spans="1:56" x14ac:dyDescent="0.35">
      <c r="A90" s="144"/>
      <c r="B90" s="292" t="str">
        <f>VLOOKUP(B92,'[80]Location Status'!$A$7:$D$178,2,0)</f>
        <v>14/7</v>
      </c>
      <c r="C90" s="293"/>
      <c r="F90" s="292" t="str">
        <f>VLOOKUP(F92,'[80]Location Status'!$A$7:$D$178,2,0)</f>
        <v>15/0</v>
      </c>
      <c r="G90" s="293"/>
      <c r="J90" s="292" t="str">
        <f>VLOOKUP(J92,'[80]Location Status'!$A$7:$D$178,2,0)</f>
        <v>15/1</v>
      </c>
      <c r="K90" s="293"/>
      <c r="N90" s="292" t="str">
        <f>VLOOKUP(N92,'[80]Location Status'!$A$7:$D$178,2,0)</f>
        <v>15/2</v>
      </c>
      <c r="O90" s="293"/>
      <c r="R90" s="292" t="str">
        <f>VLOOKUP(R92,'[80]Location Status'!$A$7:$D$178,2,0)</f>
        <v>15/3</v>
      </c>
      <c r="S90" s="293"/>
      <c r="V90" s="292" t="str">
        <f>VLOOKUP(V92,'[80]Location Status'!$A$7:$D$178,2,0)</f>
        <v>15/4</v>
      </c>
      <c r="W90" s="293"/>
      <c r="Z90" s="292" t="str">
        <f>VLOOKUP(Z92,'[80]Location Status'!$A$7:$D$178,2,0)</f>
        <v>15/5</v>
      </c>
      <c r="AA90" s="293"/>
      <c r="AD90" s="292" t="str">
        <f>VLOOKUP(AD92,'[80]Location Status'!$A$7:$D$178,2,0)</f>
        <v>15/6</v>
      </c>
      <c r="AE90" s="293"/>
      <c r="AH90" s="292" t="str">
        <f>VLOOKUP(AH92,'[80]Location Status'!$A$7:$D$178,2,0)</f>
        <v>15/7</v>
      </c>
      <c r="AI90" s="293"/>
      <c r="AL90" s="292" t="str">
        <f>VLOOKUP(AL92,'[80]Location Status'!$A$7:$D$178,2,0)</f>
        <v>16/0</v>
      </c>
      <c r="AM90" s="293"/>
      <c r="AP90" s="292" t="str">
        <f>VLOOKUP(AP92,'[80]Location Status'!$A$7:$D$178,2,0)</f>
        <v>16/1</v>
      </c>
      <c r="AQ90" s="293"/>
      <c r="AT90" s="145"/>
      <c r="AV90" s="219"/>
      <c r="AW90" s="219"/>
      <c r="BB90" s="183"/>
      <c r="BC90" s="184"/>
      <c r="BD90" s="185"/>
    </row>
    <row r="91" spans="1:56" x14ac:dyDescent="0.35">
      <c r="A91" s="144"/>
      <c r="AT91" s="145"/>
      <c r="AV91" s="219"/>
      <c r="AW91" s="219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300"/>
      <c r="AW92" s="300"/>
    </row>
    <row r="93" spans="1:56" x14ac:dyDescent="0.35">
      <c r="A93" s="144"/>
      <c r="B93" s="182" t="s">
        <v>577</v>
      </c>
      <c r="C93" s="182" t="s">
        <v>578</v>
      </c>
      <c r="D93" s="292">
        <f>VLOOKUP(B92,'[80]Location Status'!$A$7:$D$178,4,0)</f>
        <v>417.392</v>
      </c>
      <c r="E93" s="293"/>
      <c r="F93" s="182" t="s">
        <v>577</v>
      </c>
      <c r="G93" s="182" t="s">
        <v>578</v>
      </c>
      <c r="H93" s="292">
        <f>VLOOKUP(F92,'[80]Location Status'!$A$7:$D$178,4,0)</f>
        <v>482</v>
      </c>
      <c r="I93" s="293"/>
      <c r="J93" s="182" t="s">
        <v>577</v>
      </c>
      <c r="K93" s="182" t="s">
        <v>578</v>
      </c>
      <c r="L93" s="292">
        <f>VLOOKUP(J92,'[80]Location Status'!$A$7:$D$178,4,0)</f>
        <v>357</v>
      </c>
      <c r="M93" s="293"/>
      <c r="N93" s="182" t="s">
        <v>577</v>
      </c>
      <c r="O93" s="182" t="s">
        <v>578</v>
      </c>
      <c r="P93" s="292">
        <f>VLOOKUP(N92,'[80]Location Status'!$A$7:$D$178,4,0)</f>
        <v>401</v>
      </c>
      <c r="Q93" s="293"/>
      <c r="R93" s="182" t="s">
        <v>577</v>
      </c>
      <c r="S93" s="182" t="s">
        <v>578</v>
      </c>
      <c r="T93" s="294">
        <f>VLOOKUP(R92,'[80]Location Status'!$A$7:$D$178,4,0)</f>
        <v>413</v>
      </c>
      <c r="U93" s="307"/>
      <c r="V93" s="182" t="s">
        <v>577</v>
      </c>
      <c r="W93" s="182" t="s">
        <v>578</v>
      </c>
      <c r="X93" s="292">
        <f>VLOOKUP(V92,'[80]Location Status'!$A$7:$D$178,4,0)</f>
        <v>380</v>
      </c>
      <c r="Y93" s="293"/>
      <c r="Z93" s="182" t="s">
        <v>577</v>
      </c>
      <c r="AA93" s="182" t="s">
        <v>578</v>
      </c>
      <c r="AB93" s="292">
        <f>VLOOKUP(Z92,'[80]Location Status'!$A$7:$D$178,4,0)</f>
        <v>364</v>
      </c>
      <c r="AC93" s="293"/>
      <c r="AD93" s="182" t="s">
        <v>577</v>
      </c>
      <c r="AE93" s="182" t="s">
        <v>578</v>
      </c>
      <c r="AF93" s="292">
        <f>VLOOKUP(AD92,'[80]Location Status'!$A$7:$D$178,4,0)</f>
        <v>443</v>
      </c>
      <c r="AG93" s="293"/>
      <c r="AH93" s="182" t="s">
        <v>577</v>
      </c>
      <c r="AI93" s="182" t="s">
        <v>578</v>
      </c>
      <c r="AJ93" s="294">
        <f>VLOOKUP(AH92,'[80]Location Status'!$A$7:$D$178,4,0)</f>
        <v>389.72500000000002</v>
      </c>
      <c r="AK93" s="307"/>
      <c r="AL93" s="182" t="s">
        <v>577</v>
      </c>
      <c r="AM93" s="182" t="s">
        <v>578</v>
      </c>
      <c r="AN93" s="292">
        <f>VLOOKUP(AL92,'[80]Location Status'!$A$7:$D$178,4,0)</f>
        <v>439.99599999999998</v>
      </c>
      <c r="AO93" s="293"/>
      <c r="AP93" s="182" t="s">
        <v>577</v>
      </c>
      <c r="AQ93" s="182" t="s">
        <v>578</v>
      </c>
      <c r="AR93" s="292">
        <f>VLOOKUP(AP92,'[80]Location Status'!$A$7:$D$178,4,0)</f>
        <v>398</v>
      </c>
      <c r="AS93" s="293"/>
      <c r="AT93" s="145"/>
      <c r="AV93" s="219">
        <f>D93+H93+L93+P93+T93+X93+AB93+AF93+AJ93+AN93+AR93</f>
        <v>4485.1129999999994</v>
      </c>
      <c r="AW93" s="219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19"/>
      <c r="AW94" s="219"/>
      <c r="BB94" s="175"/>
      <c r="BC94" s="175"/>
      <c r="BD94" s="175"/>
    </row>
    <row r="95" spans="1:56" x14ac:dyDescent="0.35">
      <c r="A95" s="144"/>
      <c r="B95" s="306" t="s">
        <v>441</v>
      </c>
      <c r="C95" s="306"/>
      <c r="F95" s="306" t="s">
        <v>441</v>
      </c>
      <c r="G95" s="306"/>
      <c r="J95" s="305" t="s">
        <v>596</v>
      </c>
      <c r="K95" s="225"/>
      <c r="N95" s="306" t="s">
        <v>441</v>
      </c>
      <c r="O95" s="306"/>
      <c r="R95" s="306" t="s">
        <v>441</v>
      </c>
      <c r="S95" s="306"/>
      <c r="V95" s="306" t="s">
        <v>441</v>
      </c>
      <c r="W95" s="306"/>
      <c r="Z95" s="306" t="s">
        <v>441</v>
      </c>
      <c r="AA95" s="306"/>
      <c r="AD95" s="306" t="s">
        <v>441</v>
      </c>
      <c r="AE95" s="306"/>
      <c r="AH95" s="306" t="s">
        <v>441</v>
      </c>
      <c r="AI95" s="306"/>
      <c r="AL95" s="306" t="s">
        <v>441</v>
      </c>
      <c r="AM95" s="306"/>
      <c r="AP95" s="306" t="s">
        <v>441</v>
      </c>
      <c r="AQ95" s="306"/>
      <c r="AT95" s="145"/>
      <c r="AV95" s="219"/>
      <c r="AW95" s="219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19"/>
      <c r="AW96" s="219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19"/>
      <c r="AW97" s="219"/>
      <c r="BB97" s="175"/>
      <c r="BC97" s="175"/>
      <c r="BD97" s="175"/>
    </row>
    <row r="98" spans="1:56" x14ac:dyDescent="0.35">
      <c r="A98" s="144"/>
      <c r="B98" s="292" t="str">
        <f>VLOOKUP(B100,'[80]Location Status'!$A$7:$D$178,2,0)</f>
        <v>16/2</v>
      </c>
      <c r="C98" s="293"/>
      <c r="F98" s="292" t="str">
        <f>VLOOKUP(F100,'[80]Location Status'!$A$7:$D$178,2,0)</f>
        <v>16/3</v>
      </c>
      <c r="G98" s="293"/>
      <c r="J98" s="292" t="str">
        <f>VLOOKUP(J100,'[80]Location Status'!$A$7:$D$178,2,0)</f>
        <v>16/4</v>
      </c>
      <c r="K98" s="293"/>
      <c r="N98" s="292" t="str">
        <f>VLOOKUP(N100,'[80]Location Status'!$A$7:$D$178,2,0)</f>
        <v>16/5</v>
      </c>
      <c r="O98" s="293"/>
      <c r="R98" s="292" t="str">
        <f>VLOOKUP(R100,'[80]Location Status'!$A$7:$D$178,2,0)</f>
        <v>16/6</v>
      </c>
      <c r="S98" s="293"/>
      <c r="V98" s="292" t="str">
        <f>VLOOKUP(V100,'[80]Location Status'!$A$7:$D$178,2,0)</f>
        <v>17/0</v>
      </c>
      <c r="W98" s="293"/>
      <c r="Z98" s="292" t="str">
        <f>VLOOKUP(Z100,'[80]Location Status'!$A$7:$D$178,2,0)</f>
        <v>17/1</v>
      </c>
      <c r="AA98" s="293"/>
      <c r="AD98" s="292" t="str">
        <f>VLOOKUP(AD100,'[80]Location Status'!$A$7:$D$178,2,0)</f>
        <v>17/2</v>
      </c>
      <c r="AE98" s="293"/>
      <c r="AH98" s="292" t="str">
        <f>VLOOKUP(AH100,'[80]Location Status'!$A$7:$D$178,2,0)</f>
        <v>17/3</v>
      </c>
      <c r="AI98" s="293"/>
      <c r="AL98" s="292" t="str">
        <f>VLOOKUP(AL100,'[80]Location Status'!$A$7:$D$178,2,0)</f>
        <v>17/4</v>
      </c>
      <c r="AM98" s="293"/>
      <c r="AP98" s="292" t="str">
        <f>VLOOKUP(AP100,'[80]Location Status'!$A$7:$D$178,2,0)</f>
        <v>17/5</v>
      </c>
      <c r="AQ98" s="293"/>
      <c r="AT98" s="145"/>
      <c r="AV98" s="219"/>
      <c r="AW98" s="219"/>
      <c r="BB98" s="175"/>
      <c r="BC98" s="175"/>
      <c r="BD98" s="175"/>
    </row>
    <row r="99" spans="1:56" x14ac:dyDescent="0.35">
      <c r="A99" s="144"/>
      <c r="AT99" s="145"/>
      <c r="AV99" s="219"/>
      <c r="AW99" s="219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300"/>
      <c r="AW100" s="300"/>
    </row>
    <row r="101" spans="1:56" x14ac:dyDescent="0.35">
      <c r="A101" s="144"/>
      <c r="B101" s="182" t="s">
        <v>577</v>
      </c>
      <c r="C101" s="182" t="s">
        <v>578</v>
      </c>
      <c r="D101" s="294">
        <f>VLOOKUP(B100,'[80]Location Status'!$A$7:$D$178,4,0)</f>
        <v>408</v>
      </c>
      <c r="E101" s="307"/>
      <c r="F101" s="182" t="s">
        <v>577</v>
      </c>
      <c r="G101" s="182" t="s">
        <v>578</v>
      </c>
      <c r="H101" s="292">
        <f>VLOOKUP(F100,'[80]Location Status'!$A$7:$D$178,4,0)</f>
        <v>481</v>
      </c>
      <c r="I101" s="293"/>
      <c r="J101" s="182" t="s">
        <v>577</v>
      </c>
      <c r="K101" s="182" t="s">
        <v>578</v>
      </c>
      <c r="L101" s="292">
        <f>VLOOKUP(J100,'[80]Location Status'!$A$7:$D$178,4,0)</f>
        <v>346</v>
      </c>
      <c r="M101" s="293"/>
      <c r="N101" s="182" t="s">
        <v>577</v>
      </c>
      <c r="O101" s="182" t="s">
        <v>578</v>
      </c>
      <c r="P101" s="292">
        <f>VLOOKUP(N100,'[80]Location Status'!$A$7:$D$178,4,0)</f>
        <v>291</v>
      </c>
      <c r="Q101" s="293"/>
      <c r="R101" s="182" t="s">
        <v>577</v>
      </c>
      <c r="S101" s="182" t="s">
        <v>578</v>
      </c>
      <c r="T101" s="294">
        <f>VLOOKUP(R100,'[80]Location Status'!$A$7:$D$178,4,0)</f>
        <v>348.60399999999998</v>
      </c>
      <c r="U101" s="307"/>
      <c r="V101" s="182" t="s">
        <v>577</v>
      </c>
      <c r="W101" s="182" t="s">
        <v>578</v>
      </c>
      <c r="X101" s="292">
        <f>VLOOKUP(V100,'[80]Location Status'!$A$7:$D$178,4,0)</f>
        <v>399.99599999999998</v>
      </c>
      <c r="Y101" s="293"/>
      <c r="Z101" s="182" t="s">
        <v>577</v>
      </c>
      <c r="AA101" s="182" t="s">
        <v>578</v>
      </c>
      <c r="AB101" s="292">
        <f>VLOOKUP(Z100,'[80]Location Status'!$A$7:$D$178,4,0)</f>
        <v>408</v>
      </c>
      <c r="AC101" s="293"/>
      <c r="AD101" s="182" t="s">
        <v>577</v>
      </c>
      <c r="AE101" s="182" t="s">
        <v>578</v>
      </c>
      <c r="AF101" s="292">
        <f>VLOOKUP(AD100,'[80]Location Status'!$A$7:$D$178,4,0)</f>
        <v>418</v>
      </c>
      <c r="AG101" s="293"/>
      <c r="AH101" s="182" t="s">
        <v>577</v>
      </c>
      <c r="AI101" s="182" t="s">
        <v>578</v>
      </c>
      <c r="AJ101" s="292">
        <f>VLOOKUP(AH100,'[80]Location Status'!$A$7:$D$178,4,0)</f>
        <v>421</v>
      </c>
      <c r="AK101" s="293"/>
      <c r="AL101" s="182" t="s">
        <v>577</v>
      </c>
      <c r="AM101" s="182" t="s">
        <v>578</v>
      </c>
      <c r="AN101" s="292">
        <f>VLOOKUP(AL100,'[80]Location Status'!$A$7:$D$178,4,0)</f>
        <v>503</v>
      </c>
      <c r="AO101" s="293"/>
      <c r="AP101" s="182" t="s">
        <v>577</v>
      </c>
      <c r="AQ101" s="182" t="s">
        <v>578</v>
      </c>
      <c r="AR101" s="294">
        <f>VLOOKUP(AP100,'[80]Location Status'!$A$7:$D$178,4,0)</f>
        <v>321</v>
      </c>
      <c r="AS101" s="307"/>
      <c r="AT101" s="145"/>
      <c r="AV101" s="219">
        <f>D101+H101+L101+P101+T101+X101+AB101+AF101+AJ101+AN101+AR101</f>
        <v>4345.6000000000004</v>
      </c>
      <c r="AW101" s="219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19"/>
      <c r="AW102" s="219"/>
      <c r="BB102" s="175"/>
      <c r="BC102" s="175"/>
      <c r="BD102" s="175"/>
    </row>
    <row r="103" spans="1:56" x14ac:dyDescent="0.35">
      <c r="A103" s="144"/>
      <c r="B103" s="306" t="s">
        <v>441</v>
      </c>
      <c r="C103" s="306"/>
      <c r="F103" s="306" t="s">
        <v>441</v>
      </c>
      <c r="G103" s="306"/>
      <c r="J103" s="306" t="s">
        <v>441</v>
      </c>
      <c r="K103" s="306"/>
      <c r="N103" s="306" t="s">
        <v>441</v>
      </c>
      <c r="O103" s="306"/>
      <c r="R103" s="306" t="s">
        <v>441</v>
      </c>
      <c r="S103" s="306"/>
      <c r="V103" s="306" t="s">
        <v>441</v>
      </c>
      <c r="W103" s="306"/>
      <c r="Z103" s="306" t="s">
        <v>441</v>
      </c>
      <c r="AA103" s="306"/>
      <c r="AD103" s="306" t="s">
        <v>441</v>
      </c>
      <c r="AE103" s="306"/>
      <c r="AH103" s="305" t="s">
        <v>596</v>
      </c>
      <c r="AI103" s="225"/>
      <c r="AL103" s="305" t="s">
        <v>596</v>
      </c>
      <c r="AM103" s="225"/>
      <c r="AP103" s="306" t="s">
        <v>441</v>
      </c>
      <c r="AQ103" s="306"/>
      <c r="AT103" s="145"/>
      <c r="AV103" s="219"/>
      <c r="AW103" s="219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19"/>
      <c r="AW104" s="219"/>
      <c r="BB104" s="184"/>
      <c r="BC104" s="184"/>
      <c r="BD104" s="185"/>
    </row>
    <row r="105" spans="1:56" x14ac:dyDescent="0.35">
      <c r="A105" s="144"/>
      <c r="R105" s="189"/>
      <c r="AT105" s="145"/>
      <c r="AV105" s="219"/>
      <c r="AW105" s="219"/>
    </row>
    <row r="106" spans="1:56" x14ac:dyDescent="0.35">
      <c r="A106" s="144"/>
      <c r="B106" s="292" t="str">
        <f>VLOOKUP(B108,'[80]Location Status'!$A$7:$D$178,2,0)</f>
        <v>17/6</v>
      </c>
      <c r="C106" s="293"/>
      <c r="F106" s="292" t="str">
        <f>VLOOKUP(F108,'[80]Location Status'!$A$7:$D$178,2,0)</f>
        <v>17/7</v>
      </c>
      <c r="G106" s="293"/>
      <c r="J106" s="292" t="str">
        <f>VLOOKUP(J108,'[80]Location Status'!$A$7:$D$178,2,0)</f>
        <v>17/8</v>
      </c>
      <c r="K106" s="293"/>
      <c r="N106" s="292" t="str">
        <f>VLOOKUP(N108,'[80]Location Status'!$A$7:$D$178,2,0)</f>
        <v>17/9</v>
      </c>
      <c r="O106" s="293"/>
      <c r="R106" s="292" t="str">
        <f>VLOOKUP(R108,'[80]Location Status'!$A$7:$D$178,2,0)</f>
        <v>18/0</v>
      </c>
      <c r="S106" s="293"/>
      <c r="V106" s="292" t="str">
        <f>VLOOKUP(V108,'[80]Location Status'!$A$7:$D$178,2,0)</f>
        <v>18/1</v>
      </c>
      <c r="W106" s="293"/>
      <c r="Z106" s="292" t="str">
        <f>VLOOKUP(Z108,'[80]Location Status'!$A$7:$D$178,2,0)</f>
        <v>18/2</v>
      </c>
      <c r="AA106" s="293"/>
      <c r="AD106" s="292" t="str">
        <f>VLOOKUP(AD108,'[80]Location Status'!$A$7:$D$178,2,0)</f>
        <v>18/3</v>
      </c>
      <c r="AE106" s="293"/>
      <c r="AH106" s="292" t="str">
        <f>VLOOKUP(AH108,'[80]Location Status'!$A$7:$D$178,2,0)</f>
        <v>18/4</v>
      </c>
      <c r="AI106" s="293"/>
      <c r="AL106" s="292" t="str">
        <f>VLOOKUP(AL108,'[80]Location Status'!$A$7:$D$178,2,0)</f>
        <v>18/5</v>
      </c>
      <c r="AM106" s="293"/>
      <c r="AP106" s="292" t="str">
        <f>VLOOKUP(AP108,'[80]Location Status'!$A$7:$D$178,2,0)</f>
        <v>18/6</v>
      </c>
      <c r="AQ106" s="293"/>
      <c r="AT106" s="145"/>
      <c r="AV106" s="219"/>
      <c r="AW106" s="219"/>
      <c r="BB106" s="183"/>
      <c r="BC106" s="184"/>
      <c r="BD106" s="185"/>
    </row>
    <row r="107" spans="1:56" x14ac:dyDescent="0.35">
      <c r="A107" s="144"/>
      <c r="AT107" s="145"/>
      <c r="AV107" s="219"/>
      <c r="AW107" s="219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300"/>
      <c r="AW108" s="300"/>
    </row>
    <row r="109" spans="1:56" x14ac:dyDescent="0.35">
      <c r="A109" s="144"/>
      <c r="B109" s="182" t="s">
        <v>577</v>
      </c>
      <c r="C109" s="182" t="s">
        <v>578</v>
      </c>
      <c r="D109" s="292">
        <f>VLOOKUP(B108,'[80]Location Status'!$A$7:$D$178,4,0)</f>
        <v>389</v>
      </c>
      <c r="E109" s="293"/>
      <c r="F109" s="182" t="s">
        <v>577</v>
      </c>
      <c r="G109" s="182" t="s">
        <v>578</v>
      </c>
      <c r="H109" s="292">
        <f>VLOOKUP(F108,'[80]Location Status'!$A$7:$D$178,4,0)</f>
        <v>448</v>
      </c>
      <c r="I109" s="293"/>
      <c r="J109" s="182" t="s">
        <v>577</v>
      </c>
      <c r="K109" s="182" t="s">
        <v>578</v>
      </c>
      <c r="L109" s="292">
        <f>VLOOKUP(J108,'[80]Location Status'!$A$7:$D$178,4,0)</f>
        <v>304</v>
      </c>
      <c r="M109" s="293"/>
      <c r="N109" s="182" t="s">
        <v>577</v>
      </c>
      <c r="O109" s="182" t="s">
        <v>578</v>
      </c>
      <c r="P109" s="294">
        <f>VLOOKUP(N108,'[80]Location Status'!$A$7:$D$178,4,0)</f>
        <v>339.22800000000001</v>
      </c>
      <c r="Q109" s="307"/>
      <c r="R109" s="182" t="s">
        <v>577</v>
      </c>
      <c r="S109" s="182" t="s">
        <v>578</v>
      </c>
      <c r="T109" s="292">
        <f>VLOOKUP(R108,'[80]Location Status'!$A$7:$D$178,4,0)</f>
        <v>503.00200000000001</v>
      </c>
      <c r="U109" s="293"/>
      <c r="V109" s="182" t="s">
        <v>577</v>
      </c>
      <c r="W109" s="182" t="s">
        <v>578</v>
      </c>
      <c r="X109" s="292">
        <f>VLOOKUP(V108,'[80]Location Status'!$A$7:$D$178,4,0)</f>
        <v>433</v>
      </c>
      <c r="Y109" s="293"/>
      <c r="Z109" s="182" t="s">
        <v>577</v>
      </c>
      <c r="AA109" s="182" t="s">
        <v>578</v>
      </c>
      <c r="AB109" s="292">
        <f>VLOOKUP(Z108,'[80]Location Status'!$A$7:$D$178,4,0)</f>
        <v>405</v>
      </c>
      <c r="AC109" s="293"/>
      <c r="AD109" s="182" t="s">
        <v>577</v>
      </c>
      <c r="AE109" s="182" t="s">
        <v>578</v>
      </c>
      <c r="AF109" s="292">
        <f>VLOOKUP(AD108,'[80]Location Status'!$A$7:$D$178,4,0)</f>
        <v>418</v>
      </c>
      <c r="AG109" s="293"/>
      <c r="AH109" s="182" t="s">
        <v>577</v>
      </c>
      <c r="AI109" s="182" t="s">
        <v>578</v>
      </c>
      <c r="AJ109" s="294">
        <f>VLOOKUP(AH108,'[80]Location Status'!$A$7:$D$178,4,0)</f>
        <v>344</v>
      </c>
      <c r="AK109" s="307"/>
      <c r="AL109" s="182" t="s">
        <v>577</v>
      </c>
      <c r="AM109" s="182" t="s">
        <v>578</v>
      </c>
      <c r="AN109" s="292">
        <f>VLOOKUP(AL108,'[80]Location Status'!$A$7:$D$178,4,0)</f>
        <v>417</v>
      </c>
      <c r="AO109" s="293"/>
      <c r="AP109" s="182" t="s">
        <v>577</v>
      </c>
      <c r="AQ109" s="182" t="s">
        <v>578</v>
      </c>
      <c r="AR109" s="292">
        <f>VLOOKUP(AP108,'[80]Location Status'!$A$7:$D$178,4,0)</f>
        <v>384</v>
      </c>
      <c r="AS109" s="293"/>
      <c r="AT109" s="145"/>
      <c r="AV109" s="219">
        <f>D109+H109+L109+P109+T109+X109+AB109+AF109+AJ109+AN109+AR109</f>
        <v>4384.2299999999996</v>
      </c>
      <c r="AW109" s="219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19"/>
      <c r="AW110" s="219"/>
    </row>
    <row r="111" spans="1:56" x14ac:dyDescent="0.35">
      <c r="A111" s="144"/>
      <c r="B111" s="306" t="s">
        <v>441</v>
      </c>
      <c r="C111" s="306"/>
      <c r="F111" s="305" t="s">
        <v>596</v>
      </c>
      <c r="G111" s="225"/>
      <c r="J111" s="305" t="s">
        <v>596</v>
      </c>
      <c r="K111" s="225"/>
      <c r="N111" s="305" t="s">
        <v>596</v>
      </c>
      <c r="O111" s="225"/>
      <c r="R111" s="305" t="s">
        <v>596</v>
      </c>
      <c r="S111" s="225"/>
      <c r="V111" s="305" t="s">
        <v>596</v>
      </c>
      <c r="W111" s="225"/>
      <c r="Z111" s="306" t="s">
        <v>441</v>
      </c>
      <c r="AA111" s="306"/>
      <c r="AD111" s="306" t="s">
        <v>441</v>
      </c>
      <c r="AE111" s="306"/>
      <c r="AH111" s="306" t="s">
        <v>441</v>
      </c>
      <c r="AI111" s="306"/>
      <c r="AL111" s="306" t="s">
        <v>441</v>
      </c>
      <c r="AM111" s="306"/>
      <c r="AP111" s="306" t="s">
        <v>441</v>
      </c>
      <c r="AQ111" s="306"/>
      <c r="AT111" s="145"/>
      <c r="AV111" s="219"/>
      <c r="AW111" s="219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19"/>
      <c r="AW112" s="219"/>
      <c r="BB112" s="184"/>
      <c r="BC112" s="184"/>
      <c r="BD112" s="185"/>
    </row>
    <row r="113" spans="1:56" x14ac:dyDescent="0.35">
      <c r="A113" s="144"/>
      <c r="AT113" s="145"/>
      <c r="AV113" s="219"/>
      <c r="AW113" s="219"/>
    </row>
    <row r="114" spans="1:56" x14ac:dyDescent="0.35">
      <c r="A114" s="144"/>
      <c r="B114" s="292" t="str">
        <f>VLOOKUP(B116,'[80]Location Status'!$A$7:$D$178,2,0)</f>
        <v>18/7</v>
      </c>
      <c r="C114" s="293"/>
      <c r="F114" s="292" t="str">
        <f>VLOOKUP(F116,'[80]Location Status'!$A$7:$D$178,2,0)</f>
        <v>18/8</v>
      </c>
      <c r="G114" s="293"/>
      <c r="J114" s="292" t="str">
        <f>VLOOKUP(J116,'[80]Location Status'!$A$7:$D$178,2,0)</f>
        <v>19/0</v>
      </c>
      <c r="K114" s="293"/>
      <c r="N114" s="292" t="str">
        <f>VLOOKUP(N116,'[80]Location Status'!$A$7:$D$178,2,0)</f>
        <v>19/1</v>
      </c>
      <c r="O114" s="293"/>
      <c r="R114" s="292" t="str">
        <f>VLOOKUP(R116,'[80]Location Status'!$A$7:$D$178,2,0)</f>
        <v>19/2</v>
      </c>
      <c r="S114" s="293"/>
      <c r="V114" s="292" t="str">
        <f>VLOOKUP(V115,'[80]Location Status'!$A$7:$D$178,2,0)</f>
        <v>19/3</v>
      </c>
      <c r="W114" s="293"/>
      <c r="Z114" s="172" t="str">
        <f>VLOOKUP(Z116,'[80]Location Status'!$A$7:$D$178,2,0)</f>
        <v>20/0</v>
      </c>
      <c r="AA114" s="171"/>
      <c r="AD114" s="292" t="str">
        <f>VLOOKUP(AD116,'[80]Location Status'!$A$7:$D$178,2,0)</f>
        <v>21/0</v>
      </c>
      <c r="AE114" s="293"/>
      <c r="AH114" s="292" t="str">
        <f>VLOOKUP(AH116,'[80]Location Status'!$A$7:$D$178,2,0)</f>
        <v>21/1</v>
      </c>
      <c r="AI114" s="293"/>
      <c r="AL114" s="292" t="str">
        <f>VLOOKUP(AL116,'[80]Location Status'!$A$7:$D$178,2,0)</f>
        <v>21/2</v>
      </c>
      <c r="AM114" s="293"/>
      <c r="AP114" s="292" t="str">
        <f>VLOOKUP(AP116,'[80]Location Status'!$A$7:$D$178,2,0)</f>
        <v>21/3</v>
      </c>
      <c r="AQ114" s="293"/>
      <c r="AT114" s="145"/>
      <c r="AV114" s="219"/>
      <c r="AW114" s="219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19"/>
      <c r="AW115" s="219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300"/>
      <c r="AW116" s="300"/>
    </row>
    <row r="117" spans="1:56" x14ac:dyDescent="0.35">
      <c r="A117" s="144"/>
      <c r="B117" s="182" t="s">
        <v>577</v>
      </c>
      <c r="C117" s="182" t="s">
        <v>578</v>
      </c>
      <c r="D117" s="292">
        <f>VLOOKUP(B116,'[80]Location Status'!$A$7:$D$178,4,0)</f>
        <v>326</v>
      </c>
      <c r="E117" s="293"/>
      <c r="F117" s="182" t="s">
        <v>577</v>
      </c>
      <c r="G117" s="182" t="s">
        <v>578</v>
      </c>
      <c r="H117" s="294">
        <f>VLOOKUP(F116,'[80]Location Status'!$A$7:$D$178,4,0)</f>
        <v>298.20600000000002</v>
      </c>
      <c r="I117" s="307"/>
      <c r="J117" s="182" t="s">
        <v>577</v>
      </c>
      <c r="K117" s="182" t="s">
        <v>578</v>
      </c>
      <c r="L117" s="294">
        <f>VLOOKUP(J116,'[80]Location Status'!$A$7:$D$178,4,0)</f>
        <v>415.00400000000002</v>
      </c>
      <c r="M117" s="307"/>
      <c r="N117" s="182" t="s">
        <v>577</v>
      </c>
      <c r="O117" s="182" t="s">
        <v>578</v>
      </c>
      <c r="P117" s="292">
        <f>VLOOKUP(N116,'[80]Location Status'!$A$7:$D$178,4,0)</f>
        <v>395</v>
      </c>
      <c r="Q117" s="293"/>
      <c r="R117" s="182" t="s">
        <v>577</v>
      </c>
      <c r="S117" s="182" t="s">
        <v>578</v>
      </c>
      <c r="T117" s="292">
        <f>VLOOKUP(R116,'[80]Location Status'!$A$7:$D$178,4,0)</f>
        <v>404</v>
      </c>
      <c r="U117" s="293"/>
      <c r="V117" s="182" t="s">
        <v>577</v>
      </c>
      <c r="W117" s="182" t="s">
        <v>578</v>
      </c>
      <c r="X117" s="294">
        <f>VLOOKUP(V115,'[80]Location Status'!$A$7:$D$178,4,0)</f>
        <v>359.55599999999998</v>
      </c>
      <c r="Y117" s="307"/>
      <c r="Z117" s="182" t="s">
        <v>577</v>
      </c>
      <c r="AA117" s="182" t="s">
        <v>578</v>
      </c>
      <c r="AB117" s="294">
        <f>VLOOKUP(Z116,'[80]Location Status'!$A$7:$D$178,4,0)</f>
        <v>460.68400000000003</v>
      </c>
      <c r="AC117" s="307"/>
      <c r="AD117" s="182" t="s">
        <v>577</v>
      </c>
      <c r="AE117" s="182" t="s">
        <v>578</v>
      </c>
      <c r="AF117" s="292">
        <f>VLOOKUP(AD116,'[80]Location Status'!$A$7:$D$178,4,0)</f>
        <v>431</v>
      </c>
      <c r="AG117" s="293"/>
      <c r="AH117" s="182" t="s">
        <v>577</v>
      </c>
      <c r="AI117" s="182" t="s">
        <v>578</v>
      </c>
      <c r="AJ117" s="294">
        <f>VLOOKUP(AH116,'[80]Location Status'!$A$7:$D$178,4,0)</f>
        <v>409</v>
      </c>
      <c r="AK117" s="307"/>
      <c r="AL117" s="182" t="s">
        <v>577</v>
      </c>
      <c r="AM117" s="182" t="s">
        <v>578</v>
      </c>
      <c r="AN117" s="292">
        <f>VLOOKUP(AL116,'[80]Location Status'!$A$7:$D$178,4,0)</f>
        <v>359</v>
      </c>
      <c r="AO117" s="293"/>
      <c r="AP117" s="182" t="s">
        <v>577</v>
      </c>
      <c r="AQ117" s="182" t="s">
        <v>578</v>
      </c>
      <c r="AR117" s="292">
        <f>VLOOKUP(AP116,'[80]Location Status'!$A$7:$D$178,4,0)</f>
        <v>414</v>
      </c>
      <c r="AS117" s="293"/>
      <c r="AT117" s="145"/>
      <c r="AV117" s="219">
        <f>D117+H117+L117+P117+T117+X117+AB117+AF117+AJ117+AN117+AR117</f>
        <v>4271.4500000000007</v>
      </c>
      <c r="AW117" s="219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19"/>
      <c r="AW118" s="219"/>
    </row>
    <row r="119" spans="1:56" x14ac:dyDescent="0.35">
      <c r="A119" s="144"/>
      <c r="B119" s="306" t="s">
        <v>441</v>
      </c>
      <c r="C119" s="306"/>
      <c r="F119" s="306" t="s">
        <v>441</v>
      </c>
      <c r="G119" s="306"/>
      <c r="J119" s="306" t="s">
        <v>441</v>
      </c>
      <c r="K119" s="306"/>
      <c r="N119" s="305" t="s">
        <v>596</v>
      </c>
      <c r="O119" s="225"/>
      <c r="R119" s="306" t="s">
        <v>441</v>
      </c>
      <c r="S119" s="306"/>
      <c r="V119" s="306" t="s">
        <v>441</v>
      </c>
      <c r="W119" s="306"/>
      <c r="Z119" s="226" t="s">
        <v>441</v>
      </c>
      <c r="AA119" s="226"/>
      <c r="AD119" s="306" t="s">
        <v>441</v>
      </c>
      <c r="AE119" s="306"/>
      <c r="AH119" s="306" t="s">
        <v>441</v>
      </c>
      <c r="AI119" s="306"/>
      <c r="AL119" s="306" t="s">
        <v>441</v>
      </c>
      <c r="AM119" s="306"/>
      <c r="AP119" s="306" t="s">
        <v>441</v>
      </c>
      <c r="AQ119" s="306"/>
      <c r="AT119" s="145"/>
      <c r="AV119" s="219"/>
      <c r="AW119" s="219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19"/>
      <c r="AW120" s="219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19"/>
      <c r="AW121" s="219"/>
    </row>
    <row r="122" spans="1:56" x14ac:dyDescent="0.35">
      <c r="A122" s="144"/>
      <c r="AT122" s="145"/>
      <c r="AV122" s="219"/>
      <c r="AW122" s="219"/>
    </row>
    <row r="123" spans="1:56" x14ac:dyDescent="0.35">
      <c r="A123" s="144"/>
      <c r="B123" s="292" t="str">
        <f>VLOOKUP(B125,'[80]Location Status'!$A$7:$D$178,2,0)</f>
        <v>21/4</v>
      </c>
      <c r="C123" s="293"/>
      <c r="F123" s="292" t="str">
        <f>VLOOKUP(F125,'[80]Location Status'!$A$7:$D$178,2,0)</f>
        <v>21/5</v>
      </c>
      <c r="G123" s="293"/>
      <c r="J123" s="292" t="str">
        <f>VLOOKUP(J125,'[80]Location Status'!$A$7:$D$178,2,0)</f>
        <v>22/0</v>
      </c>
      <c r="K123" s="293"/>
      <c r="N123" s="292" t="str">
        <f>VLOOKUP(N125,'[80]Location Status'!$A$7:$D$178,2,0)</f>
        <v>22/1</v>
      </c>
      <c r="O123" s="293"/>
      <c r="R123" s="292" t="str">
        <f>VLOOKUP(R125,'[80]Location Status'!$A$7:$D$178,2,0)</f>
        <v>22/2</v>
      </c>
      <c r="S123" s="293"/>
      <c r="V123" s="292" t="str">
        <f>VLOOKUP(V125,'[80]Location Status'!$A$7:$D$178,2,0)</f>
        <v>22/3</v>
      </c>
      <c r="W123" s="293"/>
      <c r="Z123" s="292" t="str">
        <f>VLOOKUP(Z125,'[80]Location Status'!$A$7:$D$178,2,0)</f>
        <v>22/4</v>
      </c>
      <c r="AA123" s="293"/>
      <c r="AD123" s="292" t="str">
        <f>VLOOKUP(AD125,'[80]Location Status'!$A$7:$D$178,2,0)</f>
        <v>23/0</v>
      </c>
      <c r="AE123" s="293"/>
      <c r="AH123" s="292" t="str">
        <f>VLOOKUP(AH125,'[80]Location Status'!$A$7:$D$178,2,0)</f>
        <v>23/1</v>
      </c>
      <c r="AI123" s="293"/>
      <c r="AL123" s="292" t="str">
        <f>VLOOKUP(AL125,'[80]Location Status'!$A$7:$D$178,2,0)</f>
        <v>23/2</v>
      </c>
      <c r="AM123" s="293"/>
      <c r="AP123" s="292" t="str">
        <f>VLOOKUP(AP125,'[80]Location Status'!$A$7:$D$178,2,0)</f>
        <v>23/3</v>
      </c>
      <c r="AQ123" s="293"/>
      <c r="AT123" s="145"/>
      <c r="AV123" s="219"/>
      <c r="AW123" s="219"/>
      <c r="BB123" s="183"/>
      <c r="BC123" s="184"/>
      <c r="BD123" s="185"/>
    </row>
    <row r="124" spans="1:56" x14ac:dyDescent="0.35">
      <c r="A124" s="144"/>
      <c r="AT124" s="145"/>
      <c r="AV124" s="219"/>
      <c r="AW124" s="219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300"/>
      <c r="AW125" s="300"/>
    </row>
    <row r="126" spans="1:56" x14ac:dyDescent="0.35">
      <c r="A126" s="144"/>
      <c r="B126" s="182" t="s">
        <v>577</v>
      </c>
      <c r="C126" s="182" t="s">
        <v>578</v>
      </c>
      <c r="D126" s="294">
        <f>VLOOKUP(B125,'[80]Location Status'!$A$7:$D$178,4,0)</f>
        <v>425</v>
      </c>
      <c r="E126" s="307"/>
      <c r="F126" s="182" t="s">
        <v>577</v>
      </c>
      <c r="G126" s="182" t="s">
        <v>578</v>
      </c>
      <c r="H126" s="294">
        <f>VLOOKUP(F125,'[80]Location Status'!$A$7:$D$178,4,0)</f>
        <v>356.40600000000001</v>
      </c>
      <c r="I126" s="307"/>
      <c r="J126" s="182" t="s">
        <v>577</v>
      </c>
      <c r="K126" s="182" t="s">
        <v>578</v>
      </c>
      <c r="L126" s="294">
        <f>VLOOKUP(J125,'[80]Location Status'!$A$7:$D$178,4,0)</f>
        <v>409.00400000000002</v>
      </c>
      <c r="M126" s="307"/>
      <c r="N126" s="182" t="s">
        <v>577</v>
      </c>
      <c r="O126" s="182" t="s">
        <v>578</v>
      </c>
      <c r="P126" s="294">
        <f>VLOOKUP(N125,'[80]Location Status'!$A$7:$D$178,4,0)</f>
        <v>416</v>
      </c>
      <c r="Q126" s="307"/>
      <c r="R126" s="182" t="s">
        <v>577</v>
      </c>
      <c r="S126" s="182" t="s">
        <v>578</v>
      </c>
      <c r="T126" s="294">
        <f>VLOOKUP(R125,'[80]Location Status'!$A$7:$D$178,4,0)</f>
        <v>419</v>
      </c>
      <c r="U126" s="307"/>
      <c r="V126" s="182" t="s">
        <v>577</v>
      </c>
      <c r="W126" s="182" t="s">
        <v>578</v>
      </c>
      <c r="X126" s="294">
        <f>VLOOKUP(V125,'[80]Location Status'!$A$7:$D$178,4,0)</f>
        <v>413</v>
      </c>
      <c r="Y126" s="307"/>
      <c r="Z126" s="182" t="s">
        <v>577</v>
      </c>
      <c r="AA126" s="182" t="s">
        <v>578</v>
      </c>
      <c r="AB126" s="294">
        <f>VLOOKUP(Z125,'[80]Location Status'!$A$7:$D$178,4,0)</f>
        <v>315.50799999999998</v>
      </c>
      <c r="AC126" s="307"/>
      <c r="AD126" s="182" t="s">
        <v>577</v>
      </c>
      <c r="AE126" s="182" t="s">
        <v>578</v>
      </c>
      <c r="AF126" s="294">
        <f>VLOOKUP(AD125,'[80]Location Status'!$A$7:$D$178,4,0)</f>
        <v>431.00200000000001</v>
      </c>
      <c r="AG126" s="307"/>
      <c r="AH126" s="182" t="s">
        <v>577</v>
      </c>
      <c r="AI126" s="182" t="s">
        <v>578</v>
      </c>
      <c r="AJ126" s="294">
        <f>VLOOKUP(AH125,'[80]Location Status'!$A$7:$D$178,4,0)</f>
        <v>409</v>
      </c>
      <c r="AK126" s="307"/>
      <c r="AL126" s="182" t="s">
        <v>577</v>
      </c>
      <c r="AM126" s="182" t="s">
        <v>578</v>
      </c>
      <c r="AN126" s="294">
        <f>VLOOKUP(AL125,'[80]Location Status'!$A$7:$D$178,4,0)</f>
        <v>428</v>
      </c>
      <c r="AO126" s="307"/>
      <c r="AP126" s="182" t="s">
        <v>577</v>
      </c>
      <c r="AQ126" s="182" t="s">
        <v>578</v>
      </c>
      <c r="AR126" s="294">
        <f>VLOOKUP(AP125,'[80]Location Status'!$A$7:$D$178,4,0)</f>
        <v>412</v>
      </c>
      <c r="AS126" s="307"/>
      <c r="AT126" s="190"/>
      <c r="AV126" s="219">
        <f>D126+H126+L126+P126+T126+X126+AB126+AF126+AJ126+AN126+AR126</f>
        <v>4433.92</v>
      </c>
      <c r="AW126" s="219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19"/>
      <c r="AW127" s="219"/>
    </row>
    <row r="128" spans="1:56" x14ac:dyDescent="0.35">
      <c r="A128" s="144"/>
      <c r="B128" s="306" t="s">
        <v>441</v>
      </c>
      <c r="C128" s="306"/>
      <c r="F128" s="306" t="s">
        <v>441</v>
      </c>
      <c r="G128" s="306"/>
      <c r="J128" s="306" t="s">
        <v>441</v>
      </c>
      <c r="K128" s="306"/>
      <c r="N128" s="306" t="s">
        <v>441</v>
      </c>
      <c r="O128" s="306"/>
      <c r="R128" s="306" t="s">
        <v>441</v>
      </c>
      <c r="S128" s="306"/>
      <c r="V128" s="306" t="s">
        <v>441</v>
      </c>
      <c r="W128" s="306"/>
      <c r="Z128" s="306" t="s">
        <v>441</v>
      </c>
      <c r="AA128" s="306"/>
      <c r="AD128" s="306" t="s">
        <v>441</v>
      </c>
      <c r="AE128" s="306"/>
      <c r="AH128" s="306" t="s">
        <v>441</v>
      </c>
      <c r="AI128" s="306"/>
      <c r="AL128" s="306" t="s">
        <v>441</v>
      </c>
      <c r="AM128" s="306"/>
      <c r="AP128" s="306" t="s">
        <v>600</v>
      </c>
      <c r="AQ128" s="306"/>
      <c r="AT128" s="145"/>
      <c r="AV128" s="219"/>
      <c r="AW128" s="219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19"/>
      <c r="AW129" s="219"/>
      <c r="BB129" s="184"/>
      <c r="BC129" s="184"/>
      <c r="BD129" s="185"/>
    </row>
    <row r="130" spans="1:56" x14ac:dyDescent="0.35">
      <c r="A130" s="144"/>
      <c r="AT130" s="145"/>
      <c r="AV130" s="219"/>
      <c r="AW130" s="219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19"/>
      <c r="AW131" s="219"/>
    </row>
    <row r="132" spans="1:56" x14ac:dyDescent="0.35">
      <c r="A132" s="144"/>
      <c r="B132" s="292" t="str">
        <f>VLOOKUP(B134,'[80]Location Status'!$A$7:$D$178,2,0)</f>
        <v>23/4</v>
      </c>
      <c r="C132" s="293"/>
      <c r="F132" s="292" t="str">
        <f>VLOOKUP(F134,'[80]Location Status'!$A$7:$D$178,2,0)</f>
        <v>23/5</v>
      </c>
      <c r="G132" s="293"/>
      <c r="J132" s="292" t="str">
        <f>VLOOKUP(J134,'[80]Location Status'!$A$7:$D$178,2,0)</f>
        <v>23/6</v>
      </c>
      <c r="K132" s="293"/>
      <c r="N132" s="292" t="str">
        <f>VLOOKUP(N134,'[80]Location Status'!$A$7:$D$178,2,0)</f>
        <v>23/7</v>
      </c>
      <c r="O132" s="293"/>
      <c r="R132" s="292" t="str">
        <f>VLOOKUP(R134,'[80]Location Status'!$A$7:$D$178,2,0)</f>
        <v>24/0</v>
      </c>
      <c r="S132" s="293"/>
      <c r="V132" s="292" t="str">
        <f>VLOOKUP(V134,'[80]Location Status'!$A$7:$D$178,2,0)</f>
        <v>24/1</v>
      </c>
      <c r="W132" s="293"/>
      <c r="Z132" s="292" t="str">
        <f>VLOOKUP(Z134,'[80]Location Status'!$A$7:$D$178,2,0)</f>
        <v>24/2.</v>
      </c>
      <c r="AA132" s="293"/>
      <c r="AD132" s="292" t="str">
        <f>VLOOKUP(AD134,'[80]Location Status'!$A$7:$D$178,2,0)</f>
        <v>25/0</v>
      </c>
      <c r="AE132" s="293"/>
      <c r="AH132" s="292" t="str">
        <f>VLOOKUP(AH134,'[80]Location Status'!$A$7:$D$178,2,0)</f>
        <v>25/1</v>
      </c>
      <c r="AI132" s="293"/>
      <c r="AL132" s="292" t="str">
        <f>VLOOKUP(AL134,'[80]Location Status'!$A$7:$D$178,2,0)</f>
        <v>25/2.</v>
      </c>
      <c r="AM132" s="293"/>
      <c r="AP132" s="292" t="str">
        <f>VLOOKUP(AP134,'[80]Location Status'!$A$7:$D$178,2,0)</f>
        <v>25/3.</v>
      </c>
      <c r="AQ132" s="293"/>
      <c r="AT132" s="145"/>
      <c r="AV132" s="219"/>
      <c r="AW132" s="219"/>
      <c r="BB132" s="183"/>
      <c r="BC132" s="184"/>
      <c r="BD132" s="185"/>
    </row>
    <row r="133" spans="1:56" x14ac:dyDescent="0.35">
      <c r="A133" s="144"/>
      <c r="AT133" s="145"/>
      <c r="AV133" s="219"/>
      <c r="AW133" s="219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300"/>
      <c r="AW134" s="300"/>
    </row>
    <row r="135" spans="1:56" x14ac:dyDescent="0.35">
      <c r="A135" s="144"/>
      <c r="B135" s="182" t="s">
        <v>577</v>
      </c>
      <c r="C135" s="182" t="s">
        <v>578</v>
      </c>
      <c r="D135" s="292">
        <f>VLOOKUP(B134,'[80]Location Status'!$A$7:$D$178,4,0)</f>
        <v>408</v>
      </c>
      <c r="E135" s="293"/>
      <c r="F135" s="182" t="s">
        <v>577</v>
      </c>
      <c r="G135" s="182" t="s">
        <v>578</v>
      </c>
      <c r="H135" s="292">
        <f>VLOOKUP(F134,'[80]Location Status'!$A$7:$D$178,4,0)</f>
        <v>362</v>
      </c>
      <c r="I135" s="293"/>
      <c r="J135" s="182" t="s">
        <v>577</v>
      </c>
      <c r="K135" s="182" t="s">
        <v>578</v>
      </c>
      <c r="L135" s="294">
        <f>VLOOKUP(J134,'[80]Location Status'!$A$7:$D$178,4,0)</f>
        <v>303</v>
      </c>
      <c r="M135" s="307"/>
      <c r="N135" s="182" t="s">
        <v>577</v>
      </c>
      <c r="O135" s="182" t="s">
        <v>578</v>
      </c>
      <c r="P135" s="294">
        <f>VLOOKUP(N134,'[80]Location Status'!$A$7:$D$178,4,0)</f>
        <v>336.96199999999999</v>
      </c>
      <c r="Q135" s="307"/>
      <c r="R135" s="182" t="s">
        <v>577</v>
      </c>
      <c r="S135" s="182" t="s">
        <v>578</v>
      </c>
      <c r="T135" s="294">
        <f>VLOOKUP(R134,'[80]Location Status'!$A$7:$D$178,4,0)</f>
        <v>431.99799999999999</v>
      </c>
      <c r="U135" s="307"/>
      <c r="V135" s="182" t="s">
        <v>577</v>
      </c>
      <c r="W135" s="182" t="s">
        <v>578</v>
      </c>
      <c r="X135" s="294">
        <f>VLOOKUP(V134,'[80]Location Status'!$A$7:$D$178,4,0)</f>
        <v>567</v>
      </c>
      <c r="Y135" s="307"/>
      <c r="Z135" s="182" t="s">
        <v>577</v>
      </c>
      <c r="AA135" s="182" t="s">
        <v>578</v>
      </c>
      <c r="AB135" s="294">
        <f>VLOOKUP(Z134,'[80]Location Status'!$A$7:$D$178,4,0)</f>
        <v>543.55399999999997</v>
      </c>
      <c r="AC135" s="307"/>
      <c r="AD135" s="182" t="s">
        <v>577</v>
      </c>
      <c r="AE135" s="182" t="s">
        <v>578</v>
      </c>
      <c r="AF135" s="292">
        <f>VLOOKUP(AD134,'[80]Location Status'!$A$7:$D$178,4,0)</f>
        <v>429</v>
      </c>
      <c r="AG135" s="293"/>
      <c r="AH135" s="178" t="s">
        <v>577</v>
      </c>
      <c r="AI135" s="178" t="s">
        <v>578</v>
      </c>
      <c r="AJ135" s="292">
        <f>VLOOKUP(AH134,'[80]Location Status'!$A$7:$D$178,4,0)</f>
        <v>346</v>
      </c>
      <c r="AK135" s="293"/>
      <c r="AL135" s="178" t="s">
        <v>577</v>
      </c>
      <c r="AM135" s="178" t="s">
        <v>578</v>
      </c>
      <c r="AN135" s="292">
        <f>VLOOKUP(AL134,'[80]Location Status'!$A$7:$D$178,4,0)</f>
        <v>381</v>
      </c>
      <c r="AO135" s="293"/>
      <c r="AP135" s="182" t="s">
        <v>577</v>
      </c>
      <c r="AQ135" s="182" t="s">
        <v>578</v>
      </c>
      <c r="AR135" s="292">
        <f>VLOOKUP(AP134,'[80]Location Status'!$A$7:$D$178,4,0)</f>
        <v>394</v>
      </c>
      <c r="AS135" s="293"/>
      <c r="AT135" s="145"/>
      <c r="AV135" s="219">
        <f>D135+H135+L135+P135+T135+X135+AB135+AF135+AJ135+AN135+AR135</f>
        <v>4502.5140000000001</v>
      </c>
      <c r="AW135" s="219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19"/>
      <c r="AW136" s="219"/>
    </row>
    <row r="137" spans="1:56" x14ac:dyDescent="0.35">
      <c r="A137" s="144"/>
      <c r="B137" s="306" t="s">
        <v>441</v>
      </c>
      <c r="C137" s="306"/>
      <c r="F137" s="306" t="s">
        <v>441</v>
      </c>
      <c r="G137" s="306"/>
      <c r="J137" s="306" t="s">
        <v>441</v>
      </c>
      <c r="K137" s="306"/>
      <c r="N137" s="306" t="s">
        <v>441</v>
      </c>
      <c r="O137" s="306"/>
      <c r="R137" s="226" t="s">
        <v>441</v>
      </c>
      <c r="S137" s="226"/>
      <c r="V137" s="305" t="s">
        <v>596</v>
      </c>
      <c r="W137" s="225"/>
      <c r="Z137" s="226"/>
      <c r="AA137" s="226"/>
      <c r="AD137" s="305" t="s">
        <v>596</v>
      </c>
      <c r="AE137" s="225"/>
      <c r="AH137" s="226"/>
      <c r="AI137" s="226"/>
      <c r="AL137" s="226"/>
      <c r="AM137" s="226"/>
      <c r="AP137" s="306" t="s">
        <v>441</v>
      </c>
      <c r="AQ137" s="306"/>
      <c r="AT137" s="145"/>
      <c r="AV137" s="219"/>
      <c r="AW137" s="219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19"/>
      <c r="AW138" s="219"/>
      <c r="BB138" s="184"/>
      <c r="BC138" s="184"/>
      <c r="BD138" s="185"/>
    </row>
    <row r="139" spans="1:56" x14ac:dyDescent="0.35">
      <c r="A139" s="144"/>
      <c r="C139" s="187"/>
      <c r="AT139" s="145"/>
      <c r="AV139" s="219"/>
      <c r="AW139" s="219"/>
    </row>
    <row r="140" spans="1:56" x14ac:dyDescent="0.35">
      <c r="A140" s="144"/>
      <c r="N140" s="191" t="s">
        <v>405</v>
      </c>
      <c r="AT140" s="145"/>
      <c r="AV140" s="219"/>
      <c r="AW140" s="219"/>
    </row>
    <row r="141" spans="1:56" x14ac:dyDescent="0.35">
      <c r="A141" s="144"/>
      <c r="B141" s="292" t="str">
        <f>VLOOKUP(B143,'[80]Location Status'!$A$7:$D$178,2,0)</f>
        <v>25/4</v>
      </c>
      <c r="C141" s="293"/>
      <c r="F141" s="292" t="str">
        <f>VLOOKUP(F143,'[80]Location Status'!$A$7:$D$178,2,0)</f>
        <v>26/0</v>
      </c>
      <c r="G141" s="293"/>
      <c r="J141" s="292" t="str">
        <f>VLOOKUP(J143,'[80]Location Status'!$A$7:$D$178,2,0)</f>
        <v>26/1</v>
      </c>
      <c r="K141" s="293"/>
      <c r="N141" s="292" t="str">
        <f>VLOOKUP(N143,'[80]Location Status'!$A$7:$D$178,2,0)</f>
        <v>26/2</v>
      </c>
      <c r="O141" s="293"/>
      <c r="R141" s="292" t="str">
        <f>VLOOKUP(R143,'[80]Location Status'!$A$7:$D$178,2,0)</f>
        <v>26/3</v>
      </c>
      <c r="S141" s="293"/>
      <c r="V141" s="292" t="str">
        <f>VLOOKUP(V143,'[80]Location Status'!$A$7:$D$178,2,0)</f>
        <v>26/4</v>
      </c>
      <c r="W141" s="293"/>
      <c r="Z141" s="292" t="str">
        <f>VLOOKUP(Z143,'[80]Location Status'!$A$7:$D$178,2,0)</f>
        <v>26/5</v>
      </c>
      <c r="AA141" s="293"/>
      <c r="AD141" s="292" t="str">
        <f>VLOOKUP(AD143,'[80]Location Status'!$A$7:$D$178,2,0)</f>
        <v>26/6</v>
      </c>
      <c r="AE141" s="293"/>
      <c r="AH141" s="292" t="str">
        <f>VLOOKUP(AH143,'[80]Location Status'!$A$7:$D$178,2,0)</f>
        <v>26/7</v>
      </c>
      <c r="AI141" s="293"/>
      <c r="AL141" s="292" t="str">
        <f>VLOOKUP(AL143,'[80]Location Status'!$A$7:$D$178,2,0)</f>
        <v>26/8</v>
      </c>
      <c r="AM141" s="293"/>
      <c r="AP141" s="292" t="str">
        <f>VLOOKUP(AP143,'[80]Location Status'!$A$7:$D$178,2,0)</f>
        <v>26/9</v>
      </c>
      <c r="AQ141" s="293"/>
      <c r="AT141" s="145"/>
      <c r="AV141" s="219"/>
      <c r="AW141" s="219"/>
      <c r="BB141" s="183"/>
      <c r="BC141" s="184"/>
      <c r="BD141" s="185"/>
    </row>
    <row r="142" spans="1:56" x14ac:dyDescent="0.35">
      <c r="A142" s="144"/>
      <c r="AT142" s="145"/>
      <c r="AV142" s="219"/>
      <c r="AW142" s="219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300"/>
      <c r="AW143" s="300"/>
    </row>
    <row r="144" spans="1:56" x14ac:dyDescent="0.35">
      <c r="A144" s="144"/>
      <c r="B144" s="182" t="s">
        <v>577</v>
      </c>
      <c r="C144" s="182" t="s">
        <v>578</v>
      </c>
      <c r="D144" s="294">
        <f>VLOOKUP(B143,'[80]Location Status'!$A$7:$D$178,4,0)</f>
        <v>356.86900000000003</v>
      </c>
      <c r="E144" s="307"/>
      <c r="F144" s="182" t="s">
        <v>577</v>
      </c>
      <c r="G144" s="182" t="s">
        <v>578</v>
      </c>
      <c r="H144" s="294">
        <f>VLOOKUP(F143,'[80]Location Status'!$A$7:$D$178,4,0)</f>
        <v>438</v>
      </c>
      <c r="I144" s="307"/>
      <c r="J144" s="182" t="s">
        <v>577</v>
      </c>
      <c r="K144" s="182" t="s">
        <v>578</v>
      </c>
      <c r="L144" s="294">
        <f>VLOOKUP(J143,'[80]Location Status'!$A$7:$D$178,4,0)</f>
        <v>399</v>
      </c>
      <c r="M144" s="307"/>
      <c r="N144" s="178" t="s">
        <v>577</v>
      </c>
      <c r="O144" s="178" t="s">
        <v>578</v>
      </c>
      <c r="P144" s="294">
        <f>VLOOKUP(N143,'[80]Location Status'!$A$7:$D$178,4,0)</f>
        <v>347</v>
      </c>
      <c r="Q144" s="307"/>
      <c r="R144" s="182" t="s">
        <v>577</v>
      </c>
      <c r="S144" s="182" t="s">
        <v>578</v>
      </c>
      <c r="T144" s="294">
        <f>VLOOKUP(R143,'[80]Location Status'!$A$7:$D$178,4,0)</f>
        <v>400</v>
      </c>
      <c r="U144" s="307"/>
      <c r="V144" s="182" t="s">
        <v>577</v>
      </c>
      <c r="W144" s="182" t="s">
        <v>578</v>
      </c>
      <c r="X144" s="294">
        <f>VLOOKUP(V143,'[80]Location Status'!$A$7:$D$178,4,0)</f>
        <v>375</v>
      </c>
      <c r="Y144" s="307"/>
      <c r="Z144" s="182" t="s">
        <v>577</v>
      </c>
      <c r="AA144" s="182" t="s">
        <v>578</v>
      </c>
      <c r="AB144" s="294">
        <f>VLOOKUP(Z143,'[80]Location Status'!$A$7:$D$178,4,0)</f>
        <v>416</v>
      </c>
      <c r="AC144" s="307"/>
      <c r="AD144" s="182" t="s">
        <v>577</v>
      </c>
      <c r="AE144" s="182" t="s">
        <v>578</v>
      </c>
      <c r="AF144" s="294">
        <f>VLOOKUP(AD143,'[80]Location Status'!$A$7:$D$178,4,0)</f>
        <v>408</v>
      </c>
      <c r="AG144" s="307"/>
      <c r="AH144" s="182" t="s">
        <v>577</v>
      </c>
      <c r="AI144" s="182" t="s">
        <v>578</v>
      </c>
      <c r="AJ144" s="294">
        <f>VLOOKUP(AH143,'[80]Location Status'!$A$7:$D$178,4,0)</f>
        <v>404</v>
      </c>
      <c r="AK144" s="307"/>
      <c r="AL144" s="182" t="s">
        <v>577</v>
      </c>
      <c r="AM144" s="182" t="s">
        <v>578</v>
      </c>
      <c r="AN144" s="294">
        <f>VLOOKUP(AL143,'[80]Location Status'!$A$7:$D$178,4,0)</f>
        <v>391</v>
      </c>
      <c r="AO144" s="307"/>
      <c r="AP144" s="182" t="s">
        <v>577</v>
      </c>
      <c r="AQ144" s="182" t="s">
        <v>578</v>
      </c>
      <c r="AR144" s="294">
        <f>VLOOKUP(AP143,'[80]Location Status'!$A$7:$D$178,4,0)</f>
        <v>371</v>
      </c>
      <c r="AS144" s="307"/>
      <c r="AT144" s="145"/>
      <c r="AV144" s="219">
        <f>D144+H144+L144+P144+T144+X144+AB144+AF144+AJ144+AN144+AR144</f>
        <v>4305.8690000000006</v>
      </c>
      <c r="AW144" s="219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19"/>
      <c r="AW145" s="219"/>
    </row>
    <row r="146" spans="1:56" x14ac:dyDescent="0.35">
      <c r="A146" s="144"/>
      <c r="B146" s="306" t="s">
        <v>441</v>
      </c>
      <c r="C146" s="306"/>
      <c r="F146" s="306" t="s">
        <v>441</v>
      </c>
      <c r="G146" s="306"/>
      <c r="J146" s="306" t="s">
        <v>441</v>
      </c>
      <c r="K146" s="306"/>
      <c r="N146" s="226"/>
      <c r="O146" s="226"/>
      <c r="R146" s="306" t="s">
        <v>441</v>
      </c>
      <c r="S146" s="306"/>
      <c r="V146" s="306" t="s">
        <v>441</v>
      </c>
      <c r="W146" s="306"/>
      <c r="Z146" s="306" t="s">
        <v>600</v>
      </c>
      <c r="AA146" s="306"/>
      <c r="AD146" s="306" t="s">
        <v>441</v>
      </c>
      <c r="AE146" s="306"/>
      <c r="AH146" s="305" t="s">
        <v>596</v>
      </c>
      <c r="AI146" s="225"/>
      <c r="AL146" s="305" t="s">
        <v>596</v>
      </c>
      <c r="AM146" s="225"/>
      <c r="AP146" s="306" t="s">
        <v>441</v>
      </c>
      <c r="AQ146" s="306"/>
      <c r="AT146" s="145"/>
      <c r="AV146" s="219"/>
      <c r="AW146" s="219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19"/>
      <c r="AW147" s="219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19"/>
      <c r="AW148" s="219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19"/>
      <c r="AW149" s="219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19"/>
      <c r="AW150" s="219"/>
    </row>
    <row r="151" spans="1:56" x14ac:dyDescent="0.35">
      <c r="A151" s="144"/>
      <c r="B151" s="292" t="str">
        <f>VLOOKUP(B153,'[80]Location Status'!$A$7:$D$178,2,0)</f>
        <v>26/10</v>
      </c>
      <c r="C151" s="293"/>
      <c r="F151" s="292" t="str">
        <f>VLOOKUP(F153,'[80]Location Status'!$A$7:$D$178,2,0)</f>
        <v>27/0</v>
      </c>
      <c r="G151" s="293"/>
      <c r="J151" s="292" t="str">
        <f>VLOOKUP(J153,'[80]Location Status'!$A$7:$D$178,2,0)</f>
        <v>27/1</v>
      </c>
      <c r="K151" s="293"/>
      <c r="N151" s="292" t="str">
        <f>VLOOKUP(N153,'[80]Location Status'!$A$7:$D$178,2,0)</f>
        <v>28/0</v>
      </c>
      <c r="O151" s="293"/>
      <c r="R151" s="292" t="str">
        <f>VLOOKUP(R153,'[80]Location Status'!$A$7:$D$178,2,0)</f>
        <v>28/1</v>
      </c>
      <c r="S151" s="293"/>
      <c r="V151" s="292" t="str">
        <f>VLOOKUP(V153,'[80]Location Status'!$A$7:$D$178,2,0)</f>
        <v>29/0</v>
      </c>
      <c r="W151" s="293"/>
      <c r="Z151" s="292" t="str">
        <f>VLOOKUP(Z153,'[80]Location Status'!$A$7:$D$178,2,0)</f>
        <v>29/1</v>
      </c>
      <c r="AA151" s="293"/>
      <c r="AD151" s="292" t="str">
        <f>VLOOKUP(AD153,'[80]Location Status'!$A$7:$D$178,2,0)</f>
        <v>29/2</v>
      </c>
      <c r="AE151" s="293"/>
      <c r="AH151" s="292" t="str">
        <f>VLOOKUP(AH153,'[80]Location Status'!$A$7:$D$178,2,0)</f>
        <v>30/0</v>
      </c>
      <c r="AI151" s="293"/>
      <c r="AL151" s="292" t="str">
        <f>VLOOKUP(AL153,'[80]Location Status'!$A$7:$D$178,2,0)</f>
        <v>30/1</v>
      </c>
      <c r="AM151" s="293"/>
      <c r="AP151" s="292" t="str">
        <f>VLOOKUP(AP153,'[80]Location Status'!$A$7:$D$178,2,0)</f>
        <v>30/2</v>
      </c>
      <c r="AQ151" s="293"/>
      <c r="AT151" s="145"/>
      <c r="AV151" s="219"/>
      <c r="AW151" s="219"/>
      <c r="BB151" s="183"/>
      <c r="BC151" s="184"/>
      <c r="BD151" s="185"/>
    </row>
    <row r="152" spans="1:56" x14ac:dyDescent="0.35">
      <c r="A152" s="144"/>
      <c r="AT152" s="145"/>
      <c r="AV152" s="219"/>
      <c r="AW152" s="219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300"/>
      <c r="AW153" s="300"/>
    </row>
    <row r="154" spans="1:56" x14ac:dyDescent="0.35">
      <c r="A154" s="144"/>
      <c r="B154" s="156" t="s">
        <v>577</v>
      </c>
      <c r="C154" s="156" t="s">
        <v>578</v>
      </c>
      <c r="D154" s="294">
        <f>VLOOKUP(B153,'[80]Location Status'!$A$7:$D$178,4,0)</f>
        <v>391.18900000000002</v>
      </c>
      <c r="E154" s="307"/>
      <c r="F154" s="182" t="s">
        <v>577</v>
      </c>
      <c r="G154" s="182" t="s">
        <v>578</v>
      </c>
      <c r="H154" s="294">
        <f>VLOOKUP(F153,'[80]Location Status'!$A$7:$D$178,4,0)</f>
        <v>412</v>
      </c>
      <c r="I154" s="307"/>
      <c r="J154" s="182" t="s">
        <v>577</v>
      </c>
      <c r="K154" s="182" t="s">
        <v>578</v>
      </c>
      <c r="L154" s="294">
        <f>VLOOKUP(J153,'[80]Location Status'!$A$7:$D$178,4,0)</f>
        <v>384.05200000000002</v>
      </c>
      <c r="M154" s="307"/>
      <c r="N154" s="182" t="s">
        <v>577</v>
      </c>
      <c r="O154" s="182" t="s">
        <v>578</v>
      </c>
      <c r="P154" s="294">
        <f>VLOOKUP(N153,'[80]Location Status'!$A$7:$D$178,4,0)</f>
        <v>404</v>
      </c>
      <c r="Q154" s="307"/>
      <c r="R154" s="181" t="s">
        <v>577</v>
      </c>
      <c r="S154" s="181" t="s">
        <v>578</v>
      </c>
      <c r="T154" s="294">
        <f>VLOOKUP(R153,'[80]Location Status'!$A$7:$D$178,4,0)</f>
        <v>261.80599999999998</v>
      </c>
      <c r="U154" s="307"/>
      <c r="V154" s="182" t="s">
        <v>577</v>
      </c>
      <c r="W154" s="182" t="s">
        <v>578</v>
      </c>
      <c r="X154" s="294">
        <f>VLOOKUP(V153,'[80]Location Status'!$A$7:$D$178,4,0)</f>
        <v>358</v>
      </c>
      <c r="Y154" s="307"/>
      <c r="Z154" s="181" t="s">
        <v>577</v>
      </c>
      <c r="AA154" s="181" t="s">
        <v>578</v>
      </c>
      <c r="AB154" s="294">
        <f>VLOOKUP(Z153,'[80]Location Status'!$A$7:$D$178,4,0)</f>
        <v>419</v>
      </c>
      <c r="AC154" s="307"/>
      <c r="AD154" s="182" t="s">
        <v>577</v>
      </c>
      <c r="AE154" s="182" t="s">
        <v>578</v>
      </c>
      <c r="AF154" s="294">
        <f>VLOOKUP(AD153,'[80]Location Status'!$A$7:$D$178,4,0)</f>
        <v>367.80799999999999</v>
      </c>
      <c r="AG154" s="307"/>
      <c r="AH154" s="182" t="s">
        <v>577</v>
      </c>
      <c r="AI154" s="182" t="s">
        <v>578</v>
      </c>
      <c r="AJ154" s="294">
        <f>VLOOKUP(AH153,'[80]Location Status'!$A$7:$D$178,4,0)</f>
        <v>409.00299999999999</v>
      </c>
      <c r="AK154" s="307"/>
      <c r="AL154" s="182" t="s">
        <v>577</v>
      </c>
      <c r="AM154" s="182" t="s">
        <v>578</v>
      </c>
      <c r="AN154" s="294">
        <f>VLOOKUP(AL153,'[80]Location Status'!$A$7:$D$178,4,0)</f>
        <v>343</v>
      </c>
      <c r="AO154" s="307"/>
      <c r="AP154" s="182" t="s">
        <v>577</v>
      </c>
      <c r="AQ154" s="182" t="s">
        <v>578</v>
      </c>
      <c r="AR154" s="294">
        <f>VLOOKUP(AP153,'[80]Location Status'!$A$7:$D$178,4,0)</f>
        <v>394</v>
      </c>
      <c r="AS154" s="307"/>
      <c r="AT154" s="145"/>
      <c r="AV154" s="219">
        <f>D154+H154+L154+P154+T154+X154+AB154+AF154+AJ154+AN154+AR154</f>
        <v>4143.8580000000002</v>
      </c>
      <c r="AW154" s="219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6" t="s">
        <v>581</v>
      </c>
      <c r="W155" s="156" t="s">
        <v>582</v>
      </c>
      <c r="Z155" s="157" t="s">
        <v>581</v>
      </c>
      <c r="AA155" s="157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19"/>
      <c r="AW155" s="219"/>
    </row>
    <row r="156" spans="1:56" x14ac:dyDescent="0.35">
      <c r="A156" s="144"/>
      <c r="B156" s="305" t="s">
        <v>596</v>
      </c>
      <c r="C156" s="225"/>
      <c r="F156" s="305" t="s">
        <v>596</v>
      </c>
      <c r="G156" s="225"/>
      <c r="J156" s="306" t="s">
        <v>441</v>
      </c>
      <c r="K156" s="306"/>
      <c r="N156" s="305" t="s">
        <v>596</v>
      </c>
      <c r="O156" s="225"/>
      <c r="R156" s="226"/>
      <c r="S156" s="226"/>
      <c r="V156" s="226"/>
      <c r="W156" s="226"/>
      <c r="Z156" s="226"/>
      <c r="AA156" s="226"/>
      <c r="AD156" s="306" t="s">
        <v>441</v>
      </c>
      <c r="AE156" s="306"/>
      <c r="AH156" s="306" t="s">
        <v>441</v>
      </c>
      <c r="AI156" s="306"/>
      <c r="AL156" s="306" t="s">
        <v>441</v>
      </c>
      <c r="AM156" s="306"/>
      <c r="AP156" s="306" t="s">
        <v>441</v>
      </c>
      <c r="AQ156" s="306"/>
      <c r="AT156" s="145"/>
      <c r="AV156" s="219"/>
      <c r="AW156" s="219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19"/>
      <c r="AW157" s="219"/>
      <c r="BB157" s="184"/>
      <c r="BC157" s="184"/>
      <c r="BD157" s="185"/>
    </row>
    <row r="158" spans="1:56" x14ac:dyDescent="0.35">
      <c r="A158" s="144"/>
      <c r="AT158" s="145"/>
      <c r="AV158" s="219"/>
      <c r="AW158" s="219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19"/>
      <c r="AW159" s="219"/>
    </row>
    <row r="160" spans="1:56" x14ac:dyDescent="0.35">
      <c r="A160" s="144"/>
      <c r="B160" s="292" t="str">
        <f>VLOOKUP(B162,'[80]Location Status'!$A$7:$D$178,2,0)</f>
        <v>30/3</v>
      </c>
      <c r="C160" s="293"/>
      <c r="F160" s="292" t="str">
        <f>VLOOKUP(F162,'[80]Location Status'!$A$7:$D$178,2,0)</f>
        <v>30/4</v>
      </c>
      <c r="G160" s="293"/>
      <c r="J160" s="292" t="str">
        <f>VLOOKUP(J162,'[80]Location Status'!$A$7:$D$178,2,0)</f>
        <v>30/5</v>
      </c>
      <c r="K160" s="293"/>
      <c r="N160" s="292" t="str">
        <f>VLOOKUP(N162,'[80]Location Status'!$A$7:$D$178,2,0)</f>
        <v>31/0</v>
      </c>
      <c r="O160" s="293"/>
      <c r="R160" s="292" t="str">
        <f>VLOOKUP(R162,'[80]Location Status'!$A$7:$D$178,2,0)</f>
        <v>31/1</v>
      </c>
      <c r="S160" s="293"/>
      <c r="V160" s="292" t="str">
        <f>VLOOKUP(V162,'[80]Location Status'!$A$7:$D$178,2,0)</f>
        <v>31/2</v>
      </c>
      <c r="W160" s="293"/>
      <c r="Z160" s="292" t="str">
        <f>VLOOKUP(Z162,'[80]Location Status'!$A$7:$D$178,2,0)</f>
        <v xml:space="preserve">32/0 </v>
      </c>
      <c r="AA160" s="293"/>
      <c r="AD160" s="292" t="str">
        <f>VLOOKUP(AD162,'[80]Location Status'!$A$7:$D$178,2,0)</f>
        <v>32/1</v>
      </c>
      <c r="AE160" s="293"/>
      <c r="AH160" s="292" t="str">
        <f>VLOOKUP(AH162,'[80]Location Status'!$A$7:$D$178,2,0)</f>
        <v>32/2</v>
      </c>
      <c r="AI160" s="293"/>
      <c r="AL160" s="292" t="str">
        <f>VLOOKUP(AL162,'[80]Location Status'!$A$7:$D$178,2,0)</f>
        <v>33/0</v>
      </c>
      <c r="AM160" s="293"/>
      <c r="AP160" s="172"/>
      <c r="AQ160" s="171"/>
      <c r="AT160" s="145"/>
      <c r="AV160" s="219"/>
      <c r="AW160" s="219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19"/>
      <c r="AW161" s="219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300"/>
      <c r="AW162" s="300"/>
    </row>
    <row r="163" spans="1:56" x14ac:dyDescent="0.35">
      <c r="A163" s="144"/>
      <c r="B163" s="156" t="s">
        <v>577</v>
      </c>
      <c r="C163" s="156" t="s">
        <v>578</v>
      </c>
      <c r="D163" s="292">
        <f>VLOOKUP(B162,'[80]Location Status'!$A$7:$D$178,4,0)</f>
        <v>403</v>
      </c>
      <c r="E163" s="293"/>
      <c r="F163" s="156" t="s">
        <v>577</v>
      </c>
      <c r="G163" s="156" t="s">
        <v>578</v>
      </c>
      <c r="H163" s="294">
        <f>VLOOKUP(F162,'[80]Location Status'!$A$7:$D$178,4,0)</f>
        <v>350</v>
      </c>
      <c r="I163" s="307"/>
      <c r="J163" s="182" t="s">
        <v>577</v>
      </c>
      <c r="K163" s="182" t="s">
        <v>578</v>
      </c>
      <c r="L163" s="294">
        <f>VLOOKUP(J162,'[80]Location Status'!$A$7:$D$178,4,0)</f>
        <v>354.815</v>
      </c>
      <c r="M163" s="307"/>
      <c r="N163" s="182" t="s">
        <v>577</v>
      </c>
      <c r="O163" s="182" t="s">
        <v>578</v>
      </c>
      <c r="P163" s="294">
        <f>VLOOKUP(N162,'[80]Location Status'!$A$7:$D$178,4,0)</f>
        <v>363</v>
      </c>
      <c r="Q163" s="307"/>
      <c r="R163" s="178" t="s">
        <v>577</v>
      </c>
      <c r="S163" s="178" t="s">
        <v>578</v>
      </c>
      <c r="T163" s="294">
        <f>VLOOKUP(R162,'[80]Location Status'!$A$7:$D$178,4,0)</f>
        <v>437</v>
      </c>
      <c r="U163" s="307"/>
      <c r="V163" s="182" t="s">
        <v>577</v>
      </c>
      <c r="W163" s="182" t="s">
        <v>578</v>
      </c>
      <c r="X163" s="294">
        <f>VLOOKUP(V162,'[80]Location Status'!$A$7:$D$178,4,0)</f>
        <v>347.61599999999999</v>
      </c>
      <c r="Y163" s="307"/>
      <c r="Z163" s="182" t="s">
        <v>577</v>
      </c>
      <c r="AA163" s="182" t="s">
        <v>578</v>
      </c>
      <c r="AB163" s="294">
        <f>VLOOKUP(Z162,'[80]Location Status'!$A$7:$D$178,4,0)</f>
        <v>400</v>
      </c>
      <c r="AC163" s="307"/>
      <c r="AD163" s="178" t="s">
        <v>577</v>
      </c>
      <c r="AE163" s="178" t="s">
        <v>578</v>
      </c>
      <c r="AF163" s="294">
        <f>VLOOKUP(AD162,'[80]Location Status'!$A$7:$D$178,4,0)</f>
        <v>439</v>
      </c>
      <c r="AG163" s="307"/>
      <c r="AH163" s="182" t="s">
        <v>577</v>
      </c>
      <c r="AI163" s="182" t="s">
        <v>578</v>
      </c>
      <c r="AJ163" s="294">
        <f>VLOOKUP(AH162,'[80]Location Status'!$A$7:$D$178,4,0)</f>
        <v>343.60700000000003</v>
      </c>
      <c r="AK163" s="307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310">
        <f>D163+H163+L163+P163+T163+X163+AB163+AF163+AJ163+AN163+AR163</f>
        <v>3438.038</v>
      </c>
      <c r="AW163" s="310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19"/>
      <c r="AW164" s="219"/>
    </row>
    <row r="165" spans="1:56" x14ac:dyDescent="0.35">
      <c r="A165" s="144"/>
      <c r="B165" s="305" t="s">
        <v>596</v>
      </c>
      <c r="C165" s="225"/>
      <c r="F165" s="306" t="s">
        <v>441</v>
      </c>
      <c r="G165" s="306"/>
      <c r="J165" s="306" t="s">
        <v>441</v>
      </c>
      <c r="K165" s="306"/>
      <c r="N165" s="306" t="s">
        <v>441</v>
      </c>
      <c r="O165" s="306"/>
      <c r="R165" s="226"/>
      <c r="S165" s="226"/>
      <c r="V165" s="226"/>
      <c r="W165" s="226"/>
      <c r="Z165" s="306" t="s">
        <v>441</v>
      </c>
      <c r="AA165" s="306"/>
      <c r="AD165" s="226"/>
      <c r="AE165" s="226"/>
      <c r="AH165" s="305" t="s">
        <v>596</v>
      </c>
      <c r="AI165" s="225"/>
      <c r="AL165" s="305" t="s">
        <v>596</v>
      </c>
      <c r="AM165" s="225"/>
      <c r="AP165" s="172"/>
      <c r="AQ165" s="171"/>
      <c r="AT165" s="145"/>
      <c r="AV165" s="219"/>
      <c r="AW165" s="219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19"/>
      <c r="AW166" s="219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19"/>
      <c r="AW167" s="219"/>
    </row>
  </sheetData>
  <mergeCells count="725">
    <mergeCell ref="T163:U163"/>
    <mergeCell ref="X163:Y163"/>
    <mergeCell ref="B53:N53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AV166:AW166"/>
    <mergeCell ref="AV167:AW167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F146:G146"/>
    <mergeCell ref="J146:K146"/>
    <mergeCell ref="N146:O146"/>
    <mergeCell ref="R146:S146"/>
    <mergeCell ref="AF154:AG154"/>
    <mergeCell ref="AJ154:AK154"/>
    <mergeCell ref="AN154:AO154"/>
    <mergeCell ref="AR154:AS154"/>
    <mergeCell ref="AV154:AW154"/>
    <mergeCell ref="AV139:AW139"/>
    <mergeCell ref="AV140:AW140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AV136:AW136"/>
    <mergeCell ref="B137:C137"/>
    <mergeCell ref="F137:G137"/>
    <mergeCell ref="J137:K137"/>
    <mergeCell ref="N137:O137"/>
    <mergeCell ref="R137:S137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Z132:AA132"/>
    <mergeCell ref="AD132:AE132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AV112:AW112"/>
    <mergeCell ref="AV113:AW113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AH98:AI98"/>
    <mergeCell ref="AL98:AM98"/>
    <mergeCell ref="AP98:AQ98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D98:AE98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H90:AI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AL90:AM90"/>
    <mergeCell ref="AP90:AQ90"/>
    <mergeCell ref="AV90:AW90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D82:AE82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B48:AC48"/>
    <mergeCell ref="AF48:AG48"/>
    <mergeCell ref="AJ48:AK48"/>
    <mergeCell ref="AN48:AO48"/>
    <mergeCell ref="AR48:AS48"/>
    <mergeCell ref="AV48:AW48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F39:AG39"/>
    <mergeCell ref="AJ39:AK39"/>
    <mergeCell ref="AN39:AO39"/>
    <mergeCell ref="AR39:AS39"/>
    <mergeCell ref="AV39:AW39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N31:O31"/>
    <mergeCell ref="R31:S31"/>
    <mergeCell ref="V31:W31"/>
    <mergeCell ref="Z31:AA31"/>
    <mergeCell ref="AD31:AE31"/>
    <mergeCell ref="AH31:AI31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AV29:AW29"/>
    <mergeCell ref="AV30:AW30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11" t="s">
        <v>347</v>
      </c>
      <c r="B1" s="312"/>
      <c r="C1" s="312"/>
      <c r="D1" s="313"/>
      <c r="E1" s="313"/>
      <c r="F1" s="313"/>
      <c r="G1" s="313"/>
      <c r="H1" s="313"/>
      <c r="I1" s="313"/>
      <c r="J1" s="312"/>
      <c r="K1" s="312"/>
      <c r="L1" s="312"/>
      <c r="M1" s="312"/>
      <c r="N1" s="312"/>
      <c r="O1" s="312"/>
      <c r="P1" s="314"/>
    </row>
    <row r="2" spans="1:16" s="2" customFormat="1" ht="29.25" customHeight="1" x14ac:dyDescent="0.35">
      <c r="A2" s="31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1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2025-11-19T07:03:31Z</dcterms:modified>
</cp:coreProperties>
</file>