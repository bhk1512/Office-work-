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197" documentId="13_ncr:1_{9398C5D3-5744-440A-973B-2601208E0DBB}" xr6:coauthVersionLast="47" xr6:coauthVersionMax="47" xr10:uidLastSave="{D2A3216A-2BF9-4103-B6B5-F69BCD60E1BD}"/>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(Row)'!$A$353:$I$363</definedName>
    <definedName name="_xlnm._FilterDatabase" localSheetId="5" hidden="1">'Page Chart'!$A$3:$H$488</definedName>
    <definedName name="_xlnm._FilterDatabase" localSheetId="13" hidden="1">Stringing!$A$5:$N$37</definedName>
    <definedName name="_xlnm._FilterDatabase" localSheetId="14" hidden="1">'Stringing associated works'!$A$4:$Z$981</definedName>
    <definedName name="_xlnm._FilterDatabase" localSheetId="6" hidden="1">Survey!$A$5:$O$95</definedName>
    <definedName name="_xlnm._FilterDatabase" localSheetId="12" hidden="1">Tackwelding!$F$1:$F$363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89" i="61" l="1"/>
  <c r="H11" i="29" l="1"/>
  <c r="J491" i="61"/>
  <c r="D491" i="61"/>
  <c r="A491" i="61"/>
  <c r="H10" i="29"/>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J339" i="63" s="1"/>
  <c r="E98" i="88" s="1"/>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22" i="63" l="1"/>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10" i="82" l="1"/>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59" i="63" l="1"/>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J291" i="63" s="1"/>
  <c r="E41" i="88" s="1"/>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J270" i="63" s="1"/>
  <c r="E22" i="88" s="1"/>
  <c r="D20" i="88"/>
  <c r="D267" i="63"/>
  <c r="J232" i="63"/>
  <c r="C175" i="64"/>
  <c r="J228" i="63"/>
  <c r="C172" i="64"/>
  <c r="J225" i="63"/>
  <c r="C171" i="64"/>
  <c r="J227" i="63"/>
  <c r="C162" i="64"/>
  <c r="D10" i="74"/>
  <c r="C7" i="74"/>
  <c r="C11" i="74"/>
  <c r="C10" i="74"/>
  <c r="C9" i="74"/>
  <c r="C8" i="74"/>
  <c r="J273" i="63" l="1"/>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0" i="63" l="1"/>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F22" i="29" s="1"/>
  <c r="E5" i="29"/>
  <c r="F5" i="29" s="1"/>
  <c r="E18" i="29" l="1"/>
  <c r="D22" i="29"/>
  <c r="F42" i="48"/>
  <c r="G42" i="48" l="1"/>
  <c r="J42" i="48"/>
  <c r="J45" i="48" l="1"/>
  <c r="G45" i="48"/>
  <c r="I11" i="29" s="1"/>
  <c r="G44"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<sst xmlns="http://schemas.openxmlformats.org/spreadsheetml/2006/main" count="12525" uniqueCount="1751">
  <si>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</si>
  <si>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</si>
  <si>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</si>
  <si>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</si>
  <si>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</si>
  <si>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</si>
  <si>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</si>
  <si>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</si>
  <si>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</si>
  <si>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</si>
  <si>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</si>
  <si>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</si>
  <si>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</si>
  <si>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</si>
  <si>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</si>
  <si>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</si>
  <si>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</si>
  <si>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</si>
  <si>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</si>
  <si>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</si>
  <si>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</si>
  <si>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</si>
  <si>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</si>
  <si>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</si>
  <si>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</si>
  <si>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</si>
  <si>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</si>
  <si>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</si>
  <si>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</si>
  <si>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</si>
  <si>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</si>
  <si>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</si>
  <si>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</si>
  <si>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</si>
  <si>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</si>
  <si>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</si>
  <si>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</si>
  <si>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</si>
  <si>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</si>
  <si>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</si>
  <si>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</si>
  <si>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</si>
  <si>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</si>
  <si>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</si>
  <si>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</si>
  <si>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</si>
  <si>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</si>
  <si>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</si>
  <si>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</si>
  <si>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</si>
  <si>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</si>
  <si>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</si>
  <si>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</si>
  <si>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</si>
  <si>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</si>
  <si>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</si>
  <si>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</si>
  <si>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</si>
  <si>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</si>
  <si>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</si>
  <si>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</si>
  <si>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</si>
  <si>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</si>
  <si>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</si>
  <si>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</si>
  <si>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</si>
  <si>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</si>
  <si>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</si>
  <si>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</si>
  <si>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</si>
  <si>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</si>
  <si>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</si>
  <si>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</si>
  <si>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</si>
  <si>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</si>
  <si>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</si>
  <si>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</si>
  <si>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</si>
  <si>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</si>
  <si>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</si>
  <si>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</si>
  <si>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</si>
  <si>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</si>
  <si>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</si>
  <si>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</si>
  <si>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</si>
  <si>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</si>
  <si>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</si>
  <si>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</si>
  <si>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</si>
  <si>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</si>
  <si>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</si>
  <si>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</si>
  <si>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</si>
  <si>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</si>
  <si>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</si>
  <si>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</si>
  <si>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</si>
  <si>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</si>
  <si>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</si>
  <si>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</si>
  <si>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</si>
  <si>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</si>
  <si>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</si>
  <si>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</si>
  <si>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</si>
  <si>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</si>
  <si>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</si>
  <si>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</si>
  <si>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</si>
  <si>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</si>
  <si>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</si>
  <si>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</si>
  <si>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</si>
  <si>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</si>
  <si>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</si>
  <si>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</si>
  <si>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</si>
  <si>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</si>
  <si>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</si>
  <si>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</si>
  <si>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</si>
  <si>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</si>
  <si>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</si>
  <si>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</si>
  <si>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</si>
  <si>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</si>
  <si>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</si>
  <si>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</si>
  <si>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</si>
  <si>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</si>
  <si>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</si>
  <si>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</si>
  <si>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</si>
  <si>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</si>
  <si>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</si>
  <si>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</si>
  <si>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</si>
  <si>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</si>
  <si>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</si>
  <si>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</si>
  <si>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</si>
  <si>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</si>
  <si>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</si>
  <si>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</si>
  <si>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</si>
  <si>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</si>
  <si>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</si>
  <si>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</si>
  <si>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</si>
  <si>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</si>
  <si>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</si>
  <si>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</si>
  <si>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</si>
  <si>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</si>
  <si>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</si>
  <si>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</si>
  <si>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</si>
  <si>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</si>
  <si>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</si>
  <si>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</si>
  <si>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</si>
  <si>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</si>
  <si>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</si>
  <si>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</si>
  <si>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</si>
  <si>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</si>
  <si>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</si>
  <si>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</si>
  <si>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</si>
  <si>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</si>
  <si>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</si>
  <si>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</si>
  <si>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</si>
  <si>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</si>
  <si>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</si>
  <si>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</si>
  <si>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</si>
  <si>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</si>
  <si>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</si>
  <si>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</si>
  <si>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</si>
  <si>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</si>
  <si>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</si>
  <si>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</si>
  <si>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</si>
  <si>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</si>
  <si>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</si>
  <si>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</si>
  <si>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</si>
  <si>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</si>
  <si>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</si>
  <si>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</si>
  <si>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</si>
  <si>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</si>
  <si>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</si>
  <si>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</si>
  <si>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</si>
  <si>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</si>
  <si>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</si>
  <si>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</si>
  <si>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</si>
  <si>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</si>
  <si>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</si>
  <si>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</si>
  <si>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</si>
  <si>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</si>
  <si>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</si>
  <si>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</si>
  <si>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</si>
  <si>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</si>
  <si>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</si>
  <si>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</si>
  <si>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</si>
  <si>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</si>
  <si>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</si>
  <si>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</si>
  <si>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</si>
  <si>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</si>
  <si>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</si>
  <si>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</si>
  <si>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</si>
  <si>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</si>
  <si>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</si>
  <si>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</si>
  <si>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</si>
  <si>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</si>
  <si>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</si>
  <si>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</si>
  <si>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</si>
  <si>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</si>
  <si>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</si>
  <si>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</si>
  <si>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</si>
  <si>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</si>
  <si>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</si>
  <si>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</si>
  <si>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</si>
  <si>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</si>
  <si>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</si>
  <si>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</si>
  <si>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</si>
  <si>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</si>
  <si>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</si>
  <si>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</si>
  <si>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</si>
  <si>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</si>
  <si>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</si>
  <si>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</si>
  <si>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</si>
  <si>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</si>
  <si>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</si>
  <si>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</si>
  <si>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</si>
  <si>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</si>
  <si>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</si>
  <si>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</si>
  <si>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</si>
  <si>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</si>
  <si>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</si>
  <si>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</si>
  <si>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</si>
  <si>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</si>
  <si>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</si>
  <si>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</si>
  <si>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</si>
  <si>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</si>
  <si>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</si>
  <si>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</si>
  <si>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</si>
  <si>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</si>
  <si>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</si>
  <si>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</si>
  <si>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</si>
  <si>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</si>
  <si>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</si>
  <si>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</si>
  <si>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</si>
  <si>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</si>
  <si>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</si>
  <si>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</si>
  <si>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</si>
  <si>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</si>
  <si>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</si>
  <si>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</si>
  <si>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</si>
  <si>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</si>
  <si>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</si>
  <si>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</si>
  <si>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</si>
  <si>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</si>
  <si>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</si>
  <si>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</si>
  <si>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</si>
  <si>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</si>
  <si>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</si>
  <si>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</si>
  <si>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</si>
  <si>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</si>
  <si>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</si>
  <si>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</si>
  <si>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</si>
  <si>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</si>
  <si>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</si>
  <si>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</si>
  <si>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</si>
  <si>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</si>
  <si>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</si>
  <si>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</si>
  <si>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</si>
  <si>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</si>
  <si>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</si>
  <si>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</si>
  <si>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</si>
  <si>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</si>
  <si>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</si>
  <si>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</si>
  <si>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</si>
  <si>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</si>
  <si>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</si>
  <si>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</si>
  <si>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</si>
  <si>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</si>
  <si>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</si>
  <si>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</si>
  <si>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</si>
  <si>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</si>
  <si>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</si>
  <si>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</si>
  <si>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</si>
  <si>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</si>
  <si>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</si>
  <si>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</si>
  <si>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</si>
  <si>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</si>
  <si>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</si>
  <si>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</si>
  <si>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</si>
  <si>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</si>
  <si>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</si>
  <si>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</si>
  <si>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</si>
  <si>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</si>
  <si>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</si>
  <si>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</si>
  <si>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</si>
  <si>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</si>
  <si>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</si>
  <si>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</si>
  <si>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</si>
  <si>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</si>
  <si>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</si>
  <si>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</si>
  <si>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</si>
  <si>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</si>
  <si>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</si>
  <si>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</si>
  <si>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</si>
  <si>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</si>
  <si>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</si>
  <si>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</si>
  <si>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</si>
  <si>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</si>
  <si>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</si>
  <si>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</si>
  <si>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</si>
  <si>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</si>
  <si>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</si>
  <si>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</si>
  <si>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</si>
  <si>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</si>
  <si>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</si>
  <si>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</si>
  <si>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</si>
  <si>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</si>
  <si>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</si>
  <si>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</si>
  <si>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</si>
  <si>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</si>
  <si>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</si>
  <si>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</si>
  <si>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</si>
  <si>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</si>
  <si>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</si>
  <si>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</si>
  <si>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</si>
  <si>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</si>
  <si>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</si>
  <si>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</si>
  <si>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</si>
  <si>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</si>
  <si>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</si>
  <si>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</si>
  <si>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</si>
  <si>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</si>
  <si>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</si>
  <si>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</si>
  <si>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</si>
  <si>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</si>
  <si>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</si>
  <si>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</si>
  <si>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</si>
  <si>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</si>
  <si>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</si>
  <si>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</si>
  <si>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</si>
  <si>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</si>
  <si>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</si>
  <si>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</si>
  <si>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</si>
  <si>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</si>
  <si>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</si>
  <si>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</si>
  <si>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</si>
  <si>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</si>
  <si>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</si>
  <si>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</si>
  <si>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</si>
  <si>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</si>
  <si>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</si>
  <si>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</si>
  <si>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</si>
  <si>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</si>
  <si>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</si>
  <si>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</si>
  <si>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</si>
  <si>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</si>
  <si>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</si>
  <si>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</si>
  <si>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</si>
  <si>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</si>
  <si>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</si>
  <si>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</si>
  <si>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</si>
  <si>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</si>
  <si>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</si>
  <si>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</si>
  <si>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</si>
  <si>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</si>
  <si>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</si>
  <si>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</si>
  <si>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</si>
  <si>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</si>
  <si>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</si>
  <si>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</si>
  <si>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</si>
  <si>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</si>
  <si>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</si>
  <si>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</si>
  <si>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</si>
  <si>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</si>
  <si>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</si>
  <si>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</si>
  <si>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</si>
  <si>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</si>
  <si>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</si>
  <si>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</si>
  <si>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</si>
  <si>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</si>
  <si>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</si>
  <si>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</si>
  <si>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</si>
  <si>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</si>
  <si>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</si>
  <si>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</si>
  <si>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</si>
  <si>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</si>
  <si>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</si>
  <si>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</si>
  <si>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</si>
  <si>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</si>
  <si>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</si>
  <si>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</si>
  <si>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</si>
  <si>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</si>
  <si>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</si>
  <si>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</si>
  <si>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</si>
  <si>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</si>
  <si>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</si>
  <si>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</si>
  <si>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</si>
  <si>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</si>
  <si>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</si>
  <si>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</si>
  <si>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</si>
  <si>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</si>
  <si>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</si>
  <si>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</si>
  <si>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</si>
  <si>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</si>
  <si>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</si>
  <si>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</si>
  <si>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</si>
  <si>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</si>
  <si>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</si>
  <si>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</si>
  <si>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</si>
  <si>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</si>
  <si>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</si>
  <si>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</si>
  <si>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</si>
  <si>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</si>
  <si>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</si>
  <si>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</si>
  <si>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</si>
  <si>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</si>
  <si>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</si>
  <si>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</si>
  <si>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</si>
  <si>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</si>
  <si>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</si>
  <si>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</si>
  <si>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</si>
  <si>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</si>
  <si>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</si>
  <si>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</si>
  <si>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</si>
  <si>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</si>
  <si>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</si>
  <si>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</si>
  <si>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</si>
  <si>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</si>
  <si>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</si>
  <si>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</si>
  <si>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</si>
  <si>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</si>
  <si>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</si>
  <si>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</si>
  <si>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</si>
  <si>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</si>
  <si>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</si>
  <si>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</si>
  <si>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</si>
  <si>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</si>
  <si>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</si>
  <si>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</si>
  <si>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</si>
  <si>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</si>
  <si>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</si>
  <si>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</si>
  <si>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</si>
  <si>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</si>
  <si>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</si>
  <si>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</si>
  <si>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</si>
  <si>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</si>
  <si>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</si>
  <si>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</si>
  <si>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</si>
  <si>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</si>
  <si>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</si>
  <si>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</si>
  <si>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</si>
  <si>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</si>
  <si>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</si>
  <si>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</si>
  <si>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</si>
  <si>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</si>
  <si>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</si>
  <si>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</si>
  <si>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</si>
  <si>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</si>
  <si>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</si>
  <si>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</si>
  <si>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</si>
  <si>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</si>
  <si>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</si>
  <si>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</si>
  <si>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</si>
  <si>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</si>
  <si>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</si>
  <si>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</si>
  <si>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</si>
  <si>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</si>
  <si>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</si>
  <si>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</si>
  <si>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</si>
  <si>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</si>
  <si>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</si>
  <si>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</si>
  <si>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</si>
  <si>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</si>
  <si>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</si>
  <si>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</si>
  <si>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</si>
  <si>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</si>
  <si>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</si>
  <si>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</si>
  <si>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</si>
  <si>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</si>
  <si>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</si>
  <si>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</si>
  <si>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</si>
  <si>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</si>
  <si>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</si>
  <si>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</si>
  <si>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</si>
  <si>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</si>
  <si>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</si>
  <si>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</si>
  <si>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</si>
  <si>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</si>
  <si>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</si>
  <si>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</si>
  <si>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</si>
  <si>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</si>
  <si>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</si>
  <si>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</si>
  <si>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</si>
  <si>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</si>
  <si>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</si>
  <si>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</si>
  <si>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</si>
  <si>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</si>
  <si>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</si>
  <si>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</si>
  <si>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</si>
  <si>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</si>
  <si>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</si>
  <si>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</si>
  <si>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</si>
  <si>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</si>
  <si>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</si>
  <si>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</si>
  <si>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</si>
  <si>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</si>
  <si>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</si>
  <si>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</si>
  <si>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</si>
  <si>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</si>
  <si>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</si>
  <si>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</si>
  <si>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</si>
  <si>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</si>
  <si>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</si>
  <si>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</si>
  <si>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</si>
  <si>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</si>
  <si>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</si>
  <si>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</si>
  <si>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</si>
  <si>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</si>
  <si>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</si>
  <si>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</si>
  <si>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</si>
  <si>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</si>
  <si>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</si>
  <si>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</si>
  <si>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</si>
  <si>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</si>
  <si>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</si>
  <si>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</si>
  <si>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</si>
  <si>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</si>
  <si>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</si>
  <si>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</si>
  <si>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</si>
  <si>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</si>
  <si>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</si>
  <si>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</si>
  <si>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</si>
  <si>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</si>
  <si>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</si>
  <si>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</si>
  <si>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</si>
  <si>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</si>
  <si>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</si>
  <si>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</si>
  <si>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</si>
  <si>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</si>
  <si>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</si>
  <si>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</si>
  <si>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</si>
  <si>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</si>
  <si>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</si>
  <si>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</si>
  <si>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</si>
  <si>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</si>
  <si>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</si>
  <si>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</si>
  <si>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</si>
  <si>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</si>
  <si>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</si>
  <si>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</si>
  <si>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</si>
  <si>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</si>
  <si>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</si>
  <si>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</si>
  <si>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</si>
  <si>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</si>
  <si>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</si>
  <si>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</si>
  <si>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</si>
  <si>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</si>
  <si>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</si>
  <si>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</si>
  <si>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</si>
  <si>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</si>
  <si>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</si>
  <si>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</si>
  <si>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</si>
  <si>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</si>
  <si>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</si>
  <si>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</si>
  <si>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</si>
  <si>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</si>
  <si>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</si>
  <si>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</si>
  <si>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</si>
  <si>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</si>
  <si>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</si>
  <si>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</si>
  <si>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</si>
  <si>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</si>
  <si>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</si>
  <si>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</si>
  <si>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</si>
  <si>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</si>
  <si>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</si>
  <si>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</si>
  <si>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</si>
  <si>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</si>
  <si>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</si>
  <si>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</si>
  <si>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</si>
  <si>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</si>
  <si>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</si>
  <si>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</si>
  <si>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</si>
  <si>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</si>
  <si>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</si>
  <si>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</si>
  <si>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</si>
  <si>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</si>
  <si>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</si>
  <si>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</si>
  <si>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</si>
  <si>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</si>
  <si>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</si>
  <si>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</si>
  <si>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</si>
  <si>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</si>
  <si>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</si>
  <si>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</si>
  <si>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</si>
  <si>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</si>
  <si>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</si>
  <si>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</si>
  <si>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</si>
  <si>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</si>
  <si>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</si>
  <si>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</si>
  <si>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</si>
  <si>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</si>
  <si>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</si>
  <si>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</si>
  <si>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</si>
  <si>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</si>
  <si>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</si>
  <si>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</si>
  <si>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</si>
  <si>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</si>
  <si>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</si>
  <si>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</si>
  <si>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</si>
  <si>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</si>
  <si>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</si>
  <si>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</si>
  <si>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</si>
  <si>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</si>
  <si>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</si>
  <si>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</si>
  <si>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</si>
  <si>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</si>
  <si>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</si>
  <si>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</si>
  <si>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</si>
  <si>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</si>
  <si>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</si>
  <si>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</si>
  <si>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</si>
  <si>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</si>
  <si>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</si>
  <si>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</si>
  <si>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</si>
  <si>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</si>
  <si>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</si>
  <si>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</si>
  <si>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</si>
  <si>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</si>
  <si>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</si>
  <si>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</si>
  <si>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</si>
  <si>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</si>
  <si>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</si>
  <si>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</si>
  <si>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</si>
  <si>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</si>
  <si>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</si>
  <si>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</si>
  <si>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</si>
  <si>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</si>
  <si>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</si>
  <si>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</si>
  <si>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</si>
  <si>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</si>
  <si>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</si>
  <si>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</si>
  <si>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</si>
  <si>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</si>
  <si>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</si>
  <si>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</si>
  <si>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</si>
  <si>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</si>
  <si>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</si>
  <si>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</si>
  <si>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</si>
  <si>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</si>
  <si>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</si>
  <si>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</si>
  <si>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</si>
  <si>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</si>
  <si>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</si>
  <si>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</si>
  <si>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</si>
  <si>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</si>
  <si>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</si>
  <si>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</si>
  <si>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</si>
  <si>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</si>
  <si>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</si>
  <si>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</si>
  <si>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</si>
  <si>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</si>
  <si>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</si>
  <si>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</si>
  <si>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</si>
  <si>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</si>
  <si>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</si>
  <si>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</si>
  <si>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</si>
  <si>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</si>
  <si>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</si>
  <si>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</si>
  <si>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</si>
  <si>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</si>
  <si>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</si>
  <si>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</si>
  <si>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</si>
  <si>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</si>
  <si>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</si>
  <si>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</si>
  <si>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</si>
  <si>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</si>
  <si>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</si>
  <si>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</si>
  <si>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</si>
  <si>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</si>
  <si>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</si>
  <si>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</si>
  <si>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</si>
  <si>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</si>
  <si>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</si>
  <si>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</si>
  <si>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</si>
  <si>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</si>
  <si>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</si>
  <si>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</si>
  <si>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</si>
  <si>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</si>
  <si>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</si>
  <si>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</si>
  <si>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</si>
  <si>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</si>
  <si>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</si>
  <si>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</si>
  <si>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</si>
  <si>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</si>
  <si>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</si>
  <si>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</si>
  <si>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</si>
  <si>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</si>
  <si>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</si>
  <si>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</si>
  <si>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</si>
  <si>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</si>
  <si>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</si>
  <si>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</si>
  <si>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</si>
  <si>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</si>
  <si>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</si>
  <si>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</si>
  <si>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</si>
  <si>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</si>
  <si>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</si>
  <si>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</si>
  <si>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</si>
  <si>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</si>
  <si>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</si>
  <si>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</si>
  <si>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</si>
  <si>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</si>
  <si>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</si>
  <si>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</si>
  <si>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</si>
  <si>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</si>
  <si>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</si>
  <si>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</si>
  <si>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</si>
  <si>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</si>
  <si>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</si>
  <si>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</si>
  <si>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</si>
  <si>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</si>
  <si>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</si>
  <si>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</si>
  <si>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</si>
  <si>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</si>
  <si>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</si>
  <si>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</si>
  <si>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</si>
  <si>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</si>
  <si>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</si>
  <si>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</si>
  <si>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</si>
  <si>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</si>
  <si>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</si>
  <si>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</si>
  <si>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</si>
  <si>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</si>
  <si>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</si>
  <si>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</si>
  <si>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</si>
  <si>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</si>
  <si>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</si>
  <si>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</si>
  <si>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</si>
  <si>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</si>
  <si>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</si>
  <si>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</si>
  <si>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</si>
  <si>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</si>
  <si>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</si>
  <si>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</si>
  <si>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</si>
  <si>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</si>
  <si>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</si>
  <si>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</si>
  <si>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</si>
  <si>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</si>
  <si>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</si>
  <si>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</si>
  <si>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</si>
  <si>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</si>
  <si>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</si>
  <si>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</si>
  <si>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</si>
  <si>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</si>
  <si>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</si>
  <si>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</si>
  <si>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</si>
  <si>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</si>
  <si>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</si>
  <si>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</si>
  <si>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</si>
  <si>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</si>
  <si>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</si>
  <si>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</si>
  <si>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</si>
  <si>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</si>
  <si>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</si>
  <si>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</si>
  <si>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</si>
  <si>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</si>
  <si>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</si>
  <si>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</si>
  <si>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</si>
  <si>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</si>
  <si>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</si>
  <si>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</si>
  <si>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</si>
  <si>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</si>
  <si>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</si>
  <si>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</si>
  <si>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</si>
  <si>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</si>
  <si>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</si>
  <si>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</si>
  <si>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</si>
  <si>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</si>
  <si>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</si>
  <si>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</si>
  <si>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</si>
  <si>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</si>
  <si>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</si>
  <si>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</si>
  <si>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</si>
  <si>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</si>
  <si>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</si>
  <si>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</si>
  <si>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</si>
  <si>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</si>
  <si>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</si>
  <si>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</si>
  <si>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</si>
  <si>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</si>
  <si>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</si>
  <si>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</si>
  <si>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</si>
  <si>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</si>
  <si>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</si>
  <si>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</si>
  <si>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</si>
  <si>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</si>
  <si>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</si>
  <si>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</si>
  <si>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</si>
  <si>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</si>
  <si>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</si>
  <si>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</si>
  <si>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</si>
  <si>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</si>
  <si>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</si>
  <si>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</si>
  <si>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</si>
  <si>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</si>
  <si>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</si>
  <si>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</si>
  <si>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</si>
  <si>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</si>
  <si>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</si>
  <si>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</si>
  <si>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</si>
  <si>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</si>
  <si>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</si>
  <si>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</si>
  <si>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</si>
  <si>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</si>
  <si>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</si>
  <si>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</si>
  <si>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</si>
  <si>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</si>
  <si>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</si>
  <si>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</si>
  <si>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</si>
  <si>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</si>
  <si>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</si>
  <si>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</si>
  <si>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</si>
  <si>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</si>
  <si>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</si>
  <si>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</si>
  <si>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</si>
  <si>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</si>
  <si>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</si>
  <si>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</si>
  <si>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</si>
  <si>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</si>
  <si>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</si>
  <si>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</si>
  <si>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</si>
  <si>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</si>
  <si>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</si>
  <si>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</si>
  <si>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</si>
  <si>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</si>
  <si>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</si>
  <si>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</si>
  <si>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</si>
  <si>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</si>
  <si>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</si>
  <si>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</si>
  <si>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</si>
  <si>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</si>
  <si>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</si>
  <si>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</si>
  <si>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</si>
  <si>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</si>
  <si>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</si>
  <si>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</si>
  <si>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</si>
  <si>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</si>
  <si>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</si>
  <si>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</si>
  <si>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</si>
  <si>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</si>
  <si>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</si>
  <si>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</si>
  <si>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</si>
  <si>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</si>
  <si>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</si>
  <si>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</si>
  <si>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</si>
  <si>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</si>
  <si>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</si>
  <si>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</si>
  <si>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</si>
  <si>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</si>
  <si>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</si>
  <si>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</si>
  <si>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</si>
  <si>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</si>
  <si>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</si>
  <si>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</si>
  <si>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</si>
  <si>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</si>
  <si>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</si>
  <si>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</si>
  <si>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</si>
  <si>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</si>
  <si>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</si>
  <si>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</si>
  <si>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</si>
  <si>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</si>
  <si>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</si>
  <si>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</si>
  <si>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</si>
  <si>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</si>
  <si>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</si>
  <si>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</si>
  <si>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</si>
  <si>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</si>
  <si>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</si>
  <si>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</si>
  <si>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</si>
  <si>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</si>
  <si>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</si>
  <si>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</si>
  <si>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</si>
  <si>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</si>
  <si>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</si>
  <si>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</si>
  <si>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</si>
  <si>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</si>
  <si>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</si>
  <si>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</si>
  <si>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</si>
  <si>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</si>
  <si>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</si>
  <si>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</si>
  <si>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</si>
  <si>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</si>
  <si>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</si>
  <si>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</si>
  <si>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</si>
  <si>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</si>
  <si>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</si>
  <si>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</si>
  <si>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</si>
  <si>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</si>
  <si>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</si>
  <si>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</si>
  <si>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</si>
  <si>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</si>
  <si>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</si>
  <si>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</si>
  <si>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</si>
  <si>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</si>
  <si>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</si>
  <si>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</si>
  <si>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</si>
  <si>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</si>
  <si>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</si>
  <si>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</si>
  <si>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</si>
  <si>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</si>
  <si>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</si>
  <si>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</si>
  <si>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</si>
  <si>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</si>
  <si>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</si>
  <si>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</si>
  <si>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</si>
  <si>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</si>
  <si>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</si>
  <si>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</si>
  <si>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</si>
  <si>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</si>
  <si>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</si>
  <si>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</si>
  <si>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</si>
  <si>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</si>
  <si>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</si>
  <si>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</si>
  <si>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</si>
  <si>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</si>
  <si>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</si>
  <si>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</si>
  <si>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</si>
  <si>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</si>
  <si>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</si>
  <si>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</si>
  <si>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</si>
  <si>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</si>
  <si>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</si>
  <si>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</si>
  <si>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</si>
  <si>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</si>
  <si>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</si>
  <si>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</si>
  <si>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</si>
  <si>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</si>
  <si>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</si>
  <si>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</si>
  <si>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</si>
  <si>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</si>
  <si>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</si>
  <si>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</si>
  <si>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</si>
  <si>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</si>
  <si>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</si>
  <si>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</si>
  <si>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</si>
  <si>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</si>
  <si>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</si>
  <si>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</si>
  <si>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</si>
  <si>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</si>
  <si>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</si>
  <si>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</si>
  <si>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</si>
  <si>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</si>
  <si>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</si>
  <si>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</si>
  <si>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</si>
  <si>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</si>
  <si>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</si>
  <si>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</si>
  <si>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</si>
  <si>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</si>
  <si>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</si>
  <si>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</si>
  <si>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</si>
  <si>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</si>
  <si>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</si>
  <si>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</si>
  <si>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</si>
  <si>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</si>
  <si>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</si>
  <si>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</si>
  <si>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</si>
  <si>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</si>
  <si>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</si>
  <si>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</si>
  <si>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</si>
  <si>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</si>
  <si>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</si>
  <si>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</si>
  <si>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</si>
  <si>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</si>
  <si>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</si>
  <si>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</si>
  <si>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</si>
  <si>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</si>
  <si>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</si>
  <si>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</si>
  <si>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</si>
  <si>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</si>
  <si>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</si>
  <si>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</si>
  <si>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</si>
  <si>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</si>
  <si>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</si>
  <si>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</si>
  <si>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</si>
  <si>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</si>
  <si>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</si>
  <si>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</si>
  <si>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</si>
  <si>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</si>
  <si>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</si>
  <si>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</si>
  <si>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</si>
  <si>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</si>
  <si>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</si>
  <si>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</si>
  <si>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</si>
  <si>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</si>
  <si>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</si>
  <si>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</si>
  <si>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</si>
  <si>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</si>
  <si>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</si>
  <si>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</si>
  <si>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</si>
  <si>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</si>
  <si>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</si>
  <si>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</si>
  <si>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</si>
  <si>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</si>
  <si>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</si>
  <si>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</si>
  <si>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</si>
  <si>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</si>
  <si>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</si>
  <si>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</si>
  <si>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</si>
  <si>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</si>
  <si>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</si>
  <si>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</si>
  <si>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</si>
  <si>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</si>
  <si>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</si>
  <si>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</si>
  <si>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</si>
  <si>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</si>
  <si>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</si>
  <si>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</si>
  <si>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</si>
  <si>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</si>
  <si>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</si>
  <si>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</si>
  <si>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</si>
  <si>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</si>
  <si>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</si>
  <si>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</si>
  <si>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</si>
  <si>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</si>
  <si>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</si>
  <si>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</si>
  <si>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</si>
  <si>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</si>
  <si>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</si>
  <si>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</si>
  <si>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</si>
  <si>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</si>
  <si>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</si>
  <si>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</si>
  <si>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</si>
  <si>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</si>
  <si>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</si>
  <si>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</si>
  <si>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</si>
  <si>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</si>
  <si>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</si>
  <si>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</si>
  <si>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</si>
  <si>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</si>
  <si>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</si>
  <si>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</si>
  <si>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</si>
  <si>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</si>
  <si>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</si>
  <si>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</si>
  <si>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</si>
  <si>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</si>
  <si>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</si>
  <si>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</si>
  <si>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</si>
  <si>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</si>
  <si>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</si>
  <si>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</si>
  <si>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</si>
  <si>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</si>
  <si>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</si>
  <si>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</si>
  <si>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</si>
  <si>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</si>
  <si>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</si>
  <si>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</si>
  <si>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</si>
  <si>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</si>
  <si>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</si>
  <si>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</si>
  <si>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</si>
  <si>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</si>
  <si>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</si>
  <si>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</si>
  <si>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</si>
  <si>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</si>
  <si>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</si>
  <si>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</si>
  <si>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</si>
  <si>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</si>
  <si>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</si>
  <si>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</si>
  <si>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</si>
  <si>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</si>
  <si>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</si>
  <si>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</si>
  <si>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</si>
  <si>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</si>
  <si>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</si>
  <si>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</si>
  <si>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</si>
  <si>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</si>
  <si>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</si>
  <si>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</si>
  <si>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</si>
  <si>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</si>
  <si>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</si>
  <si>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</si>
  <si>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</si>
  <si>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</si>
  <si>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</si>
  <si>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</si>
  <si>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</si>
  <si>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</si>
  <si>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</si>
  <si>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</si>
  <si>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</si>
  <si>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</si>
  <si>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</si>
  <si>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</si>
  <si>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</si>
  <si>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</si>
  <si>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</si>
  <si>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</si>
  <si>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</si>
  <si>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</si>
  <si>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</si>
  <si>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</si>
  <si>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</si>
  <si>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</si>
  <si>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</si>
  <si>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</si>
  <si>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</si>
  <si>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</si>
  <si>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</si>
  <si>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</si>
  <si>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</si>
  <si>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</si>
  <si>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</si>
  <si>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</si>
  <si>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</si>
  <si>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</si>
  <si>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</si>
  <si>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</si>
  <si>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</si>
  <si>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</si>
  <si>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</si>
  <si>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</si>
  <si>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</si>
  <si>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</si>
  <si>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</si>
  <si>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</si>
  <si>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</si>
  <si>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</si>
  <si>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</si>
  <si>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</si>
  <si>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</si>
  <si>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</si>
  <si>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</si>
  <si>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</si>
  <si>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</si>
  <si>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</si>
  <si>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</si>
  <si>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</si>
  <si>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</si>
  <si>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</si>
  <si>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</si>
  <si>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</si>
  <si>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</si>
  <si>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</si>
  <si>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</si>
  <si>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</si>
  <si>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</si>
  <si>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</si>
  <si>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</si>
  <si>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</si>
  <si>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</si>
  <si>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</si>
  <si>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</si>
  <si>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</si>
  <si>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</si>
  <si>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</si>
  <si>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</si>
  <si>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</si>
  <si>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</si>
  <si>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</si>
  <si>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</si>
  <si>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</si>
  <si>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</si>
  <si>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</si>
  <si>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</si>
  <si>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</si>
  <si>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</si>
  <si>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</si>
  <si>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</si>
  <si>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</si>
  <si>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</si>
  <si>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</si>
  <si>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</si>
  <si>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</si>
  <si>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</si>
  <si>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</si>
  <si>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</si>
  <si>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</si>
  <si>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</si>
  <si>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</si>
  <si>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</si>
  <si>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</si>
  <si>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</si>
  <si>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</si>
  <si>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</si>
  <si>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</si>
  <si>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</si>
  <si>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</si>
  <si>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</si>
  <si>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</si>
  <si>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</si>
  <si>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</si>
  <si>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</si>
  <si>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</si>
  <si>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</si>
  <si>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</si>
  <si>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</si>
  <si>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</si>
  <si>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</si>
  <si>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</si>
  <si>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</si>
  <si>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</si>
  <si>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</si>
  <si>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</si>
  <si>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</si>
  <si>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</si>
  <si>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</si>
  <si>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</si>
  <si>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</si>
  <si>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</si>
  <si>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</si>
  <si>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</si>
  <si>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</si>
  <si>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</si>
  <si>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</si>
  <si>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</si>
  <si>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</si>
  <si>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</si>
  <si>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</si>
  <si>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</si>
  <si>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</si>
  <si>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</si>
  <si>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</si>
  <si>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</si>
  <si>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</si>
  <si>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</si>
  <si>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</si>
  <si>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</si>
  <si>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</si>
  <si>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</si>
  <si>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</si>
  <si>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</si>
  <si>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</si>
  <si>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</si>
  <si>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</si>
  <si>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</si>
  <si>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</si>
  <si>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</si>
  <si>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</si>
  <si>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</si>
  <si>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</si>
  <si>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</si>
  <si>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</si>
  <si>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</si>
  <si>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</si>
  <si>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</si>
  <si>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</si>
  <si>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</si>
  <si>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</si>
  <si>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</si>
  <si>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</si>
  <si>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</si>
  <si>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</si>
  <si>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</si>
  <si>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</si>
  <si>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</si>
  <si>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</si>
  <si>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</si>
  <si>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</si>
  <si>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</si>
  <si>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</si>
  <si>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</si>
  <si>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</si>
  <si>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</si>
  <si>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</si>
  <si>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</si>
  <si>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</si>
  <si>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</si>
  <si>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</si>
  <si>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</si>
  <si>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</si>
  <si>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</si>
  <si>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</si>
  <si>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</si>
  <si>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</si>
  <si>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</si>
  <si>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</si>
  <si>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</si>
  <si>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</si>
  <si>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</si>
  <si>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</si>
  <si>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</si>
  <si>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</si>
  <si>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</si>
  <si>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</si>
  <si>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</si>
  <si>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</si>
  <si>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</si>
  <si>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</si>
  <si>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</si>
  <si>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</si>
  <si>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</si>
  <si>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</si>
  <si>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</si>
  <si>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</si>
  <si>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</si>
  <si>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</si>
  <si>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</si>
  <si>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</si>
  <si>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</si>
  <si>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</si>
  <si>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</si>
  <si>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</si>
  <si>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</si>
  <si>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</si>
  <si>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</si>
  <si>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</si>
  <si>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</si>
  <si>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</si>
  <si>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</si>
  <si>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</si>
  <si>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</si>
  <si>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</si>
  <si>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</si>
  <si>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</si>
  <si>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</si>
  <si>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</si>
  <si>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</si>
  <si>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</si>
  <si>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</si>
  <si>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</si>
  <si>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</si>
  <si>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</si>
  <si>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</si>
  <si>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</si>
  <si>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</si>
  <si>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</si>
  <si>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</si>
  <si>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</si>
  <si>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</si>
  <si>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</si>
  <si>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</si>
  <si>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</si>
  <si>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</si>
  <si>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</si>
  <si>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</si>
  <si>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</si>
  <si>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</si>
  <si>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</si>
  <si>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</si>
  <si>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</si>
  <si>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</si>
  <si>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</si>
  <si>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</si>
  <si>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</si>
  <si>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</si>
  <si>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</si>
  <si>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</si>
  <si>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</si>
  <si>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</si>
  <si>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</si>
  <si>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</si>
  <si>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</si>
  <si>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</si>
  <si>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</si>
  <si>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</si>
  <si>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</si>
  <si>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</si>
  <si>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</si>
  <si>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</si>
  <si>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</si>
  <si>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</si>
  <si>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</si>
  <si>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</si>
  <si>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</si>
  <si>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</si>
  <si>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</si>
  <si>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</si>
  <si>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</si>
  <si>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</si>
  <si>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</si>
  <si>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</si>
  <si>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</si>
  <si>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</si>
  <si>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</si>
  <si>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</si>
  <si>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</si>
  <si>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</si>
  <si>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</si>
  <si>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</si>
  <si>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</si>
  <si>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</si>
  <si>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</si>
  <si>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</si>
  <si>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</si>
  <si>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</si>
  <si>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</si>
  <si>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</si>
  <si>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</si>
  <si>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</si>
  <si>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</si>
  <si>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</si>
  <si>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</si>
  <si>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</si>
  <si>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</si>
  <si>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</si>
  <si>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</si>
  <si>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</si>
  <si>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</si>
  <si>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</si>
  <si>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</si>
  <si>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</si>
  <si>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</si>
  <si>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</si>
  <si>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</si>
  <si>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</si>
  <si>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</si>
  <si>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</si>
  <si>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</si>
  <si>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</si>
  <si>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</si>
  <si>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</si>
  <si>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</si>
  <si>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</si>
  <si>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</si>
  <si>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</si>
  <si>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</si>
  <si>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</si>
  <si>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</si>
  <si>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</si>
  <si>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</si>
  <si>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</si>
  <si>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</si>
  <si>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</si>
  <si>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</si>
  <si>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</si>
  <si>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</si>
  <si>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</si>
  <si>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</si>
  <si>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</si>
  <si>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</si>
  <si>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</si>
  <si>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</si>
  <si>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</si>
  <si>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3 phase R/Sag done in AP55-56. Gangs (MC Power) shifted in Package G for rectification. No works will be done until readiness of PKG G based on resonia instructions.</t>
  </si>
  <si>
    <t>AP7-8:- WIP
AP55-56:- WIP</t>
  </si>
  <si>
    <t>Request for clearances of locs no 21/1 (last Pit) Pending since long.</t>
  </si>
  <si>
    <t xml:space="preserve">WIP- 8/8, 8/11, 22/8
Today Completed - </t>
  </si>
  <si>
    <t xml:space="preserve">Gang-1:- 
Today Completed:- </t>
  </si>
  <si>
    <t>AP44/8-44/10:- Yet to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</si>
</sst>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16">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1" fontId="50" fillId="2" borderId="0" xfId="104" applyNumberFormat="1" applyFont="1" applyFill="1" applyAlignment="1">
      <alignment vertical="center"/>
    </xf>
    <xf numFmtId="170" fontId="42" fillId="2" borderId="0" xfId="0" applyNumberFormat="1" applyFont="1" applyFill="1">
      <alignment vertical="center"/>
    </xf>
    <xf numFmtId="0" fontId="67" fillId="30" borderId="1" xfId="0" applyFont="1" applyFill="1" applyBorder="1">
      <alignment vertical="center"/>
    </xf>
    <xf numFmtId="0" fontId="90" fillId="0" borderId="58" xfId="0" applyFont="1" applyBorder="1" applyAlignment="1">
      <alignment horizontal="center" vertical="center"/>
    </xf>
    <xf numFmtId="0" fontId="89" fillId="0" borderId="20" xfId="0" applyFont="1" applyBorder="1" applyAlignment="1">
      <alignment horizontal="center" vertical="center"/>
    </xf>
    <xf numFmtId="0" fontId="94" fillId="2" borderId="0" xfId="0" applyFont="1" applyFill="1" applyAlignment="1">
      <alignment horizontal="center" vertical="center" wrapText="1"/>
    </xf>
    <xf numFmtId="0" fontId="107" fillId="0" borderId="0" xfId="107" applyFont="1" applyAlignment="1">
      <alignment horizontal="center" vertical="center"/>
    </xf>
    <xf numFmtId="1" fontId="107" fillId="28" borderId="1" xfId="107" applyNumberFormat="1" applyFont="1" applyFill="1" applyBorder="1" applyAlignment="1">
      <alignment horizontal="center" vertical="center"/>
    </xf>
    <xf numFmtId="1" fontId="107" fillId="6" borderId="1" xfId="107" applyNumberFormat="1" applyFont="1" applyFill="1" applyBorder="1" applyAlignment="1">
      <alignment horizontal="center" vertical="center"/>
    </xf>
    <xf numFmtId="0" fontId="107" fillId="6" borderId="1" xfId="107" applyFont="1" applyFill="1" applyBorder="1" applyAlignment="1">
      <alignment horizontal="center" vertical="center"/>
    </xf>
    <xf numFmtId="1" fontId="107" fillId="25" borderId="1" xfId="107" applyNumberFormat="1" applyFont="1" applyFill="1" applyBorder="1" applyAlignment="1">
      <alignment horizontal="center" vertical="center"/>
    </xf>
    <xf numFmtId="1" fontId="26" fillId="25" borderId="1" xfId="107" applyNumberFormat="1" applyFont="1" applyFill="1" applyBorder="1" applyAlignment="1">
      <alignment horizontal="center" vertical="center"/>
    </xf>
    <xf numFmtId="1" fontId="26" fillId="25" borderId="1" xfId="107" applyNumberFormat="1" applyFont="1" applyFill="1" applyBorder="1" applyAlignment="1">
      <alignment horizontal="center" vertical="center" wrapText="1"/>
    </xf>
    <xf numFmtId="20" fontId="42" fillId="0" borderId="17" xfId="58" applyNumberFormat="1" applyFont="1" applyBorder="1" applyAlignment="1">
      <alignment vertical="center" wrapText="1"/>
    </xf>
    <xf numFmtId="165" fontId="89" fillId="0" borderId="13" xfId="0" applyNumberFormat="1" applyFont="1" applyBorder="1" applyAlignment="1" applyProtection="1">
      <alignment horizontal="center" vertical="center" wrapText="1"/>
      <protection locked="0"/>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1"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7" fillId="10" borderId="4" xfId="0" applyFont="1" applyFill="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1" fontId="26" fillId="0" borderId="1" xfId="107" applyNumberFormat="1" applyFont="1" applyBorder="1" applyAlignment="1">
      <alignment horizontal="center" vertical="center"/>
    </xf>
    <xf numFmtId="1" fontId="107" fillId="6" borderId="1" xfId="107" applyNumberFormat="1" applyFont="1" applyFill="1" applyBorder="1" applyAlignment="1">
      <alignment horizontal="center" vertical="center"/>
    </xf>
    <xf numFmtId="1" fontId="107" fillId="28" borderId="1" xfId="107" applyNumberFormat="1" applyFont="1" applyFill="1" applyBorder="1" applyAlignment="1">
      <alignment horizontal="center" vertical="center"/>
    </xf>
    <xf numFmtId="1" fontId="107" fillId="25" borderId="2" xfId="107" applyNumberFormat="1" applyFont="1" applyFill="1" applyBorder="1" applyAlignment="1">
      <alignment horizontal="center" vertical="center"/>
    </xf>
    <xf numFmtId="1" fontId="107" fillId="25" borderId="3" xfId="107" applyNumberFormat="1" applyFont="1" applyFill="1" applyBorder="1" applyAlignment="1">
      <alignment horizontal="center" vertical="center"/>
    </xf>
    <xf numFmtId="1" fontId="107" fillId="25" borderId="4" xfId="107" applyNumberFormat="1" applyFont="1" applyFill="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170" fontId="69" fillId="4" borderId="52" xfId="0" applyNumberFormat="1" applyFont="1" applyFill="1" applyBorder="1" applyAlignment="1">
      <alignment horizontal="center" vertical="center" wrapText="1" readingOrder="1"/>
    </xf>
    <xf numFmtId="0" fontId="52" fillId="0" borderId="1" xfId="70" applyFont="1" applyBorder="1" applyAlignment="1">
      <alignment horizontal="left" vertical="center"/>
    </xf>
    <xf numFmtId="0" fontId="52" fillId="0" borderId="1" xfId="104" applyFont="1" applyBorder="1" applyAlignment="1">
      <alignment horizontal="center" vertical="center"/>
    </xf>
    <xf numFmtId="0" fontId="52" fillId="0" borderId="1" xfId="70" applyFont="1" applyBorder="1" applyAlignment="1">
      <alignment horizontal="center" vertical="center"/>
    </xf>
    <xf numFmtId="1" fontId="52" fillId="0" borderId="1" xfId="70" applyNumberFormat="1" applyFont="1" applyBorder="1" applyAlignment="1">
      <alignment horizontal="center" vertical="center"/>
    </xf>
    <xf numFmtId="1" fontId="52" fillId="0" borderId="6" xfId="70" applyNumberFormat="1" applyFont="1"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6" dataCellStyle="Normal 17">
      <calculatedColumnFormula>+SUBTOTAL(3,$B$41:B41)</calculatedColumnFormula>
    </tableColumn>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calculatedColumnFormula>+SUBTOTAL(3,$B$257:B257)</calculatedColumnFormula>
    </tableColumn>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calculatedColumnFormula>+SUBTOTAL(3,$B$348:B348)</calculatedColumnFormula>
    </tableColumn>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activeCell="E37" sqref="E37"/>
      <selection pane="topRight" activeCell="E37" sqref="E37"/>
      <selection pane="bottomLeft" activeCell="E37" sqref="E37"/>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7" bestFit="1" customWidth="1"/>
    <col min="16" max="16" width="1.42578125" style="5" customWidth="1"/>
    <col min="17" max="17" width="29.42578125" style="459" bestFit="1" customWidth="1"/>
    <col min="18" max="16384" width="9" style="5"/>
  </cols>
  <sheetData>
    <row r="1" spans="1:17" ht="30" customHeight="1" x14ac:dyDescent="0.25">
      <c r="A1" s="815" t="e" vm="1">
        <v>#VALUE!</v>
      </c>
      <c r="B1" s="205" t="s">
        <v>146</v>
      </c>
      <c r="C1" s="204" t="s">
        <v>1225</v>
      </c>
      <c r="D1" s="97" t="s">
        <v>0</v>
      </c>
      <c r="E1" s="823">
        <f ca="1">+TODAY()</f>
        <v>46074</v>
      </c>
      <c r="F1" s="824"/>
      <c r="G1" s="98" t="s">
        <v>142</v>
      </c>
      <c r="H1" s="818" t="s">
        <v>352</v>
      </c>
      <c r="I1" s="818"/>
      <c r="J1" s="98" t="s">
        <v>1346</v>
      </c>
      <c r="K1" s="99" t="s">
        <v>1267</v>
      </c>
      <c r="L1" s="98" t="s">
        <v>21</v>
      </c>
      <c r="M1" s="812" t="s">
        <v>1190</v>
      </c>
      <c r="N1" s="814"/>
      <c r="Q1" s="456" t="s">
        <v>1241</v>
      </c>
    </row>
    <row r="2" spans="1:17" ht="30" customHeight="1" x14ac:dyDescent="0.25">
      <c r="A2" s="816"/>
      <c r="B2" s="96" t="s">
        <v>112</v>
      </c>
      <c r="C2" s="820" t="s">
        <v>1289</v>
      </c>
      <c r="D2" s="821"/>
      <c r="E2" s="821"/>
      <c r="F2" s="822"/>
      <c r="G2" s="98" t="s">
        <v>18</v>
      </c>
      <c r="H2" s="812" t="s">
        <v>1433</v>
      </c>
      <c r="I2" s="813"/>
      <c r="J2" s="813"/>
      <c r="K2" s="814"/>
      <c r="L2" s="98" t="s">
        <v>1</v>
      </c>
      <c r="M2" s="812" t="s">
        <v>147</v>
      </c>
      <c r="N2" s="814"/>
      <c r="Q2" s="457" t="s">
        <v>1227</v>
      </c>
    </row>
    <row r="3" spans="1:17" ht="30" x14ac:dyDescent="0.25">
      <c r="A3" s="817"/>
      <c r="B3" s="96" t="s">
        <v>1223</v>
      </c>
      <c r="C3" s="820" t="s">
        <v>1288</v>
      </c>
      <c r="D3" s="821"/>
      <c r="E3" s="821"/>
      <c r="F3" s="822"/>
      <c r="G3" s="98" t="s">
        <v>347</v>
      </c>
      <c r="H3" s="825">
        <v>45266</v>
      </c>
      <c r="I3" s="825"/>
      <c r="J3" s="98" t="s">
        <v>5</v>
      </c>
      <c r="K3" s="470">
        <v>46081</v>
      </c>
      <c r="L3" s="96" t="s">
        <v>17</v>
      </c>
      <c r="M3" s="826" t="s">
        <v>663</v>
      </c>
      <c r="N3" s="826"/>
      <c r="Q3" s="458" t="s">
        <v>1228</v>
      </c>
    </row>
    <row r="4" spans="1:17" s="6" customFormat="1" ht="60" x14ac:dyDescent="0.25">
      <c r="A4" s="100" t="s">
        <v>303</v>
      </c>
      <c r="B4" s="100" t="s">
        <v>8</v>
      </c>
      <c r="C4" s="100" t="s">
        <v>23</v>
      </c>
      <c r="D4" s="100" t="s">
        <v>109</v>
      </c>
      <c r="E4" s="100" t="s">
        <v>1651</v>
      </c>
      <c r="F4" s="100" t="s">
        <v>133</v>
      </c>
      <c r="G4" s="100" t="s">
        <v>130</v>
      </c>
      <c r="H4" s="100" t="s">
        <v>131</v>
      </c>
      <c r="I4" s="100" t="s">
        <v>124</v>
      </c>
      <c r="J4" s="100" t="s">
        <v>110</v>
      </c>
      <c r="K4" s="100" t="s">
        <v>16</v>
      </c>
      <c r="L4" s="100" t="s">
        <v>132</v>
      </c>
      <c r="M4" s="100" t="s">
        <v>9</v>
      </c>
      <c r="N4" s="100" t="s">
        <v>1224</v>
      </c>
      <c r="O4" s="649" t="s">
        <v>1506</v>
      </c>
      <c r="Q4" s="458" t="s">
        <v>1229</v>
      </c>
    </row>
    <row r="5" spans="1:17" s="7" customFormat="1" ht="30" x14ac:dyDescent="0.25">
      <c r="A5" s="116">
        <v>1</v>
      </c>
      <c r="B5" s="616" t="s">
        <v>1595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1"/>
      <c r="N5" s="102"/>
      <c r="O5" s="648">
        <f>(J5/C5)*100</f>
        <v>100.01045079504425</v>
      </c>
      <c r="Q5" s="458" t="s">
        <v>1230</v>
      </c>
    </row>
    <row r="6" spans="1:17" s="7" customFormat="1" ht="30" x14ac:dyDescent="0.25">
      <c r="A6" s="111">
        <v>2</v>
      </c>
      <c r="B6" s="479" t="s">
        <v>339</v>
      </c>
      <c r="C6" s="111">
        <v>485</v>
      </c>
      <c r="D6" s="111">
        <v>481</v>
      </c>
      <c r="E6" s="111">
        <f t="shared" si="0"/>
        <v>4</v>
      </c>
      <c r="F6" s="111">
        <v>4</v>
      </c>
      <c r="G6" s="111"/>
      <c r="H6" s="111">
        <v>3</v>
      </c>
      <c r="I6" s="111"/>
      <c r="J6" s="111">
        <f t="shared" si="1"/>
        <v>484</v>
      </c>
      <c r="K6" s="111">
        <f t="shared" si="2"/>
        <v>1</v>
      </c>
      <c r="L6" s="111">
        <v>1</v>
      </c>
      <c r="M6" s="810" t="s">
        <v>1749</v>
      </c>
      <c r="N6" s="566" t="s">
        <v>1747</v>
      </c>
      <c r="O6" s="648">
        <f t="shared" ref="O6:O12" si="3">(J6/C6)*100</f>
        <v>99.793814432989691</v>
      </c>
      <c r="P6" s="602"/>
      <c r="Q6" s="458" t="s">
        <v>1231</v>
      </c>
    </row>
    <row r="7" spans="1:17" s="7" customFormat="1" ht="30" x14ac:dyDescent="0.25">
      <c r="A7" s="111">
        <v>3</v>
      </c>
      <c r="B7" s="479" t="s">
        <v>340</v>
      </c>
      <c r="C7" s="111">
        <v>485</v>
      </c>
      <c r="D7" s="111">
        <v>481</v>
      </c>
      <c r="E7" s="111">
        <f t="shared" si="0"/>
        <v>4</v>
      </c>
      <c r="F7" s="111">
        <v>4</v>
      </c>
      <c r="G7" s="111"/>
      <c r="H7" s="111">
        <v>1</v>
      </c>
      <c r="I7" s="111"/>
      <c r="J7" s="111">
        <f t="shared" si="1"/>
        <v>482</v>
      </c>
      <c r="K7" s="111">
        <f t="shared" si="2"/>
        <v>3</v>
      </c>
      <c r="L7" s="111">
        <f>L6</f>
        <v>1</v>
      </c>
      <c r="M7" s="706"/>
      <c r="N7" s="101"/>
      <c r="O7" s="648">
        <f t="shared" si="3"/>
        <v>99.381443298969074</v>
      </c>
      <c r="Q7" s="458" t="s">
        <v>1232</v>
      </c>
    </row>
    <row r="8" spans="1:17" s="7" customFormat="1" ht="45" x14ac:dyDescent="0.25">
      <c r="A8" s="111">
        <v>4</v>
      </c>
      <c r="B8" s="479" t="s">
        <v>111</v>
      </c>
      <c r="C8" s="111">
        <v>485</v>
      </c>
      <c r="D8" s="111">
        <v>459</v>
      </c>
      <c r="E8" s="111">
        <f t="shared" si="0"/>
        <v>26</v>
      </c>
      <c r="F8" s="111">
        <v>22</v>
      </c>
      <c r="G8" s="111"/>
      <c r="H8" s="111">
        <v>2</v>
      </c>
      <c r="I8" s="111">
        <v>3</v>
      </c>
      <c r="J8" s="111">
        <f t="shared" si="1"/>
        <v>461</v>
      </c>
      <c r="K8" s="111">
        <f t="shared" si="2"/>
        <v>24</v>
      </c>
      <c r="L8" s="111">
        <v>3</v>
      </c>
      <c r="M8" s="640" t="s">
        <v>1748</v>
      </c>
      <c r="N8" s="714"/>
      <c r="O8" s="648">
        <f t="shared" si="3"/>
        <v>95.051546391752566</v>
      </c>
      <c r="Q8" s="458" t="s">
        <v>1233</v>
      </c>
    </row>
    <row r="9" spans="1:17" s="7" customFormat="1" ht="30" x14ac:dyDescent="0.25">
      <c r="A9" s="111">
        <v>5</v>
      </c>
      <c r="B9" s="479" t="s">
        <v>225</v>
      </c>
      <c r="C9" s="111">
        <v>485</v>
      </c>
      <c r="D9" s="111">
        <v>295</v>
      </c>
      <c r="E9" s="111">
        <f t="shared" si="0"/>
        <v>190</v>
      </c>
      <c r="F9" s="111">
        <v>36</v>
      </c>
      <c r="G9" s="111"/>
      <c r="H9" s="111">
        <v>57</v>
      </c>
      <c r="I9" s="111"/>
      <c r="J9" s="111">
        <f t="shared" si="1"/>
        <v>352</v>
      </c>
      <c r="K9" s="111">
        <f t="shared" si="2"/>
        <v>133</v>
      </c>
      <c r="L9" s="111">
        <v>3</v>
      </c>
      <c r="M9" s="103"/>
      <c r="N9" s="101"/>
      <c r="O9" s="648">
        <f t="shared" si="3"/>
        <v>72.577319587628864</v>
      </c>
      <c r="Q9" s="458" t="s">
        <v>1234</v>
      </c>
    </row>
    <row r="10" spans="1:17" s="7" customFormat="1" ht="60" x14ac:dyDescent="0.25">
      <c r="A10" s="111">
        <v>6</v>
      </c>
      <c r="B10" s="479" t="s">
        <v>341</v>
      </c>
      <c r="C10" s="111">
        <f>C5</f>
        <v>191.37299999999999</v>
      </c>
      <c r="D10" s="111">
        <v>81.48</v>
      </c>
      <c r="E10" s="536">
        <f>C10-D10-33.766</f>
        <v>76.126999999999981</v>
      </c>
      <c r="F10" s="748">
        <v>23</v>
      </c>
      <c r="G10" s="536"/>
      <c r="H10" s="536">
        <f>0.7+0.76+0.8</f>
        <v>2.2599999999999998</v>
      </c>
      <c r="I10" s="536">
        <f>Stringing!G44</f>
        <v>3.5510000000000019</v>
      </c>
      <c r="J10" s="536">
        <f t="shared" si="1"/>
        <v>83.740000000000009</v>
      </c>
      <c r="K10" s="111">
        <f>+E10-H10</f>
        <v>73.866999999999976</v>
      </c>
      <c r="L10" s="827">
        <v>3</v>
      </c>
      <c r="M10" s="479" t="s">
        <v>1746</v>
      </c>
      <c r="N10" s="534" t="s">
        <v>1745</v>
      </c>
      <c r="O10" s="648">
        <f t="shared" si="3"/>
        <v>43.757478850203533</v>
      </c>
      <c r="Q10" s="458" t="s">
        <v>1235</v>
      </c>
    </row>
    <row r="11" spans="1:17" s="7" customFormat="1" ht="30" x14ac:dyDescent="0.25">
      <c r="A11" s="111">
        <v>7</v>
      </c>
      <c r="B11" s="479" t="s">
        <v>342</v>
      </c>
      <c r="C11" s="536">
        <f>C10</f>
        <v>191.37299999999999</v>
      </c>
      <c r="D11" s="111">
        <v>76.556700000000006</v>
      </c>
      <c r="E11" s="536">
        <f>C11-D11-33.766</f>
        <v>81.050299999999993</v>
      </c>
      <c r="F11" s="111">
        <v>28</v>
      </c>
      <c r="G11" s="536"/>
      <c r="H11" s="536">
        <f>4.95+0.7+0.76</f>
        <v>6.41</v>
      </c>
      <c r="I11" s="536">
        <f>Stringing!G45</f>
        <v>0.79500000000000171</v>
      </c>
      <c r="J11" s="536">
        <f t="shared" si="1"/>
        <v>82.966700000000003</v>
      </c>
      <c r="K11" s="111">
        <f t="shared" ref="K11:K12" si="4">+E11-H11</f>
        <v>74.640299999999996</v>
      </c>
      <c r="L11" s="828"/>
      <c r="M11" s="479" t="s">
        <v>1750</v>
      </c>
      <c r="N11" s="101"/>
      <c r="O11" s="648">
        <f t="shared" si="3"/>
        <v>43.353398859818263</v>
      </c>
      <c r="Q11" s="458" t="s">
        <v>1236</v>
      </c>
    </row>
    <row r="12" spans="1:17" s="7" customFormat="1" ht="30" x14ac:dyDescent="0.25">
      <c r="A12" s="112">
        <v>8</v>
      </c>
      <c r="B12" s="617" t="s">
        <v>343</v>
      </c>
      <c r="C12" s="112">
        <f>C11</f>
        <v>191.37299999999999</v>
      </c>
      <c r="D12" s="112">
        <v>64.067000000000007</v>
      </c>
      <c r="E12" s="112">
        <f>C12-D12-33.766</f>
        <v>93.539999999999992</v>
      </c>
      <c r="F12" s="112">
        <v>30</v>
      </c>
      <c r="G12" s="618"/>
      <c r="H12" s="618">
        <f>4.477+4.05+8.476</f>
        <v>17.003</v>
      </c>
      <c r="I12" s="618"/>
      <c r="J12" s="511">
        <f t="shared" si="1"/>
        <v>81.070000000000007</v>
      </c>
      <c r="K12" s="111">
        <f t="shared" si="4"/>
        <v>76.536999999999992</v>
      </c>
      <c r="L12" s="112"/>
      <c r="M12" s="617"/>
      <c r="N12" s="104"/>
      <c r="O12" s="648">
        <f t="shared" si="3"/>
        <v>42.362297711798433</v>
      </c>
      <c r="Q12" s="458" t="s">
        <v>1237</v>
      </c>
    </row>
    <row r="13" spans="1:17" x14ac:dyDescent="0.25">
      <c r="A13" s="819"/>
      <c r="B13" s="819"/>
      <c r="C13" s="819"/>
      <c r="D13" s="819"/>
      <c r="E13" s="819"/>
      <c r="F13" s="819"/>
      <c r="G13" s="819"/>
      <c r="H13" s="819"/>
      <c r="I13" s="819"/>
      <c r="J13" s="819"/>
      <c r="K13" s="819"/>
      <c r="L13" s="819"/>
      <c r="M13" s="819"/>
      <c r="N13" s="819"/>
      <c r="Q13" s="458" t="s">
        <v>1238</v>
      </c>
    </row>
    <row r="14" spans="1:17" x14ac:dyDescent="0.25">
      <c r="A14" s="831" t="s">
        <v>1218</v>
      </c>
      <c r="B14" s="831"/>
      <c r="C14" s="831"/>
      <c r="D14" s="831"/>
      <c r="E14" s="831"/>
      <c r="F14" s="831"/>
      <c r="G14" s="831"/>
      <c r="H14" s="798"/>
      <c r="I14" s="663"/>
      <c r="J14" s="5"/>
      <c r="K14" s="5"/>
      <c r="L14" s="5"/>
      <c r="M14" s="5"/>
      <c r="N14" s="5"/>
      <c r="Q14" s="458" t="s">
        <v>1239</v>
      </c>
    </row>
    <row r="15" spans="1:17" x14ac:dyDescent="0.25">
      <c r="A15" s="832"/>
      <c r="B15" s="833"/>
      <c r="C15" s="833"/>
      <c r="D15" s="833"/>
      <c r="E15" s="833"/>
      <c r="F15" s="833"/>
      <c r="G15" s="834"/>
      <c r="H15" s="5"/>
      <c r="I15" s="5"/>
      <c r="J15" s="5"/>
      <c r="K15" s="603"/>
      <c r="L15" s="5"/>
      <c r="M15" s="663"/>
      <c r="N15" s="5"/>
      <c r="Q15" s="458" t="s">
        <v>1240</v>
      </c>
    </row>
    <row r="16" spans="1:17" x14ac:dyDescent="0.25">
      <c r="A16" s="829" t="s">
        <v>1220</v>
      </c>
      <c r="B16" s="829"/>
      <c r="C16" s="829"/>
      <c r="D16" s="829"/>
      <c r="E16" s="829"/>
      <c r="F16" s="829"/>
      <c r="G16" s="829"/>
      <c r="H16" s="5"/>
      <c r="J16" s="5"/>
      <c r="K16" s="5"/>
      <c r="L16" s="5"/>
      <c r="M16" s="5"/>
      <c r="N16" s="5"/>
      <c r="Q16" s="463"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8"/>
    </row>
    <row r="18" spans="1:17" x14ac:dyDescent="0.25">
      <c r="A18" s="114">
        <f>E6</f>
        <v>4</v>
      </c>
      <c r="B18" s="114">
        <f>H6</f>
        <v>3</v>
      </c>
      <c r="C18" s="193">
        <f>I6</f>
        <v>0</v>
      </c>
      <c r="D18" s="193">
        <f>'Page Chart'!Q4</f>
        <v>0</v>
      </c>
      <c r="E18" s="195">
        <f>A18-B18-C18-D18</f>
        <v>1</v>
      </c>
      <c r="F18" s="196"/>
      <c r="G18" s="197"/>
      <c r="H18" s="5"/>
      <c r="I18" s="5"/>
      <c r="J18" s="5"/>
      <c r="K18" s="5"/>
      <c r="L18" s="5"/>
      <c r="M18" s="5"/>
      <c r="N18" s="5"/>
      <c r="Q18" s="458"/>
    </row>
    <row r="19" spans="1:17" x14ac:dyDescent="0.25">
      <c r="A19" s="114"/>
      <c r="B19" s="114"/>
      <c r="C19" s="193"/>
      <c r="D19" s="194"/>
      <c r="E19" s="195"/>
      <c r="F19" s="196"/>
      <c r="G19" s="197"/>
      <c r="H19" s="5"/>
      <c r="I19" s="5"/>
      <c r="J19" s="5"/>
      <c r="K19" s="5"/>
      <c r="L19" s="5"/>
      <c r="M19" s="5"/>
      <c r="N19" s="5"/>
      <c r="Q19" s="458"/>
    </row>
    <row r="20" spans="1:17" x14ac:dyDescent="0.25">
      <c r="A20" s="829" t="s">
        <v>1221</v>
      </c>
      <c r="B20" s="829"/>
      <c r="C20" s="829"/>
      <c r="D20" s="829"/>
      <c r="E20" s="829"/>
      <c r="F20" s="829"/>
      <c r="G20" s="829"/>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2</v>
      </c>
      <c r="C22" s="195">
        <f>I8</f>
        <v>3</v>
      </c>
      <c r="D22" s="195">
        <f>'Page Chart'!V4+'Page Chart'!X4-F22</f>
        <v>0</v>
      </c>
      <c r="E22" s="195">
        <f>'Page Chart'!W4</f>
        <v>19</v>
      </c>
      <c r="F22" s="198">
        <f>A18-2</f>
        <v>2</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30" t="s">
        <v>1222</v>
      </c>
      <c r="B24" s="830"/>
      <c r="C24" s="830"/>
      <c r="D24" s="830"/>
      <c r="E24" s="830"/>
      <c r="F24" s="830"/>
      <c r="G24" s="830"/>
      <c r="H24" s="5"/>
      <c r="I24" s="5"/>
      <c r="J24" s="5"/>
      <c r="K24" s="5"/>
      <c r="L24" s="5"/>
      <c r="M24" s="5"/>
      <c r="N24" s="5"/>
    </row>
    <row r="25" spans="1:17" ht="75" hidden="1" x14ac:dyDescent="0.25">
      <c r="A25" s="2" t="s">
        <v>227</v>
      </c>
      <c r="B25" s="2" t="s">
        <v>228</v>
      </c>
      <c r="C25" s="3" t="s">
        <v>124</v>
      </c>
      <c r="D25" s="108" t="s">
        <v>145</v>
      </c>
      <c r="E25" s="107" t="s">
        <v>129</v>
      </c>
      <c r="F25" s="192" t="s">
        <v>1219</v>
      </c>
      <c r="G25" s="109" t="s">
        <v>1597</v>
      </c>
      <c r="H25" s="5"/>
      <c r="I25" s="5"/>
      <c r="J25" s="5"/>
      <c r="K25" s="5"/>
      <c r="L25" s="5"/>
      <c r="M25" s="5"/>
      <c r="N25" s="5"/>
    </row>
    <row r="26" spans="1:17" hidden="1" x14ac:dyDescent="0.25">
      <c r="A26" s="4">
        <f>E10</f>
        <v>76.126999999999981</v>
      </c>
      <c r="B26" s="4">
        <f>H10</f>
        <v>2.2599999999999998</v>
      </c>
      <c r="C26" s="199">
        <f>I10</f>
        <v>3.5510000000000019</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73" t="s">
        <v>1674</v>
      </c>
      <c r="B1" s="773" t="s">
        <v>1675</v>
      </c>
      <c r="C1" s="773" t="s">
        <v>1676</v>
      </c>
      <c r="D1" s="773" t="s">
        <v>1677</v>
      </c>
      <c r="E1" s="773" t="s">
        <v>1678</v>
      </c>
      <c r="F1" s="773" t="s">
        <v>1</v>
      </c>
      <c r="G1" s="773" t="s">
        <v>1679</v>
      </c>
      <c r="H1" s="773" t="s">
        <v>21</v>
      </c>
      <c r="I1" s="773" t="s">
        <v>1680</v>
      </c>
      <c r="J1" s="773" t="s">
        <v>1271</v>
      </c>
      <c r="K1" s="773" t="s">
        <v>1681</v>
      </c>
    </row>
    <row r="2" spans="1:14" x14ac:dyDescent="0.25">
      <c r="A2" s="774" t="s">
        <v>1682</v>
      </c>
      <c r="B2" s="774" t="s">
        <v>1683</v>
      </c>
      <c r="C2" s="774" t="s">
        <v>1684</v>
      </c>
      <c r="D2" s="775">
        <v>45266</v>
      </c>
      <c r="E2" s="775">
        <v>45960</v>
      </c>
      <c r="F2" s="774" t="s">
        <v>1685</v>
      </c>
      <c r="G2" s="774" t="s">
        <v>1686</v>
      </c>
      <c r="H2" s="774" t="s">
        <v>1687</v>
      </c>
      <c r="I2" s="774" t="s">
        <v>1688</v>
      </c>
      <c r="J2" s="774" t="s">
        <v>1689</v>
      </c>
      <c r="K2" s="774" t="s">
        <v>1690</v>
      </c>
    </row>
    <row r="3" spans="1:14" x14ac:dyDescent="0.25">
      <c r="A3" s="774"/>
      <c r="B3" s="774"/>
      <c r="C3" s="774"/>
      <c r="D3" s="774"/>
      <c r="E3" s="774"/>
      <c r="F3" s="774"/>
      <c r="G3" s="774"/>
      <c r="H3" s="774"/>
      <c r="I3" s="778" t="s">
        <v>1730</v>
      </c>
      <c r="J3" t="s">
        <v>1691</v>
      </c>
      <c r="K3" s="774" t="s">
        <v>1692</v>
      </c>
    </row>
    <row r="4" spans="1:14" x14ac:dyDescent="0.25">
      <c r="A4" s="774"/>
      <c r="B4" s="774"/>
      <c r="C4" s="774"/>
      <c r="D4" s="774"/>
      <c r="E4" s="775"/>
      <c r="F4" s="774"/>
      <c r="G4" s="774"/>
      <c r="H4" s="774"/>
      <c r="I4" s="774"/>
      <c r="J4" s="774" t="s">
        <v>1270</v>
      </c>
      <c r="K4" s="774" t="s">
        <v>1693</v>
      </c>
    </row>
    <row r="5" spans="1:14" x14ac:dyDescent="0.25">
      <c r="A5" s="774"/>
      <c r="B5" s="774"/>
      <c r="C5" s="774"/>
      <c r="D5" s="774"/>
      <c r="E5" s="774"/>
      <c r="F5" s="774"/>
      <c r="G5" s="774"/>
      <c r="H5" s="774"/>
      <c r="I5" s="774"/>
      <c r="J5" s="774" t="s">
        <v>1694</v>
      </c>
      <c r="K5" s="774" t="s">
        <v>1695</v>
      </c>
    </row>
    <row r="6" spans="1:14" x14ac:dyDescent="0.25">
      <c r="A6" s="774"/>
      <c r="B6" s="774"/>
      <c r="C6" s="774"/>
      <c r="D6" s="774"/>
      <c r="E6" s="774"/>
      <c r="F6" s="774"/>
      <c r="G6" s="774"/>
      <c r="H6" s="774"/>
      <c r="I6" s="774"/>
      <c r="J6" s="774" t="s">
        <v>1277</v>
      </c>
      <c r="K6" s="774" t="s">
        <v>1696</v>
      </c>
    </row>
    <row r="7" spans="1:14" x14ac:dyDescent="0.25">
      <c r="A7" s="774"/>
      <c r="B7" s="775"/>
      <c r="C7" s="774"/>
      <c r="D7" s="774"/>
      <c r="E7" s="774"/>
      <c r="F7" s="774"/>
      <c r="G7" s="774"/>
      <c r="H7" s="774"/>
      <c r="I7" s="774"/>
      <c r="J7" s="774" t="s">
        <v>1515</v>
      </c>
      <c r="K7" s="774" t="s">
        <v>1697</v>
      </c>
    </row>
    <row r="8" spans="1:14" x14ac:dyDescent="0.25">
      <c r="A8" s="774"/>
      <c r="B8" s="774"/>
      <c r="C8" s="774"/>
      <c r="D8" s="774"/>
      <c r="E8" s="774"/>
      <c r="F8" s="774"/>
      <c r="G8" s="774"/>
      <c r="H8" s="774"/>
      <c r="I8" s="774"/>
      <c r="J8" s="774"/>
      <c r="K8" s="774" t="s">
        <v>1698</v>
      </c>
      <c r="N8" s="638"/>
    </row>
    <row r="9" spans="1:14" x14ac:dyDescent="0.25">
      <c r="A9" s="774"/>
      <c r="B9" s="774"/>
      <c r="C9" s="774"/>
      <c r="D9" s="774"/>
      <c r="E9" s="774"/>
      <c r="F9" s="774"/>
      <c r="G9" s="774"/>
      <c r="H9" s="774"/>
      <c r="I9" s="774"/>
      <c r="J9" s="774"/>
      <c r="K9" s="774" t="s">
        <v>1699</v>
      </c>
    </row>
    <row r="10" spans="1:14" x14ac:dyDescent="0.25">
      <c r="A10" s="774"/>
      <c r="B10" s="774"/>
      <c r="C10" s="774"/>
      <c r="D10" s="774"/>
      <c r="E10" s="774"/>
      <c r="F10" s="774"/>
      <c r="G10" s="774"/>
      <c r="H10" s="774"/>
      <c r="I10" s="774"/>
      <c r="J10" s="774"/>
      <c r="K10" s="774" t="s">
        <v>1700</v>
      </c>
    </row>
    <row r="11" spans="1:14" x14ac:dyDescent="0.25">
      <c r="A11" s="774"/>
      <c r="B11" s="774"/>
      <c r="C11" s="774"/>
      <c r="D11" s="774"/>
      <c r="E11" s="774"/>
      <c r="F11" s="774"/>
      <c r="G11" s="774"/>
      <c r="H11" s="774"/>
      <c r="I11" s="774"/>
      <c r="J11" s="774"/>
      <c r="K11" s="774" t="s">
        <v>1701</v>
      </c>
    </row>
    <row r="12" spans="1:14" x14ac:dyDescent="0.25">
      <c r="A12" s="774"/>
      <c r="B12" s="774"/>
      <c r="C12" s="774"/>
      <c r="D12" s="774"/>
      <c r="E12" s="774"/>
      <c r="F12" s="774"/>
      <c r="G12" s="774"/>
      <c r="H12" s="774"/>
      <c r="I12" s="774"/>
      <c r="J12" s="774"/>
      <c r="K12" s="774" t="s">
        <v>1516</v>
      </c>
    </row>
    <row r="13" spans="1:14" x14ac:dyDescent="0.25">
      <c r="A13" s="605"/>
      <c r="B13" s="605"/>
      <c r="C13" s="605"/>
      <c r="D13" s="605"/>
      <c r="E13" s="605"/>
      <c r="F13" s="605"/>
      <c r="G13" s="605"/>
      <c r="H13" s="605"/>
      <c r="I13" s="605"/>
      <c r="J13" s="605"/>
      <c r="K13" s="605" t="s">
        <v>1702</v>
      </c>
    </row>
    <row r="14" spans="1:14" x14ac:dyDescent="0.25">
      <c r="A14" s="605"/>
      <c r="B14" s="605"/>
      <c r="C14" s="605"/>
      <c r="D14" s="605"/>
      <c r="E14" s="605"/>
      <c r="F14" s="605"/>
      <c r="G14" s="605"/>
      <c r="H14" s="605"/>
      <c r="I14" s="605"/>
      <c r="J14" s="605"/>
      <c r="K14" s="605" t="s">
        <v>1703</v>
      </c>
    </row>
    <row r="15" spans="1:14" x14ac:dyDescent="0.25">
      <c r="A15" s="605"/>
      <c r="B15" s="605"/>
      <c r="C15" s="605"/>
      <c r="D15" s="605"/>
      <c r="E15" s="605"/>
      <c r="F15" s="605"/>
      <c r="G15" s="605"/>
      <c r="H15" s="605"/>
      <c r="I15" s="605"/>
      <c r="J15" s="605"/>
      <c r="K15" s="605" t="s">
        <v>1704</v>
      </c>
    </row>
    <row r="16" spans="1:14" x14ac:dyDescent="0.25">
      <c r="A16" s="605"/>
      <c r="B16" s="605"/>
      <c r="C16" s="605"/>
      <c r="D16" s="605"/>
      <c r="E16" s="605"/>
      <c r="F16" s="605"/>
      <c r="G16" s="605"/>
      <c r="H16" s="605"/>
      <c r="I16" s="605"/>
      <c r="J16" s="605"/>
      <c r="K16" s="605" t="s">
        <v>1705</v>
      </c>
    </row>
    <row r="17" spans="1:11" x14ac:dyDescent="0.25">
      <c r="A17" s="605"/>
      <c r="B17" s="605"/>
      <c r="C17" s="605"/>
      <c r="D17" s="605"/>
      <c r="E17" s="605"/>
      <c r="F17" s="605"/>
      <c r="G17" s="605"/>
      <c r="H17" s="605"/>
      <c r="I17" s="605"/>
      <c r="J17" s="605"/>
      <c r="K17" s="605" t="s">
        <v>1706</v>
      </c>
    </row>
    <row r="18" spans="1:11" x14ac:dyDescent="0.25">
      <c r="A18" s="605"/>
      <c r="B18" s="605"/>
      <c r="C18" s="605"/>
      <c r="D18" s="605"/>
      <c r="E18" s="605"/>
      <c r="F18" s="605"/>
      <c r="G18" s="605"/>
      <c r="H18" s="605"/>
      <c r="I18" s="605"/>
      <c r="J18" s="605"/>
      <c r="K18" s="605" t="s">
        <v>1707</v>
      </c>
    </row>
    <row r="19" spans="1:11" x14ac:dyDescent="0.25">
      <c r="A19" s="605"/>
      <c r="B19" s="605"/>
      <c r="C19" s="605"/>
      <c r="D19" s="605"/>
      <c r="E19" s="605"/>
      <c r="F19" s="605"/>
      <c r="G19" s="605"/>
      <c r="H19" s="605"/>
      <c r="I19" s="605"/>
      <c r="J19" s="605"/>
      <c r="K19" s="605" t="s">
        <v>1708</v>
      </c>
    </row>
    <row r="20" spans="1:11" x14ac:dyDescent="0.25">
      <c r="A20" s="605"/>
      <c r="B20" s="605"/>
      <c r="C20" s="605"/>
      <c r="D20" s="605"/>
      <c r="E20" s="605"/>
      <c r="F20" s="605"/>
      <c r="G20" s="605"/>
      <c r="H20" s="605"/>
      <c r="I20" s="605"/>
      <c r="J20" s="605"/>
      <c r="K20" s="605" t="s">
        <v>1709</v>
      </c>
    </row>
    <row r="21" spans="1:11" x14ac:dyDescent="0.25">
      <c r="A21" s="605"/>
      <c r="B21" s="605"/>
      <c r="C21" s="605"/>
      <c r="D21" s="605"/>
      <c r="E21" s="605"/>
      <c r="F21" s="605"/>
      <c r="G21" s="605"/>
      <c r="H21" s="605"/>
      <c r="I21" s="605"/>
      <c r="J21" s="605"/>
      <c r="K21" s="605" t="s">
        <v>1710</v>
      </c>
    </row>
    <row r="22" spans="1:11" x14ac:dyDescent="0.25">
      <c r="A22" s="605"/>
      <c r="B22" s="605"/>
      <c r="C22" s="605"/>
      <c r="D22" s="605"/>
      <c r="E22" s="605"/>
      <c r="F22" s="605"/>
      <c r="G22" s="605"/>
      <c r="H22" s="605"/>
      <c r="I22" s="605"/>
      <c r="J22" s="605"/>
      <c r="K22" s="605" t="s">
        <v>1711</v>
      </c>
    </row>
    <row r="23" spans="1:11" x14ac:dyDescent="0.25">
      <c r="A23" s="605"/>
      <c r="B23" s="605"/>
      <c r="C23" s="605"/>
      <c r="D23" s="605"/>
      <c r="E23" s="605"/>
      <c r="F23" s="605"/>
      <c r="G23" s="605"/>
      <c r="H23" s="605"/>
      <c r="I23" s="605"/>
      <c r="J23" s="605"/>
      <c r="K23" s="605" t="s">
        <v>1712</v>
      </c>
    </row>
    <row r="24" spans="1:11" x14ac:dyDescent="0.25">
      <c r="A24" s="605"/>
      <c r="B24" s="605"/>
      <c r="C24" s="605"/>
      <c r="D24" s="605"/>
      <c r="E24" s="605"/>
      <c r="F24" s="605"/>
      <c r="G24" s="605"/>
      <c r="H24" s="605"/>
      <c r="I24" s="605"/>
      <c r="J24" s="605"/>
      <c r="K24" s="605" t="s">
        <v>1713</v>
      </c>
    </row>
    <row r="25" spans="1:11" x14ac:dyDescent="0.25">
      <c r="A25" s="605"/>
      <c r="B25" s="605"/>
      <c r="C25" s="605"/>
      <c r="D25" s="605"/>
      <c r="E25" s="605"/>
      <c r="F25" s="605"/>
      <c r="G25" s="605"/>
      <c r="H25" s="605"/>
      <c r="I25" s="605"/>
      <c r="J25" s="605"/>
      <c r="K25" s="605" t="s">
        <v>1714</v>
      </c>
    </row>
    <row r="26" spans="1:11" x14ac:dyDescent="0.25">
      <c r="A26" s="605"/>
      <c r="B26" s="605"/>
      <c r="C26" s="605"/>
      <c r="D26" s="605"/>
      <c r="E26" s="605"/>
      <c r="F26" s="605"/>
      <c r="G26" s="605"/>
      <c r="H26" s="605"/>
      <c r="I26" s="605"/>
      <c r="J26" s="605"/>
      <c r="K26" s="605" t="s">
        <v>1715</v>
      </c>
    </row>
    <row r="27" spans="1:11" x14ac:dyDescent="0.25">
      <c r="A27" s="605"/>
      <c r="B27" s="605"/>
      <c r="C27" s="605"/>
      <c r="D27" s="605"/>
      <c r="E27" s="605"/>
      <c r="F27" s="605"/>
      <c r="G27" s="605"/>
      <c r="H27" s="605"/>
      <c r="I27" s="605"/>
      <c r="J27" s="605"/>
      <c r="K27" s="605" t="s">
        <v>1716</v>
      </c>
    </row>
    <row r="28" spans="1:11" x14ac:dyDescent="0.25">
      <c r="A28" s="605"/>
      <c r="B28" s="605"/>
      <c r="C28" s="605"/>
      <c r="D28" s="605"/>
      <c r="E28" s="605"/>
      <c r="F28" s="605"/>
      <c r="G28" s="605"/>
      <c r="H28" s="605"/>
      <c r="I28" s="605"/>
      <c r="J28" s="605"/>
      <c r="K28" s="605" t="s">
        <v>1717</v>
      </c>
    </row>
    <row r="29" spans="1:11" x14ac:dyDescent="0.25">
      <c r="A29" s="605"/>
      <c r="B29" s="605"/>
      <c r="C29" s="605"/>
      <c r="D29" s="605"/>
      <c r="E29" s="605"/>
      <c r="F29" s="605"/>
      <c r="G29" s="605"/>
      <c r="H29" s="605"/>
      <c r="I29" s="605"/>
      <c r="J29" s="605"/>
      <c r="K29" s="605" t="s">
        <v>1718</v>
      </c>
    </row>
    <row r="30" spans="1:11" x14ac:dyDescent="0.25">
      <c r="A30" s="605"/>
      <c r="B30" s="605"/>
      <c r="C30" s="605"/>
      <c r="D30" s="605"/>
      <c r="E30" s="605"/>
      <c r="F30" s="605"/>
      <c r="G30" s="605"/>
      <c r="H30" s="605"/>
      <c r="I30" s="605"/>
      <c r="J30" s="605"/>
      <c r="K30" s="605" t="s">
        <v>1719</v>
      </c>
    </row>
    <row r="31" spans="1:11" x14ac:dyDescent="0.25">
      <c r="A31" s="605"/>
      <c r="B31" s="605"/>
      <c r="C31" s="605"/>
      <c r="D31" s="605"/>
      <c r="E31" s="605"/>
      <c r="F31" s="605"/>
      <c r="G31" s="605"/>
      <c r="H31" s="605"/>
      <c r="I31" s="605"/>
      <c r="J31" s="605"/>
      <c r="K31" s="605" t="s">
        <v>1720</v>
      </c>
    </row>
    <row r="32" spans="1:11" x14ac:dyDescent="0.25">
      <c r="A32" s="605"/>
      <c r="B32" s="605"/>
      <c r="C32" s="605"/>
      <c r="D32" s="605"/>
      <c r="E32" s="605"/>
      <c r="F32" s="605"/>
      <c r="G32" s="605"/>
      <c r="H32" s="605"/>
      <c r="I32" s="605"/>
      <c r="J32" s="605"/>
      <c r="K32" s="605" t="s">
        <v>1721</v>
      </c>
    </row>
    <row r="33" spans="1:11" x14ac:dyDescent="0.25">
      <c r="A33" s="605"/>
      <c r="B33" s="605"/>
      <c r="C33" s="605"/>
      <c r="D33" s="605"/>
      <c r="E33" s="605"/>
      <c r="F33" s="605"/>
      <c r="G33" s="605"/>
      <c r="H33" s="605"/>
      <c r="I33" s="605"/>
      <c r="J33" s="605"/>
      <c r="K33" s="605" t="s">
        <v>1722</v>
      </c>
    </row>
    <row r="34" spans="1:11" x14ac:dyDescent="0.25">
      <c r="A34" s="605"/>
      <c r="B34" s="605"/>
      <c r="C34" s="605"/>
      <c r="D34" s="605"/>
      <c r="E34" s="605"/>
      <c r="F34" s="605"/>
      <c r="G34" s="605"/>
      <c r="H34" s="605"/>
      <c r="I34" s="605"/>
      <c r="J34" s="605"/>
      <c r="K34" s="605" t="s">
        <v>1723</v>
      </c>
    </row>
    <row r="35" spans="1:11" x14ac:dyDescent="0.25">
      <c r="A35" s="605"/>
      <c r="B35" s="605"/>
      <c r="C35" s="605"/>
      <c r="D35" s="605"/>
      <c r="E35" s="605"/>
      <c r="F35" s="605"/>
      <c r="G35" s="605"/>
      <c r="H35" s="605"/>
      <c r="I35" s="605"/>
      <c r="J35" s="605"/>
      <c r="K35" s="605" t="s">
        <v>1724</v>
      </c>
    </row>
    <row r="36" spans="1:11" x14ac:dyDescent="0.25">
      <c r="A36" s="605"/>
      <c r="B36" s="605"/>
      <c r="C36" s="605"/>
      <c r="D36" s="605"/>
      <c r="E36" s="605"/>
      <c r="F36" s="605"/>
      <c r="G36" s="605"/>
      <c r="H36" s="605"/>
      <c r="I36" s="605"/>
      <c r="J36" s="605"/>
      <c r="K36" s="605" t="s">
        <v>1725</v>
      </c>
    </row>
    <row r="37" spans="1:11" x14ac:dyDescent="0.25">
      <c r="A37" s="605"/>
      <c r="B37" s="605"/>
      <c r="C37" s="605"/>
      <c r="D37" s="605"/>
      <c r="E37" s="605"/>
      <c r="F37" s="605"/>
      <c r="G37" s="605"/>
      <c r="H37" s="605"/>
      <c r="I37" s="605"/>
      <c r="J37" s="605"/>
      <c r="K37" s="605" t="s">
        <v>1726</v>
      </c>
    </row>
    <row r="38" spans="1:11" x14ac:dyDescent="0.25">
      <c r="A38" s="605"/>
      <c r="B38" s="605"/>
      <c r="C38" s="605"/>
      <c r="D38" s="605"/>
      <c r="E38" s="605"/>
      <c r="F38" s="605"/>
      <c r="G38" s="605"/>
      <c r="H38" s="605"/>
      <c r="I38" s="605"/>
      <c r="J38" s="605"/>
      <c r="K38" s="605" t="s">
        <v>1727</v>
      </c>
    </row>
    <row r="39" spans="1:11" x14ac:dyDescent="0.25">
      <c r="A39" s="605"/>
      <c r="B39" s="605"/>
      <c r="C39" s="605"/>
      <c r="D39" s="605"/>
      <c r="E39" s="605"/>
      <c r="F39" s="605"/>
      <c r="G39" s="605"/>
      <c r="H39" s="605"/>
      <c r="I39" s="605"/>
      <c r="J39" s="605"/>
      <c r="K39" s="776" t="s">
        <v>1728</v>
      </c>
    </row>
    <row r="40" spans="1:11" x14ac:dyDescent="0.25">
      <c r="A40" s="605"/>
      <c r="B40" s="605"/>
      <c r="C40" s="605"/>
      <c r="D40" s="605"/>
      <c r="E40" s="605"/>
      <c r="F40" s="605"/>
      <c r="G40" s="605"/>
      <c r="H40" s="605"/>
      <c r="I40" s="605"/>
      <c r="J40" s="605"/>
      <c r="K40" s="60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M8" sqref="M8"/>
    </sheetView>
  </sheetViews>
  <sheetFormatPr defaultRowHeight="15" x14ac:dyDescent="0.25"/>
  <cols>
    <col min="1" max="1" width="4.85546875" style="722"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1" t="s">
        <v>1260</v>
      </c>
      <c r="B1" s="720"/>
      <c r="C1" s="701"/>
      <c r="D1" s="701"/>
      <c r="E1" s="701"/>
      <c r="F1" s="720"/>
      <c r="G1" s="701"/>
      <c r="H1" s="701"/>
      <c r="I1" s="701"/>
      <c r="J1" s="701"/>
    </row>
    <row r="2" spans="1:14" x14ac:dyDescent="0.25">
      <c r="A2" s="835" t="s">
        <v>349</v>
      </c>
      <c r="B2" s="835"/>
      <c r="C2" s="835"/>
      <c r="D2" s="835"/>
      <c r="E2" s="835"/>
      <c r="F2" s="835"/>
      <c r="G2" s="835"/>
      <c r="H2" s="835"/>
      <c r="I2" s="835"/>
      <c r="J2" s="835"/>
      <c r="K2" s="835"/>
    </row>
    <row r="3" spans="1:14" s="605"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1429</v>
      </c>
    </row>
    <row r="4" spans="1:14" ht="15" customHeight="1" x14ac:dyDescent="0.25">
      <c r="A4" s="836" t="s">
        <v>1211</v>
      </c>
      <c r="B4" s="836"/>
      <c r="C4" s="836"/>
      <c r="D4" s="836"/>
      <c r="E4" s="836"/>
      <c r="F4" s="836"/>
      <c r="G4" s="836"/>
      <c r="H4" s="836"/>
      <c r="I4" s="836"/>
      <c r="J4" s="836"/>
      <c r="K4" s="836"/>
    </row>
    <row r="5" spans="1:14" s="597" customFormat="1" ht="25.5" x14ac:dyDescent="0.25">
      <c r="A5" s="190">
        <v>1</v>
      </c>
      <c r="B5" s="725" t="s">
        <v>300</v>
      </c>
      <c r="C5" s="188" t="s">
        <v>38</v>
      </c>
      <c r="D5" s="188" t="s">
        <v>39</v>
      </c>
      <c r="E5" s="724">
        <v>226.52</v>
      </c>
      <c r="F5" s="189">
        <v>45337</v>
      </c>
      <c r="G5" s="189"/>
      <c r="H5" s="188" t="s">
        <v>1421</v>
      </c>
      <c r="I5" s="725" t="s">
        <v>1421</v>
      </c>
      <c r="J5" s="188" t="s">
        <v>404</v>
      </c>
      <c r="K5" s="614"/>
    </row>
    <row r="6" spans="1:14" s="597" customFormat="1" ht="25.5" x14ac:dyDescent="0.25">
      <c r="A6" s="190">
        <v>2</v>
      </c>
      <c r="B6" s="725" t="s">
        <v>301</v>
      </c>
      <c r="C6" s="188" t="s">
        <v>40</v>
      </c>
      <c r="D6" s="188" t="s">
        <v>41</v>
      </c>
      <c r="E6" s="724">
        <v>246.01900000000001</v>
      </c>
      <c r="F6" s="189">
        <v>45337</v>
      </c>
      <c r="G6" s="189"/>
      <c r="H6" s="188" t="s">
        <v>1584</v>
      </c>
      <c r="I6" s="725" t="s">
        <v>1584</v>
      </c>
      <c r="J6" s="723" t="s">
        <v>16</v>
      </c>
      <c r="K6" s="614"/>
    </row>
    <row r="7" spans="1:14" s="597" customFormat="1" ht="25.5" x14ac:dyDescent="0.25">
      <c r="A7" s="190">
        <v>3</v>
      </c>
      <c r="B7" s="725" t="s">
        <v>302</v>
      </c>
      <c r="C7" s="188" t="s">
        <v>43</v>
      </c>
      <c r="D7" s="188" t="s">
        <v>44</v>
      </c>
      <c r="E7" s="724">
        <v>210.755</v>
      </c>
      <c r="F7" s="189">
        <v>45337</v>
      </c>
      <c r="G7" s="189"/>
      <c r="H7" s="188" t="s">
        <v>1589</v>
      </c>
      <c r="I7" s="725" t="s">
        <v>1589</v>
      </c>
      <c r="J7" s="1010" t="s">
        <v>124</v>
      </c>
      <c r="K7" s="188"/>
    </row>
    <row r="8" spans="1:14" s="597" customFormat="1" ht="25.5" x14ac:dyDescent="0.25">
      <c r="A8" s="190">
        <v>4</v>
      </c>
      <c r="B8" s="725" t="s">
        <v>297</v>
      </c>
      <c r="C8" s="188" t="s">
        <v>45</v>
      </c>
      <c r="D8" s="188" t="s">
        <v>46</v>
      </c>
      <c r="E8" s="724">
        <v>233.07599999999999</v>
      </c>
      <c r="F8" s="189">
        <v>45337</v>
      </c>
      <c r="G8" s="189"/>
      <c r="H8" s="188" t="s">
        <v>1437</v>
      </c>
      <c r="I8" s="726" t="s">
        <v>1644</v>
      </c>
      <c r="J8" s="723" t="s">
        <v>16</v>
      </c>
      <c r="K8" s="188"/>
      <c r="N8" s="761"/>
    </row>
    <row r="9" spans="1:14" s="597" customFormat="1" ht="25.5" x14ac:dyDescent="0.25">
      <c r="A9" s="190">
        <v>5</v>
      </c>
      <c r="B9" s="725" t="s">
        <v>298</v>
      </c>
      <c r="C9" s="188" t="s">
        <v>47</v>
      </c>
      <c r="D9" s="188" t="s">
        <v>48</v>
      </c>
      <c r="E9" s="724">
        <v>211.91399999999999</v>
      </c>
      <c r="F9" s="189">
        <v>45337</v>
      </c>
      <c r="G9" s="189"/>
      <c r="H9" s="188" t="s">
        <v>1213</v>
      </c>
      <c r="I9" s="726" t="s">
        <v>1510</v>
      </c>
      <c r="J9" s="723" t="s">
        <v>16</v>
      </c>
      <c r="K9" s="188"/>
    </row>
    <row r="10" spans="1:14" s="597" customFormat="1" ht="25.5" x14ac:dyDescent="0.25">
      <c r="A10" s="190">
        <v>6</v>
      </c>
      <c r="B10" s="725" t="s">
        <v>299</v>
      </c>
      <c r="C10" s="188" t="s">
        <v>57</v>
      </c>
      <c r="D10" s="188" t="s">
        <v>33</v>
      </c>
      <c r="E10" s="724">
        <v>222.155</v>
      </c>
      <c r="F10" s="189">
        <v>45307</v>
      </c>
      <c r="G10" s="189">
        <v>45470</v>
      </c>
      <c r="H10" s="188" t="s">
        <v>1487</v>
      </c>
      <c r="I10" s="726" t="s">
        <v>1572</v>
      </c>
      <c r="J10" s="723" t="s">
        <v>16</v>
      </c>
      <c r="K10" s="188"/>
    </row>
    <row r="11" spans="1:14" s="597" customFormat="1" ht="25.5" x14ac:dyDescent="0.25">
      <c r="A11" s="190">
        <v>7</v>
      </c>
      <c r="B11" s="725" t="s">
        <v>288</v>
      </c>
      <c r="C11" s="188" t="s">
        <v>89</v>
      </c>
      <c r="D11" s="188" t="s">
        <v>90</v>
      </c>
      <c r="E11" s="724">
        <v>197.7</v>
      </c>
      <c r="F11" s="189"/>
      <c r="G11" s="189"/>
      <c r="H11" s="188" t="s">
        <v>1287</v>
      </c>
      <c r="I11" s="725" t="s">
        <v>1287</v>
      </c>
      <c r="J11" s="188" t="s">
        <v>404</v>
      </c>
      <c r="K11" s="188"/>
    </row>
    <row r="12" spans="1:14" s="597" customFormat="1" ht="25.5" x14ac:dyDescent="0.25">
      <c r="A12" s="190">
        <v>8</v>
      </c>
      <c r="B12" s="725" t="s">
        <v>289</v>
      </c>
      <c r="C12" s="188" t="s">
        <v>93</v>
      </c>
      <c r="D12" s="188" t="s">
        <v>94</v>
      </c>
      <c r="E12" s="724">
        <v>179.9</v>
      </c>
      <c r="F12" s="189"/>
      <c r="G12" s="189"/>
      <c r="H12" s="188" t="s">
        <v>1279</v>
      </c>
      <c r="I12" s="725" t="s">
        <v>1588</v>
      </c>
      <c r="J12" s="188" t="s">
        <v>404</v>
      </c>
      <c r="K12" s="188"/>
    </row>
    <row r="13" spans="1:14" s="597" customFormat="1" ht="25.5" x14ac:dyDescent="0.25">
      <c r="A13" s="190">
        <v>9</v>
      </c>
      <c r="B13" s="725" t="s">
        <v>296</v>
      </c>
      <c r="C13" s="188" t="s">
        <v>101</v>
      </c>
      <c r="D13" s="188" t="s">
        <v>102</v>
      </c>
      <c r="E13" s="724">
        <v>207.8</v>
      </c>
      <c r="F13" s="189">
        <v>45359</v>
      </c>
      <c r="G13" s="189">
        <v>45491</v>
      </c>
      <c r="H13" s="188" t="s">
        <v>1214</v>
      </c>
      <c r="I13" s="725" t="s">
        <v>1214</v>
      </c>
      <c r="J13" s="188" t="s">
        <v>404</v>
      </c>
      <c r="K13" s="188"/>
    </row>
    <row r="14" spans="1:14" s="722" customFormat="1" x14ac:dyDescent="0.25">
      <c r="A14" s="837" t="s">
        <v>1280</v>
      </c>
      <c r="B14" s="837" t="s">
        <v>1212</v>
      </c>
      <c r="C14" s="837"/>
      <c r="D14" s="837"/>
      <c r="E14" s="837"/>
      <c r="F14" s="837"/>
      <c r="G14" s="837"/>
      <c r="H14" s="837"/>
      <c r="I14" s="837"/>
      <c r="J14" s="837"/>
      <c r="K14" s="837"/>
    </row>
    <row r="15" spans="1:14" s="597" customFormat="1" ht="25.5" x14ac:dyDescent="0.25">
      <c r="A15" s="190">
        <v>1</v>
      </c>
      <c r="B15" s="725" t="s">
        <v>229</v>
      </c>
      <c r="C15" s="188" t="s">
        <v>40</v>
      </c>
      <c r="D15" s="188" t="s">
        <v>41</v>
      </c>
      <c r="E15" s="188">
        <v>246.01900000000001</v>
      </c>
      <c r="F15" s="189">
        <v>45337</v>
      </c>
      <c r="G15" s="189"/>
      <c r="H15" s="188" t="s">
        <v>1584</v>
      </c>
      <c r="I15" s="725" t="s">
        <v>1584</v>
      </c>
      <c r="J15" s="723" t="s">
        <v>16</v>
      </c>
      <c r="K15" s="614"/>
    </row>
    <row r="16" spans="1:14" s="597" customFormat="1" ht="25.5" x14ac:dyDescent="0.25">
      <c r="A16" s="190">
        <v>2</v>
      </c>
      <c r="B16" s="725" t="s">
        <v>348</v>
      </c>
      <c r="C16" s="188" t="s">
        <v>95</v>
      </c>
      <c r="D16" s="188" t="s">
        <v>35</v>
      </c>
      <c r="E16" s="188">
        <v>238.9</v>
      </c>
      <c r="F16" s="189">
        <v>45359</v>
      </c>
      <c r="G16" s="189">
        <v>45444</v>
      </c>
      <c r="H16" s="188" t="s">
        <v>1215</v>
      </c>
      <c r="I16" s="725" t="s">
        <v>1215</v>
      </c>
      <c r="J16" s="188" t="s">
        <v>404</v>
      </c>
      <c r="K16" s="188"/>
    </row>
    <row r="17" spans="1:11" s="597" customFormat="1" ht="25.5" x14ac:dyDescent="0.25">
      <c r="A17" s="190">
        <v>3</v>
      </c>
      <c r="B17" s="725" t="s">
        <v>290</v>
      </c>
      <c r="C17" s="188" t="s">
        <v>103</v>
      </c>
      <c r="D17" s="188" t="s">
        <v>104</v>
      </c>
      <c r="E17" s="188">
        <v>200.9</v>
      </c>
      <c r="F17" s="189">
        <v>45359</v>
      </c>
      <c r="G17" s="189">
        <v>45469</v>
      </c>
      <c r="H17" s="188" t="s">
        <v>1216</v>
      </c>
      <c r="I17" s="725" t="s">
        <v>1216</v>
      </c>
      <c r="J17" s="188" t="s">
        <v>404</v>
      </c>
      <c r="K17" s="188"/>
    </row>
    <row r="18" spans="1:11" s="722" customFormat="1" x14ac:dyDescent="0.25">
      <c r="A18" s="837" t="s">
        <v>1281</v>
      </c>
      <c r="B18" s="837" t="s">
        <v>1212</v>
      </c>
      <c r="C18" s="837"/>
      <c r="D18" s="837"/>
      <c r="E18" s="837"/>
      <c r="F18" s="837"/>
      <c r="G18" s="837"/>
      <c r="H18" s="837"/>
      <c r="I18" s="837"/>
      <c r="J18" s="837"/>
      <c r="K18" s="837"/>
    </row>
    <row r="19" spans="1:11" s="597" customFormat="1" ht="25.5" x14ac:dyDescent="0.25">
      <c r="A19" s="190">
        <v>1</v>
      </c>
      <c r="B19" s="725" t="s">
        <v>291</v>
      </c>
      <c r="C19" s="188" t="s">
        <v>219</v>
      </c>
      <c r="D19" s="188" t="s">
        <v>220</v>
      </c>
      <c r="E19" s="188">
        <v>394.3</v>
      </c>
      <c r="F19" s="188"/>
      <c r="G19" s="188"/>
      <c r="H19" s="188" t="s">
        <v>1217</v>
      </c>
      <c r="I19" s="725" t="s">
        <v>1217</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838" t="s">
        <v>928</v>
      </c>
      <c r="C1" s="838"/>
      <c r="D1" s="838"/>
      <c r="E1" s="838"/>
      <c r="F1" s="838"/>
      <c r="G1" s="838"/>
      <c r="H1" s="838"/>
      <c r="I1" s="838"/>
      <c r="J1" s="838"/>
      <c r="K1" s="838"/>
      <c r="L1" s="838"/>
      <c r="M1" s="838"/>
      <c r="N1" s="838"/>
      <c r="O1" s="838"/>
      <c r="P1" s="838"/>
      <c r="Q1" s="838"/>
      <c r="R1" s="838"/>
      <c r="S1" s="838"/>
      <c r="T1" s="838"/>
      <c r="U1" s="838"/>
      <c r="V1" s="838"/>
      <c r="W1" s="838"/>
      <c r="X1" s="838"/>
      <c r="Y1" s="838"/>
      <c r="Z1" s="838"/>
      <c r="AA1" s="838"/>
      <c r="AB1" s="838"/>
      <c r="AC1" s="838"/>
      <c r="AD1" s="838"/>
      <c r="AE1" s="838"/>
      <c r="AF1" s="838"/>
      <c r="AG1" s="838"/>
      <c r="AH1" s="838"/>
      <c r="AI1" s="838"/>
      <c r="AJ1" s="838"/>
      <c r="AK1" s="838"/>
      <c r="AL1" s="838"/>
      <c r="AM1" s="838"/>
      <c r="AN1" s="838"/>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7" t="s">
        <v>1650</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849" t="s">
        <v>1158</v>
      </c>
      <c r="C7" s="849"/>
      <c r="D7" s="849"/>
      <c r="E7" s="849"/>
      <c r="F7" s="849"/>
      <c r="G7" s="465" t="s">
        <v>1285</v>
      </c>
      <c r="H7" s="849" t="s">
        <v>1419</v>
      </c>
      <c r="I7" s="849"/>
      <c r="J7" s="849"/>
      <c r="K7" s="849"/>
      <c r="L7" s="849"/>
      <c r="M7" s="849"/>
      <c r="N7" s="849"/>
      <c r="O7" s="849"/>
      <c r="P7" s="849"/>
      <c r="Q7" s="849"/>
      <c r="R7" s="849"/>
      <c r="S7" s="849"/>
      <c r="T7" s="849"/>
      <c r="U7" s="849"/>
      <c r="V7" s="849"/>
      <c r="W7" s="849"/>
      <c r="X7" s="858" t="s">
        <v>1418</v>
      </c>
      <c r="Y7" s="859"/>
      <c r="Z7" s="859"/>
      <c r="AA7" s="859"/>
      <c r="AB7" s="859"/>
      <c r="AC7" s="859"/>
      <c r="AD7" s="859"/>
      <c r="AE7" s="850" t="s">
        <v>1645</v>
      </c>
      <c r="AF7" s="851"/>
      <c r="AG7" s="851"/>
      <c r="AH7" s="851"/>
      <c r="AI7" s="850" t="s">
        <v>1738</v>
      </c>
      <c r="AJ7" s="851"/>
      <c r="AK7" s="851"/>
      <c r="AL7" s="851"/>
      <c r="AM7" s="860"/>
      <c r="AN7" s="849" t="s">
        <v>9</v>
      </c>
    </row>
    <row r="8" spans="1:40" s="213" customFormat="1" ht="42" customHeight="1" x14ac:dyDescent="0.25">
      <c r="B8" s="853" t="s">
        <v>303</v>
      </c>
      <c r="C8" s="853" t="s">
        <v>37</v>
      </c>
      <c r="D8" s="856" t="s">
        <v>931</v>
      </c>
      <c r="E8" s="853" t="s">
        <v>402</v>
      </c>
      <c r="F8" s="856"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849"/>
    </row>
    <row r="9" spans="1:40" x14ac:dyDescent="0.25">
      <c r="B9" s="854"/>
      <c r="C9" s="855"/>
      <c r="D9" s="855"/>
      <c r="E9" s="855"/>
      <c r="F9" s="857"/>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849"/>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840"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841"/>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841"/>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842"/>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840"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841"/>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841"/>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842"/>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4"/>
      <c r="I43" s="242"/>
      <c r="J43" s="248"/>
      <c r="K43" s="248"/>
      <c r="L43" s="241"/>
      <c r="M43" s="242"/>
      <c r="N43" s="241"/>
      <c r="O43" s="475"/>
      <c r="P43" s="475"/>
      <c r="Q43" s="248"/>
      <c r="R43" s="475"/>
      <c r="S43" s="475"/>
      <c r="T43" s="475"/>
      <c r="U43" s="245"/>
      <c r="V43" s="245"/>
      <c r="W43" s="245"/>
      <c r="X43" s="245"/>
      <c r="Y43" s="245"/>
      <c r="Z43" s="245"/>
      <c r="AA43" s="245"/>
      <c r="AB43" s="245"/>
      <c r="AC43" s="245"/>
      <c r="AD43" s="245"/>
      <c r="AE43" s="245"/>
      <c r="AF43" s="245"/>
      <c r="AG43" s="245"/>
      <c r="AH43" s="245"/>
      <c r="AI43" s="245"/>
      <c r="AJ43" s="245"/>
      <c r="AK43" s="245"/>
      <c r="AL43" s="245"/>
      <c r="AM43" s="245"/>
      <c r="AN43" s="746">
        <f t="shared" ref="AN43:AN63" si="6">+SUM(G43:AH43)</f>
        <v>0</v>
      </c>
    </row>
    <row r="44" spans="1:40" s="246" customFormat="1" x14ac:dyDescent="0.25">
      <c r="B44" s="238" t="s">
        <v>941</v>
      </c>
      <c r="C44" s="247" t="s">
        <v>979</v>
      </c>
      <c r="D44" s="241"/>
      <c r="E44" s="241"/>
      <c r="F44" s="242"/>
      <c r="G44" s="242"/>
      <c r="H44" s="474"/>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6">
        <f t="shared" si="6"/>
        <v>0</v>
      </c>
    </row>
    <row r="45" spans="1:40" s="246" customFormat="1" x14ac:dyDescent="0.25">
      <c r="B45" s="261" t="s">
        <v>944</v>
      </c>
      <c r="C45" s="247" t="s">
        <v>980</v>
      </c>
      <c r="D45" s="241" t="s">
        <v>934</v>
      </c>
      <c r="E45" s="241" t="s">
        <v>981</v>
      </c>
      <c r="F45" s="242">
        <v>191</v>
      </c>
      <c r="G45" s="242"/>
      <c r="H45" s="474"/>
      <c r="I45" s="474"/>
      <c r="J45" s="474"/>
      <c r="K45" s="475"/>
      <c r="L45" s="242"/>
      <c r="M45" s="242"/>
      <c r="N45" s="476"/>
      <c r="O45" s="475"/>
      <c r="P45" s="475"/>
      <c r="Q45" s="242"/>
      <c r="R45" s="475"/>
      <c r="S45" s="475"/>
      <c r="T45" s="248"/>
      <c r="U45" s="245"/>
      <c r="V45" s="245"/>
      <c r="W45" s="245"/>
      <c r="X45" s="245"/>
      <c r="Y45" s="245"/>
      <c r="Z45" s="245"/>
      <c r="AA45" s="245"/>
      <c r="AB45" s="245"/>
      <c r="AC45" s="245"/>
      <c r="AD45" s="245"/>
      <c r="AE45" s="245"/>
      <c r="AF45" s="245"/>
      <c r="AG45" s="245"/>
      <c r="AH45" s="245"/>
      <c r="AI45" s="245"/>
      <c r="AJ45" s="245"/>
      <c r="AK45" s="245"/>
      <c r="AL45" s="245"/>
      <c r="AM45" s="245"/>
      <c r="AN45" s="746">
        <f t="shared" si="6"/>
        <v>0</v>
      </c>
    </row>
    <row r="46" spans="1:40" s="519" customFormat="1" x14ac:dyDescent="0.25">
      <c r="A46" s="246"/>
      <c r="B46" s="845" t="s">
        <v>946</v>
      </c>
      <c r="C46" s="512" t="s">
        <v>982</v>
      </c>
      <c r="D46" s="513" t="s">
        <v>934</v>
      </c>
      <c r="E46" s="513" t="s">
        <v>981</v>
      </c>
      <c r="F46" s="514">
        <v>191</v>
      </c>
      <c r="G46" s="514"/>
      <c r="H46" s="514">
        <v>90</v>
      </c>
      <c r="I46" s="514">
        <v>71</v>
      </c>
      <c r="J46" s="515">
        <v>30</v>
      </c>
      <c r="K46" s="516"/>
      <c r="L46" s="516"/>
      <c r="M46" s="514"/>
      <c r="N46" s="517"/>
      <c r="O46" s="517"/>
      <c r="P46" s="517"/>
      <c r="Q46" s="516"/>
      <c r="R46" s="517"/>
      <c r="S46" s="517"/>
      <c r="T46" s="516"/>
      <c r="U46" s="518"/>
      <c r="V46" s="518"/>
      <c r="W46" s="518"/>
      <c r="X46" s="518"/>
      <c r="Y46" s="518"/>
      <c r="Z46" s="518"/>
      <c r="AA46" s="518"/>
      <c r="AB46" s="518"/>
      <c r="AC46" s="518"/>
      <c r="AD46" s="518"/>
      <c r="AE46" s="518"/>
      <c r="AF46" s="518"/>
      <c r="AG46" s="518"/>
      <c r="AH46" s="518"/>
      <c r="AI46" s="518"/>
      <c r="AJ46" s="518"/>
      <c r="AK46" s="518"/>
      <c r="AL46" s="518"/>
      <c r="AM46" s="518"/>
      <c r="AN46" s="746">
        <f t="shared" si="6"/>
        <v>191</v>
      </c>
    </row>
    <row r="47" spans="1:40" s="519" customFormat="1" x14ac:dyDescent="0.25">
      <c r="A47" s="246"/>
      <c r="B47" s="846"/>
      <c r="C47" s="512" t="s">
        <v>950</v>
      </c>
      <c r="D47" s="513"/>
      <c r="E47" s="513"/>
      <c r="F47" s="514"/>
      <c r="G47" s="514"/>
      <c r="H47" s="514">
        <v>191</v>
      </c>
      <c r="I47" s="514"/>
      <c r="J47" s="515"/>
      <c r="K47" s="516"/>
      <c r="L47" s="516"/>
      <c r="M47" s="514"/>
      <c r="N47" s="517"/>
      <c r="O47" s="517"/>
      <c r="P47" s="517"/>
      <c r="Q47" s="516"/>
      <c r="R47" s="517"/>
      <c r="S47" s="517"/>
      <c r="T47" s="516"/>
      <c r="U47" s="518"/>
      <c r="V47" s="518"/>
      <c r="W47" s="518"/>
      <c r="X47" s="518"/>
      <c r="Y47" s="518"/>
      <c r="Z47" s="518"/>
      <c r="AA47" s="518"/>
      <c r="AB47" s="518"/>
      <c r="AC47" s="518"/>
      <c r="AD47" s="518"/>
      <c r="AE47" s="518"/>
      <c r="AF47" s="518"/>
      <c r="AG47" s="518"/>
      <c r="AH47" s="518"/>
      <c r="AI47" s="518"/>
      <c r="AJ47" s="518"/>
      <c r="AK47" s="518"/>
      <c r="AL47" s="518"/>
      <c r="AM47" s="518"/>
      <c r="AN47" s="746">
        <f t="shared" si="6"/>
        <v>191</v>
      </c>
    </row>
    <row r="48" spans="1:40" s="519" customFormat="1" x14ac:dyDescent="0.25">
      <c r="A48" s="246"/>
      <c r="B48" s="845" t="s">
        <v>962</v>
      </c>
      <c r="C48" s="512" t="s">
        <v>983</v>
      </c>
      <c r="D48" s="513" t="s">
        <v>940</v>
      </c>
      <c r="E48" s="513" t="s">
        <v>981</v>
      </c>
      <c r="F48" s="514">
        <v>191</v>
      </c>
      <c r="G48" s="514"/>
      <c r="H48" s="514">
        <v>20</v>
      </c>
      <c r="I48" s="515">
        <v>65</v>
      </c>
      <c r="J48" s="515">
        <v>65</v>
      </c>
      <c r="K48" s="515">
        <v>41</v>
      </c>
      <c r="L48" s="516"/>
      <c r="M48" s="514"/>
      <c r="N48" s="513"/>
      <c r="O48" s="517"/>
      <c r="P48" s="517"/>
      <c r="Q48" s="516"/>
      <c r="R48" s="517"/>
      <c r="S48" s="517"/>
      <c r="T48" s="516"/>
      <c r="U48" s="518"/>
      <c r="V48" s="518"/>
      <c r="W48" s="518"/>
      <c r="X48" s="518"/>
      <c r="Y48" s="518"/>
      <c r="Z48" s="518"/>
      <c r="AA48" s="518"/>
      <c r="AB48" s="518"/>
      <c r="AC48" s="518"/>
      <c r="AD48" s="518"/>
      <c r="AE48" s="518"/>
      <c r="AF48" s="518"/>
      <c r="AG48" s="518"/>
      <c r="AH48" s="518"/>
      <c r="AI48" s="518"/>
      <c r="AJ48" s="518"/>
      <c r="AK48" s="518"/>
      <c r="AL48" s="518"/>
      <c r="AM48" s="518"/>
      <c r="AN48" s="746">
        <f t="shared" si="6"/>
        <v>191</v>
      </c>
    </row>
    <row r="49" spans="1:40" s="519" customFormat="1" x14ac:dyDescent="0.25">
      <c r="A49" s="246"/>
      <c r="B49" s="847"/>
      <c r="C49" s="512" t="s">
        <v>984</v>
      </c>
      <c r="D49" s="513"/>
      <c r="E49" s="513"/>
      <c r="F49" s="514"/>
      <c r="G49" s="514"/>
      <c r="H49" s="516">
        <v>128.33699999999999</v>
      </c>
      <c r="I49" s="520">
        <v>2.238</v>
      </c>
      <c r="J49" s="520">
        <v>28.251999999999999</v>
      </c>
      <c r="K49" s="520"/>
      <c r="L49" s="516"/>
      <c r="M49" s="516"/>
      <c r="N49" s="516">
        <v>10.313000000000001</v>
      </c>
      <c r="O49" s="517">
        <v>5.601</v>
      </c>
      <c r="P49" s="517">
        <v>3.7879999999999998</v>
      </c>
      <c r="Q49" s="516">
        <v>3.65</v>
      </c>
      <c r="R49" s="517"/>
      <c r="S49" s="517">
        <v>2.7469999999999999</v>
      </c>
      <c r="T49" s="517">
        <v>4.9660000000000002</v>
      </c>
      <c r="U49" s="518"/>
      <c r="V49" s="518"/>
      <c r="W49" s="518"/>
      <c r="X49" s="518"/>
      <c r="Y49" s="518"/>
      <c r="Z49" s="518"/>
      <c r="AA49" s="518"/>
      <c r="AB49" s="518"/>
      <c r="AC49" s="518"/>
      <c r="AD49" s="518"/>
      <c r="AE49" s="518"/>
      <c r="AF49" s="518"/>
      <c r="AG49" s="518"/>
      <c r="AH49" s="518"/>
      <c r="AI49" s="518"/>
      <c r="AJ49" s="518"/>
      <c r="AK49" s="518"/>
      <c r="AL49" s="518"/>
      <c r="AM49" s="518"/>
      <c r="AN49" s="746">
        <f t="shared" si="6"/>
        <v>189.892</v>
      </c>
    </row>
    <row r="50" spans="1:40" s="519" customFormat="1" x14ac:dyDescent="0.25">
      <c r="A50" s="246"/>
      <c r="B50" s="846"/>
      <c r="C50" s="512" t="s">
        <v>985</v>
      </c>
      <c r="D50" s="513"/>
      <c r="E50" s="513"/>
      <c r="F50" s="514"/>
      <c r="G50" s="514"/>
      <c r="H50" s="516">
        <f>77.369+9.139</f>
        <v>86.507999999999996</v>
      </c>
      <c r="I50" s="520">
        <v>44.067</v>
      </c>
      <c r="J50" s="520">
        <v>14.03</v>
      </c>
      <c r="K50" s="520"/>
      <c r="L50" s="516"/>
      <c r="M50" s="516">
        <v>12.488</v>
      </c>
      <c r="N50" s="516"/>
      <c r="O50" s="517">
        <v>15.914</v>
      </c>
      <c r="P50" s="517">
        <v>3.7879999999999998</v>
      </c>
      <c r="Q50" s="516"/>
      <c r="R50" s="517"/>
      <c r="S50" s="517">
        <v>3.57</v>
      </c>
      <c r="T50" s="516">
        <v>9.4459999999999997</v>
      </c>
      <c r="U50" s="518"/>
      <c r="V50" s="518"/>
      <c r="W50" s="518"/>
      <c r="X50" s="518"/>
      <c r="Y50" s="518"/>
      <c r="Z50" s="518"/>
      <c r="AA50" s="518"/>
      <c r="AB50" s="518"/>
      <c r="AC50" s="518"/>
      <c r="AD50" s="518"/>
      <c r="AE50" s="518"/>
      <c r="AF50" s="518"/>
      <c r="AG50" s="518"/>
      <c r="AH50" s="518"/>
      <c r="AI50" s="518"/>
      <c r="AJ50" s="518"/>
      <c r="AK50" s="518"/>
      <c r="AL50" s="518"/>
      <c r="AM50" s="518"/>
      <c r="AN50" s="746">
        <f t="shared" si="6"/>
        <v>189.81099999999998</v>
      </c>
    </row>
    <row r="51" spans="1:40" s="519" customFormat="1" x14ac:dyDescent="0.25">
      <c r="A51" s="246"/>
      <c r="B51" s="843" t="s">
        <v>965</v>
      </c>
      <c r="C51" s="521" t="s">
        <v>986</v>
      </c>
      <c r="D51" s="513" t="s">
        <v>934</v>
      </c>
      <c r="E51" s="513" t="s">
        <v>987</v>
      </c>
      <c r="F51" s="514">
        <v>193</v>
      </c>
      <c r="G51" s="514"/>
      <c r="H51" s="515">
        <v>193</v>
      </c>
      <c r="I51" s="514"/>
      <c r="J51" s="516"/>
      <c r="K51" s="516"/>
      <c r="L51" s="513"/>
      <c r="M51" s="514"/>
      <c r="N51" s="514"/>
      <c r="O51" s="514"/>
      <c r="P51" s="514"/>
      <c r="Q51" s="514"/>
      <c r="R51" s="514"/>
      <c r="S51" s="514"/>
      <c r="T51" s="514"/>
      <c r="U51" s="518"/>
      <c r="V51" s="518"/>
      <c r="W51" s="518"/>
      <c r="X51" s="518"/>
      <c r="Y51" s="518"/>
      <c r="Z51" s="518"/>
      <c r="AA51" s="518"/>
      <c r="AB51" s="518"/>
      <c r="AC51" s="518"/>
      <c r="AD51" s="518"/>
      <c r="AE51" s="518"/>
      <c r="AF51" s="518"/>
      <c r="AG51" s="518"/>
      <c r="AH51" s="518"/>
      <c r="AI51" s="518"/>
      <c r="AJ51" s="518"/>
      <c r="AK51" s="518"/>
      <c r="AL51" s="518"/>
      <c r="AM51" s="518"/>
      <c r="AN51" s="746">
        <f t="shared" si="6"/>
        <v>193</v>
      </c>
    </row>
    <row r="52" spans="1:40" s="519" customFormat="1" x14ac:dyDescent="0.25">
      <c r="A52" s="246"/>
      <c r="B52" s="844"/>
      <c r="C52" s="512" t="s">
        <v>950</v>
      </c>
      <c r="D52" s="513"/>
      <c r="E52" s="513"/>
      <c r="F52" s="514"/>
      <c r="G52" s="514"/>
      <c r="H52" s="515"/>
      <c r="I52" s="514">
        <v>24</v>
      </c>
      <c r="J52" s="516"/>
      <c r="K52" s="516"/>
      <c r="L52" s="513"/>
      <c r="M52" s="514"/>
      <c r="N52" s="514"/>
      <c r="O52" s="514"/>
      <c r="P52" s="514"/>
      <c r="Q52" s="514"/>
      <c r="R52" s="514"/>
      <c r="S52" s="514"/>
      <c r="T52" s="514"/>
      <c r="U52" s="518"/>
      <c r="V52" s="518"/>
      <c r="W52" s="518"/>
      <c r="X52" s="518"/>
      <c r="Y52" s="518"/>
      <c r="Z52" s="518"/>
      <c r="AA52" s="518"/>
      <c r="AB52" s="518"/>
      <c r="AC52" s="518"/>
      <c r="AD52" s="518"/>
      <c r="AE52" s="518"/>
      <c r="AF52" s="518"/>
      <c r="AG52" s="518"/>
      <c r="AH52" s="518"/>
      <c r="AI52" s="518"/>
      <c r="AJ52" s="518"/>
      <c r="AK52" s="518"/>
      <c r="AL52" s="518"/>
      <c r="AM52" s="518"/>
      <c r="AN52" s="746">
        <f t="shared" si="6"/>
        <v>24</v>
      </c>
    </row>
    <row r="53" spans="1:40" s="519" customFormat="1" x14ac:dyDescent="0.25">
      <c r="A53" s="246"/>
      <c r="B53" s="845" t="s">
        <v>967</v>
      </c>
      <c r="C53" s="521" t="s">
        <v>988</v>
      </c>
      <c r="D53" s="513" t="s">
        <v>940</v>
      </c>
      <c r="E53" s="513" t="s">
        <v>987</v>
      </c>
      <c r="F53" s="514">
        <v>193</v>
      </c>
      <c r="G53" s="514"/>
      <c r="H53" s="514">
        <v>40</v>
      </c>
      <c r="I53" s="515">
        <v>40</v>
      </c>
      <c r="J53" s="514">
        <v>60</v>
      </c>
      <c r="K53" s="516">
        <v>53</v>
      </c>
      <c r="L53" s="513"/>
      <c r="M53" s="522"/>
      <c r="N53" s="522"/>
      <c r="O53" s="522"/>
      <c r="P53" s="522"/>
      <c r="Q53" s="522"/>
      <c r="R53" s="522"/>
      <c r="S53" s="522"/>
      <c r="T53" s="522"/>
      <c r="U53" s="518"/>
      <c r="V53" s="518"/>
      <c r="W53" s="518"/>
      <c r="X53" s="518"/>
      <c r="Y53" s="518"/>
      <c r="Z53" s="518"/>
      <c r="AA53" s="518"/>
      <c r="AB53" s="518"/>
      <c r="AC53" s="518"/>
      <c r="AD53" s="518"/>
      <c r="AE53" s="518"/>
      <c r="AF53" s="518"/>
      <c r="AG53" s="518"/>
      <c r="AH53" s="518"/>
      <c r="AI53" s="518"/>
      <c r="AJ53" s="518"/>
      <c r="AK53" s="518"/>
      <c r="AL53" s="518"/>
      <c r="AM53" s="518"/>
      <c r="AN53" s="746">
        <f t="shared" si="6"/>
        <v>193</v>
      </c>
    </row>
    <row r="54" spans="1:40" s="519" customFormat="1" x14ac:dyDescent="0.25">
      <c r="A54" s="246"/>
      <c r="B54" s="846"/>
      <c r="C54" s="512" t="s">
        <v>950</v>
      </c>
      <c r="D54" s="513"/>
      <c r="E54" s="513"/>
      <c r="F54" s="514"/>
      <c r="G54" s="514"/>
      <c r="H54" s="514"/>
      <c r="I54" s="515"/>
      <c r="J54" s="514"/>
      <c r="K54" s="514">
        <v>24</v>
      </c>
      <c r="L54" s="513"/>
      <c r="M54" s="522"/>
      <c r="N54" s="522"/>
      <c r="O54" s="522"/>
      <c r="P54" s="522"/>
      <c r="Q54" s="522"/>
      <c r="R54" s="522"/>
      <c r="S54" s="522"/>
      <c r="T54" s="522"/>
      <c r="U54" s="518"/>
      <c r="V54" s="518"/>
      <c r="W54" s="518"/>
      <c r="X54" s="518"/>
      <c r="Y54" s="518"/>
      <c r="Z54" s="518"/>
      <c r="AA54" s="518"/>
      <c r="AB54" s="518"/>
      <c r="AC54" s="518"/>
      <c r="AD54" s="518"/>
      <c r="AE54" s="518"/>
      <c r="AF54" s="518"/>
      <c r="AG54" s="518"/>
      <c r="AH54" s="518"/>
      <c r="AI54" s="518"/>
      <c r="AJ54" s="518"/>
      <c r="AK54" s="518"/>
      <c r="AL54" s="518"/>
      <c r="AM54" s="518"/>
      <c r="AN54" s="746">
        <f t="shared" si="6"/>
        <v>24</v>
      </c>
    </row>
    <row r="55" spans="1:40" s="526" customFormat="1" x14ac:dyDescent="0.25">
      <c r="A55" s="262"/>
      <c r="B55" s="523" t="s">
        <v>989</v>
      </c>
      <c r="C55" s="512" t="s">
        <v>10</v>
      </c>
      <c r="D55" s="524"/>
      <c r="E55" s="524"/>
      <c r="F55" s="525"/>
      <c r="G55" s="514"/>
      <c r="H55" s="515"/>
      <c r="I55" s="514"/>
      <c r="J55" s="516"/>
      <c r="K55" s="516"/>
      <c r="L55" s="513"/>
      <c r="M55" s="522"/>
      <c r="N55" s="522"/>
      <c r="O55" s="522"/>
      <c r="P55" s="522"/>
      <c r="Q55" s="522"/>
      <c r="R55" s="522"/>
      <c r="S55" s="522"/>
      <c r="T55" s="522"/>
      <c r="U55" s="518"/>
      <c r="V55" s="518"/>
      <c r="W55" s="518"/>
      <c r="X55" s="518"/>
      <c r="Y55" s="518"/>
      <c r="Z55" s="518"/>
      <c r="AA55" s="518"/>
      <c r="AB55" s="518"/>
      <c r="AC55" s="518"/>
      <c r="AD55" s="518"/>
      <c r="AE55" s="518"/>
      <c r="AF55" s="518"/>
      <c r="AG55" s="518"/>
      <c r="AH55" s="518"/>
      <c r="AI55" s="518"/>
      <c r="AJ55" s="518"/>
      <c r="AK55" s="518"/>
      <c r="AL55" s="518"/>
      <c r="AM55" s="518"/>
      <c r="AN55" s="746">
        <f t="shared" si="6"/>
        <v>0</v>
      </c>
    </row>
    <row r="56" spans="1:40" s="519" customFormat="1" x14ac:dyDescent="0.25">
      <c r="A56" s="246"/>
      <c r="B56" s="845" t="s">
        <v>990</v>
      </c>
      <c r="C56" s="521" t="s">
        <v>991</v>
      </c>
      <c r="D56" s="513" t="s">
        <v>940</v>
      </c>
      <c r="E56" s="513" t="s">
        <v>407</v>
      </c>
      <c r="F56" s="514">
        <v>482</v>
      </c>
      <c r="G56" s="514"/>
      <c r="H56" s="515">
        <v>20</v>
      </c>
      <c r="I56" s="514">
        <v>40</v>
      </c>
      <c r="J56" s="516">
        <v>45</v>
      </c>
      <c r="K56" s="516">
        <v>45</v>
      </c>
      <c r="L56" s="516">
        <v>45</v>
      </c>
      <c r="M56" s="516">
        <v>40</v>
      </c>
      <c r="N56" s="516">
        <v>30</v>
      </c>
      <c r="O56" s="516">
        <v>35</v>
      </c>
      <c r="P56" s="516">
        <v>35</v>
      </c>
      <c r="Q56" s="516">
        <v>35</v>
      </c>
      <c r="R56" s="516">
        <v>45</v>
      </c>
      <c r="S56" s="516">
        <v>45</v>
      </c>
      <c r="T56" s="516">
        <v>22</v>
      </c>
      <c r="U56" s="518"/>
      <c r="V56" s="518"/>
      <c r="W56" s="518"/>
      <c r="X56" s="518"/>
      <c r="Y56" s="518"/>
      <c r="Z56" s="518"/>
      <c r="AA56" s="518"/>
      <c r="AB56" s="518"/>
      <c r="AC56" s="518"/>
      <c r="AD56" s="518"/>
      <c r="AE56" s="518"/>
      <c r="AF56" s="518"/>
      <c r="AG56" s="518"/>
      <c r="AH56" s="518"/>
      <c r="AI56" s="518"/>
      <c r="AJ56" s="518"/>
      <c r="AK56" s="518"/>
      <c r="AL56" s="518"/>
      <c r="AM56" s="518"/>
      <c r="AN56" s="746">
        <f t="shared" si="6"/>
        <v>482</v>
      </c>
    </row>
    <row r="57" spans="1:40" s="519" customFormat="1" x14ac:dyDescent="0.25">
      <c r="A57" s="246"/>
      <c r="B57" s="847"/>
      <c r="C57" s="512" t="s">
        <v>950</v>
      </c>
      <c r="D57" s="513"/>
      <c r="E57" s="513"/>
      <c r="F57" s="514"/>
      <c r="G57" s="515">
        <f>+COUNTIF(Foundation!$B$8:$B$531,'L2 Schedule'!G8)</f>
        <v>1</v>
      </c>
      <c r="H57" s="515">
        <f>+COUNTIF(Foundation!$B$8:$B$531,'L2 Schedule'!H8)</f>
        <v>22</v>
      </c>
      <c r="I57" s="515">
        <f>+COUNTIF(Foundation!$B$8:$B$531,'L2 Schedule'!I8)</f>
        <v>46</v>
      </c>
      <c r="J57" s="515">
        <f>+COUNTIF(Foundation!$B$8:$B$531,'L2 Schedule'!J8)</f>
        <v>36</v>
      </c>
      <c r="K57" s="515">
        <f>+COUNTIF(Foundation!$B$8:$B$531,'L2 Schedule'!K8)</f>
        <v>16</v>
      </c>
      <c r="L57" s="515">
        <f>+COUNTIF(Foundation!$B$8:$B$531,'L2 Schedule'!L8)</f>
        <v>7</v>
      </c>
      <c r="M57" s="515">
        <f>+COUNTIF(Foundation!$B$8:$B$531,'L2 Schedule'!M8)</f>
        <v>15</v>
      </c>
      <c r="N57" s="515">
        <f>+COUNTIF(Foundation!$B$8:$B$531,'L2 Schedule'!N8)</f>
        <v>9</v>
      </c>
      <c r="O57" s="515">
        <f>+COUNTIF(Foundation!$B$8:$B$531,'L2 Schedule'!O8)</f>
        <v>14</v>
      </c>
      <c r="P57" s="515">
        <f>+COUNTIF(Foundation!$B$8:$B$531,'L2 Schedule'!P8)</f>
        <v>26</v>
      </c>
      <c r="Q57" s="515">
        <f>+COUNTIF(Foundation!$B$8:$B$531,'L2 Schedule'!Q8)</f>
        <v>38</v>
      </c>
      <c r="R57" s="515">
        <f>+COUNTIF(Foundation!$B$8:$B$531,'L2 Schedule'!R8)</f>
        <v>26</v>
      </c>
      <c r="S57" s="515">
        <f>+COUNTIF(Foundation!$B$8:$B$531,'L2 Schedule'!S8)</f>
        <v>9</v>
      </c>
      <c r="T57" s="515">
        <f>+COUNTIF(Foundation!$B$8:$B$531,'L2 Schedule'!T8)</f>
        <v>31</v>
      </c>
      <c r="U57" s="515">
        <f>+COUNTIF(Foundation!$B$8:$B$531,'L2 Schedule'!U8)</f>
        <v>47</v>
      </c>
      <c r="V57" s="515">
        <f>+COUNTIF(Foundation!$B$8:$B$531,'L2 Schedule'!V8)</f>
        <v>27</v>
      </c>
      <c r="W57" s="515">
        <f>+COUNTIF(Foundation!$B$8:$B$531,'L2 Schedule'!W8)</f>
        <v>17</v>
      </c>
      <c r="X57" s="515">
        <f>+COUNTIF(Foundation!$B$8:$B$531,'L2 Schedule'!X8)</f>
        <v>13</v>
      </c>
      <c r="Y57" s="515">
        <f>+COUNTIF(Foundation!$B$8:$B$531,'L2 Schedule'!Y8)</f>
        <v>13</v>
      </c>
      <c r="Z57" s="515">
        <f>+COUNTIF(Foundation!$B$8:$B$531,'L2 Schedule'!Z8)</f>
        <v>19</v>
      </c>
      <c r="AA57" s="515">
        <f>+COUNTIF(Foundation!$B$8:$B$531,'L2 Schedule'!AA8)</f>
        <v>22</v>
      </c>
      <c r="AB57" s="515">
        <f>+COUNTIF(Foundation!$B$8:$B$531,'L2 Schedule'!AB8)</f>
        <v>8</v>
      </c>
      <c r="AC57" s="515">
        <f>+COUNTIF(Foundation!$B$8:$B$531,'L2 Schedule'!AC8)</f>
        <v>9</v>
      </c>
      <c r="AD57" s="515">
        <f>+COUNTIF(Foundation!$B$8:$B$531,'L2 Schedule'!AD8)</f>
        <v>7</v>
      </c>
      <c r="AE57" s="515">
        <f>+COUNTIF(Foundation!$B$8:$B$531,'L2 Schedule'!AE8)</f>
        <v>3</v>
      </c>
      <c r="AF57" s="515">
        <f>+COUNTIF(Foundation!$B$8:$B$531,'L2 Schedule'!AF8)</f>
        <v>0</v>
      </c>
      <c r="AG57" s="515">
        <f>+COUNTIF(Foundation!$B$8:$B$531,'L2 Schedule'!AG8)</f>
        <v>0</v>
      </c>
      <c r="AH57" s="515">
        <f>+COUNTIF(Foundation!$B$8:$B$531,'L2 Schedule'!AH8)</f>
        <v>3</v>
      </c>
      <c r="AI57" s="515"/>
      <c r="AJ57" s="515"/>
      <c r="AK57" s="515"/>
      <c r="AL57" s="515"/>
      <c r="AM57" s="515"/>
      <c r="AN57" s="746">
        <f t="shared" si="6"/>
        <v>484</v>
      </c>
    </row>
    <row r="58" spans="1:40" s="519" customFormat="1" x14ac:dyDescent="0.25">
      <c r="A58" s="246"/>
      <c r="B58" s="846"/>
      <c r="C58" s="512" t="s">
        <v>1156</v>
      </c>
      <c r="D58" s="513"/>
      <c r="E58" s="513"/>
      <c r="F58" s="514"/>
      <c r="G58" s="515">
        <f>G57</f>
        <v>1</v>
      </c>
      <c r="H58" s="515">
        <f>G58+H57</f>
        <v>23</v>
      </c>
      <c r="I58" s="515">
        <f t="shared" ref="I58:AD58" si="7">H58+I57</f>
        <v>69</v>
      </c>
      <c r="J58" s="515">
        <f t="shared" si="7"/>
        <v>105</v>
      </c>
      <c r="K58" s="515">
        <f t="shared" si="7"/>
        <v>121</v>
      </c>
      <c r="L58" s="515">
        <f t="shared" si="7"/>
        <v>128</v>
      </c>
      <c r="M58" s="515">
        <f t="shared" si="7"/>
        <v>143</v>
      </c>
      <c r="N58" s="515">
        <f t="shared" si="7"/>
        <v>152</v>
      </c>
      <c r="O58" s="515">
        <f t="shared" si="7"/>
        <v>166</v>
      </c>
      <c r="P58" s="515">
        <f t="shared" si="7"/>
        <v>192</v>
      </c>
      <c r="Q58" s="515">
        <f t="shared" si="7"/>
        <v>230</v>
      </c>
      <c r="R58" s="515">
        <f t="shared" si="7"/>
        <v>256</v>
      </c>
      <c r="S58" s="515">
        <f t="shared" si="7"/>
        <v>265</v>
      </c>
      <c r="T58" s="515">
        <f t="shared" si="7"/>
        <v>296</v>
      </c>
      <c r="U58" s="515">
        <f t="shared" si="7"/>
        <v>343</v>
      </c>
      <c r="V58" s="515">
        <f t="shared" si="7"/>
        <v>370</v>
      </c>
      <c r="W58" s="515">
        <f t="shared" si="7"/>
        <v>387</v>
      </c>
      <c r="X58" s="515">
        <f t="shared" si="7"/>
        <v>400</v>
      </c>
      <c r="Y58" s="515">
        <f t="shared" si="7"/>
        <v>413</v>
      </c>
      <c r="Z58" s="515">
        <f t="shared" si="7"/>
        <v>432</v>
      </c>
      <c r="AA58" s="515">
        <f t="shared" si="7"/>
        <v>454</v>
      </c>
      <c r="AB58" s="515">
        <f t="shared" si="7"/>
        <v>462</v>
      </c>
      <c r="AC58" s="515">
        <f t="shared" si="7"/>
        <v>471</v>
      </c>
      <c r="AD58" s="515">
        <f t="shared" si="7"/>
        <v>478</v>
      </c>
      <c r="AE58" s="515">
        <f t="shared" ref="AE58" si="8">AD58+AE57</f>
        <v>481</v>
      </c>
      <c r="AF58" s="515">
        <f t="shared" ref="AF58" si="9">AE58+AF57</f>
        <v>481</v>
      </c>
      <c r="AG58" s="515">
        <f t="shared" ref="AG58" si="10">AF58+AG57</f>
        <v>481</v>
      </c>
      <c r="AH58" s="515">
        <f t="shared" ref="AH58" si="11">AG58+AH57</f>
        <v>484</v>
      </c>
      <c r="AI58" s="515"/>
      <c r="AJ58" s="515"/>
      <c r="AK58" s="515"/>
      <c r="AL58" s="515"/>
      <c r="AM58" s="515"/>
      <c r="AN58" s="746">
        <f t="shared" si="6"/>
        <v>8284</v>
      </c>
    </row>
    <row r="59" spans="1:40" s="519" customFormat="1" x14ac:dyDescent="0.25">
      <c r="A59" s="246"/>
      <c r="B59" s="845" t="s">
        <v>1265</v>
      </c>
      <c r="C59" s="512" t="s">
        <v>121</v>
      </c>
      <c r="D59" s="513"/>
      <c r="E59" s="513"/>
      <c r="F59" s="514"/>
      <c r="G59" s="515">
        <f>+COUNTIF(Earthing!$I$7:$I$603,'L2 Schedule'!G8)</f>
        <v>0</v>
      </c>
      <c r="H59" s="515">
        <f>+COUNTIF(Earthing!$I$7:$I$603,'L2 Schedule'!H8)</f>
        <v>5</v>
      </c>
      <c r="I59" s="515">
        <f>+COUNTIF(Earthing!$I$7:$I$603,'L2 Schedule'!I8)</f>
        <v>35</v>
      </c>
      <c r="J59" s="515">
        <f>+COUNTIF(Earthing!$I$7:$I$603,'L2 Schedule'!J8)</f>
        <v>58</v>
      </c>
      <c r="K59" s="515">
        <f>+COUNTIF(Earthing!$I$7:$I$603,'L2 Schedule'!K8)</f>
        <v>20</v>
      </c>
      <c r="L59" s="515">
        <f>+COUNTIF(Earthing!$I$7:$I$603,'L2 Schedule'!L8)</f>
        <v>10</v>
      </c>
      <c r="M59" s="515">
        <f>+COUNTIF(Earthing!$I$7:$I$603,'L2 Schedule'!M8)</f>
        <v>11</v>
      </c>
      <c r="N59" s="515">
        <f>+COUNTIF(Earthing!$I$7:$I$603,'L2 Schedule'!N8)</f>
        <v>9</v>
      </c>
      <c r="O59" s="515">
        <f>+COUNTIF(Earthing!$I$7:$I$603,'L2 Schedule'!O8)</f>
        <v>10</v>
      </c>
      <c r="P59" s="515">
        <f>+COUNTIF(Earthing!$I$7:$I$603,'L2 Schedule'!P8)</f>
        <v>19</v>
      </c>
      <c r="Q59" s="515">
        <f>+COUNTIF(Earthing!$I$7:$I$603,'L2 Schedule'!Q8)</f>
        <v>45</v>
      </c>
      <c r="R59" s="515">
        <f>+COUNTIF(Earthing!$I$7:$I$603,'L2 Schedule'!R8)</f>
        <v>20</v>
      </c>
      <c r="S59" s="515">
        <f>+COUNTIF(Earthing!$I$7:$I$603,'L2 Schedule'!S8)</f>
        <v>2</v>
      </c>
      <c r="T59" s="515">
        <f>+COUNTIF(Earthing!$I$7:$I$603,'L2 Schedule'!T8)</f>
        <v>25</v>
      </c>
      <c r="U59" s="515">
        <f>+COUNTIF(Earthing!$I$7:$I$603,'L2 Schedule'!U8)</f>
        <v>37</v>
      </c>
      <c r="V59" s="515">
        <f>+COUNTIF(Earthing!$I$7:$I$603,'L2 Schedule'!V8)</f>
        <v>53</v>
      </c>
      <c r="W59" s="515">
        <f>+COUNTIF(Earthing!$I$7:$I$603,'L2 Schedule'!W8)</f>
        <v>22</v>
      </c>
      <c r="X59" s="515">
        <f>+COUNTIF(Earthing!$I$7:$I$603,'L2 Schedule'!X8)</f>
        <v>12</v>
      </c>
      <c r="Y59" s="515">
        <f>+COUNTIF(Earthing!$I$7:$I$603,'L2 Schedule'!Y8)</f>
        <v>15</v>
      </c>
      <c r="Z59" s="515">
        <f>+COUNTIF(Earthing!$I$7:$I$603,'L2 Schedule'!Z8)</f>
        <v>17</v>
      </c>
      <c r="AA59" s="515">
        <f>+COUNTIF(Earthing!$I$7:$I$603,'L2 Schedule'!AA8)</f>
        <v>19</v>
      </c>
      <c r="AB59" s="515">
        <f>+COUNTIF(Earthing!$I$7:$I$603,'L2 Schedule'!AB8)</f>
        <v>5</v>
      </c>
      <c r="AC59" s="515">
        <f>+COUNTIF(Earthing!$I$7:$I$603,'L2 Schedule'!AC8)</f>
        <v>2</v>
      </c>
      <c r="AD59" s="515">
        <f>+COUNTIF(Earthing!$I$7:$I$603,'L2 Schedule'!AD8)</f>
        <v>0</v>
      </c>
      <c r="AE59" s="515">
        <f>+COUNTIF(Earthing!$I$7:$I$603,'L2 Schedule'!AE8)</f>
        <v>0</v>
      </c>
      <c r="AF59" s="515">
        <f>+COUNTIF(Earthing!$I$7:$I$603,'L2 Schedule'!AF8)</f>
        <v>0</v>
      </c>
      <c r="AG59" s="515">
        <f>+COUNTIF(Earthing!$I$7:$I$603,'L2 Schedule'!AG8)</f>
        <v>0</v>
      </c>
      <c r="AH59" s="515">
        <f>+COUNTIF(Earthing!$I$7:$I$603,'L2 Schedule'!AH8)</f>
        <v>0</v>
      </c>
      <c r="AI59" s="515"/>
      <c r="AJ59" s="515"/>
      <c r="AK59" s="515"/>
      <c r="AL59" s="515"/>
      <c r="AM59" s="515"/>
      <c r="AN59" s="746">
        <f t="shared" si="6"/>
        <v>451</v>
      </c>
    </row>
    <row r="60" spans="1:40" s="519" customFormat="1" x14ac:dyDescent="0.25">
      <c r="A60" s="246"/>
      <c r="B60" s="846"/>
      <c r="C60" s="512" t="s">
        <v>1156</v>
      </c>
      <c r="D60" s="513"/>
      <c r="E60" s="513"/>
      <c r="F60" s="514"/>
      <c r="G60" s="515">
        <f>G59</f>
        <v>0</v>
      </c>
      <c r="H60" s="515">
        <f>H59</f>
        <v>5</v>
      </c>
      <c r="I60" s="515">
        <f>H60+I59</f>
        <v>40</v>
      </c>
      <c r="J60" s="515">
        <f t="shared" ref="J60:AD60" si="12">I60+J59</f>
        <v>98</v>
      </c>
      <c r="K60" s="515">
        <f t="shared" si="12"/>
        <v>118</v>
      </c>
      <c r="L60" s="515">
        <f t="shared" si="12"/>
        <v>128</v>
      </c>
      <c r="M60" s="515">
        <f t="shared" si="12"/>
        <v>139</v>
      </c>
      <c r="N60" s="515">
        <f t="shared" si="12"/>
        <v>148</v>
      </c>
      <c r="O60" s="515">
        <f t="shared" si="12"/>
        <v>158</v>
      </c>
      <c r="P60" s="515">
        <f t="shared" si="12"/>
        <v>177</v>
      </c>
      <c r="Q60" s="515">
        <f t="shared" si="12"/>
        <v>222</v>
      </c>
      <c r="R60" s="515">
        <f t="shared" si="12"/>
        <v>242</v>
      </c>
      <c r="S60" s="515">
        <f t="shared" si="12"/>
        <v>244</v>
      </c>
      <c r="T60" s="515">
        <f t="shared" si="12"/>
        <v>269</v>
      </c>
      <c r="U60" s="515">
        <f t="shared" si="12"/>
        <v>306</v>
      </c>
      <c r="V60" s="515">
        <f t="shared" si="12"/>
        <v>359</v>
      </c>
      <c r="W60" s="515">
        <f t="shared" si="12"/>
        <v>381</v>
      </c>
      <c r="X60" s="515">
        <f t="shared" si="12"/>
        <v>393</v>
      </c>
      <c r="Y60" s="515">
        <f t="shared" si="12"/>
        <v>408</v>
      </c>
      <c r="Z60" s="515">
        <f t="shared" si="12"/>
        <v>425</v>
      </c>
      <c r="AA60" s="515">
        <f t="shared" si="12"/>
        <v>444</v>
      </c>
      <c r="AB60" s="515">
        <f t="shared" si="12"/>
        <v>449</v>
      </c>
      <c r="AC60" s="515">
        <f t="shared" si="12"/>
        <v>451</v>
      </c>
      <c r="AD60" s="515">
        <f t="shared" si="12"/>
        <v>451</v>
      </c>
      <c r="AE60" s="515">
        <f t="shared" ref="AE60" si="13">AD60+AE59</f>
        <v>451</v>
      </c>
      <c r="AF60" s="515">
        <f t="shared" ref="AF60" si="14">AE60+AF59</f>
        <v>451</v>
      </c>
      <c r="AG60" s="515">
        <f t="shared" ref="AG60" si="15">AF60+AG59</f>
        <v>451</v>
      </c>
      <c r="AH60" s="515">
        <f t="shared" ref="AH60" si="16">AG60+AH59</f>
        <v>451</v>
      </c>
      <c r="AI60" s="515"/>
      <c r="AJ60" s="515"/>
      <c r="AK60" s="515"/>
      <c r="AL60" s="515"/>
      <c r="AM60" s="515"/>
      <c r="AN60" s="746">
        <f t="shared" si="6"/>
        <v>7859</v>
      </c>
    </row>
    <row r="61" spans="1:40" s="526" customFormat="1" x14ac:dyDescent="0.25">
      <c r="A61" s="262"/>
      <c r="B61" s="523" t="s">
        <v>992</v>
      </c>
      <c r="C61" s="512" t="s">
        <v>126</v>
      </c>
      <c r="D61" s="524"/>
      <c r="E61" s="524"/>
      <c r="F61" s="525"/>
      <c r="G61" s="514"/>
      <c r="H61" s="514"/>
      <c r="I61" s="514"/>
      <c r="J61" s="514"/>
      <c r="K61" s="514"/>
      <c r="L61" s="514"/>
      <c r="M61" s="514"/>
      <c r="N61" s="514"/>
      <c r="O61" s="514"/>
      <c r="P61" s="514"/>
      <c r="Q61" s="514"/>
      <c r="R61" s="514"/>
      <c r="S61" s="514"/>
      <c r="T61" s="522"/>
      <c r="U61" s="518"/>
      <c r="V61" s="518"/>
      <c r="W61" s="518"/>
      <c r="X61" s="518"/>
      <c r="Y61" s="518"/>
      <c r="Z61" s="518"/>
      <c r="AA61" s="518"/>
      <c r="AB61" s="518"/>
      <c r="AC61" s="518"/>
      <c r="AD61" s="518"/>
      <c r="AE61" s="518"/>
      <c r="AF61" s="518"/>
      <c r="AG61" s="518"/>
      <c r="AH61" s="518"/>
      <c r="AI61" s="518"/>
      <c r="AJ61" s="518"/>
      <c r="AK61" s="518"/>
      <c r="AL61" s="518"/>
      <c r="AM61" s="518"/>
      <c r="AN61" s="746">
        <f t="shared" si="6"/>
        <v>0</v>
      </c>
    </row>
    <row r="62" spans="1:40" s="519" customFormat="1" ht="25.5" x14ac:dyDescent="0.25">
      <c r="A62" s="246"/>
      <c r="B62" s="843" t="s">
        <v>993</v>
      </c>
      <c r="C62" s="521" t="s">
        <v>994</v>
      </c>
      <c r="D62" s="513" t="s">
        <v>940</v>
      </c>
      <c r="E62" s="513" t="s">
        <v>407</v>
      </c>
      <c r="F62" s="514">
        <v>482</v>
      </c>
      <c r="G62" s="514"/>
      <c r="H62" s="515"/>
      <c r="I62" s="514"/>
      <c r="J62" s="515">
        <v>25</v>
      </c>
      <c r="K62" s="514">
        <v>30</v>
      </c>
      <c r="L62" s="516">
        <v>45</v>
      </c>
      <c r="M62" s="516">
        <v>45</v>
      </c>
      <c r="N62" s="516">
        <v>35</v>
      </c>
      <c r="O62" s="516">
        <v>35</v>
      </c>
      <c r="P62" s="516">
        <v>35</v>
      </c>
      <c r="Q62" s="516">
        <v>35</v>
      </c>
      <c r="R62" s="516">
        <v>50</v>
      </c>
      <c r="S62" s="516">
        <v>50</v>
      </c>
      <c r="T62" s="516">
        <v>50</v>
      </c>
      <c r="U62" s="516">
        <v>47</v>
      </c>
      <c r="V62" s="516"/>
      <c r="W62" s="518"/>
      <c r="X62" s="518"/>
      <c r="Y62" s="518"/>
      <c r="Z62" s="518"/>
      <c r="AA62" s="518"/>
      <c r="AB62" s="518"/>
      <c r="AC62" s="518"/>
      <c r="AD62" s="518"/>
      <c r="AE62" s="518"/>
      <c r="AF62" s="518"/>
      <c r="AG62" s="518"/>
      <c r="AH62" s="518"/>
      <c r="AI62" s="518"/>
      <c r="AJ62" s="518"/>
      <c r="AK62" s="518"/>
      <c r="AL62" s="518"/>
      <c r="AM62" s="518"/>
      <c r="AN62" s="746">
        <f t="shared" si="6"/>
        <v>482</v>
      </c>
    </row>
    <row r="63" spans="1:40" s="519" customFormat="1" x14ac:dyDescent="0.25">
      <c r="A63" s="246"/>
      <c r="B63" s="848"/>
      <c r="C63" s="512" t="s">
        <v>950</v>
      </c>
      <c r="D63" s="513"/>
      <c r="E63" s="513"/>
      <c r="F63" s="514"/>
      <c r="G63" s="514"/>
      <c r="H63" s="515"/>
      <c r="I63" s="514"/>
      <c r="J63" s="515">
        <f>+COUNTIF('Erection Compiled'!$B$7:$B$653,'L2 Schedule'!J8)</f>
        <v>22</v>
      </c>
      <c r="K63" s="515">
        <f>+COUNTIF('Erection Compiled'!$B$7:$B$653,'L2 Schedule'!K8)</f>
        <v>20</v>
      </c>
      <c r="L63" s="515">
        <f>+COUNTIF('Erection Compiled'!$B$7:$B$653,'L2 Schedule'!L8)</f>
        <v>19</v>
      </c>
      <c r="M63" s="515">
        <f>+COUNTIF('Erection Compiled'!$B$7:$B$653,'L2 Schedule'!M8)</f>
        <v>14</v>
      </c>
      <c r="N63" s="515">
        <f>+COUNTIF('Erection Compiled'!$B$7:$B$653,'L2 Schedule'!N8)</f>
        <v>3</v>
      </c>
      <c r="O63" s="515">
        <f>+COUNTIF('Erection Compiled'!$B$7:$B$653,'L2 Schedule'!O8)</f>
        <v>2</v>
      </c>
      <c r="P63" s="515">
        <f>+COUNTIF('Erection Compiled'!$B$7:$B$653,'L2 Schedule'!P8)</f>
        <v>3</v>
      </c>
      <c r="Q63" s="515">
        <f>+COUNTIF('Erection Compiled'!$B$7:$B$653,'L2 Schedule'!Q8)</f>
        <v>16</v>
      </c>
      <c r="R63" s="515">
        <f>+COUNTIF('Erection Compiled'!$B$7:$B$653,'L2 Schedule'!R8)</f>
        <v>30</v>
      </c>
      <c r="S63" s="515">
        <f>+COUNTIF('Erection Compiled'!$B$7:$B$653,'L2 Schedule'!S8)</f>
        <v>30</v>
      </c>
      <c r="T63" s="515">
        <f>+COUNTIF('Erection Compiled'!$B$7:$B$653,'L2 Schedule'!T8)</f>
        <v>11</v>
      </c>
      <c r="U63" s="515">
        <f>+COUNTIF('Erection Compiled'!$B$7:$B$653,'L2 Schedule'!U8)</f>
        <v>16</v>
      </c>
      <c r="V63" s="515">
        <f>+COUNTIF('Erection Compiled'!$B$7:$B$653,'L2 Schedule'!V8)</f>
        <v>14</v>
      </c>
      <c r="W63" s="515">
        <f>+COUNTIF('Erection Compiled'!$B$7:$B$653,'L2 Schedule'!W8)</f>
        <v>13</v>
      </c>
      <c r="X63" s="515">
        <f>+COUNTIF('Erection Compiled'!$B$7:$B$653,'L2 Schedule'!X8)</f>
        <v>7</v>
      </c>
      <c r="Y63" s="515">
        <f>+COUNTIF('Erection Compiled'!$B$7:$B$653,'L2 Schedule'!Y8)</f>
        <v>2</v>
      </c>
      <c r="Z63" s="515">
        <f>+COUNTIF('Erection Compiled'!$B$7:$B$653,'L2 Schedule'!Z8)</f>
        <v>6</v>
      </c>
      <c r="AA63" s="515">
        <f>+COUNTIF('Erection Compiled'!$B$7:$B$653,'L2 Schedule'!AA8)</f>
        <v>23</v>
      </c>
      <c r="AB63" s="515">
        <f>+COUNTIF('Erection Compiled'!$B$7:$B$653,'L2 Schedule'!AB8)</f>
        <v>52</v>
      </c>
      <c r="AC63" s="515">
        <f>+COUNTIF('Erection Compiled'!$B$7:$B$653,'L2 Schedule'!AC8)</f>
        <v>47</v>
      </c>
      <c r="AD63" s="515">
        <f>+COUNTIF('Erection Compiled'!$B$7:$B$653,'L2 Schedule'!AD8)</f>
        <v>25</v>
      </c>
      <c r="AE63" s="515">
        <f>+COUNTIF('Erection Compiled'!$B$7:$B$653,'L2 Schedule'!AE8)</f>
        <v>33</v>
      </c>
      <c r="AF63" s="515">
        <f>+COUNTIF('Erection Compiled'!$B$7:$B$653,'L2 Schedule'!AF8)</f>
        <v>40</v>
      </c>
      <c r="AG63" s="515">
        <f>+COUNTIF('Erection Compiled'!$B$7:$B$653,'L2 Schedule'!AG8)</f>
        <v>11</v>
      </c>
      <c r="AH63" s="515">
        <f>+COUNTIF('Erection Compiled'!$B$7:$B$653,'L2 Schedule'!AH8)</f>
        <v>2</v>
      </c>
      <c r="AI63" s="515"/>
      <c r="AJ63" s="515"/>
      <c r="AK63" s="515"/>
      <c r="AL63" s="515"/>
      <c r="AM63" s="515"/>
      <c r="AN63" s="746">
        <f t="shared" si="6"/>
        <v>461</v>
      </c>
    </row>
    <row r="64" spans="1:40" s="519" customFormat="1" x14ac:dyDescent="0.25">
      <c r="A64" s="246"/>
      <c r="B64" s="848"/>
      <c r="C64" s="512" t="s">
        <v>1591</v>
      </c>
      <c r="D64" s="513" t="s">
        <v>1592</v>
      </c>
      <c r="E64" s="513"/>
      <c r="F64" s="514"/>
      <c r="G64" s="514"/>
      <c r="H64" s="515"/>
      <c r="I64" s="514"/>
      <c r="J64" s="520">
        <f>+SUMIF('Erection Compiled'!$B$7:$B$356,'L2 Schedule'!J8,'Erection Compiled'!$J$7:$J$356)</f>
        <v>879.62470900000005</v>
      </c>
      <c r="K64" s="520">
        <f>+SUMIF('Erection Compiled'!$B$7:$B$356,'L2 Schedule'!K8,'Erection Compiled'!$J$7:$J$356)</f>
        <v>782.87973599999998</v>
      </c>
      <c r="L64" s="520">
        <f>+SUMIF('Erection Compiled'!$B$7:$B$356,'L2 Schedule'!L8,'Erection Compiled'!$J$7:$J$356)</f>
        <v>787.24064600000008</v>
      </c>
      <c r="M64" s="520">
        <f>+SUMIF('Erection Compiled'!$B$7:$B$356,'L2 Schedule'!M8,'Erection Compiled'!$J$7:$J$356)</f>
        <v>641.68642900000009</v>
      </c>
      <c r="N64" s="520">
        <f>+SUMIF('Erection Compiled'!$B$7:$B$356,'L2 Schedule'!N8,'Erection Compiled'!$J$7:$J$356)</f>
        <v>112.51311600000001</v>
      </c>
      <c r="O64" s="520">
        <f>+SUMIF('Erection Compiled'!$B$7:$B$356,'L2 Schedule'!O8,'Erection Compiled'!$J$7:$J$356)</f>
        <v>77.695211999999984</v>
      </c>
      <c r="P64" s="520">
        <f>+SUMIF('Erection Compiled'!$B$7:$B$356,'L2 Schedule'!P8,'Erection Compiled'!$J$7:$J$356)</f>
        <v>116.54281799999998</v>
      </c>
      <c r="Q64" s="520">
        <f>+SUMIF('Erection Compiled'!$B$7:$B$356,'L2 Schedule'!Q8,'Erection Compiled'!$J$7:$J$356)</f>
        <v>652.80436899999995</v>
      </c>
      <c r="R64" s="520">
        <f>+SUMIF('Erection Compiled'!$B$7:$B$356,'L2 Schedule'!R8,'Erection Compiled'!$J$7:$J$356)</f>
        <v>1312.5265540000003</v>
      </c>
      <c r="S64" s="520">
        <f>+SUMIF('Erection Compiled'!$B$7:$B$356,'L2 Schedule'!S8,'Erection Compiled'!$J$7:$J$356)</f>
        <v>1233.2502780000004</v>
      </c>
      <c r="T64" s="520">
        <f>+SUMIF('Erection Compiled'!$B$7:$B$356,'L2 Schedule'!T8,'Erection Compiled'!$J$7:$J$356)</f>
        <v>484.47926599999994</v>
      </c>
      <c r="U64" s="520">
        <f>+SUMIF('Erection Compiled'!$B$7:$B$356,'L2 Schedule'!U8,'Erection Compiled'!$J$7:$J$356)</f>
        <v>739.536699</v>
      </c>
      <c r="V64" s="520">
        <f>+SUMIF('Erection Compiled'!$B$7:$B$356,'L2 Schedule'!V8,'Erection Compiled'!$J$7:$J$356)</f>
        <v>654.40115500000002</v>
      </c>
      <c r="W64" s="520">
        <f>+SUMIF('Erection Compiled'!$B$7:$B$356,'L2 Schedule'!W8,'Erection Compiled'!$J$7:$J$356)</f>
        <v>567.09350600000005</v>
      </c>
      <c r="X64" s="520">
        <f>+SUMIF('Erection Compiled'!$B$7:$B$356,'L2 Schedule'!X8,'Erection Compiled'!$J$7:$J$356)</f>
        <v>358.062522</v>
      </c>
      <c r="Y64" s="520">
        <f>+SUMIF('Erection Compiled'!$B$7:$B$356,'L2 Schedule'!Y8,'Erection Compiled'!$J$7:$J$356)</f>
        <v>120.34223299999999</v>
      </c>
      <c r="Z64" s="520">
        <f>+SUMIF('Erection Compiled'!$B$7:$B$356,'L2 Schedule'!Z8,'Erection Compiled'!$J$7:$J$356)</f>
        <v>231.74240199999994</v>
      </c>
      <c r="AA64" s="520">
        <f>+SUMIF('Erection Compiled'!$B$7:$B$356,'L2 Schedule'!AA8,'Erection Compiled'!$J$7:$J$356)</f>
        <v>981.96415100000002</v>
      </c>
      <c r="AB64" s="520">
        <f>+SUMIF('Erection Compiled'!$B$7:$B$356,'L2 Schedule'!AB8,'Erection Compiled'!$J$7:$J$356)</f>
        <v>2382.2999060000002</v>
      </c>
      <c r="AC64" s="520">
        <f>+SUMIF('Erection Compiled'!$B$7:$B$532,'L2 Schedule'!AC8,'Erection Compiled'!$J$7:$J$532)</f>
        <v>2430.3868390000002</v>
      </c>
      <c r="AD64" s="520">
        <f>+SUMIF('Erection Compiled'!$B$7:$B$532,'L2 Schedule'!AD8,'Erection Compiled'!$J$7:$J$532)</f>
        <v>1309.1608760000004</v>
      </c>
      <c r="AE64" s="520">
        <f>+SUMIF('Erection Compiled'!$B$7:$B$532,'L2 Schedule'!AE8,'Erection Compiled'!$J$7:$J$532)</f>
        <v>1672.8394840000001</v>
      </c>
      <c r="AF64" s="520">
        <f>+SUMIF('Erection Compiled'!$B$7:$B$532,'L2 Schedule'!AF8,'Erection Compiled'!$J$7:$J$532)</f>
        <v>1833.4810000000004</v>
      </c>
      <c r="AG64" s="520">
        <f>+SUMIF('Erection Compiled'!$B$7:$B$532,'L2 Schedule'!AG8,'Erection Compiled'!$J$7:$J$532)</f>
        <v>489.26818099999997</v>
      </c>
      <c r="AH64" s="520">
        <f>+SUMIF('Erection Compiled'!$B$7:$B$532,'L2 Schedule'!AH8,'Erection Compiled'!$J$7:$J$532)</f>
        <v>82.917400000000015</v>
      </c>
      <c r="AI64" s="679"/>
      <c r="AJ64" s="679"/>
      <c r="AK64" s="679"/>
      <c r="AL64" s="679"/>
      <c r="AM64" s="679"/>
      <c r="AN64" s="746">
        <f>+SUM(G64:AH64)</f>
        <v>20934.739486999999</v>
      </c>
    </row>
    <row r="65" spans="1:40" s="519" customFormat="1" x14ac:dyDescent="0.25">
      <c r="A65" s="246"/>
      <c r="B65" s="844"/>
      <c r="C65" s="512" t="s">
        <v>1156</v>
      </c>
      <c r="D65" s="513"/>
      <c r="E65" s="513"/>
      <c r="F65" s="514"/>
      <c r="G65" s="514"/>
      <c r="H65" s="515"/>
      <c r="I65" s="514"/>
      <c r="J65" s="515">
        <f>J63</f>
        <v>22</v>
      </c>
      <c r="K65" s="515">
        <f t="shared" ref="K65:AH65" si="17">K63+J65</f>
        <v>42</v>
      </c>
      <c r="L65" s="515">
        <f t="shared" si="17"/>
        <v>61</v>
      </c>
      <c r="M65" s="515">
        <f t="shared" si="17"/>
        <v>75</v>
      </c>
      <c r="N65" s="515">
        <f t="shared" si="17"/>
        <v>78</v>
      </c>
      <c r="O65" s="515">
        <f t="shared" si="17"/>
        <v>80</v>
      </c>
      <c r="P65" s="515">
        <f t="shared" si="17"/>
        <v>83</v>
      </c>
      <c r="Q65" s="515">
        <f t="shared" si="17"/>
        <v>99</v>
      </c>
      <c r="R65" s="515">
        <f t="shared" si="17"/>
        <v>129</v>
      </c>
      <c r="S65" s="515">
        <f t="shared" si="17"/>
        <v>159</v>
      </c>
      <c r="T65" s="515">
        <f t="shared" si="17"/>
        <v>170</v>
      </c>
      <c r="U65" s="515">
        <f t="shared" si="17"/>
        <v>186</v>
      </c>
      <c r="V65" s="515">
        <f t="shared" si="17"/>
        <v>200</v>
      </c>
      <c r="W65" s="515">
        <f t="shared" si="17"/>
        <v>213</v>
      </c>
      <c r="X65" s="515">
        <f t="shared" si="17"/>
        <v>220</v>
      </c>
      <c r="Y65" s="515">
        <f t="shared" si="17"/>
        <v>222</v>
      </c>
      <c r="Z65" s="515">
        <f t="shared" si="17"/>
        <v>228</v>
      </c>
      <c r="AA65" s="515">
        <f t="shared" si="17"/>
        <v>251</v>
      </c>
      <c r="AB65" s="515">
        <f t="shared" si="17"/>
        <v>303</v>
      </c>
      <c r="AC65" s="515">
        <f t="shared" si="17"/>
        <v>350</v>
      </c>
      <c r="AD65" s="515">
        <f t="shared" si="17"/>
        <v>375</v>
      </c>
      <c r="AE65" s="515">
        <f t="shared" si="17"/>
        <v>408</v>
      </c>
      <c r="AF65" s="515">
        <f t="shared" si="17"/>
        <v>448</v>
      </c>
      <c r="AG65" s="515">
        <f t="shared" si="17"/>
        <v>459</v>
      </c>
      <c r="AH65" s="515">
        <f t="shared" si="17"/>
        <v>461</v>
      </c>
      <c r="AI65" s="515"/>
      <c r="AJ65" s="515"/>
      <c r="AK65" s="515"/>
      <c r="AL65" s="515"/>
      <c r="AM65" s="515"/>
      <c r="AN65" s="746">
        <f t="shared" ref="AN65:AN74" si="18">+SUM(G65:AH65)</f>
        <v>5322</v>
      </c>
    </row>
    <row r="66" spans="1:40" s="526" customFormat="1" x14ac:dyDescent="0.25">
      <c r="A66" s="262"/>
      <c r="B66" s="523" t="s">
        <v>995</v>
      </c>
      <c r="C66" s="512" t="s">
        <v>344</v>
      </c>
      <c r="D66" s="524"/>
      <c r="E66" s="524"/>
      <c r="F66" s="525"/>
      <c r="G66" s="514"/>
      <c r="H66" s="515"/>
      <c r="I66" s="515"/>
      <c r="J66" s="515"/>
      <c r="K66" s="517"/>
      <c r="L66" s="514"/>
      <c r="M66" s="514"/>
      <c r="N66" s="514"/>
      <c r="O66" s="517"/>
      <c r="P66" s="514"/>
      <c r="Q66" s="514"/>
      <c r="R66" s="514"/>
      <c r="S66" s="514"/>
      <c r="T66" s="514"/>
      <c r="U66" s="518"/>
      <c r="V66" s="518"/>
      <c r="W66" s="518"/>
      <c r="X66" s="518"/>
      <c r="Y66" s="518"/>
      <c r="Z66" s="518"/>
      <c r="AA66" s="518"/>
      <c r="AB66" s="518"/>
      <c r="AC66" s="518"/>
      <c r="AD66" s="518"/>
      <c r="AE66" s="518"/>
      <c r="AF66" s="518"/>
      <c r="AG66" s="518"/>
      <c r="AH66" s="518"/>
      <c r="AI66" s="518"/>
      <c r="AJ66" s="518"/>
      <c r="AK66" s="518"/>
      <c r="AL66" s="518"/>
      <c r="AM66" s="518"/>
      <c r="AN66" s="746">
        <f t="shared" si="18"/>
        <v>0</v>
      </c>
    </row>
    <row r="67" spans="1:40" s="519" customFormat="1" x14ac:dyDescent="0.25">
      <c r="A67" s="246"/>
      <c r="B67" s="845" t="s">
        <v>1194</v>
      </c>
      <c r="C67" s="521" t="s">
        <v>997</v>
      </c>
      <c r="D67" s="513" t="s">
        <v>940</v>
      </c>
      <c r="E67" s="513" t="s">
        <v>981</v>
      </c>
      <c r="F67" s="514">
        <v>191</v>
      </c>
      <c r="G67" s="514"/>
      <c r="H67" s="515"/>
      <c r="I67" s="515"/>
      <c r="J67" s="515"/>
      <c r="K67" s="516"/>
      <c r="L67" s="516">
        <v>5</v>
      </c>
      <c r="M67" s="516">
        <v>12</v>
      </c>
      <c r="N67" s="514">
        <v>12</v>
      </c>
      <c r="O67" s="517">
        <v>12</v>
      </c>
      <c r="P67" s="517">
        <v>18</v>
      </c>
      <c r="Q67" s="514">
        <v>25</v>
      </c>
      <c r="R67" s="514">
        <v>25</v>
      </c>
      <c r="S67" s="514">
        <v>25</v>
      </c>
      <c r="T67" s="514">
        <v>25</v>
      </c>
      <c r="U67" s="514">
        <v>20</v>
      </c>
      <c r="V67" s="514">
        <v>12</v>
      </c>
      <c r="W67" s="518"/>
      <c r="X67" s="518"/>
      <c r="Y67" s="518"/>
      <c r="Z67" s="518"/>
      <c r="AA67" s="518"/>
      <c r="AB67" s="518"/>
      <c r="AC67" s="518"/>
      <c r="AD67" s="518"/>
      <c r="AE67" s="518"/>
      <c r="AF67" s="518"/>
      <c r="AG67" s="518"/>
      <c r="AH67" s="518"/>
      <c r="AI67" s="518"/>
      <c r="AJ67" s="518"/>
      <c r="AK67" s="518"/>
      <c r="AL67" s="518"/>
      <c r="AM67" s="518"/>
      <c r="AN67" s="746">
        <f t="shared" si="18"/>
        <v>191</v>
      </c>
    </row>
    <row r="68" spans="1:40" s="519" customFormat="1" x14ac:dyDescent="0.25">
      <c r="A68" s="246"/>
      <c r="B68" s="847"/>
      <c r="C68" s="512" t="s">
        <v>950</v>
      </c>
      <c r="D68" s="513"/>
      <c r="E68" s="513"/>
      <c r="F68" s="514"/>
      <c r="G68" s="514"/>
      <c r="H68" s="515"/>
      <c r="I68" s="515"/>
      <c r="J68" s="515"/>
      <c r="K68" s="516"/>
      <c r="L68" s="516">
        <f>+SUMIF(Stringing!$N$6:$N$114,'L2 Schedule'!L8,Stringing!$J$6:$J$114)</f>
        <v>0</v>
      </c>
      <c r="M68" s="516">
        <f>+SUMIF(Stringing!$N$6:$N$114,'L2 Schedule'!M8,Stringing!$J$6:$J$114)</f>
        <v>0</v>
      </c>
      <c r="N68" s="516">
        <f>+SUMIF(Stringing!$N$6:$N$114,'L2 Schedule'!N8,Stringing!$J$6:$J$114)</f>
        <v>0</v>
      </c>
      <c r="O68" s="516">
        <f>+SUMIF(Stringing!$N$6:$N$114,'L2 Schedule'!O8,Stringing!$J$6:$J$114)</f>
        <v>0</v>
      </c>
      <c r="P68" s="516">
        <f>+SUMIF(Stringing!$N$6:$N$114,'L2 Schedule'!P8,Stringing!$J$6:$J$114)</f>
        <v>0</v>
      </c>
      <c r="Q68" s="516">
        <f>+SUMIF(Stringing!$N$6:$N$114,'L2 Schedule'!Q8,Stringing!$J$6:$J$114)</f>
        <v>4.8769999999999998</v>
      </c>
      <c r="R68" s="516">
        <f>+SUMIF(Stringing!$N$6:$N$114,'L2 Schedule'!R8,Stringing!$J$6:$J$114)</f>
        <v>9.4310000000000009</v>
      </c>
      <c r="S68" s="516">
        <f>+SUMIF(Stringing!$N$6:$N$114,'L2 Schedule'!S8,Stringing!$J$6:$J$114)</f>
        <v>8.6289999999999996</v>
      </c>
      <c r="T68" s="516">
        <f>+SUMIF(Stringing!$N$6:$N$114,'L2 Schedule'!T8,Stringing!$J$6:$J$114)</f>
        <v>0</v>
      </c>
      <c r="U68" s="516">
        <f>+SUMIF(Stringing!$N$6:$N$114,'L2 Schedule'!U8,Stringing!$J$6:$J$114)</f>
        <v>7.1150000000000002</v>
      </c>
      <c r="V68" s="516">
        <f>+SUMIF(Stringing!$N$6:$N$114,'L2 Schedule'!V8,Stringing!$J$6:$J$114)</f>
        <v>0</v>
      </c>
      <c r="W68" s="516">
        <f>+SUMIF(Stringing!$N$6:$N$114,'L2 Schedule'!W8,Stringing!$J$6:$J$114)</f>
        <v>9.18</v>
      </c>
      <c r="X68" s="516">
        <f>+SUMIF(Stringing!$N$6:$N$114,'L2 Schedule'!X8,Stringing!$J$6:$J$114)</f>
        <v>1.0489999999999999</v>
      </c>
      <c r="Y68" s="516">
        <f>+SUMIF(Stringing!$N$6:$N$114,'L2 Schedule'!Y8,Stringing!$J$6:$J$114)</f>
        <v>3.2269999999999999</v>
      </c>
      <c r="Z68" s="516">
        <f>+SUMIF(Stringing!$N$6:$N$114,'L2 Schedule'!Z8,Stringing!$J$6:$J$114)</f>
        <v>0</v>
      </c>
      <c r="AA68" s="516">
        <f>+SUMIF(Stringing!$N$6:$N$114,'L2 Schedule'!AA8,Stringing!$J$6:$J$114)</f>
        <v>0</v>
      </c>
      <c r="AB68" s="516">
        <f>+SUMIF(Stringing!$N$6:$N$114,'L2 Schedule'!AB8,Stringing!$J$6:$J$114)</f>
        <v>0</v>
      </c>
      <c r="AC68" s="516">
        <f>+SUMIF(Stringing!$N$6:$N$114,'L2 Schedule'!AC8,Stringing!$J$6:$J$114)</f>
        <v>3.7879999999999998</v>
      </c>
      <c r="AD68" s="516">
        <f>+SUMIF(Stringing!$N$6:$N$114,'L2 Schedule'!AD8,Stringing!$J$6:$J$114)</f>
        <v>0</v>
      </c>
      <c r="AE68" s="516">
        <f>+SUMIF(Stringing!$N$6:$N$114,'L2 Schedule'!AE8,Stringing!$J$6:$J$114)</f>
        <v>8.9489999999999998</v>
      </c>
      <c r="AF68" s="516">
        <f>+SUMIF(Stringing!$N$6:$N$114,'L2 Schedule'!AF8,Stringing!$J$6:$J$114)</f>
        <v>6.1340800000000009</v>
      </c>
      <c r="AG68" s="516">
        <f>+SUMIF(Stringing!$N$6:$N$114,'L2 Schedule'!AG8,Stringing!$J$6:$J$114)</f>
        <v>14.151199999999999</v>
      </c>
      <c r="AH68" s="516">
        <f>+SUMIF(Stringing!$N$6:$N$114,'L2 Schedule'!AH8,Stringing!$J$6:$J$114)</f>
        <v>6.40646</v>
      </c>
      <c r="AI68" s="516"/>
      <c r="AJ68" s="516"/>
      <c r="AK68" s="516"/>
      <c r="AL68" s="516"/>
      <c r="AM68" s="516"/>
      <c r="AN68" s="746">
        <f t="shared" si="18"/>
        <v>82.936739999999986</v>
      </c>
    </row>
    <row r="69" spans="1:40" s="519" customFormat="1" x14ac:dyDescent="0.25">
      <c r="A69" s="246"/>
      <c r="B69" s="846"/>
      <c r="C69" s="512" t="s">
        <v>1156</v>
      </c>
      <c r="D69" s="513"/>
      <c r="E69" s="513"/>
      <c r="F69" s="514"/>
      <c r="G69" s="514"/>
      <c r="H69" s="515"/>
      <c r="I69" s="515"/>
      <c r="J69" s="515"/>
      <c r="K69" s="516"/>
      <c r="L69" s="527">
        <f>L68</f>
        <v>0</v>
      </c>
      <c r="M69" s="516">
        <f>+L69+M68</f>
        <v>0</v>
      </c>
      <c r="N69" s="516">
        <f t="shared" ref="N69:AD69" si="19">+M69+N68</f>
        <v>0</v>
      </c>
      <c r="O69" s="516">
        <f t="shared" si="19"/>
        <v>0</v>
      </c>
      <c r="P69" s="516">
        <f t="shared" si="19"/>
        <v>0</v>
      </c>
      <c r="Q69" s="516">
        <f t="shared" si="19"/>
        <v>4.8769999999999998</v>
      </c>
      <c r="R69" s="516">
        <f t="shared" si="19"/>
        <v>14.308</v>
      </c>
      <c r="S69" s="516">
        <f t="shared" si="19"/>
        <v>22.936999999999998</v>
      </c>
      <c r="T69" s="516">
        <f t="shared" si="19"/>
        <v>22.936999999999998</v>
      </c>
      <c r="U69" s="516">
        <f t="shared" si="19"/>
        <v>30.052</v>
      </c>
      <c r="V69" s="516">
        <f t="shared" si="19"/>
        <v>30.052</v>
      </c>
      <c r="W69" s="516">
        <f t="shared" si="19"/>
        <v>39.231999999999999</v>
      </c>
      <c r="X69" s="516">
        <f t="shared" si="19"/>
        <v>40.280999999999999</v>
      </c>
      <c r="Y69" s="516">
        <f t="shared" si="19"/>
        <v>43.507999999999996</v>
      </c>
      <c r="Z69" s="516">
        <f t="shared" si="19"/>
        <v>43.507999999999996</v>
      </c>
      <c r="AA69" s="516">
        <f t="shared" si="19"/>
        <v>43.507999999999996</v>
      </c>
      <c r="AB69" s="516">
        <f t="shared" si="19"/>
        <v>43.507999999999996</v>
      </c>
      <c r="AC69" s="516">
        <f t="shared" si="19"/>
        <v>47.295999999999992</v>
      </c>
      <c r="AD69" s="516">
        <f t="shared" si="19"/>
        <v>47.295999999999992</v>
      </c>
      <c r="AE69" s="516">
        <f t="shared" ref="AE69" si="20">+AD69+AE68</f>
        <v>56.24499999999999</v>
      </c>
      <c r="AF69" s="516">
        <f t="shared" ref="AF69" si="21">+AE69+AF68</f>
        <v>62.379079999999988</v>
      </c>
      <c r="AG69" s="516">
        <f t="shared" ref="AG69" si="22">+AF69+AG68</f>
        <v>76.530279999999991</v>
      </c>
      <c r="AH69" s="516">
        <f t="shared" ref="AH69" si="23">+AG69+AH68</f>
        <v>82.936739999999986</v>
      </c>
      <c r="AI69" s="516"/>
      <c r="AJ69" s="516"/>
      <c r="AK69" s="516"/>
      <c r="AL69" s="516"/>
      <c r="AM69" s="516"/>
      <c r="AN69" s="746">
        <f t="shared" si="18"/>
        <v>751.39109999999971</v>
      </c>
    </row>
    <row r="70" spans="1:40" s="519" customFormat="1" x14ac:dyDescent="0.25">
      <c r="A70" s="246"/>
      <c r="B70" s="845" t="s">
        <v>996</v>
      </c>
      <c r="C70" s="521" t="s">
        <v>998</v>
      </c>
      <c r="D70" s="513" t="s">
        <v>940</v>
      </c>
      <c r="E70" s="513" t="s">
        <v>981</v>
      </c>
      <c r="F70" s="514">
        <v>191</v>
      </c>
      <c r="G70" s="514"/>
      <c r="H70" s="515"/>
      <c r="I70" s="515"/>
      <c r="J70" s="515"/>
      <c r="K70" s="516"/>
      <c r="L70" s="516"/>
      <c r="M70" s="514"/>
      <c r="N70" s="517"/>
      <c r="O70" s="514">
        <v>5</v>
      </c>
      <c r="P70" s="517">
        <v>15</v>
      </c>
      <c r="Q70" s="517">
        <v>20</v>
      </c>
      <c r="R70" s="514">
        <v>25</v>
      </c>
      <c r="S70" s="514">
        <v>35</v>
      </c>
      <c r="T70" s="514">
        <v>45</v>
      </c>
      <c r="U70" s="514">
        <v>30</v>
      </c>
      <c r="V70" s="514">
        <v>16</v>
      </c>
      <c r="W70" s="518"/>
      <c r="X70" s="518"/>
      <c r="Y70" s="518"/>
      <c r="Z70" s="518"/>
      <c r="AA70" s="518"/>
      <c r="AB70" s="518"/>
      <c r="AC70" s="518"/>
      <c r="AD70" s="518"/>
      <c r="AE70" s="518"/>
      <c r="AF70" s="518"/>
      <c r="AG70" s="518"/>
      <c r="AH70" s="518"/>
      <c r="AI70" s="518"/>
      <c r="AJ70" s="518"/>
      <c r="AK70" s="518"/>
      <c r="AL70" s="518"/>
      <c r="AM70" s="518"/>
      <c r="AN70" s="746">
        <f t="shared" si="18"/>
        <v>191</v>
      </c>
    </row>
    <row r="71" spans="1:40" s="519" customFormat="1" x14ac:dyDescent="0.25">
      <c r="A71" s="246"/>
      <c r="B71" s="847"/>
      <c r="C71" s="512" t="s">
        <v>950</v>
      </c>
      <c r="D71" s="513"/>
      <c r="E71" s="513"/>
      <c r="F71" s="514"/>
      <c r="G71" s="514"/>
      <c r="H71" s="515"/>
      <c r="I71" s="515"/>
      <c r="J71" s="515"/>
      <c r="K71" s="516"/>
      <c r="L71" s="516"/>
      <c r="M71" s="514"/>
      <c r="N71" s="517"/>
      <c r="O71" s="514">
        <f>+SUMIF(OPGW!$N$6:$N$102,'L2 Schedule'!O8,OPGW!$J$6:$J$102)</f>
        <v>0</v>
      </c>
      <c r="P71" s="514">
        <f>+SUMIF(OPGW!$N$6:$N$102,'L2 Schedule'!P8,OPGW!$J$6:$J$102)</f>
        <v>0</v>
      </c>
      <c r="Q71" s="516">
        <f>+SUMIF(OPGW!$N$6:$N$102,'L2 Schedule'!Q8,OPGW!$J$6:$J$102)</f>
        <v>0</v>
      </c>
      <c r="R71" s="516">
        <f>+SUMIF(OPGW!$N$6:$N$102,'L2 Schedule'!R8,OPGW!$J$6:$J$102)</f>
        <v>0</v>
      </c>
      <c r="S71" s="516">
        <f>+SUMIF(OPGW!$N$6:$N$102,'L2 Schedule'!S8,OPGW!$J$6:$J$102)</f>
        <v>0</v>
      </c>
      <c r="T71" s="516">
        <f>+SUMIF(OPGW!$N$6:$N$102,'L2 Schedule'!T8,OPGW!$J$6:$J$102)</f>
        <v>0</v>
      </c>
      <c r="U71" s="516">
        <f>+SUMIF(OPGW!$N$6:$N$102,'L2 Schedule'!U8,OPGW!$J$6:$J$102)</f>
        <v>0</v>
      </c>
      <c r="V71" s="516">
        <f>+SUMIF(OPGW!$N$6:$N$102,'L2 Schedule'!V8,OPGW!$J$6:$J$102)</f>
        <v>21.423000000000002</v>
      </c>
      <c r="W71" s="516">
        <f>+SUMIF(OPGW!$N$6:$N$102,'L2 Schedule'!W8,OPGW!$J$6:$J$102)</f>
        <v>8.6289999999999996</v>
      </c>
      <c r="X71" s="516">
        <f>+SUMIF(OPGW!$N$6:$N$102,'L2 Schedule'!X8,OPGW!$J$6:$J$102)</f>
        <v>0</v>
      </c>
      <c r="Y71" s="516">
        <f>+SUMIF(OPGW!$N$6:$N$102,'L2 Schedule'!Y8,OPGW!$J$6:$J$102)</f>
        <v>0</v>
      </c>
      <c r="Z71" s="516">
        <f>+SUMIF(OPGW!$N$6:$N$102,'L2 Schedule'!Z8,OPGW!$J$6:$J$102)</f>
        <v>0</v>
      </c>
      <c r="AA71" s="516">
        <f>+SUMIF(OPGW!$N$6:$N$102,'L2 Schedule'!AA8,OPGW!$J$6:$J$102)</f>
        <v>5.4930000000000003</v>
      </c>
      <c r="AB71" s="516">
        <f>+SUMIF(OPGW!$N$6:$N$102,'L2 Schedule'!AB8,OPGW!$J$6:$J$102)</f>
        <v>4.0579999999999998</v>
      </c>
      <c r="AC71" s="516">
        <f>+SUMIF(OPGW!$N$6:$N$102,'L2 Schedule'!AC8,OPGW!$J$6:$J$102)</f>
        <v>0</v>
      </c>
      <c r="AD71" s="516">
        <f>+SUMIF(OPGW!$N$6:$N$102,'L2 Schedule'!AD8,OPGW!$J$6:$J$102)</f>
        <v>0</v>
      </c>
      <c r="AE71" s="516">
        <f>+SUMIF(OPGW!$N$6:$N$102,'L2 Schedule'!AE8,OPGW!$J$6:$J$102)</f>
        <v>0</v>
      </c>
      <c r="AF71" s="516">
        <f>+SUMIF(OPGW!$N$6:$N$102,'L2 Schedule'!AF8,OPGW!$J$6:$J$102)</f>
        <v>14.057</v>
      </c>
      <c r="AG71" s="516">
        <f>+SUMIF(OPGW!$N$6:$N$102,'L2 Schedule'!AG8,OPGW!$J$6:$J$102)</f>
        <v>10.6128</v>
      </c>
      <c r="AH71" s="516">
        <f>+SUMIF(OPGW!$N$6:$N$102,'L2 Schedule'!AH8,OPGW!$J$6:$J$102)</f>
        <v>17.003</v>
      </c>
      <c r="AI71" s="516"/>
      <c r="AJ71" s="516"/>
      <c r="AK71" s="516"/>
      <c r="AL71" s="516"/>
      <c r="AM71" s="516"/>
      <c r="AN71" s="746">
        <f t="shared" si="18"/>
        <v>81.275800000000004</v>
      </c>
    </row>
    <row r="72" spans="1:40" s="519" customFormat="1" x14ac:dyDescent="0.25">
      <c r="A72" s="246"/>
      <c r="B72" s="846"/>
      <c r="C72" s="512" t="s">
        <v>1156</v>
      </c>
      <c r="D72" s="513"/>
      <c r="E72" s="513"/>
      <c r="F72" s="514"/>
      <c r="G72" s="514"/>
      <c r="H72" s="515"/>
      <c r="I72" s="515"/>
      <c r="J72" s="515"/>
      <c r="K72" s="516"/>
      <c r="L72" s="516"/>
      <c r="M72" s="514"/>
      <c r="N72" s="517"/>
      <c r="O72" s="514">
        <f>O71</f>
        <v>0</v>
      </c>
      <c r="P72" s="514">
        <f>O72+P71</f>
        <v>0</v>
      </c>
      <c r="Q72" s="516">
        <f t="shared" ref="Q72:AD72" si="24">P72+Q71</f>
        <v>0</v>
      </c>
      <c r="R72" s="516">
        <f t="shared" si="24"/>
        <v>0</v>
      </c>
      <c r="S72" s="516">
        <f t="shared" si="24"/>
        <v>0</v>
      </c>
      <c r="T72" s="516">
        <f t="shared" si="24"/>
        <v>0</v>
      </c>
      <c r="U72" s="516">
        <f t="shared" si="24"/>
        <v>0</v>
      </c>
      <c r="V72" s="516">
        <f t="shared" si="24"/>
        <v>21.423000000000002</v>
      </c>
      <c r="W72" s="516">
        <f t="shared" si="24"/>
        <v>30.052</v>
      </c>
      <c r="X72" s="516">
        <f t="shared" si="24"/>
        <v>30.052</v>
      </c>
      <c r="Y72" s="516">
        <f t="shared" si="24"/>
        <v>30.052</v>
      </c>
      <c r="Z72" s="516">
        <f t="shared" si="24"/>
        <v>30.052</v>
      </c>
      <c r="AA72" s="516">
        <f t="shared" si="24"/>
        <v>35.545000000000002</v>
      </c>
      <c r="AB72" s="516">
        <f t="shared" si="24"/>
        <v>39.603000000000002</v>
      </c>
      <c r="AC72" s="516">
        <f t="shared" si="24"/>
        <v>39.603000000000002</v>
      </c>
      <c r="AD72" s="516">
        <f t="shared" si="24"/>
        <v>39.603000000000002</v>
      </c>
      <c r="AE72" s="516">
        <f t="shared" ref="AE72" si="25">AD72+AE71</f>
        <v>39.603000000000002</v>
      </c>
      <c r="AF72" s="516">
        <f t="shared" ref="AF72" si="26">AE72+AF71</f>
        <v>53.660000000000004</v>
      </c>
      <c r="AG72" s="516">
        <f t="shared" ref="AG72" si="27">AF72+AG71</f>
        <v>64.272800000000004</v>
      </c>
      <c r="AH72" s="516">
        <f t="shared" ref="AH72" si="28">AG72+AH71</f>
        <v>81.275800000000004</v>
      </c>
      <c r="AI72" s="516"/>
      <c r="AJ72" s="516"/>
      <c r="AK72" s="516"/>
      <c r="AL72" s="516"/>
      <c r="AM72" s="516"/>
      <c r="AN72" s="746">
        <f t="shared" si="18"/>
        <v>534.79660000000013</v>
      </c>
    </row>
    <row r="73" spans="1:40" s="528" customFormat="1" ht="25.5" x14ac:dyDescent="0.25">
      <c r="A73" s="218"/>
      <c r="B73" s="529" t="s">
        <v>999</v>
      </c>
      <c r="C73" s="512" t="s">
        <v>1000</v>
      </c>
      <c r="D73" s="513" t="s">
        <v>940</v>
      </c>
      <c r="E73" s="513" t="s">
        <v>959</v>
      </c>
      <c r="F73" s="514">
        <v>100</v>
      </c>
      <c r="G73" s="514"/>
      <c r="H73" s="422"/>
      <c r="I73" s="530"/>
      <c r="J73" s="530"/>
      <c r="K73" s="530"/>
      <c r="L73" s="530"/>
      <c r="M73" s="530"/>
      <c r="N73" s="422"/>
      <c r="O73" s="422"/>
      <c r="P73" s="422"/>
      <c r="Q73" s="531"/>
      <c r="R73" s="531"/>
      <c r="S73" s="531"/>
      <c r="T73" s="532">
        <v>0.3</v>
      </c>
      <c r="U73" s="532">
        <v>0.3</v>
      </c>
      <c r="V73" s="532">
        <v>0.4</v>
      </c>
      <c r="W73" s="531"/>
      <c r="X73" s="531"/>
      <c r="Y73" s="531"/>
      <c r="Z73" s="531"/>
      <c r="AA73" s="531"/>
      <c r="AB73" s="531"/>
      <c r="AC73" s="531"/>
      <c r="AD73" s="531"/>
      <c r="AE73" s="531"/>
      <c r="AF73" s="531"/>
      <c r="AG73" s="531"/>
      <c r="AH73" s="531"/>
      <c r="AI73" s="531"/>
      <c r="AJ73" s="531"/>
      <c r="AK73" s="531"/>
      <c r="AL73" s="531"/>
      <c r="AM73" s="531"/>
      <c r="AN73" s="746">
        <f t="shared" si="18"/>
        <v>1</v>
      </c>
    </row>
    <row r="74" spans="1:40" s="218" customFormat="1" ht="25.5" x14ac:dyDescent="0.25">
      <c r="B74" s="238" t="s">
        <v>1001</v>
      </c>
      <c r="C74" s="239" t="s">
        <v>1383</v>
      </c>
      <c r="D74" s="241" t="s">
        <v>940</v>
      </c>
      <c r="E74" s="241" t="s">
        <v>1002</v>
      </c>
      <c r="F74" s="242">
        <v>191</v>
      </c>
      <c r="G74" s="242"/>
      <c r="H74" s="473"/>
      <c r="I74" s="221"/>
      <c r="J74" s="221"/>
      <c r="K74" s="221"/>
      <c r="L74" s="221"/>
      <c r="M74" s="221"/>
      <c r="N74" s="473"/>
      <c r="O74" s="473"/>
      <c r="P74" s="473"/>
      <c r="Q74" s="473"/>
      <c r="R74" s="473"/>
      <c r="S74" s="473"/>
      <c r="T74" s="473"/>
      <c r="U74" s="263">
        <v>0.5</v>
      </c>
      <c r="V74" s="263">
        <v>0.5</v>
      </c>
      <c r="W74" s="225"/>
      <c r="X74" s="225"/>
      <c r="Y74" s="225"/>
      <c r="Z74" s="225"/>
      <c r="AA74" s="225"/>
      <c r="AB74" s="225"/>
      <c r="AC74" s="225"/>
      <c r="AD74" s="225"/>
      <c r="AE74" s="225"/>
      <c r="AF74" s="225"/>
      <c r="AG74" s="225"/>
      <c r="AH74" s="225"/>
      <c r="AI74" s="225"/>
      <c r="AJ74" s="225"/>
      <c r="AK74" s="225"/>
      <c r="AL74" s="225"/>
      <c r="AM74" s="225"/>
      <c r="AN74" s="746">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839"/>
      <c r="C78" s="839"/>
      <c r="D78" s="839"/>
      <c r="E78" s="839"/>
      <c r="F78" s="839"/>
      <c r="G78" s="839"/>
      <c r="H78" s="839"/>
      <c r="I78" s="839"/>
      <c r="J78" s="839"/>
      <c r="K78" s="839"/>
      <c r="L78" s="839"/>
      <c r="M78" s="839"/>
      <c r="N78" s="839"/>
      <c r="O78" s="839"/>
      <c r="P78" s="839"/>
      <c r="Q78" s="839"/>
      <c r="R78" s="839"/>
      <c r="S78" s="839"/>
      <c r="T78" s="839"/>
    </row>
    <row r="79" spans="1:40" ht="12.75" customHeight="1" x14ac:dyDescent="0.25">
      <c r="A79" s="211">
        <v>1</v>
      </c>
      <c r="B79" s="852" t="s">
        <v>1004</v>
      </c>
      <c r="C79" s="852"/>
      <c r="D79" s="852"/>
      <c r="E79" s="852"/>
      <c r="F79" s="852"/>
      <c r="G79" s="852"/>
      <c r="H79" s="852"/>
      <c r="I79" s="852"/>
      <c r="J79" s="852"/>
      <c r="K79" s="852"/>
      <c r="L79" s="852"/>
      <c r="M79" s="852"/>
      <c r="N79" s="852"/>
      <c r="O79" s="852"/>
      <c r="P79" s="852"/>
      <c r="Q79" s="852"/>
      <c r="R79" s="852"/>
      <c r="S79" s="852"/>
      <c r="T79" s="852"/>
      <c r="U79" s="852"/>
      <c r="V79" s="852"/>
      <c r="W79" s="852"/>
      <c r="X79" s="852"/>
      <c r="Y79" s="852"/>
      <c r="Z79" s="852"/>
      <c r="AA79" s="852"/>
      <c r="AB79" s="852"/>
      <c r="AC79" s="852"/>
      <c r="AD79" s="852"/>
      <c r="AE79" s="852"/>
      <c r="AF79" s="852"/>
      <c r="AG79" s="852"/>
      <c r="AH79" s="852"/>
      <c r="AI79" s="852"/>
      <c r="AJ79" s="852"/>
      <c r="AK79" s="852"/>
      <c r="AL79" s="852"/>
      <c r="AM79" s="852"/>
      <c r="AN79" s="852"/>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filterMode="1">
    <tabColor rgb="FFFF0000"/>
  </sheetPr>
  <dimension ref="A1:N363"/>
  <sheetViews>
    <sheetView zoomScale="98" workbookViewId="0">
      <pane ySplit="12" topLeftCell="A155" activePane="bottomLeft" state="frozen"/>
      <selection activeCell="N8" sqref="N8"/>
      <selection pane="bottomLeft" activeCell="I217" sqref="I217"/>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863" t="s">
        <v>1607</v>
      </c>
      <c r="B2" s="863"/>
      <c r="C2" s="863"/>
      <c r="D2" s="863"/>
      <c r="E2" s="863"/>
      <c r="F2" s="863"/>
      <c r="G2" s="863"/>
      <c r="H2" s="863"/>
      <c r="I2" s="863"/>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0"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1</v>
      </c>
      <c r="E8" s="280">
        <f t="shared" ref="E8:E11" si="0">C8-D8</f>
        <v>209</v>
      </c>
      <c r="N8" s="760"/>
    </row>
    <row r="9" spans="1:14" x14ac:dyDescent="0.25">
      <c r="A9" s="278">
        <v>3</v>
      </c>
      <c r="B9" s="279" t="s">
        <v>126</v>
      </c>
      <c r="C9" s="280">
        <f>+COUNTIF($D$16:$D$998,B9)</f>
        <v>87</v>
      </c>
      <c r="D9" s="278">
        <f>+COUNTIFS($D$16:$D$999,B9,$H$16:$H$999,"AWAITED")</f>
        <v>18</v>
      </c>
      <c r="E9" s="280">
        <f t="shared" si="0"/>
        <v>69</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2" t="s">
        <v>19</v>
      </c>
      <c r="B12" s="862"/>
      <c r="C12" s="282">
        <f>SUM(C7:C11)</f>
        <v>330</v>
      </c>
      <c r="D12" s="281">
        <f>+SUM(D7:D11)</f>
        <v>21</v>
      </c>
      <c r="E12" s="282">
        <f>+SUM(E7:E11)</f>
        <v>309</v>
      </c>
    </row>
    <row r="15" spans="1:14" x14ac:dyDescent="0.2">
      <c r="A15" s="864" t="s">
        <v>983</v>
      </c>
      <c r="B15" s="864"/>
      <c r="C15" s="864"/>
      <c r="D15" s="864"/>
      <c r="E15" s="864"/>
      <c r="F15" s="864"/>
      <c r="G15" s="864"/>
      <c r="H15" s="864"/>
      <c r="I15" s="864"/>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861" t="s">
        <v>10</v>
      </c>
      <c r="B39" s="861"/>
      <c r="C39" s="861"/>
      <c r="D39" s="861"/>
      <c r="E39" s="861"/>
      <c r="F39" s="861"/>
      <c r="G39" s="861"/>
      <c r="H39" s="861"/>
      <c r="I39" s="861"/>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1609</v>
      </c>
    </row>
    <row r="105" spans="1:9" ht="153" x14ac:dyDescent="0.25">
      <c r="A105" s="278">
        <f>+SUBTOTAL(3,$B$41:B105)</f>
        <v>1</v>
      </c>
      <c r="B105" s="285" t="s">
        <v>386</v>
      </c>
      <c r="C105" s="278" t="s">
        <v>50</v>
      </c>
      <c r="D105" s="278" t="s">
        <v>10</v>
      </c>
      <c r="E105" s="280"/>
      <c r="F105" s="287">
        <v>45340</v>
      </c>
      <c r="G105" s="287">
        <v>45968</v>
      </c>
      <c r="H105" s="291">
        <f t="shared" si="2"/>
        <v>629</v>
      </c>
      <c r="I105" s="289" t="s">
        <v>1618</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v>46061</v>
      </c>
      <c r="H120" s="291">
        <f t="shared" si="3"/>
        <v>633</v>
      </c>
      <c r="I120" s="289" t="s">
        <v>1737</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1622</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1576</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v>46068</v>
      </c>
      <c r="H193" s="291">
        <f t="shared" si="4"/>
        <v>436</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1612</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1443</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1637</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1594</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1537</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1619</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1446</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1608</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1593</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861" t="s">
        <v>126</v>
      </c>
      <c r="B255" s="861"/>
      <c r="C255" s="861"/>
      <c r="D255" s="861"/>
      <c r="E255" s="861"/>
      <c r="F255" s="861"/>
      <c r="G255" s="861"/>
      <c r="H255" s="861"/>
      <c r="I255" s="861"/>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4" t="s">
        <v>1411</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1448</v>
      </c>
      <c r="F278" s="287">
        <v>45862</v>
      </c>
      <c r="G278" s="287">
        <v>45863</v>
      </c>
      <c r="H278" s="288">
        <f>+IF(G278="","Awaited",_xlfn.DAYS(G278,F278)+1)</f>
        <v>2</v>
      </c>
      <c r="I278" s="294" t="s">
        <v>1447</v>
      </c>
    </row>
    <row r="279" spans="1:9" ht="25.5" x14ac:dyDescent="0.25">
      <c r="A279" s="278">
        <f>+SUBTOTAL(3,$B$257:B279)</f>
        <v>23</v>
      </c>
      <c r="B279" s="293" t="s">
        <v>656</v>
      </c>
      <c r="C279" s="286" t="s">
        <v>480</v>
      </c>
      <c r="D279" s="278" t="s">
        <v>126</v>
      </c>
      <c r="E279" s="280" t="s">
        <v>1445</v>
      </c>
      <c r="F279" s="287">
        <v>45863</v>
      </c>
      <c r="G279" s="287">
        <v>45950</v>
      </c>
      <c r="H279" s="288">
        <f>+IF(G279="","Awaited",_xlfn.DAYS(G279,F279)+1)</f>
        <v>88</v>
      </c>
      <c r="I279" s="294" t="s">
        <v>1449</v>
      </c>
    </row>
    <row r="280" spans="1:9" ht="25.5" x14ac:dyDescent="0.25">
      <c r="A280" s="278">
        <f>+SUBTOTAL(3,$B$257:B280)</f>
        <v>24</v>
      </c>
      <c r="B280" s="293" t="s">
        <v>656</v>
      </c>
      <c r="C280" s="286" t="s">
        <v>69</v>
      </c>
      <c r="D280" s="278" t="s">
        <v>126</v>
      </c>
      <c r="E280" s="280" t="s">
        <v>1486</v>
      </c>
      <c r="F280" s="287">
        <v>45875</v>
      </c>
      <c r="G280" s="287">
        <v>45993</v>
      </c>
      <c r="H280" s="288">
        <f>+IF(G280="","Awaited",_xlfn.DAYS(G280,F280)+1)</f>
        <v>119</v>
      </c>
      <c r="I280" s="292" t="s">
        <v>1498</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1640</v>
      </c>
    </row>
    <row r="282" spans="1:9" x14ac:dyDescent="0.25">
      <c r="A282" s="278">
        <f>+SUBTOTAL(3,$B$257:B282)</f>
        <v>26</v>
      </c>
      <c r="B282" s="293" t="s">
        <v>656</v>
      </c>
      <c r="C282" s="286" t="s">
        <v>152</v>
      </c>
      <c r="D282" s="278" t="s">
        <v>126</v>
      </c>
      <c r="E282" s="280"/>
      <c r="F282" s="287">
        <v>45881</v>
      </c>
      <c r="G282" s="287"/>
      <c r="H282" s="288" t="str">
        <f t="shared" ref="H282:H339" si="7">+IF(G282="","Awaited",_xlfn.DAYS(G282,F282)+1)</f>
        <v>Awaited</v>
      </c>
      <c r="I282" s="292" t="s">
        <v>1530</v>
      </c>
    </row>
    <row r="283" spans="1:9" x14ac:dyDescent="0.25">
      <c r="A283" s="278">
        <f>+SUBTOTAL(3,$B$257:B283)</f>
        <v>27</v>
      </c>
      <c r="B283" s="293" t="s">
        <v>656</v>
      </c>
      <c r="C283" s="286" t="s">
        <v>155</v>
      </c>
      <c r="D283" s="278" t="s">
        <v>126</v>
      </c>
      <c r="E283" s="280"/>
      <c r="F283" s="287">
        <v>45881</v>
      </c>
      <c r="G283" s="287">
        <v>46071</v>
      </c>
      <c r="H283" s="288">
        <f t="shared" si="7"/>
        <v>191</v>
      </c>
      <c r="I283" s="292" t="s">
        <v>1530</v>
      </c>
    </row>
    <row r="284" spans="1:9" ht="38.25" x14ac:dyDescent="0.25">
      <c r="A284" s="278">
        <f>+SUBTOTAL(3,$B$257:B284)</f>
        <v>28</v>
      </c>
      <c r="B284" s="293" t="s">
        <v>656</v>
      </c>
      <c r="C284" s="286" t="s">
        <v>189</v>
      </c>
      <c r="D284" s="278" t="s">
        <v>126</v>
      </c>
      <c r="E284" s="280" t="s">
        <v>1529</v>
      </c>
      <c r="F284" s="287">
        <v>45898</v>
      </c>
      <c r="G284" s="287">
        <v>46017</v>
      </c>
      <c r="H284" s="288">
        <f t="shared" si="7"/>
        <v>120</v>
      </c>
      <c r="I284" s="292" t="s">
        <v>1530</v>
      </c>
    </row>
    <row r="285" spans="1:9" ht="25.5" x14ac:dyDescent="0.25">
      <c r="A285" s="278">
        <f>+SUBTOTAL(3,$B$257:B285)</f>
        <v>29</v>
      </c>
      <c r="B285" s="285" t="s">
        <v>1532</v>
      </c>
      <c r="C285" s="286" t="s">
        <v>531</v>
      </c>
      <c r="D285" s="278" t="s">
        <v>126</v>
      </c>
      <c r="E285" s="280"/>
      <c r="F285" s="287">
        <v>45899</v>
      </c>
      <c r="G285" s="287">
        <v>46017</v>
      </c>
      <c r="H285" s="288">
        <f t="shared" si="7"/>
        <v>119</v>
      </c>
      <c r="I285" s="292" t="s">
        <v>1530</v>
      </c>
    </row>
    <row r="286" spans="1:9" ht="25.5" x14ac:dyDescent="0.25">
      <c r="A286" s="278">
        <f>+SUBTOTAL(3,$B$257:B286)</f>
        <v>30</v>
      </c>
      <c r="B286" s="285" t="s">
        <v>1532</v>
      </c>
      <c r="C286" s="286" t="s">
        <v>532</v>
      </c>
      <c r="D286" s="278" t="s">
        <v>126</v>
      </c>
      <c r="E286" s="280"/>
      <c r="F286" s="287">
        <v>45899</v>
      </c>
      <c r="G286" s="287"/>
      <c r="H286" s="288" t="str">
        <f t="shared" si="7"/>
        <v>Awaited</v>
      </c>
      <c r="I286" s="292" t="s">
        <v>1530</v>
      </c>
    </row>
    <row r="287" spans="1:9" ht="25.5" x14ac:dyDescent="0.25">
      <c r="A287" s="278">
        <f>+SUBTOTAL(3,$B$257:B287)</f>
        <v>31</v>
      </c>
      <c r="B287" s="285" t="s">
        <v>1532</v>
      </c>
      <c r="C287" s="286" t="s">
        <v>533</v>
      </c>
      <c r="D287" s="278" t="s">
        <v>126</v>
      </c>
      <c r="E287" s="280"/>
      <c r="F287" s="287">
        <v>45899</v>
      </c>
      <c r="G287" s="287"/>
      <c r="H287" s="288" t="str">
        <f t="shared" si="7"/>
        <v>Awaited</v>
      </c>
      <c r="I287" s="292" t="s">
        <v>1530</v>
      </c>
    </row>
    <row r="288" spans="1:9" ht="25.5" x14ac:dyDescent="0.25">
      <c r="A288" s="278">
        <f>+SUBTOTAL(3,$B$257:B288)</f>
        <v>32</v>
      </c>
      <c r="B288" s="285" t="s">
        <v>1532</v>
      </c>
      <c r="C288" s="286" t="s">
        <v>57</v>
      </c>
      <c r="D288" s="278" t="s">
        <v>126</v>
      </c>
      <c r="E288" s="280"/>
      <c r="F288" s="287">
        <v>45899</v>
      </c>
      <c r="G288" s="287"/>
      <c r="H288" s="288" t="str">
        <f t="shared" si="7"/>
        <v>Awaited</v>
      </c>
      <c r="I288" s="292" t="s">
        <v>1530</v>
      </c>
    </row>
    <row r="289" spans="1:9" ht="25.5" x14ac:dyDescent="0.25">
      <c r="A289" s="278">
        <f>+SUBTOTAL(3,$B$257:B289)</f>
        <v>33</v>
      </c>
      <c r="B289" s="285" t="s">
        <v>1532</v>
      </c>
      <c r="C289" s="286" t="s">
        <v>34</v>
      </c>
      <c r="D289" s="278" t="s">
        <v>126</v>
      </c>
      <c r="E289" s="280"/>
      <c r="F289" s="287">
        <v>45899</v>
      </c>
      <c r="G289" s="287">
        <v>46043</v>
      </c>
      <c r="H289" s="288">
        <f t="shared" si="7"/>
        <v>145</v>
      </c>
      <c r="I289" s="292" t="s">
        <v>1530</v>
      </c>
    </row>
    <row r="290" spans="1:9" ht="25.5" x14ac:dyDescent="0.25">
      <c r="A290" s="278">
        <f>+SUBTOTAL(3,$B$257:B290)</f>
        <v>34</v>
      </c>
      <c r="B290" s="285" t="s">
        <v>1532</v>
      </c>
      <c r="C290" s="286" t="s">
        <v>179</v>
      </c>
      <c r="D290" s="278" t="s">
        <v>126</v>
      </c>
      <c r="E290" s="280"/>
      <c r="F290" s="287">
        <v>45899</v>
      </c>
      <c r="G290" s="287"/>
      <c r="H290" s="288" t="str">
        <f t="shared" si="7"/>
        <v>Awaited</v>
      </c>
      <c r="I290" s="292" t="s">
        <v>1530</v>
      </c>
    </row>
    <row r="291" spans="1:9" ht="25.5" x14ac:dyDescent="0.25">
      <c r="A291" s="278">
        <f>+SUBTOTAL(3,$B$257:B291)</f>
        <v>35</v>
      </c>
      <c r="B291" s="285" t="s">
        <v>1532</v>
      </c>
      <c r="C291" s="286" t="s">
        <v>180</v>
      </c>
      <c r="D291" s="278" t="s">
        <v>126</v>
      </c>
      <c r="E291" s="280"/>
      <c r="F291" s="287">
        <v>45899</v>
      </c>
      <c r="G291" s="287">
        <v>46025</v>
      </c>
      <c r="H291" s="288">
        <f t="shared" si="7"/>
        <v>127</v>
      </c>
      <c r="I291" s="292" t="s">
        <v>1530</v>
      </c>
    </row>
    <row r="292" spans="1:9" ht="25.5" x14ac:dyDescent="0.25">
      <c r="A292" s="278">
        <f>+SUBTOTAL(3,$B$257:B292)</f>
        <v>36</v>
      </c>
      <c r="B292" s="285" t="s">
        <v>1532</v>
      </c>
      <c r="C292" s="286" t="s">
        <v>58</v>
      </c>
      <c r="D292" s="278" t="s">
        <v>126</v>
      </c>
      <c r="E292" s="280"/>
      <c r="F292" s="287">
        <v>45899</v>
      </c>
      <c r="G292" s="287">
        <v>45906</v>
      </c>
      <c r="H292" s="288">
        <f t="shared" si="7"/>
        <v>8</v>
      </c>
      <c r="I292" s="292" t="s">
        <v>1530</v>
      </c>
    </row>
    <row r="293" spans="1:9" ht="25.5" x14ac:dyDescent="0.25">
      <c r="A293" s="278">
        <f>+SUBTOTAL(3,$B$257:B293)</f>
        <v>37</v>
      </c>
      <c r="B293" s="285" t="s">
        <v>1532</v>
      </c>
      <c r="C293" s="286" t="s">
        <v>61</v>
      </c>
      <c r="D293" s="278" t="s">
        <v>126</v>
      </c>
      <c r="E293" s="280"/>
      <c r="F293" s="287">
        <v>45899</v>
      </c>
      <c r="G293" s="287">
        <v>46051</v>
      </c>
      <c r="H293" s="288">
        <f t="shared" si="7"/>
        <v>153</v>
      </c>
      <c r="I293" s="292" t="s">
        <v>1530</v>
      </c>
    </row>
    <row r="294" spans="1:9" ht="25.5" x14ac:dyDescent="0.25">
      <c r="A294" s="278">
        <f>+SUBTOTAL(3,$B$257:B294)</f>
        <v>38</v>
      </c>
      <c r="B294" s="285" t="s">
        <v>1532</v>
      </c>
      <c r="C294" s="286" t="s">
        <v>62</v>
      </c>
      <c r="D294" s="278" t="s">
        <v>126</v>
      </c>
      <c r="E294" s="280"/>
      <c r="F294" s="287">
        <v>45899</v>
      </c>
      <c r="G294" s="287">
        <v>45981</v>
      </c>
      <c r="H294" s="288">
        <f t="shared" si="7"/>
        <v>83</v>
      </c>
      <c r="I294" s="292" t="s">
        <v>1530</v>
      </c>
    </row>
    <row r="295" spans="1:9" ht="63.75" x14ac:dyDescent="0.25">
      <c r="A295" s="278">
        <f>+SUBTOTAL(3,$B$257:B295)</f>
        <v>39</v>
      </c>
      <c r="B295" s="285" t="s">
        <v>1532</v>
      </c>
      <c r="C295" s="286" t="s">
        <v>183</v>
      </c>
      <c r="D295" s="278" t="s">
        <v>126</v>
      </c>
      <c r="E295" s="280"/>
      <c r="F295" s="287">
        <v>45899</v>
      </c>
      <c r="G295" s="287">
        <v>46031</v>
      </c>
      <c r="H295" s="288">
        <f t="shared" si="7"/>
        <v>133</v>
      </c>
      <c r="I295" s="292" t="s">
        <v>1662</v>
      </c>
    </row>
    <row r="296" spans="1:9" ht="25.5" x14ac:dyDescent="0.25">
      <c r="A296" s="278">
        <f>+SUBTOTAL(3,$B$257:B296)</f>
        <v>40</v>
      </c>
      <c r="B296" s="285" t="s">
        <v>1532</v>
      </c>
      <c r="C296" s="286" t="s">
        <v>184</v>
      </c>
      <c r="D296" s="278" t="s">
        <v>126</v>
      </c>
      <c r="E296" s="280"/>
      <c r="F296" s="287">
        <v>45899</v>
      </c>
      <c r="G296" s="287">
        <v>45997</v>
      </c>
      <c r="H296" s="288">
        <f t="shared" si="7"/>
        <v>99</v>
      </c>
      <c r="I296" s="292" t="s">
        <v>1530</v>
      </c>
    </row>
    <row r="297" spans="1:9" ht="25.5" x14ac:dyDescent="0.25">
      <c r="A297" s="278">
        <f>+SUBTOTAL(3,$B$257:B297)</f>
        <v>41</v>
      </c>
      <c r="B297" s="285" t="s">
        <v>1532</v>
      </c>
      <c r="C297" s="286" t="s">
        <v>68</v>
      </c>
      <c r="D297" s="278" t="s">
        <v>126</v>
      </c>
      <c r="E297" s="280"/>
      <c r="F297" s="287">
        <v>45899</v>
      </c>
      <c r="G297" s="287">
        <v>45967</v>
      </c>
      <c r="H297" s="288">
        <f t="shared" si="7"/>
        <v>69</v>
      </c>
      <c r="I297" s="292" t="s">
        <v>1530</v>
      </c>
    </row>
    <row r="298" spans="1:9" ht="25.5" x14ac:dyDescent="0.25">
      <c r="A298" s="278">
        <f>+SUBTOTAL(3,$B$257:B298)</f>
        <v>42</v>
      </c>
      <c r="B298" s="285" t="s">
        <v>1532</v>
      </c>
      <c r="C298" s="286" t="s">
        <v>186</v>
      </c>
      <c r="D298" s="278" t="s">
        <v>126</v>
      </c>
      <c r="E298" s="280"/>
      <c r="F298" s="287">
        <v>45899</v>
      </c>
      <c r="G298" s="287">
        <v>46002</v>
      </c>
      <c r="H298" s="288">
        <f t="shared" si="7"/>
        <v>104</v>
      </c>
      <c r="I298" s="292" t="s">
        <v>1530</v>
      </c>
    </row>
    <row r="299" spans="1:9" ht="25.5" x14ac:dyDescent="0.25">
      <c r="A299" s="278">
        <f>+SUBTOTAL(3,$B$257:B299)</f>
        <v>43</v>
      </c>
      <c r="B299" s="285" t="s">
        <v>1532</v>
      </c>
      <c r="C299" s="286" t="s">
        <v>187</v>
      </c>
      <c r="D299" s="278" t="s">
        <v>126</v>
      </c>
      <c r="E299" s="280"/>
      <c r="F299" s="287">
        <v>45899</v>
      </c>
      <c r="G299" s="287">
        <v>45979</v>
      </c>
      <c r="H299" s="288">
        <f t="shared" si="7"/>
        <v>81</v>
      </c>
      <c r="I299" s="292" t="s">
        <v>1530</v>
      </c>
    </row>
    <row r="300" spans="1:9" ht="25.5" x14ac:dyDescent="0.25">
      <c r="A300" s="278">
        <f>+SUBTOTAL(3,$B$257:B300)</f>
        <v>44</v>
      </c>
      <c r="B300" s="285" t="s">
        <v>1532</v>
      </c>
      <c r="C300" s="286" t="s">
        <v>188</v>
      </c>
      <c r="D300" s="278" t="s">
        <v>126</v>
      </c>
      <c r="E300" s="280"/>
      <c r="F300" s="287">
        <v>45899</v>
      </c>
      <c r="G300" s="287">
        <v>46005</v>
      </c>
      <c r="H300" s="288">
        <f t="shared" si="7"/>
        <v>107</v>
      </c>
      <c r="I300" s="292" t="s">
        <v>1530</v>
      </c>
    </row>
    <row r="301" spans="1:9" ht="25.5" x14ac:dyDescent="0.25">
      <c r="A301" s="278">
        <f>+SUBTOTAL(3,$B$257:B301)</f>
        <v>45</v>
      </c>
      <c r="B301" s="285" t="s">
        <v>1532</v>
      </c>
      <c r="C301" s="286" t="s">
        <v>191</v>
      </c>
      <c r="D301" s="278" t="s">
        <v>126</v>
      </c>
      <c r="E301" s="280"/>
      <c r="F301" s="287">
        <v>45899</v>
      </c>
      <c r="G301" s="287">
        <v>45987</v>
      </c>
      <c r="H301" s="288">
        <f t="shared" si="7"/>
        <v>89</v>
      </c>
      <c r="I301" s="292" t="s">
        <v>1530</v>
      </c>
    </row>
    <row r="302" spans="1:9" ht="25.5" x14ac:dyDescent="0.25">
      <c r="A302" s="278">
        <f>+SUBTOTAL(3,$B$257:B302)</f>
        <v>46</v>
      </c>
      <c r="B302" s="285" t="s">
        <v>1532</v>
      </c>
      <c r="C302" s="286" t="s">
        <v>71</v>
      </c>
      <c r="D302" s="278" t="s">
        <v>126</v>
      </c>
      <c r="E302" s="280"/>
      <c r="F302" s="287">
        <v>45899</v>
      </c>
      <c r="G302" s="287">
        <v>45971</v>
      </c>
      <c r="H302" s="288">
        <f t="shared" si="7"/>
        <v>73</v>
      </c>
      <c r="I302" s="292" t="s">
        <v>1623</v>
      </c>
    </row>
    <row r="303" spans="1:9" ht="25.5" x14ac:dyDescent="0.25">
      <c r="A303" s="278">
        <f>+SUBTOTAL(3,$B$257:B303)</f>
        <v>47</v>
      </c>
      <c r="B303" s="285" t="s">
        <v>1532</v>
      </c>
      <c r="C303" s="286" t="s">
        <v>73</v>
      </c>
      <c r="D303" s="278" t="s">
        <v>126</v>
      </c>
      <c r="E303" s="280"/>
      <c r="F303" s="287">
        <v>45899</v>
      </c>
      <c r="G303" s="287">
        <v>46011</v>
      </c>
      <c r="H303" s="288">
        <f t="shared" si="7"/>
        <v>113</v>
      </c>
      <c r="I303" s="292" t="s">
        <v>1530</v>
      </c>
    </row>
    <row r="304" spans="1:9" ht="25.5" x14ac:dyDescent="0.25">
      <c r="A304" s="278">
        <f>+SUBTOTAL(3,$B$257:B304)</f>
        <v>48</v>
      </c>
      <c r="B304" s="285" t="s">
        <v>1532</v>
      </c>
      <c r="C304" s="286" t="s">
        <v>74</v>
      </c>
      <c r="D304" s="278" t="s">
        <v>126</v>
      </c>
      <c r="E304" s="280"/>
      <c r="F304" s="287">
        <v>45899</v>
      </c>
      <c r="G304" s="287">
        <v>46011</v>
      </c>
      <c r="H304" s="288">
        <f t="shared" si="7"/>
        <v>113</v>
      </c>
      <c r="I304" s="292" t="s">
        <v>1641</v>
      </c>
    </row>
    <row r="305" spans="1:9" ht="25.5" x14ac:dyDescent="0.25">
      <c r="A305" s="278">
        <f>+SUBTOTAL(3,$B$257:B305)</f>
        <v>49</v>
      </c>
      <c r="B305" s="285" t="s">
        <v>1532</v>
      </c>
      <c r="C305" s="286" t="s">
        <v>192</v>
      </c>
      <c r="D305" s="278" t="s">
        <v>126</v>
      </c>
      <c r="E305" s="280"/>
      <c r="F305" s="287">
        <v>45899</v>
      </c>
      <c r="G305" s="287">
        <v>46019</v>
      </c>
      <c r="H305" s="288">
        <f t="shared" si="7"/>
        <v>121</v>
      </c>
      <c r="I305" s="292" t="s">
        <v>1642</v>
      </c>
    </row>
    <row r="306" spans="1:9" ht="25.5" x14ac:dyDescent="0.25">
      <c r="A306" s="278">
        <f>+SUBTOTAL(3,$B$257:B306)</f>
        <v>50</v>
      </c>
      <c r="B306" s="285" t="s">
        <v>1532</v>
      </c>
      <c r="C306" s="286" t="s">
        <v>193</v>
      </c>
      <c r="D306" s="278" t="s">
        <v>126</v>
      </c>
      <c r="E306" s="280"/>
      <c r="F306" s="287">
        <v>45899</v>
      </c>
      <c r="G306" s="287">
        <v>46001</v>
      </c>
      <c r="H306" s="288">
        <f t="shared" si="7"/>
        <v>103</v>
      </c>
      <c r="I306" s="292" t="s">
        <v>1530</v>
      </c>
    </row>
    <row r="307" spans="1:9" ht="25.5" x14ac:dyDescent="0.25">
      <c r="A307" s="278">
        <f>+SUBTOTAL(3,$B$257:B307)</f>
        <v>51</v>
      </c>
      <c r="B307" s="285" t="s">
        <v>1532</v>
      </c>
      <c r="C307" s="286" t="s">
        <v>194</v>
      </c>
      <c r="D307" s="278" t="s">
        <v>126</v>
      </c>
      <c r="E307" s="280"/>
      <c r="F307" s="287">
        <v>45899</v>
      </c>
      <c r="G307" s="287">
        <v>46011</v>
      </c>
      <c r="H307" s="288">
        <f t="shared" si="7"/>
        <v>113</v>
      </c>
      <c r="I307" s="292" t="s">
        <v>1530</v>
      </c>
    </row>
    <row r="308" spans="1:9" ht="25.5" x14ac:dyDescent="0.25">
      <c r="A308" s="278">
        <f>+SUBTOTAL(3,$B$257:B308)</f>
        <v>52</v>
      </c>
      <c r="B308" s="285" t="s">
        <v>1532</v>
      </c>
      <c r="C308" s="286" t="s">
        <v>196</v>
      </c>
      <c r="D308" s="278" t="s">
        <v>126</v>
      </c>
      <c r="E308" s="280"/>
      <c r="F308" s="287">
        <v>45899</v>
      </c>
      <c r="G308" s="287">
        <v>45970</v>
      </c>
      <c r="H308" s="288">
        <f t="shared" si="7"/>
        <v>72</v>
      </c>
      <c r="I308" s="292" t="s">
        <v>1621</v>
      </c>
    </row>
    <row r="309" spans="1:9" ht="25.5" x14ac:dyDescent="0.25">
      <c r="A309" s="278">
        <f>+SUBTOTAL(3,$B$257:B309)</f>
        <v>53</v>
      </c>
      <c r="B309" s="285" t="s">
        <v>1532</v>
      </c>
      <c r="C309" s="286" t="s">
        <v>197</v>
      </c>
      <c r="D309" s="278" t="s">
        <v>126</v>
      </c>
      <c r="E309" s="280"/>
      <c r="F309" s="287">
        <v>45899</v>
      </c>
      <c r="G309" s="287">
        <v>45915</v>
      </c>
      <c r="H309" s="288">
        <f t="shared" si="7"/>
        <v>17</v>
      </c>
      <c r="I309" s="292" t="s">
        <v>1530</v>
      </c>
    </row>
    <row r="310" spans="1:9" ht="25.5" x14ac:dyDescent="0.25">
      <c r="A310" s="278">
        <f>+SUBTOTAL(3,$B$257:B310)</f>
        <v>54</v>
      </c>
      <c r="B310" s="285" t="s">
        <v>1532</v>
      </c>
      <c r="C310" s="286" t="s">
        <v>198</v>
      </c>
      <c r="D310" s="278" t="s">
        <v>126</v>
      </c>
      <c r="E310" s="280"/>
      <c r="F310" s="287">
        <v>45899</v>
      </c>
      <c r="G310" s="287">
        <v>45942</v>
      </c>
      <c r="H310" s="288">
        <f t="shared" si="7"/>
        <v>44</v>
      </c>
      <c r="I310" s="292" t="s">
        <v>1530</v>
      </c>
    </row>
    <row r="311" spans="1:9" ht="25.5" x14ac:dyDescent="0.25">
      <c r="A311" s="278">
        <f>+SUBTOTAL(3,$B$257:B311)</f>
        <v>55</v>
      </c>
      <c r="B311" s="285" t="s">
        <v>1532</v>
      </c>
      <c r="C311" s="286" t="s">
        <v>26</v>
      </c>
      <c r="D311" s="278" t="s">
        <v>126</v>
      </c>
      <c r="E311" s="280"/>
      <c r="F311" s="287">
        <v>45899</v>
      </c>
      <c r="G311" s="287">
        <v>45974</v>
      </c>
      <c r="H311" s="288">
        <f t="shared" si="7"/>
        <v>76</v>
      </c>
      <c r="I311" s="292" t="s">
        <v>1530</v>
      </c>
    </row>
    <row r="312" spans="1:9" ht="25.5" x14ac:dyDescent="0.25">
      <c r="A312" s="278">
        <f>+SUBTOTAL(3,$B$257:B312)</f>
        <v>56</v>
      </c>
      <c r="B312" s="285" t="s">
        <v>1532</v>
      </c>
      <c r="C312" s="286" t="s">
        <v>199</v>
      </c>
      <c r="D312" s="278" t="s">
        <v>126</v>
      </c>
      <c r="E312" s="280"/>
      <c r="F312" s="287">
        <v>45899</v>
      </c>
      <c r="G312" s="287">
        <v>45930</v>
      </c>
      <c r="H312" s="288">
        <f t="shared" si="7"/>
        <v>32</v>
      </c>
      <c r="I312" s="292" t="s">
        <v>1530</v>
      </c>
    </row>
    <row r="313" spans="1:9" ht="25.5" x14ac:dyDescent="0.25">
      <c r="A313" s="278">
        <f>+SUBTOTAL(3,$B$257:B313)</f>
        <v>57</v>
      </c>
      <c r="B313" s="285" t="s">
        <v>1532</v>
      </c>
      <c r="C313" s="286" t="s">
        <v>201</v>
      </c>
      <c r="D313" s="278" t="s">
        <v>126</v>
      </c>
      <c r="E313" s="280"/>
      <c r="F313" s="287">
        <v>45899</v>
      </c>
      <c r="G313" s="287">
        <v>46014</v>
      </c>
      <c r="H313" s="288">
        <f t="shared" si="7"/>
        <v>116</v>
      </c>
      <c r="I313" s="292" t="s">
        <v>1530</v>
      </c>
    </row>
    <row r="314" spans="1:9" ht="25.5" x14ac:dyDescent="0.25">
      <c r="A314" s="278">
        <f>+SUBTOTAL(3,$B$257:B314)</f>
        <v>58</v>
      </c>
      <c r="B314" s="285" t="s">
        <v>1532</v>
      </c>
      <c r="C314" s="286" t="s">
        <v>78</v>
      </c>
      <c r="D314" s="278" t="s">
        <v>126</v>
      </c>
      <c r="E314" s="280"/>
      <c r="F314" s="287">
        <v>45899</v>
      </c>
      <c r="G314" s="287">
        <v>46007</v>
      </c>
      <c r="H314" s="288">
        <f t="shared" si="7"/>
        <v>109</v>
      </c>
      <c r="I314" s="292" t="s">
        <v>1530</v>
      </c>
    </row>
    <row r="315" spans="1:9" ht="25.5" x14ac:dyDescent="0.25">
      <c r="A315" s="278">
        <f>+SUBTOTAL(3,$B$257:B315)</f>
        <v>59</v>
      </c>
      <c r="B315" s="285" t="s">
        <v>1532</v>
      </c>
      <c r="C315" s="286" t="s">
        <v>80</v>
      </c>
      <c r="D315" s="278" t="s">
        <v>126</v>
      </c>
      <c r="E315" s="280"/>
      <c r="F315" s="287">
        <v>45899</v>
      </c>
      <c r="G315" s="287">
        <v>45967</v>
      </c>
      <c r="H315" s="288">
        <f t="shared" si="7"/>
        <v>69</v>
      </c>
      <c r="I315" s="292" t="s">
        <v>1530</v>
      </c>
    </row>
    <row r="316" spans="1:9" ht="25.5" x14ac:dyDescent="0.25">
      <c r="A316" s="278">
        <f>+SUBTOTAL(3,$B$257:B316)</f>
        <v>60</v>
      </c>
      <c r="B316" s="285" t="s">
        <v>1532</v>
      </c>
      <c r="C316" s="286" t="s">
        <v>82</v>
      </c>
      <c r="D316" s="278" t="s">
        <v>126</v>
      </c>
      <c r="E316" s="280"/>
      <c r="F316" s="287">
        <v>45899</v>
      </c>
      <c r="G316" s="287">
        <v>45967</v>
      </c>
      <c r="H316" s="288">
        <f t="shared" si="7"/>
        <v>69</v>
      </c>
      <c r="I316" s="292" t="s">
        <v>1530</v>
      </c>
    </row>
    <row r="317" spans="1:9" ht="25.5" x14ac:dyDescent="0.25">
      <c r="A317" s="278">
        <f>+SUBTOTAL(3,$B$257:B317)</f>
        <v>61</v>
      </c>
      <c r="B317" s="285" t="s">
        <v>1532</v>
      </c>
      <c r="C317" s="286" t="s">
        <v>204</v>
      </c>
      <c r="D317" s="278" t="s">
        <v>126</v>
      </c>
      <c r="E317" s="280"/>
      <c r="F317" s="287">
        <v>45899</v>
      </c>
      <c r="G317" s="287">
        <v>45960</v>
      </c>
      <c r="H317" s="288">
        <f t="shared" si="7"/>
        <v>62</v>
      </c>
      <c r="I317" s="292" t="s">
        <v>1530</v>
      </c>
    </row>
    <row r="318" spans="1:9" ht="25.5" x14ac:dyDescent="0.25">
      <c r="A318" s="278">
        <f>+SUBTOTAL(3,$B$257:B318)</f>
        <v>62</v>
      </c>
      <c r="B318" s="285" t="s">
        <v>1532</v>
      </c>
      <c r="C318" s="286" t="s">
        <v>205</v>
      </c>
      <c r="D318" s="278" t="s">
        <v>126</v>
      </c>
      <c r="E318" s="280"/>
      <c r="F318" s="287">
        <v>45899</v>
      </c>
      <c r="G318" s="287">
        <v>45602</v>
      </c>
      <c r="H318" s="288">
        <f t="shared" si="7"/>
        <v>-296</v>
      </c>
      <c r="I318" s="292" t="s">
        <v>1530</v>
      </c>
    </row>
    <row r="319" spans="1:9" ht="25.5" x14ac:dyDescent="0.25">
      <c r="A319" s="278">
        <f>+SUBTOTAL(3,$B$257:B319)</f>
        <v>63</v>
      </c>
      <c r="B319" s="285" t="s">
        <v>1532</v>
      </c>
      <c r="C319" s="286" t="s">
        <v>83</v>
      </c>
      <c r="D319" s="278" t="s">
        <v>126</v>
      </c>
      <c r="E319" s="280"/>
      <c r="F319" s="287">
        <v>45899</v>
      </c>
      <c r="G319" s="287">
        <v>45952</v>
      </c>
      <c r="H319" s="288">
        <f t="shared" si="7"/>
        <v>54</v>
      </c>
      <c r="I319" s="292" t="s">
        <v>1530</v>
      </c>
    </row>
    <row r="320" spans="1:9" ht="25.5" x14ac:dyDescent="0.25">
      <c r="A320" s="278">
        <f>+SUBTOTAL(3,$B$257:B320)</f>
        <v>64</v>
      </c>
      <c r="B320" s="285" t="s">
        <v>1532</v>
      </c>
      <c r="C320" s="286" t="s">
        <v>45</v>
      </c>
      <c r="D320" s="278" t="s">
        <v>126</v>
      </c>
      <c r="E320" s="280"/>
      <c r="F320" s="287">
        <v>45899</v>
      </c>
      <c r="G320" s="287">
        <v>45992</v>
      </c>
      <c r="H320" s="288">
        <f t="shared" si="7"/>
        <v>94</v>
      </c>
      <c r="I320" s="292" t="s">
        <v>1530</v>
      </c>
    </row>
    <row r="321" spans="1:9" ht="25.5" x14ac:dyDescent="0.25">
      <c r="A321" s="278">
        <f>+SUBTOTAL(3,$B$257:B321)</f>
        <v>65</v>
      </c>
      <c r="B321" s="285" t="s">
        <v>1532</v>
      </c>
      <c r="C321" s="286" t="s">
        <v>46</v>
      </c>
      <c r="D321" s="278" t="s">
        <v>126</v>
      </c>
      <c r="E321" s="280"/>
      <c r="F321" s="287">
        <v>45899</v>
      </c>
      <c r="G321" s="287"/>
      <c r="H321" s="288" t="str">
        <f t="shared" si="7"/>
        <v>Awaited</v>
      </c>
      <c r="I321" s="292" t="s">
        <v>1530</v>
      </c>
    </row>
    <row r="322" spans="1:9" ht="25.5" x14ac:dyDescent="0.25">
      <c r="A322" s="278">
        <f>+SUBTOTAL(3,$B$257:B322)</f>
        <v>66</v>
      </c>
      <c r="B322" s="285" t="s">
        <v>1532</v>
      </c>
      <c r="C322" s="286" t="s">
        <v>31</v>
      </c>
      <c r="D322" s="278" t="s">
        <v>126</v>
      </c>
      <c r="E322" s="280"/>
      <c r="F322" s="287">
        <v>45899</v>
      </c>
      <c r="G322" s="287">
        <v>45919</v>
      </c>
      <c r="H322" s="288">
        <f t="shared" si="7"/>
        <v>21</v>
      </c>
      <c r="I322" s="292" t="s">
        <v>1530</v>
      </c>
    </row>
    <row r="323" spans="1:9" ht="25.5" x14ac:dyDescent="0.25">
      <c r="A323" s="278">
        <f>+SUBTOTAL(3,$B$257:B323)</f>
        <v>67</v>
      </c>
      <c r="B323" s="285" t="s">
        <v>1532</v>
      </c>
      <c r="C323" s="286" t="s">
        <v>520</v>
      </c>
      <c r="D323" s="278" t="s">
        <v>126</v>
      </c>
      <c r="E323" s="280"/>
      <c r="F323" s="287">
        <v>45913</v>
      </c>
      <c r="G323" s="287"/>
      <c r="H323" s="288" t="str">
        <f t="shared" si="7"/>
        <v>Awaited</v>
      </c>
      <c r="I323" s="292" t="s">
        <v>1530</v>
      </c>
    </row>
    <row r="324" spans="1:9" ht="25.5" x14ac:dyDescent="0.25">
      <c r="A324" s="278">
        <f>+SUBTOTAL(3,$B$257:B324)</f>
        <v>68</v>
      </c>
      <c r="B324" s="285" t="s">
        <v>1532</v>
      </c>
      <c r="C324" s="286" t="s">
        <v>524</v>
      </c>
      <c r="D324" s="278" t="s">
        <v>126</v>
      </c>
      <c r="E324" s="280"/>
      <c r="F324" s="287">
        <v>45913</v>
      </c>
      <c r="G324" s="287"/>
      <c r="H324" s="288" t="str">
        <f t="shared" si="7"/>
        <v>Awaited</v>
      </c>
      <c r="I324" s="292" t="s">
        <v>1530</v>
      </c>
    </row>
    <row r="325" spans="1:9" ht="25.5" x14ac:dyDescent="0.25">
      <c r="A325" s="278">
        <f>+SUBTOTAL(3,$B$257:B325)</f>
        <v>69</v>
      </c>
      <c r="B325" s="285" t="s">
        <v>1532</v>
      </c>
      <c r="C325" s="286" t="s">
        <v>527</v>
      </c>
      <c r="D325" s="278" t="s">
        <v>126</v>
      </c>
      <c r="E325" s="280"/>
      <c r="F325" s="287">
        <v>45913</v>
      </c>
      <c r="G325" s="287">
        <v>45919</v>
      </c>
      <c r="H325" s="288">
        <f t="shared" si="7"/>
        <v>7</v>
      </c>
      <c r="I325" s="292" t="s">
        <v>1530</v>
      </c>
    </row>
    <row r="326" spans="1:9" ht="25.5" x14ac:dyDescent="0.25">
      <c r="A326" s="278">
        <f>+SUBTOTAL(3,$B$257:B326)</f>
        <v>70</v>
      </c>
      <c r="B326" s="285" t="s">
        <v>1532</v>
      </c>
      <c r="C326" s="286" t="s">
        <v>529</v>
      </c>
      <c r="D326" s="278" t="s">
        <v>126</v>
      </c>
      <c r="E326" s="280"/>
      <c r="F326" s="287">
        <v>45913</v>
      </c>
      <c r="G326" s="287"/>
      <c r="H326" s="288" t="str">
        <f t="shared" si="7"/>
        <v>Awaited</v>
      </c>
      <c r="I326" s="292" t="s">
        <v>1530</v>
      </c>
    </row>
    <row r="327" spans="1:9" ht="38.25" x14ac:dyDescent="0.25">
      <c r="A327" s="278">
        <f>+SUBTOTAL(3,$B$257:B327)</f>
        <v>71</v>
      </c>
      <c r="B327" s="285" t="s">
        <v>1532</v>
      </c>
      <c r="C327" s="286" t="s">
        <v>176</v>
      </c>
      <c r="D327" s="278" t="s">
        <v>126</v>
      </c>
      <c r="E327" s="280"/>
      <c r="F327" s="287">
        <v>45913</v>
      </c>
      <c r="G327" s="287">
        <v>46050</v>
      </c>
      <c r="H327" s="288">
        <f t="shared" si="7"/>
        <v>138</v>
      </c>
      <c r="I327" s="292" t="s">
        <v>1729</v>
      </c>
    </row>
    <row r="328" spans="1:9" ht="38.25" x14ac:dyDescent="0.25">
      <c r="A328" s="278">
        <f>+SUBTOTAL(3,$B$257:B328)</f>
        <v>72</v>
      </c>
      <c r="B328" s="285" t="s">
        <v>1532</v>
      </c>
      <c r="C328" s="286" t="s">
        <v>177</v>
      </c>
      <c r="D328" s="278" t="s">
        <v>126</v>
      </c>
      <c r="E328" s="280"/>
      <c r="F328" s="287">
        <v>45913</v>
      </c>
      <c r="G328" s="287"/>
      <c r="H328" s="288" t="str">
        <f t="shared" si="7"/>
        <v>Awaited</v>
      </c>
      <c r="I328" s="292" t="s">
        <v>1643</v>
      </c>
    </row>
    <row r="329" spans="1:9" ht="25.5" x14ac:dyDescent="0.25">
      <c r="A329" s="278">
        <f>+SUBTOTAL(3,$B$257:B329)</f>
        <v>73</v>
      </c>
      <c r="B329" s="285" t="s">
        <v>1532</v>
      </c>
      <c r="C329" s="286" t="s">
        <v>51</v>
      </c>
      <c r="D329" s="278" t="s">
        <v>126</v>
      </c>
      <c r="E329" s="280"/>
      <c r="F329" s="287">
        <v>45913</v>
      </c>
      <c r="G329" s="287"/>
      <c r="H329" s="288" t="str">
        <f t="shared" si="7"/>
        <v>Awaited</v>
      </c>
      <c r="I329" s="292" t="s">
        <v>1530</v>
      </c>
    </row>
    <row r="330" spans="1:9" ht="25.5" x14ac:dyDescent="0.25">
      <c r="A330" s="278">
        <f>+SUBTOTAL(3,$B$257:B330)</f>
        <v>74</v>
      </c>
      <c r="B330" s="285" t="s">
        <v>1532</v>
      </c>
      <c r="C330" s="286" t="s">
        <v>28</v>
      </c>
      <c r="D330" s="278" t="s">
        <v>126</v>
      </c>
      <c r="E330" s="280"/>
      <c r="F330" s="287">
        <v>45913</v>
      </c>
      <c r="G330" s="287">
        <v>46012</v>
      </c>
      <c r="H330" s="288">
        <f t="shared" si="7"/>
        <v>100</v>
      </c>
      <c r="I330" s="292" t="s">
        <v>1530</v>
      </c>
    </row>
    <row r="331" spans="1:9" ht="25.5" x14ac:dyDescent="0.25">
      <c r="A331" s="278">
        <f>+SUBTOTAL(3,$B$257:B331)</f>
        <v>75</v>
      </c>
      <c r="B331" s="285" t="s">
        <v>1532</v>
      </c>
      <c r="C331" s="286" t="s">
        <v>52</v>
      </c>
      <c r="D331" s="278" t="s">
        <v>126</v>
      </c>
      <c r="E331" s="280"/>
      <c r="F331" s="287">
        <v>45913</v>
      </c>
      <c r="G331" s="287"/>
      <c r="H331" s="288" t="str">
        <f t="shared" si="7"/>
        <v>Awaited</v>
      </c>
      <c r="I331" s="292" t="s">
        <v>1530</v>
      </c>
    </row>
    <row r="332" spans="1:9" ht="25.5" x14ac:dyDescent="0.25">
      <c r="A332" s="278">
        <f>+SUBTOTAL(3,$B$257:B332)</f>
        <v>76</v>
      </c>
      <c r="B332" s="285" t="s">
        <v>1532</v>
      </c>
      <c r="C332" s="286" t="s">
        <v>53</v>
      </c>
      <c r="D332" s="278" t="s">
        <v>126</v>
      </c>
      <c r="E332" s="280"/>
      <c r="F332" s="287">
        <v>45913</v>
      </c>
      <c r="G332" s="287"/>
      <c r="H332" s="288" t="str">
        <f t="shared" si="7"/>
        <v>Awaited</v>
      </c>
      <c r="I332" s="292" t="s">
        <v>1530</v>
      </c>
    </row>
    <row r="333" spans="1:9" ht="25.5" x14ac:dyDescent="0.25">
      <c r="A333" s="278">
        <f>+SUBTOTAL(3,$B$257:B333)</f>
        <v>77</v>
      </c>
      <c r="B333" s="285" t="s">
        <v>1532</v>
      </c>
      <c r="C333" s="286" t="s">
        <v>54</v>
      </c>
      <c r="D333" s="278" t="s">
        <v>126</v>
      </c>
      <c r="E333" s="280"/>
      <c r="F333" s="287">
        <v>45913</v>
      </c>
      <c r="G333" s="287">
        <v>46016</v>
      </c>
      <c r="H333" s="288">
        <f t="shared" si="7"/>
        <v>104</v>
      </c>
      <c r="I333" s="292" t="s">
        <v>1530</v>
      </c>
    </row>
    <row r="334" spans="1:9" ht="25.5" x14ac:dyDescent="0.25">
      <c r="A334" s="278">
        <f>+SUBTOTAL(3,$B$257:B334)</f>
        <v>78</v>
      </c>
      <c r="B334" s="285" t="s">
        <v>1532</v>
      </c>
      <c r="C334" s="286" t="s">
        <v>25</v>
      </c>
      <c r="D334" s="278" t="s">
        <v>126</v>
      </c>
      <c r="E334" s="280"/>
      <c r="F334" s="287">
        <v>45913</v>
      </c>
      <c r="G334" s="287">
        <v>46012</v>
      </c>
      <c r="H334" s="288">
        <f t="shared" si="7"/>
        <v>100</v>
      </c>
      <c r="I334" s="292" t="s">
        <v>1530</v>
      </c>
    </row>
    <row r="335" spans="1:9" ht="25.5" x14ac:dyDescent="0.25">
      <c r="A335" s="278">
        <f>+SUBTOTAL(3,$B$257:B335)</f>
        <v>79</v>
      </c>
      <c r="B335" s="285" t="s">
        <v>1532</v>
      </c>
      <c r="C335" s="286" t="s">
        <v>55</v>
      </c>
      <c r="D335" s="278" t="s">
        <v>126</v>
      </c>
      <c r="E335" s="280"/>
      <c r="F335" s="287">
        <v>45913</v>
      </c>
      <c r="G335" s="287">
        <v>46006</v>
      </c>
      <c r="H335" s="288">
        <f t="shared" si="7"/>
        <v>94</v>
      </c>
      <c r="I335" s="292" t="s">
        <v>1530</v>
      </c>
    </row>
    <row r="336" spans="1:9" ht="25.5" x14ac:dyDescent="0.25">
      <c r="A336" s="278">
        <f>+SUBTOTAL(3,$B$257:B336)</f>
        <v>80</v>
      </c>
      <c r="B336" s="285" t="s">
        <v>1532</v>
      </c>
      <c r="C336" s="286" t="s">
        <v>56</v>
      </c>
      <c r="D336" s="278" t="s">
        <v>126</v>
      </c>
      <c r="E336" s="280"/>
      <c r="F336" s="287">
        <v>45913</v>
      </c>
      <c r="G336" s="287">
        <v>46069</v>
      </c>
      <c r="H336" s="288">
        <f t="shared" si="7"/>
        <v>157</v>
      </c>
      <c r="I336" s="292" t="s">
        <v>1530</v>
      </c>
    </row>
    <row r="337" spans="1:9" ht="25.5" x14ac:dyDescent="0.25">
      <c r="A337" s="278">
        <f>+SUBTOTAL(3,$B$257:B337)</f>
        <v>81</v>
      </c>
      <c r="B337" s="285" t="s">
        <v>1532</v>
      </c>
      <c r="C337" s="286" t="s">
        <v>178</v>
      </c>
      <c r="D337" s="278" t="s">
        <v>126</v>
      </c>
      <c r="E337" s="280"/>
      <c r="F337" s="287">
        <v>45913</v>
      </c>
      <c r="G337" s="287"/>
      <c r="H337" s="288" t="str">
        <f t="shared" si="7"/>
        <v>Awaited</v>
      </c>
      <c r="I337" s="292" t="s">
        <v>1530</v>
      </c>
    </row>
    <row r="338" spans="1:9" ht="25.5" x14ac:dyDescent="0.25">
      <c r="A338" s="278">
        <f>+SUBTOTAL(3,$B$257:B338)</f>
        <v>82</v>
      </c>
      <c r="B338" s="285" t="s">
        <v>1532</v>
      </c>
      <c r="C338" s="286" t="s">
        <v>538</v>
      </c>
      <c r="D338" s="278" t="s">
        <v>126</v>
      </c>
      <c r="E338" s="280" t="s">
        <v>1394</v>
      </c>
      <c r="F338" s="287">
        <v>45943</v>
      </c>
      <c r="G338" s="287">
        <v>45967</v>
      </c>
      <c r="H338" s="288">
        <f t="shared" si="7"/>
        <v>25</v>
      </c>
      <c r="I338" s="699" t="s">
        <v>1604</v>
      </c>
    </row>
    <row r="339" spans="1:9" ht="25.5" x14ac:dyDescent="0.25">
      <c r="A339" s="278">
        <f>+SUBTOTAL(3,$B$257:B339)</f>
        <v>83</v>
      </c>
      <c r="B339" s="285" t="s">
        <v>1532</v>
      </c>
      <c r="C339" s="286" t="s">
        <v>517</v>
      </c>
      <c r="D339" s="278" t="s">
        <v>126</v>
      </c>
      <c r="E339" s="280"/>
      <c r="F339" s="287">
        <v>45992</v>
      </c>
      <c r="G339" s="287">
        <v>46014</v>
      </c>
      <c r="H339" s="288">
        <f t="shared" si="7"/>
        <v>23</v>
      </c>
      <c r="I339" s="292" t="s">
        <v>1530</v>
      </c>
    </row>
    <row r="340" spans="1:9" ht="25.5" x14ac:dyDescent="0.25">
      <c r="A340" s="278">
        <f>+SUBTOTAL(3,$B$257:B340)</f>
        <v>84</v>
      </c>
      <c r="B340" s="285" t="s">
        <v>1532</v>
      </c>
      <c r="C340" s="286" t="s">
        <v>528</v>
      </c>
      <c r="D340" s="278" t="s">
        <v>126</v>
      </c>
      <c r="E340" s="280"/>
      <c r="F340" s="287">
        <v>45992</v>
      </c>
      <c r="G340" s="287"/>
      <c r="H340" s="288"/>
      <c r="I340" s="292" t="s">
        <v>1530</v>
      </c>
    </row>
    <row r="341" spans="1:9" ht="25.5" x14ac:dyDescent="0.25">
      <c r="A341" s="278">
        <f>+SUBTOTAL(3,$B$257:B341)</f>
        <v>85</v>
      </c>
      <c r="B341" s="285" t="s">
        <v>1532</v>
      </c>
      <c r="C341" s="286" t="s">
        <v>175</v>
      </c>
      <c r="D341" s="278" t="s">
        <v>126</v>
      </c>
      <c r="E341" s="280"/>
      <c r="F341" s="287">
        <v>45992</v>
      </c>
      <c r="G341" s="287"/>
      <c r="H341" s="288"/>
      <c r="I341" s="292" t="s">
        <v>1530</v>
      </c>
    </row>
    <row r="342" spans="1:9" ht="25.5" x14ac:dyDescent="0.25">
      <c r="A342" s="278">
        <f>+SUBTOTAL(3,$B$257:B342)</f>
        <v>86</v>
      </c>
      <c r="B342" s="285" t="s">
        <v>1532</v>
      </c>
      <c r="C342" s="286" t="s">
        <v>50</v>
      </c>
      <c r="D342" s="278" t="s">
        <v>126</v>
      </c>
      <c r="E342" s="280"/>
      <c r="F342" s="287">
        <v>45992</v>
      </c>
      <c r="G342" s="287"/>
      <c r="H342" s="288"/>
      <c r="I342" s="292" t="s">
        <v>1530</v>
      </c>
    </row>
    <row r="343" spans="1:9" ht="25.5" x14ac:dyDescent="0.25">
      <c r="A343" s="278">
        <f>+SUBTOTAL(3,$B$257:B343)</f>
        <v>87</v>
      </c>
      <c r="B343" s="285" t="s">
        <v>1532</v>
      </c>
      <c r="C343" s="286" t="s">
        <v>530</v>
      </c>
      <c r="D343" s="278" t="s">
        <v>126</v>
      </c>
      <c r="E343" s="280"/>
      <c r="F343" s="287">
        <v>45992</v>
      </c>
      <c r="G343" s="287"/>
      <c r="H343" s="288"/>
      <c r="I343" s="292" t="s">
        <v>1530</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1" t="s">
        <v>266</v>
      </c>
      <c r="B346" s="861"/>
      <c r="C346" s="861"/>
      <c r="D346" s="861"/>
      <c r="E346" s="861"/>
      <c r="F346" s="861"/>
      <c r="G346" s="861"/>
      <c r="H346" s="861"/>
      <c r="I346" s="861"/>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861" t="s">
        <v>344</v>
      </c>
      <c r="B352" s="861"/>
      <c r="C352" s="861"/>
      <c r="D352" s="861"/>
      <c r="E352" s="861"/>
      <c r="F352" s="861"/>
      <c r="G352" s="861"/>
      <c r="H352" s="861"/>
      <c r="I352" s="861"/>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hidden="1" x14ac:dyDescent="0.25">
      <c r="A354" s="278">
        <f>+SUBTOTAL(3,$B$354:B354)</f>
        <v>0</v>
      </c>
      <c r="B354" s="285" t="s">
        <v>1384</v>
      </c>
      <c r="C354" s="286" t="s">
        <v>853</v>
      </c>
      <c r="D354" s="280" t="s">
        <v>344</v>
      </c>
      <c r="E354" s="280" t="s">
        <v>1427</v>
      </c>
      <c r="F354" s="300">
        <v>45801</v>
      </c>
      <c r="G354" s="300">
        <v>45803</v>
      </c>
      <c r="H354" s="291">
        <f t="shared" ref="H354:H363" si="9">+IF(G354="","Awaited",_xlfn.DAYS(G354,F354)+1)</f>
        <v>3</v>
      </c>
      <c r="I354" s="301"/>
    </row>
    <row r="355" spans="1:9" ht="51" hidden="1" x14ac:dyDescent="0.25">
      <c r="A355" s="278">
        <f>+SUBTOTAL(3,$B$354:B355)</f>
        <v>0</v>
      </c>
      <c r="B355" s="285" t="s">
        <v>1425</v>
      </c>
      <c r="C355" s="278" t="s">
        <v>1426</v>
      </c>
      <c r="D355" s="280" t="s">
        <v>344</v>
      </c>
      <c r="E355" s="280" t="s">
        <v>1427</v>
      </c>
      <c r="F355" s="300">
        <v>45804</v>
      </c>
      <c r="G355" s="300">
        <v>45825</v>
      </c>
      <c r="H355" s="291">
        <f t="shared" si="9"/>
        <v>22</v>
      </c>
      <c r="I355" s="301" t="s">
        <v>1428</v>
      </c>
    </row>
    <row r="356" spans="1:9" ht="63.75" hidden="1" x14ac:dyDescent="0.25">
      <c r="A356" s="278">
        <f>+SUBTOTAL(3,$B$354:B356)</f>
        <v>0</v>
      </c>
      <c r="B356" s="285" t="s">
        <v>1613</v>
      </c>
      <c r="C356" s="278" t="s">
        <v>1614</v>
      </c>
      <c r="D356" s="280" t="s">
        <v>344</v>
      </c>
      <c r="E356" s="280" t="s">
        <v>1616</v>
      </c>
      <c r="F356" s="300">
        <v>45955</v>
      </c>
      <c r="G356" s="300">
        <v>45961</v>
      </c>
      <c r="H356" s="291">
        <f t="shared" si="9"/>
        <v>7</v>
      </c>
      <c r="I356" s="289" t="s">
        <v>1615</v>
      </c>
    </row>
    <row r="357" spans="1:9" ht="38.25" x14ac:dyDescent="0.25">
      <c r="A357" s="278">
        <f>+SUBTOTAL(3,$B$354:B357)</f>
        <v>1</v>
      </c>
      <c r="B357" s="285" t="s">
        <v>1624</v>
      </c>
      <c r="C357" s="278" t="s">
        <v>1625</v>
      </c>
      <c r="D357" s="280" t="s">
        <v>344</v>
      </c>
      <c r="E357" s="280" t="s">
        <v>1616</v>
      </c>
      <c r="F357" s="300">
        <v>45973</v>
      </c>
      <c r="G357" s="300">
        <v>45974</v>
      </c>
      <c r="H357" s="291">
        <f t="shared" si="9"/>
        <v>2</v>
      </c>
      <c r="I357" s="289" t="s">
        <v>1626</v>
      </c>
    </row>
    <row r="358" spans="1:9" ht="38.25" x14ac:dyDescent="0.25">
      <c r="A358" s="278">
        <f>+SUBTOTAL(3,$B$354:B358)</f>
        <v>2</v>
      </c>
      <c r="B358" s="285" t="s">
        <v>1638</v>
      </c>
      <c r="C358" s="278" t="s">
        <v>1625</v>
      </c>
      <c r="D358" s="280" t="s">
        <v>344</v>
      </c>
      <c r="E358" s="280" t="s">
        <v>1616</v>
      </c>
      <c r="F358" s="300">
        <v>45994</v>
      </c>
      <c r="G358" s="300">
        <v>46000</v>
      </c>
      <c r="H358" s="291">
        <f t="shared" si="9"/>
        <v>7</v>
      </c>
      <c r="I358" s="289" t="s">
        <v>1669</v>
      </c>
    </row>
    <row r="359" spans="1:9" ht="38.25" x14ac:dyDescent="0.25">
      <c r="A359" s="278">
        <f>+SUBTOTAL(3,$B$354:B359)</f>
        <v>3</v>
      </c>
      <c r="B359" s="285" t="s">
        <v>1663</v>
      </c>
      <c r="C359" s="278" t="s">
        <v>1664</v>
      </c>
      <c r="D359" s="280" t="s">
        <v>344</v>
      </c>
      <c r="E359" s="280" t="s">
        <v>1620</v>
      </c>
      <c r="F359" s="300">
        <v>45979</v>
      </c>
      <c r="G359" s="300">
        <v>46034</v>
      </c>
      <c r="H359" s="291">
        <f t="shared" si="9"/>
        <v>56</v>
      </c>
      <c r="I359" s="289" t="s">
        <v>1670</v>
      </c>
    </row>
    <row r="360" spans="1:9" ht="38.25" x14ac:dyDescent="0.25">
      <c r="A360" s="278">
        <f>+SUBTOTAL(3,$B$354:B360)</f>
        <v>4</v>
      </c>
      <c r="B360" s="285" t="s">
        <v>1384</v>
      </c>
      <c r="C360" s="794" t="s">
        <v>853</v>
      </c>
      <c r="D360" s="280" t="s">
        <v>344</v>
      </c>
      <c r="E360" s="280" t="s">
        <v>1652</v>
      </c>
      <c r="F360" s="300">
        <v>45667</v>
      </c>
      <c r="G360" s="300">
        <v>45964</v>
      </c>
      <c r="H360" s="291">
        <f t="shared" si="9"/>
        <v>298</v>
      </c>
      <c r="I360" s="289" t="s">
        <v>1665</v>
      </c>
    </row>
    <row r="361" spans="1:9" ht="38.25" x14ac:dyDescent="0.25">
      <c r="A361" s="278">
        <f>+SUBTOTAL(3,$B$354:B361)</f>
        <v>5</v>
      </c>
      <c r="B361" s="285" t="s">
        <v>1666</v>
      </c>
      <c r="C361" s="280" t="s">
        <v>1667</v>
      </c>
      <c r="D361" s="280" t="s">
        <v>344</v>
      </c>
      <c r="E361" s="280" t="s">
        <v>1616</v>
      </c>
      <c r="F361" s="300">
        <v>46023</v>
      </c>
      <c r="G361" s="300"/>
      <c r="H361" s="291" t="str">
        <f t="shared" si="9"/>
        <v>Awaited</v>
      </c>
      <c r="I361" s="289" t="s">
        <v>1668</v>
      </c>
    </row>
    <row r="362" spans="1:9" ht="25.5" x14ac:dyDescent="0.25">
      <c r="A362" s="278">
        <f>+SUBTOTAL(3,$B$354:B362)</f>
        <v>6</v>
      </c>
      <c r="B362" s="285" t="s">
        <v>1731</v>
      </c>
      <c r="C362" s="280" t="s">
        <v>1732</v>
      </c>
      <c r="D362" s="280" t="s">
        <v>344</v>
      </c>
      <c r="E362" s="280" t="s">
        <v>1652</v>
      </c>
      <c r="F362" s="300">
        <v>46045</v>
      </c>
      <c r="G362" s="300">
        <v>46057</v>
      </c>
      <c r="H362" s="291">
        <f t="shared" si="9"/>
        <v>13</v>
      </c>
      <c r="I362" s="289" t="s">
        <v>1668</v>
      </c>
    </row>
    <row r="363" spans="1:9" ht="38.25" x14ac:dyDescent="0.25">
      <c r="A363" s="278">
        <f>+SUBTOTAL(3,$B$354:B363)</f>
        <v>7</v>
      </c>
      <c r="B363" s="285" t="s">
        <v>1733</v>
      </c>
      <c r="C363" s="280" t="s">
        <v>1734</v>
      </c>
      <c r="D363" s="280" t="s">
        <v>344</v>
      </c>
      <c r="E363" s="280" t="s">
        <v>1616</v>
      </c>
      <c r="F363" s="300">
        <v>46054</v>
      </c>
      <c r="G363" s="300"/>
      <c r="H363" s="291" t="str">
        <f t="shared" si="9"/>
        <v>Awaited</v>
      </c>
      <c r="I363" s="289" t="s">
        <v>1668</v>
      </c>
    </row>
  </sheetData>
  <autoFilter ref="A353:I363" xr:uid="{A3A2E041-A90A-437E-A388-8278EF3B57CD}">
    <filterColumn colId="6">
      <filters blank="1">
        <dateGroupItem year="2026" dateTimeGrouping="year"/>
        <dateGroupItem year="2025" month="11" dateTimeGrouping="month"/>
        <dateGroupItem year="2025" month="12" dateTimeGrouping="month"/>
      </filters>
    </filterColumn>
  </autoFilter>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102" zoomScaleNormal="102" zoomScaleSheetLayoutView="80" workbookViewId="0">
      <pane xSplit="7" ySplit="4" topLeftCell="H36" activePane="bottomRight" state="frozen"/>
      <selection activeCell="N8" sqref="N8"/>
      <selection pane="topRight" activeCell="N8" sqref="N8"/>
      <selection pane="bottomLeft" activeCell="N8" sqref="N8"/>
      <selection pane="bottomRight" activeCell="I43" sqref="I43"/>
    </sheetView>
  </sheetViews>
  <sheetFormatPr defaultRowHeight="12.75" x14ac:dyDescent="0.25"/>
  <cols>
    <col min="1" max="1" width="3.5703125" style="349" customWidth="1"/>
    <col min="2" max="2" width="5" style="349" customWidth="1"/>
    <col min="3" max="3" width="8" style="349" customWidth="1"/>
    <col min="4" max="4" width="17.85546875" style="349" bestFit="1"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8"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867" t="s">
        <v>1376</v>
      </c>
      <c r="N1" s="867"/>
      <c r="O1" s="867"/>
      <c r="P1" s="867"/>
      <c r="Q1" s="867"/>
      <c r="R1" s="867"/>
      <c r="S1" s="867"/>
      <c r="T1" s="867"/>
      <c r="U1" s="867"/>
      <c r="V1" s="867"/>
      <c r="W1" s="867"/>
      <c r="X1" s="867"/>
      <c r="Y1" s="867"/>
      <c r="Z1" s="867"/>
      <c r="AA1" s="867"/>
      <c r="AB1" s="867"/>
      <c r="AC1" s="867"/>
      <c r="AD1" s="867"/>
      <c r="AE1" s="867"/>
      <c r="AF1" s="867"/>
      <c r="AG1" s="502"/>
      <c r="AH1" s="502"/>
      <c r="AI1" s="502"/>
      <c r="AJ1" s="502"/>
      <c r="AK1" s="502"/>
      <c r="AL1" s="502"/>
      <c r="AM1" s="502"/>
      <c r="AN1" s="502"/>
      <c r="AO1" s="502"/>
      <c r="AP1" s="502"/>
      <c r="AQ1" s="502"/>
      <c r="AR1" s="502"/>
      <c r="AS1" s="502"/>
      <c r="AT1" s="502"/>
      <c r="AU1" s="502"/>
      <c r="AV1" s="502"/>
      <c r="AW1" s="502"/>
      <c r="AX1" s="502"/>
      <c r="AY1" s="502"/>
      <c r="AZ1" s="502"/>
      <c r="BA1" s="502"/>
      <c r="BB1" s="502"/>
      <c r="BC1" s="502"/>
      <c r="BD1" s="502"/>
      <c r="BE1" s="502"/>
      <c r="BF1" s="502"/>
      <c r="BG1" s="502"/>
    </row>
    <row r="2" spans="1:74" ht="15" customHeight="1" x14ac:dyDescent="0.25">
      <c r="A2" s="868" t="s">
        <v>1193</v>
      </c>
      <c r="B2" s="868"/>
      <c r="C2" s="868"/>
      <c r="D2" s="868"/>
      <c r="E2" s="868"/>
      <c r="F2" s="868"/>
      <c r="G2" s="868"/>
      <c r="H2" s="868"/>
      <c r="I2" s="869" t="s">
        <v>1653</v>
      </c>
      <c r="J2" s="869"/>
      <c r="K2" s="869"/>
      <c r="L2" s="664"/>
      <c r="M2" s="866" t="s">
        <v>10</v>
      </c>
      <c r="N2" s="866"/>
      <c r="O2" s="866"/>
      <c r="P2" s="866"/>
      <c r="Q2" s="866"/>
      <c r="R2" s="866"/>
      <c r="S2" s="866" t="s">
        <v>126</v>
      </c>
      <c r="T2" s="866"/>
      <c r="U2" s="866"/>
      <c r="V2" s="866"/>
      <c r="W2" s="866"/>
      <c r="X2" s="866"/>
      <c r="Y2" s="866"/>
      <c r="Z2" s="865" t="s">
        <v>344</v>
      </c>
      <c r="AA2" s="865"/>
      <c r="AB2" s="865"/>
      <c r="AC2" s="865"/>
      <c r="AD2" s="865"/>
      <c r="AE2" s="865"/>
      <c r="AF2" s="865"/>
    </row>
    <row r="3" spans="1:74" ht="26.25" customHeight="1" x14ac:dyDescent="0.25">
      <c r="A3" s="678" t="s">
        <v>303</v>
      </c>
      <c r="B3" s="678" t="s">
        <v>1191</v>
      </c>
      <c r="C3" s="432" t="s">
        <v>138</v>
      </c>
      <c r="D3" s="432" t="s">
        <v>1295</v>
      </c>
      <c r="E3" s="432" t="s">
        <v>1283</v>
      </c>
      <c r="F3" s="432" t="s">
        <v>437</v>
      </c>
      <c r="G3" s="432" t="s">
        <v>435</v>
      </c>
      <c r="H3" s="432" t="s">
        <v>1192</v>
      </c>
      <c r="I3" s="678" t="s">
        <v>1660</v>
      </c>
      <c r="J3" s="678" t="s">
        <v>1659</v>
      </c>
      <c r="K3" s="678" t="s">
        <v>1658</v>
      </c>
      <c r="L3" s="664" t="s">
        <v>1581</v>
      </c>
      <c r="M3" s="422" t="s">
        <v>1345</v>
      </c>
      <c r="N3" s="422" t="s">
        <v>19</v>
      </c>
      <c r="O3" s="422" t="s">
        <v>577</v>
      </c>
      <c r="P3" s="422" t="s">
        <v>124</v>
      </c>
      <c r="Q3" s="422" t="s">
        <v>1282</v>
      </c>
      <c r="R3" s="501" t="s">
        <v>129</v>
      </c>
      <c r="S3" s="422" t="s">
        <v>19</v>
      </c>
      <c r="T3" s="422" t="s">
        <v>577</v>
      </c>
      <c r="U3" s="422" t="s">
        <v>124</v>
      </c>
      <c r="V3" s="422" t="s">
        <v>1282</v>
      </c>
      <c r="W3" s="501" t="s">
        <v>129</v>
      </c>
      <c r="X3" s="752" t="s">
        <v>1375</v>
      </c>
      <c r="Y3" s="422" t="s">
        <v>16</v>
      </c>
      <c r="Z3" s="422" t="s">
        <v>1655</v>
      </c>
      <c r="AA3" s="422" t="s">
        <v>419</v>
      </c>
      <c r="AB3" s="422" t="s">
        <v>124</v>
      </c>
      <c r="AC3" s="422" t="s">
        <v>1282</v>
      </c>
      <c r="AD3" s="422" t="s">
        <v>129</v>
      </c>
      <c r="AE3" s="422" t="s">
        <v>1656</v>
      </c>
      <c r="AF3" s="422" t="s">
        <v>1657</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2">
        <f>+SUBTOTAL(3,$B$4:B4)</f>
        <v>1</v>
      </c>
      <c r="B4" s="412" t="str">
        <f>'Visual chart Edit'!B7</f>
        <v>1/0</v>
      </c>
      <c r="C4" s="412" t="str">
        <f>'Visual chart Edit'!C7</f>
        <v>DD60+0</v>
      </c>
      <c r="D4" s="412" t="s">
        <v>1296</v>
      </c>
      <c r="E4" s="464">
        <f>'Visual chart Edit'!I7</f>
        <v>122</v>
      </c>
      <c r="F4" s="412" t="str">
        <f>'Visual chart Edit'!K7</f>
        <v>DRY</v>
      </c>
      <c r="G4" s="412" t="str">
        <f>'Visual chart Edit'!L7</f>
        <v>E</v>
      </c>
      <c r="H4" s="412"/>
      <c r="I4" s="412"/>
      <c r="J4" s="412"/>
      <c r="K4" s="412"/>
      <c r="M4" s="506" t="s">
        <v>1654</v>
      </c>
      <c r="N4" s="507">
        <f t="shared" ref="N4:X4" si="0">+SUM(N5:N53)</f>
        <v>485</v>
      </c>
      <c r="O4" s="507">
        <f t="shared" si="0"/>
        <v>484</v>
      </c>
      <c r="P4" s="507">
        <f t="shared" si="0"/>
        <v>0</v>
      </c>
      <c r="Q4" s="507">
        <f t="shared" si="0"/>
        <v>0</v>
      </c>
      <c r="R4" s="507">
        <f t="shared" si="0"/>
        <v>1</v>
      </c>
      <c r="S4" s="507">
        <f t="shared" si="0"/>
        <v>485</v>
      </c>
      <c r="T4" s="507">
        <f t="shared" si="0"/>
        <v>461</v>
      </c>
      <c r="U4" s="507">
        <f t="shared" si="0"/>
        <v>3</v>
      </c>
      <c r="V4" s="507">
        <f t="shared" si="0"/>
        <v>0</v>
      </c>
      <c r="W4" s="507">
        <f t="shared" si="0"/>
        <v>19</v>
      </c>
      <c r="X4" s="507">
        <f t="shared" si="0"/>
        <v>2</v>
      </c>
      <c r="Y4" s="412">
        <f>S4-T4</f>
        <v>24</v>
      </c>
      <c r="Z4" s="751">
        <f>+SUM(Z5:Z53)</f>
        <v>191.39264299999996</v>
      </c>
      <c r="AA4" s="751">
        <f t="shared" ref="AA4:AF4" si="1">+SUM(AA5:AA53)</f>
        <v>79.294870000000017</v>
      </c>
      <c r="AB4" s="751">
        <f t="shared" si="1"/>
        <v>5.3093300000000001</v>
      </c>
      <c r="AC4" s="751">
        <f t="shared" si="1"/>
        <v>0</v>
      </c>
      <c r="AD4" s="751">
        <f t="shared" si="1"/>
        <v>0</v>
      </c>
      <c r="AE4" s="751">
        <f t="shared" si="1"/>
        <v>8.6645000000000003</v>
      </c>
      <c r="AF4" s="751">
        <f t="shared" si="1"/>
        <v>98.123943000000025</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2">
        <f>+SUBTOTAL(3,$B$4:B5)</f>
        <v>2</v>
      </c>
      <c r="B5" s="412" t="str">
        <f>'Visual chart Edit'!B8</f>
        <v>1A/0</v>
      </c>
      <c r="C5" s="412" t="str">
        <f>'Visual chart Edit'!C8</f>
        <v>DD60+0</v>
      </c>
      <c r="D5" s="412" t="s">
        <v>1296</v>
      </c>
      <c r="E5" s="464">
        <f>'Visual chart Edit'!I8</f>
        <v>90</v>
      </c>
      <c r="F5" s="412" t="str">
        <f>'Visual chart Edit'!K8</f>
        <v>DRY</v>
      </c>
      <c r="G5" s="412" t="str">
        <f>'Visual chart Edit'!L8</f>
        <v>E</v>
      </c>
      <c r="H5" s="412"/>
      <c r="I5" s="412"/>
      <c r="J5" s="412"/>
      <c r="K5" s="412"/>
      <c r="M5" s="503" t="s">
        <v>1296</v>
      </c>
      <c r="N5" s="504">
        <f t="shared" ref="N5:N36" si="2">+SUM(O5:R5)</f>
        <v>16</v>
      </c>
      <c r="O5" s="504">
        <f t="shared" ref="O5:O36" si="3">+COUNTIFS($D$4:$D$488,M5,$F$4:$F$488,"sandy")+COUNTIFS($D$4:$D$488,M5,$F$4:$F$488,"Dry")+COUNTIFS($D$4:$D$488,M5,$F$4:$F$488,"DFR")+COUNTIFS($D$4:$D$488,M5,$F$4:$F$488,"WFR")+COUNTIFS($D$4:$D$488,M5,$F$4:$F$488,"SFR")</f>
        <v>16</v>
      </c>
      <c r="P5" s="504">
        <f t="shared" ref="P5:P36" si="4">+COUNTIFS($D$4:$D$488,M5,$F$4:$F$488,"WIP")</f>
        <v>0</v>
      </c>
      <c r="Q5" s="504">
        <f t="shared" ref="Q5:Q36" si="5">+COUNTIFS($D$4:$D$488,M5,$F$4:$F$488,"Clear")</f>
        <v>0</v>
      </c>
      <c r="R5" s="504">
        <f t="shared" ref="R5:R36" si="6">+COUNTIFS($D$4:$D$488,M5,$F$4:$F$488,"ROW")</f>
        <v>0</v>
      </c>
      <c r="S5" s="505">
        <f>+SUM(T5:X5)</f>
        <v>16</v>
      </c>
      <c r="T5" s="504">
        <f t="shared" ref="T5:T36" si="7">+COUNTIFS($D$4:$D$488,M5,$G$4:$G$488,"E")</f>
        <v>16</v>
      </c>
      <c r="U5" s="504">
        <f t="shared" ref="U5:U36" si="8">+COUNTIFS($D$4:$D$488,M5,$G$4:$G$488,"WIP")</f>
        <v>0</v>
      </c>
      <c r="V5" s="504">
        <f t="shared" ref="V5:V36" si="9">+COUNTIFS($D$4:$D$488,M5,$G$4:$G$488,"Clear")</f>
        <v>0</v>
      </c>
      <c r="W5" s="504">
        <f t="shared" ref="W5:W36" si="10">+COUNTIFS($D$4:$D$488,M5,$G$4:$G$488,"ROW")</f>
        <v>0</v>
      </c>
      <c r="X5" s="504">
        <f t="shared" ref="X5:X36" si="11">N5-W5-T5-V5-U5</f>
        <v>0</v>
      </c>
      <c r="Y5" s="412">
        <f t="shared" ref="Y5:Y53" si="12">S5-T5</f>
        <v>0</v>
      </c>
      <c r="Z5" s="751">
        <f>+SUMIFS($E$4:$E$488,$D$4:$D$488,M5)/1000</f>
        <v>5.6287000000000011</v>
      </c>
      <c r="AA5" s="751">
        <f>+SUMIFS($E$4:$E$488,$D$4:$D$488,M5,$H$4:$H$488,$AA$3)/1000</f>
        <v>5.4167000000000005</v>
      </c>
      <c r="AB5" s="751">
        <f>+SUMIFS($E$4:$E$488,$D$4:$D$488,M5,$H$4:$H$488,$AB$3)/1000</f>
        <v>0</v>
      </c>
      <c r="AC5" s="751">
        <f>+SUMIFS($E$4:$E$488,$D$4:$D$488,M5,$H$4:$H$488,$AC$3)/1000</f>
        <v>0</v>
      </c>
      <c r="AD5" s="751">
        <f>+SUMIFS($E$4:$E$488,$D$4:$D$488,M5,$H$4:$H$488,$AD$3)/1000</f>
        <v>0</v>
      </c>
      <c r="AE5" s="751">
        <f>+SUMIFS($E$4:$E$488,$D$4:$D$488,M5,$H$4:$H$488,$AE$3)/1000</f>
        <v>0</v>
      </c>
      <c r="AF5" s="598">
        <f>Z5-SUM(AA5:AE5)</f>
        <v>0.21200000000000063</v>
      </c>
      <c r="AG5"/>
    </row>
    <row r="6" spans="1:74" ht="15" x14ac:dyDescent="0.25">
      <c r="A6" s="412">
        <f>+SUBTOTAL(3,$B$4:B6)</f>
        <v>3</v>
      </c>
      <c r="B6" s="412" t="str">
        <f>'Visual chart Edit'!B9</f>
        <v>1A/1</v>
      </c>
      <c r="C6" s="412" t="str">
        <f>'Visual chart Edit'!C9</f>
        <v>DA+6</v>
      </c>
      <c r="D6" s="412" t="s">
        <v>1296</v>
      </c>
      <c r="E6" s="464">
        <f>'Visual chart Edit'!I9</f>
        <v>277.7</v>
      </c>
      <c r="F6" s="412" t="str">
        <f>'Visual chart Edit'!K9</f>
        <v>DFR</v>
      </c>
      <c r="G6" s="412" t="str">
        <f>'Visual chart Edit'!L9</f>
        <v>E</v>
      </c>
      <c r="H6" s="412" t="s">
        <v>419</v>
      </c>
      <c r="I6" s="412" t="s">
        <v>419</v>
      </c>
      <c r="J6" s="412" t="s">
        <v>419</v>
      </c>
      <c r="K6" s="412"/>
      <c r="M6" s="503" t="s">
        <v>1297</v>
      </c>
      <c r="N6" s="504">
        <f t="shared" si="2"/>
        <v>22</v>
      </c>
      <c r="O6" s="504">
        <f t="shared" si="3"/>
        <v>22</v>
      </c>
      <c r="P6" s="504">
        <f t="shared" si="4"/>
        <v>0</v>
      </c>
      <c r="Q6" s="504">
        <f t="shared" si="5"/>
        <v>0</v>
      </c>
      <c r="R6" s="504">
        <f t="shared" si="6"/>
        <v>0</v>
      </c>
      <c r="S6" s="505">
        <f t="shared" ref="S6:S53" si="13">+SUM(T6:X6)</f>
        <v>22</v>
      </c>
      <c r="T6" s="504">
        <f t="shared" si="7"/>
        <v>21</v>
      </c>
      <c r="U6" s="504">
        <f t="shared" si="8"/>
        <v>0</v>
      </c>
      <c r="V6" s="504">
        <f t="shared" si="9"/>
        <v>0</v>
      </c>
      <c r="W6" s="504">
        <f t="shared" si="10"/>
        <v>0</v>
      </c>
      <c r="X6" s="504">
        <f t="shared" si="11"/>
        <v>1</v>
      </c>
      <c r="Y6" s="412">
        <f t="shared" si="12"/>
        <v>1</v>
      </c>
      <c r="Z6" s="751">
        <f t="shared" ref="Z6:Z53" si="14">+SUMIFS($E$4:$E$488,$D$4:$D$488,M6)/1000</f>
        <v>7.9500999999999982</v>
      </c>
      <c r="AA6" s="751">
        <f t="shared" ref="AA6:AA53" si="15">+SUMIFS($E$4:$E$488,$D$4:$D$488,M6,$H$4:$H$488,$AA$3)/1000</f>
        <v>2.0596999999999999</v>
      </c>
      <c r="AB6" s="751">
        <f t="shared" ref="AB6:AB53" si="16">+SUMIFS($E$4:$E$488,$D$4:$D$488,M6,$H$4:$H$488,$AB$3)/1000</f>
        <v>0</v>
      </c>
      <c r="AC6" s="751">
        <f t="shared" ref="AC6:AC53" si="17">+SUMIFS($E$4:$E$488,$D$4:$D$488,M6,$H$4:$H$488,$AC$3)/1000</f>
        <v>0</v>
      </c>
      <c r="AD6" s="751">
        <f t="shared" ref="AD6:AD53" si="18">+SUMIFS($E$4:$E$488,$D$4:$D$488,M6,$H$4:$H$488,$AD$3)/1000</f>
        <v>0</v>
      </c>
      <c r="AE6" s="751">
        <f t="shared" ref="AE6:AE53" si="19">+SUMIFS($E$4:$E$488,$D$4:$D$488,M6,$H$4:$H$488,$AE$3)/1000</f>
        <v>0.39319999999999999</v>
      </c>
      <c r="AF6" s="598">
        <f t="shared" ref="AF6:AF53" si="20">Z6-SUM(AA6:AE6)</f>
        <v>5.4971999999999985</v>
      </c>
      <c r="AG6"/>
    </row>
    <row r="7" spans="1:74" ht="15" x14ac:dyDescent="0.25">
      <c r="A7" s="412">
        <f>+SUBTOTAL(3,$B$4:B7)</f>
        <v>4</v>
      </c>
      <c r="B7" s="412" t="str">
        <f>'Visual chart Edit'!B10</f>
        <v>1A/2</v>
      </c>
      <c r="C7" s="412" t="str">
        <f>'Visual chart Edit'!C10</f>
        <v>DA+0</v>
      </c>
      <c r="D7" s="412" t="s">
        <v>1296</v>
      </c>
      <c r="E7" s="464">
        <f>'Visual chart Edit'!I10</f>
        <v>386</v>
      </c>
      <c r="F7" s="412" t="str">
        <f>'Visual chart Edit'!K10</f>
        <v>DRY</v>
      </c>
      <c r="G7" s="412" t="str">
        <f>'Visual chart Edit'!L10</f>
        <v>E</v>
      </c>
      <c r="H7" s="412" t="s">
        <v>419</v>
      </c>
      <c r="I7" s="412" t="s">
        <v>419</v>
      </c>
      <c r="J7" s="412" t="s">
        <v>419</v>
      </c>
      <c r="K7" s="412"/>
      <c r="M7" s="503" t="s">
        <v>1298</v>
      </c>
      <c r="N7" s="504">
        <f t="shared" si="2"/>
        <v>8</v>
      </c>
      <c r="O7" s="504">
        <f t="shared" si="3"/>
        <v>8</v>
      </c>
      <c r="P7" s="504">
        <f t="shared" si="4"/>
        <v>0</v>
      </c>
      <c r="Q7" s="504">
        <f t="shared" si="5"/>
        <v>0</v>
      </c>
      <c r="R7" s="504">
        <f t="shared" si="6"/>
        <v>0</v>
      </c>
      <c r="S7" s="505">
        <f t="shared" si="13"/>
        <v>8</v>
      </c>
      <c r="T7" s="504">
        <f t="shared" si="7"/>
        <v>4</v>
      </c>
      <c r="U7" s="504">
        <f t="shared" si="8"/>
        <v>2</v>
      </c>
      <c r="V7" s="504">
        <f t="shared" si="9"/>
        <v>0</v>
      </c>
      <c r="W7" s="504">
        <f t="shared" si="10"/>
        <v>2</v>
      </c>
      <c r="X7" s="504">
        <f t="shared" si="11"/>
        <v>0</v>
      </c>
      <c r="Y7" s="412">
        <f t="shared" si="12"/>
        <v>4</v>
      </c>
      <c r="Z7" s="751">
        <f t="shared" si="14"/>
        <v>3.1302669999999999</v>
      </c>
      <c r="AA7" s="751">
        <f t="shared" si="15"/>
        <v>0</v>
      </c>
      <c r="AB7" s="751">
        <f t="shared" si="16"/>
        <v>0</v>
      </c>
      <c r="AC7" s="751">
        <f t="shared" si="17"/>
        <v>0</v>
      </c>
      <c r="AD7" s="751">
        <f t="shared" si="18"/>
        <v>0</v>
      </c>
      <c r="AE7" s="751">
        <f t="shared" si="19"/>
        <v>1.0768</v>
      </c>
      <c r="AF7" s="598">
        <f t="shared" si="20"/>
        <v>2.0534669999999999</v>
      </c>
      <c r="AG7"/>
    </row>
    <row r="8" spans="1:74" ht="15" x14ac:dyDescent="0.25">
      <c r="A8" s="412">
        <f>+SUBTOTAL(3,$B$4:B8)</f>
        <v>5</v>
      </c>
      <c r="B8" s="412" t="str">
        <f>'Visual chart Edit'!B11</f>
        <v>1A/3</v>
      </c>
      <c r="C8" s="412" t="str">
        <f>'Visual chart Edit'!C11</f>
        <v>DA+0</v>
      </c>
      <c r="D8" s="412" t="s">
        <v>1296</v>
      </c>
      <c r="E8" s="464">
        <f>'Visual chart Edit'!I11</f>
        <v>443.6</v>
      </c>
      <c r="F8" s="412" t="str">
        <f>'Visual chart Edit'!K11</f>
        <v>DRY</v>
      </c>
      <c r="G8" s="412" t="str">
        <f>'Visual chart Edit'!L11</f>
        <v>E</v>
      </c>
      <c r="H8" s="412" t="s">
        <v>419</v>
      </c>
      <c r="I8" s="412" t="s">
        <v>419</v>
      </c>
      <c r="J8" s="412" t="s">
        <v>419</v>
      </c>
      <c r="K8" s="412"/>
      <c r="M8" s="503" t="s">
        <v>1299</v>
      </c>
      <c r="N8" s="504">
        <f t="shared" si="2"/>
        <v>5</v>
      </c>
      <c r="O8" s="504">
        <f t="shared" si="3"/>
        <v>5</v>
      </c>
      <c r="P8" s="504">
        <f t="shared" si="4"/>
        <v>0</v>
      </c>
      <c r="Q8" s="504">
        <f t="shared" si="5"/>
        <v>0</v>
      </c>
      <c r="R8" s="504">
        <f t="shared" si="6"/>
        <v>0</v>
      </c>
      <c r="S8" s="505">
        <f t="shared" si="13"/>
        <v>5</v>
      </c>
      <c r="T8" s="504">
        <f t="shared" si="7"/>
        <v>5</v>
      </c>
      <c r="U8" s="504">
        <f t="shared" si="8"/>
        <v>0</v>
      </c>
      <c r="V8" s="504">
        <f t="shared" si="9"/>
        <v>0</v>
      </c>
      <c r="W8" s="504">
        <f t="shared" si="10"/>
        <v>0</v>
      </c>
      <c r="X8" s="504">
        <f t="shared" si="11"/>
        <v>0</v>
      </c>
      <c r="Y8" s="412">
        <f t="shared" si="12"/>
        <v>0</v>
      </c>
      <c r="Z8" s="751">
        <f t="shared" si="14"/>
        <v>2.0524</v>
      </c>
      <c r="AA8" s="751">
        <f t="shared" si="15"/>
        <v>0</v>
      </c>
      <c r="AB8" s="751">
        <f t="shared" si="16"/>
        <v>0</v>
      </c>
      <c r="AC8" s="751">
        <f t="shared" si="17"/>
        <v>0</v>
      </c>
      <c r="AD8" s="751">
        <f t="shared" si="18"/>
        <v>0</v>
      </c>
      <c r="AE8" s="751">
        <f t="shared" si="19"/>
        <v>0</v>
      </c>
      <c r="AF8" s="598">
        <f t="shared" si="20"/>
        <v>2.0524</v>
      </c>
      <c r="AG8"/>
    </row>
    <row r="9" spans="1:74" ht="15" x14ac:dyDescent="0.25">
      <c r="A9" s="412">
        <f>+SUBTOTAL(3,$B$4:B9)</f>
        <v>6</v>
      </c>
      <c r="B9" s="412" t="str">
        <f>'Visual chart Edit'!B12</f>
        <v>1A/4</v>
      </c>
      <c r="C9" s="412" t="str">
        <f>'Visual chart Edit'!C12</f>
        <v>DA+3</v>
      </c>
      <c r="D9" s="412" t="s">
        <v>1296</v>
      </c>
      <c r="E9" s="464">
        <f>'Visual chart Edit'!I12</f>
        <v>333.4</v>
      </c>
      <c r="F9" s="412" t="str">
        <f>'Visual chart Edit'!K12</f>
        <v>DFR</v>
      </c>
      <c r="G9" s="412" t="str">
        <f>'Visual chart Edit'!L12</f>
        <v>E</v>
      </c>
      <c r="H9" s="412" t="s">
        <v>419</v>
      </c>
      <c r="I9" s="412" t="s">
        <v>419</v>
      </c>
      <c r="J9" s="412" t="s">
        <v>419</v>
      </c>
      <c r="K9" s="412"/>
      <c r="M9" s="503" t="s">
        <v>1300</v>
      </c>
      <c r="N9" s="504">
        <f t="shared" si="2"/>
        <v>14</v>
      </c>
      <c r="O9" s="504">
        <f t="shared" si="3"/>
        <v>14</v>
      </c>
      <c r="P9" s="504">
        <f t="shared" si="4"/>
        <v>0</v>
      </c>
      <c r="Q9" s="504">
        <f t="shared" si="5"/>
        <v>0</v>
      </c>
      <c r="R9" s="504">
        <f t="shared" si="6"/>
        <v>0</v>
      </c>
      <c r="S9" s="505">
        <f t="shared" si="13"/>
        <v>14</v>
      </c>
      <c r="T9" s="504">
        <f t="shared" si="7"/>
        <v>14</v>
      </c>
      <c r="U9" s="504">
        <f t="shared" si="8"/>
        <v>0</v>
      </c>
      <c r="V9" s="504">
        <f t="shared" si="9"/>
        <v>0</v>
      </c>
      <c r="W9" s="504">
        <f t="shared" si="10"/>
        <v>0</v>
      </c>
      <c r="X9" s="504">
        <f t="shared" si="11"/>
        <v>0</v>
      </c>
      <c r="Y9" s="412">
        <f t="shared" si="12"/>
        <v>0</v>
      </c>
      <c r="Z9" s="751">
        <f t="shared" si="14"/>
        <v>5.7154679999999995</v>
      </c>
      <c r="AA9" s="751">
        <f t="shared" si="15"/>
        <v>2.8733999999999997</v>
      </c>
      <c r="AB9" s="751">
        <f t="shared" si="16"/>
        <v>0</v>
      </c>
      <c r="AC9" s="751">
        <f t="shared" si="17"/>
        <v>0</v>
      </c>
      <c r="AD9" s="751">
        <f t="shared" si="18"/>
        <v>0</v>
      </c>
      <c r="AE9" s="751">
        <f t="shared" si="19"/>
        <v>0</v>
      </c>
      <c r="AF9" s="598">
        <f t="shared" si="20"/>
        <v>2.8420679999999998</v>
      </c>
      <c r="AG9"/>
    </row>
    <row r="10" spans="1:74" ht="15" x14ac:dyDescent="0.25">
      <c r="A10" s="412">
        <f>+SUBTOTAL(3,$B$4:B10)</f>
        <v>7</v>
      </c>
      <c r="B10" s="412" t="str">
        <f>'Visual chart Edit'!B13</f>
        <v>1A/5</v>
      </c>
      <c r="C10" s="412" t="str">
        <f>'Visual chart Edit'!C13</f>
        <v>DA+0</v>
      </c>
      <c r="D10" s="412" t="s">
        <v>1296</v>
      </c>
      <c r="E10" s="464">
        <f>'Visual chart Edit'!I13</f>
        <v>431.9</v>
      </c>
      <c r="F10" s="412" t="str">
        <f>'Visual chart Edit'!K13</f>
        <v>DRY</v>
      </c>
      <c r="G10" s="412" t="str">
        <f>'Visual chart Edit'!L13</f>
        <v>E</v>
      </c>
      <c r="H10" s="412" t="s">
        <v>419</v>
      </c>
      <c r="I10" s="412" t="s">
        <v>419</v>
      </c>
      <c r="J10" s="412" t="s">
        <v>419</v>
      </c>
      <c r="K10" s="412"/>
      <c r="M10" s="503" t="s">
        <v>1301</v>
      </c>
      <c r="N10" s="504">
        <f t="shared" si="2"/>
        <v>13</v>
      </c>
      <c r="O10" s="504">
        <f t="shared" si="3"/>
        <v>13</v>
      </c>
      <c r="P10" s="504">
        <f t="shared" si="4"/>
        <v>0</v>
      </c>
      <c r="Q10" s="504">
        <f t="shared" si="5"/>
        <v>0</v>
      </c>
      <c r="R10" s="504">
        <f t="shared" si="6"/>
        <v>0</v>
      </c>
      <c r="S10" s="505">
        <f t="shared" si="13"/>
        <v>13</v>
      </c>
      <c r="T10" s="504">
        <f t="shared" si="7"/>
        <v>13</v>
      </c>
      <c r="U10" s="504">
        <f t="shared" si="8"/>
        <v>0</v>
      </c>
      <c r="V10" s="504">
        <f t="shared" si="9"/>
        <v>0</v>
      </c>
      <c r="W10" s="504">
        <f t="shared" si="10"/>
        <v>0</v>
      </c>
      <c r="X10" s="504">
        <f t="shared" si="11"/>
        <v>0</v>
      </c>
      <c r="Y10" s="412">
        <f t="shared" si="12"/>
        <v>0</v>
      </c>
      <c r="Z10" s="751">
        <f t="shared" si="14"/>
        <v>5.1284999999999998</v>
      </c>
      <c r="AA10" s="751">
        <f t="shared" si="15"/>
        <v>2.0732000000000004</v>
      </c>
      <c r="AB10" s="751">
        <f t="shared" si="16"/>
        <v>0</v>
      </c>
      <c r="AC10" s="751">
        <f t="shared" si="17"/>
        <v>0</v>
      </c>
      <c r="AD10" s="751">
        <f t="shared" si="18"/>
        <v>0</v>
      </c>
      <c r="AE10" s="751">
        <f t="shared" si="19"/>
        <v>0</v>
      </c>
      <c r="AF10" s="598">
        <f t="shared" si="20"/>
        <v>3.0552999999999995</v>
      </c>
      <c r="AG10"/>
    </row>
    <row r="11" spans="1:74" ht="15" x14ac:dyDescent="0.25">
      <c r="A11" s="412">
        <f>+SUBTOTAL(3,$B$4:B11)</f>
        <v>8</v>
      </c>
      <c r="B11" s="412" t="str">
        <f>'Visual chart Edit'!B14</f>
        <v>1A/6</v>
      </c>
      <c r="C11" s="412" t="str">
        <f>'Visual chart Edit'!C14</f>
        <v>DA+0</v>
      </c>
      <c r="D11" s="412" t="s">
        <v>1296</v>
      </c>
      <c r="E11" s="464">
        <f>'Visual chart Edit'!I14</f>
        <v>348.7</v>
      </c>
      <c r="F11" s="412" t="str">
        <f>'Visual chart Edit'!K14</f>
        <v>Sandy</v>
      </c>
      <c r="G11" s="412" t="str">
        <f>'Visual chart Edit'!L14</f>
        <v>E</v>
      </c>
      <c r="H11" s="412" t="s">
        <v>419</v>
      </c>
      <c r="I11" s="412" t="s">
        <v>419</v>
      </c>
      <c r="J11" s="412" t="s">
        <v>419</v>
      </c>
      <c r="K11" s="412"/>
      <c r="M11" s="503" t="s">
        <v>1302</v>
      </c>
      <c r="N11" s="504">
        <f t="shared" si="2"/>
        <v>38</v>
      </c>
      <c r="O11" s="504">
        <f t="shared" si="3"/>
        <v>38</v>
      </c>
      <c r="P11" s="504">
        <f t="shared" si="4"/>
        <v>0</v>
      </c>
      <c r="Q11" s="504">
        <f t="shared" si="5"/>
        <v>0</v>
      </c>
      <c r="R11" s="504">
        <f t="shared" si="6"/>
        <v>0</v>
      </c>
      <c r="S11" s="505">
        <f t="shared" si="13"/>
        <v>38</v>
      </c>
      <c r="T11" s="504">
        <f t="shared" si="7"/>
        <v>35</v>
      </c>
      <c r="U11" s="504">
        <f t="shared" si="8"/>
        <v>0</v>
      </c>
      <c r="V11" s="504">
        <f t="shared" si="9"/>
        <v>0</v>
      </c>
      <c r="W11" s="504">
        <f t="shared" si="10"/>
        <v>3</v>
      </c>
      <c r="X11" s="504">
        <f t="shared" si="11"/>
        <v>0</v>
      </c>
      <c r="Y11" s="412">
        <f t="shared" si="12"/>
        <v>3</v>
      </c>
      <c r="Z11" s="751">
        <f t="shared" si="14"/>
        <v>15.031919999999996</v>
      </c>
      <c r="AA11" s="751">
        <f t="shared" si="15"/>
        <v>0</v>
      </c>
      <c r="AB11" s="751">
        <f t="shared" si="16"/>
        <v>0</v>
      </c>
      <c r="AC11" s="751">
        <f t="shared" si="17"/>
        <v>0</v>
      </c>
      <c r="AD11" s="751">
        <f t="shared" si="18"/>
        <v>0</v>
      </c>
      <c r="AE11" s="751">
        <f t="shared" si="19"/>
        <v>1.0172999999999999</v>
      </c>
      <c r="AF11" s="598">
        <f t="shared" si="20"/>
        <v>14.014619999999995</v>
      </c>
      <c r="AG11"/>
    </row>
    <row r="12" spans="1:74" ht="15" x14ac:dyDescent="0.25">
      <c r="A12" s="412">
        <f>+SUBTOTAL(3,$B$4:B12)</f>
        <v>9</v>
      </c>
      <c r="B12" s="412" t="str">
        <f>'Visual chart Edit'!B15</f>
        <v>1A/7</v>
      </c>
      <c r="C12" s="412" t="str">
        <f>'Visual chart Edit'!C15</f>
        <v>DA+3</v>
      </c>
      <c r="D12" s="412" t="s">
        <v>1296</v>
      </c>
      <c r="E12" s="464">
        <f>'Visual chart Edit'!I15</f>
        <v>395.7</v>
      </c>
      <c r="F12" s="412" t="str">
        <f>'Visual chart Edit'!K15</f>
        <v>Sandy</v>
      </c>
      <c r="G12" s="412" t="str">
        <f>'Visual chart Edit'!L15</f>
        <v>E</v>
      </c>
      <c r="H12" s="412" t="s">
        <v>419</v>
      </c>
      <c r="I12" s="412" t="s">
        <v>419</v>
      </c>
      <c r="J12" s="412" t="s">
        <v>419</v>
      </c>
      <c r="K12" s="412"/>
      <c r="M12" s="503" t="s">
        <v>1303</v>
      </c>
      <c r="N12" s="504">
        <f t="shared" si="2"/>
        <v>29</v>
      </c>
      <c r="O12" s="504">
        <f t="shared" si="3"/>
        <v>28</v>
      </c>
      <c r="P12" s="504">
        <f t="shared" si="4"/>
        <v>0</v>
      </c>
      <c r="Q12" s="504">
        <f t="shared" si="5"/>
        <v>0</v>
      </c>
      <c r="R12" s="504">
        <f t="shared" si="6"/>
        <v>1</v>
      </c>
      <c r="S12" s="505">
        <f t="shared" si="13"/>
        <v>29</v>
      </c>
      <c r="T12" s="504">
        <f t="shared" si="7"/>
        <v>16</v>
      </c>
      <c r="U12" s="504">
        <f t="shared" si="8"/>
        <v>1</v>
      </c>
      <c r="V12" s="504">
        <f t="shared" si="9"/>
        <v>0</v>
      </c>
      <c r="W12" s="504">
        <f t="shared" si="10"/>
        <v>11</v>
      </c>
      <c r="X12" s="504">
        <f t="shared" si="11"/>
        <v>1</v>
      </c>
      <c r="Y12" s="412">
        <f t="shared" si="12"/>
        <v>13</v>
      </c>
      <c r="Z12" s="751">
        <f t="shared" si="14"/>
        <v>11.512</v>
      </c>
      <c r="AA12" s="751">
        <f t="shared" si="15"/>
        <v>0</v>
      </c>
      <c r="AB12" s="751">
        <f t="shared" si="16"/>
        <v>0</v>
      </c>
      <c r="AC12" s="751">
        <f t="shared" si="17"/>
        <v>0</v>
      </c>
      <c r="AD12" s="751">
        <f t="shared" si="18"/>
        <v>0</v>
      </c>
      <c r="AE12" s="751">
        <f t="shared" si="19"/>
        <v>4.9781000000000004</v>
      </c>
      <c r="AF12" s="598">
        <f t="shared" si="20"/>
        <v>6.5339</v>
      </c>
      <c r="AG12"/>
    </row>
    <row r="13" spans="1:74" ht="15" x14ac:dyDescent="0.25">
      <c r="A13" s="412">
        <f>+SUBTOTAL(3,$B$4:B13)</f>
        <v>10</v>
      </c>
      <c r="B13" s="412" t="str">
        <f>'Visual chart Edit'!B16</f>
        <v>1A/8</v>
      </c>
      <c r="C13" s="412" t="str">
        <f>'Visual chart Edit'!C16</f>
        <v>DA+0</v>
      </c>
      <c r="D13" s="412" t="s">
        <v>1296</v>
      </c>
      <c r="E13" s="464">
        <f>'Visual chart Edit'!I16</f>
        <v>415</v>
      </c>
      <c r="F13" s="412" t="str">
        <f>'Visual chart Edit'!K16</f>
        <v>Sandy</v>
      </c>
      <c r="G13" s="412" t="str">
        <f>'Visual chart Edit'!L16</f>
        <v>E</v>
      </c>
      <c r="H13" s="412" t="s">
        <v>419</v>
      </c>
      <c r="I13" s="412" t="s">
        <v>419</v>
      </c>
      <c r="J13" s="412" t="s">
        <v>419</v>
      </c>
      <c r="K13" s="412"/>
      <c r="M13" s="503" t="s">
        <v>1304</v>
      </c>
      <c r="N13" s="504">
        <f t="shared" si="2"/>
        <v>35</v>
      </c>
      <c r="O13" s="504">
        <f t="shared" si="3"/>
        <v>35</v>
      </c>
      <c r="P13" s="504">
        <f t="shared" si="4"/>
        <v>0</v>
      </c>
      <c r="Q13" s="504">
        <f t="shared" si="5"/>
        <v>0</v>
      </c>
      <c r="R13" s="504">
        <f t="shared" si="6"/>
        <v>0</v>
      </c>
      <c r="S13" s="505">
        <f t="shared" si="13"/>
        <v>35</v>
      </c>
      <c r="T13" s="504">
        <f t="shared" si="7"/>
        <v>32</v>
      </c>
      <c r="U13" s="504">
        <f t="shared" si="8"/>
        <v>0</v>
      </c>
      <c r="V13" s="504">
        <f t="shared" si="9"/>
        <v>0</v>
      </c>
      <c r="W13" s="504">
        <f t="shared" si="10"/>
        <v>3</v>
      </c>
      <c r="X13" s="504">
        <f t="shared" si="11"/>
        <v>0</v>
      </c>
      <c r="Y13" s="412">
        <f t="shared" si="12"/>
        <v>3</v>
      </c>
      <c r="Z13" s="751">
        <f t="shared" si="14"/>
        <v>13.780100000000001</v>
      </c>
      <c r="AA13" s="751">
        <f t="shared" si="15"/>
        <v>0</v>
      </c>
      <c r="AB13" s="751">
        <f t="shared" si="16"/>
        <v>0</v>
      </c>
      <c r="AC13" s="751">
        <f t="shared" si="17"/>
        <v>0</v>
      </c>
      <c r="AD13" s="751">
        <f t="shared" si="18"/>
        <v>0</v>
      </c>
      <c r="AE13" s="751">
        <f t="shared" si="19"/>
        <v>1.1990999999999998</v>
      </c>
      <c r="AF13" s="598">
        <f t="shared" si="20"/>
        <v>12.581000000000001</v>
      </c>
      <c r="AG13"/>
    </row>
    <row r="14" spans="1:74" ht="15" x14ac:dyDescent="0.25">
      <c r="A14" s="412">
        <f>+SUBTOTAL(3,$B$4:B14)</f>
        <v>11</v>
      </c>
      <c r="B14" s="412" t="str">
        <f>'Visual chart Edit'!B17</f>
        <v>2/0</v>
      </c>
      <c r="C14" s="412" t="str">
        <f>'Visual chart Edit'!C17</f>
        <v>DC1+0</v>
      </c>
      <c r="D14" s="412" t="s">
        <v>1296</v>
      </c>
      <c r="E14" s="464">
        <f>'Visual chart Edit'!I17</f>
        <v>394.3</v>
      </c>
      <c r="F14" s="412" t="str">
        <f>'Visual chart Edit'!K17</f>
        <v>DRY</v>
      </c>
      <c r="G14" s="412" t="str">
        <f>'Visual chart Edit'!L17</f>
        <v>E</v>
      </c>
      <c r="H14" s="412" t="s">
        <v>419</v>
      </c>
      <c r="I14" s="412"/>
      <c r="J14" s="412" t="s">
        <v>419</v>
      </c>
      <c r="K14" s="412" t="s">
        <v>419</v>
      </c>
      <c r="M14" s="503" t="s">
        <v>1305</v>
      </c>
      <c r="N14" s="504">
        <f t="shared" si="2"/>
        <v>23</v>
      </c>
      <c r="O14" s="504">
        <f t="shared" si="3"/>
        <v>23</v>
      </c>
      <c r="P14" s="504">
        <f t="shared" si="4"/>
        <v>0</v>
      </c>
      <c r="Q14" s="504">
        <f t="shared" si="5"/>
        <v>0</v>
      </c>
      <c r="R14" s="504">
        <f t="shared" si="6"/>
        <v>0</v>
      </c>
      <c r="S14" s="505">
        <f t="shared" si="13"/>
        <v>23</v>
      </c>
      <c r="T14" s="504">
        <f t="shared" si="7"/>
        <v>23</v>
      </c>
      <c r="U14" s="504">
        <f t="shared" si="8"/>
        <v>0</v>
      </c>
      <c r="V14" s="504">
        <f t="shared" si="9"/>
        <v>0</v>
      </c>
      <c r="W14" s="504">
        <f t="shared" si="10"/>
        <v>0</v>
      </c>
      <c r="X14" s="504">
        <f t="shared" si="11"/>
        <v>0</v>
      </c>
      <c r="Y14" s="412">
        <f t="shared" si="12"/>
        <v>0</v>
      </c>
      <c r="Z14" s="751">
        <f t="shared" si="14"/>
        <v>9.0719999999999992</v>
      </c>
      <c r="AA14" s="751">
        <f t="shared" si="15"/>
        <v>0</v>
      </c>
      <c r="AB14" s="751">
        <f t="shared" si="16"/>
        <v>0</v>
      </c>
      <c r="AC14" s="751">
        <f t="shared" si="17"/>
        <v>0</v>
      </c>
      <c r="AD14" s="751">
        <f t="shared" si="18"/>
        <v>0</v>
      </c>
      <c r="AE14" s="751">
        <f t="shared" si="19"/>
        <v>0</v>
      </c>
      <c r="AF14" s="598">
        <f t="shared" si="20"/>
        <v>9.0719999999999992</v>
      </c>
      <c r="AG14"/>
    </row>
    <row r="15" spans="1:74" ht="15" x14ac:dyDescent="0.25">
      <c r="A15" s="412">
        <f>+SUBTOTAL(3,$B$4:B15)</f>
        <v>12</v>
      </c>
      <c r="B15" s="412" t="str">
        <f>'Visual chart Edit'!B18</f>
        <v>2/1</v>
      </c>
      <c r="C15" s="412" t="str">
        <f>'Visual chart Edit'!C18</f>
        <v>DA+3</v>
      </c>
      <c r="D15" s="412" t="s">
        <v>1296</v>
      </c>
      <c r="E15" s="464">
        <f>'Visual chart Edit'!I18</f>
        <v>405.3</v>
      </c>
      <c r="F15" s="412" t="str">
        <f>'Visual chart Edit'!K18</f>
        <v>Sandy</v>
      </c>
      <c r="G15" s="412" t="str">
        <f>'Visual chart Edit'!L18</f>
        <v>E</v>
      </c>
      <c r="H15" s="412" t="s">
        <v>419</v>
      </c>
      <c r="I15" s="412" t="s">
        <v>419</v>
      </c>
      <c r="J15" s="412" t="s">
        <v>419</v>
      </c>
      <c r="K15" s="412"/>
      <c r="M15" s="503" t="s">
        <v>1306</v>
      </c>
      <c r="N15" s="504">
        <f t="shared" si="2"/>
        <v>23</v>
      </c>
      <c r="O15" s="504">
        <f t="shared" si="3"/>
        <v>23</v>
      </c>
      <c r="P15" s="504">
        <f t="shared" si="4"/>
        <v>0</v>
      </c>
      <c r="Q15" s="504">
        <f t="shared" si="5"/>
        <v>0</v>
      </c>
      <c r="R15" s="504">
        <f t="shared" si="6"/>
        <v>0</v>
      </c>
      <c r="S15" s="505">
        <f t="shared" si="13"/>
        <v>23</v>
      </c>
      <c r="T15" s="504">
        <f t="shared" si="7"/>
        <v>23</v>
      </c>
      <c r="U15" s="504">
        <f t="shared" si="8"/>
        <v>0</v>
      </c>
      <c r="V15" s="504">
        <f t="shared" si="9"/>
        <v>0</v>
      </c>
      <c r="W15" s="504">
        <f t="shared" si="10"/>
        <v>0</v>
      </c>
      <c r="X15" s="504">
        <f t="shared" si="11"/>
        <v>0</v>
      </c>
      <c r="Y15" s="412">
        <f t="shared" si="12"/>
        <v>0</v>
      </c>
      <c r="Z15" s="751">
        <f t="shared" si="14"/>
        <v>9.1430999999999987</v>
      </c>
      <c r="AA15" s="751">
        <f t="shared" si="15"/>
        <v>0</v>
      </c>
      <c r="AB15" s="751">
        <f t="shared" si="16"/>
        <v>0</v>
      </c>
      <c r="AC15" s="751">
        <f t="shared" si="17"/>
        <v>0</v>
      </c>
      <c r="AD15" s="751">
        <f t="shared" si="18"/>
        <v>0</v>
      </c>
      <c r="AE15" s="751">
        <f t="shared" si="19"/>
        <v>0</v>
      </c>
      <c r="AF15" s="598">
        <f t="shared" si="20"/>
        <v>9.1430999999999987</v>
      </c>
      <c r="AG15"/>
    </row>
    <row r="16" spans="1:74" ht="15" x14ac:dyDescent="0.25">
      <c r="A16" s="412">
        <f>+SUBTOTAL(3,$B$4:B16)</f>
        <v>13</v>
      </c>
      <c r="B16" s="412" t="str">
        <f>'Visual chart Edit'!B19</f>
        <v>2/2</v>
      </c>
      <c r="C16" s="412" t="str">
        <f>'Visual chart Edit'!C19</f>
        <v>DA+3</v>
      </c>
      <c r="D16" s="412" t="s">
        <v>1296</v>
      </c>
      <c r="E16" s="464">
        <f>'Visual chart Edit'!I19</f>
        <v>338.5</v>
      </c>
      <c r="F16" s="412" t="str">
        <f>'Visual chart Edit'!K19</f>
        <v>Sandy</v>
      </c>
      <c r="G16" s="412" t="str">
        <f>'Visual chart Edit'!L19</f>
        <v>E</v>
      </c>
      <c r="H16" s="412" t="s">
        <v>419</v>
      </c>
      <c r="I16" s="412" t="s">
        <v>419</v>
      </c>
      <c r="J16" s="412" t="s">
        <v>419</v>
      </c>
      <c r="K16" s="412"/>
      <c r="L16" s="478" t="s">
        <v>1579</v>
      </c>
      <c r="M16" s="503" t="s">
        <v>1307</v>
      </c>
      <c r="N16" s="504">
        <f t="shared" si="2"/>
        <v>13</v>
      </c>
      <c r="O16" s="504">
        <f t="shared" si="3"/>
        <v>13</v>
      </c>
      <c r="P16" s="504">
        <f t="shared" si="4"/>
        <v>0</v>
      </c>
      <c r="Q16" s="504">
        <f t="shared" si="5"/>
        <v>0</v>
      </c>
      <c r="R16" s="504">
        <f t="shared" si="6"/>
        <v>0</v>
      </c>
      <c r="S16" s="505">
        <f t="shared" si="13"/>
        <v>13</v>
      </c>
      <c r="T16" s="504">
        <f t="shared" si="7"/>
        <v>13</v>
      </c>
      <c r="U16" s="504">
        <f t="shared" si="8"/>
        <v>0</v>
      </c>
      <c r="V16" s="504">
        <f t="shared" si="9"/>
        <v>0</v>
      </c>
      <c r="W16" s="504">
        <f t="shared" si="10"/>
        <v>0</v>
      </c>
      <c r="X16" s="504">
        <f t="shared" si="11"/>
        <v>0</v>
      </c>
      <c r="Y16" s="412">
        <f t="shared" si="12"/>
        <v>0</v>
      </c>
      <c r="Z16" s="751">
        <f t="shared" si="14"/>
        <v>5.2985479999999994</v>
      </c>
      <c r="AA16" s="751">
        <f t="shared" si="15"/>
        <v>0</v>
      </c>
      <c r="AB16" s="751">
        <f t="shared" si="16"/>
        <v>0</v>
      </c>
      <c r="AC16" s="751">
        <f t="shared" si="17"/>
        <v>0</v>
      </c>
      <c r="AD16" s="751">
        <f t="shared" si="18"/>
        <v>0</v>
      </c>
      <c r="AE16" s="751">
        <f t="shared" si="19"/>
        <v>0</v>
      </c>
      <c r="AF16" s="598">
        <f t="shared" si="20"/>
        <v>5.2985479999999994</v>
      </c>
      <c r="AG16"/>
    </row>
    <row r="17" spans="1:33" ht="15" x14ac:dyDescent="0.25">
      <c r="A17" s="412">
        <f>+SUBTOTAL(3,$B$4:B17)</f>
        <v>14</v>
      </c>
      <c r="B17" s="412" t="str">
        <f>'Visual chart Edit'!B20</f>
        <v>2/3</v>
      </c>
      <c r="C17" s="412" t="str">
        <f>'Visual chart Edit'!C20</f>
        <v>DA+3</v>
      </c>
      <c r="D17" s="412" t="s">
        <v>1296</v>
      </c>
      <c r="E17" s="464">
        <f>'Visual chart Edit'!I20</f>
        <v>406</v>
      </c>
      <c r="F17" s="412" t="str">
        <f>'Visual chart Edit'!K20</f>
        <v>Sandy</v>
      </c>
      <c r="G17" s="412" t="str">
        <f>'Visual chart Edit'!L20</f>
        <v>E</v>
      </c>
      <c r="H17" s="412" t="s">
        <v>419</v>
      </c>
      <c r="I17" s="412" t="s">
        <v>419</v>
      </c>
      <c r="J17" s="412" t="s">
        <v>419</v>
      </c>
      <c r="K17" s="412"/>
      <c r="M17" s="503" t="s">
        <v>1308</v>
      </c>
      <c r="N17" s="504">
        <f t="shared" si="2"/>
        <v>1</v>
      </c>
      <c r="O17" s="504">
        <f t="shared" si="3"/>
        <v>1</v>
      </c>
      <c r="P17" s="504">
        <f t="shared" si="4"/>
        <v>0</v>
      </c>
      <c r="Q17" s="504">
        <f t="shared" si="5"/>
        <v>0</v>
      </c>
      <c r="R17" s="504">
        <f t="shared" si="6"/>
        <v>0</v>
      </c>
      <c r="S17" s="505">
        <f t="shared" si="13"/>
        <v>1</v>
      </c>
      <c r="T17" s="504">
        <f t="shared" si="7"/>
        <v>1</v>
      </c>
      <c r="U17" s="504">
        <f t="shared" si="8"/>
        <v>0</v>
      </c>
      <c r="V17" s="504">
        <f t="shared" si="9"/>
        <v>0</v>
      </c>
      <c r="W17" s="504">
        <f t="shared" si="10"/>
        <v>0</v>
      </c>
      <c r="X17" s="504">
        <f t="shared" si="11"/>
        <v>0</v>
      </c>
      <c r="Y17" s="412">
        <f t="shared" si="12"/>
        <v>0</v>
      </c>
      <c r="Z17" s="751">
        <f t="shared" si="14"/>
        <v>0.4017</v>
      </c>
      <c r="AA17" s="751">
        <f t="shared" si="15"/>
        <v>0</v>
      </c>
      <c r="AB17" s="751">
        <f t="shared" si="16"/>
        <v>0</v>
      </c>
      <c r="AC17" s="751">
        <f t="shared" si="17"/>
        <v>0</v>
      </c>
      <c r="AD17" s="751">
        <f t="shared" si="18"/>
        <v>0</v>
      </c>
      <c r="AE17" s="751">
        <f t="shared" si="19"/>
        <v>0</v>
      </c>
      <c r="AF17" s="598">
        <f t="shared" si="20"/>
        <v>0.4017</v>
      </c>
      <c r="AG17"/>
    </row>
    <row r="18" spans="1:33" ht="15" x14ac:dyDescent="0.25">
      <c r="A18" s="412">
        <f>+SUBTOTAL(3,$B$4:B18)</f>
        <v>15</v>
      </c>
      <c r="B18" s="412" t="str">
        <f>'Visual chart Edit'!B21</f>
        <v>2/4</v>
      </c>
      <c r="C18" s="412" t="str">
        <f>'Visual chart Edit'!C21</f>
        <v>DA+3</v>
      </c>
      <c r="D18" s="412" t="s">
        <v>1296</v>
      </c>
      <c r="E18" s="464">
        <f>'Visual chart Edit'!I21</f>
        <v>429</v>
      </c>
      <c r="F18" s="412" t="str">
        <f>'Visual chart Edit'!K21</f>
        <v>Sandy</v>
      </c>
      <c r="G18" s="412" t="str">
        <f>'Visual chart Edit'!L21</f>
        <v>E</v>
      </c>
      <c r="H18" s="412" t="s">
        <v>419</v>
      </c>
      <c r="I18" s="412" t="s">
        <v>419</v>
      </c>
      <c r="J18" s="412" t="s">
        <v>419</v>
      </c>
      <c r="K18" s="412"/>
      <c r="M18" s="503" t="s">
        <v>1309</v>
      </c>
      <c r="N18" s="504">
        <f t="shared" si="2"/>
        <v>2</v>
      </c>
      <c r="O18" s="504">
        <f t="shared" si="3"/>
        <v>2</v>
      </c>
      <c r="P18" s="504">
        <f t="shared" si="4"/>
        <v>0</v>
      </c>
      <c r="Q18" s="504">
        <f t="shared" si="5"/>
        <v>0</v>
      </c>
      <c r="R18" s="504">
        <f t="shared" si="6"/>
        <v>0</v>
      </c>
      <c r="S18" s="505">
        <f t="shared" si="13"/>
        <v>2</v>
      </c>
      <c r="T18" s="504">
        <f t="shared" si="7"/>
        <v>2</v>
      </c>
      <c r="U18" s="504">
        <f t="shared" si="8"/>
        <v>0</v>
      </c>
      <c r="V18" s="504">
        <f t="shared" si="9"/>
        <v>0</v>
      </c>
      <c r="W18" s="504">
        <f t="shared" si="10"/>
        <v>0</v>
      </c>
      <c r="X18" s="504">
        <f t="shared" si="11"/>
        <v>0</v>
      </c>
      <c r="Y18" s="412">
        <f t="shared" si="12"/>
        <v>0</v>
      </c>
      <c r="Z18" s="751">
        <f t="shared" si="14"/>
        <v>0.77710000000000001</v>
      </c>
      <c r="AA18" s="751">
        <f t="shared" si="15"/>
        <v>0</v>
      </c>
      <c r="AB18" s="751">
        <f t="shared" si="16"/>
        <v>0</v>
      </c>
      <c r="AC18" s="751">
        <f t="shared" si="17"/>
        <v>0</v>
      </c>
      <c r="AD18" s="751">
        <f t="shared" si="18"/>
        <v>0</v>
      </c>
      <c r="AE18" s="751">
        <f t="shared" si="19"/>
        <v>0</v>
      </c>
      <c r="AF18" s="598">
        <f t="shared" si="20"/>
        <v>0.77710000000000001</v>
      </c>
      <c r="AG18"/>
    </row>
    <row r="19" spans="1:33" ht="15" x14ac:dyDescent="0.25">
      <c r="A19" s="412">
        <f>+SUBTOTAL(3,$B$4:B19)</f>
        <v>16</v>
      </c>
      <c r="B19" s="412" t="str">
        <f>'Visual chart Edit'!B22</f>
        <v>2/5</v>
      </c>
      <c r="C19" s="412" t="str">
        <f>'Visual chart Edit'!C22</f>
        <v>DA+3</v>
      </c>
      <c r="D19" s="412" t="s">
        <v>1296</v>
      </c>
      <c r="E19" s="464">
        <f>'Visual chart Edit'!I22</f>
        <v>411.6</v>
      </c>
      <c r="F19" s="412" t="str">
        <f>'Visual chart Edit'!K22</f>
        <v>Sandy</v>
      </c>
      <c r="G19" s="412" t="str">
        <f>'Visual chart Edit'!L22</f>
        <v>E</v>
      </c>
      <c r="H19" s="412" t="s">
        <v>419</v>
      </c>
      <c r="I19" s="412" t="s">
        <v>419</v>
      </c>
      <c r="J19" s="412" t="s">
        <v>419</v>
      </c>
      <c r="K19" s="412"/>
      <c r="M19" s="503" t="s">
        <v>1310</v>
      </c>
      <c r="N19" s="504">
        <f t="shared" si="2"/>
        <v>9</v>
      </c>
      <c r="O19" s="504">
        <f t="shared" si="3"/>
        <v>9</v>
      </c>
      <c r="P19" s="504">
        <f t="shared" si="4"/>
        <v>0</v>
      </c>
      <c r="Q19" s="504">
        <f t="shared" si="5"/>
        <v>0</v>
      </c>
      <c r="R19" s="504">
        <f t="shared" si="6"/>
        <v>0</v>
      </c>
      <c r="S19" s="505">
        <f t="shared" si="13"/>
        <v>9</v>
      </c>
      <c r="T19" s="504">
        <f t="shared" si="7"/>
        <v>9</v>
      </c>
      <c r="U19" s="504">
        <f t="shared" si="8"/>
        <v>0</v>
      </c>
      <c r="V19" s="504">
        <f t="shared" si="9"/>
        <v>0</v>
      </c>
      <c r="W19" s="504">
        <f t="shared" si="10"/>
        <v>0</v>
      </c>
      <c r="X19" s="504">
        <f t="shared" si="11"/>
        <v>0</v>
      </c>
      <c r="Y19" s="412">
        <f t="shared" si="12"/>
        <v>0</v>
      </c>
      <c r="Z19" s="751">
        <f t="shared" si="14"/>
        <v>3.4971999999999999</v>
      </c>
      <c r="AA19" s="751">
        <f t="shared" si="15"/>
        <v>0</v>
      </c>
      <c r="AB19" s="751">
        <f t="shared" si="16"/>
        <v>0</v>
      </c>
      <c r="AC19" s="751">
        <f t="shared" si="17"/>
        <v>0</v>
      </c>
      <c r="AD19" s="751">
        <f t="shared" si="18"/>
        <v>0</v>
      </c>
      <c r="AE19" s="751">
        <f t="shared" si="19"/>
        <v>0</v>
      </c>
      <c r="AF19" s="598">
        <f t="shared" si="20"/>
        <v>3.4971999999999999</v>
      </c>
      <c r="AG19"/>
    </row>
    <row r="20" spans="1:33" ht="15" x14ac:dyDescent="0.25">
      <c r="A20" s="412">
        <f>+SUBTOTAL(3,$B$4:B20)</f>
        <v>17</v>
      </c>
      <c r="B20" s="412" t="str">
        <f>'Visual chart Edit'!B23</f>
        <v>2/6</v>
      </c>
      <c r="C20" s="412" t="str">
        <f>'Visual chart Edit'!C23</f>
        <v>DA+3</v>
      </c>
      <c r="D20" s="412" t="s">
        <v>1297</v>
      </c>
      <c r="E20" s="464">
        <f>'Visual chart Edit'!I23</f>
        <v>425.7</v>
      </c>
      <c r="F20" s="412" t="str">
        <f>'Visual chart Edit'!K23</f>
        <v>Sandy</v>
      </c>
      <c r="G20" s="412" t="str">
        <f>'Visual chart Edit'!L23</f>
        <v>E</v>
      </c>
      <c r="H20" s="412" t="s">
        <v>419</v>
      </c>
      <c r="I20" s="412" t="s">
        <v>419</v>
      </c>
      <c r="J20" s="412" t="s">
        <v>419</v>
      </c>
      <c r="K20" s="412"/>
      <c r="M20" s="503" t="s">
        <v>1311</v>
      </c>
      <c r="N20" s="504">
        <f t="shared" si="2"/>
        <v>6</v>
      </c>
      <c r="O20" s="504">
        <f t="shared" si="3"/>
        <v>6</v>
      </c>
      <c r="P20" s="504">
        <f t="shared" si="4"/>
        <v>0</v>
      </c>
      <c r="Q20" s="504">
        <f t="shared" si="5"/>
        <v>0</v>
      </c>
      <c r="R20" s="504">
        <f t="shared" si="6"/>
        <v>0</v>
      </c>
      <c r="S20" s="505">
        <f t="shared" si="13"/>
        <v>6</v>
      </c>
      <c r="T20" s="504">
        <f t="shared" si="7"/>
        <v>6</v>
      </c>
      <c r="U20" s="504">
        <f t="shared" si="8"/>
        <v>0</v>
      </c>
      <c r="V20" s="504">
        <f t="shared" si="9"/>
        <v>0</v>
      </c>
      <c r="W20" s="504">
        <f t="shared" si="10"/>
        <v>0</v>
      </c>
      <c r="X20" s="504">
        <f t="shared" si="11"/>
        <v>0</v>
      </c>
      <c r="Y20" s="412">
        <f t="shared" si="12"/>
        <v>0</v>
      </c>
      <c r="Z20" s="751">
        <f t="shared" si="14"/>
        <v>2.4504000000000001</v>
      </c>
      <c r="AA20" s="751">
        <f t="shared" si="15"/>
        <v>0</v>
      </c>
      <c r="AB20" s="751">
        <f t="shared" si="16"/>
        <v>0</v>
      </c>
      <c r="AC20" s="751">
        <f t="shared" si="17"/>
        <v>0</v>
      </c>
      <c r="AD20" s="751">
        <f t="shared" si="18"/>
        <v>0</v>
      </c>
      <c r="AE20" s="751">
        <f t="shared" si="19"/>
        <v>0</v>
      </c>
      <c r="AF20" s="598">
        <f t="shared" si="20"/>
        <v>2.4504000000000001</v>
      </c>
      <c r="AG20"/>
    </row>
    <row r="21" spans="1:33" ht="15" x14ac:dyDescent="0.25">
      <c r="A21" s="412">
        <f>+SUBTOTAL(3,$B$4:B21)</f>
        <v>18</v>
      </c>
      <c r="B21" s="412" t="str">
        <f>'Visual chart Edit'!B24</f>
        <v>2/7</v>
      </c>
      <c r="C21" s="412" t="str">
        <f>'Visual chart Edit'!C24</f>
        <v>DA+3</v>
      </c>
      <c r="D21" s="412" t="s">
        <v>1297</v>
      </c>
      <c r="E21" s="464">
        <f>'Visual chart Edit'!I24</f>
        <v>408.2</v>
      </c>
      <c r="F21" s="412" t="str">
        <f>'Visual chart Edit'!K24</f>
        <v>Sandy</v>
      </c>
      <c r="G21" s="412" t="str">
        <f>'Visual chart Edit'!L24</f>
        <v>E</v>
      </c>
      <c r="H21" s="412" t="s">
        <v>419</v>
      </c>
      <c r="I21" s="412" t="s">
        <v>419</v>
      </c>
      <c r="J21" s="412" t="s">
        <v>419</v>
      </c>
      <c r="K21" s="412"/>
      <c r="M21" s="503" t="s">
        <v>1312</v>
      </c>
      <c r="N21" s="504">
        <f t="shared" si="2"/>
        <v>4</v>
      </c>
      <c r="O21" s="504">
        <f t="shared" si="3"/>
        <v>4</v>
      </c>
      <c r="P21" s="504">
        <f t="shared" si="4"/>
        <v>0</v>
      </c>
      <c r="Q21" s="504">
        <f t="shared" si="5"/>
        <v>0</v>
      </c>
      <c r="R21" s="504">
        <f t="shared" si="6"/>
        <v>0</v>
      </c>
      <c r="S21" s="505">
        <f t="shared" si="13"/>
        <v>4</v>
      </c>
      <c r="T21" s="504">
        <f t="shared" si="7"/>
        <v>4</v>
      </c>
      <c r="U21" s="504">
        <f t="shared" si="8"/>
        <v>0</v>
      </c>
      <c r="V21" s="504">
        <f t="shared" si="9"/>
        <v>0</v>
      </c>
      <c r="W21" s="504">
        <f t="shared" si="10"/>
        <v>0</v>
      </c>
      <c r="X21" s="504">
        <f t="shared" si="11"/>
        <v>0</v>
      </c>
      <c r="Y21" s="412">
        <f t="shared" si="12"/>
        <v>0</v>
      </c>
      <c r="Z21" s="751">
        <f t="shared" si="14"/>
        <v>1.5735999999999999</v>
      </c>
      <c r="AA21" s="751">
        <f t="shared" si="15"/>
        <v>0</v>
      </c>
      <c r="AB21" s="751">
        <f t="shared" si="16"/>
        <v>0</v>
      </c>
      <c r="AC21" s="751">
        <f t="shared" si="17"/>
        <v>0</v>
      </c>
      <c r="AD21" s="751">
        <f t="shared" si="18"/>
        <v>0</v>
      </c>
      <c r="AE21" s="751">
        <f t="shared" si="19"/>
        <v>0</v>
      </c>
      <c r="AF21" s="598">
        <f t="shared" si="20"/>
        <v>1.5735999999999999</v>
      </c>
      <c r="AG21"/>
    </row>
    <row r="22" spans="1:33" ht="15" x14ac:dyDescent="0.25">
      <c r="A22" s="412">
        <f>+SUBTOTAL(3,$B$4:B22)</f>
        <v>19</v>
      </c>
      <c r="B22" s="412" t="str">
        <f>'Visual chart Edit'!B25</f>
        <v>2/8</v>
      </c>
      <c r="C22" s="412" t="str">
        <f>'Visual chart Edit'!C25</f>
        <v>DA+0</v>
      </c>
      <c r="D22" s="412" t="s">
        <v>1297</v>
      </c>
      <c r="E22" s="464">
        <f>'Visual chart Edit'!I25</f>
        <v>354.6</v>
      </c>
      <c r="F22" s="412" t="str">
        <f>'Visual chart Edit'!K25</f>
        <v>Sandy</v>
      </c>
      <c r="G22" s="412" t="str">
        <f>'Visual chart Edit'!L25</f>
        <v>E</v>
      </c>
      <c r="H22" s="412" t="s">
        <v>419</v>
      </c>
      <c r="I22" s="412" t="s">
        <v>419</v>
      </c>
      <c r="J22" s="412" t="s">
        <v>419</v>
      </c>
      <c r="K22" s="412"/>
      <c r="M22" s="503" t="s">
        <v>1313</v>
      </c>
      <c r="N22" s="504">
        <f t="shared" si="2"/>
        <v>7</v>
      </c>
      <c r="O22" s="504">
        <f t="shared" si="3"/>
        <v>7</v>
      </c>
      <c r="P22" s="504">
        <f t="shared" si="4"/>
        <v>0</v>
      </c>
      <c r="Q22" s="504">
        <f t="shared" si="5"/>
        <v>0</v>
      </c>
      <c r="R22" s="504">
        <f t="shared" si="6"/>
        <v>0</v>
      </c>
      <c r="S22" s="505">
        <f t="shared" si="13"/>
        <v>7</v>
      </c>
      <c r="T22" s="504">
        <f t="shared" si="7"/>
        <v>7</v>
      </c>
      <c r="U22" s="504">
        <f t="shared" si="8"/>
        <v>0</v>
      </c>
      <c r="V22" s="504">
        <f t="shared" si="9"/>
        <v>0</v>
      </c>
      <c r="W22" s="504">
        <f t="shared" si="10"/>
        <v>0</v>
      </c>
      <c r="X22" s="504">
        <f t="shared" si="11"/>
        <v>0</v>
      </c>
      <c r="Y22" s="412">
        <f t="shared" si="12"/>
        <v>0</v>
      </c>
      <c r="Z22" s="751">
        <f t="shared" si="14"/>
        <v>2.6560000000000001</v>
      </c>
      <c r="AA22" s="751">
        <f t="shared" si="15"/>
        <v>0</v>
      </c>
      <c r="AB22" s="751">
        <f t="shared" si="16"/>
        <v>0</v>
      </c>
      <c r="AC22" s="751">
        <f t="shared" si="17"/>
        <v>0</v>
      </c>
      <c r="AD22" s="751">
        <f t="shared" si="18"/>
        <v>0</v>
      </c>
      <c r="AE22" s="751">
        <f t="shared" si="19"/>
        <v>0</v>
      </c>
      <c r="AF22" s="598">
        <f t="shared" si="20"/>
        <v>2.6560000000000001</v>
      </c>
      <c r="AG22"/>
    </row>
    <row r="23" spans="1:33" ht="15" x14ac:dyDescent="0.25">
      <c r="A23" s="412">
        <f>+SUBTOTAL(3,$B$4:B23)</f>
        <v>20</v>
      </c>
      <c r="B23" s="412" t="str">
        <f>'Visual chart Edit'!B26</f>
        <v>2/9</v>
      </c>
      <c r="C23" s="412" t="str">
        <f>'Visual chart Edit'!C26</f>
        <v>DA+0</v>
      </c>
      <c r="D23" s="412" t="s">
        <v>1297</v>
      </c>
      <c r="E23" s="464">
        <f>'Visual chart Edit'!I26</f>
        <v>308.7</v>
      </c>
      <c r="F23" s="412" t="str">
        <f>'Visual chart Edit'!K26</f>
        <v>DRY</v>
      </c>
      <c r="G23" s="412" t="str">
        <f>'Visual chart Edit'!L26</f>
        <v>E</v>
      </c>
      <c r="H23" s="412" t="s">
        <v>419</v>
      </c>
      <c r="I23" s="412" t="s">
        <v>419</v>
      </c>
      <c r="J23" s="412" t="s">
        <v>419</v>
      </c>
      <c r="K23" s="412"/>
      <c r="M23" s="503" t="s">
        <v>1314</v>
      </c>
      <c r="N23" s="504">
        <f t="shared" si="2"/>
        <v>8</v>
      </c>
      <c r="O23" s="504">
        <f t="shared" si="3"/>
        <v>8</v>
      </c>
      <c r="P23" s="504">
        <f t="shared" si="4"/>
        <v>0</v>
      </c>
      <c r="Q23" s="504">
        <f t="shared" si="5"/>
        <v>0</v>
      </c>
      <c r="R23" s="504">
        <f t="shared" si="6"/>
        <v>0</v>
      </c>
      <c r="S23" s="505">
        <f t="shared" si="13"/>
        <v>8</v>
      </c>
      <c r="T23" s="504">
        <f t="shared" si="7"/>
        <v>8</v>
      </c>
      <c r="U23" s="504">
        <f t="shared" si="8"/>
        <v>0</v>
      </c>
      <c r="V23" s="504">
        <f t="shared" si="9"/>
        <v>0</v>
      </c>
      <c r="W23" s="504">
        <f t="shared" si="10"/>
        <v>0</v>
      </c>
      <c r="X23" s="504">
        <f t="shared" si="11"/>
        <v>0</v>
      </c>
      <c r="Y23" s="412">
        <f t="shared" si="12"/>
        <v>0</v>
      </c>
      <c r="Z23" s="751">
        <f t="shared" si="14"/>
        <v>3.1701199999999998</v>
      </c>
      <c r="AA23" s="751">
        <f t="shared" si="15"/>
        <v>0</v>
      </c>
      <c r="AB23" s="751">
        <f t="shared" si="16"/>
        <v>0</v>
      </c>
      <c r="AC23" s="751">
        <f t="shared" si="17"/>
        <v>0</v>
      </c>
      <c r="AD23" s="751">
        <f t="shared" si="18"/>
        <v>0</v>
      </c>
      <c r="AE23" s="751">
        <f t="shared" si="19"/>
        <v>0</v>
      </c>
      <c r="AF23" s="598">
        <f t="shared" si="20"/>
        <v>3.1701199999999998</v>
      </c>
      <c r="AG23"/>
    </row>
    <row r="24" spans="1:33" ht="15" x14ac:dyDescent="0.25">
      <c r="A24" s="412">
        <f>+SUBTOTAL(3,$B$4:B24)</f>
        <v>21</v>
      </c>
      <c r="B24" s="412" t="str">
        <f>'Visual chart Edit'!B27</f>
        <v>3/0</v>
      </c>
      <c r="C24" s="412" t="str">
        <f>'Visual chart Edit'!C27</f>
        <v>DD60+6</v>
      </c>
      <c r="D24" s="412" t="s">
        <v>1297</v>
      </c>
      <c r="E24" s="464">
        <f>'Visual chart Edit'!I27</f>
        <v>336</v>
      </c>
      <c r="F24" s="412" t="str">
        <f>'Visual chart Edit'!K27</f>
        <v>DRY</v>
      </c>
      <c r="G24" s="412" t="str">
        <f>'Visual chart Edit'!L27</f>
        <v>E</v>
      </c>
      <c r="H24" s="412" t="s">
        <v>419</v>
      </c>
      <c r="I24" s="412" t="s">
        <v>419</v>
      </c>
      <c r="J24" s="412" t="s">
        <v>419</v>
      </c>
      <c r="K24" s="412"/>
      <c r="M24" s="503" t="s">
        <v>1315</v>
      </c>
      <c r="N24" s="504">
        <f t="shared" si="2"/>
        <v>9</v>
      </c>
      <c r="O24" s="504">
        <f t="shared" si="3"/>
        <v>9</v>
      </c>
      <c r="P24" s="504">
        <f t="shared" si="4"/>
        <v>0</v>
      </c>
      <c r="Q24" s="504">
        <f t="shared" si="5"/>
        <v>0</v>
      </c>
      <c r="R24" s="504">
        <f t="shared" si="6"/>
        <v>0</v>
      </c>
      <c r="S24" s="505">
        <f t="shared" si="13"/>
        <v>9</v>
      </c>
      <c r="T24" s="504">
        <f t="shared" si="7"/>
        <v>9</v>
      </c>
      <c r="U24" s="504">
        <f t="shared" si="8"/>
        <v>0</v>
      </c>
      <c r="V24" s="504">
        <f t="shared" si="9"/>
        <v>0</v>
      </c>
      <c r="W24" s="504">
        <f t="shared" si="10"/>
        <v>0</v>
      </c>
      <c r="X24" s="504">
        <f t="shared" si="11"/>
        <v>0</v>
      </c>
      <c r="Y24" s="412">
        <f t="shared" si="12"/>
        <v>0</v>
      </c>
      <c r="Z24" s="751">
        <f t="shared" si="14"/>
        <v>3.4585500000000002</v>
      </c>
      <c r="AA24" s="751">
        <f t="shared" si="15"/>
        <v>0</v>
      </c>
      <c r="AB24" s="751">
        <f t="shared" si="16"/>
        <v>2.8529299999999997</v>
      </c>
      <c r="AC24" s="751">
        <f t="shared" si="17"/>
        <v>0</v>
      </c>
      <c r="AD24" s="751">
        <f t="shared" si="18"/>
        <v>0</v>
      </c>
      <c r="AE24" s="751">
        <f t="shared" si="19"/>
        <v>0</v>
      </c>
      <c r="AF24" s="598">
        <f t="shared" si="20"/>
        <v>0.60562000000000049</v>
      </c>
      <c r="AG24"/>
    </row>
    <row r="25" spans="1:33" ht="15" x14ac:dyDescent="0.25">
      <c r="A25" s="412">
        <f>+SUBTOTAL(3,$B$4:B25)</f>
        <v>22</v>
      </c>
      <c r="B25" s="412" t="str">
        <f>'Visual chart Edit'!B28</f>
        <v>4/0</v>
      </c>
      <c r="C25" s="412" t="str">
        <f>'Visual chart Edit'!C28</f>
        <v>DD60+6</v>
      </c>
      <c r="D25" s="412" t="s">
        <v>1297</v>
      </c>
      <c r="E25" s="464">
        <f>'Visual chart Edit'!I28</f>
        <v>226.5</v>
      </c>
      <c r="F25" s="412" t="str">
        <f>'Visual chart Edit'!K28</f>
        <v>DRY</v>
      </c>
      <c r="G25" s="412" t="str">
        <f>'Visual chart Edit'!L28</f>
        <v>E</v>
      </c>
      <c r="H25" s="412" t="s">
        <v>419</v>
      </c>
      <c r="I25" s="412"/>
      <c r="J25" s="412" t="s">
        <v>419</v>
      </c>
      <c r="K25" s="412"/>
      <c r="M25" s="503" t="s">
        <v>1316</v>
      </c>
      <c r="N25" s="504">
        <f t="shared" si="2"/>
        <v>4</v>
      </c>
      <c r="O25" s="504">
        <f t="shared" si="3"/>
        <v>4</v>
      </c>
      <c r="P25" s="504">
        <f t="shared" si="4"/>
        <v>0</v>
      </c>
      <c r="Q25" s="504">
        <f t="shared" si="5"/>
        <v>0</v>
      </c>
      <c r="R25" s="504">
        <f t="shared" si="6"/>
        <v>0</v>
      </c>
      <c r="S25" s="505">
        <f t="shared" si="13"/>
        <v>4</v>
      </c>
      <c r="T25" s="504">
        <f t="shared" si="7"/>
        <v>4</v>
      </c>
      <c r="U25" s="504">
        <f t="shared" si="8"/>
        <v>0</v>
      </c>
      <c r="V25" s="504">
        <f t="shared" si="9"/>
        <v>0</v>
      </c>
      <c r="W25" s="504">
        <f t="shared" si="10"/>
        <v>0</v>
      </c>
      <c r="X25" s="504">
        <f t="shared" si="11"/>
        <v>0</v>
      </c>
      <c r="Y25" s="412">
        <f t="shared" si="12"/>
        <v>0</v>
      </c>
      <c r="Z25" s="751">
        <f t="shared" si="14"/>
        <v>1.6246</v>
      </c>
      <c r="AA25" s="751">
        <f t="shared" si="15"/>
        <v>0</v>
      </c>
      <c r="AB25" s="751">
        <f t="shared" si="16"/>
        <v>1.6246</v>
      </c>
      <c r="AC25" s="751">
        <f t="shared" si="17"/>
        <v>0</v>
      </c>
      <c r="AD25" s="751">
        <f t="shared" si="18"/>
        <v>0</v>
      </c>
      <c r="AE25" s="751">
        <f t="shared" si="19"/>
        <v>0</v>
      </c>
      <c r="AF25" s="598">
        <f t="shared" si="20"/>
        <v>0</v>
      </c>
      <c r="AG25"/>
    </row>
    <row r="26" spans="1:33" ht="15" x14ac:dyDescent="0.25">
      <c r="A26" s="412">
        <f>+SUBTOTAL(3,$B$4:B26)</f>
        <v>23</v>
      </c>
      <c r="B26" s="412" t="str">
        <f>'Visual chart Edit'!B29</f>
        <v>4/1</v>
      </c>
      <c r="C26" s="412" t="str">
        <f>'Visual chart Edit'!C29</f>
        <v>DA+0</v>
      </c>
      <c r="D26" s="412" t="s">
        <v>1297</v>
      </c>
      <c r="E26" s="464">
        <f>'Visual chart Edit'!I29</f>
        <v>343</v>
      </c>
      <c r="F26" s="412" t="str">
        <f>'Visual chart Edit'!K29</f>
        <v>DRY</v>
      </c>
      <c r="G26" s="412" t="str">
        <f>'Visual chart Edit'!L29</f>
        <v>E</v>
      </c>
      <c r="H26" s="412"/>
      <c r="I26" s="412"/>
      <c r="J26" s="412"/>
      <c r="K26" s="412"/>
      <c r="M26" s="503" t="s">
        <v>1317</v>
      </c>
      <c r="N26" s="504">
        <f t="shared" si="2"/>
        <v>6</v>
      </c>
      <c r="O26" s="504">
        <f t="shared" si="3"/>
        <v>6</v>
      </c>
      <c r="P26" s="504">
        <f t="shared" si="4"/>
        <v>0</v>
      </c>
      <c r="Q26" s="504">
        <f t="shared" si="5"/>
        <v>0</v>
      </c>
      <c r="R26" s="504">
        <f t="shared" si="6"/>
        <v>0</v>
      </c>
      <c r="S26" s="505">
        <f t="shared" si="13"/>
        <v>6</v>
      </c>
      <c r="T26" s="504">
        <f t="shared" si="7"/>
        <v>6</v>
      </c>
      <c r="U26" s="504">
        <f t="shared" si="8"/>
        <v>0</v>
      </c>
      <c r="V26" s="504">
        <f t="shared" si="9"/>
        <v>0</v>
      </c>
      <c r="W26" s="504">
        <f t="shared" si="10"/>
        <v>0</v>
      </c>
      <c r="X26" s="504">
        <f t="shared" si="11"/>
        <v>0</v>
      </c>
      <c r="Y26" s="412">
        <f t="shared" si="12"/>
        <v>0</v>
      </c>
      <c r="Z26" s="751">
        <f t="shared" si="14"/>
        <v>2.4091999999999998</v>
      </c>
      <c r="AA26" s="751">
        <f t="shared" si="15"/>
        <v>1.5774000000000001</v>
      </c>
      <c r="AB26" s="751">
        <f t="shared" si="16"/>
        <v>0.83179999999999998</v>
      </c>
      <c r="AC26" s="751">
        <f t="shared" si="17"/>
        <v>0</v>
      </c>
      <c r="AD26" s="751">
        <f t="shared" si="18"/>
        <v>0</v>
      </c>
      <c r="AE26" s="751">
        <f t="shared" si="19"/>
        <v>0</v>
      </c>
      <c r="AF26" s="598">
        <f t="shared" si="20"/>
        <v>0</v>
      </c>
      <c r="AG26"/>
    </row>
    <row r="27" spans="1:33" ht="15" x14ac:dyDescent="0.25">
      <c r="A27" s="412">
        <f>+SUBTOTAL(3,$B$4:B27)</f>
        <v>24</v>
      </c>
      <c r="B27" s="412" t="str">
        <f>'Visual chart Edit'!B30</f>
        <v>4/2</v>
      </c>
      <c r="C27" s="412" t="str">
        <f>'Visual chart Edit'!C30</f>
        <v>DA+0</v>
      </c>
      <c r="D27" s="412" t="s">
        <v>1297</v>
      </c>
      <c r="E27" s="464">
        <f>'Visual chart Edit'!I30</f>
        <v>358.4</v>
      </c>
      <c r="F27" s="412" t="str">
        <f>'Visual chart Edit'!K30</f>
        <v>DRY</v>
      </c>
      <c r="G27" s="412" t="str">
        <f>'Visual chart Edit'!L30</f>
        <v>E</v>
      </c>
      <c r="H27" s="412"/>
      <c r="I27" s="412"/>
      <c r="J27" s="412"/>
      <c r="K27" s="412"/>
      <c r="M27" s="503" t="s">
        <v>1318</v>
      </c>
      <c r="N27" s="504">
        <f t="shared" si="2"/>
        <v>7</v>
      </c>
      <c r="O27" s="504">
        <f t="shared" si="3"/>
        <v>7</v>
      </c>
      <c r="P27" s="504">
        <f t="shared" si="4"/>
        <v>0</v>
      </c>
      <c r="Q27" s="504">
        <f t="shared" si="5"/>
        <v>0</v>
      </c>
      <c r="R27" s="504">
        <f t="shared" si="6"/>
        <v>0</v>
      </c>
      <c r="S27" s="505">
        <f t="shared" si="13"/>
        <v>7</v>
      </c>
      <c r="T27" s="504">
        <f t="shared" si="7"/>
        <v>7</v>
      </c>
      <c r="U27" s="504">
        <f t="shared" si="8"/>
        <v>0</v>
      </c>
      <c r="V27" s="504">
        <f t="shared" si="9"/>
        <v>0</v>
      </c>
      <c r="W27" s="504">
        <f t="shared" si="10"/>
        <v>0</v>
      </c>
      <c r="X27" s="504">
        <f t="shared" si="11"/>
        <v>0</v>
      </c>
      <c r="Y27" s="412">
        <f t="shared" si="12"/>
        <v>0</v>
      </c>
      <c r="Z27" s="751">
        <f t="shared" si="14"/>
        <v>2.9563999999999999</v>
      </c>
      <c r="AA27" s="751">
        <f t="shared" si="15"/>
        <v>2.9563999999999999</v>
      </c>
      <c r="AB27" s="751">
        <f t="shared" si="16"/>
        <v>0</v>
      </c>
      <c r="AC27" s="751">
        <f t="shared" si="17"/>
        <v>0</v>
      </c>
      <c r="AD27" s="751">
        <f t="shared" si="18"/>
        <v>0</v>
      </c>
      <c r="AE27" s="751">
        <f t="shared" si="19"/>
        <v>0</v>
      </c>
      <c r="AF27" s="598">
        <f t="shared" si="20"/>
        <v>0</v>
      </c>
      <c r="AG27"/>
    </row>
    <row r="28" spans="1:33" ht="15" x14ac:dyDescent="0.25">
      <c r="A28" s="412">
        <f>+SUBTOTAL(3,$B$4:B28)</f>
        <v>25</v>
      </c>
      <c r="B28" s="412" t="str">
        <f>'Visual chart Edit'!B31</f>
        <v>4/3</v>
      </c>
      <c r="C28" s="412" t="str">
        <f>'Visual chart Edit'!C31</f>
        <v>DA+0</v>
      </c>
      <c r="D28" s="412" t="s">
        <v>1297</v>
      </c>
      <c r="E28" s="464">
        <f>'Visual chart Edit'!I31</f>
        <v>381</v>
      </c>
      <c r="F28" s="412" t="str">
        <f>'Visual chart Edit'!K31</f>
        <v>DRY</v>
      </c>
      <c r="G28" s="412" t="str">
        <f>'Visual chart Edit'!L31</f>
        <v>E</v>
      </c>
      <c r="H28" s="412"/>
      <c r="I28" s="412"/>
      <c r="J28" s="412"/>
      <c r="K28" s="412"/>
      <c r="M28" s="503" t="s">
        <v>1319</v>
      </c>
      <c r="N28" s="504">
        <f t="shared" si="2"/>
        <v>4</v>
      </c>
      <c r="O28" s="504">
        <f t="shared" si="3"/>
        <v>4</v>
      </c>
      <c r="P28" s="504">
        <f t="shared" si="4"/>
        <v>0</v>
      </c>
      <c r="Q28" s="504">
        <f t="shared" si="5"/>
        <v>0</v>
      </c>
      <c r="R28" s="504">
        <f t="shared" si="6"/>
        <v>0</v>
      </c>
      <c r="S28" s="505">
        <f t="shared" si="13"/>
        <v>4</v>
      </c>
      <c r="T28" s="504">
        <f t="shared" si="7"/>
        <v>4</v>
      </c>
      <c r="U28" s="504">
        <f t="shared" si="8"/>
        <v>0</v>
      </c>
      <c r="V28" s="504">
        <f t="shared" si="9"/>
        <v>0</v>
      </c>
      <c r="W28" s="504">
        <f t="shared" si="10"/>
        <v>0</v>
      </c>
      <c r="X28" s="504">
        <f t="shared" si="11"/>
        <v>0</v>
      </c>
      <c r="Y28" s="412">
        <f t="shared" si="12"/>
        <v>0</v>
      </c>
      <c r="Z28" s="751">
        <f t="shared" si="14"/>
        <v>1.6321000000000001</v>
      </c>
      <c r="AA28" s="751">
        <f t="shared" si="15"/>
        <v>1.6321000000000001</v>
      </c>
      <c r="AB28" s="751">
        <f t="shared" si="16"/>
        <v>0</v>
      </c>
      <c r="AC28" s="751">
        <f t="shared" si="17"/>
        <v>0</v>
      </c>
      <c r="AD28" s="751">
        <f t="shared" si="18"/>
        <v>0</v>
      </c>
      <c r="AE28" s="751">
        <f t="shared" si="19"/>
        <v>0</v>
      </c>
      <c r="AF28" s="598">
        <f t="shared" si="20"/>
        <v>0</v>
      </c>
      <c r="AG28"/>
    </row>
    <row r="29" spans="1:33" ht="15" x14ac:dyDescent="0.25">
      <c r="A29" s="412">
        <f>+SUBTOTAL(3,$B$4:B29)</f>
        <v>26</v>
      </c>
      <c r="B29" s="412" t="str">
        <f>'Visual chart Edit'!B32</f>
        <v>4/4</v>
      </c>
      <c r="C29" s="412" t="str">
        <f>'Visual chart Edit'!C32</f>
        <v>DA+0</v>
      </c>
      <c r="D29" s="412" t="s">
        <v>1297</v>
      </c>
      <c r="E29" s="464">
        <f>'Visual chart Edit'!I32</f>
        <v>367.6</v>
      </c>
      <c r="F29" s="412" t="str">
        <f>'Visual chart Edit'!K32</f>
        <v>DRY</v>
      </c>
      <c r="G29" s="412" t="str">
        <f>'Visual chart Edit'!L32</f>
        <v>E</v>
      </c>
      <c r="H29" s="412"/>
      <c r="I29" s="412"/>
      <c r="J29" s="412"/>
      <c r="K29" s="412"/>
      <c r="M29" s="503" t="s">
        <v>1320</v>
      </c>
      <c r="N29" s="504">
        <f t="shared" si="2"/>
        <v>7</v>
      </c>
      <c r="O29" s="504">
        <f t="shared" si="3"/>
        <v>7</v>
      </c>
      <c r="P29" s="504">
        <f t="shared" si="4"/>
        <v>0</v>
      </c>
      <c r="Q29" s="504">
        <f t="shared" si="5"/>
        <v>0</v>
      </c>
      <c r="R29" s="504">
        <f t="shared" si="6"/>
        <v>0</v>
      </c>
      <c r="S29" s="505">
        <f t="shared" si="13"/>
        <v>7</v>
      </c>
      <c r="T29" s="504">
        <f t="shared" si="7"/>
        <v>7</v>
      </c>
      <c r="U29" s="504">
        <f t="shared" si="8"/>
        <v>0</v>
      </c>
      <c r="V29" s="504">
        <f t="shared" si="9"/>
        <v>0</v>
      </c>
      <c r="W29" s="504">
        <f t="shared" si="10"/>
        <v>0</v>
      </c>
      <c r="X29" s="504">
        <f t="shared" si="11"/>
        <v>0</v>
      </c>
      <c r="Y29" s="412">
        <f t="shared" si="12"/>
        <v>0</v>
      </c>
      <c r="Z29" s="751">
        <f t="shared" si="14"/>
        <v>2.5541</v>
      </c>
      <c r="AA29" s="751">
        <f t="shared" si="15"/>
        <v>2.5541</v>
      </c>
      <c r="AB29" s="751">
        <f t="shared" si="16"/>
        <v>0</v>
      </c>
      <c r="AC29" s="751">
        <f t="shared" si="17"/>
        <v>0</v>
      </c>
      <c r="AD29" s="751">
        <f t="shared" si="18"/>
        <v>0</v>
      </c>
      <c r="AE29" s="751">
        <f t="shared" si="19"/>
        <v>0</v>
      </c>
      <c r="AF29" s="598">
        <f t="shared" si="20"/>
        <v>0</v>
      </c>
      <c r="AG29"/>
    </row>
    <row r="30" spans="1:33" ht="15" x14ac:dyDescent="0.25">
      <c r="A30" s="412">
        <f>+SUBTOTAL(3,$B$4:B30)</f>
        <v>27</v>
      </c>
      <c r="B30" s="412" t="str">
        <f>'Visual chart Edit'!B33</f>
        <v>5/0</v>
      </c>
      <c r="C30" s="412" t="str">
        <f>'Visual chart Edit'!C33</f>
        <v>DB1+9</v>
      </c>
      <c r="D30" s="412" t="s">
        <v>1297</v>
      </c>
      <c r="E30" s="464">
        <f>'Visual chart Edit'!I33</f>
        <v>423.1</v>
      </c>
      <c r="F30" s="412" t="str">
        <f>'Visual chart Edit'!K33</f>
        <v>DRY</v>
      </c>
      <c r="G30" s="412" t="str">
        <f>'Visual chart Edit'!L33</f>
        <v>E</v>
      </c>
      <c r="H30" s="412"/>
      <c r="I30" s="412"/>
      <c r="J30" s="412"/>
      <c r="K30" s="412"/>
      <c r="M30" s="503" t="s">
        <v>1321</v>
      </c>
      <c r="N30" s="504">
        <f t="shared" si="2"/>
        <v>13</v>
      </c>
      <c r="O30" s="504">
        <f t="shared" si="3"/>
        <v>13</v>
      </c>
      <c r="P30" s="504">
        <f t="shared" si="4"/>
        <v>0</v>
      </c>
      <c r="Q30" s="504">
        <f t="shared" si="5"/>
        <v>0</v>
      </c>
      <c r="R30" s="504">
        <f t="shared" si="6"/>
        <v>0</v>
      </c>
      <c r="S30" s="505">
        <f t="shared" si="13"/>
        <v>13</v>
      </c>
      <c r="T30" s="504">
        <f t="shared" si="7"/>
        <v>13</v>
      </c>
      <c r="U30" s="504">
        <f t="shared" si="8"/>
        <v>0</v>
      </c>
      <c r="V30" s="504">
        <f t="shared" si="9"/>
        <v>0</v>
      </c>
      <c r="W30" s="504">
        <f t="shared" si="10"/>
        <v>0</v>
      </c>
      <c r="X30" s="504">
        <f t="shared" si="11"/>
        <v>0</v>
      </c>
      <c r="Y30" s="412">
        <f t="shared" si="12"/>
        <v>0</v>
      </c>
      <c r="Z30" s="751">
        <f t="shared" si="14"/>
        <v>5.3754999999999988</v>
      </c>
      <c r="AA30" s="751">
        <f t="shared" si="15"/>
        <v>0</v>
      </c>
      <c r="AB30" s="751">
        <f t="shared" si="16"/>
        <v>0</v>
      </c>
      <c r="AC30" s="751">
        <f t="shared" si="17"/>
        <v>0</v>
      </c>
      <c r="AD30" s="751">
        <f t="shared" si="18"/>
        <v>0</v>
      </c>
      <c r="AE30" s="751">
        <f t="shared" si="19"/>
        <v>0</v>
      </c>
      <c r="AF30" s="598">
        <f t="shared" si="20"/>
        <v>5.3754999999999988</v>
      </c>
      <c r="AG30"/>
    </row>
    <row r="31" spans="1:33" ht="15" x14ac:dyDescent="0.25">
      <c r="A31" s="412">
        <f>+SUBTOTAL(3,$B$4:B31)</f>
        <v>28</v>
      </c>
      <c r="B31" s="412" t="str">
        <f>'Visual chart Edit'!B34</f>
        <v>6/0</v>
      </c>
      <c r="C31" s="412" t="str">
        <f>'Visual chart Edit'!C34</f>
        <v>DB2+9</v>
      </c>
      <c r="D31" s="412" t="s">
        <v>1297</v>
      </c>
      <c r="E31" s="464">
        <f>'Visual chart Edit'!I34</f>
        <v>246</v>
      </c>
      <c r="F31" s="412" t="str">
        <f>'Visual chart Edit'!K34</f>
        <v>DRY</v>
      </c>
      <c r="G31" s="412" t="str">
        <f>'Visual chart Edit'!L34</f>
        <v>E</v>
      </c>
      <c r="H31" s="412"/>
      <c r="I31" s="412"/>
      <c r="J31" s="412"/>
      <c r="K31" s="412"/>
      <c r="L31" s="478" t="s">
        <v>1430</v>
      </c>
      <c r="M31" s="503" t="s">
        <v>1322</v>
      </c>
      <c r="N31" s="504">
        <f t="shared" si="2"/>
        <v>3</v>
      </c>
      <c r="O31" s="504">
        <f t="shared" si="3"/>
        <v>3</v>
      </c>
      <c r="P31" s="504">
        <f t="shared" si="4"/>
        <v>0</v>
      </c>
      <c r="Q31" s="504">
        <f t="shared" si="5"/>
        <v>0</v>
      </c>
      <c r="R31" s="504">
        <f t="shared" si="6"/>
        <v>0</v>
      </c>
      <c r="S31" s="505">
        <f t="shared" si="13"/>
        <v>3</v>
      </c>
      <c r="T31" s="504">
        <f t="shared" si="7"/>
        <v>3</v>
      </c>
      <c r="U31" s="504">
        <f t="shared" si="8"/>
        <v>0</v>
      </c>
      <c r="V31" s="504">
        <f t="shared" si="9"/>
        <v>0</v>
      </c>
      <c r="W31" s="504">
        <f t="shared" si="10"/>
        <v>0</v>
      </c>
      <c r="X31" s="504">
        <f t="shared" si="11"/>
        <v>0</v>
      </c>
      <c r="Y31" s="412">
        <f t="shared" si="12"/>
        <v>0</v>
      </c>
      <c r="Z31" s="751">
        <f t="shared" si="14"/>
        <v>1.2327000000000001</v>
      </c>
      <c r="AA31" s="751">
        <f t="shared" si="15"/>
        <v>0</v>
      </c>
      <c r="AB31" s="751">
        <f t="shared" si="16"/>
        <v>0</v>
      </c>
      <c r="AC31" s="751">
        <f t="shared" si="17"/>
        <v>0</v>
      </c>
      <c r="AD31" s="751">
        <f t="shared" si="18"/>
        <v>0</v>
      </c>
      <c r="AE31" s="751">
        <f t="shared" si="19"/>
        <v>0</v>
      </c>
      <c r="AF31" s="598">
        <f t="shared" si="20"/>
        <v>1.2327000000000001</v>
      </c>
      <c r="AG31"/>
    </row>
    <row r="32" spans="1:33" ht="15" x14ac:dyDescent="0.25">
      <c r="A32" s="412">
        <f>+SUBTOTAL(3,$B$4:B32)</f>
        <v>29</v>
      </c>
      <c r="B32" s="412" t="str">
        <f>'Visual chart Edit'!B35</f>
        <v>6/1</v>
      </c>
      <c r="C32" s="412" t="str">
        <f>'Visual chart Edit'!C35</f>
        <v>DA+0</v>
      </c>
      <c r="D32" s="412" t="s">
        <v>1297</v>
      </c>
      <c r="E32" s="464">
        <f>'Visual chart Edit'!I35</f>
        <v>429.9</v>
      </c>
      <c r="F32" s="412" t="str">
        <f>'Visual chart Edit'!K35</f>
        <v>DFR</v>
      </c>
      <c r="G32" s="412" t="str">
        <f>'Visual chart Edit'!L35</f>
        <v>E</v>
      </c>
      <c r="H32" s="412"/>
      <c r="I32" s="412"/>
      <c r="J32" s="412"/>
      <c r="K32" s="412"/>
      <c r="M32" s="503" t="s">
        <v>1323</v>
      </c>
      <c r="N32" s="504">
        <f t="shared" si="2"/>
        <v>8</v>
      </c>
      <c r="O32" s="504">
        <f t="shared" si="3"/>
        <v>8</v>
      </c>
      <c r="P32" s="504">
        <f t="shared" si="4"/>
        <v>0</v>
      </c>
      <c r="Q32" s="504">
        <f t="shared" si="5"/>
        <v>0</v>
      </c>
      <c r="R32" s="504">
        <f t="shared" si="6"/>
        <v>0</v>
      </c>
      <c r="S32" s="505">
        <f t="shared" si="13"/>
        <v>8</v>
      </c>
      <c r="T32" s="504">
        <f t="shared" si="7"/>
        <v>8</v>
      </c>
      <c r="U32" s="504">
        <f t="shared" si="8"/>
        <v>0</v>
      </c>
      <c r="V32" s="504">
        <f t="shared" si="9"/>
        <v>0</v>
      </c>
      <c r="W32" s="504">
        <f t="shared" si="10"/>
        <v>0</v>
      </c>
      <c r="X32" s="504">
        <f t="shared" si="11"/>
        <v>0</v>
      </c>
      <c r="Y32" s="412">
        <f t="shared" si="12"/>
        <v>0</v>
      </c>
      <c r="Z32" s="751">
        <f t="shared" si="14"/>
        <v>3.2034000000000002</v>
      </c>
      <c r="AA32" s="751">
        <f t="shared" si="15"/>
        <v>0</v>
      </c>
      <c r="AB32" s="751">
        <f t="shared" si="16"/>
        <v>0</v>
      </c>
      <c r="AC32" s="751">
        <f t="shared" si="17"/>
        <v>0</v>
      </c>
      <c r="AD32" s="751">
        <f t="shared" si="18"/>
        <v>0</v>
      </c>
      <c r="AE32" s="751">
        <f t="shared" si="19"/>
        <v>0</v>
      </c>
      <c r="AF32" s="598">
        <f t="shared" si="20"/>
        <v>3.2034000000000002</v>
      </c>
      <c r="AG32"/>
    </row>
    <row r="33" spans="1:33" ht="15" x14ac:dyDescent="0.25">
      <c r="A33" s="412">
        <f>+SUBTOTAL(3,$B$4:B33)</f>
        <v>30</v>
      </c>
      <c r="B33" s="412" t="str">
        <f>'Visual chart Edit'!B36</f>
        <v>6/2</v>
      </c>
      <c r="C33" s="412" t="str">
        <f>'Visual chart Edit'!C36</f>
        <v>DA+0</v>
      </c>
      <c r="D33" s="412" t="s">
        <v>1297</v>
      </c>
      <c r="E33" s="464">
        <f>'Visual chart Edit'!I36</f>
        <v>362.4</v>
      </c>
      <c r="F33" s="412" t="str">
        <f>'Visual chart Edit'!K36</f>
        <v>DFR</v>
      </c>
      <c r="G33" s="412" t="str">
        <f>'Visual chart Edit'!L36</f>
        <v>E</v>
      </c>
      <c r="H33" s="412"/>
      <c r="I33" s="412"/>
      <c r="J33" s="412"/>
      <c r="K33" s="412"/>
      <c r="M33" s="503" t="s">
        <v>1324</v>
      </c>
      <c r="N33" s="504">
        <f t="shared" si="2"/>
        <v>3</v>
      </c>
      <c r="O33" s="504">
        <f t="shared" si="3"/>
        <v>3</v>
      </c>
      <c r="P33" s="504">
        <f t="shared" si="4"/>
        <v>0</v>
      </c>
      <c r="Q33" s="504">
        <f t="shared" si="5"/>
        <v>0</v>
      </c>
      <c r="R33" s="504">
        <f t="shared" si="6"/>
        <v>0</v>
      </c>
      <c r="S33" s="505">
        <f t="shared" si="13"/>
        <v>3</v>
      </c>
      <c r="T33" s="504">
        <f t="shared" si="7"/>
        <v>3</v>
      </c>
      <c r="U33" s="504">
        <f t="shared" si="8"/>
        <v>0</v>
      </c>
      <c r="V33" s="504">
        <f t="shared" si="9"/>
        <v>0</v>
      </c>
      <c r="W33" s="504">
        <f t="shared" si="10"/>
        <v>0</v>
      </c>
      <c r="X33" s="504">
        <f t="shared" si="11"/>
        <v>0</v>
      </c>
      <c r="Y33" s="412">
        <f t="shared" si="12"/>
        <v>0</v>
      </c>
      <c r="Z33" s="751">
        <f t="shared" si="14"/>
        <v>1.2299</v>
      </c>
      <c r="AA33" s="751">
        <f t="shared" si="15"/>
        <v>0.40489999999999998</v>
      </c>
      <c r="AB33" s="751">
        <f t="shared" si="16"/>
        <v>0</v>
      </c>
      <c r="AC33" s="751">
        <f t="shared" si="17"/>
        <v>0</v>
      </c>
      <c r="AD33" s="751">
        <f t="shared" si="18"/>
        <v>0</v>
      </c>
      <c r="AE33" s="751">
        <f t="shared" si="19"/>
        <v>0</v>
      </c>
      <c r="AF33" s="598">
        <f t="shared" si="20"/>
        <v>0.82499999999999996</v>
      </c>
      <c r="AG33"/>
    </row>
    <row r="34" spans="1:33" ht="15" x14ac:dyDescent="0.25">
      <c r="A34" s="412">
        <f>+SUBTOTAL(3,$B$4:B34)</f>
        <v>31</v>
      </c>
      <c r="B34" s="412" t="str">
        <f>'Visual chart Edit'!B37</f>
        <v>7/0</v>
      </c>
      <c r="C34" s="412" t="str">
        <f>'Visual chart Edit'!C37</f>
        <v>DB1+0</v>
      </c>
      <c r="D34" s="412" t="s">
        <v>1297</v>
      </c>
      <c r="E34" s="464">
        <f>'Visual chart Edit'!I37</f>
        <v>347.9</v>
      </c>
      <c r="F34" s="412" t="str">
        <f>'Visual chart Edit'!K37</f>
        <v>DRY</v>
      </c>
      <c r="G34" s="412" t="str">
        <f>'Visual chart Edit'!L37</f>
        <v>E</v>
      </c>
      <c r="H34" s="412"/>
      <c r="I34" s="412"/>
      <c r="J34" s="412"/>
      <c r="K34" s="412"/>
      <c r="M34" s="503" t="s">
        <v>1325</v>
      </c>
      <c r="N34" s="504">
        <f t="shared" si="2"/>
        <v>11</v>
      </c>
      <c r="O34" s="504">
        <f t="shared" si="3"/>
        <v>11</v>
      </c>
      <c r="P34" s="504">
        <f t="shared" si="4"/>
        <v>0</v>
      </c>
      <c r="Q34" s="504">
        <f t="shared" si="5"/>
        <v>0</v>
      </c>
      <c r="R34" s="504">
        <f t="shared" si="6"/>
        <v>0</v>
      </c>
      <c r="S34" s="505">
        <f t="shared" si="13"/>
        <v>11</v>
      </c>
      <c r="T34" s="504">
        <f t="shared" si="7"/>
        <v>11</v>
      </c>
      <c r="U34" s="504">
        <f t="shared" si="8"/>
        <v>0</v>
      </c>
      <c r="V34" s="504">
        <f t="shared" si="9"/>
        <v>0</v>
      </c>
      <c r="W34" s="504">
        <f t="shared" si="10"/>
        <v>0</v>
      </c>
      <c r="X34" s="504">
        <f t="shared" si="11"/>
        <v>0</v>
      </c>
      <c r="Y34" s="412">
        <f t="shared" si="12"/>
        <v>0</v>
      </c>
      <c r="Z34" s="751">
        <f t="shared" si="14"/>
        <v>4.0109699999999995</v>
      </c>
      <c r="AA34" s="751">
        <f t="shared" si="15"/>
        <v>4.0109699999999995</v>
      </c>
      <c r="AB34" s="751">
        <f t="shared" si="16"/>
        <v>0</v>
      </c>
      <c r="AC34" s="751">
        <f t="shared" si="17"/>
        <v>0</v>
      </c>
      <c r="AD34" s="751">
        <f t="shared" si="18"/>
        <v>0</v>
      </c>
      <c r="AE34" s="751">
        <f t="shared" si="19"/>
        <v>0</v>
      </c>
      <c r="AF34" s="598">
        <f t="shared" si="20"/>
        <v>0</v>
      </c>
      <c r="AG34"/>
    </row>
    <row r="35" spans="1:33" ht="15" x14ac:dyDescent="0.25">
      <c r="A35" s="412">
        <f>+SUBTOTAL(3,$B$4:B35)</f>
        <v>32</v>
      </c>
      <c r="B35" s="412" t="str">
        <f>'Visual chart Edit'!B38</f>
        <v>8/0</v>
      </c>
      <c r="C35" s="412" t="str">
        <f>'Visual chart Edit'!C38</f>
        <v>DB1+0</v>
      </c>
      <c r="D35" s="412" t="s">
        <v>1297</v>
      </c>
      <c r="E35" s="464">
        <f>'Visual chart Edit'!I38</f>
        <v>210.8</v>
      </c>
      <c r="F35" s="412" t="str">
        <f>'Visual chart Edit'!K38</f>
        <v>DRY</v>
      </c>
      <c r="G35" s="412" t="str">
        <f>'Visual chart Edit'!L38</f>
        <v>E</v>
      </c>
      <c r="H35" s="412"/>
      <c r="I35" s="412"/>
      <c r="J35" s="412"/>
      <c r="K35" s="412"/>
      <c r="M35" s="503" t="s">
        <v>1326</v>
      </c>
      <c r="N35" s="504">
        <f t="shared" si="2"/>
        <v>6</v>
      </c>
      <c r="O35" s="504">
        <f t="shared" si="3"/>
        <v>6</v>
      </c>
      <c r="P35" s="504">
        <f t="shared" si="4"/>
        <v>0</v>
      </c>
      <c r="Q35" s="504">
        <f t="shared" si="5"/>
        <v>0</v>
      </c>
      <c r="R35" s="504">
        <f t="shared" si="6"/>
        <v>0</v>
      </c>
      <c r="S35" s="505">
        <f t="shared" si="13"/>
        <v>6</v>
      </c>
      <c r="T35" s="504">
        <f t="shared" si="7"/>
        <v>6</v>
      </c>
      <c r="U35" s="504">
        <f t="shared" si="8"/>
        <v>0</v>
      </c>
      <c r="V35" s="504">
        <f t="shared" si="9"/>
        <v>0</v>
      </c>
      <c r="W35" s="504">
        <f t="shared" si="10"/>
        <v>0</v>
      </c>
      <c r="X35" s="504">
        <f t="shared" si="11"/>
        <v>0</v>
      </c>
      <c r="Y35" s="412">
        <f t="shared" si="12"/>
        <v>0</v>
      </c>
      <c r="Z35" s="751">
        <f t="shared" si="14"/>
        <v>2.4073999999999995</v>
      </c>
      <c r="AA35" s="751">
        <f t="shared" si="15"/>
        <v>2.4073999999999995</v>
      </c>
      <c r="AB35" s="751">
        <f t="shared" si="16"/>
        <v>0</v>
      </c>
      <c r="AC35" s="751">
        <f t="shared" si="17"/>
        <v>0</v>
      </c>
      <c r="AD35" s="751">
        <f t="shared" si="18"/>
        <v>0</v>
      </c>
      <c r="AE35" s="751">
        <f t="shared" si="19"/>
        <v>0</v>
      </c>
      <c r="AF35" s="598">
        <f t="shared" si="20"/>
        <v>0</v>
      </c>
      <c r="AG35"/>
    </row>
    <row r="36" spans="1:33" ht="15" x14ac:dyDescent="0.25">
      <c r="A36" s="412">
        <f>+SUBTOTAL(3,$B$4:B36)</f>
        <v>33</v>
      </c>
      <c r="B36" s="412" t="str">
        <f>'Visual chart Edit'!B39</f>
        <v>8/1</v>
      </c>
      <c r="C36" s="412" t="str">
        <f>'Visual chart Edit'!C39</f>
        <v>DA+3</v>
      </c>
      <c r="D36" s="412" t="s">
        <v>1297</v>
      </c>
      <c r="E36" s="464">
        <f>'Visual chart Edit'!I39</f>
        <v>409.2</v>
      </c>
      <c r="F36" s="412" t="str">
        <f>'Visual chart Edit'!K39</f>
        <v>DRY</v>
      </c>
      <c r="G36" s="412" t="str">
        <f>'Visual chart Edit'!L39</f>
        <v>E</v>
      </c>
      <c r="H36" s="412"/>
      <c r="I36" s="412"/>
      <c r="J36" s="412"/>
      <c r="K36" s="412"/>
      <c r="M36" s="503" t="s">
        <v>1327</v>
      </c>
      <c r="N36" s="504">
        <f t="shared" si="2"/>
        <v>5</v>
      </c>
      <c r="O36" s="504">
        <f t="shared" si="3"/>
        <v>5</v>
      </c>
      <c r="P36" s="504">
        <f t="shared" si="4"/>
        <v>0</v>
      </c>
      <c r="Q36" s="504">
        <f t="shared" si="5"/>
        <v>0</v>
      </c>
      <c r="R36" s="504">
        <f t="shared" si="6"/>
        <v>0</v>
      </c>
      <c r="S36" s="505">
        <f t="shared" si="13"/>
        <v>5</v>
      </c>
      <c r="T36" s="504">
        <f t="shared" si="7"/>
        <v>5</v>
      </c>
      <c r="U36" s="504">
        <f t="shared" si="8"/>
        <v>0</v>
      </c>
      <c r="V36" s="504">
        <f t="shared" si="9"/>
        <v>0</v>
      </c>
      <c r="W36" s="504">
        <f t="shared" si="10"/>
        <v>0</v>
      </c>
      <c r="X36" s="504">
        <f t="shared" si="11"/>
        <v>0</v>
      </c>
      <c r="Y36" s="412">
        <f t="shared" si="12"/>
        <v>0</v>
      </c>
      <c r="Z36" s="751">
        <f t="shared" si="14"/>
        <v>1.9041000000000001</v>
      </c>
      <c r="AA36" s="751">
        <f t="shared" si="15"/>
        <v>1.9041000000000001</v>
      </c>
      <c r="AB36" s="751">
        <f t="shared" si="16"/>
        <v>0</v>
      </c>
      <c r="AC36" s="751">
        <f t="shared" si="17"/>
        <v>0</v>
      </c>
      <c r="AD36" s="751">
        <f t="shared" si="18"/>
        <v>0</v>
      </c>
      <c r="AE36" s="751">
        <f t="shared" si="19"/>
        <v>0</v>
      </c>
      <c r="AF36" s="598">
        <f t="shared" si="20"/>
        <v>0</v>
      </c>
      <c r="AG36"/>
    </row>
    <row r="37" spans="1:33" ht="15" x14ac:dyDescent="0.25">
      <c r="A37" s="412">
        <f>+SUBTOTAL(3,$B$4:B37)</f>
        <v>34</v>
      </c>
      <c r="B37" s="412" t="str">
        <f>'Visual chart Edit'!B40</f>
        <v>8/2</v>
      </c>
      <c r="C37" s="412" t="str">
        <f>'Visual chart Edit'!C40</f>
        <v>DA+3</v>
      </c>
      <c r="D37" s="412" t="s">
        <v>1297</v>
      </c>
      <c r="E37" s="464">
        <f>'Visual chart Edit'!I40</f>
        <v>413.6</v>
      </c>
      <c r="F37" s="412" t="str">
        <f>'Visual chart Edit'!K40</f>
        <v>DRY</v>
      </c>
      <c r="G37" s="412" t="str">
        <f>'Visual chart Edit'!L40</f>
        <v>E</v>
      </c>
      <c r="H37" s="412"/>
      <c r="I37" s="412"/>
      <c r="J37" s="412"/>
      <c r="K37" s="412"/>
      <c r="M37" s="503" t="s">
        <v>1328</v>
      </c>
      <c r="N37" s="504">
        <f t="shared" ref="N37:N53" si="21">+SUM(O37:R37)</f>
        <v>10</v>
      </c>
      <c r="O37" s="504">
        <f t="shared" ref="O37:O53" si="22">+COUNTIFS($D$4:$D$488,M37,$F$4:$F$488,"sandy")+COUNTIFS($D$4:$D$488,M37,$F$4:$F$488,"Dry")+COUNTIFS($D$4:$D$488,M37,$F$4:$F$488,"DFR")+COUNTIFS($D$4:$D$488,M37,$F$4:$F$488,"WFR")+COUNTIFS($D$4:$D$488,M37,$F$4:$F$488,"SFR")</f>
        <v>10</v>
      </c>
      <c r="P37" s="504">
        <f t="shared" ref="P37:P53" si="23">+COUNTIFS($D$4:$D$488,M37,$F$4:$F$488,"WIP")</f>
        <v>0</v>
      </c>
      <c r="Q37" s="504">
        <f t="shared" ref="Q37:Q53" si="24">+COUNTIFS($D$4:$D$488,M37,$F$4:$F$488,"Clear")</f>
        <v>0</v>
      </c>
      <c r="R37" s="504">
        <f t="shared" ref="R37:R53" si="25">+COUNTIFS($D$4:$D$488,M37,$F$4:$F$488,"ROW")</f>
        <v>0</v>
      </c>
      <c r="S37" s="505">
        <f t="shared" si="13"/>
        <v>10</v>
      </c>
      <c r="T37" s="504">
        <f t="shared" ref="T37:T53" si="26">+COUNTIFS($D$4:$D$488,M37,$G$4:$G$488,"E")</f>
        <v>10</v>
      </c>
      <c r="U37" s="504">
        <f t="shared" ref="U37:U53" si="27">+COUNTIFS($D$4:$D$488,M37,$G$4:$G$488,"WIP")</f>
        <v>0</v>
      </c>
      <c r="V37" s="504">
        <f t="shared" ref="V37:V53" si="28">+COUNTIFS($D$4:$D$488,M37,$G$4:$G$488,"Clear")</f>
        <v>0</v>
      </c>
      <c r="W37" s="504">
        <f t="shared" ref="W37:W53" si="29">+COUNTIFS($D$4:$D$488,M37,$G$4:$G$488,"ROW")</f>
        <v>0</v>
      </c>
      <c r="X37" s="504">
        <f t="shared" ref="X37:X53" si="30">N37-W37-T37-V37-U37</f>
        <v>0</v>
      </c>
      <c r="Y37" s="412">
        <f t="shared" si="12"/>
        <v>0</v>
      </c>
      <c r="Z37" s="751">
        <f t="shared" si="14"/>
        <v>4.1779000000000002</v>
      </c>
      <c r="AA37" s="751">
        <f t="shared" si="15"/>
        <v>4.1779000000000002</v>
      </c>
      <c r="AB37" s="751">
        <f t="shared" si="16"/>
        <v>0</v>
      </c>
      <c r="AC37" s="751">
        <f t="shared" si="17"/>
        <v>0</v>
      </c>
      <c r="AD37" s="751">
        <f t="shared" si="18"/>
        <v>0</v>
      </c>
      <c r="AE37" s="751">
        <f t="shared" si="19"/>
        <v>0</v>
      </c>
      <c r="AF37" s="598">
        <f t="shared" si="20"/>
        <v>0</v>
      </c>
      <c r="AG37"/>
    </row>
    <row r="38" spans="1:33" ht="15" x14ac:dyDescent="0.25">
      <c r="A38" s="412">
        <f>+SUBTOTAL(3,$B$4:B38)</f>
        <v>35</v>
      </c>
      <c r="B38" s="412" t="str">
        <f>'Visual chart Edit'!B41</f>
        <v>8/3</v>
      </c>
      <c r="C38" s="412" t="str">
        <f>'Visual chart Edit'!C41</f>
        <v>DA+0</v>
      </c>
      <c r="D38" s="412" t="s">
        <v>1297</v>
      </c>
      <c r="E38" s="464">
        <f>'Visual chart Edit'!I41</f>
        <v>393.2</v>
      </c>
      <c r="F38" s="412" t="str">
        <f>'Visual chart Edit'!K41</f>
        <v>DRY</v>
      </c>
      <c r="G38" s="412" t="str">
        <f>'Visual chart Edit'!L41</f>
        <v>E</v>
      </c>
      <c r="H38" s="412"/>
      <c r="I38" s="412"/>
      <c r="J38" s="412"/>
      <c r="K38" s="412"/>
      <c r="M38" s="503" t="s">
        <v>1329</v>
      </c>
      <c r="N38" s="504">
        <f t="shared" si="21"/>
        <v>6</v>
      </c>
      <c r="O38" s="504">
        <f t="shared" si="22"/>
        <v>6</v>
      </c>
      <c r="P38" s="504">
        <f t="shared" si="23"/>
        <v>0</v>
      </c>
      <c r="Q38" s="504">
        <f t="shared" si="24"/>
        <v>0</v>
      </c>
      <c r="R38" s="504">
        <f t="shared" si="25"/>
        <v>0</v>
      </c>
      <c r="S38" s="505">
        <f t="shared" si="13"/>
        <v>6</v>
      </c>
      <c r="T38" s="504">
        <f t="shared" si="26"/>
        <v>6</v>
      </c>
      <c r="U38" s="504">
        <f t="shared" si="27"/>
        <v>0</v>
      </c>
      <c r="V38" s="504">
        <f t="shared" si="28"/>
        <v>0</v>
      </c>
      <c r="W38" s="504">
        <f t="shared" si="29"/>
        <v>0</v>
      </c>
      <c r="X38" s="504">
        <f t="shared" si="30"/>
        <v>0</v>
      </c>
      <c r="Y38" s="412">
        <f t="shared" si="12"/>
        <v>0</v>
      </c>
      <c r="Z38" s="751">
        <f t="shared" si="14"/>
        <v>2.5270999999999999</v>
      </c>
      <c r="AA38" s="751">
        <f t="shared" si="15"/>
        <v>2.5270999999999999</v>
      </c>
      <c r="AB38" s="751">
        <f t="shared" si="16"/>
        <v>0</v>
      </c>
      <c r="AC38" s="751">
        <f t="shared" si="17"/>
        <v>0</v>
      </c>
      <c r="AD38" s="751">
        <f t="shared" si="18"/>
        <v>0</v>
      </c>
      <c r="AE38" s="751">
        <f t="shared" si="19"/>
        <v>0</v>
      </c>
      <c r="AF38" s="598">
        <f t="shared" si="20"/>
        <v>0</v>
      </c>
      <c r="AG38"/>
    </row>
    <row r="39" spans="1:33" ht="15" x14ac:dyDescent="0.25">
      <c r="A39" s="412">
        <f>+SUBTOTAL(3,$B$4:B39)</f>
        <v>36</v>
      </c>
      <c r="B39" s="412" t="str">
        <f>'Visual chart Edit'!B42</f>
        <v>8/4</v>
      </c>
      <c r="C39" s="412" t="str">
        <f>'Visual chart Edit'!C42</f>
        <v>DA+3</v>
      </c>
      <c r="D39" s="412" t="s">
        <v>1297</v>
      </c>
      <c r="E39" s="464">
        <f>'Visual chart Edit'!I42</f>
        <v>416.5</v>
      </c>
      <c r="F39" s="412" t="str">
        <f>'Visual chart Edit'!K42</f>
        <v>DRY</v>
      </c>
      <c r="G39" s="412" t="str">
        <f>'Visual chart Edit'!L42</f>
        <v>E</v>
      </c>
      <c r="H39" s="412"/>
      <c r="I39" s="412"/>
      <c r="J39" s="412"/>
      <c r="K39" s="412"/>
      <c r="M39" s="503" t="s">
        <v>1330</v>
      </c>
      <c r="N39" s="504">
        <f t="shared" si="21"/>
        <v>9</v>
      </c>
      <c r="O39" s="504">
        <f t="shared" si="22"/>
        <v>9</v>
      </c>
      <c r="P39" s="504">
        <f t="shared" si="23"/>
        <v>0</v>
      </c>
      <c r="Q39" s="504">
        <f t="shared" si="24"/>
        <v>0</v>
      </c>
      <c r="R39" s="504">
        <f t="shared" si="25"/>
        <v>0</v>
      </c>
      <c r="S39" s="505">
        <f t="shared" si="13"/>
        <v>9</v>
      </c>
      <c r="T39" s="504">
        <f t="shared" si="26"/>
        <v>9</v>
      </c>
      <c r="U39" s="504">
        <f t="shared" si="27"/>
        <v>0</v>
      </c>
      <c r="V39" s="504">
        <f t="shared" si="28"/>
        <v>0</v>
      </c>
      <c r="W39" s="504">
        <f t="shared" si="29"/>
        <v>0</v>
      </c>
      <c r="X39" s="504">
        <f t="shared" si="30"/>
        <v>0</v>
      </c>
      <c r="Y39" s="412">
        <f t="shared" si="12"/>
        <v>0</v>
      </c>
      <c r="Z39" s="751">
        <f t="shared" si="14"/>
        <v>3.6250999999999998</v>
      </c>
      <c r="AA39" s="751">
        <f t="shared" si="15"/>
        <v>3.6250999999999998</v>
      </c>
      <c r="AB39" s="751">
        <f t="shared" si="16"/>
        <v>0</v>
      </c>
      <c r="AC39" s="751">
        <f t="shared" si="17"/>
        <v>0</v>
      </c>
      <c r="AD39" s="751">
        <f t="shared" si="18"/>
        <v>0</v>
      </c>
      <c r="AE39" s="751">
        <f t="shared" si="19"/>
        <v>0</v>
      </c>
      <c r="AF39" s="598">
        <f t="shared" si="20"/>
        <v>0</v>
      </c>
      <c r="AG39"/>
    </row>
    <row r="40" spans="1:33" ht="15" x14ac:dyDescent="0.25">
      <c r="A40" s="412">
        <f>+SUBTOTAL(3,$B$4:B40)</f>
        <v>37</v>
      </c>
      <c r="B40" s="412" t="str">
        <f>'Visual chart Edit'!B43</f>
        <v>8/5</v>
      </c>
      <c r="C40" s="412" t="str">
        <f>'Visual chart Edit'!C43</f>
        <v>DA+3</v>
      </c>
      <c r="D40" s="412" t="s">
        <v>1297</v>
      </c>
      <c r="E40" s="464">
        <f>'Visual chart Edit'!I43</f>
        <v>394.6</v>
      </c>
      <c r="F40" s="412" t="str">
        <f>'Visual chart Edit'!K43</f>
        <v>DRY</v>
      </c>
      <c r="G40" s="412" t="str">
        <f>'Visual chart Edit'!L43</f>
        <v>E</v>
      </c>
      <c r="H40" s="412"/>
      <c r="I40" s="412"/>
      <c r="J40" s="412"/>
      <c r="K40" s="412"/>
      <c r="M40" s="503" t="s">
        <v>1331</v>
      </c>
      <c r="N40" s="504">
        <f t="shared" si="21"/>
        <v>9</v>
      </c>
      <c r="O40" s="504">
        <f t="shared" si="22"/>
        <v>9</v>
      </c>
      <c r="P40" s="504">
        <f t="shared" si="23"/>
        <v>0</v>
      </c>
      <c r="Q40" s="504">
        <f t="shared" si="24"/>
        <v>0</v>
      </c>
      <c r="R40" s="504">
        <f t="shared" si="25"/>
        <v>0</v>
      </c>
      <c r="S40" s="505">
        <f t="shared" si="13"/>
        <v>9</v>
      </c>
      <c r="T40" s="504">
        <f t="shared" si="26"/>
        <v>9</v>
      </c>
      <c r="U40" s="504">
        <f t="shared" si="27"/>
        <v>0</v>
      </c>
      <c r="V40" s="504">
        <f t="shared" si="28"/>
        <v>0</v>
      </c>
      <c r="W40" s="504">
        <f t="shared" si="29"/>
        <v>0</v>
      </c>
      <c r="X40" s="504">
        <f t="shared" si="30"/>
        <v>0</v>
      </c>
      <c r="Y40" s="412">
        <f t="shared" si="12"/>
        <v>0</v>
      </c>
      <c r="Z40" s="751">
        <f t="shared" si="14"/>
        <v>3.7283000000000004</v>
      </c>
      <c r="AA40" s="751">
        <f t="shared" si="15"/>
        <v>3.7283000000000004</v>
      </c>
      <c r="AB40" s="751">
        <f t="shared" si="16"/>
        <v>0</v>
      </c>
      <c r="AC40" s="751">
        <f t="shared" si="17"/>
        <v>0</v>
      </c>
      <c r="AD40" s="751">
        <f t="shared" si="18"/>
        <v>0</v>
      </c>
      <c r="AE40" s="751">
        <f t="shared" si="19"/>
        <v>0</v>
      </c>
      <c r="AF40" s="598">
        <f t="shared" si="20"/>
        <v>0</v>
      </c>
      <c r="AG40"/>
    </row>
    <row r="41" spans="1:33" ht="15" x14ac:dyDescent="0.25">
      <c r="A41" s="412">
        <f>+SUBTOTAL(3,$B$4:B41)</f>
        <v>38</v>
      </c>
      <c r="B41" s="412" t="str">
        <f>'Visual chart Edit'!B44</f>
        <v>8/6</v>
      </c>
      <c r="C41" s="412" t="str">
        <f>'Visual chart Edit'!C44</f>
        <v>DA+3</v>
      </c>
      <c r="D41" s="412" t="s">
        <v>1297</v>
      </c>
      <c r="E41" s="464">
        <f>'Visual chart Edit'!I44</f>
        <v>393.2</v>
      </c>
      <c r="F41" s="412" t="str">
        <f>'Visual chart Edit'!K44</f>
        <v>DRY</v>
      </c>
      <c r="G41" s="412" t="str">
        <f>'Visual chart Edit'!L44</f>
        <v/>
      </c>
      <c r="H41" s="799" t="s">
        <v>1656</v>
      </c>
      <c r="I41" s="412"/>
      <c r="J41" s="412"/>
      <c r="K41" s="412"/>
      <c r="M41" s="503" t="s">
        <v>1332</v>
      </c>
      <c r="N41" s="504">
        <f t="shared" si="21"/>
        <v>9</v>
      </c>
      <c r="O41" s="504">
        <f t="shared" si="22"/>
        <v>9</v>
      </c>
      <c r="P41" s="504">
        <f t="shared" si="23"/>
        <v>0</v>
      </c>
      <c r="Q41" s="504">
        <f t="shared" si="24"/>
        <v>0</v>
      </c>
      <c r="R41" s="504">
        <f t="shared" si="25"/>
        <v>0</v>
      </c>
      <c r="S41" s="505">
        <f t="shared" si="13"/>
        <v>9</v>
      </c>
      <c r="T41" s="504">
        <f t="shared" si="26"/>
        <v>9</v>
      </c>
      <c r="U41" s="504">
        <f t="shared" si="27"/>
        <v>0</v>
      </c>
      <c r="V41" s="504">
        <f t="shared" si="28"/>
        <v>0</v>
      </c>
      <c r="W41" s="504">
        <f t="shared" si="29"/>
        <v>0</v>
      </c>
      <c r="X41" s="504">
        <f t="shared" si="30"/>
        <v>0</v>
      </c>
      <c r="Y41" s="412">
        <f t="shared" si="12"/>
        <v>0</v>
      </c>
      <c r="Z41" s="751">
        <f t="shared" si="14"/>
        <v>3.6749000000000001</v>
      </c>
      <c r="AA41" s="751">
        <f t="shared" si="15"/>
        <v>3.6749000000000001</v>
      </c>
      <c r="AB41" s="751">
        <f t="shared" si="16"/>
        <v>0</v>
      </c>
      <c r="AC41" s="751">
        <f t="shared" si="17"/>
        <v>0</v>
      </c>
      <c r="AD41" s="751">
        <f t="shared" si="18"/>
        <v>0</v>
      </c>
      <c r="AE41" s="751">
        <f t="shared" si="19"/>
        <v>0</v>
      </c>
      <c r="AF41" s="598">
        <f t="shared" si="20"/>
        <v>0</v>
      </c>
      <c r="AG41"/>
    </row>
    <row r="42" spans="1:33" ht="15" x14ac:dyDescent="0.25">
      <c r="A42" s="412">
        <f>+SUBTOTAL(3,$B$4:B42)</f>
        <v>39</v>
      </c>
      <c r="B42" s="412" t="str">
        <f>'Visual chart Edit'!B45</f>
        <v>8/7</v>
      </c>
      <c r="C42" s="412" t="str">
        <f>'Visual chart Edit'!C45</f>
        <v>DB1+0</v>
      </c>
      <c r="D42" s="412" t="s">
        <v>1298</v>
      </c>
      <c r="E42" s="464">
        <f>'Visual chart Edit'!I45</f>
        <v>441.1</v>
      </c>
      <c r="F42" s="412" t="str">
        <f>'Visual chart Edit'!K45</f>
        <v>DRY</v>
      </c>
      <c r="G42" s="412" t="s">
        <v>129</v>
      </c>
      <c r="H42" s="415" t="s">
        <v>1656</v>
      </c>
      <c r="I42" s="412"/>
      <c r="J42" s="412"/>
      <c r="K42" s="412"/>
      <c r="M42" s="503" t="s">
        <v>1333</v>
      </c>
      <c r="N42" s="504">
        <f t="shared" si="21"/>
        <v>9</v>
      </c>
      <c r="O42" s="504">
        <f t="shared" si="22"/>
        <v>9</v>
      </c>
      <c r="P42" s="504">
        <f t="shared" si="23"/>
        <v>0</v>
      </c>
      <c r="Q42" s="504">
        <f t="shared" si="24"/>
        <v>0</v>
      </c>
      <c r="R42" s="504">
        <f t="shared" si="25"/>
        <v>0</v>
      </c>
      <c r="S42" s="505">
        <f t="shared" si="13"/>
        <v>9</v>
      </c>
      <c r="T42" s="504">
        <f t="shared" si="26"/>
        <v>9</v>
      </c>
      <c r="U42" s="504">
        <f t="shared" si="27"/>
        <v>0</v>
      </c>
      <c r="V42" s="504">
        <f t="shared" si="28"/>
        <v>0</v>
      </c>
      <c r="W42" s="504">
        <f t="shared" si="29"/>
        <v>0</v>
      </c>
      <c r="X42" s="504">
        <f t="shared" si="30"/>
        <v>0</v>
      </c>
      <c r="Y42" s="412">
        <f t="shared" si="12"/>
        <v>0</v>
      </c>
      <c r="Z42" s="751">
        <f t="shared" si="14"/>
        <v>3.681</v>
      </c>
      <c r="AA42" s="751">
        <f t="shared" si="15"/>
        <v>3.681</v>
      </c>
      <c r="AB42" s="751">
        <f t="shared" si="16"/>
        <v>0</v>
      </c>
      <c r="AC42" s="751">
        <f t="shared" si="17"/>
        <v>0</v>
      </c>
      <c r="AD42" s="751">
        <f t="shared" si="18"/>
        <v>0</v>
      </c>
      <c r="AE42" s="751">
        <f t="shared" si="19"/>
        <v>0</v>
      </c>
      <c r="AF42" s="598">
        <f t="shared" si="20"/>
        <v>0</v>
      </c>
      <c r="AG42"/>
    </row>
    <row r="43" spans="1:33" ht="15" x14ac:dyDescent="0.25">
      <c r="A43" s="412">
        <f>+SUBTOTAL(3,$B$4:B43)</f>
        <v>40</v>
      </c>
      <c r="B43" s="412" t="str">
        <f>'Visual chart Edit'!B46</f>
        <v>8/8</v>
      </c>
      <c r="C43" s="412" t="str">
        <f>'Visual chart Edit'!C46</f>
        <v>DA+6</v>
      </c>
      <c r="D43" s="412" t="s">
        <v>1298</v>
      </c>
      <c r="E43" s="464">
        <f>'Visual chart Edit'!I46</f>
        <v>414.4</v>
      </c>
      <c r="F43" s="412" t="str">
        <f>'Visual chart Edit'!K46</f>
        <v>DRY</v>
      </c>
      <c r="G43" s="412" t="s">
        <v>124</v>
      </c>
      <c r="H43" s="799"/>
      <c r="I43" s="412"/>
      <c r="J43" s="412"/>
      <c r="K43" s="412"/>
      <c r="M43" s="503" t="s">
        <v>1334</v>
      </c>
      <c r="N43" s="504">
        <f t="shared" si="21"/>
        <v>1</v>
      </c>
      <c r="O43" s="504">
        <f t="shared" si="22"/>
        <v>1</v>
      </c>
      <c r="P43" s="504">
        <f t="shared" si="23"/>
        <v>0</v>
      </c>
      <c r="Q43" s="504">
        <f t="shared" si="24"/>
        <v>0</v>
      </c>
      <c r="R43" s="504">
        <f t="shared" si="25"/>
        <v>0</v>
      </c>
      <c r="S43" s="505">
        <f t="shared" si="13"/>
        <v>1</v>
      </c>
      <c r="T43" s="504">
        <f t="shared" si="26"/>
        <v>1</v>
      </c>
      <c r="U43" s="504">
        <f t="shared" si="27"/>
        <v>0</v>
      </c>
      <c r="V43" s="504">
        <f t="shared" si="28"/>
        <v>0</v>
      </c>
      <c r="W43" s="504">
        <f t="shared" si="29"/>
        <v>0</v>
      </c>
      <c r="X43" s="504">
        <f t="shared" si="30"/>
        <v>0</v>
      </c>
      <c r="Y43" s="412">
        <f t="shared" si="12"/>
        <v>0</v>
      </c>
      <c r="Z43" s="751">
        <f t="shared" si="14"/>
        <v>0.3861</v>
      </c>
      <c r="AA43" s="751">
        <f t="shared" si="15"/>
        <v>0.3861</v>
      </c>
      <c r="AB43" s="751">
        <f t="shared" si="16"/>
        <v>0</v>
      </c>
      <c r="AC43" s="751">
        <f t="shared" si="17"/>
        <v>0</v>
      </c>
      <c r="AD43" s="751">
        <f t="shared" si="18"/>
        <v>0</v>
      </c>
      <c r="AE43" s="751">
        <f t="shared" si="19"/>
        <v>0</v>
      </c>
      <c r="AF43" s="598">
        <f t="shared" si="20"/>
        <v>0</v>
      </c>
      <c r="AG43"/>
    </row>
    <row r="44" spans="1:33" ht="15" x14ac:dyDescent="0.25">
      <c r="A44" s="412">
        <f>+SUBTOTAL(3,$B$4:B44)</f>
        <v>41</v>
      </c>
      <c r="B44" s="412" t="str">
        <f>'Visual chart Edit'!B47</f>
        <v>8/9</v>
      </c>
      <c r="C44" s="412" t="str">
        <f>'Visual chart Edit'!C47</f>
        <v>DA+3</v>
      </c>
      <c r="D44" s="412" t="s">
        <v>1298</v>
      </c>
      <c r="E44" s="464">
        <f>'Visual chart Edit'!I47</f>
        <v>395.863</v>
      </c>
      <c r="F44" s="412" t="str">
        <f>'Visual chart Edit'!K47</f>
        <v>DFR</v>
      </c>
      <c r="G44" s="412" t="str">
        <f>'Visual chart Edit'!L47</f>
        <v>E</v>
      </c>
      <c r="H44" s="412"/>
      <c r="I44" s="412"/>
      <c r="J44" s="412"/>
      <c r="K44" s="412"/>
      <c r="M44" s="503" t="s">
        <v>1335</v>
      </c>
      <c r="N44" s="504">
        <f t="shared" si="21"/>
        <v>5</v>
      </c>
      <c r="O44" s="504">
        <f t="shared" si="22"/>
        <v>5</v>
      </c>
      <c r="P44" s="504">
        <f t="shared" si="23"/>
        <v>0</v>
      </c>
      <c r="Q44" s="504">
        <f t="shared" si="24"/>
        <v>0</v>
      </c>
      <c r="R44" s="504">
        <f t="shared" si="25"/>
        <v>0</v>
      </c>
      <c r="S44" s="505">
        <f t="shared" si="13"/>
        <v>5</v>
      </c>
      <c r="T44" s="504">
        <f t="shared" si="26"/>
        <v>5</v>
      </c>
      <c r="U44" s="504">
        <f t="shared" si="27"/>
        <v>0</v>
      </c>
      <c r="V44" s="504">
        <f t="shared" si="28"/>
        <v>0</v>
      </c>
      <c r="W44" s="504">
        <f t="shared" si="29"/>
        <v>0</v>
      </c>
      <c r="X44" s="504">
        <f t="shared" si="30"/>
        <v>0</v>
      </c>
      <c r="Y44" s="412">
        <f t="shared" si="12"/>
        <v>0</v>
      </c>
      <c r="Z44" s="751">
        <f t="shared" si="14"/>
        <v>2.0474000000000001</v>
      </c>
      <c r="AA44" s="751">
        <f t="shared" si="15"/>
        <v>2.0474000000000001</v>
      </c>
      <c r="AB44" s="751">
        <f t="shared" si="16"/>
        <v>0</v>
      </c>
      <c r="AC44" s="751">
        <f t="shared" si="17"/>
        <v>0</v>
      </c>
      <c r="AD44" s="751">
        <f t="shared" si="18"/>
        <v>0</v>
      </c>
      <c r="AE44" s="751">
        <f t="shared" si="19"/>
        <v>0</v>
      </c>
      <c r="AF44" s="598">
        <f t="shared" si="20"/>
        <v>0</v>
      </c>
      <c r="AG44"/>
    </row>
    <row r="45" spans="1:33" ht="15" x14ac:dyDescent="0.25">
      <c r="A45" s="412">
        <f>+SUBTOTAL(3,$B$4:B45)</f>
        <v>42</v>
      </c>
      <c r="B45" s="412" t="str">
        <f>'Visual chart Edit'!B48</f>
        <v>8/10</v>
      </c>
      <c r="C45" s="412" t="str">
        <f>'Visual chart Edit'!C48</f>
        <v>DA+3</v>
      </c>
      <c r="D45" s="412" t="s">
        <v>1298</v>
      </c>
      <c r="E45" s="464">
        <f>'Visual chart Edit'!I48</f>
        <v>413.404</v>
      </c>
      <c r="F45" s="412" t="str">
        <f>'Visual chart Edit'!K48</f>
        <v>DFR</v>
      </c>
      <c r="G45" s="412" t="str">
        <f>'Visual chart Edit'!L48</f>
        <v>E</v>
      </c>
      <c r="H45" s="412"/>
      <c r="I45" s="412"/>
      <c r="J45" s="412"/>
      <c r="K45" s="412"/>
      <c r="M45" s="503" t="s">
        <v>1336</v>
      </c>
      <c r="N45" s="504">
        <f t="shared" si="21"/>
        <v>3</v>
      </c>
      <c r="O45" s="504">
        <f t="shared" si="22"/>
        <v>3</v>
      </c>
      <c r="P45" s="504">
        <f t="shared" si="23"/>
        <v>0</v>
      </c>
      <c r="Q45" s="504">
        <f t="shared" si="24"/>
        <v>0</v>
      </c>
      <c r="R45" s="504">
        <f t="shared" si="25"/>
        <v>0</v>
      </c>
      <c r="S45" s="505">
        <f t="shared" si="13"/>
        <v>3</v>
      </c>
      <c r="T45" s="504">
        <f t="shared" si="26"/>
        <v>3</v>
      </c>
      <c r="U45" s="504">
        <f t="shared" si="27"/>
        <v>0</v>
      </c>
      <c r="V45" s="504">
        <f t="shared" si="28"/>
        <v>0</v>
      </c>
      <c r="W45" s="504">
        <f t="shared" si="29"/>
        <v>0</v>
      </c>
      <c r="X45" s="504">
        <f t="shared" si="30"/>
        <v>0</v>
      </c>
      <c r="Y45" s="412">
        <f t="shared" si="12"/>
        <v>0</v>
      </c>
      <c r="Z45" s="751">
        <f t="shared" si="14"/>
        <v>1.2275999999999998</v>
      </c>
      <c r="AA45" s="751">
        <f t="shared" si="15"/>
        <v>1.2275999999999998</v>
      </c>
      <c r="AB45" s="751">
        <f t="shared" si="16"/>
        <v>0</v>
      </c>
      <c r="AC45" s="751">
        <f t="shared" si="17"/>
        <v>0</v>
      </c>
      <c r="AD45" s="751">
        <f t="shared" si="18"/>
        <v>0</v>
      </c>
      <c r="AE45" s="751">
        <f t="shared" si="19"/>
        <v>0</v>
      </c>
      <c r="AF45" s="598">
        <f t="shared" si="20"/>
        <v>0</v>
      </c>
      <c r="AG45"/>
    </row>
    <row r="46" spans="1:33" ht="15" x14ac:dyDescent="0.25">
      <c r="A46" s="412">
        <f>+SUBTOTAL(3,$B$4:B46)</f>
        <v>43</v>
      </c>
      <c r="B46" s="412" t="str">
        <f>'Visual chart Edit'!B49</f>
        <v>8/11</v>
      </c>
      <c r="C46" s="412" t="str">
        <f>'Visual chart Edit'!C49</f>
        <v>DA+0</v>
      </c>
      <c r="D46" s="412" t="s">
        <v>1298</v>
      </c>
      <c r="E46" s="464">
        <f>'Visual chart Edit'!I49</f>
        <v>402.6</v>
      </c>
      <c r="F46" s="412" t="str">
        <f>'Visual chart Edit'!K49</f>
        <v>DRY</v>
      </c>
      <c r="G46" s="412" t="s">
        <v>124</v>
      </c>
      <c r="H46" s="799" t="s">
        <v>1656</v>
      </c>
      <c r="I46" s="412"/>
      <c r="J46" s="412"/>
      <c r="K46" s="412"/>
      <c r="M46" s="503" t="s">
        <v>1337</v>
      </c>
      <c r="N46" s="504">
        <f t="shared" si="21"/>
        <v>11</v>
      </c>
      <c r="O46" s="504">
        <f t="shared" si="22"/>
        <v>11</v>
      </c>
      <c r="P46" s="504">
        <f t="shared" si="23"/>
        <v>0</v>
      </c>
      <c r="Q46" s="504">
        <f t="shared" si="24"/>
        <v>0</v>
      </c>
      <c r="R46" s="504">
        <f t="shared" si="25"/>
        <v>0</v>
      </c>
      <c r="S46" s="505">
        <f t="shared" si="13"/>
        <v>11</v>
      </c>
      <c r="T46" s="504">
        <f t="shared" si="26"/>
        <v>11</v>
      </c>
      <c r="U46" s="504">
        <f t="shared" si="27"/>
        <v>0</v>
      </c>
      <c r="V46" s="504">
        <f t="shared" si="28"/>
        <v>0</v>
      </c>
      <c r="W46" s="504">
        <f t="shared" si="29"/>
        <v>0</v>
      </c>
      <c r="X46" s="504">
        <f t="shared" si="30"/>
        <v>0</v>
      </c>
      <c r="Y46" s="412">
        <f t="shared" si="12"/>
        <v>0</v>
      </c>
      <c r="Z46" s="751">
        <f t="shared" si="14"/>
        <v>4.5078000000000005</v>
      </c>
      <c r="AA46" s="751">
        <f t="shared" si="15"/>
        <v>4.5078000000000005</v>
      </c>
      <c r="AB46" s="751">
        <f t="shared" si="16"/>
        <v>0</v>
      </c>
      <c r="AC46" s="751">
        <f t="shared" si="17"/>
        <v>0</v>
      </c>
      <c r="AD46" s="751">
        <f t="shared" si="18"/>
        <v>0</v>
      </c>
      <c r="AE46" s="751">
        <f t="shared" si="19"/>
        <v>0</v>
      </c>
      <c r="AF46" s="598">
        <f t="shared" si="20"/>
        <v>0</v>
      </c>
      <c r="AG46"/>
    </row>
    <row r="47" spans="1:33" ht="15" x14ac:dyDescent="0.25">
      <c r="A47" s="412">
        <f>+SUBTOTAL(3,$B$4:B47)</f>
        <v>44</v>
      </c>
      <c r="B47" s="412" t="str">
        <f>'Visual chart Edit'!B50</f>
        <v>8/12</v>
      </c>
      <c r="C47" s="412" t="str">
        <f>'Visual chart Edit'!C50</f>
        <v>DA+0</v>
      </c>
      <c r="D47" s="412" t="s">
        <v>1298</v>
      </c>
      <c r="E47" s="464">
        <f>'Visual chart Edit'!I50</f>
        <v>372.1</v>
      </c>
      <c r="F47" s="412" t="str">
        <f>'Visual chart Edit'!K50</f>
        <v>DRY</v>
      </c>
      <c r="G47" s="412" t="str">
        <f>'Visual chart Edit'!L50</f>
        <v>E</v>
      </c>
      <c r="H47" s="412"/>
      <c r="I47" s="412"/>
      <c r="J47" s="412"/>
      <c r="K47" s="412"/>
      <c r="M47" s="503" t="s">
        <v>1338</v>
      </c>
      <c r="N47" s="504">
        <f t="shared" si="21"/>
        <v>4</v>
      </c>
      <c r="O47" s="504">
        <f t="shared" si="22"/>
        <v>4</v>
      </c>
      <c r="P47" s="504">
        <f t="shared" si="23"/>
        <v>0</v>
      </c>
      <c r="Q47" s="504">
        <f t="shared" si="24"/>
        <v>0</v>
      </c>
      <c r="R47" s="504">
        <f t="shared" si="25"/>
        <v>0</v>
      </c>
      <c r="S47" s="505">
        <f t="shared" si="13"/>
        <v>4</v>
      </c>
      <c r="T47" s="504">
        <f t="shared" si="26"/>
        <v>4</v>
      </c>
      <c r="U47" s="504">
        <f t="shared" si="27"/>
        <v>0</v>
      </c>
      <c r="V47" s="504">
        <f t="shared" si="28"/>
        <v>0</v>
      </c>
      <c r="W47" s="504">
        <f t="shared" si="29"/>
        <v>0</v>
      </c>
      <c r="X47" s="504">
        <f t="shared" si="30"/>
        <v>0</v>
      </c>
      <c r="Y47" s="412">
        <f t="shared" si="12"/>
        <v>0</v>
      </c>
      <c r="Z47" s="751">
        <f t="shared" si="14"/>
        <v>1.5660999999999998</v>
      </c>
      <c r="AA47" s="751">
        <f t="shared" si="15"/>
        <v>1.5660999999999998</v>
      </c>
      <c r="AB47" s="751">
        <f t="shared" si="16"/>
        <v>0</v>
      </c>
      <c r="AC47" s="751">
        <f t="shared" si="17"/>
        <v>0</v>
      </c>
      <c r="AD47" s="751">
        <f t="shared" si="18"/>
        <v>0</v>
      </c>
      <c r="AE47" s="751">
        <f t="shared" si="19"/>
        <v>0</v>
      </c>
      <c r="AF47" s="598">
        <f t="shared" si="20"/>
        <v>0</v>
      </c>
      <c r="AG47"/>
    </row>
    <row r="48" spans="1:33" ht="15" x14ac:dyDescent="0.25">
      <c r="A48" s="412">
        <f>+SUBTOTAL(3,$B$4:B48)</f>
        <v>45</v>
      </c>
      <c r="B48" s="742" t="str">
        <f>'Visual chart Edit'!B51</f>
        <v>9/0</v>
      </c>
      <c r="C48" s="412" t="str">
        <f>'Visual chart Edit'!C51</f>
        <v>DD60+18</v>
      </c>
      <c r="D48" s="412" t="s">
        <v>1298</v>
      </c>
      <c r="E48" s="464">
        <f>'Visual chart Edit'!I51</f>
        <v>457.7</v>
      </c>
      <c r="F48" s="412" t="str">
        <f>'Visual chart Edit'!K51</f>
        <v>DRY</v>
      </c>
      <c r="G48" s="412" t="str">
        <f>'Visual chart Edit'!L51</f>
        <v>E</v>
      </c>
      <c r="H48" s="412"/>
      <c r="I48" s="412"/>
      <c r="J48" s="412"/>
      <c r="K48" s="412"/>
      <c r="M48" s="503" t="s">
        <v>1339</v>
      </c>
      <c r="N48" s="504">
        <f t="shared" si="21"/>
        <v>12</v>
      </c>
      <c r="O48" s="504">
        <f t="shared" si="22"/>
        <v>12</v>
      </c>
      <c r="P48" s="504">
        <f t="shared" si="23"/>
        <v>0</v>
      </c>
      <c r="Q48" s="504">
        <f t="shared" si="24"/>
        <v>0</v>
      </c>
      <c r="R48" s="504">
        <f t="shared" si="25"/>
        <v>0</v>
      </c>
      <c r="S48" s="505">
        <f t="shared" si="13"/>
        <v>12</v>
      </c>
      <c r="T48" s="504">
        <f t="shared" si="26"/>
        <v>12</v>
      </c>
      <c r="U48" s="504">
        <f t="shared" si="27"/>
        <v>0</v>
      </c>
      <c r="V48" s="504">
        <f t="shared" si="28"/>
        <v>0</v>
      </c>
      <c r="W48" s="504">
        <f t="shared" si="29"/>
        <v>0</v>
      </c>
      <c r="X48" s="504">
        <f t="shared" si="30"/>
        <v>0</v>
      </c>
      <c r="Y48" s="412">
        <f t="shared" si="12"/>
        <v>0</v>
      </c>
      <c r="Z48" s="751">
        <f t="shared" si="14"/>
        <v>4.2541000000000002</v>
      </c>
      <c r="AA48" s="751">
        <f t="shared" si="15"/>
        <v>4.2541000000000002</v>
      </c>
      <c r="AB48" s="751">
        <f t="shared" si="16"/>
        <v>0</v>
      </c>
      <c r="AC48" s="751">
        <f t="shared" si="17"/>
        <v>0</v>
      </c>
      <c r="AD48" s="751">
        <f t="shared" si="18"/>
        <v>0</v>
      </c>
      <c r="AE48" s="751">
        <f t="shared" si="19"/>
        <v>0</v>
      </c>
      <c r="AF48" s="598">
        <f t="shared" si="20"/>
        <v>0</v>
      </c>
      <c r="AG48"/>
    </row>
    <row r="49" spans="1:33" ht="15" x14ac:dyDescent="0.25">
      <c r="A49" s="412">
        <f>+SUBTOTAL(3,$B$4:B49)</f>
        <v>46</v>
      </c>
      <c r="B49" s="742" t="str">
        <f>'Visual chart Edit'!B52</f>
        <v>10/0</v>
      </c>
      <c r="C49" s="412" t="str">
        <f>'Visual chart Edit'!C52</f>
        <v>DD60+25</v>
      </c>
      <c r="D49" s="412" t="s">
        <v>1298</v>
      </c>
      <c r="E49" s="464">
        <f>'Visual chart Edit'!I52</f>
        <v>233.1</v>
      </c>
      <c r="F49" s="412" t="str">
        <f>'Visual chart Edit'!K52</f>
        <v>DFR</v>
      </c>
      <c r="G49" s="412" t="s">
        <v>129</v>
      </c>
      <c r="H49" s="415" t="s">
        <v>1656</v>
      </c>
      <c r="I49" s="412"/>
      <c r="J49" s="412"/>
      <c r="K49" s="412"/>
      <c r="M49" s="503" t="s">
        <v>1340</v>
      </c>
      <c r="N49" s="504">
        <f t="shared" si="21"/>
        <v>2</v>
      </c>
      <c r="O49" s="504">
        <f t="shared" si="22"/>
        <v>2</v>
      </c>
      <c r="P49" s="504">
        <f t="shared" si="23"/>
        <v>0</v>
      </c>
      <c r="Q49" s="504">
        <f t="shared" si="24"/>
        <v>0</v>
      </c>
      <c r="R49" s="504">
        <f t="shared" si="25"/>
        <v>0</v>
      </c>
      <c r="S49" s="505">
        <f t="shared" si="13"/>
        <v>2</v>
      </c>
      <c r="T49" s="504">
        <f t="shared" si="26"/>
        <v>2</v>
      </c>
      <c r="U49" s="504">
        <f t="shared" si="27"/>
        <v>0</v>
      </c>
      <c r="V49" s="504">
        <f t="shared" si="28"/>
        <v>0</v>
      </c>
      <c r="W49" s="504">
        <f t="shared" si="29"/>
        <v>0</v>
      </c>
      <c r="X49" s="504">
        <f t="shared" si="30"/>
        <v>0</v>
      </c>
      <c r="Y49" s="412">
        <f t="shared" si="12"/>
        <v>0</v>
      </c>
      <c r="Z49" s="751">
        <f t="shared" si="14"/>
        <v>0.76900000000000002</v>
      </c>
      <c r="AA49" s="751">
        <f t="shared" si="15"/>
        <v>0.76900000000000002</v>
      </c>
      <c r="AB49" s="751">
        <f t="shared" si="16"/>
        <v>0</v>
      </c>
      <c r="AC49" s="751">
        <f t="shared" si="17"/>
        <v>0</v>
      </c>
      <c r="AD49" s="751">
        <f t="shared" si="18"/>
        <v>0</v>
      </c>
      <c r="AE49" s="751">
        <f t="shared" si="19"/>
        <v>0</v>
      </c>
      <c r="AF49" s="598">
        <f t="shared" si="20"/>
        <v>0</v>
      </c>
      <c r="AG49"/>
    </row>
    <row r="50" spans="1:33" ht="15" x14ac:dyDescent="0.25">
      <c r="A50" s="412">
        <f>+SUBTOTAL(3,$B$4:B50)</f>
        <v>47</v>
      </c>
      <c r="B50" s="412" t="str">
        <f>'Visual chart Edit'!B53</f>
        <v>10/1</v>
      </c>
      <c r="C50" s="412" t="str">
        <f>'Visual chart Edit'!C53</f>
        <v>DA+0</v>
      </c>
      <c r="D50" s="412" t="s">
        <v>1299</v>
      </c>
      <c r="E50" s="464">
        <f>'Visual chart Edit'!I53</f>
        <v>443.7</v>
      </c>
      <c r="F50" s="412" t="str">
        <f>'Visual chart Edit'!K53</f>
        <v>DRY</v>
      </c>
      <c r="G50" s="412" t="str">
        <f>'Visual chart Edit'!L53</f>
        <v>E</v>
      </c>
      <c r="H50" s="412"/>
      <c r="I50" s="412"/>
      <c r="J50" s="412"/>
      <c r="K50" s="412"/>
      <c r="M50" s="503" t="s">
        <v>1341</v>
      </c>
      <c r="N50" s="504">
        <f t="shared" si="21"/>
        <v>12</v>
      </c>
      <c r="O50" s="504">
        <f t="shared" si="22"/>
        <v>12</v>
      </c>
      <c r="P50" s="504">
        <f t="shared" si="23"/>
        <v>0</v>
      </c>
      <c r="Q50" s="504">
        <f t="shared" si="24"/>
        <v>0</v>
      </c>
      <c r="R50" s="504">
        <f t="shared" si="25"/>
        <v>0</v>
      </c>
      <c r="S50" s="505">
        <f t="shared" si="13"/>
        <v>12</v>
      </c>
      <c r="T50" s="504">
        <f t="shared" si="26"/>
        <v>12</v>
      </c>
      <c r="U50" s="504">
        <f t="shared" si="27"/>
        <v>0</v>
      </c>
      <c r="V50" s="504">
        <f t="shared" si="28"/>
        <v>0</v>
      </c>
      <c r="W50" s="504">
        <f t="shared" si="29"/>
        <v>0</v>
      </c>
      <c r="X50" s="504">
        <f t="shared" si="30"/>
        <v>0</v>
      </c>
      <c r="Y50" s="412">
        <f t="shared" si="12"/>
        <v>0</v>
      </c>
      <c r="Z50" s="751">
        <f t="shared" si="14"/>
        <v>4.9329000000000001</v>
      </c>
      <c r="AA50" s="751">
        <f t="shared" si="15"/>
        <v>4.9329000000000001</v>
      </c>
      <c r="AB50" s="751">
        <f t="shared" si="16"/>
        <v>0</v>
      </c>
      <c r="AC50" s="751">
        <f t="shared" si="17"/>
        <v>0</v>
      </c>
      <c r="AD50" s="751">
        <f t="shared" si="18"/>
        <v>0</v>
      </c>
      <c r="AE50" s="751">
        <f t="shared" si="19"/>
        <v>0</v>
      </c>
      <c r="AF50" s="598">
        <f t="shared" si="20"/>
        <v>0</v>
      </c>
      <c r="AG50"/>
    </row>
    <row r="51" spans="1:33" ht="15" x14ac:dyDescent="0.25">
      <c r="A51" s="412">
        <f>+SUBTOTAL(3,$B$4:B51)</f>
        <v>48</v>
      </c>
      <c r="B51" s="412" t="str">
        <f>'Visual chart Edit'!B54</f>
        <v>10/2</v>
      </c>
      <c r="C51" s="412" t="str">
        <f>'Visual chart Edit'!C54</f>
        <v>DA+0</v>
      </c>
      <c r="D51" s="412" t="s">
        <v>1299</v>
      </c>
      <c r="E51" s="464">
        <f>'Visual chart Edit'!I54</f>
        <v>383.2</v>
      </c>
      <c r="F51" s="412" t="str">
        <f>'Visual chart Edit'!K54</f>
        <v>DFR</v>
      </c>
      <c r="G51" s="412" t="str">
        <f>'Visual chart Edit'!L54</f>
        <v>E</v>
      </c>
      <c r="H51" s="415"/>
      <c r="I51" s="412"/>
      <c r="J51" s="412"/>
      <c r="K51" s="412"/>
      <c r="M51" s="503" t="s">
        <v>1342</v>
      </c>
      <c r="N51" s="504">
        <f t="shared" si="21"/>
        <v>2</v>
      </c>
      <c r="O51" s="504">
        <f t="shared" si="22"/>
        <v>2</v>
      </c>
      <c r="P51" s="504">
        <f t="shared" si="23"/>
        <v>0</v>
      </c>
      <c r="Q51" s="504">
        <f t="shared" si="24"/>
        <v>0</v>
      </c>
      <c r="R51" s="504">
        <f t="shared" si="25"/>
        <v>0</v>
      </c>
      <c r="S51" s="505">
        <f t="shared" si="13"/>
        <v>2</v>
      </c>
      <c r="T51" s="504">
        <f t="shared" si="26"/>
        <v>2</v>
      </c>
      <c r="U51" s="504">
        <f t="shared" si="27"/>
        <v>0</v>
      </c>
      <c r="V51" s="504">
        <f t="shared" si="28"/>
        <v>0</v>
      </c>
      <c r="W51" s="504">
        <f t="shared" si="29"/>
        <v>0</v>
      </c>
      <c r="X51" s="504">
        <f t="shared" si="30"/>
        <v>0</v>
      </c>
      <c r="Y51" s="412">
        <f t="shared" si="12"/>
        <v>0</v>
      </c>
      <c r="Z51" s="751">
        <f t="shared" si="14"/>
        <v>0.82020000000000004</v>
      </c>
      <c r="AA51" s="751">
        <f t="shared" si="15"/>
        <v>0.82020000000000004</v>
      </c>
      <c r="AB51" s="751">
        <f t="shared" si="16"/>
        <v>0</v>
      </c>
      <c r="AC51" s="751">
        <f t="shared" si="17"/>
        <v>0</v>
      </c>
      <c r="AD51" s="751">
        <f t="shared" si="18"/>
        <v>0</v>
      </c>
      <c r="AE51" s="751">
        <f t="shared" si="19"/>
        <v>0</v>
      </c>
      <c r="AF51" s="598">
        <f t="shared" si="20"/>
        <v>0</v>
      </c>
      <c r="AG51"/>
    </row>
    <row r="52" spans="1:33" ht="15" x14ac:dyDescent="0.25">
      <c r="A52" s="412">
        <f>+SUBTOTAL(3,$B$4:B52)</f>
        <v>49</v>
      </c>
      <c r="B52" s="412" t="str">
        <f>'Visual chart Edit'!B55</f>
        <v>10/3</v>
      </c>
      <c r="C52" s="412" t="str">
        <f>'Visual chart Edit'!C55</f>
        <v>DA+0</v>
      </c>
      <c r="D52" s="412" t="s">
        <v>1299</v>
      </c>
      <c r="E52" s="464">
        <f>'Visual chart Edit'!I55</f>
        <v>398.6</v>
      </c>
      <c r="F52" s="412" t="str">
        <f>'Visual chart Edit'!K55</f>
        <v>DFR</v>
      </c>
      <c r="G52" s="412" t="str">
        <f>'Visual chart Edit'!L55</f>
        <v>E</v>
      </c>
      <c r="H52" s="412"/>
      <c r="I52" s="412"/>
      <c r="J52" s="412"/>
      <c r="K52" s="412"/>
      <c r="M52" s="503" t="s">
        <v>1343</v>
      </c>
      <c r="N52" s="504">
        <f t="shared" si="21"/>
        <v>9</v>
      </c>
      <c r="O52" s="504">
        <f t="shared" si="22"/>
        <v>9</v>
      </c>
      <c r="P52" s="504">
        <f t="shared" si="23"/>
        <v>0</v>
      </c>
      <c r="Q52" s="504">
        <f t="shared" si="24"/>
        <v>0</v>
      </c>
      <c r="R52" s="504">
        <f t="shared" si="25"/>
        <v>0</v>
      </c>
      <c r="S52" s="505">
        <f t="shared" si="13"/>
        <v>9</v>
      </c>
      <c r="T52" s="504">
        <f t="shared" si="26"/>
        <v>9</v>
      </c>
      <c r="U52" s="504">
        <f t="shared" si="27"/>
        <v>0</v>
      </c>
      <c r="V52" s="504">
        <f t="shared" si="28"/>
        <v>0</v>
      </c>
      <c r="W52" s="504">
        <f t="shared" si="29"/>
        <v>0</v>
      </c>
      <c r="X52" s="504">
        <f t="shared" si="30"/>
        <v>0</v>
      </c>
      <c r="Y52" s="412">
        <f t="shared" si="12"/>
        <v>0</v>
      </c>
      <c r="Z52" s="751">
        <f t="shared" si="14"/>
        <v>3.7108000000000003</v>
      </c>
      <c r="AA52" s="751">
        <f t="shared" si="15"/>
        <v>3.7108000000000003</v>
      </c>
      <c r="AB52" s="751">
        <f t="shared" si="16"/>
        <v>0</v>
      </c>
      <c r="AC52" s="751">
        <f t="shared" si="17"/>
        <v>0</v>
      </c>
      <c r="AD52" s="751">
        <f t="shared" si="18"/>
        <v>0</v>
      </c>
      <c r="AE52" s="751">
        <f t="shared" si="19"/>
        <v>0</v>
      </c>
      <c r="AF52" s="598">
        <f t="shared" si="20"/>
        <v>0</v>
      </c>
      <c r="AG52"/>
    </row>
    <row r="53" spans="1:33" ht="15" x14ac:dyDescent="0.25">
      <c r="A53" s="412">
        <f>+SUBTOTAL(3,$B$4:B53)</f>
        <v>50</v>
      </c>
      <c r="B53" s="412" t="str">
        <f>'Visual chart Edit'!B56</f>
        <v>10/4</v>
      </c>
      <c r="C53" s="412" t="str">
        <f>'Visual chart Edit'!C56</f>
        <v>DA+3</v>
      </c>
      <c r="D53" s="412" t="s">
        <v>1299</v>
      </c>
      <c r="E53" s="464">
        <f>'Visual chart Edit'!I56</f>
        <v>410.7</v>
      </c>
      <c r="F53" s="412" t="str">
        <f>'Visual chart Edit'!K56</f>
        <v>DFR</v>
      </c>
      <c r="G53" s="412" t="str">
        <f>'Visual chart Edit'!L56</f>
        <v>E</v>
      </c>
      <c r="H53" s="412"/>
      <c r="I53" s="412"/>
      <c r="J53" s="412"/>
      <c r="K53" s="412"/>
      <c r="M53" s="503" t="s">
        <v>1344</v>
      </c>
      <c r="N53" s="504">
        <f t="shared" si="21"/>
        <v>10</v>
      </c>
      <c r="O53" s="504">
        <f t="shared" si="22"/>
        <v>10</v>
      </c>
      <c r="P53" s="504">
        <f t="shared" si="23"/>
        <v>0</v>
      </c>
      <c r="Q53" s="504">
        <f t="shared" si="24"/>
        <v>0</v>
      </c>
      <c r="R53" s="504">
        <f t="shared" si="25"/>
        <v>0</v>
      </c>
      <c r="S53" s="505">
        <f t="shared" si="13"/>
        <v>10</v>
      </c>
      <c r="T53" s="504">
        <f t="shared" si="26"/>
        <v>10</v>
      </c>
      <c r="U53" s="504">
        <f t="shared" si="27"/>
        <v>0</v>
      </c>
      <c r="V53" s="504">
        <f t="shared" si="28"/>
        <v>0</v>
      </c>
      <c r="W53" s="504">
        <f t="shared" si="29"/>
        <v>0</v>
      </c>
      <c r="X53" s="504">
        <f t="shared" si="30"/>
        <v>0</v>
      </c>
      <c r="Y53" s="412">
        <f t="shared" si="12"/>
        <v>0</v>
      </c>
      <c r="Z53" s="751">
        <f t="shared" si="14"/>
        <v>3.7882000000000002</v>
      </c>
      <c r="AA53" s="751">
        <f t="shared" si="15"/>
        <v>3.7882000000000002</v>
      </c>
      <c r="AB53" s="751">
        <f t="shared" si="16"/>
        <v>0</v>
      </c>
      <c r="AC53" s="751">
        <f t="shared" si="17"/>
        <v>0</v>
      </c>
      <c r="AD53" s="751">
        <f t="shared" si="18"/>
        <v>0</v>
      </c>
      <c r="AE53" s="751">
        <f t="shared" si="19"/>
        <v>0</v>
      </c>
      <c r="AF53" s="598">
        <f t="shared" si="20"/>
        <v>0</v>
      </c>
      <c r="AG53"/>
    </row>
    <row r="54" spans="1:33" ht="15" x14ac:dyDescent="0.25">
      <c r="A54" s="412">
        <f>+SUBTOTAL(3,$B$4:B54)</f>
        <v>51</v>
      </c>
      <c r="B54" s="412" t="str">
        <f>'Visual chart Edit'!B57</f>
        <v>10/5</v>
      </c>
      <c r="C54" s="412" t="str">
        <f>'Visual chart Edit'!C57</f>
        <v>DA+3</v>
      </c>
      <c r="D54" s="412" t="s">
        <v>1299</v>
      </c>
      <c r="E54" s="464">
        <f>'Visual chart Edit'!I57</f>
        <v>416.2</v>
      </c>
      <c r="F54" s="412" t="str">
        <f>'Visual chart Edit'!K57</f>
        <v>DRY</v>
      </c>
      <c r="G54" s="412" t="str">
        <f>'Visual chart Edit'!L57</f>
        <v>E</v>
      </c>
      <c r="H54" s="412"/>
      <c r="I54" s="412"/>
      <c r="J54" s="412"/>
      <c r="K54" s="412"/>
      <c r="AD54"/>
      <c r="AE54"/>
      <c r="AF54"/>
      <c r="AG54"/>
    </row>
    <row r="55" spans="1:33" x14ac:dyDescent="0.25">
      <c r="A55" s="412">
        <f>+SUBTOTAL(3,$B$4:B55)</f>
        <v>52</v>
      </c>
      <c r="B55" s="412" t="str">
        <f>'Visual chart Edit'!B58</f>
        <v>10/6</v>
      </c>
      <c r="C55" s="412" t="str">
        <f>'Visual chart Edit'!C58</f>
        <v>DA+0</v>
      </c>
      <c r="D55" s="412" t="s">
        <v>1300</v>
      </c>
      <c r="E55" s="464">
        <f>'Visual chart Edit'!I58</f>
        <v>403.4</v>
      </c>
      <c r="F55" s="412" t="str">
        <f>'Visual chart Edit'!K58</f>
        <v>DFR</v>
      </c>
      <c r="G55" s="412" t="str">
        <f>'Visual chart Edit'!L58</f>
        <v>E</v>
      </c>
      <c r="H55" s="412"/>
      <c r="I55" s="412"/>
      <c r="J55" s="412"/>
      <c r="K55" s="412"/>
    </row>
    <row r="56" spans="1:33" x14ac:dyDescent="0.25">
      <c r="A56" s="412">
        <f>+SUBTOTAL(3,$B$4:B56)</f>
        <v>53</v>
      </c>
      <c r="B56" s="412" t="str">
        <f>'Visual chart Edit'!B59</f>
        <v>10/7</v>
      </c>
      <c r="C56" s="412" t="str">
        <f>'Visual chart Edit'!C59</f>
        <v>DA+3</v>
      </c>
      <c r="D56" s="412" t="s">
        <v>1300</v>
      </c>
      <c r="E56" s="464">
        <f>'Visual chart Edit'!I59</f>
        <v>373.84500000000003</v>
      </c>
      <c r="F56" s="412" t="str">
        <f>'Visual chart Edit'!K59</f>
        <v>DRY</v>
      </c>
      <c r="G56" s="412" t="str">
        <f>'Visual chart Edit'!L59</f>
        <v>E</v>
      </c>
      <c r="H56" s="412"/>
      <c r="I56" s="412"/>
      <c r="J56" s="412"/>
      <c r="K56" s="412"/>
    </row>
    <row r="57" spans="1:33" x14ac:dyDescent="0.25">
      <c r="A57" s="412">
        <f>+SUBTOTAL(3,$B$4:B57)</f>
        <v>54</v>
      </c>
      <c r="B57" s="412" t="str">
        <f>'Visual chart Edit'!B60</f>
        <v>10/8</v>
      </c>
      <c r="C57" s="412" t="str">
        <f>'Visual chart Edit'!C60</f>
        <v>DA+3</v>
      </c>
      <c r="D57" s="412" t="s">
        <v>1300</v>
      </c>
      <c r="E57" s="464">
        <f>'Visual chart Edit'!I60</f>
        <v>411.82299999999998</v>
      </c>
      <c r="F57" s="412" t="str">
        <f>'Visual chart Edit'!K60</f>
        <v>DFR</v>
      </c>
      <c r="G57" s="412" t="str">
        <f>'Visual chart Edit'!L60</f>
        <v>E</v>
      </c>
      <c r="H57" s="412"/>
      <c r="I57" s="412"/>
      <c r="J57" s="412"/>
      <c r="K57" s="412"/>
    </row>
    <row r="58" spans="1:33" x14ac:dyDescent="0.25">
      <c r="A58" s="412">
        <f>+SUBTOTAL(3,$B$4:B58)</f>
        <v>55</v>
      </c>
      <c r="B58" s="412" t="str">
        <f>'Visual chart Edit'!B61</f>
        <v>10/9</v>
      </c>
      <c r="C58" s="412" t="str">
        <f>'Visual chart Edit'!C61</f>
        <v>DA+0</v>
      </c>
      <c r="D58" s="412" t="s">
        <v>1300</v>
      </c>
      <c r="E58" s="464">
        <f>'Visual chart Edit'!I61</f>
        <v>414.2</v>
      </c>
      <c r="F58" s="412" t="str">
        <f>'Visual chart Edit'!K61</f>
        <v>DRY</v>
      </c>
      <c r="G58" s="412" t="str">
        <f>'Visual chart Edit'!L61</f>
        <v>E</v>
      </c>
      <c r="H58" s="412"/>
      <c r="I58" s="412"/>
      <c r="J58" s="412"/>
      <c r="K58" s="412"/>
    </row>
    <row r="59" spans="1:33" x14ac:dyDescent="0.25">
      <c r="A59" s="412">
        <f>+SUBTOTAL(3,$B$4:B59)</f>
        <v>56</v>
      </c>
      <c r="B59" s="412" t="str">
        <f>'Visual chart Edit'!B62</f>
        <v>10/10</v>
      </c>
      <c r="C59" s="412" t="str">
        <f>'Visual chart Edit'!C62</f>
        <v>DA+3</v>
      </c>
      <c r="D59" s="412" t="s">
        <v>1300</v>
      </c>
      <c r="E59" s="464">
        <f>'Visual chart Edit'!I62</f>
        <v>402.3</v>
      </c>
      <c r="F59" s="412" t="str">
        <f>'Visual chart Edit'!K62</f>
        <v>Sandy</v>
      </c>
      <c r="G59" s="412" t="str">
        <f>'Visual chart Edit'!L62</f>
        <v>E</v>
      </c>
      <c r="H59" s="412"/>
      <c r="I59" s="412"/>
      <c r="J59" s="412"/>
      <c r="K59" s="412"/>
    </row>
    <row r="60" spans="1:33" x14ac:dyDescent="0.25">
      <c r="A60" s="412">
        <f>+SUBTOTAL(3,$B$4:B60)</f>
        <v>57</v>
      </c>
      <c r="B60" s="412" t="str">
        <f>'Visual chart Edit'!B63</f>
        <v>10/11</v>
      </c>
      <c r="C60" s="412" t="str">
        <f>'Visual chart Edit'!C63</f>
        <v>DA+3</v>
      </c>
      <c r="D60" s="412" t="s">
        <v>1300</v>
      </c>
      <c r="E60" s="464">
        <f>'Visual chart Edit'!I63</f>
        <v>430.3</v>
      </c>
      <c r="F60" s="412" t="str">
        <f>'Visual chart Edit'!K63</f>
        <v>DRY</v>
      </c>
      <c r="G60" s="412" t="str">
        <f>'Visual chart Edit'!L63</f>
        <v>E</v>
      </c>
      <c r="H60" s="412"/>
      <c r="I60" s="412"/>
      <c r="J60" s="412"/>
      <c r="K60" s="412"/>
    </row>
    <row r="61" spans="1:33" x14ac:dyDescent="0.25">
      <c r="A61" s="412">
        <f>+SUBTOTAL(3,$B$4:B61)</f>
        <v>58</v>
      </c>
      <c r="B61" s="412" t="str">
        <f>'Visual chart Edit'!B64</f>
        <v>10/12</v>
      </c>
      <c r="C61" s="412" t="str">
        <f>'Visual chart Edit'!C64</f>
        <v>DB1+0</v>
      </c>
      <c r="D61" s="412" t="s">
        <v>1300</v>
      </c>
      <c r="E61" s="464">
        <f>'Visual chart Edit'!I64</f>
        <v>406.2</v>
      </c>
      <c r="F61" s="412" t="str">
        <f>'Visual chart Edit'!K64</f>
        <v>DRY</v>
      </c>
      <c r="G61" s="412" t="str">
        <f>'Visual chart Edit'!L64</f>
        <v>E</v>
      </c>
      <c r="H61" s="412"/>
      <c r="I61" s="412"/>
      <c r="J61" s="412"/>
      <c r="K61" s="412"/>
    </row>
    <row r="62" spans="1:33" x14ac:dyDescent="0.25">
      <c r="A62" s="412">
        <f>+SUBTOTAL(3,$B$4:B62)</f>
        <v>59</v>
      </c>
      <c r="B62" s="412" t="str">
        <f>'Visual chart Edit'!B65</f>
        <v>10/13</v>
      </c>
      <c r="C62" s="412" t="str">
        <f>'Visual chart Edit'!C65</f>
        <v>DA+3</v>
      </c>
      <c r="D62" s="412" t="s">
        <v>1300</v>
      </c>
      <c r="E62" s="464">
        <f>'Visual chart Edit'!I65</f>
        <v>405.3</v>
      </c>
      <c r="F62" s="412" t="str">
        <f>'Visual chart Edit'!K65</f>
        <v>DRY</v>
      </c>
      <c r="G62" s="412" t="str">
        <f>'Visual chart Edit'!L65</f>
        <v>E</v>
      </c>
      <c r="H62" s="412" t="s">
        <v>419</v>
      </c>
      <c r="I62" s="412" t="s">
        <v>419</v>
      </c>
      <c r="J62" s="412" t="s">
        <v>419</v>
      </c>
      <c r="K62" s="412"/>
    </row>
    <row r="63" spans="1:33" x14ac:dyDescent="0.25">
      <c r="A63" s="412">
        <f>+SUBTOTAL(3,$B$4:B63)</f>
        <v>60</v>
      </c>
      <c r="B63" s="412" t="str">
        <f>'Visual chart Edit'!B66</f>
        <v>10/14</v>
      </c>
      <c r="C63" s="412" t="str">
        <f>'Visual chart Edit'!C66</f>
        <v>DA+3</v>
      </c>
      <c r="D63" s="412" t="s">
        <v>1300</v>
      </c>
      <c r="E63" s="464">
        <f>'Visual chart Edit'!I66</f>
        <v>427.1</v>
      </c>
      <c r="F63" s="412" t="str">
        <f>'Visual chart Edit'!K66</f>
        <v>DRY</v>
      </c>
      <c r="G63" s="412" t="str">
        <f>'Visual chart Edit'!L66</f>
        <v>E</v>
      </c>
      <c r="H63" s="412" t="s">
        <v>419</v>
      </c>
      <c r="I63" s="412" t="s">
        <v>419</v>
      </c>
      <c r="J63" s="412" t="s">
        <v>419</v>
      </c>
      <c r="K63" s="412"/>
    </row>
    <row r="64" spans="1:33" x14ac:dyDescent="0.25">
      <c r="A64" s="412">
        <f>+SUBTOTAL(3,$B$4:B64)</f>
        <v>61</v>
      </c>
      <c r="B64" s="412" t="str">
        <f>'Visual chart Edit'!B67</f>
        <v>10/15</v>
      </c>
      <c r="C64" s="412" t="str">
        <f>'Visual chart Edit'!C67</f>
        <v>DA+3</v>
      </c>
      <c r="D64" s="412" t="s">
        <v>1300</v>
      </c>
      <c r="E64" s="464">
        <f>'Visual chart Edit'!I67</f>
        <v>400</v>
      </c>
      <c r="F64" s="412" t="str">
        <f>'Visual chart Edit'!K67</f>
        <v>DRY</v>
      </c>
      <c r="G64" s="412" t="str">
        <f>'Visual chart Edit'!L67</f>
        <v>E</v>
      </c>
      <c r="H64" s="412" t="s">
        <v>419</v>
      </c>
      <c r="I64" s="412" t="s">
        <v>419</v>
      </c>
      <c r="J64" s="412" t="s">
        <v>419</v>
      </c>
      <c r="K64" s="412"/>
    </row>
    <row r="65" spans="1:11" x14ac:dyDescent="0.25">
      <c r="A65" s="412">
        <f>+SUBTOTAL(3,$B$4:B65)</f>
        <v>62</v>
      </c>
      <c r="B65" s="412" t="str">
        <f>'Visual chart Edit'!B68</f>
        <v>10/16</v>
      </c>
      <c r="C65" s="412" t="str">
        <f>'Visual chart Edit'!C68</f>
        <v>DA+3</v>
      </c>
      <c r="D65" s="412" t="s">
        <v>1300</v>
      </c>
      <c r="E65" s="464">
        <f>'Visual chart Edit'!I68</f>
        <v>412.8</v>
      </c>
      <c r="F65" s="412" t="str">
        <f>'Visual chart Edit'!K68</f>
        <v>DRY</v>
      </c>
      <c r="G65" s="412" t="str">
        <f>'Visual chart Edit'!L68</f>
        <v>E</v>
      </c>
      <c r="H65" s="412" t="s">
        <v>419</v>
      </c>
      <c r="I65" s="412" t="s">
        <v>419</v>
      </c>
      <c r="J65" s="412" t="s">
        <v>419</v>
      </c>
      <c r="K65" s="412"/>
    </row>
    <row r="66" spans="1:11" x14ac:dyDescent="0.25">
      <c r="A66" s="412">
        <f>+SUBTOTAL(3,$B$4:B66)</f>
        <v>63</v>
      </c>
      <c r="B66" s="412" t="str">
        <f>'Visual chart Edit'!B69</f>
        <v>10/17</v>
      </c>
      <c r="C66" s="412" t="str">
        <f>'Visual chart Edit'!C69</f>
        <v>DA+3</v>
      </c>
      <c r="D66" s="412" t="s">
        <v>1300</v>
      </c>
      <c r="E66" s="464">
        <f>'Visual chart Edit'!I69</f>
        <v>387.8</v>
      </c>
      <c r="F66" s="412" t="str">
        <f>'Visual chart Edit'!K69</f>
        <v>DFR</v>
      </c>
      <c r="G66" s="412" t="str">
        <f>'Visual chart Edit'!L69</f>
        <v>E</v>
      </c>
      <c r="H66" s="412" t="s">
        <v>419</v>
      </c>
      <c r="I66" s="412" t="s">
        <v>419</v>
      </c>
      <c r="J66" s="412" t="s">
        <v>419</v>
      </c>
      <c r="K66" s="412"/>
    </row>
    <row r="67" spans="1:11" x14ac:dyDescent="0.25">
      <c r="A67" s="412">
        <f>+SUBTOTAL(3,$B$4:B67)</f>
        <v>64</v>
      </c>
      <c r="B67" s="412" t="str">
        <f>'Visual chart Edit'!B70</f>
        <v>10/18</v>
      </c>
      <c r="C67" s="412" t="str">
        <f>'Visual chart Edit'!C70</f>
        <v>DA+3</v>
      </c>
      <c r="D67" s="412" t="s">
        <v>1300</v>
      </c>
      <c r="E67" s="464">
        <f>'Visual chart Edit'!I70</f>
        <v>436.7</v>
      </c>
      <c r="F67" s="412" t="str">
        <f>'Visual chart Edit'!K70</f>
        <v>DFR</v>
      </c>
      <c r="G67" s="412" t="str">
        <f>'Visual chart Edit'!L70</f>
        <v>E</v>
      </c>
      <c r="H67" s="412" t="s">
        <v>419</v>
      </c>
      <c r="I67" s="412" t="s">
        <v>419</v>
      </c>
      <c r="J67" s="412" t="s">
        <v>419</v>
      </c>
      <c r="K67" s="412"/>
    </row>
    <row r="68" spans="1:11" x14ac:dyDescent="0.25">
      <c r="A68" s="412">
        <f>+SUBTOTAL(3,$B$4:B68)</f>
        <v>65</v>
      </c>
      <c r="B68" s="412" t="str">
        <f>'Visual chart Edit'!B71</f>
        <v>10/19</v>
      </c>
      <c r="C68" s="412" t="str">
        <f>'Visual chart Edit'!C71</f>
        <v>DA+0</v>
      </c>
      <c r="D68" s="412" t="s">
        <v>1300</v>
      </c>
      <c r="E68" s="464">
        <f>'Visual chart Edit'!I71</f>
        <v>403.7</v>
      </c>
      <c r="F68" s="412" t="str">
        <f>'Visual chart Edit'!K71</f>
        <v>DRY</v>
      </c>
      <c r="G68" s="412" t="str">
        <f>'Visual chart Edit'!L71</f>
        <v>E</v>
      </c>
      <c r="H68" s="412" t="s">
        <v>419</v>
      </c>
      <c r="I68" s="412" t="s">
        <v>419</v>
      </c>
      <c r="J68" s="412" t="s">
        <v>419</v>
      </c>
      <c r="K68" s="412"/>
    </row>
    <row r="69" spans="1:11" x14ac:dyDescent="0.25">
      <c r="A69" s="412">
        <f>+SUBTOTAL(3,$B$4:B69)</f>
        <v>66</v>
      </c>
      <c r="B69" s="412" t="str">
        <f>'Visual chart Edit'!B72</f>
        <v>10/20</v>
      </c>
      <c r="C69" s="412" t="str">
        <f>'Visual chart Edit'!C72</f>
        <v>DA+3</v>
      </c>
      <c r="D69" s="412" t="s">
        <v>1301</v>
      </c>
      <c r="E69" s="464">
        <f>'Visual chart Edit'!I72</f>
        <v>409.5</v>
      </c>
      <c r="F69" s="412" t="str">
        <f>'Visual chart Edit'!K72</f>
        <v>DFR</v>
      </c>
      <c r="G69" s="412" t="str">
        <f>'Visual chart Edit'!L72</f>
        <v>E</v>
      </c>
      <c r="H69" s="412" t="s">
        <v>419</v>
      </c>
      <c r="I69" s="412" t="s">
        <v>419</v>
      </c>
      <c r="J69" s="412" t="s">
        <v>419</v>
      </c>
      <c r="K69" s="412"/>
    </row>
    <row r="70" spans="1:11" x14ac:dyDescent="0.25">
      <c r="A70" s="412">
        <f>+SUBTOTAL(3,$B$4:B70)</f>
        <v>67</v>
      </c>
      <c r="B70" s="412" t="str">
        <f>'Visual chart Edit'!B73</f>
        <v>10/21</v>
      </c>
      <c r="C70" s="412" t="str">
        <f>'Visual chart Edit'!C73</f>
        <v>DA+3</v>
      </c>
      <c r="D70" s="412" t="s">
        <v>1301</v>
      </c>
      <c r="E70" s="464">
        <f>'Visual chart Edit'!I73</f>
        <v>418.6</v>
      </c>
      <c r="F70" s="412" t="str">
        <f>'Visual chart Edit'!K73</f>
        <v>DFR</v>
      </c>
      <c r="G70" s="412" t="str">
        <f>'Visual chart Edit'!L73</f>
        <v>E</v>
      </c>
      <c r="H70" s="412" t="s">
        <v>419</v>
      </c>
      <c r="I70" s="412" t="s">
        <v>419</v>
      </c>
      <c r="J70" s="412" t="s">
        <v>419</v>
      </c>
      <c r="K70" s="412"/>
    </row>
    <row r="71" spans="1:11" x14ac:dyDescent="0.25">
      <c r="A71" s="412">
        <f>+SUBTOTAL(3,$B$4:B71)</f>
        <v>68</v>
      </c>
      <c r="B71" s="412" t="str">
        <f>'Visual chart Edit'!B74</f>
        <v>10/22</v>
      </c>
      <c r="C71" s="412" t="str">
        <f>'Visual chart Edit'!C74</f>
        <v>DA+0</v>
      </c>
      <c r="D71" s="412" t="s">
        <v>1301</v>
      </c>
      <c r="E71" s="464">
        <f>'Visual chart Edit'!I74</f>
        <v>410.3</v>
      </c>
      <c r="F71" s="412" t="str">
        <f>'Visual chart Edit'!K74</f>
        <v>Sandy</v>
      </c>
      <c r="G71" s="412" t="str">
        <f>'Visual chart Edit'!L74</f>
        <v>E</v>
      </c>
      <c r="H71" s="412" t="s">
        <v>419</v>
      </c>
      <c r="I71" s="412" t="s">
        <v>419</v>
      </c>
      <c r="J71" s="412" t="s">
        <v>419</v>
      </c>
      <c r="K71" s="412"/>
    </row>
    <row r="72" spans="1:11" x14ac:dyDescent="0.25">
      <c r="A72" s="412">
        <f>+SUBTOTAL(3,$B$4:B72)</f>
        <v>69</v>
      </c>
      <c r="B72" s="412" t="str">
        <f>'Visual chart Edit'!B75</f>
        <v>10/23</v>
      </c>
      <c r="C72" s="412" t="str">
        <f>'Visual chart Edit'!C75</f>
        <v>DA+0</v>
      </c>
      <c r="D72" s="412" t="s">
        <v>1301</v>
      </c>
      <c r="E72" s="464">
        <f>'Visual chart Edit'!I75</f>
        <v>384</v>
      </c>
      <c r="F72" s="412" t="str">
        <f>'Visual chart Edit'!K75</f>
        <v>Sandy</v>
      </c>
      <c r="G72" s="412" t="str">
        <f>'Visual chart Edit'!L75</f>
        <v>E</v>
      </c>
      <c r="H72" s="412" t="s">
        <v>419</v>
      </c>
      <c r="I72" s="412" t="s">
        <v>419</v>
      </c>
      <c r="J72" s="412" t="s">
        <v>419</v>
      </c>
      <c r="K72" s="412"/>
    </row>
    <row r="73" spans="1:11" x14ac:dyDescent="0.25">
      <c r="A73" s="412">
        <f>+SUBTOTAL(3,$B$4:B73)</f>
        <v>70</v>
      </c>
      <c r="B73" s="412" t="str">
        <f>'Visual chart Edit'!B76</f>
        <v>11/0</v>
      </c>
      <c r="C73" s="412" t="str">
        <f>'Visual chart Edit'!C76</f>
        <v>DB1+0</v>
      </c>
      <c r="D73" s="412" t="s">
        <v>1301</v>
      </c>
      <c r="E73" s="464">
        <f>'Visual chart Edit'!I76</f>
        <v>450.8</v>
      </c>
      <c r="F73" s="412" t="str">
        <f>'Visual chart Edit'!K76</f>
        <v>Sandy</v>
      </c>
      <c r="G73" s="412" t="str">
        <f>'Visual chart Edit'!L76</f>
        <v>E</v>
      </c>
      <c r="H73" s="412" t="s">
        <v>419</v>
      </c>
      <c r="I73" s="412" t="s">
        <v>419</v>
      </c>
      <c r="J73" s="412" t="s">
        <v>419</v>
      </c>
      <c r="K73" s="412"/>
    </row>
    <row r="74" spans="1:11" x14ac:dyDescent="0.25">
      <c r="A74" s="412">
        <f>+SUBTOTAL(3,$B$4:B74)</f>
        <v>71</v>
      </c>
      <c r="B74" s="412" t="str">
        <f>'Visual chart Edit'!B77</f>
        <v>11/1</v>
      </c>
      <c r="C74" s="412" t="str">
        <f>'Visual chart Edit'!C77</f>
        <v>DA+0</v>
      </c>
      <c r="D74" s="412" t="s">
        <v>1301</v>
      </c>
      <c r="E74" s="464">
        <f>'Visual chart Edit'!I77</f>
        <v>384.2</v>
      </c>
      <c r="F74" s="412" t="str">
        <f>'Visual chart Edit'!K77</f>
        <v>Sandy</v>
      </c>
      <c r="G74" s="412" t="str">
        <f>'Visual chart Edit'!L77</f>
        <v>E</v>
      </c>
      <c r="H74" s="412"/>
      <c r="I74" s="412"/>
      <c r="J74" s="412"/>
      <c r="K74" s="412"/>
    </row>
    <row r="75" spans="1:11" x14ac:dyDescent="0.25">
      <c r="A75" s="412">
        <f>+SUBTOTAL(3,$B$4:B75)</f>
        <v>72</v>
      </c>
      <c r="B75" s="412" t="str">
        <f>'Visual chart Edit'!B78</f>
        <v>11/2</v>
      </c>
      <c r="C75" s="412" t="str">
        <f>'Visual chart Edit'!C78</f>
        <v>DA+0</v>
      </c>
      <c r="D75" s="412" t="s">
        <v>1301</v>
      </c>
      <c r="E75" s="464">
        <f>'Visual chart Edit'!I78</f>
        <v>338.6</v>
      </c>
      <c r="F75" s="412" t="str">
        <f>'Visual chart Edit'!K78</f>
        <v>Sandy</v>
      </c>
      <c r="G75" s="412" t="str">
        <f>'Visual chart Edit'!L78</f>
        <v>E</v>
      </c>
      <c r="H75" s="412"/>
      <c r="I75" s="412"/>
      <c r="J75" s="412"/>
      <c r="K75" s="412"/>
    </row>
    <row r="76" spans="1:11" x14ac:dyDescent="0.25">
      <c r="A76" s="412">
        <f>+SUBTOTAL(3,$B$4:B76)</f>
        <v>73</v>
      </c>
      <c r="B76" s="412" t="str">
        <f>'Visual chart Edit'!B79</f>
        <v>11/3</v>
      </c>
      <c r="C76" s="412" t="str">
        <f>'Visual chart Edit'!C79</f>
        <v>DA+0</v>
      </c>
      <c r="D76" s="412" t="s">
        <v>1301</v>
      </c>
      <c r="E76" s="464">
        <f>'Visual chart Edit'!I79</f>
        <v>370.7</v>
      </c>
      <c r="F76" s="412" t="str">
        <f>'Visual chart Edit'!K79</f>
        <v>Sandy</v>
      </c>
      <c r="G76" s="412" t="str">
        <f>'Visual chart Edit'!L79</f>
        <v>E</v>
      </c>
      <c r="H76" s="412"/>
      <c r="I76" s="412"/>
      <c r="J76" s="412"/>
      <c r="K76" s="412"/>
    </row>
    <row r="77" spans="1:11" x14ac:dyDescent="0.25">
      <c r="A77" s="412">
        <f>+SUBTOTAL(3,$B$4:B77)</f>
        <v>74</v>
      </c>
      <c r="B77" s="412" t="str">
        <f>'Visual chart Edit'!B80</f>
        <v>11/4</v>
      </c>
      <c r="C77" s="412" t="str">
        <f>'Visual chart Edit'!C80</f>
        <v>DA+0</v>
      </c>
      <c r="D77" s="412" t="s">
        <v>1301</v>
      </c>
      <c r="E77" s="464">
        <f>'Visual chart Edit'!I80</f>
        <v>434.1</v>
      </c>
      <c r="F77" s="412" t="str">
        <f>'Visual chart Edit'!K80</f>
        <v>Sandy</v>
      </c>
      <c r="G77" s="412" t="str">
        <f>'Visual chart Edit'!L80</f>
        <v>E</v>
      </c>
      <c r="H77" s="412"/>
      <c r="I77" s="412"/>
      <c r="J77" s="412"/>
      <c r="K77" s="412"/>
    </row>
    <row r="78" spans="1:11" x14ac:dyDescent="0.25">
      <c r="A78" s="412">
        <f>+SUBTOTAL(3,$B$4:B78)</f>
        <v>75</v>
      </c>
      <c r="B78" s="412" t="str">
        <f>'Visual chart Edit'!B81</f>
        <v>11/5</v>
      </c>
      <c r="C78" s="412" t="str">
        <f>'Visual chart Edit'!C81</f>
        <v>DA+0</v>
      </c>
      <c r="D78" s="412" t="s">
        <v>1301</v>
      </c>
      <c r="E78" s="464">
        <f>'Visual chart Edit'!I81</f>
        <v>368.1</v>
      </c>
      <c r="F78" s="412" t="str">
        <f>'Visual chart Edit'!K81</f>
        <v>DFR</v>
      </c>
      <c r="G78" s="412" t="str">
        <f>'Visual chart Edit'!L81</f>
        <v>E</v>
      </c>
      <c r="H78" s="412"/>
      <c r="I78" s="412"/>
      <c r="J78" s="412"/>
      <c r="K78" s="412"/>
    </row>
    <row r="79" spans="1:11" x14ac:dyDescent="0.25">
      <c r="A79" s="412">
        <f>+SUBTOTAL(3,$B$4:B79)</f>
        <v>76</v>
      </c>
      <c r="B79" s="412" t="str">
        <f>'Visual chart Edit'!B82</f>
        <v>11A/0</v>
      </c>
      <c r="C79" s="412" t="str">
        <f>'Visual chart Edit'!C82</f>
        <v>DB1+0</v>
      </c>
      <c r="D79" s="412" t="s">
        <v>1301</v>
      </c>
      <c r="E79" s="464">
        <f>'Visual chart Edit'!I82</f>
        <v>342.3</v>
      </c>
      <c r="F79" s="412" t="str">
        <f>'Visual chart Edit'!K82</f>
        <v>DRY</v>
      </c>
      <c r="G79" s="412" t="str">
        <f>'Visual chart Edit'!L82</f>
        <v>E</v>
      </c>
      <c r="H79" s="412"/>
      <c r="I79" s="412"/>
      <c r="J79" s="412"/>
      <c r="K79" s="412"/>
    </row>
    <row r="80" spans="1:11" x14ac:dyDescent="0.25">
      <c r="A80" s="412">
        <f>+SUBTOTAL(3,$B$4:B80)</f>
        <v>77</v>
      </c>
      <c r="B80" s="412" t="str">
        <f>'Visual chart Edit'!B83</f>
        <v>11A/1</v>
      </c>
      <c r="C80" s="412" t="str">
        <f>'Visual chart Edit'!C83</f>
        <v>DA+3</v>
      </c>
      <c r="D80" s="412" t="s">
        <v>1301</v>
      </c>
      <c r="E80" s="464">
        <f>'Visual chart Edit'!I83</f>
        <v>405.1</v>
      </c>
      <c r="F80" s="412" t="str">
        <f>'Visual chart Edit'!K83</f>
        <v>DRY</v>
      </c>
      <c r="G80" s="412" t="str">
        <f>'Visual chart Edit'!L83</f>
        <v>E</v>
      </c>
      <c r="H80" s="412"/>
      <c r="I80" s="412"/>
      <c r="J80" s="412"/>
      <c r="K80" s="412"/>
    </row>
    <row r="81" spans="1:11" x14ac:dyDescent="0.25">
      <c r="A81" s="412">
        <f>+SUBTOTAL(3,$B$4:B81)</f>
        <v>78</v>
      </c>
      <c r="B81" s="412" t="str">
        <f>'Visual chart Edit'!B84</f>
        <v>11A/2</v>
      </c>
      <c r="C81" s="412" t="str">
        <f>'Visual chart Edit'!C84</f>
        <v>DA+0</v>
      </c>
      <c r="D81" s="412" t="s">
        <v>1301</v>
      </c>
      <c r="E81" s="464">
        <f>'Visual chart Edit'!I84</f>
        <v>412.2</v>
      </c>
      <c r="F81" s="412" t="str">
        <f>'Visual chart Edit'!K84</f>
        <v>DRY</v>
      </c>
      <c r="G81" s="412" t="str">
        <f>'Visual chart Edit'!L84</f>
        <v>E</v>
      </c>
      <c r="H81" s="412"/>
      <c r="I81" s="412"/>
      <c r="J81" s="412"/>
      <c r="K81" s="412"/>
    </row>
    <row r="82" spans="1:11" x14ac:dyDescent="0.25">
      <c r="A82" s="412">
        <f>+SUBTOTAL(3,$B$4:B82)</f>
        <v>79</v>
      </c>
      <c r="B82" s="412" t="str">
        <f>'Visual chart Edit'!B85</f>
        <v>11A/3</v>
      </c>
      <c r="C82" s="412" t="str">
        <f>'Visual chart Edit'!C85</f>
        <v>DA+3</v>
      </c>
      <c r="D82" s="412" t="s">
        <v>1302</v>
      </c>
      <c r="E82" s="464">
        <f>'Visual chart Edit'!I85</f>
        <v>412.2</v>
      </c>
      <c r="F82" s="412" t="str">
        <f>'Visual chart Edit'!K85</f>
        <v>DRY</v>
      </c>
      <c r="G82" s="412" t="str">
        <f>'Visual chart Edit'!L85</f>
        <v>E</v>
      </c>
      <c r="H82" s="412"/>
      <c r="I82" s="412"/>
      <c r="J82" s="412"/>
      <c r="K82" s="412"/>
    </row>
    <row r="83" spans="1:11" x14ac:dyDescent="0.25">
      <c r="A83" s="412">
        <f>+SUBTOTAL(3,$B$4:B83)</f>
        <v>80</v>
      </c>
      <c r="B83" s="412" t="str">
        <f>'Visual chart Edit'!B86</f>
        <v>11A/4</v>
      </c>
      <c r="C83" s="412" t="str">
        <f>'Visual chart Edit'!C86</f>
        <v>DA+3</v>
      </c>
      <c r="D83" s="412" t="s">
        <v>1302</v>
      </c>
      <c r="E83" s="464">
        <f>'Visual chart Edit'!I86</f>
        <v>422.1</v>
      </c>
      <c r="F83" s="412" t="str">
        <f>'Visual chart Edit'!K86</f>
        <v>DRY</v>
      </c>
      <c r="G83" s="412" t="s">
        <v>129</v>
      </c>
      <c r="H83" s="415" t="s">
        <v>1656</v>
      </c>
      <c r="I83" s="412"/>
      <c r="J83" s="412"/>
      <c r="K83" s="412"/>
    </row>
    <row r="84" spans="1:11" x14ac:dyDescent="0.25">
      <c r="A84" s="412">
        <f>+SUBTOTAL(3,$B$4:B84)</f>
        <v>81</v>
      </c>
      <c r="B84" s="412" t="str">
        <f>'Visual chart Edit'!B87</f>
        <v>11A/5</v>
      </c>
      <c r="C84" s="412" t="str">
        <f>'Visual chart Edit'!C87</f>
        <v>DA+3</v>
      </c>
      <c r="D84" s="412" t="s">
        <v>1302</v>
      </c>
      <c r="E84" s="464">
        <f>'Visual chart Edit'!I87</f>
        <v>418.3</v>
      </c>
      <c r="F84" s="412" t="str">
        <f>'Visual chart Edit'!K87</f>
        <v>DRY</v>
      </c>
      <c r="G84" s="412" t="str">
        <f>'Visual chart Edit'!L87</f>
        <v>E</v>
      </c>
      <c r="H84" s="412"/>
      <c r="I84" s="412"/>
      <c r="J84" s="412"/>
      <c r="K84" s="412"/>
    </row>
    <row r="85" spans="1:11" x14ac:dyDescent="0.25">
      <c r="A85" s="412">
        <f>+SUBTOTAL(3,$B$4:B85)</f>
        <v>82</v>
      </c>
      <c r="B85" s="412" t="str">
        <f>'Visual chart Edit'!B88</f>
        <v>11A/6</v>
      </c>
      <c r="C85" s="412" t="str">
        <f>'Visual chart Edit'!C88</f>
        <v>DA+6</v>
      </c>
      <c r="D85" s="412" t="s">
        <v>1302</v>
      </c>
      <c r="E85" s="464">
        <f>'Visual chart Edit'!I88</f>
        <v>384.3</v>
      </c>
      <c r="F85" s="412" t="str">
        <f>'Visual chart Edit'!K88</f>
        <v>DRY</v>
      </c>
      <c r="G85" s="412" t="str">
        <f>'Visual chart Edit'!L88</f>
        <v>E</v>
      </c>
      <c r="H85" s="412"/>
      <c r="I85" s="412"/>
      <c r="J85" s="412"/>
      <c r="K85" s="412"/>
    </row>
    <row r="86" spans="1:11" x14ac:dyDescent="0.25">
      <c r="A86" s="412">
        <f>+SUBTOTAL(3,$B$4:B86)</f>
        <v>83</v>
      </c>
      <c r="B86" s="412" t="str">
        <f>'Visual chart Edit'!B89</f>
        <v>11A/7</v>
      </c>
      <c r="C86" s="412" t="str">
        <f>'Visual chart Edit'!C89</f>
        <v>DA+9</v>
      </c>
      <c r="D86" s="412" t="s">
        <v>1302</v>
      </c>
      <c r="E86" s="464">
        <f>'Visual chart Edit'!I89</f>
        <v>434.2</v>
      </c>
      <c r="F86" s="412" t="str">
        <f>'Visual chart Edit'!K89</f>
        <v>Sandy</v>
      </c>
      <c r="G86" s="412" t="str">
        <f>'Visual chart Edit'!L89</f>
        <v>E</v>
      </c>
      <c r="H86" s="412"/>
      <c r="I86" s="412"/>
      <c r="J86" s="412"/>
      <c r="K86" s="412"/>
    </row>
    <row r="87" spans="1:11" x14ac:dyDescent="0.25">
      <c r="A87" s="412">
        <f>+SUBTOTAL(3,$B$4:B87)</f>
        <v>84</v>
      </c>
      <c r="B87" s="412" t="str">
        <f>'Visual chart Edit'!B90</f>
        <v>11A/8</v>
      </c>
      <c r="C87" s="412" t="str">
        <f>'Visual chart Edit'!C90</f>
        <v>DA+6</v>
      </c>
      <c r="D87" s="412" t="s">
        <v>1302</v>
      </c>
      <c r="E87" s="464">
        <f>'Visual chart Edit'!I90</f>
        <v>390.1</v>
      </c>
      <c r="F87" s="412" t="str">
        <f>'Visual chart Edit'!K90</f>
        <v>Sandy</v>
      </c>
      <c r="G87" s="412" t="str">
        <f>'Visual chart Edit'!L90</f>
        <v>E</v>
      </c>
      <c r="H87" s="412"/>
      <c r="I87" s="412"/>
      <c r="J87" s="412"/>
      <c r="K87" s="412"/>
    </row>
    <row r="88" spans="1:11" x14ac:dyDescent="0.25">
      <c r="A88" s="412">
        <f>+SUBTOTAL(3,$B$4:B88)</f>
        <v>85</v>
      </c>
      <c r="B88" s="412" t="str">
        <f>'Visual chart Edit'!B91</f>
        <v>11A/9</v>
      </c>
      <c r="C88" s="412" t="str">
        <f>'Visual chart Edit'!C91</f>
        <v>DA+3</v>
      </c>
      <c r="D88" s="412" t="s">
        <v>1302</v>
      </c>
      <c r="E88" s="464">
        <f>'Visual chart Edit'!I91</f>
        <v>426.3</v>
      </c>
      <c r="F88" s="412" t="str">
        <f>'Visual chart Edit'!K91</f>
        <v>DRY</v>
      </c>
      <c r="G88" s="412" t="str">
        <f>'Visual chart Edit'!L91</f>
        <v>E</v>
      </c>
      <c r="H88" s="412"/>
      <c r="I88" s="412"/>
      <c r="J88" s="412"/>
      <c r="K88" s="412"/>
    </row>
    <row r="89" spans="1:11" x14ac:dyDescent="0.25">
      <c r="A89" s="412">
        <f>+SUBTOTAL(3,$B$4:B89)</f>
        <v>86</v>
      </c>
      <c r="B89" s="412" t="str">
        <f>'Visual chart Edit'!B92</f>
        <v>12/0</v>
      </c>
      <c r="C89" s="412" t="str">
        <f>'Visual chart Edit'!C92</f>
        <v>DD60+0</v>
      </c>
      <c r="D89" s="412" t="s">
        <v>1302</v>
      </c>
      <c r="E89" s="464">
        <f>'Visual chart Edit'!I92</f>
        <v>405.9</v>
      </c>
      <c r="F89" s="412" t="str">
        <f>'Visual chart Edit'!K92</f>
        <v>DRY</v>
      </c>
      <c r="G89" s="412" t="str">
        <f>'Visual chart Edit'!L92</f>
        <v>E</v>
      </c>
      <c r="H89" s="412"/>
      <c r="I89" s="412"/>
      <c r="J89" s="412"/>
      <c r="K89" s="412"/>
    </row>
    <row r="90" spans="1:11" x14ac:dyDescent="0.25">
      <c r="A90" s="412">
        <f>+SUBTOTAL(3,$B$4:B90)</f>
        <v>87</v>
      </c>
      <c r="B90" s="412" t="str">
        <f>'Visual chart Edit'!B93</f>
        <v>13/0</v>
      </c>
      <c r="C90" s="412" t="str">
        <f>'Visual chart Edit'!C93</f>
        <v>DD60+3</v>
      </c>
      <c r="D90" s="412" t="s">
        <v>1302</v>
      </c>
      <c r="E90" s="464">
        <f>'Visual chart Edit'!I93</f>
        <v>211.9</v>
      </c>
      <c r="F90" s="412" t="str">
        <f>'Visual chart Edit'!K93</f>
        <v>DRY</v>
      </c>
      <c r="G90" s="412" t="s">
        <v>129</v>
      </c>
      <c r="H90" s="415" t="s">
        <v>1656</v>
      </c>
      <c r="I90" s="412"/>
      <c r="J90" s="412"/>
      <c r="K90" s="412"/>
    </row>
    <row r="91" spans="1:11" x14ac:dyDescent="0.25">
      <c r="A91" s="412">
        <f>+SUBTOTAL(3,$B$4:B91)</f>
        <v>88</v>
      </c>
      <c r="B91" s="412" t="str">
        <f>'Visual chart Edit'!B94</f>
        <v>13/1</v>
      </c>
      <c r="C91" s="412" t="str">
        <f>'Visual chart Edit'!C94</f>
        <v>DA+9</v>
      </c>
      <c r="D91" s="412" t="s">
        <v>1302</v>
      </c>
      <c r="E91" s="464">
        <f>'Visual chart Edit'!I94</f>
        <v>464.3</v>
      </c>
      <c r="F91" s="412" t="str">
        <f>'Visual chart Edit'!K94</f>
        <v>DRY</v>
      </c>
      <c r="G91" s="412" t="str">
        <f>'Visual chart Edit'!L94</f>
        <v>E</v>
      </c>
      <c r="H91" s="412"/>
      <c r="I91" s="412"/>
      <c r="J91" s="412"/>
      <c r="K91" s="412"/>
    </row>
    <row r="92" spans="1:11" x14ac:dyDescent="0.25">
      <c r="A92" s="412">
        <f>+SUBTOTAL(3,$B$4:B92)</f>
        <v>89</v>
      </c>
      <c r="B92" s="412" t="str">
        <f>'Visual chart Edit'!B95</f>
        <v>13/2</v>
      </c>
      <c r="C92" s="412" t="str">
        <f>'Visual chart Edit'!C95</f>
        <v>DA+3</v>
      </c>
      <c r="D92" s="412" t="s">
        <v>1302</v>
      </c>
      <c r="E92" s="464">
        <f>'Visual chart Edit'!I95</f>
        <v>373.7</v>
      </c>
      <c r="F92" s="412" t="str">
        <f>'Visual chart Edit'!K95</f>
        <v>DRY</v>
      </c>
      <c r="G92" s="412" t="str">
        <f>'Visual chart Edit'!L95</f>
        <v>E</v>
      </c>
      <c r="H92" s="412"/>
      <c r="I92" s="412"/>
      <c r="J92" s="412"/>
      <c r="K92" s="412"/>
    </row>
    <row r="93" spans="1:11" x14ac:dyDescent="0.25">
      <c r="A93" s="412">
        <f>+SUBTOTAL(3,$B$4:B93)</f>
        <v>90</v>
      </c>
      <c r="B93" s="412" t="str">
        <f>'Visual chart Edit'!B96</f>
        <v>13/3</v>
      </c>
      <c r="C93" s="412" t="str">
        <f>'Visual chart Edit'!C96</f>
        <v>DA+3</v>
      </c>
      <c r="D93" s="412" t="s">
        <v>1302</v>
      </c>
      <c r="E93" s="464">
        <f>'Visual chart Edit'!I96</f>
        <v>419.7</v>
      </c>
      <c r="F93" s="412" t="str">
        <f>'Visual chart Edit'!K96</f>
        <v>Sandy</v>
      </c>
      <c r="G93" s="412" t="str">
        <f>'Visual chart Edit'!L96</f>
        <v>E</v>
      </c>
      <c r="H93" s="412"/>
      <c r="I93" s="412"/>
      <c r="J93" s="412"/>
      <c r="K93" s="412"/>
    </row>
    <row r="94" spans="1:11" x14ac:dyDescent="0.25">
      <c r="A94" s="412">
        <f>+SUBTOTAL(3,$B$4:B94)</f>
        <v>91</v>
      </c>
      <c r="B94" s="412" t="str">
        <f>'Visual chart Edit'!B97</f>
        <v>13/4</v>
      </c>
      <c r="C94" s="412" t="str">
        <f>'Visual chart Edit'!C97</f>
        <v>DA+3</v>
      </c>
      <c r="D94" s="412" t="s">
        <v>1302</v>
      </c>
      <c r="E94" s="464">
        <f>'Visual chart Edit'!I97</f>
        <v>420.3</v>
      </c>
      <c r="F94" s="412" t="str">
        <f>'Visual chart Edit'!K97</f>
        <v>DRY</v>
      </c>
      <c r="G94" s="412" t="str">
        <f>'Visual chart Edit'!L97</f>
        <v>E</v>
      </c>
      <c r="H94" s="412"/>
      <c r="I94" s="412"/>
      <c r="J94" s="412"/>
      <c r="K94" s="412"/>
    </row>
    <row r="95" spans="1:11" x14ac:dyDescent="0.25">
      <c r="A95" s="412">
        <f>+SUBTOTAL(3,$B$4:B95)</f>
        <v>92</v>
      </c>
      <c r="B95" s="412" t="str">
        <f>'Visual chart Edit'!B98</f>
        <v>14/0</v>
      </c>
      <c r="C95" s="412" t="str">
        <f>'Visual chart Edit'!C98</f>
        <v>DC2+0</v>
      </c>
      <c r="D95" s="412" t="s">
        <v>1302</v>
      </c>
      <c r="E95" s="464">
        <f>'Visual chart Edit'!I98</f>
        <v>400</v>
      </c>
      <c r="F95" s="412" t="str">
        <f>'Visual chart Edit'!K98</f>
        <v>Sandy</v>
      </c>
      <c r="G95" s="412" t="str">
        <f>'Visual chart Edit'!L98</f>
        <v>E</v>
      </c>
      <c r="H95" s="412"/>
      <c r="I95" s="412"/>
      <c r="J95" s="412"/>
      <c r="K95" s="412"/>
    </row>
    <row r="96" spans="1:11" x14ac:dyDescent="0.25">
      <c r="A96" s="412">
        <f>+SUBTOTAL(3,$B$4:B96)</f>
        <v>93</v>
      </c>
      <c r="B96" s="412" t="str">
        <f>'Visual chart Edit'!B99</f>
        <v>14A/0</v>
      </c>
      <c r="C96" s="412" t="str">
        <f>'Visual chart Edit'!C99</f>
        <v>DC1+0</v>
      </c>
      <c r="D96" s="412" t="s">
        <v>1302</v>
      </c>
      <c r="E96" s="464">
        <f>'Visual chart Edit'!I99</f>
        <v>381.4</v>
      </c>
      <c r="F96" s="412" t="str">
        <f>'Visual chart Edit'!K99</f>
        <v>DRY</v>
      </c>
      <c r="G96" s="412" t="str">
        <f>'Visual chart Edit'!L99</f>
        <v>E</v>
      </c>
      <c r="H96" s="412"/>
      <c r="I96" s="412"/>
      <c r="J96" s="412"/>
      <c r="K96" s="412"/>
    </row>
    <row r="97" spans="1:11" x14ac:dyDescent="0.25">
      <c r="A97" s="412">
        <f>+SUBTOTAL(3,$B$4:B97)</f>
        <v>94</v>
      </c>
      <c r="B97" s="412" t="str">
        <f>'Visual chart Edit'!B100</f>
        <v>14A/1</v>
      </c>
      <c r="C97" s="412" t="str">
        <f>'Visual chart Edit'!C100</f>
        <v>DA+3</v>
      </c>
      <c r="D97" s="412" t="s">
        <v>1302</v>
      </c>
      <c r="E97" s="464">
        <f>'Visual chart Edit'!I100</f>
        <v>412.76499999999999</v>
      </c>
      <c r="F97" s="412" t="str">
        <f>'Visual chart Edit'!K100</f>
        <v>DRY</v>
      </c>
      <c r="G97" s="412" t="str">
        <f>'Visual chart Edit'!L100</f>
        <v>E</v>
      </c>
      <c r="H97" s="412"/>
      <c r="I97" s="412"/>
      <c r="J97" s="412"/>
      <c r="K97" s="412"/>
    </row>
    <row r="98" spans="1:11" x14ac:dyDescent="0.25">
      <c r="A98" s="412">
        <f>+SUBTOTAL(3,$B$4:B98)</f>
        <v>95</v>
      </c>
      <c r="B98" s="412" t="str">
        <f>'Visual chart Edit'!B101</f>
        <v>14A/2</v>
      </c>
      <c r="C98" s="412" t="str">
        <f>'Visual chart Edit'!C101</f>
        <v>DA+0</v>
      </c>
      <c r="D98" s="412" t="s">
        <v>1302</v>
      </c>
      <c r="E98" s="464">
        <f>'Visual chart Edit'!I101</f>
        <v>396.029</v>
      </c>
      <c r="F98" s="412" t="str">
        <f>'Visual chart Edit'!K101</f>
        <v>DRY</v>
      </c>
      <c r="G98" s="412" t="str">
        <f>'Visual chart Edit'!L101</f>
        <v>E</v>
      </c>
      <c r="H98" s="415"/>
      <c r="I98" s="412"/>
      <c r="J98" s="412"/>
      <c r="K98" s="412"/>
    </row>
    <row r="99" spans="1:11" x14ac:dyDescent="0.25">
      <c r="A99" s="412">
        <f>+SUBTOTAL(3,$B$4:B99)</f>
        <v>96</v>
      </c>
      <c r="B99" s="412" t="str">
        <f>'Visual chart Edit'!B102</f>
        <v>15/0</v>
      </c>
      <c r="C99" s="412" t="str">
        <f>'Visual chart Edit'!C102</f>
        <v>DC1+0</v>
      </c>
      <c r="D99" s="412" t="s">
        <v>1302</v>
      </c>
      <c r="E99" s="464">
        <f>'Visual chart Edit'!I102</f>
        <v>383.3</v>
      </c>
      <c r="F99" s="412" t="str">
        <f>'Visual chart Edit'!K102</f>
        <v>DRY</v>
      </c>
      <c r="G99" s="412" t="s">
        <v>129</v>
      </c>
      <c r="H99" s="415" t="s">
        <v>1656</v>
      </c>
      <c r="I99" s="412"/>
      <c r="J99" s="412"/>
      <c r="K99" s="412"/>
    </row>
    <row r="100" spans="1:11" x14ac:dyDescent="0.25">
      <c r="A100" s="412">
        <f>+SUBTOTAL(3,$B$4:B100)</f>
        <v>97</v>
      </c>
      <c r="B100" s="412" t="str">
        <f>'Visual chart Edit'!B103</f>
        <v>15/1</v>
      </c>
      <c r="C100" s="412" t="str">
        <f>'Visual chart Edit'!C103</f>
        <v>DA+3</v>
      </c>
      <c r="D100" s="412" t="s">
        <v>1302</v>
      </c>
      <c r="E100" s="464">
        <f>'Visual chart Edit'!I103</f>
        <v>404.6</v>
      </c>
      <c r="F100" s="412" t="str">
        <f>'Visual chart Edit'!K103</f>
        <v>DRY</v>
      </c>
      <c r="G100" s="412" t="str">
        <f>'Visual chart Edit'!L103</f>
        <v>E</v>
      </c>
      <c r="H100" s="412"/>
      <c r="I100" s="412"/>
      <c r="J100" s="412"/>
      <c r="K100" s="412"/>
    </row>
    <row r="101" spans="1:11" x14ac:dyDescent="0.25">
      <c r="A101" s="412">
        <f>+SUBTOTAL(3,$B$4:B101)</f>
        <v>98</v>
      </c>
      <c r="B101" s="412" t="str">
        <f>'Visual chart Edit'!B104</f>
        <v>16/0</v>
      </c>
      <c r="C101" s="412" t="str">
        <f>'Visual chart Edit'!C104</f>
        <v>DC1+0</v>
      </c>
      <c r="D101" s="412" t="s">
        <v>1302</v>
      </c>
      <c r="E101" s="464">
        <f>'Visual chart Edit'!I104</f>
        <v>413.3</v>
      </c>
      <c r="F101" s="412" t="str">
        <f>'Visual chart Edit'!K104</f>
        <v>DRY</v>
      </c>
      <c r="G101" s="412" t="str">
        <f>'Visual chart Edit'!L104</f>
        <v>E</v>
      </c>
      <c r="H101" s="412"/>
      <c r="I101" s="412"/>
      <c r="J101" s="412"/>
      <c r="K101" s="412"/>
    </row>
    <row r="102" spans="1:11" x14ac:dyDescent="0.25">
      <c r="A102" s="412">
        <f>+SUBTOTAL(3,$B$4:B102)</f>
        <v>99</v>
      </c>
      <c r="B102" s="412" t="str">
        <f>'Visual chart Edit'!B105</f>
        <v>16/1</v>
      </c>
      <c r="C102" s="412" t="str">
        <f>'Visual chart Edit'!C105</f>
        <v>DA+0</v>
      </c>
      <c r="D102" s="412" t="s">
        <v>1302</v>
      </c>
      <c r="E102" s="464">
        <f>'Visual chart Edit'!I105</f>
        <v>354.28300000000002</v>
      </c>
      <c r="F102" s="412" t="str">
        <f>'Visual chart Edit'!K105</f>
        <v>DRY</v>
      </c>
      <c r="G102" s="412" t="str">
        <f>'Visual chart Edit'!L105</f>
        <v>E</v>
      </c>
      <c r="H102" s="412"/>
      <c r="I102" s="412"/>
      <c r="J102" s="412"/>
      <c r="K102" s="412"/>
    </row>
    <row r="103" spans="1:11" x14ac:dyDescent="0.25">
      <c r="A103" s="412">
        <f>+SUBTOTAL(3,$B$4:B103)</f>
        <v>100</v>
      </c>
      <c r="B103" s="412" t="str">
        <f>'Visual chart Edit'!B106</f>
        <v>16/2</v>
      </c>
      <c r="C103" s="412" t="str">
        <f>'Visual chart Edit'!C106</f>
        <v>DA+0</v>
      </c>
      <c r="D103" s="412" t="s">
        <v>1302</v>
      </c>
      <c r="E103" s="464">
        <f>'Visual chart Edit'!I106</f>
        <v>424.28</v>
      </c>
      <c r="F103" s="412" t="str">
        <f>'Visual chart Edit'!K106</f>
        <v>DRY</v>
      </c>
      <c r="G103" s="412" t="str">
        <f>'Visual chart Edit'!L106</f>
        <v>E</v>
      </c>
      <c r="H103" s="412"/>
      <c r="I103" s="412"/>
      <c r="J103" s="412"/>
      <c r="K103" s="412"/>
    </row>
    <row r="104" spans="1:11" x14ac:dyDescent="0.25">
      <c r="A104" s="412">
        <f>+SUBTOTAL(3,$B$4:B104)</f>
        <v>101</v>
      </c>
      <c r="B104" s="412" t="str">
        <f>'Visual chart Edit'!B107</f>
        <v>16/3</v>
      </c>
      <c r="C104" s="412" t="str">
        <f>'Visual chart Edit'!C107</f>
        <v>DA+3</v>
      </c>
      <c r="D104" s="412" t="s">
        <v>1302</v>
      </c>
      <c r="E104" s="464">
        <f>'Visual chart Edit'!I107</f>
        <v>340.3</v>
      </c>
      <c r="F104" s="412" t="str">
        <f>'Visual chart Edit'!K107</f>
        <v>DRY</v>
      </c>
      <c r="G104" s="412" t="str">
        <f>'Visual chart Edit'!L107</f>
        <v>E</v>
      </c>
      <c r="H104" s="412"/>
      <c r="I104" s="412"/>
      <c r="J104" s="412"/>
      <c r="K104" s="412"/>
    </row>
    <row r="105" spans="1:11" x14ac:dyDescent="0.25">
      <c r="A105" s="412">
        <f>+SUBTOTAL(3,$B$4:B105)</f>
        <v>102</v>
      </c>
      <c r="B105" s="412" t="str">
        <f>'Visual chart Edit'!B108</f>
        <v>16/4</v>
      </c>
      <c r="C105" s="412" t="str">
        <f>'Visual chart Edit'!C108</f>
        <v>DA+0</v>
      </c>
      <c r="D105" s="412" t="s">
        <v>1302</v>
      </c>
      <c r="E105" s="464">
        <f>'Visual chart Edit'!I108</f>
        <v>394.7</v>
      </c>
      <c r="F105" s="412" t="str">
        <f>'Visual chart Edit'!K108</f>
        <v>DRY</v>
      </c>
      <c r="G105" s="412" t="str">
        <f>'Visual chart Edit'!L108</f>
        <v>E</v>
      </c>
      <c r="H105" s="412"/>
      <c r="I105" s="412"/>
      <c r="J105" s="412"/>
      <c r="K105" s="412"/>
    </row>
    <row r="106" spans="1:11" x14ac:dyDescent="0.25">
      <c r="A106" s="412">
        <f>+SUBTOTAL(3,$B$4:B106)</f>
        <v>103</v>
      </c>
      <c r="B106" s="412" t="str">
        <f>'Visual chart Edit'!B109</f>
        <v>16/5</v>
      </c>
      <c r="C106" s="412" t="str">
        <f>'Visual chart Edit'!C109</f>
        <v>DA+3</v>
      </c>
      <c r="D106" s="412" t="s">
        <v>1302</v>
      </c>
      <c r="E106" s="464">
        <f>'Visual chart Edit'!I109</f>
        <v>435.863</v>
      </c>
      <c r="F106" s="412" t="str">
        <f>'Visual chart Edit'!K109</f>
        <v>DRY</v>
      </c>
      <c r="G106" s="412" t="str">
        <f>'Visual chart Edit'!L109</f>
        <v>E</v>
      </c>
      <c r="H106" s="412"/>
      <c r="I106" s="412"/>
      <c r="J106" s="412"/>
      <c r="K106" s="412"/>
    </row>
    <row r="107" spans="1:11" x14ac:dyDescent="0.25">
      <c r="A107" s="412">
        <f>+SUBTOTAL(3,$B$4:B107)</f>
        <v>104</v>
      </c>
      <c r="B107" s="412" t="str">
        <f>'Visual chart Edit'!B110</f>
        <v>17/0</v>
      </c>
      <c r="C107" s="412" t="str">
        <f>'Visual chart Edit'!C110</f>
        <v>DB2+3</v>
      </c>
      <c r="D107" s="412" t="s">
        <v>1302</v>
      </c>
      <c r="E107" s="464">
        <f>'Visual chart Edit'!I110</f>
        <v>386.8</v>
      </c>
      <c r="F107" s="412" t="str">
        <f>'Visual chart Edit'!K110</f>
        <v>DRY</v>
      </c>
      <c r="G107" s="412" t="str">
        <f>'Visual chart Edit'!L110</f>
        <v>E</v>
      </c>
      <c r="H107" s="412"/>
      <c r="I107" s="412"/>
      <c r="J107" s="412"/>
      <c r="K107" s="412"/>
    </row>
    <row r="108" spans="1:11" x14ac:dyDescent="0.25">
      <c r="A108" s="412">
        <f>+SUBTOTAL(3,$B$4:B108)</f>
        <v>105</v>
      </c>
      <c r="B108" s="412" t="str">
        <f>'Visual chart Edit'!B111</f>
        <v>17/1</v>
      </c>
      <c r="C108" s="412" t="str">
        <f>'Visual chart Edit'!C111</f>
        <v>DA+3</v>
      </c>
      <c r="D108" s="412" t="s">
        <v>1302</v>
      </c>
      <c r="E108" s="464">
        <f>'Visual chart Edit'!I111</f>
        <v>393.7</v>
      </c>
      <c r="F108" s="412" t="str">
        <f>'Visual chart Edit'!K111</f>
        <v>DRY</v>
      </c>
      <c r="G108" s="412" t="str">
        <f>'Visual chart Edit'!L111</f>
        <v>E</v>
      </c>
      <c r="H108" s="412"/>
      <c r="I108" s="412"/>
      <c r="J108" s="412"/>
      <c r="K108" s="412"/>
    </row>
    <row r="109" spans="1:11" x14ac:dyDescent="0.25">
      <c r="A109" s="412">
        <f>+SUBTOTAL(3,$B$4:B109)</f>
        <v>106</v>
      </c>
      <c r="B109" s="412" t="str">
        <f>'Visual chart Edit'!B112</f>
        <v>17/2</v>
      </c>
      <c r="C109" s="412" t="str">
        <f>'Visual chart Edit'!C112</f>
        <v>DA+6</v>
      </c>
      <c r="D109" s="412" t="s">
        <v>1302</v>
      </c>
      <c r="E109" s="464">
        <f>'Visual chart Edit'!I112</f>
        <v>415.9</v>
      </c>
      <c r="F109" s="412" t="str">
        <f>'Visual chart Edit'!K112</f>
        <v>DRY</v>
      </c>
      <c r="G109" s="412" t="str">
        <f>'Visual chart Edit'!L112</f>
        <v>E</v>
      </c>
      <c r="H109" s="412"/>
      <c r="I109" s="412"/>
      <c r="J109" s="412"/>
      <c r="K109" s="412"/>
    </row>
    <row r="110" spans="1:11" x14ac:dyDescent="0.25">
      <c r="A110" s="412">
        <f>+SUBTOTAL(3,$B$4:B110)</f>
        <v>107</v>
      </c>
      <c r="B110" s="412" t="str">
        <f>'Visual chart Edit'!B113</f>
        <v>17/3</v>
      </c>
      <c r="C110" s="412" t="str">
        <f>'Visual chart Edit'!C113</f>
        <v>DA+0</v>
      </c>
      <c r="D110" s="412" t="s">
        <v>1302</v>
      </c>
      <c r="E110" s="464">
        <f>'Visual chart Edit'!I113</f>
        <v>422.8</v>
      </c>
      <c r="F110" s="412" t="str">
        <f>'Visual chart Edit'!K113</f>
        <v>DRY</v>
      </c>
      <c r="G110" s="412" t="str">
        <f>'Visual chart Edit'!L113</f>
        <v>E</v>
      </c>
      <c r="H110" s="412"/>
      <c r="I110" s="412"/>
      <c r="J110" s="412"/>
      <c r="K110" s="412"/>
    </row>
    <row r="111" spans="1:11" x14ac:dyDescent="0.25">
      <c r="A111" s="412">
        <f>+SUBTOTAL(3,$B$4:B111)</f>
        <v>108</v>
      </c>
      <c r="B111" s="412" t="str">
        <f>'Visual chart Edit'!B114</f>
        <v>17/4</v>
      </c>
      <c r="C111" s="412" t="str">
        <f>'Visual chart Edit'!C114</f>
        <v>DA+3</v>
      </c>
      <c r="D111" s="412" t="s">
        <v>1302</v>
      </c>
      <c r="E111" s="464">
        <f>'Visual chart Edit'!I114</f>
        <v>409.9</v>
      </c>
      <c r="F111" s="412" t="str">
        <f>'Visual chart Edit'!K114</f>
        <v>DRY</v>
      </c>
      <c r="G111" s="412" t="str">
        <f>'Visual chart Edit'!L114</f>
        <v>E</v>
      </c>
      <c r="H111" s="412"/>
      <c r="I111" s="412"/>
      <c r="J111" s="412"/>
      <c r="K111" s="412"/>
    </row>
    <row r="112" spans="1:11" x14ac:dyDescent="0.25">
      <c r="A112" s="412">
        <f>+SUBTOTAL(3,$B$4:B112)</f>
        <v>109</v>
      </c>
      <c r="B112" s="412" t="str">
        <f>'Visual chart Edit'!B115</f>
        <v>17/5</v>
      </c>
      <c r="C112" s="412" t="str">
        <f>'Visual chart Edit'!C115</f>
        <v>DA+3</v>
      </c>
      <c r="D112" s="412" t="s">
        <v>1302</v>
      </c>
      <c r="E112" s="464">
        <f>'Visual chart Edit'!I115</f>
        <v>425.3</v>
      </c>
      <c r="F112" s="412" t="str">
        <f>'Visual chart Edit'!K115</f>
        <v>DRY</v>
      </c>
      <c r="G112" s="412" t="str">
        <f>'Visual chart Edit'!L115</f>
        <v>E</v>
      </c>
      <c r="H112" s="412"/>
      <c r="I112" s="412"/>
      <c r="J112" s="412"/>
      <c r="K112" s="412"/>
    </row>
    <row r="113" spans="1:11" x14ac:dyDescent="0.25">
      <c r="A113" s="412">
        <f>+SUBTOTAL(3,$B$4:B113)</f>
        <v>110</v>
      </c>
      <c r="B113" s="412" t="str">
        <f>'Visual chart Edit'!B116</f>
        <v>18/0</v>
      </c>
      <c r="C113" s="412" t="str">
        <f>'Visual chart Edit'!C116</f>
        <v>DC2+0</v>
      </c>
      <c r="D113" s="412" t="s">
        <v>1302</v>
      </c>
      <c r="E113" s="464">
        <f>'Visual chart Edit'!I116</f>
        <v>383.4</v>
      </c>
      <c r="F113" s="412" t="str">
        <f>'Visual chart Edit'!K116</f>
        <v>DRY</v>
      </c>
      <c r="G113" s="412" t="str">
        <f>'Visual chart Edit'!L116</f>
        <v>E</v>
      </c>
      <c r="H113" s="412"/>
      <c r="I113" s="412"/>
      <c r="J113" s="412"/>
      <c r="K113" s="412"/>
    </row>
    <row r="114" spans="1:11" x14ac:dyDescent="0.25">
      <c r="A114" s="412">
        <f>+SUBTOTAL(3,$B$4:B114)</f>
        <v>111</v>
      </c>
      <c r="B114" s="412" t="str">
        <f>'Visual chart Edit'!B117</f>
        <v>18/1</v>
      </c>
      <c r="C114" s="412" t="str">
        <f>'Visual chart Edit'!C117</f>
        <v>DA+0</v>
      </c>
      <c r="D114" s="412" t="s">
        <v>1302</v>
      </c>
      <c r="E114" s="464">
        <f>'Visual chart Edit'!I117</f>
        <v>372.8</v>
      </c>
      <c r="F114" s="412" t="str">
        <f>'Visual chart Edit'!K117</f>
        <v>DRY</v>
      </c>
      <c r="G114" s="412" t="str">
        <f>'Visual chart Edit'!L117</f>
        <v>E</v>
      </c>
      <c r="H114" s="412"/>
      <c r="I114" s="412"/>
      <c r="J114" s="412"/>
      <c r="K114" s="412"/>
    </row>
    <row r="115" spans="1:11" x14ac:dyDescent="0.25">
      <c r="A115" s="412">
        <f>+SUBTOTAL(3,$B$4:B115)</f>
        <v>112</v>
      </c>
      <c r="B115" s="412" t="str">
        <f>'Visual chart Edit'!B118</f>
        <v>18/2</v>
      </c>
      <c r="C115" s="412" t="str">
        <f>'Visual chart Edit'!C118</f>
        <v>DA+0</v>
      </c>
      <c r="D115" s="412" t="s">
        <v>1302</v>
      </c>
      <c r="E115" s="464">
        <f>'Visual chart Edit'!I118</f>
        <v>379.8</v>
      </c>
      <c r="F115" s="412" t="str">
        <f>'Visual chart Edit'!K118</f>
        <v>DRY</v>
      </c>
      <c r="G115" s="412" t="str">
        <f>'Visual chart Edit'!L118</f>
        <v>E</v>
      </c>
      <c r="H115" s="412"/>
      <c r="I115" s="412"/>
      <c r="J115" s="412"/>
      <c r="K115" s="412"/>
    </row>
    <row r="116" spans="1:11" x14ac:dyDescent="0.25">
      <c r="A116" s="412">
        <f>+SUBTOTAL(3,$B$4:B116)</f>
        <v>113</v>
      </c>
      <c r="B116" s="412" t="str">
        <f>'Visual chart Edit'!B119</f>
        <v>18/3</v>
      </c>
      <c r="C116" s="412" t="str">
        <f>'Visual chart Edit'!C119</f>
        <v>DA+0</v>
      </c>
      <c r="D116" s="412" t="s">
        <v>1302</v>
      </c>
      <c r="E116" s="464">
        <f>'Visual chart Edit'!I119</f>
        <v>371</v>
      </c>
      <c r="F116" s="412" t="str">
        <f>'Visual chart Edit'!K119</f>
        <v>DRY</v>
      </c>
      <c r="G116" s="412" t="str">
        <f>'Visual chart Edit'!L119</f>
        <v>E</v>
      </c>
      <c r="H116" s="412"/>
      <c r="I116" s="412"/>
      <c r="J116" s="412"/>
      <c r="K116" s="412"/>
    </row>
    <row r="117" spans="1:11" x14ac:dyDescent="0.25">
      <c r="A117" s="412">
        <f>+SUBTOTAL(3,$B$4:B117)</f>
        <v>114</v>
      </c>
      <c r="B117" s="412" t="str">
        <f>'Visual chart Edit'!B120</f>
        <v>18/4</v>
      </c>
      <c r="C117" s="412" t="str">
        <f>'Visual chart Edit'!C120</f>
        <v>DA+0</v>
      </c>
      <c r="D117" s="412" t="s">
        <v>1302</v>
      </c>
      <c r="E117" s="464">
        <f>'Visual chart Edit'!I120</f>
        <v>398.7</v>
      </c>
      <c r="F117" s="412" t="str">
        <f>'Visual chart Edit'!K120</f>
        <v>DRY</v>
      </c>
      <c r="G117" s="412" t="str">
        <f>'Visual chart Edit'!L120</f>
        <v>E</v>
      </c>
      <c r="H117" s="412"/>
      <c r="I117" s="412"/>
      <c r="J117" s="412"/>
      <c r="K117" s="412"/>
    </row>
    <row r="118" spans="1:11" x14ac:dyDescent="0.25">
      <c r="A118" s="412">
        <f>+SUBTOTAL(3,$B$4:B118)</f>
        <v>115</v>
      </c>
      <c r="B118" s="412" t="str">
        <f>'Visual chart Edit'!B121</f>
        <v>19/0</v>
      </c>
      <c r="C118" s="412" t="str">
        <f>'Visual chart Edit'!C121</f>
        <v>DC2+0</v>
      </c>
      <c r="D118" s="412" t="s">
        <v>1302</v>
      </c>
      <c r="E118" s="464">
        <f>'Visual chart Edit'!I121</f>
        <v>380.8</v>
      </c>
      <c r="F118" s="412" t="str">
        <f>'Visual chart Edit'!K121</f>
        <v>DRY</v>
      </c>
      <c r="G118" s="412" t="str">
        <f>'Visual chart Edit'!L121</f>
        <v>E</v>
      </c>
      <c r="H118" s="412"/>
      <c r="I118" s="412"/>
      <c r="J118" s="412"/>
      <c r="K118" s="412"/>
    </row>
    <row r="119" spans="1:11" x14ac:dyDescent="0.25">
      <c r="A119" s="412">
        <f>+SUBTOTAL(3,$B$4:B119)</f>
        <v>116</v>
      </c>
      <c r="B119" s="412" t="str">
        <f>'Visual chart Edit'!B122</f>
        <v>19/1</v>
      </c>
      <c r="C119" s="412" t="str">
        <f>'Visual chart Edit'!C122</f>
        <v>DA+0</v>
      </c>
      <c r="D119" s="412" t="s">
        <v>1302</v>
      </c>
      <c r="E119" s="464">
        <f>'Visual chart Edit'!I122</f>
        <v>366.9</v>
      </c>
      <c r="F119" s="412" t="str">
        <f>'Visual chart Edit'!K122</f>
        <v>DRY</v>
      </c>
      <c r="G119" s="412" t="str">
        <f>'Visual chart Edit'!L122</f>
        <v>E</v>
      </c>
      <c r="H119" s="412"/>
      <c r="I119" s="412"/>
      <c r="J119" s="412"/>
      <c r="K119" s="412"/>
    </row>
    <row r="120" spans="1:11" x14ac:dyDescent="0.25">
      <c r="A120" s="412">
        <f>+SUBTOTAL(3,$B$4:B120)</f>
        <v>117</v>
      </c>
      <c r="B120" s="412" t="str">
        <f>'Visual chart Edit'!B123</f>
        <v>19/2</v>
      </c>
      <c r="C120" s="412" t="str">
        <f>'Visual chart Edit'!C123</f>
        <v>DA+0</v>
      </c>
      <c r="D120" s="412" t="s">
        <v>1303</v>
      </c>
      <c r="E120" s="464">
        <f>'Visual chart Edit'!I123</f>
        <v>372.5</v>
      </c>
      <c r="F120" s="412" t="str">
        <f>'Visual chart Edit'!K123</f>
        <v>DRY</v>
      </c>
      <c r="G120" s="412" t="str">
        <f>'Visual chart Edit'!L123</f>
        <v>E</v>
      </c>
      <c r="H120" s="412"/>
      <c r="I120" s="412"/>
      <c r="J120" s="412"/>
      <c r="K120" s="412"/>
    </row>
    <row r="121" spans="1:11" x14ac:dyDescent="0.25">
      <c r="A121" s="412">
        <f>+SUBTOTAL(3,$B$4:B121)</f>
        <v>118</v>
      </c>
      <c r="B121" s="412" t="str">
        <f>'Visual chart Edit'!B124</f>
        <v>19/3</v>
      </c>
      <c r="C121" s="412" t="str">
        <f>'Visual chart Edit'!C124</f>
        <v>DA+0</v>
      </c>
      <c r="D121" s="412" t="s">
        <v>1303</v>
      </c>
      <c r="E121" s="464">
        <f>'Visual chart Edit'!I124</f>
        <v>376.5</v>
      </c>
      <c r="F121" s="412" t="str">
        <f>'Visual chart Edit'!K124</f>
        <v>DRY</v>
      </c>
      <c r="G121" s="412" t="str">
        <f>'Visual chart Edit'!L124</f>
        <v>E</v>
      </c>
      <c r="H121" s="412"/>
      <c r="I121" s="412"/>
      <c r="J121" s="412"/>
      <c r="K121" s="412"/>
    </row>
    <row r="122" spans="1:11" x14ac:dyDescent="0.25">
      <c r="A122" s="412">
        <f>+SUBTOTAL(3,$B$4:B122)</f>
        <v>119</v>
      </c>
      <c r="B122" s="412" t="str">
        <f>'Visual chart Edit'!B125</f>
        <v>19/4</v>
      </c>
      <c r="C122" s="412" t="str">
        <f>'Visual chart Edit'!C125</f>
        <v>DA+0</v>
      </c>
      <c r="D122" s="412" t="s">
        <v>1303</v>
      </c>
      <c r="E122" s="464">
        <f>'Visual chart Edit'!I125</f>
        <v>384.3</v>
      </c>
      <c r="F122" s="412" t="str">
        <f>'Visual chart Edit'!K125</f>
        <v>DRY</v>
      </c>
      <c r="G122" s="412" t="str">
        <f>'Visual chart Edit'!L125</f>
        <v>E</v>
      </c>
      <c r="H122" s="412"/>
      <c r="I122" s="412"/>
      <c r="J122" s="412"/>
      <c r="K122" s="412"/>
    </row>
    <row r="123" spans="1:11" x14ac:dyDescent="0.25">
      <c r="A123" s="412">
        <f>+SUBTOTAL(3,$B$4:B123)</f>
        <v>120</v>
      </c>
      <c r="B123" s="412" t="str">
        <f>'Visual chart Edit'!B126</f>
        <v>19/5</v>
      </c>
      <c r="C123" s="412" t="str">
        <f>'Visual chart Edit'!C126</f>
        <v>DA+0</v>
      </c>
      <c r="D123" s="412" t="s">
        <v>1303</v>
      </c>
      <c r="E123" s="464">
        <f>'Visual chart Edit'!I126</f>
        <v>375.4</v>
      </c>
      <c r="F123" s="412" t="str">
        <f>'Visual chart Edit'!K126</f>
        <v>DRY</v>
      </c>
      <c r="G123" s="412" t="str">
        <f>'Visual chart Edit'!L126</f>
        <v>E</v>
      </c>
      <c r="H123" s="412"/>
      <c r="I123" s="412"/>
      <c r="J123" s="412"/>
      <c r="K123" s="412"/>
    </row>
    <row r="124" spans="1:11" x14ac:dyDescent="0.25">
      <c r="A124" s="412">
        <f>+SUBTOTAL(3,$B$4:B124)</f>
        <v>121</v>
      </c>
      <c r="B124" s="412" t="str">
        <f>'Visual chart Edit'!B127</f>
        <v>20/0</v>
      </c>
      <c r="C124" s="412" t="str">
        <f>'Visual chart Edit'!C127</f>
        <v>DB2+0</v>
      </c>
      <c r="D124" s="412" t="s">
        <v>1303</v>
      </c>
      <c r="E124" s="464">
        <f>'Visual chart Edit'!I127</f>
        <v>381.2</v>
      </c>
      <c r="F124" s="412" t="str">
        <f>'Visual chart Edit'!K127</f>
        <v>Sandy</v>
      </c>
      <c r="G124" s="412" t="str">
        <f>'Visual chart Edit'!L127</f>
        <v>E</v>
      </c>
      <c r="H124" s="412"/>
      <c r="I124" s="412"/>
      <c r="J124" s="412"/>
      <c r="K124" s="412"/>
    </row>
    <row r="125" spans="1:11" x14ac:dyDescent="0.25">
      <c r="A125" s="412">
        <f>+SUBTOTAL(3,$B$4:B125)</f>
        <v>122</v>
      </c>
      <c r="B125" s="412" t="str">
        <f>'Visual chart Edit'!B128</f>
        <v>20/1</v>
      </c>
      <c r="C125" s="412" t="str">
        <f>'Visual chart Edit'!C128</f>
        <v>DA+0</v>
      </c>
      <c r="D125" s="412" t="s">
        <v>1303</v>
      </c>
      <c r="E125" s="464">
        <f>'Visual chart Edit'!I128</f>
        <v>386.8</v>
      </c>
      <c r="F125" s="412" t="str">
        <f>'Visual chart Edit'!K128</f>
        <v>Sandy</v>
      </c>
      <c r="G125" s="412" t="s">
        <v>129</v>
      </c>
      <c r="H125" s="415" t="s">
        <v>1656</v>
      </c>
      <c r="I125" s="412"/>
      <c r="J125" s="412"/>
      <c r="K125" s="412"/>
    </row>
    <row r="126" spans="1:11" x14ac:dyDescent="0.25">
      <c r="A126" s="412">
        <f>+SUBTOTAL(3,$B$4:B126)</f>
        <v>123</v>
      </c>
      <c r="B126" s="412" t="str">
        <f>'Visual chart Edit'!B129</f>
        <v>20/2</v>
      </c>
      <c r="C126" s="412" t="str">
        <f>'Visual chart Edit'!C129</f>
        <v>DA+0</v>
      </c>
      <c r="D126" s="412" t="s">
        <v>1303</v>
      </c>
      <c r="E126" s="464">
        <f>'Visual chart Edit'!I129</f>
        <v>387</v>
      </c>
      <c r="F126" s="412" t="str">
        <f>'Visual chart Edit'!K129</f>
        <v>DRY</v>
      </c>
      <c r="G126" s="412" t="str">
        <f>'Visual chart Edit'!L129</f>
        <v>E</v>
      </c>
      <c r="H126" s="412"/>
      <c r="I126" s="412"/>
      <c r="J126" s="412"/>
      <c r="K126" s="412"/>
    </row>
    <row r="127" spans="1:11" x14ac:dyDescent="0.25">
      <c r="A127" s="412">
        <f>+SUBTOTAL(3,$B$4:B127)</f>
        <v>124</v>
      </c>
      <c r="B127" s="412" t="str">
        <f>'Visual chart Edit'!B130</f>
        <v>20/3</v>
      </c>
      <c r="C127" s="412" t="str">
        <f>'Visual chart Edit'!C130</f>
        <v>DA+0</v>
      </c>
      <c r="D127" s="412" t="s">
        <v>1303</v>
      </c>
      <c r="E127" s="464">
        <f>'Visual chart Edit'!I130</f>
        <v>348.5</v>
      </c>
      <c r="F127" s="412" t="str">
        <f>'Visual chart Edit'!K130</f>
        <v>DRY</v>
      </c>
      <c r="G127" s="412" t="str">
        <f>'Visual chart Edit'!L130</f>
        <v>E</v>
      </c>
      <c r="H127" s="412"/>
      <c r="I127" s="412"/>
      <c r="J127" s="412"/>
      <c r="K127" s="412"/>
    </row>
    <row r="128" spans="1:11" x14ac:dyDescent="0.25">
      <c r="A128" s="412">
        <f>+SUBTOTAL(3,$B$4:B128)</f>
        <v>125</v>
      </c>
      <c r="B128" s="412" t="str">
        <f>'Visual chart Edit'!B131</f>
        <v>21/0</v>
      </c>
      <c r="C128" s="412" t="str">
        <f>'Visual chart Edit'!C131</f>
        <v>DB2+0</v>
      </c>
      <c r="D128" s="412" t="s">
        <v>1303</v>
      </c>
      <c r="E128" s="464">
        <f>'Visual chart Edit'!I131</f>
        <v>355</v>
      </c>
      <c r="F128" s="412" t="str">
        <f>'Visual chart Edit'!K131</f>
        <v>DRY</v>
      </c>
      <c r="G128" s="412" t="str">
        <f>'Visual chart Edit'!L131</f>
        <v>E</v>
      </c>
      <c r="H128" s="412"/>
      <c r="I128" s="412"/>
      <c r="J128" s="412"/>
      <c r="K128" s="412"/>
    </row>
    <row r="129" spans="1:11" x14ac:dyDescent="0.25">
      <c r="A129" s="412">
        <f>+SUBTOTAL(3,$B$4:B129)</f>
        <v>126</v>
      </c>
      <c r="B129" s="412" t="str">
        <f>'Visual chart Edit'!B132</f>
        <v>21/1</v>
      </c>
      <c r="C129" s="412" t="str">
        <f>'Visual chart Edit'!C132</f>
        <v>DA+6</v>
      </c>
      <c r="D129" s="412" t="s">
        <v>1303</v>
      </c>
      <c r="E129" s="464">
        <f>'Visual chart Edit'!I132</f>
        <v>414.9</v>
      </c>
      <c r="F129" s="412" t="s">
        <v>129</v>
      </c>
      <c r="G129" s="412"/>
      <c r="H129" s="415" t="s">
        <v>1656</v>
      </c>
      <c r="I129" s="412"/>
      <c r="J129" s="412"/>
      <c r="K129" s="412"/>
    </row>
    <row r="130" spans="1:11" x14ac:dyDescent="0.25">
      <c r="A130" s="412">
        <f>+SUBTOTAL(3,$B$4:B130)</f>
        <v>127</v>
      </c>
      <c r="B130" s="412" t="str">
        <f>'Visual chart Edit'!B133</f>
        <v>21/2</v>
      </c>
      <c r="C130" s="412" t="str">
        <f>'Visual chart Edit'!C133</f>
        <v>DA+0</v>
      </c>
      <c r="D130" s="412" t="s">
        <v>1303</v>
      </c>
      <c r="E130" s="464">
        <f>'Visual chart Edit'!I133</f>
        <v>407.2</v>
      </c>
      <c r="F130" s="412" t="str">
        <f>'Visual chart Edit'!K133</f>
        <v>Sandy</v>
      </c>
      <c r="G130" s="412" t="s">
        <v>129</v>
      </c>
      <c r="H130" s="415" t="s">
        <v>1656</v>
      </c>
      <c r="I130" s="412"/>
      <c r="J130" s="412"/>
      <c r="K130" s="412"/>
    </row>
    <row r="131" spans="1:11" x14ac:dyDescent="0.25">
      <c r="A131" s="412">
        <f>+SUBTOTAL(3,$B$4:B131)</f>
        <v>128</v>
      </c>
      <c r="B131" s="412" t="str">
        <f>'Visual chart Edit'!B134</f>
        <v>21/3</v>
      </c>
      <c r="C131" s="412" t="str">
        <f>'Visual chart Edit'!C134</f>
        <v>DA+6</v>
      </c>
      <c r="D131" s="412" t="s">
        <v>1303</v>
      </c>
      <c r="E131" s="464">
        <f>'Visual chart Edit'!I134</f>
        <v>432.2</v>
      </c>
      <c r="F131" s="412" t="str">
        <f>'Visual chart Edit'!K134</f>
        <v>Sandy</v>
      </c>
      <c r="G131" s="412" t="str">
        <f>'Visual chart Edit'!L134</f>
        <v>E</v>
      </c>
      <c r="H131" s="412"/>
      <c r="I131" s="412"/>
      <c r="J131" s="412"/>
      <c r="K131" s="412"/>
    </row>
    <row r="132" spans="1:11" x14ac:dyDescent="0.25">
      <c r="A132" s="412">
        <f>+SUBTOTAL(3,$B$4:B132)</f>
        <v>129</v>
      </c>
      <c r="B132" s="412" t="str">
        <f>'Visual chart Edit'!B135</f>
        <v>21/4</v>
      </c>
      <c r="C132" s="412" t="str">
        <f>'Visual chart Edit'!C135</f>
        <v>DA+3</v>
      </c>
      <c r="D132" s="412" t="s">
        <v>1303</v>
      </c>
      <c r="E132" s="464">
        <f>'Visual chart Edit'!I135</f>
        <v>401.9</v>
      </c>
      <c r="F132" s="412" t="str">
        <f>'Visual chart Edit'!K135</f>
        <v>Sandy</v>
      </c>
      <c r="G132" s="412" t="str">
        <f>'Visual chart Edit'!L135</f>
        <v>E</v>
      </c>
      <c r="H132" s="412"/>
      <c r="I132" s="412"/>
      <c r="J132" s="412"/>
      <c r="K132" s="412"/>
    </row>
    <row r="133" spans="1:11" x14ac:dyDescent="0.25">
      <c r="A133" s="412">
        <f>+SUBTOTAL(3,$B$4:B133)</f>
        <v>130</v>
      </c>
      <c r="B133" s="412" t="str">
        <f>'Visual chart Edit'!B136</f>
        <v>21/5</v>
      </c>
      <c r="C133" s="412" t="str">
        <f>'Visual chart Edit'!C136</f>
        <v>DA+6</v>
      </c>
      <c r="D133" s="412" t="s">
        <v>1303</v>
      </c>
      <c r="E133" s="464">
        <f>'Visual chart Edit'!I136</f>
        <v>434.2</v>
      </c>
      <c r="F133" s="412" t="str">
        <f>'Visual chart Edit'!K136</f>
        <v>DFR</v>
      </c>
      <c r="G133" s="412" t="str">
        <f>'Visual chart Edit'!L136</f>
        <v>E</v>
      </c>
      <c r="H133" s="412"/>
      <c r="I133" s="412"/>
      <c r="J133" s="412"/>
      <c r="K133" s="412"/>
    </row>
    <row r="134" spans="1:11" x14ac:dyDescent="0.25">
      <c r="A134" s="412">
        <f>+SUBTOTAL(3,$B$4:B134)</f>
        <v>131</v>
      </c>
      <c r="B134" s="412" t="str">
        <f>'Visual chart Edit'!B137</f>
        <v>21/6</v>
      </c>
      <c r="C134" s="412" t="str">
        <f>'Visual chart Edit'!C137</f>
        <v>DA+3</v>
      </c>
      <c r="D134" s="412" t="s">
        <v>1303</v>
      </c>
      <c r="E134" s="464">
        <f>'Visual chart Edit'!I137</f>
        <v>405.5</v>
      </c>
      <c r="F134" s="412" t="str">
        <f>'Visual chart Edit'!K137</f>
        <v>DRY</v>
      </c>
      <c r="G134" s="412" t="s">
        <v>129</v>
      </c>
      <c r="H134" s="415" t="s">
        <v>1656</v>
      </c>
      <c r="I134" s="412"/>
      <c r="J134" s="412"/>
      <c r="K134" s="412"/>
    </row>
    <row r="135" spans="1:11" x14ac:dyDescent="0.25">
      <c r="A135" s="412">
        <f>+SUBTOTAL(3,$B$4:B135)</f>
        <v>132</v>
      </c>
      <c r="B135" s="412" t="str">
        <f>'Visual chart Edit'!B138</f>
        <v>21/7</v>
      </c>
      <c r="C135" s="412" t="str">
        <f>'Visual chart Edit'!C138</f>
        <v>DA+3</v>
      </c>
      <c r="D135" s="412" t="s">
        <v>1303</v>
      </c>
      <c r="E135" s="464">
        <f>'Visual chart Edit'!I138</f>
        <v>426</v>
      </c>
      <c r="F135" s="412" t="str">
        <f>'Visual chart Edit'!K138</f>
        <v>DFR</v>
      </c>
      <c r="G135" s="412" t="s">
        <v>129</v>
      </c>
      <c r="H135" s="415" t="s">
        <v>1656</v>
      </c>
      <c r="I135" s="412"/>
      <c r="J135" s="412"/>
      <c r="K135" s="412"/>
    </row>
    <row r="136" spans="1:11" x14ac:dyDescent="0.25">
      <c r="A136" s="412">
        <f>+SUBTOTAL(3,$B$4:B136)</f>
        <v>133</v>
      </c>
      <c r="B136" s="412" t="str">
        <f>'Visual chart Edit'!B139</f>
        <v>21/8</v>
      </c>
      <c r="C136" s="412" t="str">
        <f>'Visual chart Edit'!C139</f>
        <v>DA+6</v>
      </c>
      <c r="D136" s="412" t="s">
        <v>1303</v>
      </c>
      <c r="E136" s="464">
        <f>'Visual chart Edit'!I139</f>
        <v>406.9</v>
      </c>
      <c r="F136" s="412" t="str">
        <f>'Visual chart Edit'!K139</f>
        <v>DRY</v>
      </c>
      <c r="G136" s="412" t="s">
        <v>129</v>
      </c>
      <c r="H136" s="415" t="s">
        <v>1656</v>
      </c>
      <c r="I136" s="412"/>
      <c r="J136" s="412"/>
      <c r="K136" s="412"/>
    </row>
    <row r="137" spans="1:11" x14ac:dyDescent="0.25">
      <c r="A137" s="412">
        <f>+SUBTOTAL(3,$B$4:B137)</f>
        <v>134</v>
      </c>
      <c r="B137" s="412" t="str">
        <f>'Visual chart Edit'!B140</f>
        <v>21/9</v>
      </c>
      <c r="C137" s="412" t="str">
        <f>'Visual chart Edit'!C140</f>
        <v>DA+3</v>
      </c>
      <c r="D137" s="412" t="s">
        <v>1303</v>
      </c>
      <c r="E137" s="464">
        <f>'Visual chart Edit'!I140</f>
        <v>433.3</v>
      </c>
      <c r="F137" s="412" t="str">
        <f>'Visual chart Edit'!K140</f>
        <v>DFR</v>
      </c>
      <c r="G137" s="412" t="s">
        <v>129</v>
      </c>
      <c r="H137" s="799" t="s">
        <v>1656</v>
      </c>
      <c r="I137" s="412"/>
      <c r="J137" s="412"/>
      <c r="K137" s="412"/>
    </row>
    <row r="138" spans="1:11" x14ac:dyDescent="0.25">
      <c r="A138" s="412">
        <f>+SUBTOTAL(3,$B$4:B138)</f>
        <v>135</v>
      </c>
      <c r="B138" s="412" t="str">
        <f>'Visual chart Edit'!B141</f>
        <v>21/10</v>
      </c>
      <c r="C138" s="412" t="str">
        <f>'Visual chart Edit'!C141</f>
        <v>DA+6</v>
      </c>
      <c r="D138" s="412" t="s">
        <v>1303</v>
      </c>
      <c r="E138" s="464">
        <f>'Visual chart Edit'!I141</f>
        <v>372.9</v>
      </c>
      <c r="F138" s="412" t="str">
        <f>'Visual chart Edit'!K141</f>
        <v>DRY</v>
      </c>
      <c r="G138" s="412" t="s">
        <v>129</v>
      </c>
      <c r="H138" s="415" t="s">
        <v>1656</v>
      </c>
      <c r="I138" s="412"/>
      <c r="J138" s="412"/>
      <c r="K138" s="412"/>
    </row>
    <row r="139" spans="1:11" x14ac:dyDescent="0.25">
      <c r="A139" s="412">
        <f>+SUBTOTAL(3,$B$4:B139)</f>
        <v>136</v>
      </c>
      <c r="B139" s="412" t="str">
        <f>'Visual chart Edit'!B142</f>
        <v>22/0</v>
      </c>
      <c r="C139" s="412" t="str">
        <f>'Visual chart Edit'!C142</f>
        <v>DB2+3</v>
      </c>
      <c r="D139" s="412" t="s">
        <v>1303</v>
      </c>
      <c r="E139" s="464">
        <f>'Visual chart Edit'!I142</f>
        <v>443.5</v>
      </c>
      <c r="F139" s="412" t="str">
        <f>'Visual chart Edit'!K142</f>
        <v>DRY</v>
      </c>
      <c r="G139" s="412" t="s">
        <v>129</v>
      </c>
      <c r="H139" s="415" t="s">
        <v>1656</v>
      </c>
      <c r="I139" s="412"/>
      <c r="J139" s="412"/>
      <c r="K139" s="412"/>
    </row>
    <row r="140" spans="1:11" x14ac:dyDescent="0.25">
      <c r="A140" s="412">
        <f>+SUBTOTAL(3,$B$4:B140)</f>
        <v>137</v>
      </c>
      <c r="B140" s="412" t="str">
        <f>'Visual chart Edit'!B143</f>
        <v>22/1</v>
      </c>
      <c r="C140" s="412" t="str">
        <f>'Visual chart Edit'!C143</f>
        <v>DA+9</v>
      </c>
      <c r="D140" s="412" t="s">
        <v>1303</v>
      </c>
      <c r="E140" s="464">
        <f>'Visual chart Edit'!I143</f>
        <v>456.3</v>
      </c>
      <c r="F140" s="412" t="str">
        <f>'Visual chart Edit'!K143</f>
        <v>Sandy</v>
      </c>
      <c r="G140" s="412" t="s">
        <v>129</v>
      </c>
      <c r="H140" s="415" t="s">
        <v>1656</v>
      </c>
      <c r="I140" s="412"/>
      <c r="J140" s="412"/>
      <c r="K140" s="412"/>
    </row>
    <row r="141" spans="1:11" x14ac:dyDescent="0.25">
      <c r="A141" s="412">
        <f>+SUBTOTAL(3,$B$4:B141)</f>
        <v>138</v>
      </c>
      <c r="B141" s="412" t="str">
        <f>'Visual chart Edit'!B144</f>
        <v>22/2</v>
      </c>
      <c r="C141" s="412" t="str">
        <f>'Visual chart Edit'!C144</f>
        <v>DA+6</v>
      </c>
      <c r="D141" s="412" t="s">
        <v>1303</v>
      </c>
      <c r="E141" s="464">
        <f>'Visual chart Edit'!I144</f>
        <v>379.2</v>
      </c>
      <c r="F141" s="412" t="str">
        <f>'Visual chart Edit'!K144</f>
        <v>Sandy</v>
      </c>
      <c r="G141" s="412" t="str">
        <f>'Visual chart Edit'!L144</f>
        <v>E</v>
      </c>
      <c r="H141" s="412"/>
      <c r="I141" s="412"/>
      <c r="J141" s="412"/>
      <c r="K141" s="412"/>
    </row>
    <row r="142" spans="1:11" x14ac:dyDescent="0.25">
      <c r="A142" s="412">
        <f>+SUBTOTAL(3,$B$4:B142)</f>
        <v>139</v>
      </c>
      <c r="B142" s="412" t="str">
        <f>'Visual chart Edit'!B145</f>
        <v>22/3</v>
      </c>
      <c r="C142" s="412" t="str">
        <f>'Visual chart Edit'!C145</f>
        <v>DA+9</v>
      </c>
      <c r="D142" s="412" t="s">
        <v>1303</v>
      </c>
      <c r="E142" s="464">
        <f>'Visual chart Edit'!I145</f>
        <v>382.6</v>
      </c>
      <c r="F142" s="412" t="str">
        <f>'Visual chart Edit'!K145</f>
        <v>Sandy</v>
      </c>
      <c r="G142" s="412" t="str">
        <f>'Visual chart Edit'!L145</f>
        <v>E</v>
      </c>
      <c r="H142" s="412"/>
      <c r="I142" s="412"/>
      <c r="J142" s="412"/>
      <c r="K142" s="412"/>
    </row>
    <row r="143" spans="1:11" x14ac:dyDescent="0.25">
      <c r="A143" s="412">
        <f>+SUBTOTAL(3,$B$4:B143)</f>
        <v>140</v>
      </c>
      <c r="B143" s="412" t="str">
        <f>'Visual chart Edit'!B146</f>
        <v>22/4</v>
      </c>
      <c r="C143" s="412" t="str">
        <f>'Visual chart Edit'!C146</f>
        <v>DA+9</v>
      </c>
      <c r="D143" s="412" t="s">
        <v>1303</v>
      </c>
      <c r="E143" s="464">
        <f>'Visual chart Edit'!I146</f>
        <v>435.6</v>
      </c>
      <c r="F143" s="412" t="str">
        <f>'Visual chart Edit'!K146</f>
        <v>Sandy</v>
      </c>
      <c r="G143" s="412" t="s">
        <v>129</v>
      </c>
      <c r="H143" s="415" t="s">
        <v>1656</v>
      </c>
      <c r="I143" s="412"/>
      <c r="J143" s="412"/>
      <c r="K143" s="412"/>
    </row>
    <row r="144" spans="1:11" x14ac:dyDescent="0.25">
      <c r="A144" s="412">
        <f>+SUBTOTAL(3,$B$4:B144)</f>
        <v>141</v>
      </c>
      <c r="B144" s="412" t="str">
        <f>'Visual chart Edit'!B147</f>
        <v>22/5</v>
      </c>
      <c r="C144" s="412" t="str">
        <f>'Visual chart Edit'!C147</f>
        <v>DA+9</v>
      </c>
      <c r="D144" s="412" t="s">
        <v>1303</v>
      </c>
      <c r="E144" s="464">
        <f>'Visual chart Edit'!I147</f>
        <v>402.1</v>
      </c>
      <c r="F144" s="412" t="str">
        <f>'Visual chart Edit'!K147</f>
        <v>DRY</v>
      </c>
      <c r="G144" s="412" t="str">
        <f>'Visual chart Edit'!L147</f>
        <v>E</v>
      </c>
      <c r="H144" s="412"/>
      <c r="I144" s="412"/>
      <c r="J144" s="412"/>
      <c r="K144" s="412"/>
    </row>
    <row r="145" spans="1:12" x14ac:dyDescent="0.25">
      <c r="A145" s="412">
        <f>+SUBTOTAL(3,$B$4:B145)</f>
        <v>142</v>
      </c>
      <c r="B145" s="412" t="str">
        <f>'Visual chart Edit'!B148</f>
        <v>22/6</v>
      </c>
      <c r="C145" s="412" t="str">
        <f>'Visual chart Edit'!C148</f>
        <v>DA+0</v>
      </c>
      <c r="D145" s="412" t="s">
        <v>1303</v>
      </c>
      <c r="E145" s="464">
        <f>'Visual chart Edit'!I148</f>
        <v>417.3</v>
      </c>
      <c r="F145" s="412" t="str">
        <f>'Visual chart Edit'!K148</f>
        <v>Sandy</v>
      </c>
      <c r="G145" s="412" t="str">
        <f>'Visual chart Edit'!L148</f>
        <v>E</v>
      </c>
      <c r="H145" s="412"/>
      <c r="I145" s="412"/>
      <c r="J145" s="412"/>
      <c r="K145" s="412"/>
    </row>
    <row r="146" spans="1:12" x14ac:dyDescent="0.25">
      <c r="A146" s="412">
        <f>+SUBTOTAL(3,$B$4:B146)</f>
        <v>143</v>
      </c>
      <c r="B146" s="412" t="str">
        <f>'Visual chart Edit'!B149</f>
        <v>22/7</v>
      </c>
      <c r="C146" s="412" t="str">
        <f>'Visual chart Edit'!C149</f>
        <v>DA+0</v>
      </c>
      <c r="D146" s="412" t="s">
        <v>1303</v>
      </c>
      <c r="E146" s="464">
        <f>'Visual chart Edit'!I149</f>
        <v>347.7</v>
      </c>
      <c r="F146" s="412" t="str">
        <f>'Visual chart Edit'!K149</f>
        <v>Sandy</v>
      </c>
      <c r="G146" s="412" t="str">
        <f>'Visual chart Edit'!L149</f>
        <v>E</v>
      </c>
      <c r="H146" s="412"/>
      <c r="I146" s="412"/>
      <c r="J146" s="412"/>
      <c r="K146" s="412"/>
    </row>
    <row r="147" spans="1:12" x14ac:dyDescent="0.25">
      <c r="A147" s="412">
        <f>+SUBTOTAL(3,$B$4:B147)</f>
        <v>144</v>
      </c>
      <c r="B147" s="412" t="str">
        <f>'Visual chart Edit'!B150</f>
        <v>22/8</v>
      </c>
      <c r="C147" s="412" t="str">
        <f>'Visual chart Edit'!C150</f>
        <v>DB1+0</v>
      </c>
      <c r="D147" s="412" t="s">
        <v>1303</v>
      </c>
      <c r="E147" s="464">
        <f>'Visual chart Edit'!I150</f>
        <v>356.3</v>
      </c>
      <c r="F147" s="412" t="str">
        <f>'Visual chart Edit'!K150</f>
        <v>Sandy</v>
      </c>
      <c r="G147" s="412" t="s">
        <v>124</v>
      </c>
      <c r="H147" s="799"/>
      <c r="I147" s="412"/>
      <c r="J147" s="412"/>
      <c r="K147" s="412"/>
    </row>
    <row r="148" spans="1:12" x14ac:dyDescent="0.25">
      <c r="A148" s="412">
        <f>+SUBTOTAL(3,$B$4:B148)</f>
        <v>145</v>
      </c>
      <c r="B148" s="412" t="str">
        <f>'Visual chart Edit'!B151</f>
        <v>22/9</v>
      </c>
      <c r="C148" s="412" t="str">
        <f>'Visual chart Edit'!C151</f>
        <v>DA+6</v>
      </c>
      <c r="D148" s="412" t="s">
        <v>1303</v>
      </c>
      <c r="E148" s="464">
        <f>'Visual chart Edit'!I151</f>
        <v>389.2</v>
      </c>
      <c r="F148" s="412" t="str">
        <f>'Visual chart Edit'!K151</f>
        <v>Sandy</v>
      </c>
      <c r="G148" s="412" t="s">
        <v>129</v>
      </c>
      <c r="H148" s="415" t="s">
        <v>1656</v>
      </c>
      <c r="I148" s="412"/>
      <c r="J148" s="412"/>
      <c r="K148" s="412"/>
    </row>
    <row r="149" spans="1:12" x14ac:dyDescent="0.25">
      <c r="A149" s="412">
        <f>+SUBTOTAL(3,$B$4:B149)</f>
        <v>146</v>
      </c>
      <c r="B149" s="412" t="str">
        <f>'Visual chart Edit'!B152</f>
        <v>22/10</v>
      </c>
      <c r="C149" s="412" t="str">
        <f>'Visual chart Edit'!C152</f>
        <v>DA+6</v>
      </c>
      <c r="D149" s="412" t="s">
        <v>1304</v>
      </c>
      <c r="E149" s="464">
        <f>'Visual chart Edit'!I152</f>
        <v>343.8</v>
      </c>
      <c r="F149" s="412" t="str">
        <f>'Visual chart Edit'!K152</f>
        <v>Sandy</v>
      </c>
      <c r="G149" s="412" t="s">
        <v>129</v>
      </c>
      <c r="H149" s="415" t="s">
        <v>1656</v>
      </c>
      <c r="I149" s="412"/>
      <c r="J149" s="412"/>
      <c r="K149" s="412"/>
    </row>
    <row r="150" spans="1:12" x14ac:dyDescent="0.25">
      <c r="A150" s="412">
        <f>+SUBTOTAL(3,$B$4:B150)</f>
        <v>147</v>
      </c>
      <c r="B150" s="412" t="str">
        <f>'Visual chart Edit'!B153</f>
        <v>22/11</v>
      </c>
      <c r="C150" s="412" t="str">
        <f>'Visual chart Edit'!C153</f>
        <v>DA+6</v>
      </c>
      <c r="D150" s="412" t="s">
        <v>1304</v>
      </c>
      <c r="E150" s="464">
        <f>'Visual chart Edit'!I153</f>
        <v>395.5</v>
      </c>
      <c r="F150" s="412" t="str">
        <f>'Visual chart Edit'!K153</f>
        <v>Sandy</v>
      </c>
      <c r="G150" s="412" t="str">
        <f>'Visual chart Edit'!L153</f>
        <v>E</v>
      </c>
      <c r="H150" s="412"/>
      <c r="I150" s="412"/>
      <c r="J150" s="412"/>
      <c r="K150" s="412"/>
    </row>
    <row r="151" spans="1:12" x14ac:dyDescent="0.25">
      <c r="A151" s="412">
        <f>+SUBTOTAL(3,$B$4:B151)</f>
        <v>148</v>
      </c>
      <c r="B151" s="412" t="str">
        <f>'Visual chart Edit'!B154</f>
        <v>22/12</v>
      </c>
      <c r="C151" s="412" t="str">
        <f>'Visual chart Edit'!C154</f>
        <v>DA+3</v>
      </c>
      <c r="D151" s="412" t="s">
        <v>1304</v>
      </c>
      <c r="E151" s="464">
        <f>'Visual chart Edit'!I154</f>
        <v>408</v>
      </c>
      <c r="F151" s="412" t="str">
        <f>'Visual chart Edit'!K154</f>
        <v>Sandy</v>
      </c>
      <c r="G151" s="412" t="s">
        <v>129</v>
      </c>
      <c r="H151" s="415" t="s">
        <v>1656</v>
      </c>
      <c r="I151" s="412"/>
      <c r="J151" s="412"/>
      <c r="K151" s="412"/>
    </row>
    <row r="152" spans="1:12" x14ac:dyDescent="0.25">
      <c r="A152" s="412">
        <f>+SUBTOTAL(3,$B$4:B152)</f>
        <v>149</v>
      </c>
      <c r="B152" s="412" t="str">
        <f>'Visual chart Edit'!B155</f>
        <v>22/13</v>
      </c>
      <c r="C152" s="412" t="str">
        <f>'Visual chart Edit'!C155</f>
        <v>DA+6</v>
      </c>
      <c r="D152" s="412" t="s">
        <v>1304</v>
      </c>
      <c r="E152" s="464">
        <f>'Visual chart Edit'!I155</f>
        <v>318</v>
      </c>
      <c r="F152" s="412" t="str">
        <f>'Visual chart Edit'!K155</f>
        <v>Sandy</v>
      </c>
      <c r="G152" s="412" t="str">
        <f>'Visual chart Edit'!L155</f>
        <v>E</v>
      </c>
      <c r="H152" s="412"/>
      <c r="I152" s="412"/>
      <c r="J152" s="412"/>
      <c r="K152" s="412"/>
    </row>
    <row r="153" spans="1:12" x14ac:dyDescent="0.25">
      <c r="A153" s="412">
        <f>+SUBTOTAL(3,$B$4:B153)</f>
        <v>150</v>
      </c>
      <c r="B153" s="412" t="str">
        <f>'Visual chart Edit'!B156</f>
        <v>23/0</v>
      </c>
      <c r="C153" s="412" t="str">
        <f>'Visual chart Edit'!C156</f>
        <v>DD45+3</v>
      </c>
      <c r="D153" s="412" t="s">
        <v>1304</v>
      </c>
      <c r="E153" s="464">
        <f>'Visual chart Edit'!I156</f>
        <v>447.3</v>
      </c>
      <c r="F153" s="412" t="str">
        <f>'Visual chart Edit'!K156</f>
        <v>DRY</v>
      </c>
      <c r="G153" s="412" t="s">
        <v>129</v>
      </c>
      <c r="H153" s="415" t="s">
        <v>1656</v>
      </c>
      <c r="I153" s="412"/>
      <c r="J153" s="412"/>
      <c r="K153" s="412"/>
    </row>
    <row r="154" spans="1:12" x14ac:dyDescent="0.25">
      <c r="A154" s="412">
        <f>+SUBTOTAL(3,$B$4:B154)</f>
        <v>151</v>
      </c>
      <c r="B154" s="412" t="str">
        <f>'Visual chart Edit'!B157</f>
        <v>24/0</v>
      </c>
      <c r="C154" s="412" t="str">
        <f>'Visual chart Edit'!C157</f>
        <v>DD45+3</v>
      </c>
      <c r="D154" s="412" t="s">
        <v>1304</v>
      </c>
      <c r="E154" s="464">
        <f>'Visual chart Edit'!I157</f>
        <v>222.2</v>
      </c>
      <c r="F154" s="412" t="str">
        <f>'Visual chart Edit'!K157</f>
        <v>DRY</v>
      </c>
      <c r="G154" s="412" t="str">
        <f>'Visual chart Edit'!L157</f>
        <v>E</v>
      </c>
      <c r="H154" s="412"/>
      <c r="I154" s="412"/>
      <c r="J154" s="412"/>
      <c r="K154" s="412"/>
    </row>
    <row r="155" spans="1:12" x14ac:dyDescent="0.25">
      <c r="A155" s="412">
        <f>+SUBTOTAL(3,$B$4:B155)</f>
        <v>152</v>
      </c>
      <c r="B155" s="412" t="str">
        <f>'Visual chart Edit'!B158</f>
        <v>25/0</v>
      </c>
      <c r="C155" s="412" t="str">
        <f>'Visual chart Edit'!C158</f>
        <v>DC1+6</v>
      </c>
      <c r="D155" s="412" t="s">
        <v>1304</v>
      </c>
      <c r="E155" s="464">
        <f>'Visual chart Edit'!I158</f>
        <v>433.9</v>
      </c>
      <c r="F155" s="412" t="str">
        <f>'Visual chart Edit'!K158</f>
        <v>DRY</v>
      </c>
      <c r="G155" s="412" t="str">
        <f>'Visual chart Edit'!L158</f>
        <v>E</v>
      </c>
      <c r="H155" s="415"/>
      <c r="I155" s="412"/>
      <c r="J155" s="412"/>
      <c r="K155" s="412"/>
      <c r="L155" s="478" t="s">
        <v>1577</v>
      </c>
    </row>
    <row r="156" spans="1:12" x14ac:dyDescent="0.25">
      <c r="A156" s="412">
        <f>+SUBTOTAL(3,$B$4:B156)</f>
        <v>153</v>
      </c>
      <c r="B156" s="412" t="str">
        <f>'Visual chart Edit'!B159</f>
        <v>25/1</v>
      </c>
      <c r="C156" s="412" t="str">
        <f>'Visual chart Edit'!C159</f>
        <v>DA+3</v>
      </c>
      <c r="D156" s="412" t="s">
        <v>1304</v>
      </c>
      <c r="E156" s="464">
        <f>'Visual chart Edit'!I159</f>
        <v>422.3</v>
      </c>
      <c r="F156" s="412" t="str">
        <f>'Visual chart Edit'!K159</f>
        <v>DRY</v>
      </c>
      <c r="G156" s="412" t="str">
        <f>'Visual chart Edit'!L159</f>
        <v>E</v>
      </c>
      <c r="H156" s="415"/>
      <c r="I156" s="412"/>
      <c r="J156" s="412"/>
      <c r="K156" s="412"/>
    </row>
    <row r="157" spans="1:12" x14ac:dyDescent="0.25">
      <c r="A157" s="412">
        <f>+SUBTOTAL(3,$B$4:B157)</f>
        <v>154</v>
      </c>
      <c r="B157" s="412" t="str">
        <f>'Visual chart Edit'!B160</f>
        <v>25/2</v>
      </c>
      <c r="C157" s="412" t="str">
        <f>'Visual chart Edit'!C160</f>
        <v>DA+0</v>
      </c>
      <c r="D157" s="412" t="s">
        <v>1304</v>
      </c>
      <c r="E157" s="464">
        <f>'Visual chart Edit'!I160</f>
        <v>370.7</v>
      </c>
      <c r="F157" s="412" t="str">
        <f>'Visual chart Edit'!K160</f>
        <v>DRY</v>
      </c>
      <c r="G157" s="412" t="str">
        <f>'Visual chart Edit'!L160</f>
        <v>E</v>
      </c>
      <c r="H157" s="415"/>
      <c r="I157" s="412"/>
      <c r="J157" s="412"/>
      <c r="K157" s="412"/>
    </row>
    <row r="158" spans="1:12" x14ac:dyDescent="0.25">
      <c r="A158" s="412">
        <f>+SUBTOTAL(3,$B$4:B158)</f>
        <v>155</v>
      </c>
      <c r="B158" s="412" t="str">
        <f>'Visual chart Edit'!B161</f>
        <v>25/3</v>
      </c>
      <c r="C158" s="412" t="str">
        <f>'Visual chart Edit'!C161</f>
        <v>DA+0</v>
      </c>
      <c r="D158" s="412" t="s">
        <v>1304</v>
      </c>
      <c r="E158" s="464">
        <f>'Visual chart Edit'!I161</f>
        <v>345.7</v>
      </c>
      <c r="F158" s="412" t="str">
        <f>'Visual chart Edit'!K161</f>
        <v>Sandy</v>
      </c>
      <c r="G158" s="412" t="str">
        <f>'Visual chart Edit'!L161</f>
        <v>E</v>
      </c>
      <c r="H158" s="412"/>
      <c r="I158" s="412"/>
      <c r="J158" s="412"/>
      <c r="K158" s="412"/>
    </row>
    <row r="159" spans="1:12" x14ac:dyDescent="0.25">
      <c r="A159" s="412">
        <f>+SUBTOTAL(3,$B$4:B159)</f>
        <v>156</v>
      </c>
      <c r="B159" s="412" t="str">
        <f>'Visual chart Edit'!B162</f>
        <v>25/4</v>
      </c>
      <c r="C159" s="412" t="str">
        <f>'Visual chart Edit'!C162</f>
        <v>DA+0</v>
      </c>
      <c r="D159" s="412" t="s">
        <v>1304</v>
      </c>
      <c r="E159" s="464">
        <f>'Visual chart Edit'!I162</f>
        <v>391.1</v>
      </c>
      <c r="F159" s="412" t="str">
        <f>'Visual chart Edit'!K162</f>
        <v>Sandy</v>
      </c>
      <c r="G159" s="412" t="str">
        <f>'Visual chart Edit'!L162</f>
        <v>E</v>
      </c>
      <c r="H159" s="412"/>
      <c r="I159" s="412"/>
      <c r="J159" s="412"/>
      <c r="K159" s="412"/>
    </row>
    <row r="160" spans="1:12" x14ac:dyDescent="0.25">
      <c r="A160" s="412">
        <f>+SUBTOTAL(3,$B$4:B160)</f>
        <v>157</v>
      </c>
      <c r="B160" s="412" t="str">
        <f>'Visual chart Edit'!B163</f>
        <v>26/0</v>
      </c>
      <c r="C160" s="412" t="str">
        <f>'Visual chart Edit'!C163</f>
        <v>DB1+0</v>
      </c>
      <c r="D160" s="412" t="s">
        <v>1304</v>
      </c>
      <c r="E160" s="464">
        <f>'Visual chart Edit'!I163</f>
        <v>440.4</v>
      </c>
      <c r="F160" s="412" t="str">
        <f>'Visual chart Edit'!K163</f>
        <v>DFR</v>
      </c>
      <c r="G160" s="412" t="str">
        <f>'Visual chart Edit'!L163</f>
        <v>E</v>
      </c>
      <c r="H160" s="412"/>
      <c r="I160" s="412"/>
      <c r="J160" s="412"/>
      <c r="K160" s="412"/>
    </row>
    <row r="161" spans="1:12" x14ac:dyDescent="0.25">
      <c r="A161" s="412">
        <f>+SUBTOTAL(3,$B$4:B161)</f>
        <v>158</v>
      </c>
      <c r="B161" s="412" t="str">
        <f>'Visual chart Edit'!B164</f>
        <v>26/1</v>
      </c>
      <c r="C161" s="412" t="str">
        <f>'Visual chart Edit'!C164</f>
        <v>DA+0</v>
      </c>
      <c r="D161" s="412" t="s">
        <v>1304</v>
      </c>
      <c r="E161" s="464">
        <f>'Visual chart Edit'!I164</f>
        <v>391.4</v>
      </c>
      <c r="F161" s="412" t="str">
        <f>'Visual chart Edit'!K164</f>
        <v>DRY</v>
      </c>
      <c r="G161" s="412" t="str">
        <f>'Visual chart Edit'!L164</f>
        <v>E</v>
      </c>
      <c r="H161" s="412"/>
      <c r="I161" s="412"/>
      <c r="J161" s="412"/>
      <c r="K161" s="412"/>
    </row>
    <row r="162" spans="1:12" x14ac:dyDescent="0.25">
      <c r="A162" s="412">
        <f>+SUBTOTAL(3,$B$4:B162)</f>
        <v>159</v>
      </c>
      <c r="B162" s="412" t="str">
        <f>'Visual chart Edit'!B165</f>
        <v>26/2</v>
      </c>
      <c r="C162" s="412" t="str">
        <f>'Visual chart Edit'!C165</f>
        <v>DA+3</v>
      </c>
      <c r="D162" s="412" t="s">
        <v>1304</v>
      </c>
      <c r="E162" s="464">
        <f>'Visual chart Edit'!I165</f>
        <v>406.5</v>
      </c>
      <c r="F162" s="412" t="str">
        <f>'Visual chart Edit'!K165</f>
        <v>DFR</v>
      </c>
      <c r="G162" s="412" t="str">
        <f>'Visual chart Edit'!L165</f>
        <v>E</v>
      </c>
      <c r="H162" s="412"/>
      <c r="I162" s="412"/>
      <c r="J162" s="412"/>
      <c r="K162" s="412"/>
    </row>
    <row r="163" spans="1:12" x14ac:dyDescent="0.25">
      <c r="A163" s="412">
        <f>+SUBTOTAL(3,$B$4:B163)</f>
        <v>160</v>
      </c>
      <c r="B163" s="412" t="str">
        <f>'Visual chart Edit'!B166</f>
        <v>26/3</v>
      </c>
      <c r="C163" s="412" t="str">
        <f>'Visual chart Edit'!C166</f>
        <v>DA+0</v>
      </c>
      <c r="D163" s="412" t="s">
        <v>1304</v>
      </c>
      <c r="E163" s="464">
        <f>'Visual chart Edit'!I166</f>
        <v>418</v>
      </c>
      <c r="F163" s="412" t="str">
        <f>'Visual chart Edit'!K166</f>
        <v>DRY</v>
      </c>
      <c r="G163" s="412" t="str">
        <f>'Visual chart Edit'!L166</f>
        <v>E</v>
      </c>
      <c r="H163" s="412"/>
      <c r="I163" s="412"/>
      <c r="J163" s="412"/>
      <c r="K163" s="412"/>
    </row>
    <row r="164" spans="1:12" x14ac:dyDescent="0.25">
      <c r="A164" s="412">
        <f>+SUBTOTAL(3,$B$4:B164)</f>
        <v>161</v>
      </c>
      <c r="B164" s="412" t="str">
        <f>'Visual chart Edit'!B167</f>
        <v>26/4</v>
      </c>
      <c r="C164" s="412" t="str">
        <f>'Visual chart Edit'!C167</f>
        <v>DA+6</v>
      </c>
      <c r="D164" s="412" t="s">
        <v>1304</v>
      </c>
      <c r="E164" s="464">
        <f>'Visual chart Edit'!I167</f>
        <v>422.6</v>
      </c>
      <c r="F164" s="412" t="str">
        <f>'Visual chart Edit'!K167</f>
        <v>Sandy</v>
      </c>
      <c r="G164" s="412" t="str">
        <f>'Visual chart Edit'!L167</f>
        <v>E</v>
      </c>
      <c r="H164" s="415"/>
      <c r="I164" s="412"/>
      <c r="J164" s="412"/>
      <c r="K164" s="412"/>
      <c r="L164" s="478" t="s">
        <v>1577</v>
      </c>
    </row>
    <row r="165" spans="1:12" x14ac:dyDescent="0.25">
      <c r="A165" s="412">
        <f>+SUBTOTAL(3,$B$4:B165)</f>
        <v>162</v>
      </c>
      <c r="B165" s="412" t="str">
        <f>'Visual chart Edit'!B168</f>
        <v>26/5</v>
      </c>
      <c r="C165" s="412" t="str">
        <f>'Visual chart Edit'!C168</f>
        <v>DA+6</v>
      </c>
      <c r="D165" s="412" t="s">
        <v>1304</v>
      </c>
      <c r="E165" s="464">
        <f>'Visual chart Edit'!I168</f>
        <v>410</v>
      </c>
      <c r="F165" s="412" t="str">
        <f>'Visual chart Edit'!K168</f>
        <v>Sandy</v>
      </c>
      <c r="G165" s="412" t="str">
        <f>'Visual chart Edit'!L168</f>
        <v>E</v>
      </c>
      <c r="H165" s="412"/>
      <c r="I165" s="412"/>
      <c r="J165" s="412"/>
      <c r="K165" s="412"/>
    </row>
    <row r="166" spans="1:12" x14ac:dyDescent="0.25">
      <c r="A166" s="412">
        <f>+SUBTOTAL(3,$B$4:B166)</f>
        <v>163</v>
      </c>
      <c r="B166" s="412" t="str">
        <f>'Visual chart Edit'!B169</f>
        <v>26/6</v>
      </c>
      <c r="C166" s="412" t="str">
        <f>'Visual chart Edit'!C169</f>
        <v>DA+6</v>
      </c>
      <c r="D166" s="412" t="s">
        <v>1304</v>
      </c>
      <c r="E166" s="464">
        <f>'Visual chart Edit'!I169</f>
        <v>363.4</v>
      </c>
      <c r="F166" s="412" t="str">
        <f>'Visual chart Edit'!K169</f>
        <v>Sandy</v>
      </c>
      <c r="G166" s="412" t="str">
        <f>'Visual chart Edit'!L169</f>
        <v>E</v>
      </c>
      <c r="H166" s="415"/>
      <c r="I166" s="412"/>
      <c r="J166" s="412"/>
      <c r="K166" s="412"/>
    </row>
    <row r="167" spans="1:12" x14ac:dyDescent="0.25">
      <c r="A167" s="412">
        <f>+SUBTOTAL(3,$B$4:B167)</f>
        <v>164</v>
      </c>
      <c r="B167" s="412" t="str">
        <f>'Visual chart Edit'!B170</f>
        <v>26/7</v>
      </c>
      <c r="C167" s="412" t="str">
        <f>'Visual chart Edit'!C170</f>
        <v>DA+0</v>
      </c>
      <c r="D167" s="412" t="s">
        <v>1304</v>
      </c>
      <c r="E167" s="464">
        <f>'Visual chart Edit'!I170</f>
        <v>421.9</v>
      </c>
      <c r="F167" s="412" t="str">
        <f>'Visual chart Edit'!K170</f>
        <v>DFR</v>
      </c>
      <c r="G167" s="412" t="str">
        <f>'Visual chart Edit'!L170</f>
        <v>E</v>
      </c>
      <c r="H167" s="412"/>
      <c r="I167" s="412"/>
      <c r="J167" s="412"/>
      <c r="K167" s="412"/>
    </row>
    <row r="168" spans="1:12" x14ac:dyDescent="0.25">
      <c r="A168" s="412">
        <f>+SUBTOTAL(3,$B$4:B168)</f>
        <v>165</v>
      </c>
      <c r="B168" s="412" t="str">
        <f>'Visual chart Edit'!B171</f>
        <v>26/8</v>
      </c>
      <c r="C168" s="412" t="str">
        <f>'Visual chart Edit'!C171</f>
        <v>DA+6</v>
      </c>
      <c r="D168" s="412" t="s">
        <v>1304</v>
      </c>
      <c r="E168" s="464">
        <f>'Visual chart Edit'!I171</f>
        <v>416.7</v>
      </c>
      <c r="F168" s="412" t="str">
        <f>'Visual chart Edit'!K171</f>
        <v>DFR</v>
      </c>
      <c r="G168" s="412" t="str">
        <f>'Visual chart Edit'!L171</f>
        <v>E</v>
      </c>
      <c r="H168" s="412"/>
      <c r="I168" s="412"/>
      <c r="J168" s="412"/>
      <c r="K168" s="412"/>
    </row>
    <row r="169" spans="1:12" x14ac:dyDescent="0.25">
      <c r="A169" s="412">
        <f>+SUBTOTAL(3,$B$4:B169)</f>
        <v>166</v>
      </c>
      <c r="B169" s="412" t="str">
        <f>'Visual chart Edit'!B172</f>
        <v>27/0</v>
      </c>
      <c r="C169" s="412" t="str">
        <f>'Visual chart Edit'!C172</f>
        <v>DC1+0</v>
      </c>
      <c r="D169" s="412" t="s">
        <v>1304</v>
      </c>
      <c r="E169" s="464">
        <f>'Visual chart Edit'!I172</f>
        <v>413.8</v>
      </c>
      <c r="F169" s="412" t="str">
        <f>'Visual chart Edit'!K172</f>
        <v>DFR</v>
      </c>
      <c r="G169" s="412" t="str">
        <f>'Visual chart Edit'!L172</f>
        <v>E</v>
      </c>
      <c r="H169" s="412"/>
      <c r="I169" s="412"/>
      <c r="J169" s="412"/>
      <c r="K169" s="412"/>
    </row>
    <row r="170" spans="1:12" x14ac:dyDescent="0.25">
      <c r="A170" s="412">
        <f>+SUBTOTAL(3,$B$4:B170)</f>
        <v>167</v>
      </c>
      <c r="B170" s="412" t="str">
        <f>'Visual chart Edit'!B173</f>
        <v>27/1</v>
      </c>
      <c r="C170" s="412" t="str">
        <f>'Visual chart Edit'!C173</f>
        <v>DA+3</v>
      </c>
      <c r="D170" s="412" t="s">
        <v>1304</v>
      </c>
      <c r="E170" s="464">
        <f>'Visual chart Edit'!I173</f>
        <v>399.8</v>
      </c>
      <c r="F170" s="412" t="str">
        <f>'Visual chart Edit'!K173</f>
        <v>DFR</v>
      </c>
      <c r="G170" s="412" t="str">
        <f>'Visual chart Edit'!L173</f>
        <v>E</v>
      </c>
      <c r="H170" s="412"/>
      <c r="I170" s="412"/>
      <c r="J170" s="412"/>
      <c r="K170" s="412"/>
    </row>
    <row r="171" spans="1:12" x14ac:dyDescent="0.25">
      <c r="A171" s="412">
        <f>+SUBTOTAL(3,$B$4:B171)</f>
        <v>168</v>
      </c>
      <c r="B171" s="412" t="str">
        <f>'Visual chart Edit'!B174</f>
        <v>27/2</v>
      </c>
      <c r="C171" s="412" t="str">
        <f>'Visual chart Edit'!C174</f>
        <v>DA+3</v>
      </c>
      <c r="D171" s="412" t="s">
        <v>1304</v>
      </c>
      <c r="E171" s="464">
        <f>'Visual chart Edit'!I174</f>
        <v>425.2</v>
      </c>
      <c r="F171" s="412" t="str">
        <f>'Visual chart Edit'!K174</f>
        <v>DFR</v>
      </c>
      <c r="G171" s="412" t="str">
        <f>'Visual chart Edit'!L174</f>
        <v>E</v>
      </c>
      <c r="H171" s="412"/>
      <c r="I171" s="412"/>
      <c r="J171" s="412"/>
      <c r="K171" s="412"/>
    </row>
    <row r="172" spans="1:12" x14ac:dyDescent="0.25">
      <c r="A172" s="412">
        <f>+SUBTOTAL(3,$B$4:B172)</f>
        <v>169</v>
      </c>
      <c r="B172" s="412" t="str">
        <f>'Visual chart Edit'!B175</f>
        <v>27/3</v>
      </c>
      <c r="C172" s="412" t="str">
        <f>'Visual chart Edit'!C175</f>
        <v>DA+3</v>
      </c>
      <c r="D172" s="412" t="s">
        <v>1304</v>
      </c>
      <c r="E172" s="464">
        <f>'Visual chart Edit'!I175</f>
        <v>398.6</v>
      </c>
      <c r="F172" s="412" t="str">
        <f>'Visual chart Edit'!K175</f>
        <v>DFR</v>
      </c>
      <c r="G172" s="412" t="str">
        <f>'Visual chart Edit'!L175</f>
        <v>E</v>
      </c>
      <c r="H172" s="412"/>
      <c r="I172" s="412"/>
      <c r="J172" s="412"/>
      <c r="K172" s="412"/>
    </row>
    <row r="173" spans="1:12" x14ac:dyDescent="0.25">
      <c r="A173" s="412">
        <f>+SUBTOTAL(3,$B$4:B173)</f>
        <v>170</v>
      </c>
      <c r="B173" s="412" t="str">
        <f>'Visual chart Edit'!B176</f>
        <v>27/4</v>
      </c>
      <c r="C173" s="412" t="str">
        <f>'Visual chart Edit'!C176</f>
        <v>DA+3</v>
      </c>
      <c r="D173" s="412" t="s">
        <v>1304</v>
      </c>
      <c r="E173" s="464">
        <f>'Visual chart Edit'!I176</f>
        <v>430.7</v>
      </c>
      <c r="F173" s="412" t="str">
        <f>'Visual chart Edit'!K176</f>
        <v>DFR</v>
      </c>
      <c r="G173" s="412" t="str">
        <f>'Visual chart Edit'!L176</f>
        <v>E</v>
      </c>
      <c r="H173" s="412"/>
      <c r="I173" s="412"/>
      <c r="J173" s="412"/>
      <c r="K173" s="412"/>
    </row>
    <row r="174" spans="1:12" x14ac:dyDescent="0.25">
      <c r="A174" s="412">
        <f>+SUBTOTAL(3,$B$4:B174)</f>
        <v>171</v>
      </c>
      <c r="B174" s="412" t="str">
        <f>'Visual chart Edit'!B177</f>
        <v>27/5</v>
      </c>
      <c r="C174" s="412" t="str">
        <f>'Visual chart Edit'!C177</f>
        <v>DA+0</v>
      </c>
      <c r="D174" s="412" t="s">
        <v>1304</v>
      </c>
      <c r="E174" s="464">
        <f>'Visual chart Edit'!I177</f>
        <v>410</v>
      </c>
      <c r="F174" s="412" t="str">
        <f>'Visual chart Edit'!K177</f>
        <v>DRY</v>
      </c>
      <c r="G174" s="412" t="str">
        <f>'Visual chart Edit'!L177</f>
        <v>E</v>
      </c>
      <c r="H174" s="412"/>
      <c r="I174" s="412"/>
      <c r="J174" s="412"/>
      <c r="K174" s="412"/>
    </row>
    <row r="175" spans="1:12" x14ac:dyDescent="0.25">
      <c r="A175" s="412">
        <f>+SUBTOTAL(3,$B$4:B175)</f>
        <v>172</v>
      </c>
      <c r="B175" s="412" t="str">
        <f>'Visual chart Edit'!B178</f>
        <v>27/6</v>
      </c>
      <c r="C175" s="412" t="str">
        <f>'Visual chart Edit'!C178</f>
        <v>DA+0</v>
      </c>
      <c r="D175" s="412" t="s">
        <v>1304</v>
      </c>
      <c r="E175" s="464">
        <f>'Visual chart Edit'!I178</f>
        <v>402.6</v>
      </c>
      <c r="F175" s="412" t="str">
        <f>'Visual chart Edit'!K178</f>
        <v>Sandy</v>
      </c>
      <c r="G175" s="412" t="str">
        <f>'Visual chart Edit'!L178</f>
        <v>E</v>
      </c>
      <c r="H175" s="412"/>
      <c r="I175" s="412"/>
      <c r="J175" s="412"/>
      <c r="K175" s="412"/>
    </row>
    <row r="176" spans="1:12" x14ac:dyDescent="0.25">
      <c r="A176" s="412">
        <f>+SUBTOTAL(3,$B$4:B176)</f>
        <v>173</v>
      </c>
      <c r="B176" s="412" t="str">
        <f>'Visual chart Edit'!B179</f>
        <v>27/7</v>
      </c>
      <c r="C176" s="412" t="str">
        <f>'Visual chart Edit'!C179</f>
        <v>DB1+0</v>
      </c>
      <c r="D176" s="412" t="s">
        <v>1304</v>
      </c>
      <c r="E176" s="464">
        <f>'Visual chart Edit'!I179</f>
        <v>343.5</v>
      </c>
      <c r="F176" s="412" t="str">
        <f>'Visual chart Edit'!K179</f>
        <v>DFR</v>
      </c>
      <c r="G176" s="412" t="str">
        <f>'Visual chart Edit'!L179</f>
        <v>E</v>
      </c>
      <c r="H176" s="412"/>
      <c r="I176" s="412"/>
      <c r="J176" s="412"/>
      <c r="K176" s="412"/>
      <c r="L176" s="478" t="s">
        <v>1578</v>
      </c>
    </row>
    <row r="177" spans="1:13" x14ac:dyDescent="0.25">
      <c r="A177" s="412">
        <f>+SUBTOTAL(3,$B$4:B177)</f>
        <v>174</v>
      </c>
      <c r="B177" s="412" t="str">
        <f>'Visual chart Edit'!B180</f>
        <v>27/8</v>
      </c>
      <c r="C177" s="412" t="str">
        <f>'Visual chart Edit'!C180</f>
        <v>DA+0</v>
      </c>
      <c r="D177" s="412" t="s">
        <v>1304</v>
      </c>
      <c r="E177" s="464">
        <f>'Visual chart Edit'!I180</f>
        <v>392</v>
      </c>
      <c r="F177" s="412" t="str">
        <f>'Visual chart Edit'!K180</f>
        <v>DFR</v>
      </c>
      <c r="G177" s="412" t="str">
        <f>'Visual chart Edit'!L180</f>
        <v>E</v>
      </c>
      <c r="H177" s="412"/>
      <c r="I177" s="412"/>
      <c r="J177" s="412"/>
      <c r="K177" s="412"/>
    </row>
    <row r="178" spans="1:13" x14ac:dyDescent="0.25">
      <c r="A178" s="412">
        <f>+SUBTOTAL(3,$B$4:B178)</f>
        <v>175</v>
      </c>
      <c r="B178" s="412" t="str">
        <f>'Visual chart Edit'!B181</f>
        <v>27/9</v>
      </c>
      <c r="C178" s="412" t="str">
        <f>'Visual chart Edit'!C181</f>
        <v>DA+0</v>
      </c>
      <c r="D178" s="412" t="s">
        <v>1304</v>
      </c>
      <c r="E178" s="464">
        <f>'Visual chart Edit'!I181</f>
        <v>381.1</v>
      </c>
      <c r="F178" s="412" t="str">
        <f>'Visual chart Edit'!K181</f>
        <v>DFR</v>
      </c>
      <c r="G178" s="412" t="str">
        <f>'Visual chart Edit'!L181</f>
        <v>E</v>
      </c>
      <c r="H178" s="412"/>
      <c r="I178" s="412"/>
      <c r="J178" s="412"/>
      <c r="K178" s="412"/>
    </row>
    <row r="179" spans="1:13" x14ac:dyDescent="0.25">
      <c r="A179" s="412">
        <f>+SUBTOTAL(3,$B$4:B179)</f>
        <v>176</v>
      </c>
      <c r="B179" s="412" t="str">
        <f>'Visual chart Edit'!B182</f>
        <v>27/10</v>
      </c>
      <c r="C179" s="412" t="str">
        <f>'Visual chart Edit'!C182</f>
        <v>DA+3</v>
      </c>
      <c r="D179" s="412" t="s">
        <v>1304</v>
      </c>
      <c r="E179" s="464">
        <f>'Visual chart Edit'!I182</f>
        <v>366.3</v>
      </c>
      <c r="F179" s="412" t="str">
        <f>'Visual chart Edit'!K182</f>
        <v>DFR</v>
      </c>
      <c r="G179" s="412" t="str">
        <f>'Visual chart Edit'!L182</f>
        <v>E</v>
      </c>
      <c r="H179" s="412"/>
      <c r="I179" s="412"/>
      <c r="J179" s="412"/>
      <c r="K179" s="412"/>
    </row>
    <row r="180" spans="1:13" x14ac:dyDescent="0.25">
      <c r="A180" s="412">
        <f>+SUBTOTAL(3,$B$4:B180)</f>
        <v>177</v>
      </c>
      <c r="B180" s="412" t="str">
        <f>'Visual chart Edit'!B183</f>
        <v>27/11</v>
      </c>
      <c r="C180" s="412" t="str">
        <f>'Visual chart Edit'!C183</f>
        <v>DA+3</v>
      </c>
      <c r="D180" s="412" t="s">
        <v>1304</v>
      </c>
      <c r="E180" s="464">
        <f>'Visual chart Edit'!I183</f>
        <v>420.1</v>
      </c>
      <c r="F180" s="412" t="str">
        <f>'Visual chart Edit'!K183</f>
        <v>DRY</v>
      </c>
      <c r="G180" s="412" t="str">
        <f>'Visual chart Edit'!L183</f>
        <v>E</v>
      </c>
      <c r="H180" s="412"/>
      <c r="I180" s="412"/>
      <c r="J180" s="412"/>
      <c r="K180" s="412"/>
    </row>
    <row r="181" spans="1:13" x14ac:dyDescent="0.25">
      <c r="A181" s="412">
        <f>+SUBTOTAL(3,$B$4:B181)</f>
        <v>178</v>
      </c>
      <c r="B181" s="412" t="str">
        <f>'Visual chart Edit'!B184</f>
        <v>27/12</v>
      </c>
      <c r="C181" s="412" t="str">
        <f>'Visual chart Edit'!C184</f>
        <v>DA+3</v>
      </c>
      <c r="D181" s="412" t="s">
        <v>1304</v>
      </c>
      <c r="E181" s="464">
        <f>'Visual chart Edit'!I184</f>
        <v>420.8</v>
      </c>
      <c r="F181" s="412" t="str">
        <f>'Visual chart Edit'!K184</f>
        <v>Sandy</v>
      </c>
      <c r="G181" s="412" t="str">
        <f>'Visual chart Edit'!L184</f>
        <v>E</v>
      </c>
      <c r="H181" s="412"/>
      <c r="I181" s="412"/>
      <c r="J181" s="412"/>
      <c r="K181" s="412"/>
    </row>
    <row r="182" spans="1:13" x14ac:dyDescent="0.25">
      <c r="A182" s="412">
        <f>+SUBTOTAL(3,$B$4:B182)</f>
        <v>179</v>
      </c>
      <c r="B182" s="412" t="str">
        <f>'Visual chart Edit'!B185</f>
        <v>28/0</v>
      </c>
      <c r="C182" s="412" t="str">
        <f>'Visual chart Edit'!C185</f>
        <v>DB2+0</v>
      </c>
      <c r="D182" s="412" t="s">
        <v>1304</v>
      </c>
      <c r="E182" s="464">
        <f>'Visual chart Edit'!I185</f>
        <v>406.6</v>
      </c>
      <c r="F182" s="412" t="str">
        <f>'Visual chart Edit'!K185</f>
        <v>DFR</v>
      </c>
      <c r="G182" s="412" t="str">
        <f>'Visual chart Edit'!L185</f>
        <v>E</v>
      </c>
      <c r="H182" s="412"/>
      <c r="I182" s="412"/>
      <c r="J182" s="412"/>
      <c r="K182" s="412"/>
    </row>
    <row r="183" spans="1:13" x14ac:dyDescent="0.25">
      <c r="A183" s="412">
        <f>+SUBTOTAL(3,$B$4:B183)</f>
        <v>180</v>
      </c>
      <c r="B183" s="412" t="str">
        <f>'Visual chart Edit'!B186</f>
        <v>28/1</v>
      </c>
      <c r="C183" s="412" t="str">
        <f>'Visual chart Edit'!C186</f>
        <v>DA+0</v>
      </c>
      <c r="D183" s="412" t="s">
        <v>1304</v>
      </c>
      <c r="E183" s="464">
        <f>'Visual chart Edit'!I186</f>
        <v>379.6</v>
      </c>
      <c r="F183" s="412" t="str">
        <f>'Visual chart Edit'!K186</f>
        <v>DRY</v>
      </c>
      <c r="G183" s="412" t="str">
        <f>'Visual chart Edit'!L186</f>
        <v>E</v>
      </c>
      <c r="H183" s="412"/>
      <c r="I183" s="412"/>
      <c r="J183" s="412"/>
      <c r="K183" s="412"/>
    </row>
    <row r="184" spans="1:13" x14ac:dyDescent="0.25">
      <c r="A184" s="412">
        <f>+SUBTOTAL(3,$B$4:B184)</f>
        <v>181</v>
      </c>
      <c r="B184" s="412" t="str">
        <f>'Visual chart Edit'!B187</f>
        <v>28/2</v>
      </c>
      <c r="C184" s="412" t="str">
        <f>'Visual chart Edit'!C187</f>
        <v>DA+0</v>
      </c>
      <c r="D184" s="412" t="s">
        <v>1305</v>
      </c>
      <c r="E184" s="464">
        <f>'Visual chart Edit'!I187</f>
        <v>385</v>
      </c>
      <c r="F184" s="412" t="str">
        <f>'Visual chart Edit'!K187</f>
        <v>DFR</v>
      </c>
      <c r="G184" s="412" t="str">
        <f>'Visual chart Edit'!L187</f>
        <v>E</v>
      </c>
      <c r="H184" s="412"/>
      <c r="I184" s="412"/>
      <c r="J184" s="412"/>
      <c r="K184" s="412"/>
    </row>
    <row r="185" spans="1:13" x14ac:dyDescent="0.25">
      <c r="A185" s="412">
        <f>+SUBTOTAL(3,$B$4:B185)</f>
        <v>182</v>
      </c>
      <c r="B185" s="412" t="str">
        <f>'Visual chart Edit'!B188</f>
        <v>28/3</v>
      </c>
      <c r="C185" s="412" t="str">
        <f>'Visual chart Edit'!C188</f>
        <v>DA+0</v>
      </c>
      <c r="D185" s="412" t="s">
        <v>1305</v>
      </c>
      <c r="E185" s="464">
        <f>'Visual chart Edit'!I188</f>
        <v>369</v>
      </c>
      <c r="F185" s="412" t="str">
        <f>'Visual chart Edit'!K188</f>
        <v>DFR</v>
      </c>
      <c r="G185" s="412" t="str">
        <f>'Visual chart Edit'!L188</f>
        <v>E</v>
      </c>
      <c r="H185" s="412"/>
      <c r="I185" s="412"/>
      <c r="J185" s="412"/>
      <c r="K185" s="412"/>
    </row>
    <row r="186" spans="1:13" x14ac:dyDescent="0.25">
      <c r="A186" s="412">
        <f>+SUBTOTAL(3,$B$4:B186)</f>
        <v>183</v>
      </c>
      <c r="B186" s="412" t="str">
        <f>'Visual chart Edit'!B189</f>
        <v>28/4</v>
      </c>
      <c r="C186" s="412" t="str">
        <f>'Visual chart Edit'!C189</f>
        <v>DA+0</v>
      </c>
      <c r="D186" s="412" t="s">
        <v>1305</v>
      </c>
      <c r="E186" s="464">
        <f>'Visual chart Edit'!I189</f>
        <v>409</v>
      </c>
      <c r="F186" s="412" t="str">
        <f>'Visual chart Edit'!K189</f>
        <v>Sandy</v>
      </c>
      <c r="G186" s="412" t="str">
        <f>'Visual chart Edit'!L189</f>
        <v>E</v>
      </c>
      <c r="H186" s="412"/>
      <c r="I186" s="412"/>
      <c r="J186" s="412"/>
      <c r="K186" s="412"/>
      <c r="L186" s="478" t="s">
        <v>1580</v>
      </c>
      <c r="M186" s="478"/>
    </row>
    <row r="187" spans="1:13" x14ac:dyDescent="0.25">
      <c r="A187" s="412">
        <f>+SUBTOTAL(3,$B$4:B187)</f>
        <v>184</v>
      </c>
      <c r="B187" s="412" t="str">
        <f>'Visual chart Edit'!B190</f>
        <v>28/5</v>
      </c>
      <c r="C187" s="412" t="str">
        <f>'Visual chart Edit'!C190</f>
        <v>DA+9</v>
      </c>
      <c r="D187" s="412" t="s">
        <v>1305</v>
      </c>
      <c r="E187" s="464">
        <f>'Visual chart Edit'!I190</f>
        <v>422</v>
      </c>
      <c r="F187" s="412" t="str">
        <f>'Visual chart Edit'!K190</f>
        <v>Sandy</v>
      </c>
      <c r="G187" s="412" t="str">
        <f>'Visual chart Edit'!L190</f>
        <v>E</v>
      </c>
      <c r="H187" s="412"/>
      <c r="I187" s="412"/>
      <c r="J187" s="412"/>
      <c r="K187" s="412"/>
    </row>
    <row r="188" spans="1:13" x14ac:dyDescent="0.25">
      <c r="A188" s="412">
        <f>+SUBTOTAL(3,$B$4:B188)</f>
        <v>185</v>
      </c>
      <c r="B188" s="412" t="str">
        <f>'Visual chart Edit'!B191</f>
        <v>28/6</v>
      </c>
      <c r="C188" s="412" t="str">
        <f>'Visual chart Edit'!C191</f>
        <v>DA+6</v>
      </c>
      <c r="D188" s="412" t="s">
        <v>1305</v>
      </c>
      <c r="E188" s="464">
        <f>'Visual chart Edit'!I191</f>
        <v>370</v>
      </c>
      <c r="F188" s="412" t="str">
        <f>'Visual chart Edit'!K191</f>
        <v>Sandy</v>
      </c>
      <c r="G188" s="412" t="str">
        <f>'Visual chart Edit'!L191</f>
        <v>E</v>
      </c>
      <c r="H188" s="412"/>
      <c r="I188" s="412"/>
      <c r="J188" s="412"/>
      <c r="K188" s="412"/>
    </row>
    <row r="189" spans="1:13" x14ac:dyDescent="0.25">
      <c r="A189" s="412">
        <f>+SUBTOTAL(3,$B$4:B189)</f>
        <v>186</v>
      </c>
      <c r="B189" s="412" t="str">
        <f>'Visual chart Edit'!B192</f>
        <v>28/7</v>
      </c>
      <c r="C189" s="412" t="str">
        <f>'Visual chart Edit'!C192</f>
        <v>DA+3</v>
      </c>
      <c r="D189" s="412" t="s">
        <v>1305</v>
      </c>
      <c r="E189" s="464">
        <f>'Visual chart Edit'!I192</f>
        <v>464</v>
      </c>
      <c r="F189" s="412" t="str">
        <f>'Visual chart Edit'!K192</f>
        <v>Sandy</v>
      </c>
      <c r="G189" s="412" t="str">
        <f>'Visual chart Edit'!L192</f>
        <v>E</v>
      </c>
      <c r="H189" s="412"/>
      <c r="I189" s="412"/>
      <c r="J189" s="412"/>
      <c r="K189" s="412"/>
    </row>
    <row r="190" spans="1:13" x14ac:dyDescent="0.25">
      <c r="A190" s="412">
        <f>+SUBTOTAL(3,$B$4:B190)</f>
        <v>187</v>
      </c>
      <c r="B190" s="412" t="str">
        <f>'Visual chart Edit'!B193</f>
        <v>28/8</v>
      </c>
      <c r="C190" s="412" t="str">
        <f>'Visual chart Edit'!C193</f>
        <v>DA+3</v>
      </c>
      <c r="D190" s="412" t="s">
        <v>1305</v>
      </c>
      <c r="E190" s="464">
        <f>'Visual chart Edit'!I193</f>
        <v>375</v>
      </c>
      <c r="F190" s="412" t="str">
        <f>'Visual chart Edit'!K193</f>
        <v>Sandy</v>
      </c>
      <c r="G190" s="412" t="str">
        <f>'Visual chart Edit'!L193</f>
        <v>E</v>
      </c>
      <c r="H190" s="412"/>
      <c r="I190" s="412"/>
      <c r="J190" s="412"/>
      <c r="K190" s="412"/>
    </row>
    <row r="191" spans="1:13" x14ac:dyDescent="0.25">
      <c r="A191" s="412">
        <f>+SUBTOTAL(3,$B$4:B191)</f>
        <v>188</v>
      </c>
      <c r="B191" s="412" t="str">
        <f>'Visual chart Edit'!B194</f>
        <v>29/0</v>
      </c>
      <c r="C191" s="412" t="str">
        <f>'Visual chart Edit'!C194</f>
        <v>DB1+0</v>
      </c>
      <c r="D191" s="412" t="s">
        <v>1305</v>
      </c>
      <c r="E191" s="464">
        <f>'Visual chart Edit'!I194</f>
        <v>465.5</v>
      </c>
      <c r="F191" s="412" t="str">
        <f>'Visual chart Edit'!K194</f>
        <v>DRY</v>
      </c>
      <c r="G191" s="412" t="str">
        <f>'Visual chart Edit'!L194</f>
        <v>E</v>
      </c>
      <c r="H191" s="412"/>
      <c r="I191" s="412"/>
      <c r="J191" s="412"/>
      <c r="K191" s="412"/>
    </row>
    <row r="192" spans="1:13" x14ac:dyDescent="0.25">
      <c r="A192" s="412">
        <f>+SUBTOTAL(3,$B$4:B192)</f>
        <v>189</v>
      </c>
      <c r="B192" s="412" t="str">
        <f>'Visual chart Edit'!B195</f>
        <v>29/1</v>
      </c>
      <c r="C192" s="412" t="str">
        <f>'Visual chart Edit'!C195</f>
        <v>DA+3</v>
      </c>
      <c r="D192" s="412" t="s">
        <v>1305</v>
      </c>
      <c r="E192" s="464">
        <f>'Visual chart Edit'!I195</f>
        <v>365.6</v>
      </c>
      <c r="F192" s="412" t="str">
        <f>'Visual chart Edit'!K195</f>
        <v>DRY</v>
      </c>
      <c r="G192" s="412" t="str">
        <f>'Visual chart Edit'!L195</f>
        <v>E</v>
      </c>
      <c r="H192" s="412"/>
      <c r="I192" s="412"/>
      <c r="J192" s="412"/>
      <c r="K192" s="412"/>
    </row>
    <row r="193" spans="1:25" x14ac:dyDescent="0.25">
      <c r="A193" s="412">
        <f>+SUBTOTAL(3,$B$4:B193)</f>
        <v>190</v>
      </c>
      <c r="B193" s="412" t="str">
        <f>'Visual chart Edit'!B196</f>
        <v>29/2</v>
      </c>
      <c r="C193" s="412" t="str">
        <f>'Visual chart Edit'!C196</f>
        <v>DA+3</v>
      </c>
      <c r="D193" s="412" t="s">
        <v>1305</v>
      </c>
      <c r="E193" s="464">
        <f>'Visual chart Edit'!I196</f>
        <v>424</v>
      </c>
      <c r="F193" s="412" t="str">
        <f>'Visual chart Edit'!K196</f>
        <v>DRY</v>
      </c>
      <c r="G193" s="412" t="str">
        <f>'Visual chart Edit'!L196</f>
        <v>E</v>
      </c>
      <c r="H193" s="412"/>
      <c r="I193" s="412"/>
      <c r="J193" s="412"/>
      <c r="K193" s="412"/>
    </row>
    <row r="194" spans="1:25" x14ac:dyDescent="0.25">
      <c r="A194" s="412">
        <f>+SUBTOTAL(3,$B$4:B194)</f>
        <v>191</v>
      </c>
      <c r="B194" s="412" t="str">
        <f>'Visual chart Edit'!B197</f>
        <v>29/3</v>
      </c>
      <c r="C194" s="412" t="str">
        <f>'Visual chart Edit'!C197</f>
        <v>DA+0</v>
      </c>
      <c r="D194" s="412" t="s">
        <v>1305</v>
      </c>
      <c r="E194" s="464">
        <f>'Visual chart Edit'!I197</f>
        <v>399</v>
      </c>
      <c r="F194" s="412" t="str">
        <f>'Visual chart Edit'!K197</f>
        <v>Sandy</v>
      </c>
      <c r="G194" s="412" t="str">
        <f>'Visual chart Edit'!L197</f>
        <v>E</v>
      </c>
      <c r="H194" s="412"/>
      <c r="I194" s="412"/>
      <c r="J194" s="412"/>
      <c r="K194" s="412"/>
    </row>
    <row r="195" spans="1:25" x14ac:dyDescent="0.25">
      <c r="A195" s="412">
        <f>+SUBTOTAL(3,$B$4:B195)</f>
        <v>192</v>
      </c>
      <c r="B195" s="412" t="str">
        <f>'Visual chart Edit'!B198</f>
        <v>29/4</v>
      </c>
      <c r="C195" s="412" t="str">
        <f>'Visual chart Edit'!C198</f>
        <v>DA+6</v>
      </c>
      <c r="D195" s="412" t="s">
        <v>1305</v>
      </c>
      <c r="E195" s="464">
        <f>'Visual chart Edit'!I198</f>
        <v>440</v>
      </c>
      <c r="F195" s="412" t="str">
        <f>'Visual chart Edit'!K198</f>
        <v>DRY</v>
      </c>
      <c r="G195" s="412" t="str">
        <f>'Visual chart Edit'!L198</f>
        <v>E</v>
      </c>
      <c r="H195" s="412"/>
      <c r="I195" s="412"/>
      <c r="J195" s="412"/>
      <c r="K195" s="412"/>
    </row>
    <row r="196" spans="1:25" x14ac:dyDescent="0.25">
      <c r="A196" s="412">
        <f>+SUBTOTAL(3,$B$4:B196)</f>
        <v>193</v>
      </c>
      <c r="B196" s="412" t="str">
        <f>'Visual chart Edit'!B199</f>
        <v>30/0</v>
      </c>
      <c r="C196" s="412" t="str">
        <f>'Visual chart Edit'!C199</f>
        <v>DC1+0</v>
      </c>
      <c r="D196" s="412" t="s">
        <v>1305</v>
      </c>
      <c r="E196" s="464">
        <f>'Visual chart Edit'!I199</f>
        <v>382.1</v>
      </c>
      <c r="F196" s="412" t="str">
        <f>'Visual chart Edit'!K199</f>
        <v>DRY</v>
      </c>
      <c r="G196" s="412" t="str">
        <f>'Visual chart Edit'!L199</f>
        <v>E</v>
      </c>
      <c r="H196" s="412"/>
      <c r="I196" s="412"/>
      <c r="J196" s="412"/>
      <c r="K196" s="412"/>
    </row>
    <row r="197" spans="1:25" x14ac:dyDescent="0.25">
      <c r="A197" s="412">
        <f>+SUBTOTAL(3,$B$4:B197)</f>
        <v>194</v>
      </c>
      <c r="B197" s="412" t="str">
        <f>'Visual chart Edit'!B200</f>
        <v>30/1</v>
      </c>
      <c r="C197" s="412" t="str">
        <f>'Visual chart Edit'!C200</f>
        <v>DA+0</v>
      </c>
      <c r="D197" s="412" t="s">
        <v>1305</v>
      </c>
      <c r="E197" s="464">
        <f>'Visual chart Edit'!I200</f>
        <v>388.9</v>
      </c>
      <c r="F197" s="412" t="str">
        <f>'Visual chart Edit'!K200</f>
        <v>Sandy</v>
      </c>
      <c r="G197" s="412" t="str">
        <f>'Visual chart Edit'!L200</f>
        <v>E</v>
      </c>
      <c r="H197" s="412"/>
      <c r="I197" s="412"/>
      <c r="J197" s="412"/>
      <c r="K197" s="412"/>
    </row>
    <row r="198" spans="1:25" x14ac:dyDescent="0.25">
      <c r="A198" s="412">
        <f>+SUBTOTAL(3,$B$4:B198)</f>
        <v>195</v>
      </c>
      <c r="B198" s="412" t="str">
        <f>'Visual chart Edit'!B201</f>
        <v>30/2</v>
      </c>
      <c r="C198" s="412" t="str">
        <f>'Visual chart Edit'!C201</f>
        <v>DA+0</v>
      </c>
      <c r="D198" s="412" t="s">
        <v>1305</v>
      </c>
      <c r="E198" s="464">
        <f>'Visual chart Edit'!I201</f>
        <v>445</v>
      </c>
      <c r="F198" s="412" t="str">
        <f>'Visual chart Edit'!K201</f>
        <v>Sandy</v>
      </c>
      <c r="G198" s="412" t="str">
        <f>'Visual chart Edit'!L201</f>
        <v>E</v>
      </c>
      <c r="H198" s="412"/>
      <c r="I198" s="412"/>
      <c r="J198" s="412"/>
      <c r="K198" s="412"/>
    </row>
    <row r="199" spans="1:25" x14ac:dyDescent="0.25">
      <c r="A199" s="412">
        <f>+SUBTOTAL(3,$B$4:B199)</f>
        <v>196</v>
      </c>
      <c r="B199" s="412" t="str">
        <f>'Visual chart Edit'!B202</f>
        <v>30/3</v>
      </c>
      <c r="C199" s="412" t="str">
        <f>'Visual chart Edit'!C202</f>
        <v>DA+3</v>
      </c>
      <c r="D199" s="412" t="s">
        <v>1305</v>
      </c>
      <c r="E199" s="464">
        <f>'Visual chart Edit'!I202</f>
        <v>395</v>
      </c>
      <c r="F199" s="412" t="str">
        <f>'Visual chart Edit'!K202</f>
        <v>Sandy</v>
      </c>
      <c r="G199" s="412" t="str">
        <f>'Visual chart Edit'!L202</f>
        <v>E</v>
      </c>
      <c r="H199" s="412"/>
      <c r="I199" s="412"/>
      <c r="J199" s="412"/>
      <c r="K199" s="412"/>
    </row>
    <row r="200" spans="1:25" s="719" customFormat="1" x14ac:dyDescent="0.25">
      <c r="A200" s="715">
        <f>+SUBTOTAL(3,$B$4:B200)</f>
        <v>197</v>
      </c>
      <c r="B200" s="715" t="str">
        <f>'Visual chart Edit'!B203</f>
        <v>30/4</v>
      </c>
      <c r="C200" s="715" t="str">
        <f>'Visual chart Edit'!C203</f>
        <v>DA+3</v>
      </c>
      <c r="D200" s="715" t="s">
        <v>1305</v>
      </c>
      <c r="E200" s="716">
        <f>'Visual chart Edit'!I203</f>
        <v>387</v>
      </c>
      <c r="F200" s="715" t="str">
        <f>'Visual chart Edit'!K203</f>
        <v>DRY</v>
      </c>
      <c r="G200" s="412" t="str">
        <f>'Visual chart Edit'!L203</f>
        <v>E</v>
      </c>
      <c r="H200" s="412"/>
      <c r="I200" s="412"/>
      <c r="J200" s="412"/>
      <c r="K200" s="412"/>
      <c r="L200" s="717"/>
      <c r="M200" s="718"/>
      <c r="N200" s="718"/>
      <c r="O200" s="718"/>
      <c r="P200" s="718"/>
      <c r="Q200" s="718"/>
      <c r="R200" s="718"/>
      <c r="S200" s="718"/>
      <c r="T200" s="718"/>
      <c r="U200" s="718"/>
      <c r="V200" s="718"/>
      <c r="Y200" s="718"/>
    </row>
    <row r="201" spans="1:25" x14ac:dyDescent="0.25">
      <c r="A201" s="412">
        <f>+SUBTOTAL(3,$B$4:B201)</f>
        <v>198</v>
      </c>
      <c r="B201" s="412" t="str">
        <f>'Visual chart Edit'!B204</f>
        <v>30/5</v>
      </c>
      <c r="C201" s="412" t="str">
        <f>'Visual chart Edit'!C204</f>
        <v>DA+3</v>
      </c>
      <c r="D201" s="412" t="s">
        <v>1305</v>
      </c>
      <c r="E201" s="464">
        <f>'Visual chart Edit'!I204</f>
        <v>442</v>
      </c>
      <c r="F201" s="412" t="str">
        <f>'Visual chart Edit'!K204</f>
        <v>DRY</v>
      </c>
      <c r="G201" s="412" t="str">
        <f>'Visual chart Edit'!L204</f>
        <v>E</v>
      </c>
      <c r="H201" s="412"/>
      <c r="I201" s="412"/>
      <c r="J201" s="412"/>
      <c r="K201" s="412"/>
    </row>
    <row r="202" spans="1:25" x14ac:dyDescent="0.25">
      <c r="A202" s="412">
        <f>+SUBTOTAL(3,$B$4:B202)</f>
        <v>199</v>
      </c>
      <c r="B202" s="412" t="str">
        <f>'Visual chart Edit'!B205</f>
        <v>30/6</v>
      </c>
      <c r="C202" s="412" t="str">
        <f>'Visual chart Edit'!C205</f>
        <v>DA+0</v>
      </c>
      <c r="D202" s="412" t="s">
        <v>1305</v>
      </c>
      <c r="E202" s="464">
        <f>'Visual chart Edit'!I205</f>
        <v>314</v>
      </c>
      <c r="F202" s="412" t="str">
        <f>'Visual chart Edit'!K205</f>
        <v>DRY</v>
      </c>
      <c r="G202" s="412" t="str">
        <f>'Visual chart Edit'!L205</f>
        <v>E</v>
      </c>
      <c r="H202" s="412"/>
      <c r="I202" s="412"/>
      <c r="J202" s="412"/>
      <c r="K202" s="412"/>
    </row>
    <row r="203" spans="1:25" x14ac:dyDescent="0.25">
      <c r="A203" s="412">
        <f>+SUBTOTAL(3,$B$4:B203)</f>
        <v>200</v>
      </c>
      <c r="B203" s="412" t="str">
        <f>'Visual chart Edit'!B206</f>
        <v>31/0</v>
      </c>
      <c r="C203" s="412" t="str">
        <f>'Visual chart Edit'!C206</f>
        <v>DB2+0</v>
      </c>
      <c r="D203" s="412" t="s">
        <v>1305</v>
      </c>
      <c r="E203" s="464">
        <f>'Visual chart Edit'!I206</f>
        <v>347.4</v>
      </c>
      <c r="F203" s="412" t="str">
        <f>'Visual chart Edit'!K206</f>
        <v>Sandy</v>
      </c>
      <c r="G203" s="412" t="str">
        <f>'Visual chart Edit'!L206</f>
        <v>E</v>
      </c>
      <c r="H203" s="412"/>
      <c r="I203" s="412"/>
      <c r="J203" s="412"/>
      <c r="K203" s="412"/>
    </row>
    <row r="204" spans="1:25" x14ac:dyDescent="0.25">
      <c r="A204" s="412">
        <f>+SUBTOTAL(3,$B$4:B204)</f>
        <v>201</v>
      </c>
      <c r="B204" s="412" t="str">
        <f>'Visual chart Edit'!B207</f>
        <v>31/1</v>
      </c>
      <c r="C204" s="412" t="str">
        <f>'Visual chart Edit'!C207</f>
        <v>DA+0</v>
      </c>
      <c r="D204" s="412" t="s">
        <v>1305</v>
      </c>
      <c r="E204" s="464">
        <f>'Visual chart Edit'!I207</f>
        <v>383.6</v>
      </c>
      <c r="F204" s="412" t="str">
        <f>'Visual chart Edit'!K207</f>
        <v>DRY</v>
      </c>
      <c r="G204" s="412" t="str">
        <f>'Visual chart Edit'!L207</f>
        <v>E</v>
      </c>
      <c r="H204" s="412"/>
      <c r="I204" s="412"/>
      <c r="J204" s="412"/>
      <c r="K204" s="412"/>
    </row>
    <row r="205" spans="1:25" x14ac:dyDescent="0.25">
      <c r="A205" s="412">
        <f>+SUBTOTAL(3,$B$4:B205)</f>
        <v>202</v>
      </c>
      <c r="B205" s="412" t="str">
        <f>'Visual chart Edit'!B208</f>
        <v>31/2</v>
      </c>
      <c r="C205" s="412" t="str">
        <f>'Visual chart Edit'!C208</f>
        <v>DA+0</v>
      </c>
      <c r="D205" s="412" t="s">
        <v>1305</v>
      </c>
      <c r="E205" s="464">
        <f>'Visual chart Edit'!I208</f>
        <v>366</v>
      </c>
      <c r="F205" s="412" t="str">
        <f>'Visual chart Edit'!K208</f>
        <v>DRY</v>
      </c>
      <c r="G205" s="412" t="str">
        <f>'Visual chart Edit'!L208</f>
        <v>E</v>
      </c>
      <c r="H205" s="412"/>
      <c r="I205" s="412"/>
      <c r="J205" s="412"/>
      <c r="K205" s="412"/>
    </row>
    <row r="206" spans="1:25" x14ac:dyDescent="0.25">
      <c r="A206" s="412">
        <f>+SUBTOTAL(3,$B$4:B206)</f>
        <v>203</v>
      </c>
      <c r="B206" s="412" t="str">
        <f>'Visual chart Edit'!B209</f>
        <v>32/0</v>
      </c>
      <c r="C206" s="412" t="str">
        <f>'Visual chart Edit'!C209</f>
        <v>DC1+0</v>
      </c>
      <c r="D206" s="412" t="s">
        <v>1305</v>
      </c>
      <c r="E206" s="464">
        <f>'Visual chart Edit'!I209</f>
        <v>332.9</v>
      </c>
      <c r="F206" s="412" t="str">
        <f>'Visual chart Edit'!K209</f>
        <v>DRY</v>
      </c>
      <c r="G206" s="412" t="str">
        <f>'Visual chart Edit'!L209</f>
        <v>E</v>
      </c>
      <c r="H206" s="412"/>
      <c r="I206" s="412"/>
      <c r="J206" s="412"/>
      <c r="K206" s="412"/>
    </row>
    <row r="207" spans="1:25" x14ac:dyDescent="0.25">
      <c r="A207" s="412">
        <f>+SUBTOTAL(3,$B$4:B207)</f>
        <v>204</v>
      </c>
      <c r="B207" s="412" t="str">
        <f>'Visual chart Edit'!B210</f>
        <v>32/1</v>
      </c>
      <c r="C207" s="412" t="str">
        <f>'Visual chart Edit'!C210</f>
        <v>DA+3</v>
      </c>
      <c r="D207" s="412" t="s">
        <v>1306</v>
      </c>
      <c r="E207" s="464">
        <f>'Visual chart Edit'!I210</f>
        <v>402.7</v>
      </c>
      <c r="F207" s="412" t="str">
        <f>'Visual chart Edit'!K210</f>
        <v>Sandy</v>
      </c>
      <c r="G207" s="412" t="str">
        <f>'Visual chart Edit'!L210</f>
        <v>E</v>
      </c>
      <c r="H207" s="412"/>
      <c r="I207" s="412"/>
      <c r="J207" s="412"/>
      <c r="K207" s="412"/>
    </row>
    <row r="208" spans="1:25" x14ac:dyDescent="0.25">
      <c r="A208" s="412">
        <f>+SUBTOTAL(3,$B$4:B208)</f>
        <v>205</v>
      </c>
      <c r="B208" s="412" t="str">
        <f>'Visual chart Edit'!B211</f>
        <v>32/2</v>
      </c>
      <c r="C208" s="412" t="str">
        <f>'Visual chart Edit'!C211</f>
        <v>DA+3</v>
      </c>
      <c r="D208" s="412" t="s">
        <v>1306</v>
      </c>
      <c r="E208" s="464">
        <f>'Visual chart Edit'!I211</f>
        <v>428.8</v>
      </c>
      <c r="F208" s="412" t="str">
        <f>'Visual chart Edit'!K211</f>
        <v>DRY</v>
      </c>
      <c r="G208" s="412" t="str">
        <f>'Visual chart Edit'!L211</f>
        <v>E</v>
      </c>
      <c r="H208" s="412"/>
      <c r="I208" s="412"/>
      <c r="J208" s="412"/>
      <c r="K208" s="412"/>
    </row>
    <row r="209" spans="1:11" x14ac:dyDescent="0.25">
      <c r="A209" s="412">
        <f>+SUBTOTAL(3,$B$4:B209)</f>
        <v>206</v>
      </c>
      <c r="B209" s="412" t="str">
        <f>'Visual chart Edit'!B212</f>
        <v>32/3</v>
      </c>
      <c r="C209" s="412" t="str">
        <f>'Visual chart Edit'!C212</f>
        <v>DA+0</v>
      </c>
      <c r="D209" s="412" t="s">
        <v>1306</v>
      </c>
      <c r="E209" s="464">
        <f>'Visual chart Edit'!I212</f>
        <v>410.9</v>
      </c>
      <c r="F209" s="412" t="str">
        <f>'Visual chart Edit'!K212</f>
        <v>Sandy</v>
      </c>
      <c r="G209" s="412" t="str">
        <f>'Visual chart Edit'!L212</f>
        <v>E</v>
      </c>
      <c r="H209" s="412"/>
      <c r="I209" s="412"/>
      <c r="J209" s="412"/>
      <c r="K209" s="412"/>
    </row>
    <row r="210" spans="1:11" x14ac:dyDescent="0.25">
      <c r="A210" s="412">
        <f>+SUBTOTAL(3,$B$4:B210)</f>
        <v>207</v>
      </c>
      <c r="B210" s="412" t="str">
        <f>'Visual chart Edit'!B213</f>
        <v>32/4</v>
      </c>
      <c r="C210" s="412" t="str">
        <f>'Visual chart Edit'!C213</f>
        <v>DA+0</v>
      </c>
      <c r="D210" s="412" t="s">
        <v>1306</v>
      </c>
      <c r="E210" s="464">
        <f>'Visual chart Edit'!I213</f>
        <v>381.1</v>
      </c>
      <c r="F210" s="412" t="str">
        <f>'Visual chart Edit'!K213</f>
        <v>Sandy</v>
      </c>
      <c r="G210" s="412" t="str">
        <f>'Visual chart Edit'!L213</f>
        <v>E</v>
      </c>
      <c r="H210" s="412"/>
      <c r="I210" s="412"/>
      <c r="J210" s="412"/>
      <c r="K210" s="412"/>
    </row>
    <row r="211" spans="1:11" x14ac:dyDescent="0.25">
      <c r="A211" s="412">
        <f>+SUBTOTAL(3,$B$4:B211)</f>
        <v>208</v>
      </c>
      <c r="B211" s="412" t="str">
        <f>'Visual chart Edit'!B214</f>
        <v>33/0</v>
      </c>
      <c r="C211" s="412" t="str">
        <f>'Visual chart Edit'!C214</f>
        <v>DC1+0</v>
      </c>
      <c r="D211" s="412" t="s">
        <v>1306</v>
      </c>
      <c r="E211" s="464">
        <f>'Visual chart Edit'!I214</f>
        <v>451.5</v>
      </c>
      <c r="F211" s="412" t="str">
        <f>'Visual chart Edit'!K214</f>
        <v>DRY</v>
      </c>
      <c r="G211" s="412" t="str">
        <f>'Visual chart Edit'!L214</f>
        <v>E</v>
      </c>
      <c r="H211" s="412"/>
      <c r="I211" s="412"/>
      <c r="J211" s="412"/>
      <c r="K211" s="412"/>
    </row>
    <row r="212" spans="1:11" x14ac:dyDescent="0.25">
      <c r="A212" s="412">
        <f>+SUBTOTAL(3,$B$4:B212)</f>
        <v>209</v>
      </c>
      <c r="B212" s="412" t="str">
        <f>'Visual chart Edit'!B215</f>
        <v>33/1</v>
      </c>
      <c r="C212" s="412" t="str">
        <f>'Visual chart Edit'!C215</f>
        <v>DA+0</v>
      </c>
      <c r="D212" s="412" t="s">
        <v>1306</v>
      </c>
      <c r="E212" s="464">
        <f>'Visual chart Edit'!I215</f>
        <v>379.6</v>
      </c>
      <c r="F212" s="412" t="str">
        <f>'Visual chart Edit'!K215</f>
        <v>DRY</v>
      </c>
      <c r="G212" s="412" t="str">
        <f>'Visual chart Edit'!L215</f>
        <v>E</v>
      </c>
      <c r="H212" s="412"/>
      <c r="I212" s="412"/>
      <c r="J212" s="412"/>
      <c r="K212" s="412"/>
    </row>
    <row r="213" spans="1:11" x14ac:dyDescent="0.25">
      <c r="A213" s="412">
        <f>+SUBTOTAL(3,$B$4:B213)</f>
        <v>210</v>
      </c>
      <c r="B213" s="412" t="str">
        <f>'Visual chart Edit'!B216</f>
        <v>34/0</v>
      </c>
      <c r="C213" s="412" t="str">
        <f>'Visual chart Edit'!C216</f>
        <v>DB2+0</v>
      </c>
      <c r="D213" s="412" t="s">
        <v>1306</v>
      </c>
      <c r="E213" s="464">
        <f>'Visual chart Edit'!I216</f>
        <v>292.5</v>
      </c>
      <c r="F213" s="412" t="str">
        <f>'Visual chart Edit'!K216</f>
        <v>DRY</v>
      </c>
      <c r="G213" s="412" t="str">
        <f>'Visual chart Edit'!L216</f>
        <v>E</v>
      </c>
      <c r="H213" s="412"/>
      <c r="I213" s="412"/>
      <c r="J213" s="412"/>
      <c r="K213" s="412"/>
    </row>
    <row r="214" spans="1:11" x14ac:dyDescent="0.25">
      <c r="A214" s="412">
        <f>+SUBTOTAL(3,$B$4:B214)</f>
        <v>211</v>
      </c>
      <c r="B214" s="412" t="str">
        <f>'Visual chart Edit'!B217</f>
        <v>34/1</v>
      </c>
      <c r="C214" s="412" t="str">
        <f>'Visual chart Edit'!C217</f>
        <v>DA+9</v>
      </c>
      <c r="D214" s="412" t="s">
        <v>1306</v>
      </c>
      <c r="E214" s="464">
        <f>'Visual chart Edit'!I217</f>
        <v>432.6</v>
      </c>
      <c r="F214" s="412" t="str">
        <f>'Visual chart Edit'!K217</f>
        <v>Sandy</v>
      </c>
      <c r="G214" s="412" t="str">
        <f>'Visual chart Edit'!L217</f>
        <v>E</v>
      </c>
      <c r="H214" s="412"/>
      <c r="I214" s="412"/>
      <c r="J214" s="412"/>
      <c r="K214" s="412"/>
    </row>
    <row r="215" spans="1:11" x14ac:dyDescent="0.25">
      <c r="A215" s="412">
        <f>+SUBTOTAL(3,$B$4:B215)</f>
        <v>212</v>
      </c>
      <c r="B215" s="412" t="str">
        <f>'Visual chart Edit'!B218</f>
        <v>34/2</v>
      </c>
      <c r="C215" s="412" t="str">
        <f>'Visual chart Edit'!C218</f>
        <v>DA+6</v>
      </c>
      <c r="D215" s="412" t="s">
        <v>1306</v>
      </c>
      <c r="E215" s="464">
        <f>'Visual chart Edit'!I218</f>
        <v>407.5</v>
      </c>
      <c r="F215" s="412" t="str">
        <f>'Visual chart Edit'!K218</f>
        <v>Sandy</v>
      </c>
      <c r="G215" s="412" t="str">
        <f>'Visual chart Edit'!L218</f>
        <v>E</v>
      </c>
      <c r="H215" s="412"/>
      <c r="I215" s="412"/>
      <c r="J215" s="412"/>
      <c r="K215" s="412"/>
    </row>
    <row r="216" spans="1:11" x14ac:dyDescent="0.25">
      <c r="A216" s="412">
        <f>+SUBTOTAL(3,$B$4:B216)</f>
        <v>213</v>
      </c>
      <c r="B216" s="412" t="str">
        <f>'Visual chart Edit'!B219</f>
        <v>34/3</v>
      </c>
      <c r="C216" s="412" t="str">
        <f>'Visual chart Edit'!C219</f>
        <v>DA+0</v>
      </c>
      <c r="D216" s="412" t="s">
        <v>1306</v>
      </c>
      <c r="E216" s="464">
        <f>'Visual chart Edit'!I219</f>
        <v>377</v>
      </c>
      <c r="F216" s="412" t="str">
        <f>'Visual chart Edit'!K219</f>
        <v>Sandy</v>
      </c>
      <c r="G216" s="412" t="str">
        <f>'Visual chart Edit'!L219</f>
        <v>E</v>
      </c>
      <c r="H216" s="412"/>
      <c r="I216" s="412"/>
      <c r="J216" s="412"/>
      <c r="K216" s="412"/>
    </row>
    <row r="217" spans="1:11" x14ac:dyDescent="0.25">
      <c r="A217" s="412">
        <f>+SUBTOTAL(3,$B$4:B217)</f>
        <v>214</v>
      </c>
      <c r="B217" s="412" t="str">
        <f>'Visual chart Edit'!B220</f>
        <v>34/4</v>
      </c>
      <c r="C217" s="412" t="str">
        <f>'Visual chart Edit'!C220</f>
        <v>DA+0</v>
      </c>
      <c r="D217" s="412" t="s">
        <v>1306</v>
      </c>
      <c r="E217" s="464">
        <f>'Visual chart Edit'!I220</f>
        <v>451.6</v>
      </c>
      <c r="F217" s="412" t="str">
        <f>'Visual chart Edit'!K220</f>
        <v>Sandy</v>
      </c>
      <c r="G217" s="412" t="str">
        <f>'Visual chart Edit'!L220</f>
        <v>E</v>
      </c>
      <c r="H217" s="412"/>
      <c r="I217" s="412"/>
      <c r="J217" s="412"/>
      <c r="K217" s="412"/>
    </row>
    <row r="218" spans="1:11" x14ac:dyDescent="0.25">
      <c r="A218" s="412">
        <f>+SUBTOTAL(3,$B$4:B218)</f>
        <v>215</v>
      </c>
      <c r="B218" s="412" t="str">
        <f>'Visual chart Edit'!B221</f>
        <v>35/0</v>
      </c>
      <c r="C218" s="412" t="str">
        <f>'Visual chart Edit'!C221</f>
        <v>DB2+6</v>
      </c>
      <c r="D218" s="412" t="s">
        <v>1306</v>
      </c>
      <c r="E218" s="464">
        <f>'Visual chart Edit'!I221</f>
        <v>379.3</v>
      </c>
      <c r="F218" s="412" t="str">
        <f>'Visual chart Edit'!K221</f>
        <v>Sandy</v>
      </c>
      <c r="G218" s="412" t="str">
        <f>'Visual chart Edit'!L221</f>
        <v>E</v>
      </c>
      <c r="H218" s="412"/>
      <c r="I218" s="412"/>
      <c r="J218" s="412"/>
      <c r="K218" s="412"/>
    </row>
    <row r="219" spans="1:11" x14ac:dyDescent="0.25">
      <c r="A219" s="412">
        <f>+SUBTOTAL(3,$B$4:B219)</f>
        <v>216</v>
      </c>
      <c r="B219" s="412" t="str">
        <f>'Visual chart Edit'!B222</f>
        <v>35/1</v>
      </c>
      <c r="C219" s="412" t="str">
        <f>'Visual chart Edit'!C222</f>
        <v>DA+9</v>
      </c>
      <c r="D219" s="412" t="s">
        <v>1306</v>
      </c>
      <c r="E219" s="464">
        <f>'Visual chart Edit'!I222</f>
        <v>265.60000000000002</v>
      </c>
      <c r="F219" s="412" t="str">
        <f>'Visual chart Edit'!K222</f>
        <v>Sandy</v>
      </c>
      <c r="G219" s="412" t="str">
        <f>'Visual chart Edit'!L222</f>
        <v>E</v>
      </c>
      <c r="H219" s="412"/>
      <c r="I219" s="412"/>
      <c r="J219" s="412"/>
      <c r="K219" s="412"/>
    </row>
    <row r="220" spans="1:11" x14ac:dyDescent="0.25">
      <c r="A220" s="412">
        <f>+SUBTOTAL(3,$B$4:B220)</f>
        <v>217</v>
      </c>
      <c r="B220" s="412" t="str">
        <f>'Visual chart Edit'!B223</f>
        <v>35/2</v>
      </c>
      <c r="C220" s="412" t="str">
        <f>'Visual chart Edit'!C223</f>
        <v>DB1+0</v>
      </c>
      <c r="D220" s="412" t="s">
        <v>1306</v>
      </c>
      <c r="E220" s="464">
        <f>'Visual chart Edit'!I223</f>
        <v>492.4</v>
      </c>
      <c r="F220" s="412" t="str">
        <f>'Visual chart Edit'!K223</f>
        <v>Sandy</v>
      </c>
      <c r="G220" s="412" t="str">
        <f>'Visual chart Edit'!L223</f>
        <v>E</v>
      </c>
      <c r="H220" s="412"/>
      <c r="I220" s="412"/>
      <c r="J220" s="412"/>
      <c r="K220" s="412"/>
    </row>
    <row r="221" spans="1:11" x14ac:dyDescent="0.25">
      <c r="A221" s="412">
        <f>+SUBTOTAL(3,$B$4:B221)</f>
        <v>218</v>
      </c>
      <c r="B221" s="412" t="str">
        <f>'Visual chart Edit'!B224</f>
        <v>35/3</v>
      </c>
      <c r="C221" s="412" t="str">
        <f>'Visual chart Edit'!C224</f>
        <v>DB1+6</v>
      </c>
      <c r="D221" s="412" t="s">
        <v>1306</v>
      </c>
      <c r="E221" s="464">
        <f>'Visual chart Edit'!I224</f>
        <v>522.20000000000005</v>
      </c>
      <c r="F221" s="412" t="str">
        <f>'Visual chart Edit'!K224</f>
        <v>Sandy</v>
      </c>
      <c r="G221" s="412" t="str">
        <f>'Visual chart Edit'!L224</f>
        <v>E</v>
      </c>
      <c r="H221" s="412"/>
      <c r="I221" s="412"/>
      <c r="J221" s="412"/>
      <c r="K221" s="412"/>
    </row>
    <row r="222" spans="1:11" x14ac:dyDescent="0.25">
      <c r="A222" s="412">
        <f>+SUBTOTAL(3,$B$4:B222)</f>
        <v>219</v>
      </c>
      <c r="B222" s="412" t="str">
        <f>'Visual chart Edit'!B225</f>
        <v>35/4</v>
      </c>
      <c r="C222" s="412" t="str">
        <f>'Visual chart Edit'!C225</f>
        <v>DA+0</v>
      </c>
      <c r="D222" s="412" t="s">
        <v>1306</v>
      </c>
      <c r="E222" s="464">
        <f>'Visual chart Edit'!I225</f>
        <v>418.9</v>
      </c>
      <c r="F222" s="412" t="str">
        <f>'Visual chart Edit'!K225</f>
        <v>DRY</v>
      </c>
      <c r="G222" s="412" t="str">
        <f>'Visual chart Edit'!L225</f>
        <v>E</v>
      </c>
      <c r="H222" s="412"/>
      <c r="I222" s="412"/>
      <c r="J222" s="412"/>
      <c r="K222" s="412"/>
    </row>
    <row r="223" spans="1:11" x14ac:dyDescent="0.25">
      <c r="A223" s="412">
        <f>+SUBTOTAL(3,$B$4:B223)</f>
        <v>220</v>
      </c>
      <c r="B223" s="412" t="str">
        <f>'Visual chart Edit'!B226</f>
        <v>35/5</v>
      </c>
      <c r="C223" s="412" t="str">
        <f>'Visual chart Edit'!C226</f>
        <v>DA+0</v>
      </c>
      <c r="D223" s="412" t="s">
        <v>1306</v>
      </c>
      <c r="E223" s="464">
        <f>'Visual chart Edit'!I226</f>
        <v>421.7</v>
      </c>
      <c r="F223" s="412" t="str">
        <f>'Visual chart Edit'!K226</f>
        <v>Sandy</v>
      </c>
      <c r="G223" s="412" t="str">
        <f>'Visual chart Edit'!L226</f>
        <v>E</v>
      </c>
      <c r="H223" s="412"/>
      <c r="I223" s="412"/>
      <c r="J223" s="412"/>
      <c r="K223" s="412"/>
    </row>
    <row r="224" spans="1:11" x14ac:dyDescent="0.25">
      <c r="A224" s="412">
        <f>+SUBTOTAL(3,$B$4:B224)</f>
        <v>221</v>
      </c>
      <c r="B224" s="412" t="str">
        <f>'Visual chart Edit'!B227</f>
        <v>36/0</v>
      </c>
      <c r="C224" s="412" t="str">
        <f>'Visual chart Edit'!C227</f>
        <v>DB2+0</v>
      </c>
      <c r="D224" s="412" t="s">
        <v>1306</v>
      </c>
      <c r="E224" s="464">
        <f>'Visual chart Edit'!I227</f>
        <v>342.7</v>
      </c>
      <c r="F224" s="412" t="str">
        <f>'Visual chart Edit'!K227</f>
        <v>Sandy</v>
      </c>
      <c r="G224" s="412" t="str">
        <f>'Visual chart Edit'!L227</f>
        <v>E</v>
      </c>
      <c r="H224" s="412"/>
      <c r="I224" s="412"/>
      <c r="J224" s="412"/>
      <c r="K224" s="412"/>
    </row>
    <row r="225" spans="1:12" x14ac:dyDescent="0.25">
      <c r="A225" s="412">
        <f>+SUBTOTAL(3,$B$4:B225)</f>
        <v>222</v>
      </c>
      <c r="B225" s="412" t="str">
        <f>'Visual chart Edit'!B228</f>
        <v>36/1</v>
      </c>
      <c r="C225" s="412" t="str">
        <f>'Visual chart Edit'!C228</f>
        <v>DA+3</v>
      </c>
      <c r="D225" s="412" t="s">
        <v>1306</v>
      </c>
      <c r="E225" s="464">
        <f>'Visual chart Edit'!I228</f>
        <v>386.4</v>
      </c>
      <c r="F225" s="412" t="str">
        <f>'Visual chart Edit'!K228</f>
        <v>Sandy</v>
      </c>
      <c r="G225" s="412" t="str">
        <f>'Visual chart Edit'!L228</f>
        <v>E</v>
      </c>
      <c r="H225" s="412"/>
      <c r="I225" s="412"/>
      <c r="J225" s="412"/>
      <c r="K225" s="412"/>
    </row>
    <row r="226" spans="1:12" x14ac:dyDescent="0.25">
      <c r="A226" s="412">
        <f>+SUBTOTAL(3,$B$4:B226)</f>
        <v>223</v>
      </c>
      <c r="B226" s="412" t="str">
        <f>'Visual chart Edit'!B229</f>
        <v>36/2</v>
      </c>
      <c r="C226" s="412" t="str">
        <f>'Visual chart Edit'!C229</f>
        <v>DA+0</v>
      </c>
      <c r="D226" s="412" t="s">
        <v>1306</v>
      </c>
      <c r="E226" s="464">
        <f>'Visual chart Edit'!I229</f>
        <v>309.39999999999998</v>
      </c>
      <c r="F226" s="412" t="str">
        <f>'Visual chart Edit'!K229</f>
        <v>Sandy</v>
      </c>
      <c r="G226" s="412" t="str">
        <f>'Visual chart Edit'!L229</f>
        <v>E</v>
      </c>
      <c r="H226" s="412"/>
      <c r="I226" s="412"/>
      <c r="J226" s="412"/>
      <c r="K226" s="412"/>
    </row>
    <row r="227" spans="1:12" x14ac:dyDescent="0.25">
      <c r="A227" s="412">
        <f>+SUBTOTAL(3,$B$4:B227)</f>
        <v>224</v>
      </c>
      <c r="B227" s="412" t="str">
        <f>'Visual chart Edit'!B230</f>
        <v>36/3</v>
      </c>
      <c r="C227" s="412" t="str">
        <f>'Visual chart Edit'!C230</f>
        <v>DA+0</v>
      </c>
      <c r="D227" s="412" t="s">
        <v>1306</v>
      </c>
      <c r="E227" s="464">
        <f>'Visual chart Edit'!I230</f>
        <v>357.8</v>
      </c>
      <c r="F227" s="412" t="str">
        <f>'Visual chart Edit'!K230</f>
        <v>Sandy</v>
      </c>
      <c r="G227" s="412" t="str">
        <f>'Visual chart Edit'!L230</f>
        <v>E</v>
      </c>
      <c r="H227" s="412"/>
      <c r="I227" s="412"/>
      <c r="J227" s="412"/>
      <c r="K227" s="412"/>
    </row>
    <row r="228" spans="1:12" x14ac:dyDescent="0.25">
      <c r="A228" s="412">
        <f>+SUBTOTAL(3,$B$4:B228)</f>
        <v>225</v>
      </c>
      <c r="B228" s="412" t="str">
        <f>'Visual chart Edit'!B231</f>
        <v>36/4</v>
      </c>
      <c r="C228" s="412" t="str">
        <f>'Visual chart Edit'!C231</f>
        <v>DA+6</v>
      </c>
      <c r="D228" s="412" t="s">
        <v>1306</v>
      </c>
      <c r="E228" s="464">
        <f>'Visual chart Edit'!I231</f>
        <v>480.4</v>
      </c>
      <c r="F228" s="412" t="str">
        <f>'Visual chart Edit'!K231</f>
        <v>Sandy</v>
      </c>
      <c r="G228" s="412" t="str">
        <f>'Visual chart Edit'!L231</f>
        <v>E</v>
      </c>
      <c r="H228" s="412"/>
      <c r="I228" s="412"/>
      <c r="J228" s="412"/>
      <c r="K228" s="412"/>
    </row>
    <row r="229" spans="1:12" x14ac:dyDescent="0.25">
      <c r="A229" s="412">
        <f>+SUBTOTAL(3,$B$4:B229)</f>
        <v>226</v>
      </c>
      <c r="B229" s="412" t="str">
        <f>'Visual chart Edit'!B232</f>
        <v>37/0</v>
      </c>
      <c r="C229" s="412" t="str">
        <f>'Visual chart Edit'!C232</f>
        <v>DB2+0</v>
      </c>
      <c r="D229" s="412" t="s">
        <v>1306</v>
      </c>
      <c r="E229" s="464">
        <f>'Visual chart Edit'!I232</f>
        <v>350.5</v>
      </c>
      <c r="F229" s="412" t="str">
        <f>'Visual chart Edit'!K232</f>
        <v>Sandy</v>
      </c>
      <c r="G229" s="412" t="str">
        <f>'Visual chart Edit'!L232</f>
        <v>E</v>
      </c>
      <c r="H229" s="412"/>
      <c r="I229" s="412"/>
      <c r="J229" s="412"/>
      <c r="K229" s="412"/>
    </row>
    <row r="230" spans="1:12" x14ac:dyDescent="0.25">
      <c r="A230" s="412">
        <f>+SUBTOTAL(3,$B$4:B230)</f>
        <v>227</v>
      </c>
      <c r="B230" s="412" t="str">
        <f>'Visual chart Edit'!B233</f>
        <v>37/1</v>
      </c>
      <c r="C230" s="412" t="str">
        <f>'Visual chart Edit'!C233</f>
        <v>DA+9</v>
      </c>
      <c r="D230" s="412" t="s">
        <v>1307</v>
      </c>
      <c r="E230" s="464">
        <f>'Visual chart Edit'!I233</f>
        <v>443.3</v>
      </c>
      <c r="F230" s="412" t="str">
        <f>'Visual chart Edit'!K233</f>
        <v>Sandy</v>
      </c>
      <c r="G230" s="412" t="str">
        <f>'Visual chart Edit'!L233</f>
        <v>E</v>
      </c>
      <c r="H230" s="412"/>
      <c r="I230" s="412"/>
      <c r="J230" s="412"/>
      <c r="K230" s="412"/>
    </row>
    <row r="231" spans="1:12" x14ac:dyDescent="0.25">
      <c r="A231" s="412">
        <f>+SUBTOTAL(3,$B$4:B231)</f>
        <v>228</v>
      </c>
      <c r="B231" s="412" t="str">
        <f>'Visual chart Edit'!B234</f>
        <v>37/2</v>
      </c>
      <c r="C231" s="412" t="str">
        <f>'Visual chart Edit'!C234</f>
        <v>DA+3</v>
      </c>
      <c r="D231" s="412" t="s">
        <v>1307</v>
      </c>
      <c r="E231" s="464">
        <f>'Visual chart Edit'!I234</f>
        <v>356.7</v>
      </c>
      <c r="F231" s="412" t="str">
        <f>'Visual chart Edit'!K234</f>
        <v>Sandy</v>
      </c>
      <c r="G231" s="412" t="str">
        <f>'Visual chart Edit'!L234</f>
        <v>E</v>
      </c>
      <c r="H231" s="412"/>
      <c r="I231" s="412"/>
      <c r="J231" s="412"/>
      <c r="K231" s="412"/>
    </row>
    <row r="232" spans="1:12" x14ac:dyDescent="0.25">
      <c r="A232" s="412">
        <f>+SUBTOTAL(3,$B$4:B232)</f>
        <v>229</v>
      </c>
      <c r="B232" s="412" t="str">
        <f>'Visual chart Edit'!B235</f>
        <v>37/3</v>
      </c>
      <c r="C232" s="412" t="str">
        <f>'Visual chart Edit'!C235</f>
        <v>DA+0</v>
      </c>
      <c r="D232" s="412" t="s">
        <v>1307</v>
      </c>
      <c r="E232" s="464">
        <f>'Visual chart Edit'!I235</f>
        <v>339.9</v>
      </c>
      <c r="F232" s="412" t="str">
        <f>'Visual chart Edit'!K235</f>
        <v>Sandy</v>
      </c>
      <c r="G232" s="412" t="str">
        <f>'Visual chart Edit'!L235</f>
        <v>E</v>
      </c>
      <c r="H232" s="412"/>
      <c r="I232" s="412"/>
      <c r="J232" s="412"/>
      <c r="K232" s="412"/>
    </row>
    <row r="233" spans="1:12" x14ac:dyDescent="0.25">
      <c r="A233" s="412">
        <f>+SUBTOTAL(3,$B$4:B233)</f>
        <v>230</v>
      </c>
      <c r="B233" s="412" t="str">
        <f>'Visual chart Edit'!B236</f>
        <v>38/0</v>
      </c>
      <c r="C233" s="412" t="str">
        <f>'Visual chart Edit'!C236</f>
        <v>DB2+6</v>
      </c>
      <c r="D233" s="412" t="s">
        <v>1307</v>
      </c>
      <c r="E233" s="464">
        <f>'Visual chart Edit'!I236</f>
        <v>500.3</v>
      </c>
      <c r="F233" s="412" t="str">
        <f>'Visual chart Edit'!K236</f>
        <v>Sandy</v>
      </c>
      <c r="G233" s="412" t="str">
        <f>'Visual chart Edit'!L236</f>
        <v>E</v>
      </c>
      <c r="H233" s="412"/>
      <c r="I233" s="412"/>
      <c r="J233" s="412"/>
      <c r="K233" s="412"/>
    </row>
    <row r="234" spans="1:12" x14ac:dyDescent="0.25">
      <c r="A234" s="412">
        <f>+SUBTOTAL(3,$B$4:B234)</f>
        <v>231</v>
      </c>
      <c r="B234" s="412" t="str">
        <f>'Visual chart Edit'!B237</f>
        <v>38/1</v>
      </c>
      <c r="C234" s="412" t="str">
        <f>'Visual chart Edit'!C237</f>
        <v>DA+0</v>
      </c>
      <c r="D234" s="412" t="s">
        <v>1307</v>
      </c>
      <c r="E234" s="464">
        <f>'Visual chart Edit'!I237</f>
        <v>421.4</v>
      </c>
      <c r="F234" s="412" t="str">
        <f>'Visual chart Edit'!K237</f>
        <v>Sandy</v>
      </c>
      <c r="G234" s="412" t="str">
        <f>'Visual chart Edit'!L237</f>
        <v>E</v>
      </c>
      <c r="H234" s="412"/>
      <c r="I234" s="412"/>
      <c r="J234" s="412"/>
      <c r="K234" s="412"/>
    </row>
    <row r="235" spans="1:12" x14ac:dyDescent="0.25">
      <c r="A235" s="412">
        <f>+SUBTOTAL(3,$B$4:B235)</f>
        <v>232</v>
      </c>
      <c r="B235" s="412" t="str">
        <f>'Visual chart Edit'!B238</f>
        <v>38/2</v>
      </c>
      <c r="C235" s="412" t="str">
        <f>'Visual chart Edit'!C238</f>
        <v>DA+6</v>
      </c>
      <c r="D235" s="412" t="s">
        <v>1307</v>
      </c>
      <c r="E235" s="464">
        <f>'Visual chart Edit'!I238</f>
        <v>419</v>
      </c>
      <c r="F235" s="412" t="str">
        <f>'Visual chart Edit'!K238</f>
        <v>Sandy</v>
      </c>
      <c r="G235" s="412" t="str">
        <f>'Visual chart Edit'!L238</f>
        <v>E</v>
      </c>
      <c r="H235" s="412"/>
      <c r="I235" s="412"/>
      <c r="J235" s="412"/>
      <c r="K235" s="412"/>
    </row>
    <row r="236" spans="1:12" x14ac:dyDescent="0.25">
      <c r="A236" s="412">
        <f>+SUBTOTAL(3,$B$4:B236)</f>
        <v>233</v>
      </c>
      <c r="B236" s="412" t="str">
        <f>'Visual chart Edit'!B239</f>
        <v>38/3</v>
      </c>
      <c r="C236" s="412" t="str">
        <f>'Visual chart Edit'!C239</f>
        <v>DA+9</v>
      </c>
      <c r="D236" s="412" t="s">
        <v>1307</v>
      </c>
      <c r="E236" s="464">
        <f>'Visual chart Edit'!I239</f>
        <v>420.3</v>
      </c>
      <c r="F236" s="412" t="str">
        <f>'Visual chart Edit'!K239</f>
        <v>Sandy</v>
      </c>
      <c r="G236" s="412" t="str">
        <f>'Visual chart Edit'!L239</f>
        <v>E</v>
      </c>
      <c r="H236" s="412"/>
      <c r="I236" s="412"/>
      <c r="J236" s="412"/>
      <c r="K236" s="412"/>
      <c r="L236" s="478" t="s">
        <v>1603</v>
      </c>
    </row>
    <row r="237" spans="1:12" x14ac:dyDescent="0.25">
      <c r="A237" s="412">
        <f>+SUBTOTAL(3,$B$4:B237)</f>
        <v>234</v>
      </c>
      <c r="B237" s="412" t="str">
        <f>'Visual chart Edit'!B240</f>
        <v>38/4</v>
      </c>
      <c r="C237" s="412" t="str">
        <f>'Visual chart Edit'!C240</f>
        <v>DA+9</v>
      </c>
      <c r="D237" s="412" t="s">
        <v>1307</v>
      </c>
      <c r="E237" s="464">
        <f>'Visual chart Edit'!I240</f>
        <v>414.9</v>
      </c>
      <c r="F237" s="412" t="str">
        <f>'Visual chart Edit'!K240</f>
        <v>Sandy</v>
      </c>
      <c r="G237" s="412" t="str">
        <f>'Visual chart Edit'!L240</f>
        <v>E</v>
      </c>
      <c r="H237" s="412"/>
      <c r="I237" s="412"/>
      <c r="J237" s="412"/>
      <c r="K237" s="412"/>
    </row>
    <row r="238" spans="1:12" x14ac:dyDescent="0.25">
      <c r="A238" s="412">
        <f>+SUBTOTAL(3,$B$4:B238)</f>
        <v>235</v>
      </c>
      <c r="B238" s="412" t="str">
        <f>'Visual chart Edit'!B241</f>
        <v>39/0</v>
      </c>
      <c r="C238" s="412" t="str">
        <f>'Visual chart Edit'!C241</f>
        <v>DB2+6</v>
      </c>
      <c r="D238" s="412" t="s">
        <v>1307</v>
      </c>
      <c r="E238" s="464">
        <f>'Visual chart Edit'!I241</f>
        <v>425.5</v>
      </c>
      <c r="F238" s="412" t="str">
        <f>'Visual chart Edit'!K241</f>
        <v>Sandy</v>
      </c>
      <c r="G238" s="412" t="str">
        <f>'Visual chart Edit'!L241</f>
        <v>E</v>
      </c>
      <c r="H238" s="412"/>
      <c r="I238" s="412"/>
      <c r="J238" s="412"/>
      <c r="K238" s="412"/>
    </row>
    <row r="239" spans="1:12" x14ac:dyDescent="0.25">
      <c r="A239" s="412">
        <f>+SUBTOTAL(3,$B$4:B239)</f>
        <v>236</v>
      </c>
      <c r="B239" s="412" t="str">
        <f>'Visual chart Edit'!B242</f>
        <v>39/1</v>
      </c>
      <c r="C239" s="412" t="str">
        <f>'Visual chart Edit'!C242</f>
        <v>DA+0</v>
      </c>
      <c r="D239" s="412" t="s">
        <v>1307</v>
      </c>
      <c r="E239" s="464">
        <f>'Visual chart Edit'!I242</f>
        <v>412.63799999999998</v>
      </c>
      <c r="F239" s="412" t="str">
        <f>'Visual chart Edit'!K242</f>
        <v>Sandy</v>
      </c>
      <c r="G239" s="412" t="str">
        <f>'Visual chart Edit'!L242</f>
        <v>E</v>
      </c>
      <c r="H239" s="412"/>
      <c r="I239" s="412"/>
      <c r="J239" s="412"/>
      <c r="K239" s="412"/>
    </row>
    <row r="240" spans="1:12" x14ac:dyDescent="0.25">
      <c r="A240" s="412">
        <f>+SUBTOTAL(3,$B$4:B240)</f>
        <v>237</v>
      </c>
      <c r="B240" s="412" t="str">
        <f>'Visual chart Edit'!B243</f>
        <v>40/0</v>
      </c>
      <c r="C240" s="412" t="str">
        <f>'Visual chart Edit'!C243</f>
        <v>DC2+0</v>
      </c>
      <c r="D240" s="412" t="s">
        <v>1307</v>
      </c>
      <c r="E240" s="464">
        <f>'Visual chart Edit'!I243</f>
        <v>322.61</v>
      </c>
      <c r="F240" s="412" t="str">
        <f>'Visual chart Edit'!K243</f>
        <v>Sandy</v>
      </c>
      <c r="G240" s="412" t="str">
        <f>'Visual chart Edit'!L243</f>
        <v>E</v>
      </c>
      <c r="H240" s="412"/>
      <c r="I240" s="412"/>
      <c r="J240" s="412"/>
      <c r="K240" s="412"/>
    </row>
    <row r="241" spans="1:11" x14ac:dyDescent="0.25">
      <c r="A241" s="412">
        <f>+SUBTOTAL(3,$B$4:B241)</f>
        <v>238</v>
      </c>
      <c r="B241" s="412" t="str">
        <f>'Visual chart Edit'!B244</f>
        <v>40/1</v>
      </c>
      <c r="C241" s="412" t="str">
        <f>'Visual chart Edit'!C244</f>
        <v>DA+6</v>
      </c>
      <c r="D241" s="412" t="s">
        <v>1307</v>
      </c>
      <c r="E241" s="464">
        <f>'Visual chart Edit'!I244</f>
        <v>396.2</v>
      </c>
      <c r="F241" s="412" t="str">
        <f>'Visual chart Edit'!K244</f>
        <v>Sandy</v>
      </c>
      <c r="G241" s="412" t="str">
        <f>'Visual chart Edit'!L244</f>
        <v>E</v>
      </c>
      <c r="H241" s="412"/>
      <c r="I241" s="412"/>
      <c r="J241" s="412"/>
      <c r="K241" s="412"/>
    </row>
    <row r="242" spans="1:11" x14ac:dyDescent="0.25">
      <c r="A242" s="412">
        <f>+SUBTOTAL(3,$B$4:B242)</f>
        <v>239</v>
      </c>
      <c r="B242" s="412" t="str">
        <f>'Visual chart Edit'!B245</f>
        <v>40/2</v>
      </c>
      <c r="C242" s="412" t="str">
        <f>'Visual chart Edit'!C245</f>
        <v>DA+3</v>
      </c>
      <c r="D242" s="412" t="s">
        <v>1307</v>
      </c>
      <c r="E242" s="464">
        <f>'Visual chart Edit'!I245</f>
        <v>425.8</v>
      </c>
      <c r="F242" s="412" t="str">
        <f>'Visual chart Edit'!K245</f>
        <v>Sandy</v>
      </c>
      <c r="G242" s="412" t="str">
        <f>'Visual chart Edit'!L245</f>
        <v>E</v>
      </c>
      <c r="H242" s="412"/>
      <c r="I242" s="412"/>
      <c r="J242" s="412"/>
      <c r="K242" s="412"/>
    </row>
    <row r="243" spans="1:11" x14ac:dyDescent="0.25">
      <c r="A243" s="412">
        <f>+SUBTOTAL(3,$B$4:B243)</f>
        <v>240</v>
      </c>
      <c r="B243" s="412" t="str">
        <f>'Visual chart Edit'!B246</f>
        <v>40/3</v>
      </c>
      <c r="C243" s="412" t="str">
        <f>'Visual chart Edit'!C246</f>
        <v>DA+3</v>
      </c>
      <c r="D243" s="412" t="s">
        <v>1308</v>
      </c>
      <c r="E243" s="464">
        <f>'Visual chart Edit'!I246</f>
        <v>401.7</v>
      </c>
      <c r="F243" s="412" t="str">
        <f>'Visual chart Edit'!K246</f>
        <v>Sandy</v>
      </c>
      <c r="G243" s="412" t="str">
        <f>'Visual chart Edit'!L246</f>
        <v>E</v>
      </c>
      <c r="H243" s="412"/>
      <c r="I243" s="412"/>
      <c r="J243" s="412"/>
      <c r="K243" s="412"/>
    </row>
    <row r="244" spans="1:11" x14ac:dyDescent="0.25">
      <c r="A244" s="412">
        <f>+SUBTOTAL(3,$B$4:B244)</f>
        <v>241</v>
      </c>
      <c r="B244" s="412" t="str">
        <f>'Visual chart Edit'!B247</f>
        <v>41/0</v>
      </c>
      <c r="C244" s="412" t="str">
        <f>'Visual chart Edit'!C247</f>
        <v>DC1+6</v>
      </c>
      <c r="D244" s="412" t="s">
        <v>1309</v>
      </c>
      <c r="E244" s="464">
        <f>'Visual chart Edit'!I247</f>
        <v>436.3</v>
      </c>
      <c r="F244" s="412" t="str">
        <f>'Visual chart Edit'!K247</f>
        <v>Sandy</v>
      </c>
      <c r="G244" s="412" t="str">
        <f>'Visual chart Edit'!L247</f>
        <v>E</v>
      </c>
      <c r="H244" s="412"/>
      <c r="I244" s="412"/>
      <c r="J244" s="412"/>
      <c r="K244" s="412"/>
    </row>
    <row r="245" spans="1:11" x14ac:dyDescent="0.25">
      <c r="A245" s="412">
        <f>+SUBTOTAL(3,$B$4:B245)</f>
        <v>242</v>
      </c>
      <c r="B245" s="412" t="str">
        <f>'Visual chart Edit'!B248</f>
        <v>41/1</v>
      </c>
      <c r="C245" s="412" t="str">
        <f>'Visual chart Edit'!C248</f>
        <v>DB1+9</v>
      </c>
      <c r="D245" s="412" t="s">
        <v>1309</v>
      </c>
      <c r="E245" s="464">
        <f>'Visual chart Edit'!I248</f>
        <v>340.8</v>
      </c>
      <c r="F245" s="412" t="str">
        <f>'Visual chart Edit'!K248</f>
        <v>Sandy</v>
      </c>
      <c r="G245" s="412" t="str">
        <f>'Visual chart Edit'!L248</f>
        <v>E</v>
      </c>
      <c r="H245" s="412"/>
      <c r="I245" s="412"/>
      <c r="J245" s="412"/>
      <c r="K245" s="412"/>
    </row>
    <row r="246" spans="1:11" x14ac:dyDescent="0.25">
      <c r="A246" s="412">
        <f>+SUBTOTAL(3,$B$4:B246)</f>
        <v>243</v>
      </c>
      <c r="B246" s="412" t="str">
        <f>'Visual chart Edit'!B249</f>
        <v>41/2</v>
      </c>
      <c r="C246" s="412" t="str">
        <f>'Visual chart Edit'!C249</f>
        <v>DA+0</v>
      </c>
      <c r="D246" s="412" t="s">
        <v>1310</v>
      </c>
      <c r="E246" s="464">
        <f>'Visual chart Edit'!I249</f>
        <v>447.8</v>
      </c>
      <c r="F246" s="412" t="str">
        <f>'Visual chart Edit'!K249</f>
        <v>Sandy</v>
      </c>
      <c r="G246" s="412" t="str">
        <f>'Visual chart Edit'!L249</f>
        <v>E</v>
      </c>
      <c r="H246" s="412"/>
      <c r="I246" s="412"/>
      <c r="J246" s="412"/>
      <c r="K246" s="412"/>
    </row>
    <row r="247" spans="1:11" x14ac:dyDescent="0.25">
      <c r="A247" s="412">
        <f>+SUBTOTAL(3,$B$4:B247)</f>
        <v>244</v>
      </c>
      <c r="B247" s="412" t="str">
        <f>'Visual chart Edit'!B250</f>
        <v>42/0</v>
      </c>
      <c r="C247" s="412" t="str">
        <f>'Visual chart Edit'!C250</f>
        <v>DC1+0</v>
      </c>
      <c r="D247" s="412" t="s">
        <v>1310</v>
      </c>
      <c r="E247" s="464">
        <f>'Visual chart Edit'!I250</f>
        <v>382.3</v>
      </c>
      <c r="F247" s="412" t="str">
        <f>'Visual chart Edit'!K250</f>
        <v>Sandy</v>
      </c>
      <c r="G247" s="412" t="str">
        <f>'Visual chart Edit'!L250</f>
        <v>E</v>
      </c>
      <c r="H247" s="412"/>
      <c r="I247" s="412"/>
      <c r="J247" s="412"/>
      <c r="K247" s="412"/>
    </row>
    <row r="248" spans="1:11" x14ac:dyDescent="0.25">
      <c r="A248" s="412">
        <f>+SUBTOTAL(3,$B$4:B248)</f>
        <v>245</v>
      </c>
      <c r="B248" s="412" t="str">
        <f>'Visual chart Edit'!B251</f>
        <v>42/1</v>
      </c>
      <c r="C248" s="412" t="str">
        <f>'Visual chart Edit'!C251</f>
        <v>DA+6</v>
      </c>
      <c r="D248" s="412" t="s">
        <v>1310</v>
      </c>
      <c r="E248" s="464">
        <f>'Visual chart Edit'!I251</f>
        <v>384.7</v>
      </c>
      <c r="F248" s="412" t="str">
        <f>'Visual chart Edit'!K251</f>
        <v>Sandy</v>
      </c>
      <c r="G248" s="412" t="str">
        <f>'Visual chart Edit'!L251</f>
        <v>E</v>
      </c>
      <c r="H248" s="412"/>
      <c r="I248" s="412"/>
      <c r="J248" s="412"/>
      <c r="K248" s="412"/>
    </row>
    <row r="249" spans="1:11" x14ac:dyDescent="0.25">
      <c r="A249" s="412">
        <f>+SUBTOTAL(3,$B$4:B249)</f>
        <v>246</v>
      </c>
      <c r="B249" s="412" t="str">
        <f>'Visual chart Edit'!B252</f>
        <v>42/2</v>
      </c>
      <c r="C249" s="412" t="str">
        <f>'Visual chart Edit'!C252</f>
        <v>DA+6</v>
      </c>
      <c r="D249" s="412" t="s">
        <v>1310</v>
      </c>
      <c r="E249" s="464">
        <f>'Visual chart Edit'!I252</f>
        <v>407.4</v>
      </c>
      <c r="F249" s="412" t="str">
        <f>'Visual chart Edit'!K252</f>
        <v>Sandy</v>
      </c>
      <c r="G249" s="412" t="str">
        <f>'Visual chart Edit'!L252</f>
        <v>E</v>
      </c>
      <c r="H249" s="412"/>
      <c r="I249" s="412"/>
      <c r="J249" s="412"/>
      <c r="K249" s="412"/>
    </row>
    <row r="250" spans="1:11" x14ac:dyDescent="0.25">
      <c r="A250" s="412">
        <f>+SUBTOTAL(3,$B$4:B250)</f>
        <v>247</v>
      </c>
      <c r="B250" s="412" t="str">
        <f>'Visual chart Edit'!B253</f>
        <v>42/3</v>
      </c>
      <c r="C250" s="412" t="str">
        <f>'Visual chart Edit'!C253</f>
        <v>DA+0</v>
      </c>
      <c r="D250" s="412" t="s">
        <v>1310</v>
      </c>
      <c r="E250" s="464">
        <f>'Visual chart Edit'!I253</f>
        <v>414.2</v>
      </c>
      <c r="F250" s="412" t="str">
        <f>'Visual chart Edit'!K253</f>
        <v>Sandy</v>
      </c>
      <c r="G250" s="412" t="str">
        <f>'Visual chart Edit'!L253</f>
        <v>E</v>
      </c>
      <c r="H250" s="412"/>
      <c r="I250" s="412"/>
      <c r="J250" s="412"/>
      <c r="K250" s="412"/>
    </row>
    <row r="251" spans="1:11" x14ac:dyDescent="0.25">
      <c r="A251" s="412">
        <f>+SUBTOTAL(3,$B$4:B251)</f>
        <v>248</v>
      </c>
      <c r="B251" s="412" t="str">
        <f>'Visual chart Edit'!B254</f>
        <v>42/4</v>
      </c>
      <c r="C251" s="412" t="str">
        <f>'Visual chart Edit'!C254</f>
        <v>DA+0</v>
      </c>
      <c r="D251" s="412" t="s">
        <v>1310</v>
      </c>
      <c r="E251" s="464">
        <f>'Visual chart Edit'!I254</f>
        <v>256.39999999999998</v>
      </c>
      <c r="F251" s="412" t="str">
        <f>'Visual chart Edit'!K254</f>
        <v>Sandy</v>
      </c>
      <c r="G251" s="412" t="str">
        <f>'Visual chart Edit'!L254</f>
        <v>E</v>
      </c>
      <c r="H251" s="412"/>
      <c r="I251" s="412"/>
      <c r="J251" s="412"/>
      <c r="K251" s="412"/>
    </row>
    <row r="252" spans="1:11" x14ac:dyDescent="0.25">
      <c r="A252" s="412">
        <f>+SUBTOTAL(3,$B$4:B252)</f>
        <v>249</v>
      </c>
      <c r="B252" s="412" t="str">
        <f>'Visual chart Edit'!B255</f>
        <v>42/5</v>
      </c>
      <c r="C252" s="412" t="str">
        <f>'Visual chart Edit'!C255</f>
        <v>DA+9</v>
      </c>
      <c r="D252" s="412" t="s">
        <v>1310</v>
      </c>
      <c r="E252" s="464">
        <f>'Visual chart Edit'!I255</f>
        <v>403.8</v>
      </c>
      <c r="F252" s="412" t="str">
        <f>'Visual chart Edit'!K255</f>
        <v>Sandy</v>
      </c>
      <c r="G252" s="412" t="str">
        <f>'Visual chart Edit'!L255</f>
        <v>E</v>
      </c>
      <c r="H252" s="412"/>
      <c r="I252" s="412"/>
      <c r="J252" s="412"/>
      <c r="K252" s="412"/>
    </row>
    <row r="253" spans="1:11" x14ac:dyDescent="0.25">
      <c r="A253" s="412">
        <f>+SUBTOTAL(3,$B$4:B253)</f>
        <v>250</v>
      </c>
      <c r="B253" s="412" t="str">
        <f>'Visual chart Edit'!B256</f>
        <v>42/6</v>
      </c>
      <c r="C253" s="412" t="str">
        <f>'Visual chart Edit'!C256</f>
        <v>DA+0</v>
      </c>
      <c r="D253" s="412" t="s">
        <v>1310</v>
      </c>
      <c r="E253" s="464">
        <f>'Visual chart Edit'!I256</f>
        <v>396.7</v>
      </c>
      <c r="F253" s="412" t="str">
        <f>'Visual chart Edit'!K256</f>
        <v>Sandy</v>
      </c>
      <c r="G253" s="412" t="str">
        <f>'Visual chart Edit'!L256</f>
        <v>E</v>
      </c>
      <c r="H253" s="412"/>
      <c r="I253" s="412"/>
      <c r="J253" s="412"/>
      <c r="K253" s="412"/>
    </row>
    <row r="254" spans="1:11" x14ac:dyDescent="0.25">
      <c r="A254" s="412">
        <f>+SUBTOTAL(3,$B$4:B254)</f>
        <v>251</v>
      </c>
      <c r="B254" s="412" t="str">
        <f>'Visual chart Edit'!B257</f>
        <v>43/0</v>
      </c>
      <c r="C254" s="412" t="str">
        <f>'Visual chart Edit'!C257</f>
        <v>DB1+0</v>
      </c>
      <c r="D254" s="412" t="s">
        <v>1310</v>
      </c>
      <c r="E254" s="464">
        <f>'Visual chart Edit'!I257</f>
        <v>403.9</v>
      </c>
      <c r="F254" s="412" t="str">
        <f>'Visual chart Edit'!K257</f>
        <v>Sandy</v>
      </c>
      <c r="G254" s="412" t="str">
        <f>'Visual chart Edit'!L257</f>
        <v>E</v>
      </c>
      <c r="H254" s="412"/>
      <c r="I254" s="412"/>
      <c r="J254" s="412"/>
      <c r="K254" s="412"/>
    </row>
    <row r="255" spans="1:11" x14ac:dyDescent="0.25">
      <c r="A255" s="412">
        <f>+SUBTOTAL(3,$B$4:B255)</f>
        <v>252</v>
      </c>
      <c r="B255" s="412" t="str">
        <f>'Visual chart Edit'!B258</f>
        <v>43/1</v>
      </c>
      <c r="C255" s="412" t="str">
        <f>'Visual chart Edit'!C258</f>
        <v>DA+3</v>
      </c>
      <c r="D255" s="412" t="s">
        <v>1311</v>
      </c>
      <c r="E255" s="464">
        <f>'Visual chart Edit'!I258</f>
        <v>346</v>
      </c>
      <c r="F255" s="412" t="str">
        <f>'Visual chart Edit'!K258</f>
        <v>Sandy</v>
      </c>
      <c r="G255" s="412" t="str">
        <f>'Visual chart Edit'!L258</f>
        <v>E</v>
      </c>
      <c r="H255" s="412"/>
      <c r="I255" s="412"/>
      <c r="J255" s="412"/>
      <c r="K255" s="412"/>
    </row>
    <row r="256" spans="1:11" x14ac:dyDescent="0.25">
      <c r="A256" s="412">
        <f>+SUBTOTAL(3,$B$4:B256)</f>
        <v>253</v>
      </c>
      <c r="B256" s="412" t="str">
        <f>'Visual chart Edit'!B259</f>
        <v>43/2</v>
      </c>
      <c r="C256" s="412" t="str">
        <f>'Visual chart Edit'!C259</f>
        <v>DA+0</v>
      </c>
      <c r="D256" s="412" t="s">
        <v>1311</v>
      </c>
      <c r="E256" s="464">
        <f>'Visual chart Edit'!I259</f>
        <v>475.8</v>
      </c>
      <c r="F256" s="412" t="str">
        <f>'Visual chart Edit'!K259</f>
        <v>Sandy</v>
      </c>
      <c r="G256" s="412" t="str">
        <f>'Visual chart Edit'!L259</f>
        <v>E</v>
      </c>
      <c r="H256" s="412"/>
      <c r="I256" s="412"/>
      <c r="J256" s="412"/>
      <c r="K256" s="412"/>
    </row>
    <row r="257" spans="1:11" x14ac:dyDescent="0.25">
      <c r="A257" s="412">
        <f>+SUBTOTAL(3,$B$4:B257)</f>
        <v>254</v>
      </c>
      <c r="B257" s="412" t="str">
        <f>'Visual chart Edit'!B260</f>
        <v>43/3</v>
      </c>
      <c r="C257" s="412" t="str">
        <f>'Visual chart Edit'!C260</f>
        <v>DA+0</v>
      </c>
      <c r="D257" s="412" t="s">
        <v>1311</v>
      </c>
      <c r="E257" s="464">
        <f>'Visual chart Edit'!I260</f>
        <v>363.7</v>
      </c>
      <c r="F257" s="412" t="str">
        <f>'Visual chart Edit'!K260</f>
        <v>DRY</v>
      </c>
      <c r="G257" s="412" t="str">
        <f>'Visual chart Edit'!L260</f>
        <v>E</v>
      </c>
      <c r="H257" s="412"/>
      <c r="I257" s="412"/>
      <c r="J257" s="412"/>
      <c r="K257" s="412"/>
    </row>
    <row r="258" spans="1:11" x14ac:dyDescent="0.25">
      <c r="A258" s="412">
        <f>+SUBTOTAL(3,$B$4:B258)</f>
        <v>255</v>
      </c>
      <c r="B258" s="412" t="str">
        <f>'Visual chart Edit'!B261</f>
        <v>43/4</v>
      </c>
      <c r="C258" s="412" t="str">
        <f>'Visual chart Edit'!C261</f>
        <v>DA+3</v>
      </c>
      <c r="D258" s="412" t="s">
        <v>1311</v>
      </c>
      <c r="E258" s="464">
        <f>'Visual chart Edit'!I261</f>
        <v>431.8</v>
      </c>
      <c r="F258" s="412" t="str">
        <f>'Visual chart Edit'!K261</f>
        <v>Sandy</v>
      </c>
      <c r="G258" s="412" t="str">
        <f>'Visual chart Edit'!L261</f>
        <v>E</v>
      </c>
      <c r="H258" s="412"/>
      <c r="I258" s="412"/>
      <c r="J258" s="412"/>
      <c r="K258" s="412"/>
    </row>
    <row r="259" spans="1:11" x14ac:dyDescent="0.25">
      <c r="A259" s="412">
        <f>+SUBTOTAL(3,$B$4:B259)</f>
        <v>256</v>
      </c>
      <c r="B259" s="412" t="str">
        <f>'Visual chart Edit'!B262</f>
        <v>43/5</v>
      </c>
      <c r="C259" s="412" t="str">
        <f>'Visual chart Edit'!C262</f>
        <v>DA+3</v>
      </c>
      <c r="D259" s="412" t="s">
        <v>1311</v>
      </c>
      <c r="E259" s="464">
        <f>'Visual chart Edit'!I262</f>
        <v>405.3</v>
      </c>
      <c r="F259" s="412" t="str">
        <f>'Visual chart Edit'!K262</f>
        <v>DRY</v>
      </c>
      <c r="G259" s="412" t="str">
        <f>'Visual chart Edit'!L262</f>
        <v>E</v>
      </c>
      <c r="H259" s="412"/>
      <c r="I259" s="412"/>
      <c r="J259" s="412"/>
      <c r="K259" s="412"/>
    </row>
    <row r="260" spans="1:11" x14ac:dyDescent="0.25">
      <c r="A260" s="412">
        <f>+SUBTOTAL(3,$B$4:B260)</f>
        <v>257</v>
      </c>
      <c r="B260" s="412" t="str">
        <f>'Visual chart Edit'!B263</f>
        <v>43/6</v>
      </c>
      <c r="C260" s="412" t="str">
        <f>'Visual chart Edit'!C263</f>
        <v>DA+3</v>
      </c>
      <c r="D260" s="412" t="s">
        <v>1311</v>
      </c>
      <c r="E260" s="464">
        <f>'Visual chart Edit'!I263</f>
        <v>427.8</v>
      </c>
      <c r="F260" s="412" t="str">
        <f>'Visual chart Edit'!K263</f>
        <v>Sandy</v>
      </c>
      <c r="G260" s="412" t="str">
        <f>'Visual chart Edit'!L263</f>
        <v>E</v>
      </c>
      <c r="H260" s="412"/>
      <c r="I260" s="412"/>
      <c r="J260" s="412"/>
      <c r="K260" s="412"/>
    </row>
    <row r="261" spans="1:11" x14ac:dyDescent="0.25">
      <c r="A261" s="412">
        <f>+SUBTOTAL(3,$B$4:B261)</f>
        <v>258</v>
      </c>
      <c r="B261" s="412" t="str">
        <f>'Visual chart Edit'!B264</f>
        <v>43/7</v>
      </c>
      <c r="C261" s="412" t="str">
        <f>'Visual chart Edit'!C264</f>
        <v>DA+3</v>
      </c>
      <c r="D261" s="412" t="s">
        <v>1312</v>
      </c>
      <c r="E261" s="464">
        <f>'Visual chart Edit'!I264</f>
        <v>389.8</v>
      </c>
      <c r="F261" s="412" t="str">
        <f>'Visual chart Edit'!K264</f>
        <v>Sandy</v>
      </c>
      <c r="G261" s="412" t="str">
        <f>'Visual chart Edit'!L264</f>
        <v>E</v>
      </c>
      <c r="H261" s="412"/>
      <c r="I261" s="412"/>
      <c r="J261" s="412"/>
      <c r="K261" s="412"/>
    </row>
    <row r="262" spans="1:11" x14ac:dyDescent="0.25">
      <c r="A262" s="412">
        <f>+SUBTOTAL(3,$B$4:B262)</f>
        <v>259</v>
      </c>
      <c r="B262" s="412" t="str">
        <f>'Visual chart Edit'!B265</f>
        <v>43/8</v>
      </c>
      <c r="C262" s="412" t="str">
        <f>'Visual chart Edit'!C265</f>
        <v>DA+9</v>
      </c>
      <c r="D262" s="412" t="s">
        <v>1312</v>
      </c>
      <c r="E262" s="464">
        <f>'Visual chart Edit'!I265</f>
        <v>449.5</v>
      </c>
      <c r="F262" s="412" t="str">
        <f>'Visual chart Edit'!K265</f>
        <v>Sandy</v>
      </c>
      <c r="G262" s="412" t="str">
        <f>'Visual chart Edit'!L265</f>
        <v>E</v>
      </c>
      <c r="H262" s="412"/>
      <c r="I262" s="412"/>
      <c r="J262" s="412"/>
      <c r="K262" s="412"/>
    </row>
    <row r="263" spans="1:11" x14ac:dyDescent="0.25">
      <c r="A263" s="412">
        <f>+SUBTOTAL(3,$B$4:B263)</f>
        <v>260</v>
      </c>
      <c r="B263" s="412" t="str">
        <f>'Visual chart Edit'!B266</f>
        <v>43/9</v>
      </c>
      <c r="C263" s="412" t="str">
        <f>'Visual chart Edit'!C266</f>
        <v>DA+9</v>
      </c>
      <c r="D263" s="412" t="s">
        <v>1312</v>
      </c>
      <c r="E263" s="464">
        <f>'Visual chart Edit'!I266</f>
        <v>388</v>
      </c>
      <c r="F263" s="412" t="str">
        <f>'Visual chart Edit'!K266</f>
        <v>Sandy</v>
      </c>
      <c r="G263" s="412" t="str">
        <f>'Visual chart Edit'!L266</f>
        <v>E</v>
      </c>
      <c r="H263" s="412"/>
      <c r="I263" s="412"/>
      <c r="J263" s="412"/>
      <c r="K263" s="412"/>
    </row>
    <row r="264" spans="1:11" x14ac:dyDescent="0.25">
      <c r="A264" s="412">
        <f>+SUBTOTAL(3,$B$4:B264)</f>
        <v>261</v>
      </c>
      <c r="B264" s="412" t="str">
        <f>'Visual chart Edit'!B267</f>
        <v>43/10</v>
      </c>
      <c r="C264" s="412" t="str">
        <f>'Visual chart Edit'!C267</f>
        <v>DA+3</v>
      </c>
      <c r="D264" s="412" t="s">
        <v>1312</v>
      </c>
      <c r="E264" s="464">
        <f>'Visual chart Edit'!I267</f>
        <v>346.3</v>
      </c>
      <c r="F264" s="412" t="str">
        <f>'Visual chart Edit'!K267</f>
        <v>Sandy</v>
      </c>
      <c r="G264" s="412" t="str">
        <f>'Visual chart Edit'!L267</f>
        <v>E</v>
      </c>
      <c r="H264" s="412"/>
      <c r="I264" s="412"/>
      <c r="J264" s="412"/>
      <c r="K264" s="412"/>
    </row>
    <row r="265" spans="1:11" x14ac:dyDescent="0.25">
      <c r="A265" s="412">
        <f>+SUBTOTAL(3,$B$4:B265)</f>
        <v>262</v>
      </c>
      <c r="B265" s="412" t="str">
        <f>'Visual chart Edit'!B268</f>
        <v>43/11</v>
      </c>
      <c r="C265" s="412" t="str">
        <f>'Visual chart Edit'!C268</f>
        <v>DA+3</v>
      </c>
      <c r="D265" s="412" t="s">
        <v>1313</v>
      </c>
      <c r="E265" s="464">
        <f>'Visual chart Edit'!I268</f>
        <v>444.8</v>
      </c>
      <c r="F265" s="412" t="str">
        <f>'Visual chart Edit'!K268</f>
        <v>Sandy</v>
      </c>
      <c r="G265" s="412" t="str">
        <f>'Visual chart Edit'!L268</f>
        <v>E</v>
      </c>
      <c r="H265" s="412"/>
      <c r="I265" s="412"/>
      <c r="J265" s="412"/>
      <c r="K265" s="412"/>
    </row>
    <row r="266" spans="1:11" x14ac:dyDescent="0.25">
      <c r="A266" s="412">
        <f>+SUBTOTAL(3,$B$4:B266)</f>
        <v>263</v>
      </c>
      <c r="B266" s="412" t="str">
        <f>'Visual chart Edit'!B269</f>
        <v>44/0</v>
      </c>
      <c r="C266" s="412" t="str">
        <f>'Visual chart Edit'!C269</f>
        <v>DB1+3</v>
      </c>
      <c r="D266" s="412" t="s">
        <v>1313</v>
      </c>
      <c r="E266" s="464">
        <f>'Visual chart Edit'!I269</f>
        <v>383.9</v>
      </c>
      <c r="F266" s="412" t="str">
        <f>'Visual chart Edit'!K269</f>
        <v>Sandy</v>
      </c>
      <c r="G266" s="412" t="str">
        <f>'Visual chart Edit'!L269</f>
        <v>E</v>
      </c>
      <c r="H266" s="412"/>
      <c r="I266" s="412"/>
      <c r="J266" s="412"/>
      <c r="K266" s="412"/>
    </row>
    <row r="267" spans="1:11" x14ac:dyDescent="0.25">
      <c r="A267" s="412">
        <f>+SUBTOTAL(3,$B$4:B267)</f>
        <v>264</v>
      </c>
      <c r="B267" s="412" t="str">
        <f>'Visual chart Edit'!B270</f>
        <v>44/1</v>
      </c>
      <c r="C267" s="412" t="str">
        <f>'Visual chart Edit'!C270</f>
        <v>DA+0</v>
      </c>
      <c r="D267" s="412" t="s">
        <v>1313</v>
      </c>
      <c r="E267" s="464">
        <f>'Visual chart Edit'!I270</f>
        <v>384.3</v>
      </c>
      <c r="F267" s="412" t="str">
        <f>'Visual chart Edit'!K270</f>
        <v>Sandy</v>
      </c>
      <c r="G267" s="412" t="str">
        <f>'Visual chart Edit'!L270</f>
        <v>E</v>
      </c>
      <c r="H267" s="412"/>
      <c r="I267" s="412"/>
      <c r="J267" s="412"/>
      <c r="K267" s="412"/>
    </row>
    <row r="268" spans="1:11" x14ac:dyDescent="0.25">
      <c r="A268" s="412">
        <f>+SUBTOTAL(3,$B$4:B268)</f>
        <v>265</v>
      </c>
      <c r="B268" s="412" t="str">
        <f>'Visual chart Edit'!B271</f>
        <v>44/2</v>
      </c>
      <c r="C268" s="412" t="str">
        <f>'Visual chart Edit'!C271</f>
        <v>DA+0</v>
      </c>
      <c r="D268" s="412" t="s">
        <v>1313</v>
      </c>
      <c r="E268" s="464">
        <f>'Visual chart Edit'!I271</f>
        <v>359</v>
      </c>
      <c r="F268" s="412" t="str">
        <f>'Visual chart Edit'!K271</f>
        <v>Sandy</v>
      </c>
      <c r="G268" s="412" t="str">
        <f>'Visual chart Edit'!L271</f>
        <v>E</v>
      </c>
      <c r="H268" s="412"/>
      <c r="I268" s="412"/>
      <c r="J268" s="412"/>
      <c r="K268" s="412"/>
    </row>
    <row r="269" spans="1:11" x14ac:dyDescent="0.25">
      <c r="A269" s="412">
        <f>+SUBTOTAL(3,$B$4:B269)</f>
        <v>266</v>
      </c>
      <c r="B269" s="412" t="str">
        <f>'Visual chart Edit'!B272</f>
        <v>44/3</v>
      </c>
      <c r="C269" s="412" t="str">
        <f>'Visual chart Edit'!C272</f>
        <v>DA+0</v>
      </c>
      <c r="D269" s="412" t="s">
        <v>1313</v>
      </c>
      <c r="E269" s="464">
        <f>'Visual chart Edit'!I272</f>
        <v>334</v>
      </c>
      <c r="F269" s="412" t="str">
        <f>'Visual chart Edit'!K272</f>
        <v>Sandy</v>
      </c>
      <c r="G269" s="412" t="str">
        <f>'Visual chart Edit'!L272</f>
        <v>E</v>
      </c>
      <c r="H269" s="412"/>
      <c r="I269" s="412"/>
      <c r="J269" s="412"/>
      <c r="K269" s="412"/>
    </row>
    <row r="270" spans="1:11" x14ac:dyDescent="0.25">
      <c r="A270" s="412">
        <f>+SUBTOTAL(3,$B$4:B270)</f>
        <v>267</v>
      </c>
      <c r="B270" s="412" t="str">
        <f>'Visual chart Edit'!B273</f>
        <v>44/4</v>
      </c>
      <c r="C270" s="412" t="str">
        <f>'Visual chart Edit'!C273</f>
        <v>DA+9</v>
      </c>
      <c r="D270" s="412" t="s">
        <v>1313</v>
      </c>
      <c r="E270" s="464">
        <f>'Visual chart Edit'!I273</f>
        <v>395</v>
      </c>
      <c r="F270" s="412" t="str">
        <f>'Visual chart Edit'!K273</f>
        <v>Sandy</v>
      </c>
      <c r="G270" s="412" t="str">
        <f>'Visual chart Edit'!L273</f>
        <v>E</v>
      </c>
      <c r="H270" s="412"/>
      <c r="I270" s="412"/>
      <c r="J270" s="412"/>
      <c r="K270" s="412"/>
    </row>
    <row r="271" spans="1:11" x14ac:dyDescent="0.25">
      <c r="A271" s="412">
        <f>+SUBTOTAL(3,$B$4:B271)</f>
        <v>268</v>
      </c>
      <c r="B271" s="412" t="str">
        <f>'Visual chart Edit'!B274</f>
        <v>44/5</v>
      </c>
      <c r="C271" s="412" t="str">
        <f>'Visual chart Edit'!C274</f>
        <v>DA+9</v>
      </c>
      <c r="D271" s="412" t="s">
        <v>1313</v>
      </c>
      <c r="E271" s="464">
        <f>'Visual chart Edit'!I274</f>
        <v>355</v>
      </c>
      <c r="F271" s="412" t="str">
        <f>'Visual chart Edit'!K274</f>
        <v>Sandy</v>
      </c>
      <c r="G271" s="412" t="str">
        <f>'Visual chart Edit'!L274</f>
        <v>E</v>
      </c>
      <c r="H271" s="412"/>
      <c r="I271" s="412"/>
      <c r="J271" s="412"/>
      <c r="K271" s="412"/>
    </row>
    <row r="272" spans="1:11" x14ac:dyDescent="0.25">
      <c r="A272" s="412">
        <f>+SUBTOTAL(3,$B$4:B272)</f>
        <v>269</v>
      </c>
      <c r="B272" s="412" t="str">
        <f>'Visual chart Edit'!B275</f>
        <v>44/6</v>
      </c>
      <c r="C272" s="412" t="str">
        <f>'Visual chart Edit'!C275</f>
        <v>DB1+3</v>
      </c>
      <c r="D272" s="412" t="s">
        <v>1314</v>
      </c>
      <c r="E272" s="464">
        <f>'Visual chart Edit'!I275</f>
        <v>485</v>
      </c>
      <c r="F272" s="412" t="str">
        <f>'Visual chart Edit'!K275</f>
        <v>Sandy</v>
      </c>
      <c r="G272" s="412" t="str">
        <f>'Visual chart Edit'!L275</f>
        <v>E</v>
      </c>
      <c r="H272" s="412"/>
      <c r="I272" s="412"/>
      <c r="J272" s="412"/>
      <c r="K272" s="412"/>
    </row>
    <row r="273" spans="1:11" x14ac:dyDescent="0.25">
      <c r="A273" s="412">
        <f>+SUBTOTAL(3,$B$4:B273)</f>
        <v>270</v>
      </c>
      <c r="B273" s="412" t="str">
        <f>'Visual chart Edit'!B276</f>
        <v>44/7</v>
      </c>
      <c r="C273" s="412" t="str">
        <f>'Visual chart Edit'!C276</f>
        <v>DA+9</v>
      </c>
      <c r="D273" s="412" t="s">
        <v>1314</v>
      </c>
      <c r="E273" s="464">
        <f>'Visual chart Edit'!I276</f>
        <v>473</v>
      </c>
      <c r="F273" s="412" t="str">
        <f>'Visual chart Edit'!K276</f>
        <v>Sandy</v>
      </c>
      <c r="G273" s="412" t="str">
        <f>'Visual chart Edit'!L276</f>
        <v>E</v>
      </c>
      <c r="H273" s="412"/>
      <c r="I273" s="412"/>
      <c r="J273" s="412"/>
      <c r="K273" s="412"/>
    </row>
    <row r="274" spans="1:11" x14ac:dyDescent="0.25">
      <c r="A274" s="412">
        <f>+SUBTOTAL(3,$B$4:B274)</f>
        <v>271</v>
      </c>
      <c r="B274" s="412" t="str">
        <f>'Visual chart Edit'!B277</f>
        <v>44/8</v>
      </c>
      <c r="C274" s="412" t="str">
        <f>'Visual chart Edit'!C277</f>
        <v>DCT+0</v>
      </c>
      <c r="D274" s="412" t="s">
        <v>1314</v>
      </c>
      <c r="E274" s="464">
        <f>'Visual chart Edit'!I277</f>
        <v>367</v>
      </c>
      <c r="F274" s="412" t="str">
        <f>'Visual chart Edit'!K277</f>
        <v>Sandy</v>
      </c>
      <c r="G274" s="412" t="str">
        <f>'Visual chart Edit'!L277</f>
        <v>E</v>
      </c>
      <c r="H274" s="412"/>
      <c r="I274" s="412"/>
      <c r="J274" s="412"/>
      <c r="K274" s="412"/>
    </row>
    <row r="275" spans="1:11" x14ac:dyDescent="0.25">
      <c r="A275" s="412">
        <f>+SUBTOTAL(3,$B$4:B275)</f>
        <v>272</v>
      </c>
      <c r="B275" s="412" t="str">
        <f>'Visual chart Edit'!B278</f>
        <v>44/9</v>
      </c>
      <c r="C275" s="412" t="str">
        <f>'Visual chart Edit'!C278</f>
        <v>DA+9</v>
      </c>
      <c r="D275" s="412" t="s">
        <v>1314</v>
      </c>
      <c r="E275" s="464">
        <f>'Visual chart Edit'!I278</f>
        <v>430</v>
      </c>
      <c r="F275" s="412" t="str">
        <f>'Visual chart Edit'!K278</f>
        <v>Sandy</v>
      </c>
      <c r="G275" s="412" t="str">
        <f>'Visual chart Edit'!L278</f>
        <v>E</v>
      </c>
      <c r="H275" s="412"/>
      <c r="I275" s="412"/>
      <c r="J275" s="412"/>
      <c r="K275" s="412"/>
    </row>
    <row r="276" spans="1:11" x14ac:dyDescent="0.25">
      <c r="A276" s="412">
        <f>+SUBTOTAL(3,$B$4:B276)</f>
        <v>273</v>
      </c>
      <c r="B276" s="412" t="str">
        <f>'Visual chart Edit'!B279</f>
        <v>44/10</v>
      </c>
      <c r="C276" s="412" t="str">
        <f>'Visual chart Edit'!C279</f>
        <v>DB1+9</v>
      </c>
      <c r="D276" s="412" t="s">
        <v>1314</v>
      </c>
      <c r="E276" s="464">
        <f>'Visual chart Edit'!I279</f>
        <v>365</v>
      </c>
      <c r="F276" s="412" t="str">
        <f>'Visual chart Edit'!K279</f>
        <v>Sandy</v>
      </c>
      <c r="G276" s="412" t="str">
        <f>'Visual chart Edit'!L279</f>
        <v>E</v>
      </c>
      <c r="H276" s="412"/>
      <c r="I276" s="412"/>
      <c r="J276" s="412"/>
      <c r="K276" s="412"/>
    </row>
    <row r="277" spans="1:11" x14ac:dyDescent="0.25">
      <c r="A277" s="412">
        <f>+SUBTOTAL(3,$B$4:B277)</f>
        <v>274</v>
      </c>
      <c r="B277" s="412" t="str">
        <f>'Visual chart Edit'!B280</f>
        <v>44/11</v>
      </c>
      <c r="C277" s="412" t="str">
        <f>'Visual chart Edit'!C280</f>
        <v>DA+0</v>
      </c>
      <c r="D277" s="412" t="s">
        <v>1314</v>
      </c>
      <c r="E277" s="464">
        <f>'Visual chart Edit'!I280</f>
        <v>428</v>
      </c>
      <c r="F277" s="412" t="str">
        <f>'Visual chart Edit'!K280</f>
        <v>Sandy</v>
      </c>
      <c r="G277" s="412" t="str">
        <f>'Visual chart Edit'!L280</f>
        <v>E</v>
      </c>
      <c r="H277" s="412"/>
      <c r="I277" s="412"/>
      <c r="J277" s="412"/>
      <c r="K277" s="412"/>
    </row>
    <row r="278" spans="1:11" x14ac:dyDescent="0.25">
      <c r="A278" s="412">
        <f>+SUBTOTAL(3,$B$4:B278)</f>
        <v>275</v>
      </c>
      <c r="B278" s="412" t="str">
        <f>'Visual chart Edit'!B281</f>
        <v>45/0</v>
      </c>
      <c r="C278" s="412" t="str">
        <f>'Visual chart Edit'!C281</f>
        <v>DC2+0</v>
      </c>
      <c r="D278" s="412" t="s">
        <v>1314</v>
      </c>
      <c r="E278" s="464">
        <f>'Visual chart Edit'!I281</f>
        <v>327.2</v>
      </c>
      <c r="F278" s="412" t="str">
        <f>'Visual chart Edit'!K281</f>
        <v>Sandy</v>
      </c>
      <c r="G278" s="412" t="str">
        <f>'Visual chart Edit'!L281</f>
        <v>E</v>
      </c>
      <c r="H278" s="412"/>
      <c r="I278" s="412"/>
      <c r="J278" s="412"/>
      <c r="K278" s="412"/>
    </row>
    <row r="279" spans="1:11" x14ac:dyDescent="0.25">
      <c r="A279" s="412">
        <f>+SUBTOTAL(3,$B$4:B279)</f>
        <v>276</v>
      </c>
      <c r="B279" s="412" t="str">
        <f>'Visual chart Edit'!B282</f>
        <v>45/1</v>
      </c>
      <c r="C279" s="412" t="str">
        <f>'Visual chart Edit'!C282</f>
        <v>DA+9</v>
      </c>
      <c r="D279" s="412" t="s">
        <v>1314</v>
      </c>
      <c r="E279" s="464">
        <f>'Visual chart Edit'!I282</f>
        <v>294.92</v>
      </c>
      <c r="F279" s="412" t="str">
        <f>'Visual chart Edit'!K282</f>
        <v>Sandy</v>
      </c>
      <c r="G279" s="412" t="str">
        <f>'Visual chart Edit'!L282</f>
        <v>E</v>
      </c>
      <c r="H279" s="412"/>
      <c r="I279" s="412"/>
      <c r="J279" s="412"/>
      <c r="K279" s="412"/>
    </row>
    <row r="280" spans="1:11" x14ac:dyDescent="0.25">
      <c r="A280" s="412">
        <f>+SUBTOTAL(3,$B$4:B280)</f>
        <v>277</v>
      </c>
      <c r="B280" s="742" t="str">
        <f>'Visual chart Edit'!B283</f>
        <v>46/0</v>
      </c>
      <c r="C280" s="412" t="str">
        <f>'Visual chart Edit'!C283</f>
        <v>DD60+25</v>
      </c>
      <c r="D280" s="412" t="s">
        <v>1315</v>
      </c>
      <c r="E280" s="464">
        <f>'Visual chart Edit'!I283</f>
        <v>406.54</v>
      </c>
      <c r="F280" s="412" t="str">
        <f>'Visual chart Edit'!K283</f>
        <v>Sandy</v>
      </c>
      <c r="G280" s="412" t="str">
        <f>'Visual chart Edit'!L283</f>
        <v>E</v>
      </c>
      <c r="H280" s="412"/>
      <c r="I280" s="412"/>
      <c r="J280" s="412"/>
      <c r="K280" s="412"/>
    </row>
    <row r="281" spans="1:11" x14ac:dyDescent="0.25">
      <c r="A281" s="412">
        <f>+SUBTOTAL(3,$B$4:B281)</f>
        <v>278</v>
      </c>
      <c r="B281" s="742" t="str">
        <f>'Visual chart Edit'!B284</f>
        <v>47/0</v>
      </c>
      <c r="C281" s="412" t="str">
        <f>'Visual chart Edit'!C284</f>
        <v>DD60+25</v>
      </c>
      <c r="D281" s="412" t="s">
        <v>1315</v>
      </c>
      <c r="E281" s="464">
        <f>'Visual chart Edit'!I284</f>
        <v>199.08</v>
      </c>
      <c r="F281" s="412" t="str">
        <f>'Visual chart Edit'!K284</f>
        <v>Sandy</v>
      </c>
      <c r="G281" s="412" t="str">
        <f>'Visual chart Edit'!L284</f>
        <v>E</v>
      </c>
      <c r="H281" s="412"/>
      <c r="I281" s="412"/>
      <c r="J281" s="412"/>
      <c r="K281" s="412"/>
    </row>
    <row r="282" spans="1:11" x14ac:dyDescent="0.25">
      <c r="A282" s="412">
        <f>+SUBTOTAL(3,$B$4:B282)</f>
        <v>279</v>
      </c>
      <c r="B282" s="412" t="str">
        <f>'Visual chart Edit'!B285</f>
        <v>47/1</v>
      </c>
      <c r="C282" s="412" t="str">
        <f>'Visual chart Edit'!C285</f>
        <v>DA+3</v>
      </c>
      <c r="D282" s="412" t="s">
        <v>1315</v>
      </c>
      <c r="E282" s="464">
        <f>'Visual chart Edit'!I285</f>
        <v>441.2</v>
      </c>
      <c r="F282" s="412" t="str">
        <f>'Visual chart Edit'!K285</f>
        <v>Sandy</v>
      </c>
      <c r="G282" s="412" t="str">
        <f>'Visual chart Edit'!L285</f>
        <v>E</v>
      </c>
      <c r="H282" s="412" t="s">
        <v>124</v>
      </c>
      <c r="I282" s="412"/>
      <c r="J282" s="412"/>
      <c r="K282" s="412"/>
    </row>
    <row r="283" spans="1:11" x14ac:dyDescent="0.25">
      <c r="A283" s="412">
        <f>+SUBTOTAL(3,$B$4:B283)</f>
        <v>280</v>
      </c>
      <c r="B283" s="412" t="str">
        <f>'Visual chart Edit'!B286</f>
        <v>47/2</v>
      </c>
      <c r="C283" s="412" t="str">
        <f>'Visual chart Edit'!C286</f>
        <v>DA+9</v>
      </c>
      <c r="D283" s="412" t="s">
        <v>1315</v>
      </c>
      <c r="E283" s="464">
        <f>'Visual chart Edit'!I286</f>
        <v>365.93</v>
      </c>
      <c r="F283" s="412" t="str">
        <f>'Visual chart Edit'!K286</f>
        <v>Sandy</v>
      </c>
      <c r="G283" s="412" t="str">
        <f>'Visual chart Edit'!L286</f>
        <v>E</v>
      </c>
      <c r="H283" s="412" t="s">
        <v>124</v>
      </c>
      <c r="I283" s="412"/>
      <c r="J283" s="412"/>
      <c r="K283" s="412"/>
    </row>
    <row r="284" spans="1:11" x14ac:dyDescent="0.25">
      <c r="A284" s="412">
        <f>+SUBTOTAL(3,$B$4:B284)</f>
        <v>281</v>
      </c>
      <c r="B284" s="412" t="str">
        <f>'Visual chart Edit'!B287</f>
        <v>47/3</v>
      </c>
      <c r="C284" s="412" t="str">
        <f>'Visual chart Edit'!C287</f>
        <v>DA+9</v>
      </c>
      <c r="D284" s="412" t="s">
        <v>1315</v>
      </c>
      <c r="E284" s="464">
        <f>'Visual chart Edit'!I287</f>
        <v>417.4</v>
      </c>
      <c r="F284" s="412" t="str">
        <f>'Visual chart Edit'!K287</f>
        <v>Sandy</v>
      </c>
      <c r="G284" s="412" t="str">
        <f>'Visual chart Edit'!L287</f>
        <v>E</v>
      </c>
      <c r="H284" s="412" t="s">
        <v>124</v>
      </c>
      <c r="I284" s="412"/>
      <c r="J284" s="412"/>
      <c r="K284" s="412"/>
    </row>
    <row r="285" spans="1:11" x14ac:dyDescent="0.25">
      <c r="A285" s="412">
        <f>+SUBTOTAL(3,$B$4:B285)</f>
        <v>282</v>
      </c>
      <c r="B285" s="412" t="str">
        <f>'Visual chart Edit'!B288</f>
        <v>47/4</v>
      </c>
      <c r="C285" s="412" t="str">
        <f>'Visual chart Edit'!C288</f>
        <v>DA+3</v>
      </c>
      <c r="D285" s="412" t="s">
        <v>1315</v>
      </c>
      <c r="E285" s="464">
        <f>'Visual chart Edit'!I288</f>
        <v>358.4</v>
      </c>
      <c r="F285" s="412" t="str">
        <f>'Visual chart Edit'!K288</f>
        <v>Sandy</v>
      </c>
      <c r="G285" s="412" t="str">
        <f>'Visual chart Edit'!L288</f>
        <v>E</v>
      </c>
      <c r="H285" s="412" t="s">
        <v>124</v>
      </c>
      <c r="I285" s="412"/>
      <c r="J285" s="412"/>
      <c r="K285" s="412"/>
    </row>
    <row r="286" spans="1:11" x14ac:dyDescent="0.25">
      <c r="A286" s="412">
        <f>+SUBTOTAL(3,$B$4:B286)</f>
        <v>283</v>
      </c>
      <c r="B286" s="412" t="str">
        <f>'Visual chart Edit'!B289</f>
        <v>47/5</v>
      </c>
      <c r="C286" s="412" t="str">
        <f>'Visual chart Edit'!C289</f>
        <v>DA+0</v>
      </c>
      <c r="D286" s="412" t="s">
        <v>1315</v>
      </c>
      <c r="E286" s="464">
        <f>'Visual chart Edit'!I289</f>
        <v>461.2</v>
      </c>
      <c r="F286" s="412" t="str">
        <f>'Visual chart Edit'!K289</f>
        <v>Sandy</v>
      </c>
      <c r="G286" s="412" t="str">
        <f>'Visual chart Edit'!L289</f>
        <v>E</v>
      </c>
      <c r="H286" s="412" t="s">
        <v>124</v>
      </c>
      <c r="I286" s="412"/>
      <c r="J286" s="412"/>
      <c r="K286" s="412"/>
    </row>
    <row r="287" spans="1:11" x14ac:dyDescent="0.25">
      <c r="A287" s="412">
        <f>+SUBTOTAL(3,$B$4:B287)</f>
        <v>284</v>
      </c>
      <c r="B287" s="412" t="str">
        <f>'Visual chart Edit'!B290</f>
        <v>47/6</v>
      </c>
      <c r="C287" s="412" t="str">
        <f>'Visual chart Edit'!C290</f>
        <v>DA+3</v>
      </c>
      <c r="D287" s="412" t="s">
        <v>1315</v>
      </c>
      <c r="E287" s="464">
        <f>'Visual chart Edit'!I290</f>
        <v>377.3</v>
      </c>
      <c r="F287" s="412" t="str">
        <f>'Visual chart Edit'!K290</f>
        <v>Sandy</v>
      </c>
      <c r="G287" s="412" t="str">
        <f>'Visual chart Edit'!L290</f>
        <v>E</v>
      </c>
      <c r="H287" s="412" t="s">
        <v>124</v>
      </c>
      <c r="I287" s="412"/>
      <c r="J287" s="412"/>
      <c r="K287" s="412"/>
    </row>
    <row r="288" spans="1:11" x14ac:dyDescent="0.25">
      <c r="A288" s="412">
        <f>+SUBTOTAL(3,$B$4:B288)</f>
        <v>285</v>
      </c>
      <c r="B288" s="412" t="str">
        <f>'Visual chart Edit'!B291</f>
        <v>47/7</v>
      </c>
      <c r="C288" s="412" t="str">
        <f>'Visual chart Edit'!C291</f>
        <v>DA+3</v>
      </c>
      <c r="D288" s="412" t="s">
        <v>1315</v>
      </c>
      <c r="E288" s="464">
        <f>'Visual chart Edit'!I291</f>
        <v>431.5</v>
      </c>
      <c r="F288" s="412" t="str">
        <f>'Visual chart Edit'!K291</f>
        <v>Sandy</v>
      </c>
      <c r="G288" s="412" t="str">
        <f>'Visual chart Edit'!L291</f>
        <v>E</v>
      </c>
      <c r="H288" s="412" t="s">
        <v>124</v>
      </c>
      <c r="I288" s="412"/>
      <c r="J288" s="412"/>
      <c r="K288" s="412"/>
    </row>
    <row r="289" spans="1:11" x14ac:dyDescent="0.25">
      <c r="A289" s="412">
        <f>+SUBTOTAL(3,$B$4:B289)</f>
        <v>286</v>
      </c>
      <c r="B289" s="412" t="str">
        <f>'Visual chart Edit'!B292</f>
        <v>47/8</v>
      </c>
      <c r="C289" s="412" t="str">
        <f>'Visual chart Edit'!C292</f>
        <v>DA+0</v>
      </c>
      <c r="D289" s="412" t="s">
        <v>1316</v>
      </c>
      <c r="E289" s="464">
        <f>'Visual chart Edit'!I292</f>
        <v>398.8</v>
      </c>
      <c r="F289" s="412" t="str">
        <f>'Visual chart Edit'!K292</f>
        <v>Sandy</v>
      </c>
      <c r="G289" s="412" t="str">
        <f>'Visual chart Edit'!L292</f>
        <v>E</v>
      </c>
      <c r="H289" s="412" t="s">
        <v>124</v>
      </c>
      <c r="I289" s="412"/>
      <c r="J289" s="412"/>
      <c r="K289" s="412"/>
    </row>
    <row r="290" spans="1:11" x14ac:dyDescent="0.25">
      <c r="A290" s="412">
        <f>+SUBTOTAL(3,$B$4:B290)</f>
        <v>287</v>
      </c>
      <c r="B290" s="412" t="str">
        <f>'Visual chart Edit'!B293</f>
        <v>47/9</v>
      </c>
      <c r="C290" s="412" t="str">
        <f>'Visual chart Edit'!C293</f>
        <v>DA+3</v>
      </c>
      <c r="D290" s="412" t="s">
        <v>1316</v>
      </c>
      <c r="E290" s="464">
        <f>'Visual chart Edit'!I293</f>
        <v>405.9</v>
      </c>
      <c r="F290" s="412" t="str">
        <f>'Visual chart Edit'!K293</f>
        <v>Sandy</v>
      </c>
      <c r="G290" s="412" t="str">
        <f>'Visual chart Edit'!L293</f>
        <v>E</v>
      </c>
      <c r="H290" s="412" t="s">
        <v>124</v>
      </c>
      <c r="I290" s="412"/>
      <c r="J290" s="412"/>
      <c r="K290" s="412"/>
    </row>
    <row r="291" spans="1:11" x14ac:dyDescent="0.25">
      <c r="A291" s="412">
        <f>+SUBTOTAL(3,$B$4:B291)</f>
        <v>288</v>
      </c>
      <c r="B291" s="412" t="str">
        <f>'Visual chart Edit'!B294</f>
        <v>47/10</v>
      </c>
      <c r="C291" s="412" t="str">
        <f>'Visual chart Edit'!C294</f>
        <v>DA+6</v>
      </c>
      <c r="D291" s="412" t="s">
        <v>1316</v>
      </c>
      <c r="E291" s="464">
        <f>'Visual chart Edit'!I294</f>
        <v>433.7</v>
      </c>
      <c r="F291" s="412" t="str">
        <f>'Visual chart Edit'!K294</f>
        <v>Sandy</v>
      </c>
      <c r="G291" s="412" t="str">
        <f>'Visual chart Edit'!L294</f>
        <v>E</v>
      </c>
      <c r="H291" s="412" t="s">
        <v>124</v>
      </c>
      <c r="I291" s="412"/>
      <c r="J291" s="412"/>
      <c r="K291" s="412"/>
    </row>
    <row r="292" spans="1:11" x14ac:dyDescent="0.25">
      <c r="A292" s="412">
        <f>+SUBTOTAL(3,$B$4:B292)</f>
        <v>289</v>
      </c>
      <c r="B292" s="412" t="str">
        <f>'Visual chart Edit'!B295</f>
        <v>48/0</v>
      </c>
      <c r="C292" s="412" t="str">
        <f>'Visual chart Edit'!C295</f>
        <v>DC2+0</v>
      </c>
      <c r="D292" s="412" t="s">
        <v>1316</v>
      </c>
      <c r="E292" s="464">
        <f>'Visual chart Edit'!I295</f>
        <v>386.2</v>
      </c>
      <c r="F292" s="412" t="str">
        <f>'Visual chart Edit'!K295</f>
        <v>Sandy</v>
      </c>
      <c r="G292" s="412" t="str">
        <f>'Visual chart Edit'!L295</f>
        <v>E</v>
      </c>
      <c r="H292" s="412" t="s">
        <v>124</v>
      </c>
      <c r="I292" s="412"/>
      <c r="J292" s="412"/>
      <c r="K292" s="412"/>
    </row>
    <row r="293" spans="1:11" x14ac:dyDescent="0.25">
      <c r="A293" s="412">
        <f>+SUBTOTAL(3,$B$4:B293)</f>
        <v>290</v>
      </c>
      <c r="B293" s="412" t="str">
        <f>'Visual chart Edit'!B296</f>
        <v>48/1</v>
      </c>
      <c r="C293" s="412" t="str">
        <f>'Visual chart Edit'!C296</f>
        <v>DA+9</v>
      </c>
      <c r="D293" s="412" t="s">
        <v>1317</v>
      </c>
      <c r="E293" s="464">
        <f>'Visual chart Edit'!I296</f>
        <v>428.9</v>
      </c>
      <c r="F293" s="412" t="str">
        <f>'Visual chart Edit'!K296</f>
        <v>Sandy</v>
      </c>
      <c r="G293" s="412" t="str">
        <f>'Visual chart Edit'!L296</f>
        <v>E</v>
      </c>
      <c r="H293" s="412" t="s">
        <v>124</v>
      </c>
      <c r="I293" s="412"/>
      <c r="J293" s="412"/>
      <c r="K293" s="412"/>
    </row>
    <row r="294" spans="1:11" x14ac:dyDescent="0.25">
      <c r="A294" s="412">
        <f>+SUBTOTAL(3,$B$4:B294)</f>
        <v>291</v>
      </c>
      <c r="B294" s="412" t="str">
        <f>'Visual chart Edit'!B297</f>
        <v>49/0</v>
      </c>
      <c r="C294" s="412" t="str">
        <f>'Visual chart Edit'!C297</f>
        <v>DD45+0</v>
      </c>
      <c r="D294" s="412" t="s">
        <v>1317</v>
      </c>
      <c r="E294" s="464">
        <f>'Visual chart Edit'!I297</f>
        <v>402.9</v>
      </c>
      <c r="F294" s="412" t="str">
        <f>'Visual chart Edit'!K297</f>
        <v>Sandy</v>
      </c>
      <c r="G294" s="412" t="str">
        <f>'Visual chart Edit'!L297</f>
        <v>E</v>
      </c>
      <c r="H294" s="412" t="s">
        <v>124</v>
      </c>
      <c r="I294" s="412"/>
      <c r="J294" s="412"/>
      <c r="K294" s="412"/>
    </row>
    <row r="295" spans="1:11" x14ac:dyDescent="0.25">
      <c r="A295" s="412">
        <f>+SUBTOTAL(3,$B$4:B295)</f>
        <v>292</v>
      </c>
      <c r="B295" s="412" t="str">
        <f>'Visual chart Edit'!B298</f>
        <v>49/1</v>
      </c>
      <c r="C295" s="412" t="str">
        <f>'Visual chart Edit'!C298</f>
        <v>DA+0</v>
      </c>
      <c r="D295" s="412" t="s">
        <v>1317</v>
      </c>
      <c r="E295" s="464">
        <f>'Visual chart Edit'!I298</f>
        <v>379.1</v>
      </c>
      <c r="F295" s="412" t="str">
        <f>'Visual chart Edit'!K298</f>
        <v>Sandy</v>
      </c>
      <c r="G295" s="412" t="str">
        <f>'Visual chart Edit'!L298</f>
        <v>E</v>
      </c>
      <c r="H295" s="412" t="s">
        <v>419</v>
      </c>
      <c r="I295" s="412"/>
      <c r="J295" s="412" t="s">
        <v>419</v>
      </c>
      <c r="K295" s="412"/>
    </row>
    <row r="296" spans="1:11" x14ac:dyDescent="0.25">
      <c r="A296" s="412">
        <f>+SUBTOTAL(3,$B$4:B296)</f>
        <v>293</v>
      </c>
      <c r="B296" s="412" t="str">
        <f>'Visual chart Edit'!B299</f>
        <v>49/2</v>
      </c>
      <c r="C296" s="412" t="str">
        <f>'Visual chart Edit'!C299</f>
        <v>DA+3</v>
      </c>
      <c r="D296" s="412" t="s">
        <v>1317</v>
      </c>
      <c r="E296" s="464">
        <f>'Visual chart Edit'!I299</f>
        <v>386.6</v>
      </c>
      <c r="F296" s="412" t="str">
        <f>'Visual chart Edit'!K299</f>
        <v>Sandy</v>
      </c>
      <c r="G296" s="412" t="str">
        <f>'Visual chart Edit'!L299</f>
        <v>E</v>
      </c>
      <c r="H296" s="412" t="s">
        <v>419</v>
      </c>
      <c r="I296" s="412" t="s">
        <v>419</v>
      </c>
      <c r="J296" s="412" t="s">
        <v>419</v>
      </c>
      <c r="K296" s="412"/>
    </row>
    <row r="297" spans="1:11" x14ac:dyDescent="0.25">
      <c r="A297" s="412">
        <f>+SUBTOTAL(3,$B$4:B297)</f>
        <v>294</v>
      </c>
      <c r="B297" s="412" t="str">
        <f>'Visual chart Edit'!B300</f>
        <v>49/3</v>
      </c>
      <c r="C297" s="412" t="str">
        <f>'Visual chart Edit'!C300</f>
        <v>DA+3</v>
      </c>
      <c r="D297" s="412" t="s">
        <v>1317</v>
      </c>
      <c r="E297" s="464">
        <f>'Visual chart Edit'!I300</f>
        <v>390</v>
      </c>
      <c r="F297" s="412" t="str">
        <f>'Visual chart Edit'!K300</f>
        <v>Sandy</v>
      </c>
      <c r="G297" s="412" t="str">
        <f>'Visual chart Edit'!L300</f>
        <v>E</v>
      </c>
      <c r="H297" s="412" t="s">
        <v>419</v>
      </c>
      <c r="I297" s="412" t="s">
        <v>419</v>
      </c>
      <c r="J297" s="412" t="s">
        <v>419</v>
      </c>
      <c r="K297" s="412"/>
    </row>
    <row r="298" spans="1:11" x14ac:dyDescent="0.25">
      <c r="A298" s="412">
        <f>+SUBTOTAL(3,$B$4:B298)</f>
        <v>295</v>
      </c>
      <c r="B298" s="412" t="str">
        <f>'Visual chart Edit'!B301</f>
        <v>49/4</v>
      </c>
      <c r="C298" s="412" t="str">
        <f>'Visual chart Edit'!C301</f>
        <v>DA+3</v>
      </c>
      <c r="D298" s="412" t="s">
        <v>1317</v>
      </c>
      <c r="E298" s="464">
        <f>'Visual chart Edit'!I301</f>
        <v>421.7</v>
      </c>
      <c r="F298" s="412" t="str">
        <f>'Visual chart Edit'!K301</f>
        <v>Sandy</v>
      </c>
      <c r="G298" s="412" t="str">
        <f>'Visual chart Edit'!L301</f>
        <v>E</v>
      </c>
      <c r="H298" s="412" t="s">
        <v>419</v>
      </c>
      <c r="I298" s="412" t="s">
        <v>419</v>
      </c>
      <c r="J298" s="412" t="s">
        <v>419</v>
      </c>
      <c r="K298" s="412"/>
    </row>
    <row r="299" spans="1:11" x14ac:dyDescent="0.25">
      <c r="A299" s="412">
        <f>+SUBTOTAL(3,$B$4:B299)</f>
        <v>296</v>
      </c>
      <c r="B299" s="412" t="str">
        <f>'Visual chart Edit'!B302</f>
        <v>49/5</v>
      </c>
      <c r="C299" s="412" t="str">
        <f>'Visual chart Edit'!C302</f>
        <v>DA+3</v>
      </c>
      <c r="D299" s="412" t="s">
        <v>1318</v>
      </c>
      <c r="E299" s="464">
        <f>'Visual chart Edit'!I302</f>
        <v>396.6</v>
      </c>
      <c r="F299" s="412" t="str">
        <f>'Visual chart Edit'!K302</f>
        <v>Sandy</v>
      </c>
      <c r="G299" s="412" t="str">
        <f>'Visual chart Edit'!L302</f>
        <v>E</v>
      </c>
      <c r="H299" s="412" t="s">
        <v>419</v>
      </c>
      <c r="I299" s="412" t="s">
        <v>419</v>
      </c>
      <c r="J299" s="412" t="s">
        <v>419</v>
      </c>
      <c r="K299" s="412"/>
    </row>
    <row r="300" spans="1:11" x14ac:dyDescent="0.25">
      <c r="A300" s="412">
        <f>+SUBTOTAL(3,$B$4:B300)</f>
        <v>297</v>
      </c>
      <c r="B300" s="412" t="str">
        <f>'Visual chart Edit'!B303</f>
        <v>49/6</v>
      </c>
      <c r="C300" s="412" t="str">
        <f>'Visual chart Edit'!C303</f>
        <v>DA+0</v>
      </c>
      <c r="D300" s="412" t="s">
        <v>1318</v>
      </c>
      <c r="E300" s="464">
        <f>'Visual chart Edit'!I303</f>
        <v>412.8</v>
      </c>
      <c r="F300" s="412" t="str">
        <f>'Visual chart Edit'!K303</f>
        <v>Sandy</v>
      </c>
      <c r="G300" s="412" t="str">
        <f>'Visual chart Edit'!L303</f>
        <v>E</v>
      </c>
      <c r="H300" s="412" t="s">
        <v>419</v>
      </c>
      <c r="I300" s="412" t="s">
        <v>419</v>
      </c>
      <c r="J300" s="412" t="s">
        <v>419</v>
      </c>
      <c r="K300" s="412"/>
    </row>
    <row r="301" spans="1:11" x14ac:dyDescent="0.25">
      <c r="A301" s="412">
        <f>+SUBTOTAL(3,$B$4:B301)</f>
        <v>298</v>
      </c>
      <c r="B301" s="412" t="str">
        <f>'Visual chart Edit'!B304</f>
        <v>49/7</v>
      </c>
      <c r="C301" s="412" t="str">
        <f>'Visual chart Edit'!C304</f>
        <v>DA+0</v>
      </c>
      <c r="D301" s="412" t="s">
        <v>1318</v>
      </c>
      <c r="E301" s="464">
        <f>'Visual chart Edit'!I304</f>
        <v>340.2</v>
      </c>
      <c r="F301" s="412" t="str">
        <f>'Visual chart Edit'!K304</f>
        <v>Sandy</v>
      </c>
      <c r="G301" s="412" t="str">
        <f>'Visual chart Edit'!L304</f>
        <v>E</v>
      </c>
      <c r="H301" s="412" t="s">
        <v>419</v>
      </c>
      <c r="I301" s="412" t="s">
        <v>419</v>
      </c>
      <c r="J301" s="412" t="s">
        <v>419</v>
      </c>
      <c r="K301" s="412"/>
    </row>
    <row r="302" spans="1:11" x14ac:dyDescent="0.25">
      <c r="A302" s="412">
        <f>+SUBTOTAL(3,$B$4:B302)</f>
        <v>299</v>
      </c>
      <c r="B302" s="412" t="str">
        <f>'Visual chart Edit'!B305</f>
        <v>50/0</v>
      </c>
      <c r="C302" s="412" t="str">
        <f>'Visual chart Edit'!C305</f>
        <v>DB2+0</v>
      </c>
      <c r="D302" s="412" t="s">
        <v>1318</v>
      </c>
      <c r="E302" s="464">
        <f>'Visual chart Edit'!I305</f>
        <v>500.2</v>
      </c>
      <c r="F302" s="412" t="str">
        <f>'Visual chart Edit'!K305</f>
        <v>Sandy</v>
      </c>
      <c r="G302" s="412" t="str">
        <f>'Visual chart Edit'!L305</f>
        <v>E</v>
      </c>
      <c r="H302" s="412" t="s">
        <v>419</v>
      </c>
      <c r="I302" s="412"/>
      <c r="J302" s="412" t="s">
        <v>419</v>
      </c>
      <c r="K302" s="412" t="s">
        <v>419</v>
      </c>
    </row>
    <row r="303" spans="1:11" x14ac:dyDescent="0.25">
      <c r="A303" s="412">
        <f>+SUBTOTAL(3,$B$4:B303)</f>
        <v>300</v>
      </c>
      <c r="B303" s="412" t="str">
        <f>'Visual chart Edit'!B306</f>
        <v>50/1</v>
      </c>
      <c r="C303" s="412" t="str">
        <f>'Visual chart Edit'!C306</f>
        <v>DA+6</v>
      </c>
      <c r="D303" s="412" t="s">
        <v>1318</v>
      </c>
      <c r="E303" s="464">
        <f>'Visual chart Edit'!I306</f>
        <v>469.1</v>
      </c>
      <c r="F303" s="412" t="str">
        <f>'Visual chart Edit'!K306</f>
        <v>Sandy</v>
      </c>
      <c r="G303" s="412" t="str">
        <f>'Visual chart Edit'!L306</f>
        <v>E</v>
      </c>
      <c r="H303" s="412" t="s">
        <v>419</v>
      </c>
      <c r="I303" s="412" t="s">
        <v>419</v>
      </c>
      <c r="J303" s="412" t="s">
        <v>419</v>
      </c>
      <c r="K303" s="412"/>
    </row>
    <row r="304" spans="1:11" x14ac:dyDescent="0.25">
      <c r="A304" s="412">
        <f>+SUBTOTAL(3,$B$4:B304)</f>
        <v>301</v>
      </c>
      <c r="B304" s="412" t="str">
        <f>'Visual chart Edit'!B307</f>
        <v>50/2</v>
      </c>
      <c r="C304" s="412" t="str">
        <f>'Visual chart Edit'!C307</f>
        <v>DA+9</v>
      </c>
      <c r="D304" s="412" t="s">
        <v>1318</v>
      </c>
      <c r="E304" s="464">
        <f>'Visual chart Edit'!I307</f>
        <v>367.1</v>
      </c>
      <c r="F304" s="412" t="str">
        <f>'Visual chart Edit'!K307</f>
        <v>Sandy</v>
      </c>
      <c r="G304" s="412" t="str">
        <f>'Visual chart Edit'!L307</f>
        <v>E</v>
      </c>
      <c r="H304" s="412" t="s">
        <v>419</v>
      </c>
      <c r="I304" s="412" t="s">
        <v>419</v>
      </c>
      <c r="J304" s="412" t="s">
        <v>419</v>
      </c>
      <c r="K304" s="412"/>
    </row>
    <row r="305" spans="1:11" x14ac:dyDescent="0.25">
      <c r="A305" s="412">
        <f>+SUBTOTAL(3,$B$4:B305)</f>
        <v>302</v>
      </c>
      <c r="B305" s="412" t="str">
        <f>'Visual chart Edit'!B308</f>
        <v>50/3</v>
      </c>
      <c r="C305" s="412" t="str">
        <f>'Visual chart Edit'!C308</f>
        <v>DA+6</v>
      </c>
      <c r="D305" s="412" t="s">
        <v>1318</v>
      </c>
      <c r="E305" s="464">
        <f>'Visual chart Edit'!I308</f>
        <v>470.4</v>
      </c>
      <c r="F305" s="412" t="str">
        <f>'Visual chart Edit'!K308</f>
        <v>Sandy</v>
      </c>
      <c r="G305" s="412" t="str">
        <f>'Visual chart Edit'!L308</f>
        <v>E</v>
      </c>
      <c r="H305" s="412" t="s">
        <v>419</v>
      </c>
      <c r="I305" s="412" t="s">
        <v>419</v>
      </c>
      <c r="J305" s="412" t="s">
        <v>419</v>
      </c>
      <c r="K305" s="412"/>
    </row>
    <row r="306" spans="1:11" x14ac:dyDescent="0.25">
      <c r="A306" s="412">
        <f>+SUBTOTAL(3,$B$4:B306)</f>
        <v>303</v>
      </c>
      <c r="B306" s="412" t="str">
        <f>'Visual chart Edit'!B309</f>
        <v>50/4</v>
      </c>
      <c r="C306" s="412" t="str">
        <f>'Visual chart Edit'!C309</f>
        <v>DA+9</v>
      </c>
      <c r="D306" s="412" t="s">
        <v>1319</v>
      </c>
      <c r="E306" s="464">
        <f>'Visual chart Edit'!I309</f>
        <v>354.8</v>
      </c>
      <c r="F306" s="412" t="str">
        <f>'Visual chart Edit'!K309</f>
        <v>Sandy</v>
      </c>
      <c r="G306" s="412" t="str">
        <f>'Visual chart Edit'!L309</f>
        <v>E</v>
      </c>
      <c r="H306" s="412" t="s">
        <v>419</v>
      </c>
      <c r="I306" s="412" t="s">
        <v>419</v>
      </c>
      <c r="J306" s="412" t="s">
        <v>419</v>
      </c>
      <c r="K306" s="412"/>
    </row>
    <row r="307" spans="1:11" x14ac:dyDescent="0.25">
      <c r="A307" s="412">
        <f>+SUBTOTAL(3,$B$4:B307)</f>
        <v>304</v>
      </c>
      <c r="B307" s="412" t="str">
        <f>'Visual chart Edit'!B310</f>
        <v>50/5</v>
      </c>
      <c r="C307" s="412" t="str">
        <f>'Visual chart Edit'!C310</f>
        <v>DA+9</v>
      </c>
      <c r="D307" s="412" t="s">
        <v>1319</v>
      </c>
      <c r="E307" s="464">
        <f>'Visual chart Edit'!I310</f>
        <v>442.1</v>
      </c>
      <c r="F307" s="412" t="str">
        <f>'Visual chart Edit'!K310</f>
        <v>Sandy</v>
      </c>
      <c r="G307" s="412" t="str">
        <f>'Visual chart Edit'!L310</f>
        <v>E</v>
      </c>
      <c r="H307" s="412" t="s">
        <v>419</v>
      </c>
      <c r="I307" s="412" t="s">
        <v>419</v>
      </c>
      <c r="J307" s="412" t="s">
        <v>419</v>
      </c>
      <c r="K307" s="412"/>
    </row>
    <row r="308" spans="1:11" x14ac:dyDescent="0.25">
      <c r="A308" s="412">
        <f>+SUBTOTAL(3,$B$4:B308)</f>
        <v>305</v>
      </c>
      <c r="B308" s="412" t="str">
        <f>'Visual chart Edit'!B311</f>
        <v>50/6</v>
      </c>
      <c r="C308" s="412" t="str">
        <f>'Visual chart Edit'!C311</f>
        <v>DA+9</v>
      </c>
      <c r="D308" s="412" t="s">
        <v>1319</v>
      </c>
      <c r="E308" s="464">
        <f>'Visual chart Edit'!I311</f>
        <v>364.4</v>
      </c>
      <c r="F308" s="412" t="str">
        <f>'Visual chart Edit'!K311</f>
        <v>Sandy</v>
      </c>
      <c r="G308" s="412" t="str">
        <f>'Visual chart Edit'!L311</f>
        <v>E</v>
      </c>
      <c r="H308" s="412" t="s">
        <v>419</v>
      </c>
      <c r="I308" s="412" t="s">
        <v>419</v>
      </c>
      <c r="J308" s="412" t="s">
        <v>419</v>
      </c>
      <c r="K308" s="412"/>
    </row>
    <row r="309" spans="1:11" x14ac:dyDescent="0.25">
      <c r="A309" s="412">
        <f>+SUBTOTAL(3,$B$4:B309)</f>
        <v>306</v>
      </c>
      <c r="B309" s="412" t="str">
        <f>'Visual chart Edit'!B312</f>
        <v>50/7</v>
      </c>
      <c r="C309" s="412" t="str">
        <f>'Visual chart Edit'!C312</f>
        <v>DA+0</v>
      </c>
      <c r="D309" s="412" t="s">
        <v>1319</v>
      </c>
      <c r="E309" s="464">
        <f>'Visual chart Edit'!I312</f>
        <v>470.8</v>
      </c>
      <c r="F309" s="412" t="str">
        <f>'Visual chart Edit'!K312</f>
        <v>Sandy</v>
      </c>
      <c r="G309" s="412" t="str">
        <f>'Visual chart Edit'!L312</f>
        <v>E</v>
      </c>
      <c r="H309" s="412" t="s">
        <v>419</v>
      </c>
      <c r="I309" s="412" t="s">
        <v>419</v>
      </c>
      <c r="J309" s="412" t="s">
        <v>419</v>
      </c>
      <c r="K309" s="412"/>
    </row>
    <row r="310" spans="1:11" x14ac:dyDescent="0.25">
      <c r="A310" s="412">
        <f>+SUBTOTAL(3,$B$4:B310)</f>
        <v>307</v>
      </c>
      <c r="B310" s="412" t="str">
        <f>'Visual chart Edit'!B313</f>
        <v>50/8</v>
      </c>
      <c r="C310" s="412" t="str">
        <f>'Visual chart Edit'!C313</f>
        <v>DA+9</v>
      </c>
      <c r="D310" s="412" t="s">
        <v>1320</v>
      </c>
      <c r="E310" s="464">
        <f>'Visual chart Edit'!I313</f>
        <v>345</v>
      </c>
      <c r="F310" s="412" t="str">
        <f>'Visual chart Edit'!K313</f>
        <v>Sandy</v>
      </c>
      <c r="G310" s="412" t="str">
        <f>'Visual chart Edit'!L313</f>
        <v>E</v>
      </c>
      <c r="H310" s="412" t="s">
        <v>419</v>
      </c>
      <c r="I310" s="412" t="s">
        <v>419</v>
      </c>
      <c r="J310" s="412" t="s">
        <v>419</v>
      </c>
      <c r="K310" s="412"/>
    </row>
    <row r="311" spans="1:11" x14ac:dyDescent="0.25">
      <c r="A311" s="412">
        <f>+SUBTOTAL(3,$B$4:B311)</f>
        <v>308</v>
      </c>
      <c r="B311" s="412" t="str">
        <f>'Visual chart Edit'!B314</f>
        <v>50/9</v>
      </c>
      <c r="C311" s="412" t="str">
        <f>'Visual chart Edit'!C314</f>
        <v>DA+0</v>
      </c>
      <c r="D311" s="412" t="s">
        <v>1320</v>
      </c>
      <c r="E311" s="464">
        <f>'Visual chart Edit'!I314</f>
        <v>364.4</v>
      </c>
      <c r="F311" s="412" t="str">
        <f>'Visual chart Edit'!K314</f>
        <v>Sandy</v>
      </c>
      <c r="G311" s="412" t="str">
        <f>'Visual chart Edit'!L314</f>
        <v>E</v>
      </c>
      <c r="H311" s="412" t="s">
        <v>419</v>
      </c>
      <c r="I311" s="412" t="s">
        <v>419</v>
      </c>
      <c r="J311" s="412" t="s">
        <v>419</v>
      </c>
      <c r="K311" s="412"/>
    </row>
    <row r="312" spans="1:11" x14ac:dyDescent="0.25">
      <c r="A312" s="412">
        <f>+SUBTOTAL(3,$B$4:B312)</f>
        <v>309</v>
      </c>
      <c r="B312" s="412" t="str">
        <f>'Visual chart Edit'!B315</f>
        <v>50/10</v>
      </c>
      <c r="C312" s="412" t="str">
        <f>'Visual chart Edit'!C315</f>
        <v>DA+0</v>
      </c>
      <c r="D312" s="412" t="s">
        <v>1320</v>
      </c>
      <c r="E312" s="464">
        <f>'Visual chart Edit'!I315</f>
        <v>394.6</v>
      </c>
      <c r="F312" s="412" t="str">
        <f>'Visual chart Edit'!K315</f>
        <v>Sandy</v>
      </c>
      <c r="G312" s="412" t="str">
        <f>'Visual chart Edit'!L315</f>
        <v>E</v>
      </c>
      <c r="H312" s="412" t="s">
        <v>419</v>
      </c>
      <c r="I312" s="412" t="s">
        <v>419</v>
      </c>
      <c r="J312" s="412" t="s">
        <v>419</v>
      </c>
      <c r="K312" s="412"/>
    </row>
    <row r="313" spans="1:11" x14ac:dyDescent="0.25">
      <c r="A313" s="412">
        <f>+SUBTOTAL(3,$B$4:B313)</f>
        <v>310</v>
      </c>
      <c r="B313" s="412" t="str">
        <f>'Visual chart Edit'!B316</f>
        <v>51/0</v>
      </c>
      <c r="C313" s="412" t="str">
        <f>'Visual chart Edit'!C316</f>
        <v>DC2+0</v>
      </c>
      <c r="D313" s="412" t="s">
        <v>1320</v>
      </c>
      <c r="E313" s="464">
        <f>'Visual chart Edit'!I316</f>
        <v>401.4</v>
      </c>
      <c r="F313" s="412" t="str">
        <f>'Visual chart Edit'!K316</f>
        <v>Sandy</v>
      </c>
      <c r="G313" s="412" t="str">
        <f>'Visual chart Edit'!L316</f>
        <v>E</v>
      </c>
      <c r="H313" s="412" t="s">
        <v>419</v>
      </c>
      <c r="I313" s="412"/>
      <c r="J313" s="412" t="s">
        <v>419</v>
      </c>
      <c r="K313" s="412" t="s">
        <v>419</v>
      </c>
    </row>
    <row r="314" spans="1:11" x14ac:dyDescent="0.25">
      <c r="A314" s="412">
        <f>+SUBTOTAL(3,$B$4:B314)</f>
        <v>311</v>
      </c>
      <c r="B314" s="412" t="str">
        <f>'Visual chart Edit'!B317</f>
        <v>51/1</v>
      </c>
      <c r="C314" s="412" t="str">
        <f>'Visual chart Edit'!C317</f>
        <v>DA+0</v>
      </c>
      <c r="D314" s="412" t="s">
        <v>1320</v>
      </c>
      <c r="E314" s="464">
        <f>'Visual chart Edit'!I317</f>
        <v>356.6</v>
      </c>
      <c r="F314" s="412" t="str">
        <f>'Visual chart Edit'!K317</f>
        <v>Sandy</v>
      </c>
      <c r="G314" s="412" t="str">
        <f>'Visual chart Edit'!L317</f>
        <v>E</v>
      </c>
      <c r="H314" s="412" t="s">
        <v>419</v>
      </c>
      <c r="I314" s="412" t="s">
        <v>419</v>
      </c>
      <c r="J314" s="412" t="s">
        <v>419</v>
      </c>
      <c r="K314" s="412"/>
    </row>
    <row r="315" spans="1:11" x14ac:dyDescent="0.25">
      <c r="A315" s="412">
        <f>+SUBTOTAL(3,$B$4:B315)</f>
        <v>312</v>
      </c>
      <c r="B315" s="412" t="str">
        <f>'Visual chart Edit'!B318</f>
        <v>51/2</v>
      </c>
      <c r="C315" s="412" t="str">
        <f>'Visual chart Edit'!C318</f>
        <v>DA+0</v>
      </c>
      <c r="D315" s="412" t="s">
        <v>1320</v>
      </c>
      <c r="E315" s="464">
        <f>'Visual chart Edit'!I318</f>
        <v>307.10000000000002</v>
      </c>
      <c r="F315" s="412" t="str">
        <f>'Visual chart Edit'!K318</f>
        <v>Sandy</v>
      </c>
      <c r="G315" s="412" t="str">
        <f>'Visual chart Edit'!L318</f>
        <v>E</v>
      </c>
      <c r="H315" s="412" t="s">
        <v>419</v>
      </c>
      <c r="I315" s="412" t="s">
        <v>419</v>
      </c>
      <c r="J315" s="412" t="s">
        <v>419</v>
      </c>
      <c r="K315" s="412"/>
    </row>
    <row r="316" spans="1:11" x14ac:dyDescent="0.25">
      <c r="A316" s="412">
        <f>+SUBTOTAL(3,$B$4:B316)</f>
        <v>313</v>
      </c>
      <c r="B316" s="412" t="str">
        <f>'Visual chart Edit'!B319</f>
        <v>52/0</v>
      </c>
      <c r="C316" s="412" t="str">
        <f>'Visual chart Edit'!C319</f>
        <v>DC2+0</v>
      </c>
      <c r="D316" s="412" t="s">
        <v>1320</v>
      </c>
      <c r="E316" s="464">
        <f>'Visual chart Edit'!I319</f>
        <v>385</v>
      </c>
      <c r="F316" s="412" t="str">
        <f>'Visual chart Edit'!K319</f>
        <v>Sandy</v>
      </c>
      <c r="G316" s="412" t="str">
        <f>'Visual chart Edit'!L319</f>
        <v>E</v>
      </c>
      <c r="H316" s="412" t="s">
        <v>419</v>
      </c>
      <c r="I316" s="412"/>
      <c r="J316" s="412" t="s">
        <v>419</v>
      </c>
      <c r="K316" s="412"/>
    </row>
    <row r="317" spans="1:11" x14ac:dyDescent="0.25">
      <c r="A317" s="412">
        <f>+SUBTOTAL(3,$B$4:B317)</f>
        <v>314</v>
      </c>
      <c r="B317" s="412" t="str">
        <f>'Visual chart Edit'!B320</f>
        <v>52/1</v>
      </c>
      <c r="C317" s="412" t="str">
        <f>'Visual chart Edit'!C320</f>
        <v>DA+6</v>
      </c>
      <c r="D317" s="412" t="s">
        <v>1321</v>
      </c>
      <c r="E317" s="464">
        <f>'Visual chart Edit'!I320</f>
        <v>402</v>
      </c>
      <c r="F317" s="412" t="str">
        <f>'Visual chart Edit'!K320</f>
        <v>Sandy</v>
      </c>
      <c r="G317" s="412" t="str">
        <f>'Visual chart Edit'!L320</f>
        <v>E</v>
      </c>
      <c r="H317" s="412"/>
      <c r="I317" s="412"/>
      <c r="J317" s="412"/>
      <c r="K317" s="412"/>
    </row>
    <row r="318" spans="1:11" x14ac:dyDescent="0.25">
      <c r="A318" s="412">
        <f>+SUBTOTAL(3,$B$4:B318)</f>
        <v>315</v>
      </c>
      <c r="B318" s="412" t="str">
        <f>'Visual chart Edit'!B321</f>
        <v>52/2</v>
      </c>
      <c r="C318" s="412" t="str">
        <f>'Visual chart Edit'!C321</f>
        <v>DA+6</v>
      </c>
      <c r="D318" s="412" t="s">
        <v>1321</v>
      </c>
      <c r="E318" s="464">
        <f>'Visual chart Edit'!I321</f>
        <v>402.6</v>
      </c>
      <c r="F318" s="412" t="str">
        <f>'Visual chart Edit'!K321</f>
        <v>Sandy</v>
      </c>
      <c r="G318" s="412" t="str">
        <f>'Visual chart Edit'!L321</f>
        <v>E</v>
      </c>
      <c r="H318" s="412"/>
      <c r="I318" s="412"/>
      <c r="J318" s="412"/>
      <c r="K318" s="412"/>
    </row>
    <row r="319" spans="1:11" x14ac:dyDescent="0.25">
      <c r="A319" s="412">
        <f>+SUBTOTAL(3,$B$4:B319)</f>
        <v>316</v>
      </c>
      <c r="B319" s="412" t="str">
        <f>'Visual chart Edit'!B322</f>
        <v>52/3</v>
      </c>
      <c r="C319" s="412" t="str">
        <f>'Visual chart Edit'!C322</f>
        <v>DA+9</v>
      </c>
      <c r="D319" s="412" t="s">
        <v>1321</v>
      </c>
      <c r="E319" s="464">
        <f>'Visual chart Edit'!I322</f>
        <v>437</v>
      </c>
      <c r="F319" s="412" t="str">
        <f>'Visual chart Edit'!K322</f>
        <v>Sandy</v>
      </c>
      <c r="G319" s="412" t="str">
        <f>'Visual chart Edit'!L322</f>
        <v>E</v>
      </c>
      <c r="H319" s="412"/>
      <c r="I319" s="412"/>
      <c r="J319" s="412"/>
      <c r="K319" s="412"/>
    </row>
    <row r="320" spans="1:11" x14ac:dyDescent="0.25">
      <c r="A320" s="412">
        <f>+SUBTOTAL(3,$B$4:B320)</f>
        <v>317</v>
      </c>
      <c r="B320" s="412" t="str">
        <f>'Visual chart Edit'!B323</f>
        <v>52/4</v>
      </c>
      <c r="C320" s="412" t="str">
        <f>'Visual chart Edit'!C323</f>
        <v>DA+9</v>
      </c>
      <c r="D320" s="412" t="s">
        <v>1321</v>
      </c>
      <c r="E320" s="464">
        <f>'Visual chart Edit'!I323</f>
        <v>393.8</v>
      </c>
      <c r="F320" s="412" t="str">
        <f>'Visual chart Edit'!K323</f>
        <v>Sandy</v>
      </c>
      <c r="G320" s="412" t="str">
        <f>'Visual chart Edit'!L323</f>
        <v>E</v>
      </c>
      <c r="H320" s="412"/>
      <c r="I320" s="412"/>
      <c r="J320" s="412"/>
      <c r="K320" s="412"/>
    </row>
    <row r="321" spans="1:11" x14ac:dyDescent="0.25">
      <c r="A321" s="412">
        <f>+SUBTOTAL(3,$B$4:B321)</f>
        <v>318</v>
      </c>
      <c r="B321" s="412" t="str">
        <f>'Visual chart Edit'!B324</f>
        <v>52/5</v>
      </c>
      <c r="C321" s="412" t="str">
        <f>'Visual chart Edit'!C324</f>
        <v>DA+9</v>
      </c>
      <c r="D321" s="412" t="s">
        <v>1321</v>
      </c>
      <c r="E321" s="464">
        <f>'Visual chart Edit'!I324</f>
        <v>447</v>
      </c>
      <c r="F321" s="412" t="str">
        <f>'Visual chart Edit'!K324</f>
        <v>Sandy</v>
      </c>
      <c r="G321" s="412" t="str">
        <f>'Visual chart Edit'!L324</f>
        <v>E</v>
      </c>
      <c r="H321" s="412"/>
      <c r="I321" s="412"/>
      <c r="J321" s="412"/>
      <c r="K321" s="412"/>
    </row>
    <row r="322" spans="1:11" x14ac:dyDescent="0.25">
      <c r="A322" s="412">
        <f>+SUBTOTAL(3,$B$4:B322)</f>
        <v>319</v>
      </c>
      <c r="B322" s="412" t="str">
        <f>'Visual chart Edit'!B325</f>
        <v>52/6</v>
      </c>
      <c r="C322" s="412" t="str">
        <f>'Visual chart Edit'!C325</f>
        <v>DA+6</v>
      </c>
      <c r="D322" s="412" t="s">
        <v>1321</v>
      </c>
      <c r="E322" s="464">
        <f>'Visual chart Edit'!I325</f>
        <v>373</v>
      </c>
      <c r="F322" s="412" t="str">
        <f>'Visual chart Edit'!K325</f>
        <v>Sandy</v>
      </c>
      <c r="G322" s="412" t="str">
        <f>'Visual chart Edit'!L325</f>
        <v>E</v>
      </c>
      <c r="H322" s="412"/>
      <c r="I322" s="412"/>
      <c r="J322" s="412"/>
      <c r="K322" s="412"/>
    </row>
    <row r="323" spans="1:11" x14ac:dyDescent="0.25">
      <c r="A323" s="412">
        <f>+SUBTOTAL(3,$B$4:B323)</f>
        <v>320</v>
      </c>
      <c r="B323" s="412" t="str">
        <f>'Visual chart Edit'!B326</f>
        <v>52/7</v>
      </c>
      <c r="C323" s="412" t="str">
        <f>'Visual chart Edit'!C326</f>
        <v>DA+3</v>
      </c>
      <c r="D323" s="412" t="s">
        <v>1321</v>
      </c>
      <c r="E323" s="464">
        <f>'Visual chart Edit'!I326</f>
        <v>406.8</v>
      </c>
      <c r="F323" s="412" t="str">
        <f>'Visual chart Edit'!K326</f>
        <v>Sandy</v>
      </c>
      <c r="G323" s="412" t="str">
        <f>'Visual chart Edit'!L326</f>
        <v>E</v>
      </c>
      <c r="H323" s="412"/>
      <c r="I323" s="412"/>
      <c r="J323" s="412"/>
      <c r="K323" s="412"/>
    </row>
    <row r="324" spans="1:11" x14ac:dyDescent="0.25">
      <c r="A324" s="412">
        <f>+SUBTOTAL(3,$B$4:B324)</f>
        <v>321</v>
      </c>
      <c r="B324" s="412" t="str">
        <f>'Visual chart Edit'!B327</f>
        <v>52/8</v>
      </c>
      <c r="C324" s="412" t="str">
        <f>'Visual chart Edit'!C327</f>
        <v>DA+6</v>
      </c>
      <c r="D324" s="412" t="s">
        <v>1321</v>
      </c>
      <c r="E324" s="464">
        <f>'Visual chart Edit'!I327</f>
        <v>433</v>
      </c>
      <c r="F324" s="412" t="str">
        <f>'Visual chart Edit'!K327</f>
        <v>Sandy</v>
      </c>
      <c r="G324" s="412" t="str">
        <f>'Visual chart Edit'!L327</f>
        <v>E</v>
      </c>
      <c r="H324" s="412"/>
      <c r="I324" s="412"/>
      <c r="J324" s="412"/>
      <c r="K324" s="412"/>
    </row>
    <row r="325" spans="1:11" x14ac:dyDescent="0.25">
      <c r="A325" s="412">
        <f>+SUBTOTAL(3,$B$4:B325)</f>
        <v>322</v>
      </c>
      <c r="B325" s="412" t="str">
        <f>'Visual chart Edit'!B328</f>
        <v>52/9</v>
      </c>
      <c r="C325" s="412" t="str">
        <f>'Visual chart Edit'!C328</f>
        <v>DA+3</v>
      </c>
      <c r="D325" s="412" t="s">
        <v>1321</v>
      </c>
      <c r="E325" s="464">
        <f>'Visual chart Edit'!I328</f>
        <v>399.7</v>
      </c>
      <c r="F325" s="412" t="str">
        <f>'Visual chart Edit'!K328</f>
        <v>Sandy</v>
      </c>
      <c r="G325" s="412" t="str">
        <f>'Visual chart Edit'!L328</f>
        <v>E</v>
      </c>
      <c r="H325" s="412"/>
      <c r="I325" s="412"/>
      <c r="J325" s="412"/>
      <c r="K325" s="412"/>
    </row>
    <row r="326" spans="1:11" x14ac:dyDescent="0.25">
      <c r="A326" s="412">
        <f>+SUBTOTAL(3,$B$4:B326)</f>
        <v>323</v>
      </c>
      <c r="B326" s="412" t="str">
        <f>'Visual chart Edit'!B329</f>
        <v>52/10</v>
      </c>
      <c r="C326" s="412" t="str">
        <f>'Visual chart Edit'!C329</f>
        <v>DA+9</v>
      </c>
      <c r="D326" s="412" t="s">
        <v>1321</v>
      </c>
      <c r="E326" s="464">
        <f>'Visual chart Edit'!I329</f>
        <v>384.1</v>
      </c>
      <c r="F326" s="412" t="str">
        <f>'Visual chart Edit'!K329</f>
        <v>Sandy</v>
      </c>
      <c r="G326" s="412" t="str">
        <f>'Visual chart Edit'!L329</f>
        <v>E</v>
      </c>
      <c r="H326" s="412"/>
      <c r="I326" s="412"/>
      <c r="J326" s="412"/>
      <c r="K326" s="412"/>
    </row>
    <row r="327" spans="1:11" x14ac:dyDescent="0.25">
      <c r="A327" s="412">
        <f>+SUBTOTAL(3,$B$4:B327)</f>
        <v>324</v>
      </c>
      <c r="B327" s="412" t="str">
        <f>'Visual chart Edit'!B330</f>
        <v>53/0</v>
      </c>
      <c r="C327" s="412" t="str">
        <f>'Visual chart Edit'!C330</f>
        <v>DB2+9</v>
      </c>
      <c r="D327" s="412" t="s">
        <v>1321</v>
      </c>
      <c r="E327" s="464">
        <f>'Visual chart Edit'!I330</f>
        <v>455.9</v>
      </c>
      <c r="F327" s="412" t="str">
        <f>'Visual chart Edit'!K330</f>
        <v>Sandy</v>
      </c>
      <c r="G327" s="412" t="str">
        <f>'Visual chart Edit'!L330</f>
        <v>E</v>
      </c>
      <c r="H327" s="412"/>
      <c r="I327" s="412"/>
      <c r="J327" s="412"/>
      <c r="K327" s="412"/>
    </row>
    <row r="328" spans="1:11" x14ac:dyDescent="0.25">
      <c r="A328" s="412">
        <f>+SUBTOTAL(3,$B$4:B328)</f>
        <v>325</v>
      </c>
      <c r="B328" s="742" t="str">
        <f>'Visual chart Edit'!B331</f>
        <v>53/1</v>
      </c>
      <c r="C328" s="412" t="str">
        <f>'Visual chart Edit'!C331</f>
        <v>DA+9</v>
      </c>
      <c r="D328" s="412" t="s">
        <v>1321</v>
      </c>
      <c r="E328" s="464">
        <f>'Visual chart Edit'!I331</f>
        <v>433.2</v>
      </c>
      <c r="F328" s="412" t="str">
        <f>'Visual chart Edit'!K331</f>
        <v>Sandy</v>
      </c>
      <c r="G328" s="412" t="str">
        <f>'Visual chart Edit'!L331</f>
        <v>E</v>
      </c>
      <c r="H328" s="412"/>
      <c r="I328" s="412"/>
      <c r="J328" s="412"/>
      <c r="K328" s="412"/>
    </row>
    <row r="329" spans="1:11" x14ac:dyDescent="0.25">
      <c r="A329" s="412">
        <f>+SUBTOTAL(3,$B$4:B329)</f>
        <v>326</v>
      </c>
      <c r="B329" s="742" t="str">
        <f>'Visual chart Edit'!B332</f>
        <v>53/2</v>
      </c>
      <c r="C329" s="412" t="str">
        <f>'Visual chart Edit'!C332</f>
        <v>DA+0</v>
      </c>
      <c r="D329" s="412" t="s">
        <v>1321</v>
      </c>
      <c r="E329" s="464">
        <f>'Visual chart Edit'!I332</f>
        <v>407.4</v>
      </c>
      <c r="F329" s="412" t="str">
        <f>'Visual chart Edit'!K332</f>
        <v>Sandy</v>
      </c>
      <c r="G329" s="412" t="str">
        <f>'Visual chart Edit'!L332</f>
        <v>E</v>
      </c>
      <c r="H329" s="412"/>
      <c r="I329" s="412"/>
      <c r="J329" s="412"/>
      <c r="K329" s="412"/>
    </row>
    <row r="330" spans="1:11" x14ac:dyDescent="0.25">
      <c r="A330" s="412">
        <f>+SUBTOTAL(3,$B$4:B330)</f>
        <v>327</v>
      </c>
      <c r="B330" s="742" t="str">
        <f>'Visual chart Edit'!B333</f>
        <v>53/3</v>
      </c>
      <c r="C330" s="412" t="str">
        <f>'Visual chart Edit'!C333</f>
        <v>DA+6</v>
      </c>
      <c r="D330" s="412" t="s">
        <v>1322</v>
      </c>
      <c r="E330" s="464">
        <f>'Visual chart Edit'!I333</f>
        <v>394.5</v>
      </c>
      <c r="F330" s="412" t="str">
        <f>'Visual chart Edit'!K333</f>
        <v>Sandy</v>
      </c>
      <c r="G330" s="412" t="str">
        <f>'Visual chart Edit'!L333</f>
        <v>E</v>
      </c>
      <c r="H330" s="412"/>
      <c r="I330" s="412"/>
      <c r="J330" s="412"/>
      <c r="K330" s="412"/>
    </row>
    <row r="331" spans="1:11" x14ac:dyDescent="0.25">
      <c r="A331" s="412">
        <f>+SUBTOTAL(3,$B$4:B331)</f>
        <v>328</v>
      </c>
      <c r="B331" s="742" t="str">
        <f>'Visual chart Edit'!B334</f>
        <v>53/4</v>
      </c>
      <c r="C331" s="412" t="str">
        <f>'Visual chart Edit'!C334</f>
        <v>DA+0</v>
      </c>
      <c r="D331" s="412" t="s">
        <v>1322</v>
      </c>
      <c r="E331" s="464">
        <f>'Visual chart Edit'!I334</f>
        <v>410.1</v>
      </c>
      <c r="F331" s="412" t="str">
        <f>'Visual chart Edit'!K334</f>
        <v>Sandy</v>
      </c>
      <c r="G331" s="412" t="str">
        <f>'Visual chart Edit'!L334</f>
        <v>E</v>
      </c>
      <c r="H331" s="412"/>
      <c r="I331" s="412"/>
      <c r="J331" s="412"/>
      <c r="K331" s="412"/>
    </row>
    <row r="332" spans="1:11" x14ac:dyDescent="0.25">
      <c r="A332" s="412">
        <f>+SUBTOTAL(3,$B$4:B332)</f>
        <v>329</v>
      </c>
      <c r="B332" s="742" t="str">
        <f>'Visual chart Edit'!B335</f>
        <v>53/5</v>
      </c>
      <c r="C332" s="412" t="str">
        <f>'Visual chart Edit'!C335</f>
        <v>DA+3</v>
      </c>
      <c r="D332" s="412" t="s">
        <v>1322</v>
      </c>
      <c r="E332" s="464">
        <f>'Visual chart Edit'!I335</f>
        <v>428.1</v>
      </c>
      <c r="F332" s="412" t="str">
        <f>'Visual chart Edit'!K335</f>
        <v>Sandy</v>
      </c>
      <c r="G332" s="412" t="str">
        <f>'Visual chart Edit'!L335</f>
        <v>E</v>
      </c>
      <c r="H332" s="412"/>
      <c r="I332" s="412"/>
      <c r="J332" s="412"/>
      <c r="K332" s="412"/>
    </row>
    <row r="333" spans="1:11" x14ac:dyDescent="0.25">
      <c r="A333" s="412">
        <f>+SUBTOTAL(3,$B$4:B333)</f>
        <v>330</v>
      </c>
      <c r="B333" s="742" t="str">
        <f>'Visual chart Edit'!B336</f>
        <v>53/6</v>
      </c>
      <c r="C333" s="412" t="str">
        <f>'Visual chart Edit'!C336</f>
        <v>DA+6</v>
      </c>
      <c r="D333" s="412" t="s">
        <v>1323</v>
      </c>
      <c r="E333" s="464">
        <f>'Visual chart Edit'!I336</f>
        <v>406.6</v>
      </c>
      <c r="F333" s="412" t="str">
        <f>'Visual chart Edit'!K336</f>
        <v>Sandy</v>
      </c>
      <c r="G333" s="412" t="str">
        <f>'Visual chart Edit'!L336</f>
        <v>E</v>
      </c>
      <c r="H333" s="412"/>
      <c r="I333" s="412"/>
      <c r="J333" s="412"/>
      <c r="K333" s="412"/>
    </row>
    <row r="334" spans="1:11" x14ac:dyDescent="0.25">
      <c r="A334" s="412">
        <f>+SUBTOTAL(3,$B$4:B334)</f>
        <v>331</v>
      </c>
      <c r="B334" s="742" t="str">
        <f>'Visual chart Edit'!B337</f>
        <v>53/7</v>
      </c>
      <c r="C334" s="412" t="str">
        <f>'Visual chart Edit'!C337</f>
        <v>DA+3</v>
      </c>
      <c r="D334" s="412" t="s">
        <v>1323</v>
      </c>
      <c r="E334" s="464">
        <f>'Visual chart Edit'!I337</f>
        <v>411.3</v>
      </c>
      <c r="F334" s="412" t="str">
        <f>'Visual chart Edit'!K337</f>
        <v>Sandy</v>
      </c>
      <c r="G334" s="412" t="str">
        <f>'Visual chart Edit'!L337</f>
        <v>E</v>
      </c>
      <c r="H334" s="412"/>
      <c r="I334" s="412"/>
      <c r="J334" s="412"/>
      <c r="K334" s="412"/>
    </row>
    <row r="335" spans="1:11" x14ac:dyDescent="0.25">
      <c r="A335" s="412">
        <f>+SUBTOTAL(3,$B$4:B335)</f>
        <v>332</v>
      </c>
      <c r="B335" s="742" t="str">
        <f>'Visual chart Edit'!B338</f>
        <v>53/8</v>
      </c>
      <c r="C335" s="412" t="str">
        <f>'Visual chart Edit'!C338</f>
        <v>DA+3</v>
      </c>
      <c r="D335" s="412" t="s">
        <v>1323</v>
      </c>
      <c r="E335" s="464">
        <f>'Visual chart Edit'!I338</f>
        <v>427.8</v>
      </c>
      <c r="F335" s="412" t="str">
        <f>'Visual chart Edit'!K338</f>
        <v>Sandy</v>
      </c>
      <c r="G335" s="412" t="str">
        <f>'Visual chart Edit'!L338</f>
        <v>E</v>
      </c>
      <c r="H335" s="412"/>
      <c r="I335" s="412"/>
      <c r="J335" s="412"/>
      <c r="K335" s="412"/>
    </row>
    <row r="336" spans="1:11" x14ac:dyDescent="0.25">
      <c r="A336" s="412">
        <f>+SUBTOTAL(3,$B$4:B336)</f>
        <v>333</v>
      </c>
      <c r="B336" s="742" t="str">
        <f>'Visual chart Edit'!B339</f>
        <v>54/0</v>
      </c>
      <c r="C336" s="412" t="str">
        <f>'Visual chart Edit'!C339</f>
        <v>DB1+6</v>
      </c>
      <c r="D336" s="412" t="s">
        <v>1323</v>
      </c>
      <c r="E336" s="464">
        <f>'Visual chart Edit'!I339</f>
        <v>371.3</v>
      </c>
      <c r="F336" s="412" t="str">
        <f>'Visual chart Edit'!K339</f>
        <v>Sandy</v>
      </c>
      <c r="G336" s="412" t="str">
        <f>'Visual chart Edit'!L339</f>
        <v>E</v>
      </c>
      <c r="H336" s="412"/>
      <c r="I336" s="412"/>
      <c r="J336" s="412"/>
      <c r="K336" s="412"/>
    </row>
    <row r="337" spans="1:11" x14ac:dyDescent="0.25">
      <c r="A337" s="412">
        <f>+SUBTOTAL(3,$B$4:B337)</f>
        <v>334</v>
      </c>
      <c r="B337" s="742" t="str">
        <f>'Visual chart Edit'!B340</f>
        <v>54/1</v>
      </c>
      <c r="C337" s="412" t="str">
        <f>'Visual chart Edit'!C340</f>
        <v>DA+3</v>
      </c>
      <c r="D337" s="412" t="s">
        <v>1323</v>
      </c>
      <c r="E337" s="464">
        <f>'Visual chart Edit'!I340</f>
        <v>365.1</v>
      </c>
      <c r="F337" s="412" t="str">
        <f>'Visual chart Edit'!K340</f>
        <v>Sandy</v>
      </c>
      <c r="G337" s="412" t="str">
        <f>'Visual chart Edit'!L340</f>
        <v>E</v>
      </c>
      <c r="H337" s="412"/>
      <c r="I337" s="412"/>
      <c r="J337" s="412"/>
      <c r="K337" s="412"/>
    </row>
    <row r="338" spans="1:11" x14ac:dyDescent="0.25">
      <c r="A338" s="412">
        <f>+SUBTOTAL(3,$B$4:B338)</f>
        <v>335</v>
      </c>
      <c r="B338" s="742" t="str">
        <f>'Visual chart Edit'!B341</f>
        <v>54/2</v>
      </c>
      <c r="C338" s="412" t="str">
        <f>'Visual chart Edit'!C341</f>
        <v>DA+3</v>
      </c>
      <c r="D338" s="412" t="s">
        <v>1323</v>
      </c>
      <c r="E338" s="464">
        <f>'Visual chart Edit'!I341</f>
        <v>381</v>
      </c>
      <c r="F338" s="412" t="str">
        <f>'Visual chart Edit'!K341</f>
        <v>Sandy</v>
      </c>
      <c r="G338" s="412" t="str">
        <f>'Visual chart Edit'!L341</f>
        <v>E</v>
      </c>
      <c r="H338" s="412"/>
      <c r="I338" s="412"/>
      <c r="J338" s="412"/>
      <c r="K338" s="412"/>
    </row>
    <row r="339" spans="1:11" x14ac:dyDescent="0.25">
      <c r="A339" s="412">
        <f>+SUBTOTAL(3,$B$4:B339)</f>
        <v>336</v>
      </c>
      <c r="B339" s="742" t="str">
        <f>'Visual chart Edit'!B342</f>
        <v>54/3</v>
      </c>
      <c r="C339" s="412" t="str">
        <f>'Visual chart Edit'!C342</f>
        <v>DA+6</v>
      </c>
      <c r="D339" s="412" t="s">
        <v>1323</v>
      </c>
      <c r="E339" s="464">
        <f>'Visual chart Edit'!I342</f>
        <v>417</v>
      </c>
      <c r="F339" s="412" t="str">
        <f>'Visual chart Edit'!K342</f>
        <v>Sandy</v>
      </c>
      <c r="G339" s="412" t="str">
        <f>'Visual chart Edit'!L342</f>
        <v>E</v>
      </c>
      <c r="H339" s="412"/>
      <c r="I339" s="412"/>
      <c r="J339" s="412"/>
      <c r="K339" s="412"/>
    </row>
    <row r="340" spans="1:11" x14ac:dyDescent="0.25">
      <c r="A340" s="412">
        <f>+SUBTOTAL(3,$B$4:B340)</f>
        <v>337</v>
      </c>
      <c r="B340" s="742" t="str">
        <f>'Visual chart Edit'!B343</f>
        <v>54/4</v>
      </c>
      <c r="C340" s="412" t="str">
        <f>'Visual chart Edit'!C343</f>
        <v>DA+9</v>
      </c>
      <c r="D340" s="412" t="s">
        <v>1323</v>
      </c>
      <c r="E340" s="464">
        <f>'Visual chart Edit'!I343</f>
        <v>423.3</v>
      </c>
      <c r="F340" s="412" t="str">
        <f>'Visual chart Edit'!K343</f>
        <v>Sandy</v>
      </c>
      <c r="G340" s="412" t="str">
        <f>'Visual chart Edit'!L343</f>
        <v>E</v>
      </c>
      <c r="H340" s="412"/>
      <c r="I340" s="412"/>
      <c r="J340" s="412"/>
      <c r="K340" s="412"/>
    </row>
    <row r="341" spans="1:11" x14ac:dyDescent="0.25">
      <c r="A341" s="412">
        <f>+SUBTOTAL(3,$B$4:B341)</f>
        <v>338</v>
      </c>
      <c r="B341" s="742" t="str">
        <f>'Visual chart Edit'!B344</f>
        <v>54/5</v>
      </c>
      <c r="C341" s="412" t="str">
        <f>'Visual chart Edit'!C344</f>
        <v>DA+9</v>
      </c>
      <c r="D341" s="412" t="s">
        <v>1324</v>
      </c>
      <c r="E341" s="464">
        <f>'Visual chart Edit'!I344</f>
        <v>401</v>
      </c>
      <c r="F341" s="412" t="str">
        <f>'Visual chart Edit'!K344</f>
        <v>Sandy</v>
      </c>
      <c r="G341" s="412" t="str">
        <f>'Visual chart Edit'!L344</f>
        <v>E</v>
      </c>
      <c r="H341" s="412"/>
      <c r="I341" s="412"/>
      <c r="J341" s="412"/>
      <c r="K341" s="412"/>
    </row>
    <row r="342" spans="1:11" x14ac:dyDescent="0.25">
      <c r="A342" s="412">
        <f>+SUBTOTAL(3,$B$4:B342)</f>
        <v>339</v>
      </c>
      <c r="B342" s="742" t="str">
        <f>'Visual chart Edit'!B345</f>
        <v>55/0</v>
      </c>
      <c r="C342" s="412" t="str">
        <f>'Visual chart Edit'!C345</f>
        <v>DB1+6</v>
      </c>
      <c r="D342" s="412" t="s">
        <v>1324</v>
      </c>
      <c r="E342" s="464">
        <f>'Visual chart Edit'!I345</f>
        <v>424</v>
      </c>
      <c r="F342" s="412" t="str">
        <f>'Visual chart Edit'!K345</f>
        <v>Sandy</v>
      </c>
      <c r="G342" s="412" t="str">
        <f>'Visual chart Edit'!L345</f>
        <v>E</v>
      </c>
      <c r="H342" s="412"/>
      <c r="I342" s="412"/>
      <c r="J342" s="412"/>
      <c r="K342" s="412"/>
    </row>
    <row r="343" spans="1:11" x14ac:dyDescent="0.25">
      <c r="A343" s="412">
        <f>+SUBTOTAL(3,$B$4:B343)</f>
        <v>340</v>
      </c>
      <c r="B343" s="742" t="str">
        <f>'Visual chart Edit'!B346</f>
        <v>55/1</v>
      </c>
      <c r="C343" s="412" t="str">
        <f>'Visual chart Edit'!C346</f>
        <v>DA+0</v>
      </c>
      <c r="D343" s="412" t="s">
        <v>1324</v>
      </c>
      <c r="E343" s="464">
        <f>'Visual chart Edit'!I346</f>
        <v>404.9</v>
      </c>
      <c r="F343" s="412" t="str">
        <f>'Visual chart Edit'!K346</f>
        <v>WFR</v>
      </c>
      <c r="G343" s="412" t="str">
        <f>'Visual chart Edit'!L346</f>
        <v>E</v>
      </c>
      <c r="H343" s="412" t="s">
        <v>419</v>
      </c>
      <c r="I343" s="412"/>
      <c r="J343" s="412"/>
      <c r="K343" s="412"/>
    </row>
    <row r="344" spans="1:11" x14ac:dyDescent="0.25">
      <c r="A344" s="412">
        <f>+SUBTOTAL(3,$B$4:B344)</f>
        <v>341</v>
      </c>
      <c r="B344" s="742" t="str">
        <f>'Visual chart Edit'!B347</f>
        <v>55/2</v>
      </c>
      <c r="C344" s="412" t="str">
        <f>'Visual chart Edit'!C347</f>
        <v>DA+0</v>
      </c>
      <c r="D344" s="412" t="s">
        <v>1325</v>
      </c>
      <c r="E344" s="464">
        <f>'Visual chart Edit'!I347</f>
        <v>343.1</v>
      </c>
      <c r="F344" s="412" t="str">
        <f>'Visual chart Edit'!K347</f>
        <v>WFR</v>
      </c>
      <c r="G344" s="412" t="str">
        <f>'Visual chart Edit'!L347</f>
        <v>E</v>
      </c>
      <c r="H344" s="412" t="s">
        <v>419</v>
      </c>
      <c r="I344" s="412"/>
      <c r="J344" s="412"/>
      <c r="K344" s="412"/>
    </row>
    <row r="345" spans="1:11" x14ac:dyDescent="0.25">
      <c r="A345" s="412">
        <f>+SUBTOTAL(3,$B$4:B345)</f>
        <v>342</v>
      </c>
      <c r="B345" s="742" t="str">
        <f>'Visual chart Edit'!B348</f>
        <v>55/3</v>
      </c>
      <c r="C345" s="412" t="str">
        <f>'Visual chart Edit'!C348</f>
        <v>DA+0</v>
      </c>
      <c r="D345" s="412" t="s">
        <v>1325</v>
      </c>
      <c r="E345" s="464">
        <f>'Visual chart Edit'!I348</f>
        <v>357.7</v>
      </c>
      <c r="F345" s="412" t="str">
        <f>'Visual chart Edit'!K348</f>
        <v>Sandy</v>
      </c>
      <c r="G345" s="412" t="str">
        <f>'Visual chart Edit'!L348</f>
        <v>E</v>
      </c>
      <c r="H345" s="412" t="s">
        <v>419</v>
      </c>
      <c r="I345" s="412"/>
      <c r="J345" s="412"/>
      <c r="K345" s="412"/>
    </row>
    <row r="346" spans="1:11" x14ac:dyDescent="0.25">
      <c r="A346" s="412">
        <f>+SUBTOTAL(3,$B$4:B346)</f>
        <v>343</v>
      </c>
      <c r="B346" s="742" t="str">
        <f>'Visual chart Edit'!B349</f>
        <v>55/4</v>
      </c>
      <c r="C346" s="412" t="str">
        <f>'Visual chart Edit'!C349</f>
        <v>DA+0</v>
      </c>
      <c r="D346" s="412" t="s">
        <v>1325</v>
      </c>
      <c r="E346" s="464">
        <f>'Visual chart Edit'!I349</f>
        <v>365.2</v>
      </c>
      <c r="F346" s="412" t="str">
        <f>'Visual chart Edit'!K349</f>
        <v>Sandy</v>
      </c>
      <c r="G346" s="412" t="str">
        <f>'Visual chart Edit'!L349</f>
        <v>E</v>
      </c>
      <c r="H346" s="412" t="s">
        <v>419</v>
      </c>
      <c r="I346" s="412"/>
      <c r="J346" s="412"/>
      <c r="K346" s="412"/>
    </row>
    <row r="347" spans="1:11" x14ac:dyDescent="0.25">
      <c r="A347" s="412">
        <f>+SUBTOTAL(3,$B$4:B347)</f>
        <v>344</v>
      </c>
      <c r="B347" s="742" t="str">
        <f>'Visual chart Edit'!B350</f>
        <v>55/5</v>
      </c>
      <c r="C347" s="412" t="str">
        <f>'Visual chart Edit'!C350</f>
        <v>DA+0</v>
      </c>
      <c r="D347" s="412" t="s">
        <v>1325</v>
      </c>
      <c r="E347" s="464">
        <f>'Visual chart Edit'!I350</f>
        <v>350.1</v>
      </c>
      <c r="F347" s="412" t="str">
        <f>'Visual chart Edit'!K350</f>
        <v>Sandy</v>
      </c>
      <c r="G347" s="412" t="str">
        <f>'Visual chart Edit'!L350</f>
        <v>E</v>
      </c>
      <c r="H347" s="412" t="s">
        <v>419</v>
      </c>
      <c r="I347" s="412"/>
      <c r="J347" s="412"/>
      <c r="K347" s="412"/>
    </row>
    <row r="348" spans="1:11" x14ac:dyDescent="0.25">
      <c r="A348" s="412">
        <f>+SUBTOTAL(3,$B$4:B348)</f>
        <v>345</v>
      </c>
      <c r="B348" s="742" t="str">
        <f>'Visual chart Edit'!B351</f>
        <v>55/6</v>
      </c>
      <c r="C348" s="412" t="str">
        <f>'Visual chart Edit'!C351</f>
        <v>DA+0</v>
      </c>
      <c r="D348" s="412" t="s">
        <v>1325</v>
      </c>
      <c r="E348" s="464">
        <f>'Visual chart Edit'!I351</f>
        <v>357.7</v>
      </c>
      <c r="F348" s="412" t="str">
        <f>'Visual chart Edit'!K351</f>
        <v>Sandy</v>
      </c>
      <c r="G348" s="412" t="str">
        <f>'Visual chart Edit'!L351</f>
        <v>E</v>
      </c>
      <c r="H348" s="412" t="s">
        <v>419</v>
      </c>
      <c r="I348" s="412"/>
      <c r="J348" s="412"/>
      <c r="K348" s="412"/>
    </row>
    <row r="349" spans="1:11" x14ac:dyDescent="0.25">
      <c r="A349" s="412">
        <f>+SUBTOTAL(3,$B$4:B349)</f>
        <v>346</v>
      </c>
      <c r="B349" s="742" t="str">
        <f>'Visual chart Edit'!B352</f>
        <v>55/7</v>
      </c>
      <c r="C349" s="412" t="str">
        <f>'Visual chart Edit'!C352</f>
        <v>DA+0</v>
      </c>
      <c r="D349" s="412" t="s">
        <v>1325</v>
      </c>
      <c r="E349" s="464">
        <f>'Visual chart Edit'!I352</f>
        <v>337.8</v>
      </c>
      <c r="F349" s="412" t="str">
        <f>'Visual chart Edit'!K352</f>
        <v>Sandy</v>
      </c>
      <c r="G349" s="412" t="str">
        <f>'Visual chart Edit'!L352</f>
        <v>E</v>
      </c>
      <c r="H349" s="412" t="s">
        <v>419</v>
      </c>
      <c r="I349" s="412"/>
      <c r="J349" s="412"/>
      <c r="K349" s="412"/>
    </row>
    <row r="350" spans="1:11" x14ac:dyDescent="0.25">
      <c r="A350" s="412">
        <f>+SUBTOTAL(3,$B$4:B350)</f>
        <v>347</v>
      </c>
      <c r="B350" s="742" t="str">
        <f>'Visual chart Edit'!B353</f>
        <v>55/8</v>
      </c>
      <c r="C350" s="412" t="str">
        <f>'Visual chart Edit'!C353</f>
        <v>DA+6</v>
      </c>
      <c r="D350" s="412" t="s">
        <v>1325</v>
      </c>
      <c r="E350" s="464">
        <f>'Visual chart Edit'!I353</f>
        <v>341.22</v>
      </c>
      <c r="F350" s="412" t="str">
        <f>'Visual chart Edit'!K353</f>
        <v>Sandy</v>
      </c>
      <c r="G350" s="412" t="str">
        <f>'Visual chart Edit'!L353</f>
        <v>E</v>
      </c>
      <c r="H350" s="412" t="s">
        <v>419</v>
      </c>
      <c r="I350" s="412"/>
      <c r="J350" s="412"/>
      <c r="K350" s="412"/>
    </row>
    <row r="351" spans="1:11" x14ac:dyDescent="0.25">
      <c r="A351" s="412">
        <f>+SUBTOTAL(3,$B$4:B351)</f>
        <v>348</v>
      </c>
      <c r="B351" s="742" t="s">
        <v>93</v>
      </c>
      <c r="C351" s="412" t="str">
        <f>'Visual chart Edit'!C354</f>
        <v>DD60+25</v>
      </c>
      <c r="D351" s="412" t="s">
        <v>1325</v>
      </c>
      <c r="E351" s="464">
        <f>'Visual chart Edit'!I354</f>
        <v>460.49</v>
      </c>
      <c r="F351" s="412" t="str">
        <f>'Visual chart Edit'!K354</f>
        <v>Sandy</v>
      </c>
      <c r="G351" s="412" t="str">
        <f>'Visual chart Edit'!L354</f>
        <v>E</v>
      </c>
      <c r="H351" s="412" t="s">
        <v>419</v>
      </c>
      <c r="I351" s="412"/>
      <c r="J351" s="412"/>
      <c r="K351" s="412"/>
    </row>
    <row r="352" spans="1:11" x14ac:dyDescent="0.25">
      <c r="A352" s="412">
        <f>+SUBTOTAL(3,$B$4:B352)</f>
        <v>349</v>
      </c>
      <c r="B352" s="742" t="str">
        <f>'Visual chart Edit'!B355</f>
        <v>57/0</v>
      </c>
      <c r="C352" s="412" t="str">
        <f>'Visual chart Edit'!C355</f>
        <v>DD60+25</v>
      </c>
      <c r="D352" s="412" t="s">
        <v>1325</v>
      </c>
      <c r="E352" s="464">
        <f>'Visual chart Edit'!I355</f>
        <v>219.76</v>
      </c>
      <c r="F352" s="412" t="str">
        <f>'Visual chart Edit'!K355</f>
        <v>Sandy</v>
      </c>
      <c r="G352" s="412" t="str">
        <f>'Visual chart Edit'!L355</f>
        <v>E</v>
      </c>
      <c r="H352" s="412" t="s">
        <v>419</v>
      </c>
      <c r="I352" s="412"/>
      <c r="J352" s="412"/>
      <c r="K352" s="412"/>
    </row>
    <row r="353" spans="1:11" x14ac:dyDescent="0.25">
      <c r="A353" s="412">
        <f>+SUBTOTAL(3,$B$4:B353)</f>
        <v>350</v>
      </c>
      <c r="B353" s="742" t="str">
        <f>'Visual chart Edit'!B356</f>
        <v>57/1</v>
      </c>
      <c r="C353" s="412" t="str">
        <f>'Visual chart Edit'!C356</f>
        <v>DA+0</v>
      </c>
      <c r="D353" s="412" t="s">
        <v>1325</v>
      </c>
      <c r="E353" s="464">
        <f>'Visual chart Edit'!I356</f>
        <v>461.1</v>
      </c>
      <c r="F353" s="412" t="str">
        <f>'Visual chart Edit'!K356</f>
        <v>Sandy</v>
      </c>
      <c r="G353" s="412" t="str">
        <f>'Visual chart Edit'!L356</f>
        <v>E</v>
      </c>
      <c r="H353" s="412" t="s">
        <v>419</v>
      </c>
      <c r="I353" s="412"/>
      <c r="J353" s="412"/>
      <c r="K353" s="412"/>
    </row>
    <row r="354" spans="1:11" x14ac:dyDescent="0.25">
      <c r="A354" s="412">
        <f>+SUBTOTAL(3,$B$4:B354)</f>
        <v>351</v>
      </c>
      <c r="B354" s="742" t="str">
        <f>'Visual chart Edit'!B357</f>
        <v>57/2</v>
      </c>
      <c r="C354" s="412" t="str">
        <f>'Visual chart Edit'!C357</f>
        <v>DA+3</v>
      </c>
      <c r="D354" s="412" t="s">
        <v>1326</v>
      </c>
      <c r="E354" s="464">
        <f>'Visual chart Edit'!I357</f>
        <v>355.5</v>
      </c>
      <c r="F354" s="412" t="str">
        <f>'Visual chart Edit'!K357</f>
        <v>DRY</v>
      </c>
      <c r="G354" s="412" t="str">
        <f>'Visual chart Edit'!L357</f>
        <v>E</v>
      </c>
      <c r="H354" s="412" t="s">
        <v>419</v>
      </c>
      <c r="I354" s="412" t="s">
        <v>419</v>
      </c>
      <c r="J354" s="412" t="s">
        <v>419</v>
      </c>
      <c r="K354" s="412"/>
    </row>
    <row r="355" spans="1:11" x14ac:dyDescent="0.25">
      <c r="A355" s="412">
        <f>+SUBTOTAL(3,$B$4:B355)</f>
        <v>352</v>
      </c>
      <c r="B355" s="742" t="str">
        <f>'Visual chart Edit'!B358</f>
        <v>57/3</v>
      </c>
      <c r="C355" s="412" t="str">
        <f>'Visual chart Edit'!C358</f>
        <v>DA+0</v>
      </c>
      <c r="D355" s="412" t="s">
        <v>1326</v>
      </c>
      <c r="E355" s="464">
        <f>'Visual chart Edit'!I358</f>
        <v>405.4</v>
      </c>
      <c r="F355" s="412" t="str">
        <f>'Visual chart Edit'!K358</f>
        <v>DRY</v>
      </c>
      <c r="G355" s="412" t="str">
        <f>'Visual chart Edit'!L358</f>
        <v>E</v>
      </c>
      <c r="H355" s="412" t="s">
        <v>419</v>
      </c>
      <c r="I355" s="412" t="s">
        <v>419</v>
      </c>
      <c r="J355" s="412" t="s">
        <v>419</v>
      </c>
      <c r="K355" s="412"/>
    </row>
    <row r="356" spans="1:11" x14ac:dyDescent="0.25">
      <c r="A356" s="412">
        <f>+SUBTOTAL(3,$B$4:B356)</f>
        <v>353</v>
      </c>
      <c r="B356" s="742" t="str">
        <f>'Visual chart Edit'!B359</f>
        <v>57/4</v>
      </c>
      <c r="C356" s="412" t="str">
        <f>'Visual chart Edit'!C359</f>
        <v>DA+0</v>
      </c>
      <c r="D356" s="412" t="s">
        <v>1326</v>
      </c>
      <c r="E356" s="464">
        <f>'Visual chart Edit'!I359</f>
        <v>418.2</v>
      </c>
      <c r="F356" s="412" t="str">
        <f>'Visual chart Edit'!K359</f>
        <v>Sandy</v>
      </c>
      <c r="G356" s="412" t="str">
        <f>'Visual chart Edit'!L359</f>
        <v>E</v>
      </c>
      <c r="H356" s="412" t="s">
        <v>419</v>
      </c>
      <c r="I356" s="412" t="s">
        <v>419</v>
      </c>
      <c r="J356" s="412" t="s">
        <v>419</v>
      </c>
      <c r="K356" s="412"/>
    </row>
    <row r="357" spans="1:11" x14ac:dyDescent="0.25">
      <c r="A357" s="412">
        <f>+SUBTOTAL(3,$B$4:B357)</f>
        <v>354</v>
      </c>
      <c r="B357" s="742" t="str">
        <f>'Visual chart Edit'!B360</f>
        <v>57/5</v>
      </c>
      <c r="C357" s="412" t="str">
        <f>'Visual chart Edit'!C360</f>
        <v>DA+3</v>
      </c>
      <c r="D357" s="412" t="s">
        <v>1325</v>
      </c>
      <c r="E357" s="464">
        <f>'Visual chart Edit'!I360</f>
        <v>416.8</v>
      </c>
      <c r="F357" s="412" t="str">
        <f>'Visual chart Edit'!K360</f>
        <v>Sandy</v>
      </c>
      <c r="G357" s="412" t="str">
        <f>'Visual chart Edit'!L360</f>
        <v>E</v>
      </c>
      <c r="H357" s="412" t="s">
        <v>419</v>
      </c>
      <c r="I357" s="412" t="s">
        <v>419</v>
      </c>
      <c r="J357" s="412" t="s">
        <v>419</v>
      </c>
      <c r="K357" s="412"/>
    </row>
    <row r="358" spans="1:11" x14ac:dyDescent="0.25">
      <c r="A358" s="412">
        <f>+SUBTOTAL(3,$B$4:B358)</f>
        <v>355</v>
      </c>
      <c r="B358" s="742" t="str">
        <f>'Visual chart Edit'!B361</f>
        <v>57/6</v>
      </c>
      <c r="C358" s="412" t="str">
        <f>'Visual chart Edit'!C361</f>
        <v>DA+3</v>
      </c>
      <c r="D358" s="412" t="s">
        <v>1326</v>
      </c>
      <c r="E358" s="464">
        <f>'Visual chart Edit'!I361</f>
        <v>395</v>
      </c>
      <c r="F358" s="412" t="str">
        <f>'Visual chart Edit'!K361</f>
        <v>Sandy</v>
      </c>
      <c r="G358" s="412" t="str">
        <f>'Visual chart Edit'!L361</f>
        <v>E</v>
      </c>
      <c r="H358" s="412" t="s">
        <v>419</v>
      </c>
      <c r="I358" s="412" t="s">
        <v>419</v>
      </c>
      <c r="J358" s="412" t="s">
        <v>419</v>
      </c>
      <c r="K358" s="412"/>
    </row>
    <row r="359" spans="1:11" x14ac:dyDescent="0.25">
      <c r="A359" s="412">
        <f>+SUBTOTAL(3,$B$4:B359)</f>
        <v>356</v>
      </c>
      <c r="B359" s="742" t="str">
        <f>'Visual chart Edit'!B362</f>
        <v>57/7</v>
      </c>
      <c r="C359" s="412" t="str">
        <f>'Visual chart Edit'!C362</f>
        <v>DA+3</v>
      </c>
      <c r="D359" s="412" t="s">
        <v>1327</v>
      </c>
      <c r="E359" s="464">
        <f>'Visual chart Edit'!I362</f>
        <v>401.8</v>
      </c>
      <c r="F359" s="412" t="str">
        <f>'Visual chart Edit'!K362</f>
        <v>DFR</v>
      </c>
      <c r="G359" s="412" t="str">
        <f>'Visual chart Edit'!L362</f>
        <v>E</v>
      </c>
      <c r="H359" s="412" t="s">
        <v>419</v>
      </c>
      <c r="I359" s="412" t="s">
        <v>419</v>
      </c>
      <c r="J359" s="412" t="s">
        <v>419</v>
      </c>
      <c r="K359" s="412"/>
    </row>
    <row r="360" spans="1:11" x14ac:dyDescent="0.25">
      <c r="A360" s="412">
        <f>+SUBTOTAL(3,$B$4:B360)</f>
        <v>357</v>
      </c>
      <c r="B360" s="742" t="str">
        <f>'Visual chart Edit'!B363</f>
        <v>58/0</v>
      </c>
      <c r="C360" s="412" t="str">
        <f>'Visual chart Edit'!C363</f>
        <v>DC1+3</v>
      </c>
      <c r="D360" s="412" t="s">
        <v>1327</v>
      </c>
      <c r="E360" s="464">
        <f>'Visual chart Edit'!I363</f>
        <v>433.9</v>
      </c>
      <c r="F360" s="412" t="str">
        <f>'Visual chart Edit'!K363</f>
        <v>DFR</v>
      </c>
      <c r="G360" s="412" t="str">
        <f>'Visual chart Edit'!L363</f>
        <v>E</v>
      </c>
      <c r="H360" s="412" t="s">
        <v>419</v>
      </c>
      <c r="I360" s="412"/>
      <c r="J360" s="412" t="s">
        <v>419</v>
      </c>
      <c r="K360" s="412" t="s">
        <v>419</v>
      </c>
    </row>
    <row r="361" spans="1:11" x14ac:dyDescent="0.25">
      <c r="A361" s="412">
        <f>+SUBTOTAL(3,$B$4:B361)</f>
        <v>358</v>
      </c>
      <c r="B361" s="742" t="str">
        <f>'Visual chart Edit'!B364</f>
        <v>59/0</v>
      </c>
      <c r="C361" s="412" t="str">
        <f>'Visual chart Edit'!C364</f>
        <v>DC2+0</v>
      </c>
      <c r="D361" s="412" t="s">
        <v>1327</v>
      </c>
      <c r="E361" s="464">
        <f>'Visual chart Edit'!I364</f>
        <v>238.9</v>
      </c>
      <c r="F361" s="412" t="str">
        <f>'Visual chart Edit'!K364</f>
        <v>DRY</v>
      </c>
      <c r="G361" s="412" t="str">
        <f>'Visual chart Edit'!L364</f>
        <v>E</v>
      </c>
      <c r="H361" s="412" t="s">
        <v>419</v>
      </c>
      <c r="I361" s="412"/>
      <c r="J361" s="412" t="s">
        <v>419</v>
      </c>
      <c r="K361" s="412" t="s">
        <v>1735</v>
      </c>
    </row>
    <row r="362" spans="1:11" x14ac:dyDescent="0.25">
      <c r="A362" s="412">
        <f>+SUBTOTAL(3,$B$4:B362)</f>
        <v>359</v>
      </c>
      <c r="B362" s="742" t="str">
        <f>'Visual chart Edit'!B365</f>
        <v>59/1</v>
      </c>
      <c r="C362" s="412" t="str">
        <f>'Visual chart Edit'!C365</f>
        <v>DA+3</v>
      </c>
      <c r="D362" s="412" t="s">
        <v>1327</v>
      </c>
      <c r="E362" s="464">
        <f>'Visual chart Edit'!I365</f>
        <v>411.3</v>
      </c>
      <c r="F362" s="412" t="str">
        <f>'Visual chart Edit'!K365</f>
        <v>DRY</v>
      </c>
      <c r="G362" s="412" t="str">
        <f>'Visual chart Edit'!L365</f>
        <v>E</v>
      </c>
      <c r="H362" s="412" t="s">
        <v>419</v>
      </c>
      <c r="I362" s="412" t="s">
        <v>419</v>
      </c>
      <c r="J362" s="412" t="s">
        <v>419</v>
      </c>
      <c r="K362" s="412"/>
    </row>
    <row r="363" spans="1:11" x14ac:dyDescent="0.25">
      <c r="A363" s="412">
        <f>+SUBTOTAL(3,$B$4:B363)</f>
        <v>360</v>
      </c>
      <c r="B363" s="742" t="str">
        <f>'Visual chart Edit'!B366</f>
        <v>59/2</v>
      </c>
      <c r="C363" s="412" t="str">
        <f>'Visual chart Edit'!C366</f>
        <v>DA+3</v>
      </c>
      <c r="D363" s="412" t="s">
        <v>1327</v>
      </c>
      <c r="E363" s="464">
        <f>'Visual chart Edit'!I366</f>
        <v>418.2</v>
      </c>
      <c r="F363" s="412" t="str">
        <f>'Visual chart Edit'!K366</f>
        <v>DFR</v>
      </c>
      <c r="G363" s="412" t="str">
        <f>'Visual chart Edit'!L366</f>
        <v>E</v>
      </c>
      <c r="H363" s="412" t="s">
        <v>419</v>
      </c>
      <c r="I363" s="412" t="s">
        <v>419</v>
      </c>
      <c r="J363" s="412" t="s">
        <v>419</v>
      </c>
      <c r="K363" s="412"/>
    </row>
    <row r="364" spans="1:11" x14ac:dyDescent="0.25">
      <c r="A364" s="412">
        <f>+SUBTOTAL(3,$B$4:B364)</f>
        <v>361</v>
      </c>
      <c r="B364" s="742" t="str">
        <f>'Visual chart Edit'!B367</f>
        <v>59/3</v>
      </c>
      <c r="C364" s="412" t="str">
        <f>'Visual chart Edit'!C367</f>
        <v>DA+3</v>
      </c>
      <c r="D364" s="412" t="s">
        <v>1326</v>
      </c>
      <c r="E364" s="464">
        <f>'Visual chart Edit'!I367</f>
        <v>412.3</v>
      </c>
      <c r="F364" s="412" t="str">
        <f>'Visual chart Edit'!K367</f>
        <v>DFR</v>
      </c>
      <c r="G364" s="412" t="str">
        <f>'Visual chart Edit'!L367</f>
        <v>E</v>
      </c>
      <c r="H364" s="412" t="s">
        <v>419</v>
      </c>
      <c r="I364" s="412" t="s">
        <v>419</v>
      </c>
      <c r="J364" s="412" t="s">
        <v>419</v>
      </c>
      <c r="K364" s="412"/>
    </row>
    <row r="365" spans="1:11" x14ac:dyDescent="0.25">
      <c r="A365" s="412">
        <f>+SUBTOTAL(3,$B$4:B365)</f>
        <v>362</v>
      </c>
      <c r="B365" s="742" t="str">
        <f>'Visual chart Edit'!B368</f>
        <v>59/4</v>
      </c>
      <c r="C365" s="412" t="str">
        <f>'Visual chart Edit'!C368</f>
        <v>DA+3</v>
      </c>
      <c r="D365" s="412" t="s">
        <v>1326</v>
      </c>
      <c r="E365" s="464">
        <f>'Visual chart Edit'!I368</f>
        <v>421</v>
      </c>
      <c r="F365" s="412" t="str">
        <f>'Visual chart Edit'!K368</f>
        <v>DFR</v>
      </c>
      <c r="G365" s="412" t="str">
        <f>'Visual chart Edit'!L368</f>
        <v>E</v>
      </c>
      <c r="H365" s="412" t="s">
        <v>419</v>
      </c>
      <c r="I365" s="412" t="s">
        <v>419</v>
      </c>
      <c r="J365" s="412" t="s">
        <v>419</v>
      </c>
      <c r="K365" s="412"/>
    </row>
    <row r="366" spans="1:11" x14ac:dyDescent="0.25">
      <c r="A366" s="412">
        <f>+SUBTOTAL(3,$B$4:B366)</f>
        <v>363</v>
      </c>
      <c r="B366" s="742" t="str">
        <f>'Visual chart Edit'!B369</f>
        <v>59/5</v>
      </c>
      <c r="C366" s="412" t="str">
        <f>'Visual chart Edit'!C369</f>
        <v>DA+3</v>
      </c>
      <c r="D366" s="412" t="s">
        <v>1328</v>
      </c>
      <c r="E366" s="464">
        <f>'Visual chart Edit'!I369</f>
        <v>419.7</v>
      </c>
      <c r="F366" s="412" t="str">
        <f>'Visual chart Edit'!K369</f>
        <v>DFR</v>
      </c>
      <c r="G366" s="412" t="str">
        <f>'Visual chart Edit'!L369</f>
        <v>E</v>
      </c>
      <c r="H366" s="412" t="s">
        <v>419</v>
      </c>
      <c r="I366" s="412" t="s">
        <v>419</v>
      </c>
      <c r="J366" s="412" t="s">
        <v>419</v>
      </c>
      <c r="K366" s="412"/>
    </row>
    <row r="367" spans="1:11" x14ac:dyDescent="0.25">
      <c r="A367" s="412">
        <f>+SUBTOTAL(3,$B$4:B367)</f>
        <v>364</v>
      </c>
      <c r="B367" s="742" t="str">
        <f>'Visual chart Edit'!B370</f>
        <v>59/6</v>
      </c>
      <c r="C367" s="412" t="str">
        <f>'Visual chart Edit'!C370</f>
        <v>DA+3</v>
      </c>
      <c r="D367" s="412" t="s">
        <v>1328</v>
      </c>
      <c r="E367" s="464">
        <f>'Visual chart Edit'!I370</f>
        <v>419.1</v>
      </c>
      <c r="F367" s="412" t="str">
        <f>'Visual chart Edit'!K370</f>
        <v>DFR</v>
      </c>
      <c r="G367" s="412" t="str">
        <f>'Visual chart Edit'!L370</f>
        <v>E</v>
      </c>
      <c r="H367" s="412" t="s">
        <v>419</v>
      </c>
      <c r="I367" s="412" t="s">
        <v>419</v>
      </c>
      <c r="J367" s="412" t="s">
        <v>419</v>
      </c>
      <c r="K367" s="412"/>
    </row>
    <row r="368" spans="1:11" x14ac:dyDescent="0.25">
      <c r="A368" s="412">
        <f>+SUBTOTAL(3,$B$4:B368)</f>
        <v>365</v>
      </c>
      <c r="B368" s="742" t="str">
        <f>'Visual chart Edit'!B371</f>
        <v>59/7</v>
      </c>
      <c r="C368" s="412" t="str">
        <f>'Visual chart Edit'!C371</f>
        <v>DA+3</v>
      </c>
      <c r="D368" s="412" t="s">
        <v>1328</v>
      </c>
      <c r="E368" s="464">
        <f>'Visual chart Edit'!I371</f>
        <v>408.8</v>
      </c>
      <c r="F368" s="412" t="str">
        <f>'Visual chart Edit'!K371</f>
        <v>DRY</v>
      </c>
      <c r="G368" s="412" t="str">
        <f>'Visual chart Edit'!L371</f>
        <v>E</v>
      </c>
      <c r="H368" s="412" t="s">
        <v>419</v>
      </c>
      <c r="I368" s="412" t="s">
        <v>419</v>
      </c>
      <c r="J368" s="412" t="s">
        <v>419</v>
      </c>
      <c r="K368" s="412"/>
    </row>
    <row r="369" spans="1:11" x14ac:dyDescent="0.25">
      <c r="A369" s="412">
        <f>+SUBTOTAL(3,$B$4:B369)</f>
        <v>366</v>
      </c>
      <c r="B369" s="742" t="str">
        <f>'Visual chart Edit'!B372</f>
        <v>59/8</v>
      </c>
      <c r="C369" s="412" t="str">
        <f>'Visual chart Edit'!C372</f>
        <v>DB1+3</v>
      </c>
      <c r="D369" s="412" t="s">
        <v>1328</v>
      </c>
      <c r="E369" s="464">
        <f>'Visual chart Edit'!I372</f>
        <v>426.9</v>
      </c>
      <c r="F369" s="412" t="str">
        <f>'Visual chart Edit'!K372</f>
        <v>DRY</v>
      </c>
      <c r="G369" s="412" t="str">
        <f>'Visual chart Edit'!L372</f>
        <v>E</v>
      </c>
      <c r="H369" s="412" t="s">
        <v>419</v>
      </c>
      <c r="I369" s="412"/>
      <c r="J369" s="412" t="s">
        <v>419</v>
      </c>
      <c r="K369" s="412" t="s">
        <v>419</v>
      </c>
    </row>
    <row r="370" spans="1:11" x14ac:dyDescent="0.25">
      <c r="A370" s="412">
        <f>+SUBTOTAL(3,$B$4:B370)</f>
        <v>367</v>
      </c>
      <c r="B370" s="742" t="str">
        <f>'Visual chart Edit'!B373</f>
        <v>59/9</v>
      </c>
      <c r="C370" s="412" t="str">
        <f>'Visual chart Edit'!C373</f>
        <v>DA+3</v>
      </c>
      <c r="D370" s="412" t="s">
        <v>1328</v>
      </c>
      <c r="E370" s="464">
        <f>'Visual chart Edit'!I373</f>
        <v>434.7</v>
      </c>
      <c r="F370" s="412" t="str">
        <f>'Visual chart Edit'!K373</f>
        <v>DRY</v>
      </c>
      <c r="G370" s="412" t="str">
        <f>'Visual chart Edit'!L373</f>
        <v>E</v>
      </c>
      <c r="H370" s="412" t="s">
        <v>419</v>
      </c>
      <c r="I370" s="412" t="s">
        <v>419</v>
      </c>
      <c r="J370" s="412" t="s">
        <v>419</v>
      </c>
      <c r="K370" s="412"/>
    </row>
    <row r="371" spans="1:11" x14ac:dyDescent="0.25">
      <c r="A371" s="412">
        <f>+SUBTOTAL(3,$B$4:B371)</f>
        <v>368</v>
      </c>
      <c r="B371" s="742" t="str">
        <f>'Visual chart Edit'!B374</f>
        <v>59/10</v>
      </c>
      <c r="C371" s="412" t="str">
        <f>'Visual chart Edit'!C374</f>
        <v>DA+0</v>
      </c>
      <c r="D371" s="412" t="s">
        <v>1328</v>
      </c>
      <c r="E371" s="464">
        <f>'Visual chart Edit'!I374</f>
        <v>400.8</v>
      </c>
      <c r="F371" s="412" t="str">
        <f>'Visual chart Edit'!K374</f>
        <v>DRY</v>
      </c>
      <c r="G371" s="412" t="str">
        <f>'Visual chart Edit'!L374</f>
        <v>E</v>
      </c>
      <c r="H371" s="412" t="s">
        <v>419</v>
      </c>
      <c r="I371" s="412" t="s">
        <v>419</v>
      </c>
      <c r="J371" s="412" t="s">
        <v>419</v>
      </c>
      <c r="K371" s="412"/>
    </row>
    <row r="372" spans="1:11" x14ac:dyDescent="0.25">
      <c r="A372" s="412">
        <f>+SUBTOTAL(3,$B$4:B372)</f>
        <v>369</v>
      </c>
      <c r="B372" s="742" t="str">
        <f>'Visual chart Edit'!B375</f>
        <v>59/11</v>
      </c>
      <c r="C372" s="412" t="str">
        <f>'Visual chart Edit'!C375</f>
        <v>DA+6</v>
      </c>
      <c r="D372" s="412" t="s">
        <v>1328</v>
      </c>
      <c r="E372" s="464">
        <f>'Visual chart Edit'!I375</f>
        <v>436.3</v>
      </c>
      <c r="F372" s="412" t="str">
        <f>'Visual chart Edit'!K375</f>
        <v>DFR</v>
      </c>
      <c r="G372" s="412" t="str">
        <f>'Visual chart Edit'!L375</f>
        <v>E</v>
      </c>
      <c r="H372" s="412" t="s">
        <v>419</v>
      </c>
      <c r="I372" s="412" t="s">
        <v>419</v>
      </c>
      <c r="J372" s="412" t="s">
        <v>419</v>
      </c>
      <c r="K372" s="412"/>
    </row>
    <row r="373" spans="1:11" x14ac:dyDescent="0.25">
      <c r="A373" s="412">
        <f>+SUBTOTAL(3,$B$4:B373)</f>
        <v>370</v>
      </c>
      <c r="B373" s="742" t="str">
        <f>'Visual chart Edit'!B376</f>
        <v>59/12</v>
      </c>
      <c r="C373" s="412" t="str">
        <f>'Visual chart Edit'!C376</f>
        <v>DA+6</v>
      </c>
      <c r="D373" s="412" t="s">
        <v>1328</v>
      </c>
      <c r="E373" s="464">
        <f>'Visual chart Edit'!I376</f>
        <v>393.1</v>
      </c>
      <c r="F373" s="412" t="str">
        <f>'Visual chart Edit'!K376</f>
        <v>DFR</v>
      </c>
      <c r="G373" s="412" t="str">
        <f>'Visual chart Edit'!L376</f>
        <v>E</v>
      </c>
      <c r="H373" s="412" t="s">
        <v>419</v>
      </c>
      <c r="I373" s="412" t="s">
        <v>419</v>
      </c>
      <c r="J373" s="412" t="s">
        <v>419</v>
      </c>
      <c r="K373" s="412"/>
    </row>
    <row r="374" spans="1:11" x14ac:dyDescent="0.25">
      <c r="A374" s="412">
        <f>+SUBTOTAL(3,$B$4:B374)</f>
        <v>371</v>
      </c>
      <c r="B374" s="742" t="str">
        <f>'Visual chart Edit'!B377</f>
        <v>59/13</v>
      </c>
      <c r="C374" s="412" t="str">
        <f>'Visual chart Edit'!C377</f>
        <v>DA+3</v>
      </c>
      <c r="D374" s="412" t="s">
        <v>1328</v>
      </c>
      <c r="E374" s="464">
        <f>'Visual chart Edit'!I377</f>
        <v>447.4</v>
      </c>
      <c r="F374" s="412" t="str">
        <f>'Visual chart Edit'!K377</f>
        <v>DRY</v>
      </c>
      <c r="G374" s="412" t="str">
        <f>'Visual chart Edit'!L377</f>
        <v>E</v>
      </c>
      <c r="H374" s="412" t="s">
        <v>419</v>
      </c>
      <c r="I374" s="412" t="s">
        <v>419</v>
      </c>
      <c r="J374" s="412" t="s">
        <v>419</v>
      </c>
      <c r="K374" s="412"/>
    </row>
    <row r="375" spans="1:11" x14ac:dyDescent="0.25">
      <c r="A375" s="412">
        <f>+SUBTOTAL(3,$B$4:B375)</f>
        <v>372</v>
      </c>
      <c r="B375" s="742" t="str">
        <f>'Visual chart Edit'!B378</f>
        <v>59/14</v>
      </c>
      <c r="C375" s="412" t="str">
        <f>'Visual chart Edit'!C378</f>
        <v>DA+6</v>
      </c>
      <c r="D375" s="412" t="s">
        <v>1328</v>
      </c>
      <c r="E375" s="464">
        <f>'Visual chart Edit'!I378</f>
        <v>391.1</v>
      </c>
      <c r="F375" s="412" t="str">
        <f>'Visual chart Edit'!K378</f>
        <v>DRY</v>
      </c>
      <c r="G375" s="412" t="str">
        <f>'Visual chart Edit'!L378</f>
        <v>E</v>
      </c>
      <c r="H375" s="412" t="s">
        <v>419</v>
      </c>
      <c r="I375" s="412" t="s">
        <v>419</v>
      </c>
      <c r="J375" s="412" t="s">
        <v>419</v>
      </c>
      <c r="K375" s="412"/>
    </row>
    <row r="376" spans="1:11" x14ac:dyDescent="0.25">
      <c r="A376" s="412">
        <f>+SUBTOTAL(3,$B$4:B376)</f>
        <v>373</v>
      </c>
      <c r="B376" s="742" t="str">
        <f>'Visual chart Edit'!B379</f>
        <v>59/15</v>
      </c>
      <c r="C376" s="412" t="str">
        <f>'Visual chart Edit'!C379</f>
        <v>DA+6</v>
      </c>
      <c r="D376" s="412" t="s">
        <v>1329</v>
      </c>
      <c r="E376" s="464">
        <f>'Visual chart Edit'!I379</f>
        <v>448.6</v>
      </c>
      <c r="F376" s="412" t="str">
        <f>'Visual chart Edit'!K379</f>
        <v>DRY</v>
      </c>
      <c r="G376" s="412" t="str">
        <f>'Visual chart Edit'!L379</f>
        <v>E</v>
      </c>
      <c r="H376" s="412" t="s">
        <v>419</v>
      </c>
      <c r="I376" s="412" t="s">
        <v>419</v>
      </c>
      <c r="J376" s="412" t="s">
        <v>419</v>
      </c>
      <c r="K376" s="412"/>
    </row>
    <row r="377" spans="1:11" x14ac:dyDescent="0.25">
      <c r="A377" s="412">
        <f>+SUBTOTAL(3,$B$4:B377)</f>
        <v>374</v>
      </c>
      <c r="B377" s="742" t="str">
        <f>'Visual chart Edit'!B380</f>
        <v>59/16</v>
      </c>
      <c r="C377" s="412" t="str">
        <f>'Visual chart Edit'!C380</f>
        <v>DA+9</v>
      </c>
      <c r="D377" s="412" t="s">
        <v>1329</v>
      </c>
      <c r="E377" s="464">
        <f>'Visual chart Edit'!I380</f>
        <v>388</v>
      </c>
      <c r="F377" s="412" t="str">
        <f>'Visual chart Edit'!K380</f>
        <v>Dry</v>
      </c>
      <c r="G377" s="412" t="str">
        <f>'Visual chart Edit'!L380</f>
        <v>E</v>
      </c>
      <c r="H377" s="412" t="s">
        <v>419</v>
      </c>
      <c r="I377" s="412" t="s">
        <v>419</v>
      </c>
      <c r="J377" s="412" t="s">
        <v>419</v>
      </c>
      <c r="K377" s="412"/>
    </row>
    <row r="378" spans="1:11" x14ac:dyDescent="0.25">
      <c r="A378" s="412">
        <f>+SUBTOTAL(3,$B$4:B378)</f>
        <v>375</v>
      </c>
      <c r="B378" s="742" t="str">
        <f>'Visual chart Edit'!B381</f>
        <v>60/0</v>
      </c>
      <c r="C378" s="412" t="str">
        <f>'Visual chart Edit'!C381</f>
        <v>DC1+0</v>
      </c>
      <c r="D378" s="412" t="s">
        <v>1329</v>
      </c>
      <c r="E378" s="464">
        <f>'Visual chart Edit'!I381</f>
        <v>438</v>
      </c>
      <c r="F378" s="412" t="str">
        <f>'Visual chart Edit'!K381</f>
        <v>DRY</v>
      </c>
      <c r="G378" s="412" t="str">
        <f>'Visual chart Edit'!L381</f>
        <v>E</v>
      </c>
      <c r="H378" s="412" t="s">
        <v>419</v>
      </c>
      <c r="I378" s="412"/>
      <c r="J378" s="412" t="s">
        <v>419</v>
      </c>
      <c r="K378" s="412" t="s">
        <v>419</v>
      </c>
    </row>
    <row r="379" spans="1:11" x14ac:dyDescent="0.25">
      <c r="A379" s="412">
        <f>+SUBTOTAL(3,$B$4:B379)</f>
        <v>376</v>
      </c>
      <c r="B379" s="742" t="str">
        <f>'Visual chart Edit'!B382</f>
        <v>60/1</v>
      </c>
      <c r="C379" s="412" t="str">
        <f>'Visual chart Edit'!C382</f>
        <v>DA+6</v>
      </c>
      <c r="D379" s="412" t="s">
        <v>1329</v>
      </c>
      <c r="E379" s="464">
        <f>'Visual chart Edit'!I382</f>
        <v>413.8</v>
      </c>
      <c r="F379" s="412" t="str">
        <f>'Visual chart Edit'!K382</f>
        <v>DRY</v>
      </c>
      <c r="G379" s="412" t="str">
        <f>'Visual chart Edit'!L382</f>
        <v>E</v>
      </c>
      <c r="H379" s="412" t="s">
        <v>419</v>
      </c>
      <c r="I379" s="412" t="s">
        <v>419</v>
      </c>
      <c r="J379" s="412" t="s">
        <v>419</v>
      </c>
      <c r="K379" s="412"/>
    </row>
    <row r="380" spans="1:11" x14ac:dyDescent="0.25">
      <c r="A380" s="412">
        <f>+SUBTOTAL(3,$B$4:B380)</f>
        <v>377</v>
      </c>
      <c r="B380" s="742" t="str">
        <f>'Visual chart Edit'!B383</f>
        <v>60/2</v>
      </c>
      <c r="C380" s="412" t="str">
        <f>'Visual chart Edit'!C383</f>
        <v>DA+3</v>
      </c>
      <c r="D380" s="412" t="s">
        <v>1329</v>
      </c>
      <c r="E380" s="464">
        <f>'Visual chart Edit'!I383</f>
        <v>424.2</v>
      </c>
      <c r="F380" s="412" t="str">
        <f>'Visual chart Edit'!K383</f>
        <v>DFR</v>
      </c>
      <c r="G380" s="412" t="str">
        <f>'Visual chart Edit'!L383</f>
        <v>E</v>
      </c>
      <c r="H380" s="412" t="s">
        <v>419</v>
      </c>
      <c r="I380" s="412" t="s">
        <v>419</v>
      </c>
      <c r="J380" s="412" t="s">
        <v>419</v>
      </c>
      <c r="K380" s="412"/>
    </row>
    <row r="381" spans="1:11" x14ac:dyDescent="0.25">
      <c r="A381" s="412">
        <f>+SUBTOTAL(3,$B$4:B381)</f>
        <v>378</v>
      </c>
      <c r="B381" s="742" t="str">
        <f>'Visual chart Edit'!B384</f>
        <v>60/3</v>
      </c>
      <c r="C381" s="412" t="str">
        <f>'Visual chart Edit'!C384</f>
        <v>DA+3</v>
      </c>
      <c r="D381" s="412" t="s">
        <v>1329</v>
      </c>
      <c r="E381" s="464">
        <f>'Visual chart Edit'!I384</f>
        <v>414.5</v>
      </c>
      <c r="F381" s="412" t="str">
        <f>'Visual chart Edit'!K384</f>
        <v>DFR</v>
      </c>
      <c r="G381" s="412" t="str">
        <f>'Visual chart Edit'!L384</f>
        <v>E</v>
      </c>
      <c r="H381" s="412" t="s">
        <v>419</v>
      </c>
      <c r="I381" s="412" t="s">
        <v>419</v>
      </c>
      <c r="J381" s="412" t="s">
        <v>419</v>
      </c>
      <c r="K381" s="412"/>
    </row>
    <row r="382" spans="1:11" x14ac:dyDescent="0.25">
      <c r="A382" s="412">
        <f>+SUBTOTAL(3,$B$4:B382)</f>
        <v>379</v>
      </c>
      <c r="B382" s="742" t="str">
        <f>'Visual chart Edit'!B385</f>
        <v>60/4</v>
      </c>
      <c r="C382" s="412" t="str">
        <f>'Visual chart Edit'!C385</f>
        <v>DA+3</v>
      </c>
      <c r="D382" s="412" t="s">
        <v>1330</v>
      </c>
      <c r="E382" s="464">
        <f>'Visual chart Edit'!I385</f>
        <v>425.6</v>
      </c>
      <c r="F382" s="412" t="str">
        <f>'Visual chart Edit'!K385</f>
        <v>DFR</v>
      </c>
      <c r="G382" s="412" t="str">
        <f>'Visual chart Edit'!L385</f>
        <v>E</v>
      </c>
      <c r="H382" s="412" t="s">
        <v>419</v>
      </c>
      <c r="I382" s="412" t="s">
        <v>419</v>
      </c>
      <c r="J382" s="412" t="s">
        <v>419</v>
      </c>
      <c r="K382" s="412"/>
    </row>
    <row r="383" spans="1:11" x14ac:dyDescent="0.25">
      <c r="A383" s="412">
        <f>+SUBTOTAL(3,$B$4:B383)</f>
        <v>380</v>
      </c>
      <c r="B383" s="742" t="str">
        <f>'Visual chart Edit'!B386</f>
        <v>60/5</v>
      </c>
      <c r="C383" s="412" t="str">
        <f>'Visual chart Edit'!C386</f>
        <v>DA+3</v>
      </c>
      <c r="D383" s="412" t="s">
        <v>1330</v>
      </c>
      <c r="E383" s="464">
        <f>'Visual chart Edit'!I386</f>
        <v>412.3</v>
      </c>
      <c r="F383" s="412" t="str">
        <f>'Visual chart Edit'!K386</f>
        <v>DRY</v>
      </c>
      <c r="G383" s="412" t="str">
        <f>'Visual chart Edit'!L386</f>
        <v>E</v>
      </c>
      <c r="H383" s="412" t="s">
        <v>419</v>
      </c>
      <c r="I383" s="412" t="s">
        <v>419</v>
      </c>
      <c r="J383" s="412" t="s">
        <v>419</v>
      </c>
      <c r="K383" s="412"/>
    </row>
    <row r="384" spans="1:11" x14ac:dyDescent="0.25">
      <c r="A384" s="412">
        <f>+SUBTOTAL(3,$B$4:B384)</f>
        <v>381</v>
      </c>
      <c r="B384" s="742" t="str">
        <f>'Visual chart Edit'!B387</f>
        <v>60/6</v>
      </c>
      <c r="C384" s="412" t="str">
        <f>'Visual chart Edit'!C387</f>
        <v>DA+0</v>
      </c>
      <c r="D384" s="412" t="s">
        <v>1330</v>
      </c>
      <c r="E384" s="464">
        <f>'Visual chart Edit'!I387</f>
        <v>374.1</v>
      </c>
      <c r="F384" s="412" t="str">
        <f>'Visual chart Edit'!K387</f>
        <v>DRY</v>
      </c>
      <c r="G384" s="412" t="str">
        <f>'Visual chart Edit'!L387</f>
        <v>E</v>
      </c>
      <c r="H384" s="412" t="s">
        <v>419</v>
      </c>
      <c r="I384" s="412" t="s">
        <v>419</v>
      </c>
      <c r="J384" s="412" t="s">
        <v>419</v>
      </c>
      <c r="K384" s="412"/>
    </row>
    <row r="385" spans="1:11" x14ac:dyDescent="0.25">
      <c r="A385" s="412">
        <f>+SUBTOTAL(3,$B$4:B385)</f>
        <v>382</v>
      </c>
      <c r="B385" s="742" t="str">
        <f>'Visual chart Edit'!B388</f>
        <v>60/7</v>
      </c>
      <c r="C385" s="412" t="str">
        <f>'Visual chart Edit'!C388</f>
        <v>DA+3</v>
      </c>
      <c r="D385" s="412" t="s">
        <v>1330</v>
      </c>
      <c r="E385" s="464">
        <f>'Visual chart Edit'!I388</f>
        <v>410.1</v>
      </c>
      <c r="F385" s="412" t="str">
        <f>'Visual chart Edit'!K388</f>
        <v>DRY</v>
      </c>
      <c r="G385" s="412" t="str">
        <f>'Visual chart Edit'!L388</f>
        <v>E</v>
      </c>
      <c r="H385" s="412" t="s">
        <v>419</v>
      </c>
      <c r="I385" s="412" t="s">
        <v>419</v>
      </c>
      <c r="J385" s="412" t="s">
        <v>419</v>
      </c>
      <c r="K385" s="412"/>
    </row>
    <row r="386" spans="1:11" x14ac:dyDescent="0.25">
      <c r="A386" s="412">
        <f>+SUBTOTAL(3,$B$4:B386)</f>
        <v>383</v>
      </c>
      <c r="B386" s="742" t="str">
        <f>'Visual chart Edit'!B389</f>
        <v>60/8</v>
      </c>
      <c r="C386" s="412" t="str">
        <f>'Visual chart Edit'!C389</f>
        <v>DA+0</v>
      </c>
      <c r="D386" s="412" t="s">
        <v>1330</v>
      </c>
      <c r="E386" s="464">
        <f>'Visual chart Edit'!I389</f>
        <v>400.4</v>
      </c>
      <c r="F386" s="412" t="str">
        <f>'Visual chart Edit'!K389</f>
        <v>DRY</v>
      </c>
      <c r="G386" s="412" t="str">
        <f>'Visual chart Edit'!L389</f>
        <v>E</v>
      </c>
      <c r="H386" s="412" t="s">
        <v>419</v>
      </c>
      <c r="I386" s="412" t="s">
        <v>419</v>
      </c>
      <c r="J386" s="412" t="s">
        <v>419</v>
      </c>
      <c r="K386" s="412"/>
    </row>
    <row r="387" spans="1:11" x14ac:dyDescent="0.25">
      <c r="A387" s="412">
        <f>+SUBTOTAL(3,$B$4:B387)</f>
        <v>384</v>
      </c>
      <c r="B387" s="742" t="str">
        <f>'Visual chart Edit'!B390</f>
        <v>60/9</v>
      </c>
      <c r="C387" s="412" t="str">
        <f>'Visual chart Edit'!C390</f>
        <v>DA+3</v>
      </c>
      <c r="D387" s="412" t="s">
        <v>1330</v>
      </c>
      <c r="E387" s="464">
        <f>'Visual chart Edit'!I390</f>
        <v>409.2</v>
      </c>
      <c r="F387" s="412" t="str">
        <f>'Visual chart Edit'!K390</f>
        <v>DRY</v>
      </c>
      <c r="G387" s="412" t="str">
        <f>'Visual chart Edit'!L390</f>
        <v>E</v>
      </c>
      <c r="H387" s="412" t="s">
        <v>419</v>
      </c>
      <c r="I387" s="412" t="s">
        <v>419</v>
      </c>
      <c r="J387" s="412" t="s">
        <v>419</v>
      </c>
      <c r="K387" s="412"/>
    </row>
    <row r="388" spans="1:11" x14ac:dyDescent="0.25">
      <c r="A388" s="412">
        <f>+SUBTOTAL(3,$B$4:B388)</f>
        <v>385</v>
      </c>
      <c r="B388" s="742" t="str">
        <f>'Visual chart Edit'!B391</f>
        <v>60/10</v>
      </c>
      <c r="C388" s="412" t="str">
        <f>'Visual chart Edit'!C391</f>
        <v>DA+0</v>
      </c>
      <c r="D388" s="412" t="s">
        <v>1330</v>
      </c>
      <c r="E388" s="464">
        <f>'Visual chart Edit'!I391</f>
        <v>401</v>
      </c>
      <c r="F388" s="412" t="str">
        <f>'Visual chart Edit'!K391</f>
        <v>DFR</v>
      </c>
      <c r="G388" s="412" t="str">
        <f>'Visual chart Edit'!L391</f>
        <v>E</v>
      </c>
      <c r="H388" s="412" t="s">
        <v>419</v>
      </c>
      <c r="I388" s="412" t="s">
        <v>419</v>
      </c>
      <c r="J388" s="412" t="s">
        <v>419</v>
      </c>
      <c r="K388" s="412"/>
    </row>
    <row r="389" spans="1:11" x14ac:dyDescent="0.25">
      <c r="A389" s="412">
        <f>+SUBTOTAL(3,$B$4:B389)</f>
        <v>386</v>
      </c>
      <c r="B389" s="742" t="str">
        <f>'Visual chart Edit'!B392</f>
        <v>60/11</v>
      </c>
      <c r="C389" s="412" t="str">
        <f>'Visual chart Edit'!C392</f>
        <v>DA+3</v>
      </c>
      <c r="D389" s="412" t="s">
        <v>1330</v>
      </c>
      <c r="E389" s="464">
        <f>'Visual chart Edit'!I392</f>
        <v>394.5</v>
      </c>
      <c r="F389" s="412" t="str">
        <f>'Visual chart Edit'!K392</f>
        <v>DRY</v>
      </c>
      <c r="G389" s="412" t="str">
        <f>'Visual chart Edit'!L392</f>
        <v>E</v>
      </c>
      <c r="H389" s="412" t="s">
        <v>419</v>
      </c>
      <c r="I389" s="412" t="s">
        <v>419</v>
      </c>
      <c r="J389" s="412" t="s">
        <v>419</v>
      </c>
      <c r="K389" s="412"/>
    </row>
    <row r="390" spans="1:11" x14ac:dyDescent="0.25">
      <c r="A390" s="412">
        <f>+SUBTOTAL(3,$B$4:B390)</f>
        <v>387</v>
      </c>
      <c r="B390" s="742" t="str">
        <f>'Visual chart Edit'!B393</f>
        <v>61/0</v>
      </c>
      <c r="C390" s="412" t="str">
        <f>'Visual chart Edit'!C393</f>
        <v>DB2+0</v>
      </c>
      <c r="D390" s="412" t="s">
        <v>1330</v>
      </c>
      <c r="E390" s="464">
        <f>'Visual chart Edit'!I393</f>
        <v>397.9</v>
      </c>
      <c r="F390" s="412" t="str">
        <f>'Visual chart Edit'!K393</f>
        <v>DRY</v>
      </c>
      <c r="G390" s="412" t="str">
        <f>'Visual chart Edit'!L393</f>
        <v>E</v>
      </c>
      <c r="H390" s="412" t="s">
        <v>419</v>
      </c>
      <c r="I390" s="412"/>
      <c r="J390" s="412" t="s">
        <v>419</v>
      </c>
      <c r="K390" s="412" t="s">
        <v>419</v>
      </c>
    </row>
    <row r="391" spans="1:11" x14ac:dyDescent="0.25">
      <c r="A391" s="412">
        <f>+SUBTOTAL(3,$B$4:B391)</f>
        <v>388</v>
      </c>
      <c r="B391" s="742" t="str">
        <f>'Visual chart Edit'!B394</f>
        <v>61/1</v>
      </c>
      <c r="C391" s="412" t="str">
        <f>'Visual chart Edit'!C394</f>
        <v>DA+6</v>
      </c>
      <c r="D391" s="412" t="s">
        <v>1331</v>
      </c>
      <c r="E391" s="464">
        <f>'Visual chart Edit'!I394</f>
        <v>405.7</v>
      </c>
      <c r="F391" s="412" t="str">
        <f>'Visual chart Edit'!K394</f>
        <v>DFR</v>
      </c>
      <c r="G391" s="412" t="str">
        <f>'Visual chart Edit'!L394</f>
        <v>E</v>
      </c>
      <c r="H391" s="412" t="s">
        <v>419</v>
      </c>
      <c r="I391" s="412" t="s">
        <v>419</v>
      </c>
      <c r="J391" s="412" t="s">
        <v>419</v>
      </c>
      <c r="K391" s="412"/>
    </row>
    <row r="392" spans="1:11" x14ac:dyDescent="0.25">
      <c r="A392" s="412">
        <f>+SUBTOTAL(3,$B$4:B392)</f>
        <v>389</v>
      </c>
      <c r="B392" s="742" t="str">
        <f>'Visual chart Edit'!B395</f>
        <v>61/2</v>
      </c>
      <c r="C392" s="412" t="str">
        <f>'Visual chart Edit'!C395</f>
        <v>DA+6</v>
      </c>
      <c r="D392" s="412" t="s">
        <v>1331</v>
      </c>
      <c r="E392" s="464">
        <f>'Visual chart Edit'!I395</f>
        <v>433.2</v>
      </c>
      <c r="F392" s="412" t="str">
        <f>'Visual chart Edit'!K395</f>
        <v>DFR</v>
      </c>
      <c r="G392" s="412" t="str">
        <f>'Visual chart Edit'!L395</f>
        <v>E</v>
      </c>
      <c r="H392" s="412" t="s">
        <v>419</v>
      </c>
      <c r="I392" s="412" t="s">
        <v>419</v>
      </c>
      <c r="J392" s="412" t="s">
        <v>419</v>
      </c>
      <c r="K392" s="412"/>
    </row>
    <row r="393" spans="1:11" x14ac:dyDescent="0.25">
      <c r="A393" s="412">
        <f>+SUBTOTAL(3,$B$4:B393)</f>
        <v>390</v>
      </c>
      <c r="B393" s="742" t="str">
        <f>'Visual chart Edit'!B396</f>
        <v>61/3</v>
      </c>
      <c r="C393" s="412" t="str">
        <f>'Visual chart Edit'!C396</f>
        <v>DA+6</v>
      </c>
      <c r="D393" s="412" t="s">
        <v>1331</v>
      </c>
      <c r="E393" s="464">
        <f>'Visual chart Edit'!I396</f>
        <v>400.9</v>
      </c>
      <c r="F393" s="412" t="str">
        <f>'Visual chart Edit'!K396</f>
        <v>DRY</v>
      </c>
      <c r="G393" s="412" t="str">
        <f>'Visual chart Edit'!L396</f>
        <v>E</v>
      </c>
      <c r="H393" s="412" t="s">
        <v>419</v>
      </c>
      <c r="I393" s="412" t="s">
        <v>419</v>
      </c>
      <c r="J393" s="412" t="s">
        <v>419</v>
      </c>
      <c r="K393" s="412"/>
    </row>
    <row r="394" spans="1:11" x14ac:dyDescent="0.25">
      <c r="A394" s="412">
        <f>+SUBTOTAL(3,$B$4:B394)</f>
        <v>391</v>
      </c>
      <c r="B394" s="742" t="str">
        <f>'Visual chart Edit'!B397</f>
        <v>61/4</v>
      </c>
      <c r="C394" s="412" t="str">
        <f>'Visual chart Edit'!C397</f>
        <v>DA+3</v>
      </c>
      <c r="D394" s="412" t="s">
        <v>1331</v>
      </c>
      <c r="E394" s="464">
        <f>'Visual chart Edit'!I397</f>
        <v>427</v>
      </c>
      <c r="F394" s="412" t="str">
        <f>'Visual chart Edit'!K397</f>
        <v>DRY</v>
      </c>
      <c r="G394" s="412" t="str">
        <f>'Visual chart Edit'!L397</f>
        <v>E</v>
      </c>
      <c r="H394" s="412" t="s">
        <v>419</v>
      </c>
      <c r="I394" s="412" t="s">
        <v>419</v>
      </c>
      <c r="J394" s="412" t="s">
        <v>419</v>
      </c>
      <c r="K394" s="412"/>
    </row>
    <row r="395" spans="1:11" x14ac:dyDescent="0.25">
      <c r="A395" s="412">
        <f>+SUBTOTAL(3,$B$4:B395)</f>
        <v>392</v>
      </c>
      <c r="B395" s="742" t="str">
        <f>'Visual chart Edit'!B398</f>
        <v>61/5</v>
      </c>
      <c r="C395" s="412" t="str">
        <f>'Visual chart Edit'!C398</f>
        <v>DA+3</v>
      </c>
      <c r="D395" s="412" t="s">
        <v>1331</v>
      </c>
      <c r="E395" s="464">
        <f>'Visual chart Edit'!I398</f>
        <v>413.9</v>
      </c>
      <c r="F395" s="412" t="str">
        <f>'Visual chart Edit'!K398</f>
        <v>DRY</v>
      </c>
      <c r="G395" s="412" t="str">
        <f>'Visual chart Edit'!L398</f>
        <v>E</v>
      </c>
      <c r="H395" s="412" t="s">
        <v>419</v>
      </c>
      <c r="I395" s="412" t="s">
        <v>419</v>
      </c>
      <c r="J395" s="412" t="s">
        <v>419</v>
      </c>
      <c r="K395" s="412"/>
    </row>
    <row r="396" spans="1:11" x14ac:dyDescent="0.25">
      <c r="A396" s="412">
        <f>+SUBTOTAL(3,$B$4:B396)</f>
        <v>393</v>
      </c>
      <c r="B396" s="742" t="str">
        <f>'Visual chart Edit'!B399</f>
        <v>61/6</v>
      </c>
      <c r="C396" s="412" t="str">
        <f>'Visual chart Edit'!C399</f>
        <v>DA+3</v>
      </c>
      <c r="D396" s="412" t="s">
        <v>1331</v>
      </c>
      <c r="E396" s="464">
        <f>'Visual chart Edit'!I399</f>
        <v>426.4</v>
      </c>
      <c r="F396" s="412" t="str">
        <f>'Visual chart Edit'!K399</f>
        <v>DRY</v>
      </c>
      <c r="G396" s="412" t="str">
        <f>'Visual chart Edit'!L399</f>
        <v>E</v>
      </c>
      <c r="H396" s="412" t="s">
        <v>419</v>
      </c>
      <c r="I396" s="412" t="s">
        <v>419</v>
      </c>
      <c r="J396" s="412" t="s">
        <v>419</v>
      </c>
      <c r="K396" s="412"/>
    </row>
    <row r="397" spans="1:11" x14ac:dyDescent="0.25">
      <c r="A397" s="412">
        <f>+SUBTOTAL(3,$B$4:B397)</f>
        <v>394</v>
      </c>
      <c r="B397" s="742" t="str">
        <f>'Visual chart Edit'!B400</f>
        <v>61/7</v>
      </c>
      <c r="C397" s="412" t="str">
        <f>'Visual chart Edit'!C400</f>
        <v>DA+9</v>
      </c>
      <c r="D397" s="412" t="s">
        <v>1331</v>
      </c>
      <c r="E397" s="464">
        <f>'Visual chart Edit'!I400</f>
        <v>411.5</v>
      </c>
      <c r="F397" s="412" t="str">
        <f>'Visual chart Edit'!K400</f>
        <v>Dry</v>
      </c>
      <c r="G397" s="412" t="str">
        <f>'Visual chart Edit'!L400</f>
        <v>E</v>
      </c>
      <c r="H397" s="412" t="s">
        <v>419</v>
      </c>
      <c r="I397" s="412" t="s">
        <v>419</v>
      </c>
      <c r="J397" s="412" t="s">
        <v>419</v>
      </c>
      <c r="K397" s="412"/>
    </row>
    <row r="398" spans="1:11" x14ac:dyDescent="0.25">
      <c r="A398" s="412">
        <f>+SUBTOTAL(3,$B$4:B398)</f>
        <v>395</v>
      </c>
      <c r="B398" s="742" t="str">
        <f>'Visual chart Edit'!B401</f>
        <v>61/8</v>
      </c>
      <c r="C398" s="412" t="str">
        <f>'Visual chart Edit'!C401</f>
        <v>DA+6</v>
      </c>
      <c r="D398" s="412" t="s">
        <v>1331</v>
      </c>
      <c r="E398" s="464">
        <f>'Visual chart Edit'!I401</f>
        <v>376.3</v>
      </c>
      <c r="F398" s="412" t="str">
        <f>'Visual chart Edit'!K401</f>
        <v>DRY</v>
      </c>
      <c r="G398" s="412" t="str">
        <f>'Visual chart Edit'!L401</f>
        <v>E</v>
      </c>
      <c r="H398" s="412" t="s">
        <v>419</v>
      </c>
      <c r="I398" s="412" t="s">
        <v>419</v>
      </c>
      <c r="J398" s="412" t="s">
        <v>419</v>
      </c>
      <c r="K398" s="412"/>
    </row>
    <row r="399" spans="1:11" x14ac:dyDescent="0.25">
      <c r="A399" s="412">
        <f>+SUBTOTAL(3,$B$4:B399)</f>
        <v>396</v>
      </c>
      <c r="B399" s="742" t="str">
        <f>'Visual chart Edit'!B402</f>
        <v>61/9</v>
      </c>
      <c r="C399" s="412" t="str">
        <f>'Visual chart Edit'!C402</f>
        <v>DA+0</v>
      </c>
      <c r="D399" s="412" t="s">
        <v>1331</v>
      </c>
      <c r="E399" s="464">
        <f>'Visual chart Edit'!I402</f>
        <v>433.4</v>
      </c>
      <c r="F399" s="412" t="str">
        <f>'Visual chart Edit'!K402</f>
        <v>Dry</v>
      </c>
      <c r="G399" s="412" t="str">
        <f>'Visual chart Edit'!L402</f>
        <v>E</v>
      </c>
      <c r="H399" s="412" t="s">
        <v>419</v>
      </c>
      <c r="I399" s="412" t="s">
        <v>419</v>
      </c>
      <c r="J399" s="412" t="s">
        <v>419</v>
      </c>
      <c r="K399" s="412"/>
    </row>
    <row r="400" spans="1:11" x14ac:dyDescent="0.25">
      <c r="A400" s="412">
        <f>+SUBTOTAL(3,$B$4:B400)</f>
        <v>397</v>
      </c>
      <c r="B400" s="742" t="str">
        <f>'Visual chart Edit'!B403</f>
        <v>61/10</v>
      </c>
      <c r="C400" s="412" t="str">
        <f>'Visual chart Edit'!C403</f>
        <v>DA+9</v>
      </c>
      <c r="D400" s="412" t="s">
        <v>1332</v>
      </c>
      <c r="E400" s="464">
        <f>'Visual chart Edit'!I403</f>
        <v>405.6</v>
      </c>
      <c r="F400" s="412" t="str">
        <f>'Visual chart Edit'!K403</f>
        <v>DRY</v>
      </c>
      <c r="G400" s="412" t="str">
        <f>'Visual chart Edit'!L403</f>
        <v>E</v>
      </c>
      <c r="H400" s="412" t="s">
        <v>419</v>
      </c>
      <c r="I400" s="412" t="s">
        <v>419</v>
      </c>
      <c r="J400" s="412" t="s">
        <v>419</v>
      </c>
      <c r="K400" s="412"/>
    </row>
    <row r="401" spans="1:11" x14ac:dyDescent="0.25">
      <c r="A401" s="412">
        <f>+SUBTOTAL(3,$B$4:B401)</f>
        <v>398</v>
      </c>
      <c r="B401" s="742" t="str">
        <f>'Visual chart Edit'!B404</f>
        <v>62/0</v>
      </c>
      <c r="C401" s="412" t="str">
        <f>'Visual chart Edit'!C404</f>
        <v>DB2+0</v>
      </c>
      <c r="D401" s="412" t="s">
        <v>1332</v>
      </c>
      <c r="E401" s="464">
        <f>'Visual chart Edit'!I404</f>
        <v>434.3</v>
      </c>
      <c r="F401" s="412" t="str">
        <f>'Visual chart Edit'!K404</f>
        <v>DRY</v>
      </c>
      <c r="G401" s="412" t="str">
        <f>'Visual chart Edit'!L404</f>
        <v>E</v>
      </c>
      <c r="H401" s="412" t="s">
        <v>419</v>
      </c>
      <c r="I401" s="412"/>
      <c r="J401" s="412" t="s">
        <v>419</v>
      </c>
      <c r="K401" s="412" t="s">
        <v>419</v>
      </c>
    </row>
    <row r="402" spans="1:11" x14ac:dyDescent="0.25">
      <c r="A402" s="412">
        <f>+SUBTOTAL(3,$B$4:B402)</f>
        <v>399</v>
      </c>
      <c r="B402" s="742" t="str">
        <f>'Visual chart Edit'!B405</f>
        <v>62/1</v>
      </c>
      <c r="C402" s="412" t="str">
        <f>'Visual chart Edit'!C405</f>
        <v>DA+3</v>
      </c>
      <c r="D402" s="412" t="s">
        <v>1332</v>
      </c>
      <c r="E402" s="464">
        <f>'Visual chart Edit'!I405</f>
        <v>418</v>
      </c>
      <c r="F402" s="412" t="str">
        <f>'Visual chart Edit'!K405</f>
        <v>Sandy</v>
      </c>
      <c r="G402" s="412" t="str">
        <f>'Visual chart Edit'!L405</f>
        <v>E</v>
      </c>
      <c r="H402" s="412" t="s">
        <v>419</v>
      </c>
      <c r="I402" s="412" t="s">
        <v>419</v>
      </c>
      <c r="J402" s="412" t="s">
        <v>419</v>
      </c>
      <c r="K402" s="412"/>
    </row>
    <row r="403" spans="1:11" x14ac:dyDescent="0.25">
      <c r="A403" s="412">
        <f>+SUBTOTAL(3,$B$4:B403)</f>
        <v>400</v>
      </c>
      <c r="B403" s="742" t="str">
        <f>'Visual chart Edit'!B406</f>
        <v>62/2</v>
      </c>
      <c r="C403" s="412" t="str">
        <f>'Visual chart Edit'!C406</f>
        <v>DA+3</v>
      </c>
      <c r="D403" s="412" t="s">
        <v>1332</v>
      </c>
      <c r="E403" s="464">
        <f>'Visual chart Edit'!I406</f>
        <v>386</v>
      </c>
      <c r="F403" s="412" t="str">
        <f>'Visual chart Edit'!K406</f>
        <v>DRY</v>
      </c>
      <c r="G403" s="412" t="str">
        <f>'Visual chart Edit'!L406</f>
        <v>E</v>
      </c>
      <c r="H403" s="412" t="s">
        <v>419</v>
      </c>
      <c r="I403" s="412" t="s">
        <v>419</v>
      </c>
      <c r="J403" s="412" t="s">
        <v>419</v>
      </c>
      <c r="K403" s="412"/>
    </row>
    <row r="404" spans="1:11" x14ac:dyDescent="0.25">
      <c r="A404" s="412">
        <f>+SUBTOTAL(3,$B$4:B404)</f>
        <v>401</v>
      </c>
      <c r="B404" s="742" t="str">
        <f>'Visual chart Edit'!B407</f>
        <v>62/3</v>
      </c>
      <c r="C404" s="412" t="str">
        <f>'Visual chart Edit'!C407</f>
        <v>DA+0</v>
      </c>
      <c r="D404" s="412" t="s">
        <v>1332</v>
      </c>
      <c r="E404" s="464">
        <f>'Visual chart Edit'!I407</f>
        <v>400</v>
      </c>
      <c r="F404" s="412" t="str">
        <f>'Visual chart Edit'!K407</f>
        <v>DRY</v>
      </c>
      <c r="G404" s="412" t="str">
        <f>'Visual chart Edit'!L407</f>
        <v>E</v>
      </c>
      <c r="H404" s="412" t="s">
        <v>419</v>
      </c>
      <c r="I404" s="412" t="s">
        <v>419</v>
      </c>
      <c r="J404" s="412" t="s">
        <v>419</v>
      </c>
      <c r="K404" s="412"/>
    </row>
    <row r="405" spans="1:11" x14ac:dyDescent="0.25">
      <c r="A405" s="412">
        <f>+SUBTOTAL(3,$B$4:B405)</f>
        <v>402</v>
      </c>
      <c r="B405" s="742" t="str">
        <f>'Visual chart Edit'!B408</f>
        <v>62/4</v>
      </c>
      <c r="C405" s="412" t="str">
        <f>'Visual chart Edit'!C408</f>
        <v>DA+3</v>
      </c>
      <c r="D405" s="412" t="s">
        <v>1332</v>
      </c>
      <c r="E405" s="464">
        <f>'Visual chart Edit'!I408</f>
        <v>401</v>
      </c>
      <c r="F405" s="412" t="str">
        <f>'Visual chart Edit'!K408</f>
        <v>DRY</v>
      </c>
      <c r="G405" s="412" t="str">
        <f>'Visual chart Edit'!L408</f>
        <v>E</v>
      </c>
      <c r="H405" s="412" t="s">
        <v>419</v>
      </c>
      <c r="I405" s="412" t="s">
        <v>419</v>
      </c>
      <c r="J405" s="412" t="s">
        <v>419</v>
      </c>
      <c r="K405" s="412"/>
    </row>
    <row r="406" spans="1:11" x14ac:dyDescent="0.25">
      <c r="A406" s="412">
        <f>+SUBTOTAL(3,$B$4:B406)</f>
        <v>403</v>
      </c>
      <c r="B406" s="742" t="str">
        <f>'Visual chart Edit'!B409</f>
        <v>62/5</v>
      </c>
      <c r="C406" s="412" t="str">
        <f>'Visual chart Edit'!C409</f>
        <v>DA+0</v>
      </c>
      <c r="D406" s="412" t="s">
        <v>1332</v>
      </c>
      <c r="E406" s="464">
        <f>'Visual chart Edit'!I409</f>
        <v>403</v>
      </c>
      <c r="F406" s="412" t="str">
        <f>'Visual chart Edit'!K409</f>
        <v>DRY</v>
      </c>
      <c r="G406" s="412" t="str">
        <f>'Visual chart Edit'!L409</f>
        <v>E</v>
      </c>
      <c r="H406" s="412" t="s">
        <v>419</v>
      </c>
      <c r="I406" s="412" t="s">
        <v>419</v>
      </c>
      <c r="J406" s="412" t="s">
        <v>419</v>
      </c>
      <c r="K406" s="412"/>
    </row>
    <row r="407" spans="1:11" x14ac:dyDescent="0.25">
      <c r="A407" s="412">
        <f>+SUBTOTAL(3,$B$4:B407)</f>
        <v>404</v>
      </c>
      <c r="B407" s="742" t="str">
        <f>'Visual chart Edit'!B410</f>
        <v>62/6</v>
      </c>
      <c r="C407" s="412" t="str">
        <f>'Visual chart Edit'!C410</f>
        <v>DA+3</v>
      </c>
      <c r="D407" s="412" t="s">
        <v>1332</v>
      </c>
      <c r="E407" s="464">
        <f>'Visual chart Edit'!I410</f>
        <v>404</v>
      </c>
      <c r="F407" s="412" t="str">
        <f>'Visual chart Edit'!K410</f>
        <v>DRY</v>
      </c>
      <c r="G407" s="412" t="str">
        <f>'Visual chart Edit'!L410</f>
        <v>E</v>
      </c>
      <c r="H407" s="412" t="s">
        <v>419</v>
      </c>
      <c r="I407" s="412" t="s">
        <v>419</v>
      </c>
      <c r="J407" s="412" t="s">
        <v>419</v>
      </c>
      <c r="K407" s="412"/>
    </row>
    <row r="408" spans="1:11" x14ac:dyDescent="0.25">
      <c r="A408" s="412">
        <f>+SUBTOTAL(3,$B$4:B408)</f>
        <v>405</v>
      </c>
      <c r="B408" s="742" t="str">
        <f>'Visual chart Edit'!B411</f>
        <v>62/7</v>
      </c>
      <c r="C408" s="412" t="str">
        <f>'Visual chart Edit'!C411</f>
        <v>DA+3</v>
      </c>
      <c r="D408" s="412" t="s">
        <v>1332</v>
      </c>
      <c r="E408" s="464">
        <f>'Visual chart Edit'!I411</f>
        <v>423</v>
      </c>
      <c r="F408" s="412" t="str">
        <f>'Visual chart Edit'!K411</f>
        <v>DRY</v>
      </c>
      <c r="G408" s="412" t="str">
        <f>'Visual chart Edit'!L411</f>
        <v>E</v>
      </c>
      <c r="H408" s="412" t="s">
        <v>419</v>
      </c>
      <c r="I408" s="412" t="s">
        <v>419</v>
      </c>
      <c r="J408" s="412" t="s">
        <v>419</v>
      </c>
      <c r="K408" s="412"/>
    </row>
    <row r="409" spans="1:11" x14ac:dyDescent="0.25">
      <c r="A409" s="412">
        <f>+SUBTOTAL(3,$B$4:B409)</f>
        <v>406</v>
      </c>
      <c r="B409" s="742" t="str">
        <f>'Visual chart Edit'!B412</f>
        <v>62/8</v>
      </c>
      <c r="C409" s="412" t="str">
        <f>'Visual chart Edit'!C412</f>
        <v>DA+0</v>
      </c>
      <c r="D409" s="412" t="s">
        <v>1333</v>
      </c>
      <c r="E409" s="464">
        <f>'Visual chart Edit'!I412</f>
        <v>409</v>
      </c>
      <c r="F409" s="412" t="str">
        <f>'Visual chart Edit'!K412</f>
        <v>DFR</v>
      </c>
      <c r="G409" s="412" t="str">
        <f>'Visual chart Edit'!L412</f>
        <v>E</v>
      </c>
      <c r="H409" s="412" t="s">
        <v>419</v>
      </c>
      <c r="I409" s="412" t="s">
        <v>419</v>
      </c>
      <c r="J409" s="412" t="s">
        <v>419</v>
      </c>
      <c r="K409" s="412"/>
    </row>
    <row r="410" spans="1:11" x14ac:dyDescent="0.25">
      <c r="A410" s="412">
        <f>+SUBTOTAL(3,$B$4:B410)</f>
        <v>407</v>
      </c>
      <c r="B410" s="742" t="str">
        <f>'Visual chart Edit'!B413</f>
        <v>62/9</v>
      </c>
      <c r="C410" s="412" t="str">
        <f>'Visual chart Edit'!C413</f>
        <v>DA+3</v>
      </c>
      <c r="D410" s="412" t="s">
        <v>1333</v>
      </c>
      <c r="E410" s="464">
        <f>'Visual chart Edit'!I413</f>
        <v>409</v>
      </c>
      <c r="F410" s="412" t="str">
        <f>'Visual chart Edit'!K413</f>
        <v>DFR</v>
      </c>
      <c r="G410" s="412" t="str">
        <f>'Visual chart Edit'!L413</f>
        <v>E</v>
      </c>
      <c r="H410" s="412" t="s">
        <v>419</v>
      </c>
      <c r="I410" s="412" t="s">
        <v>419</v>
      </c>
      <c r="J410" s="412" t="s">
        <v>419</v>
      </c>
      <c r="K410" s="412"/>
    </row>
    <row r="411" spans="1:11" x14ac:dyDescent="0.25">
      <c r="A411" s="412">
        <f>+SUBTOTAL(3,$B$4:B411)</f>
        <v>408</v>
      </c>
      <c r="B411" s="742" t="str">
        <f>'Visual chart Edit'!B414</f>
        <v>62/10</v>
      </c>
      <c r="C411" s="412" t="str">
        <f>'Visual chart Edit'!C414</f>
        <v>DA+0</v>
      </c>
      <c r="D411" s="412" t="s">
        <v>1333</v>
      </c>
      <c r="E411" s="464">
        <f>'Visual chart Edit'!I414</f>
        <v>411</v>
      </c>
      <c r="F411" s="412" t="str">
        <f>'Visual chart Edit'!K414</f>
        <v>DFR</v>
      </c>
      <c r="G411" s="412" t="str">
        <f>'Visual chart Edit'!L414</f>
        <v>E</v>
      </c>
      <c r="H411" s="412" t="s">
        <v>419</v>
      </c>
      <c r="I411" s="412" t="s">
        <v>419</v>
      </c>
      <c r="J411" s="412" t="s">
        <v>419</v>
      </c>
      <c r="K411" s="412"/>
    </row>
    <row r="412" spans="1:11" x14ac:dyDescent="0.25">
      <c r="A412" s="412">
        <f>+SUBTOTAL(3,$B$4:B412)</f>
        <v>409</v>
      </c>
      <c r="B412" s="742" t="str">
        <f>'Visual chart Edit'!B415</f>
        <v>62/11</v>
      </c>
      <c r="C412" s="412" t="str">
        <f>'Visual chart Edit'!C415</f>
        <v>DA+3</v>
      </c>
      <c r="D412" s="412" t="s">
        <v>1333</v>
      </c>
      <c r="E412" s="464">
        <f>'Visual chart Edit'!I415</f>
        <v>413</v>
      </c>
      <c r="F412" s="412" t="str">
        <f>'Visual chart Edit'!K415</f>
        <v>DRY</v>
      </c>
      <c r="G412" s="412" t="str">
        <f>'Visual chart Edit'!L415</f>
        <v>E</v>
      </c>
      <c r="H412" s="412" t="s">
        <v>419</v>
      </c>
      <c r="I412" s="412" t="s">
        <v>419</v>
      </c>
      <c r="J412" s="412" t="s">
        <v>419</v>
      </c>
      <c r="K412" s="412"/>
    </row>
    <row r="413" spans="1:11" x14ac:dyDescent="0.25">
      <c r="A413" s="412">
        <f>+SUBTOTAL(3,$B$4:B413)</f>
        <v>410</v>
      </c>
      <c r="B413" s="742" t="str">
        <f>'Visual chart Edit'!B416</f>
        <v>63/0</v>
      </c>
      <c r="C413" s="412" t="str">
        <f>'Visual chart Edit'!C416</f>
        <v>DC1+0</v>
      </c>
      <c r="D413" s="412" t="s">
        <v>1334</v>
      </c>
      <c r="E413" s="464">
        <f>'Visual chart Edit'!I416</f>
        <v>386.1</v>
      </c>
      <c r="F413" s="412" t="str">
        <f>'Visual chart Edit'!K416</f>
        <v>DFR</v>
      </c>
      <c r="G413" s="412" t="str">
        <f>'Visual chart Edit'!L416</f>
        <v>E</v>
      </c>
      <c r="H413" s="412" t="s">
        <v>419</v>
      </c>
      <c r="I413" s="412"/>
      <c r="J413" s="412" t="s">
        <v>419</v>
      </c>
      <c r="K413" s="412" t="s">
        <v>419</v>
      </c>
    </row>
    <row r="414" spans="1:11" x14ac:dyDescent="0.25">
      <c r="A414" s="412">
        <f>+SUBTOTAL(3,$B$4:B414)</f>
        <v>411</v>
      </c>
      <c r="B414" s="742" t="str">
        <f>'Visual chart Edit'!B417</f>
        <v>63/1</v>
      </c>
      <c r="C414" s="412" t="str">
        <f>'Visual chart Edit'!C417</f>
        <v>DA+3</v>
      </c>
      <c r="D414" s="412" t="s">
        <v>1333</v>
      </c>
      <c r="E414" s="464">
        <f>'Visual chart Edit'!I417</f>
        <v>400</v>
      </c>
      <c r="F414" s="412" t="str">
        <f>'Visual chart Edit'!K417</f>
        <v>DFR</v>
      </c>
      <c r="G414" s="412" t="str">
        <f>'Visual chart Edit'!L417</f>
        <v>E</v>
      </c>
      <c r="H414" s="412" t="s">
        <v>419</v>
      </c>
      <c r="I414" s="412" t="s">
        <v>419</v>
      </c>
      <c r="J414" s="412" t="s">
        <v>419</v>
      </c>
      <c r="K414" s="412"/>
    </row>
    <row r="415" spans="1:11" x14ac:dyDescent="0.25">
      <c r="A415" s="412">
        <f>+SUBTOTAL(3,$B$4:B415)</f>
        <v>412</v>
      </c>
      <c r="B415" s="742" t="str">
        <f>'Visual chart Edit'!B418</f>
        <v>63/2</v>
      </c>
      <c r="C415" s="412" t="str">
        <f>'Visual chart Edit'!C418</f>
        <v>DA+0</v>
      </c>
      <c r="D415" s="412" t="s">
        <v>1333</v>
      </c>
      <c r="E415" s="464">
        <f>'Visual chart Edit'!I418</f>
        <v>416</v>
      </c>
      <c r="F415" s="412" t="str">
        <f>'Visual chart Edit'!K418</f>
        <v>DFR</v>
      </c>
      <c r="G415" s="412" t="str">
        <f>'Visual chart Edit'!L418</f>
        <v>E</v>
      </c>
      <c r="H415" s="412" t="s">
        <v>419</v>
      </c>
      <c r="I415" s="412" t="s">
        <v>419</v>
      </c>
      <c r="J415" s="412" t="s">
        <v>419</v>
      </c>
      <c r="K415" s="412"/>
    </row>
    <row r="416" spans="1:11" x14ac:dyDescent="0.25">
      <c r="A416" s="412">
        <f>+SUBTOTAL(3,$B$4:B416)</f>
        <v>413</v>
      </c>
      <c r="B416" s="742" t="str">
        <f>'Visual chart Edit'!B419</f>
        <v>63/3</v>
      </c>
      <c r="C416" s="412" t="str">
        <f>'Visual chart Edit'!C419</f>
        <v>DA+3</v>
      </c>
      <c r="D416" s="412" t="s">
        <v>1333</v>
      </c>
      <c r="E416" s="464">
        <f>'Visual chart Edit'!I419</f>
        <v>411</v>
      </c>
      <c r="F416" s="412" t="str">
        <f>'Visual chart Edit'!K419</f>
        <v>DFR</v>
      </c>
      <c r="G416" s="412" t="str">
        <f>'Visual chart Edit'!L419</f>
        <v>E</v>
      </c>
      <c r="H416" s="412" t="s">
        <v>419</v>
      </c>
      <c r="I416" s="412" t="s">
        <v>419</v>
      </c>
      <c r="J416" s="412" t="s">
        <v>419</v>
      </c>
      <c r="K416" s="412"/>
    </row>
    <row r="417" spans="1:11" x14ac:dyDescent="0.25">
      <c r="A417" s="412">
        <f>+SUBTOTAL(3,$B$4:B417)</f>
        <v>414</v>
      </c>
      <c r="B417" s="742" t="str">
        <f>'Visual chart Edit'!B420</f>
        <v>63/4</v>
      </c>
      <c r="C417" s="412" t="str">
        <f>'Visual chart Edit'!C420</f>
        <v>DA+0</v>
      </c>
      <c r="D417" s="412" t="s">
        <v>1333</v>
      </c>
      <c r="E417" s="464">
        <f>'Visual chart Edit'!I420</f>
        <v>399</v>
      </c>
      <c r="F417" s="412" t="str">
        <f>'Visual chart Edit'!K420</f>
        <v>DRY</v>
      </c>
      <c r="G417" s="412" t="str">
        <f>'Visual chart Edit'!L420</f>
        <v>E</v>
      </c>
      <c r="H417" s="412" t="s">
        <v>419</v>
      </c>
      <c r="I417" s="412" t="s">
        <v>419</v>
      </c>
      <c r="J417" s="412" t="s">
        <v>419</v>
      </c>
      <c r="K417" s="412"/>
    </row>
    <row r="418" spans="1:11" x14ac:dyDescent="0.25">
      <c r="A418" s="412">
        <f>+SUBTOTAL(3,$B$4:B418)</f>
        <v>415</v>
      </c>
      <c r="B418" s="742" t="str">
        <f>'Visual chart Edit'!B421</f>
        <v>63/5</v>
      </c>
      <c r="C418" s="412" t="str">
        <f>'Visual chart Edit'!C421</f>
        <v>DA+3</v>
      </c>
      <c r="D418" s="412" t="s">
        <v>1333</v>
      </c>
      <c r="E418" s="464">
        <f>'Visual chart Edit'!I421</f>
        <v>413</v>
      </c>
      <c r="F418" s="412" t="str">
        <f>'Visual chart Edit'!K421</f>
        <v>DFR</v>
      </c>
      <c r="G418" s="412" t="str">
        <f>'Visual chart Edit'!L421</f>
        <v>E</v>
      </c>
      <c r="H418" s="412" t="s">
        <v>419</v>
      </c>
      <c r="I418" s="412" t="s">
        <v>419</v>
      </c>
      <c r="J418" s="412" t="s">
        <v>419</v>
      </c>
      <c r="K418" s="412"/>
    </row>
    <row r="419" spans="1:11" x14ac:dyDescent="0.25">
      <c r="A419" s="412">
        <f>+SUBTOTAL(3,$B$4:B419)</f>
        <v>416</v>
      </c>
      <c r="B419" s="742" t="str">
        <f>'Visual chart Edit'!B422</f>
        <v>63/6</v>
      </c>
      <c r="C419" s="412" t="str">
        <f>'Visual chart Edit'!C422</f>
        <v>DA+3</v>
      </c>
      <c r="D419" s="412" t="s">
        <v>1335</v>
      </c>
      <c r="E419" s="464">
        <f>'Visual chart Edit'!I422</f>
        <v>426</v>
      </c>
      <c r="F419" s="412" t="str">
        <f>'Visual chart Edit'!K422</f>
        <v>DRY</v>
      </c>
      <c r="G419" s="412" t="str">
        <f>'Visual chart Edit'!L422</f>
        <v>E</v>
      </c>
      <c r="H419" s="412" t="s">
        <v>419</v>
      </c>
      <c r="I419" s="412" t="s">
        <v>419</v>
      </c>
      <c r="J419" s="412" t="s">
        <v>419</v>
      </c>
      <c r="K419" s="412"/>
    </row>
    <row r="420" spans="1:11" x14ac:dyDescent="0.25">
      <c r="A420" s="412">
        <f>+SUBTOTAL(3,$B$4:B420)</f>
        <v>417</v>
      </c>
      <c r="B420" s="742" t="str">
        <f>'Visual chart Edit'!B423</f>
        <v>63/7</v>
      </c>
      <c r="C420" s="412" t="str">
        <f>'Visual chart Edit'!C423</f>
        <v>DA+3</v>
      </c>
      <c r="D420" s="412" t="s">
        <v>1335</v>
      </c>
      <c r="E420" s="464">
        <f>'Visual chart Edit'!I423</f>
        <v>413</v>
      </c>
      <c r="F420" s="412" t="str">
        <f>'Visual chart Edit'!K423</f>
        <v>DRY</v>
      </c>
      <c r="G420" s="412" t="str">
        <f>'Visual chart Edit'!L423</f>
        <v>E</v>
      </c>
      <c r="H420" s="412" t="s">
        <v>419</v>
      </c>
      <c r="I420" s="412" t="s">
        <v>419</v>
      </c>
      <c r="J420" s="412" t="s">
        <v>419</v>
      </c>
      <c r="K420" s="412"/>
    </row>
    <row r="421" spans="1:11" x14ac:dyDescent="0.25">
      <c r="A421" s="412">
        <f>+SUBTOTAL(3,$B$4:B421)</f>
        <v>418</v>
      </c>
      <c r="B421" s="742" t="str">
        <f>'Visual chart Edit'!B424</f>
        <v>63/8</v>
      </c>
      <c r="C421" s="412" t="str">
        <f>'Visual chart Edit'!C424</f>
        <v>DA+3</v>
      </c>
      <c r="D421" s="412" t="s">
        <v>1335</v>
      </c>
      <c r="E421" s="464">
        <f>'Visual chart Edit'!I424</f>
        <v>425</v>
      </c>
      <c r="F421" s="412" t="str">
        <f>'Visual chart Edit'!K424</f>
        <v>DRY</v>
      </c>
      <c r="G421" s="412" t="str">
        <f>'Visual chart Edit'!L424</f>
        <v>E</v>
      </c>
      <c r="H421" s="412" t="s">
        <v>419</v>
      </c>
      <c r="I421" s="412" t="s">
        <v>419</v>
      </c>
      <c r="J421" s="412" t="s">
        <v>419</v>
      </c>
      <c r="K421" s="412"/>
    </row>
    <row r="422" spans="1:11" x14ac:dyDescent="0.25">
      <c r="A422" s="412">
        <f>+SUBTOTAL(3,$B$4:B422)</f>
        <v>419</v>
      </c>
      <c r="B422" s="742" t="str">
        <f>'Visual chart Edit'!B425</f>
        <v>64/0</v>
      </c>
      <c r="C422" s="412" t="str">
        <f>'Visual chart Edit'!C425</f>
        <v>DB2+0</v>
      </c>
      <c r="D422" s="412" t="s">
        <v>1335</v>
      </c>
      <c r="E422" s="464">
        <f>'Visual chart Edit'!I425</f>
        <v>408.3</v>
      </c>
      <c r="F422" s="412" t="str">
        <f>'Visual chart Edit'!K425</f>
        <v>DRY</v>
      </c>
      <c r="G422" s="412" t="str">
        <f>'Visual chart Edit'!L425</f>
        <v>E</v>
      </c>
      <c r="H422" s="412" t="s">
        <v>419</v>
      </c>
      <c r="I422" s="412"/>
      <c r="J422" s="412" t="s">
        <v>419</v>
      </c>
      <c r="K422" s="412" t="s">
        <v>419</v>
      </c>
    </row>
    <row r="423" spans="1:11" x14ac:dyDescent="0.25">
      <c r="A423" s="412">
        <f>+SUBTOTAL(3,$B$4:B423)</f>
        <v>420</v>
      </c>
      <c r="B423" s="742" t="str">
        <f>'Visual chart Edit'!B426</f>
        <v>64/1</v>
      </c>
      <c r="C423" s="412" t="str">
        <f>'Visual chart Edit'!C426</f>
        <v>DA+0</v>
      </c>
      <c r="D423" s="412" t="s">
        <v>1335</v>
      </c>
      <c r="E423" s="464">
        <f>'Visual chart Edit'!I426</f>
        <v>375.1</v>
      </c>
      <c r="F423" s="412" t="str">
        <f>'Visual chart Edit'!K426</f>
        <v>DRY</v>
      </c>
      <c r="G423" s="412" t="str">
        <f>'Visual chart Edit'!L426</f>
        <v>E</v>
      </c>
      <c r="H423" s="412" t="s">
        <v>419</v>
      </c>
      <c r="I423" s="412" t="s">
        <v>419</v>
      </c>
      <c r="J423" s="412" t="s">
        <v>419</v>
      </c>
      <c r="K423" s="412"/>
    </row>
    <row r="424" spans="1:11" x14ac:dyDescent="0.25">
      <c r="A424" s="412">
        <f>+SUBTOTAL(3,$B$4:B424)</f>
        <v>421</v>
      </c>
      <c r="B424" s="742" t="str">
        <f>'Visual chart Edit'!B427</f>
        <v>64/2</v>
      </c>
      <c r="C424" s="412" t="str">
        <f>'Visual chart Edit'!C427</f>
        <v>DA+3</v>
      </c>
      <c r="D424" s="412" t="s">
        <v>1336</v>
      </c>
      <c r="E424" s="464">
        <f>'Visual chart Edit'!I427</f>
        <v>408.7</v>
      </c>
      <c r="F424" s="412" t="str">
        <f>'Visual chart Edit'!K427</f>
        <v>DRY</v>
      </c>
      <c r="G424" s="412" t="str">
        <f>'Visual chart Edit'!L427</f>
        <v>E</v>
      </c>
      <c r="H424" s="412" t="s">
        <v>419</v>
      </c>
      <c r="I424" s="412" t="s">
        <v>419</v>
      </c>
      <c r="J424" s="412" t="s">
        <v>419</v>
      </c>
      <c r="K424" s="412"/>
    </row>
    <row r="425" spans="1:11" x14ac:dyDescent="0.25">
      <c r="A425" s="412">
        <f>+SUBTOTAL(3,$B$4:B425)</f>
        <v>422</v>
      </c>
      <c r="B425" s="742" t="str">
        <f>'Visual chart Edit'!B428</f>
        <v>64/3</v>
      </c>
      <c r="C425" s="412" t="str">
        <f>'Visual chart Edit'!C428</f>
        <v>DA+0</v>
      </c>
      <c r="D425" s="412" t="s">
        <v>1336</v>
      </c>
      <c r="E425" s="464">
        <f>'Visual chart Edit'!I428</f>
        <v>410.7</v>
      </c>
      <c r="F425" s="412" t="str">
        <f>'Visual chart Edit'!K428</f>
        <v>DRY</v>
      </c>
      <c r="G425" s="412" t="str">
        <f>'Visual chart Edit'!L428</f>
        <v>E</v>
      </c>
      <c r="H425" s="412" t="s">
        <v>419</v>
      </c>
      <c r="I425" s="412" t="s">
        <v>419</v>
      </c>
      <c r="J425" s="412" t="s">
        <v>419</v>
      </c>
      <c r="K425" s="412"/>
    </row>
    <row r="426" spans="1:11" x14ac:dyDescent="0.25">
      <c r="A426" s="412">
        <f>+SUBTOTAL(3,$B$4:B426)</f>
        <v>423</v>
      </c>
      <c r="B426" s="742" t="str">
        <f>'Visual chart Edit'!B429</f>
        <v>64/4</v>
      </c>
      <c r="C426" s="412" t="str">
        <f>'Visual chart Edit'!C429</f>
        <v>DA+3</v>
      </c>
      <c r="D426" s="412" t="s">
        <v>1336</v>
      </c>
      <c r="E426" s="464">
        <f>'Visual chart Edit'!I429</f>
        <v>408.2</v>
      </c>
      <c r="F426" s="412" t="str">
        <f>'Visual chart Edit'!K429</f>
        <v>DRY</v>
      </c>
      <c r="G426" s="412" t="str">
        <f>'Visual chart Edit'!L429</f>
        <v>E</v>
      </c>
      <c r="H426" s="412" t="s">
        <v>419</v>
      </c>
      <c r="I426" s="412" t="s">
        <v>419</v>
      </c>
      <c r="J426" s="412" t="s">
        <v>419</v>
      </c>
      <c r="K426" s="412"/>
    </row>
    <row r="427" spans="1:11" x14ac:dyDescent="0.25">
      <c r="A427" s="412">
        <f>+SUBTOTAL(3,$B$4:B427)</f>
        <v>424</v>
      </c>
      <c r="B427" s="742" t="str">
        <f>'Visual chart Edit'!B430</f>
        <v>64/5</v>
      </c>
      <c r="C427" s="412" t="str">
        <f>'Visual chart Edit'!C430</f>
        <v>DA+3</v>
      </c>
      <c r="D427" s="412" t="s">
        <v>1337</v>
      </c>
      <c r="E427" s="464">
        <f>'Visual chart Edit'!I430</f>
        <v>426.2</v>
      </c>
      <c r="F427" s="412" t="str">
        <f>'Visual chart Edit'!K430</f>
        <v>DRY</v>
      </c>
      <c r="G427" s="412" t="str">
        <f>'Visual chart Edit'!L430</f>
        <v>E</v>
      </c>
      <c r="H427" s="412" t="s">
        <v>419</v>
      </c>
      <c r="I427" s="412" t="s">
        <v>419</v>
      </c>
      <c r="J427" s="412" t="s">
        <v>419</v>
      </c>
      <c r="K427" s="412"/>
    </row>
    <row r="428" spans="1:11" x14ac:dyDescent="0.25">
      <c r="A428" s="412">
        <f>+SUBTOTAL(3,$B$4:B428)</f>
        <v>425</v>
      </c>
      <c r="B428" s="742" t="str">
        <f>'Visual chart Edit'!B431</f>
        <v>64/6</v>
      </c>
      <c r="C428" s="412" t="str">
        <f>'Visual chart Edit'!C431</f>
        <v>DA+0</v>
      </c>
      <c r="D428" s="412" t="s">
        <v>1337</v>
      </c>
      <c r="E428" s="464">
        <f>'Visual chart Edit'!I431</f>
        <v>407.7</v>
      </c>
      <c r="F428" s="412" t="str">
        <f>'Visual chart Edit'!K431</f>
        <v>DRY</v>
      </c>
      <c r="G428" s="412" t="str">
        <f>'Visual chart Edit'!L431</f>
        <v>E</v>
      </c>
      <c r="H428" s="412" t="s">
        <v>419</v>
      </c>
      <c r="I428" s="412" t="s">
        <v>419</v>
      </c>
      <c r="J428" s="412" t="s">
        <v>419</v>
      </c>
      <c r="K428" s="412"/>
    </row>
    <row r="429" spans="1:11" x14ac:dyDescent="0.25">
      <c r="A429" s="412">
        <f>+SUBTOTAL(3,$B$4:B429)</f>
        <v>426</v>
      </c>
      <c r="B429" s="742" t="str">
        <f>'Visual chart Edit'!B432</f>
        <v>64/7</v>
      </c>
      <c r="C429" s="412" t="str">
        <f>'Visual chart Edit'!C432</f>
        <v>DA+3</v>
      </c>
      <c r="D429" s="412" t="s">
        <v>1337</v>
      </c>
      <c r="E429" s="464">
        <f>'Visual chart Edit'!I432</f>
        <v>401.6</v>
      </c>
      <c r="F429" s="412" t="str">
        <f>'Visual chart Edit'!K432</f>
        <v>DRY</v>
      </c>
      <c r="G429" s="412" t="str">
        <f>'Visual chart Edit'!L432</f>
        <v>E</v>
      </c>
      <c r="H429" s="412" t="s">
        <v>419</v>
      </c>
      <c r="I429" s="412" t="s">
        <v>419</v>
      </c>
      <c r="J429" s="412" t="s">
        <v>419</v>
      </c>
      <c r="K429" s="412"/>
    </row>
    <row r="430" spans="1:11" x14ac:dyDescent="0.25">
      <c r="A430" s="412">
        <f>+SUBTOTAL(3,$B$4:B430)</f>
        <v>427</v>
      </c>
      <c r="B430" s="742" t="str">
        <f>'Visual chart Edit'!B433</f>
        <v>64/8</v>
      </c>
      <c r="C430" s="412" t="str">
        <f>'Visual chart Edit'!C433</f>
        <v>DA+3</v>
      </c>
      <c r="D430" s="412" t="s">
        <v>1337</v>
      </c>
      <c r="E430" s="464">
        <f>'Visual chart Edit'!I433</f>
        <v>425.5</v>
      </c>
      <c r="F430" s="412" t="str">
        <f>'Visual chart Edit'!K433</f>
        <v>DRY</v>
      </c>
      <c r="G430" s="412" t="str">
        <f>'Visual chart Edit'!L433</f>
        <v>E</v>
      </c>
      <c r="H430" s="412" t="s">
        <v>419</v>
      </c>
      <c r="I430" s="412" t="s">
        <v>419</v>
      </c>
      <c r="J430" s="412" t="s">
        <v>419</v>
      </c>
      <c r="K430" s="412"/>
    </row>
    <row r="431" spans="1:11" x14ac:dyDescent="0.25">
      <c r="A431" s="412">
        <f>+SUBTOTAL(3,$B$4:B431)</f>
        <v>428</v>
      </c>
      <c r="B431" s="742" t="str">
        <f>'Visual chart Edit'!B434</f>
        <v>64/9</v>
      </c>
      <c r="C431" s="412" t="str">
        <f>'Visual chart Edit'!C434</f>
        <v>DA+3</v>
      </c>
      <c r="D431" s="412" t="s">
        <v>1337</v>
      </c>
      <c r="E431" s="464">
        <f>'Visual chart Edit'!I434</f>
        <v>414.4</v>
      </c>
      <c r="F431" s="412" t="str">
        <f>'Visual chart Edit'!K434</f>
        <v>DRY</v>
      </c>
      <c r="G431" s="412" t="str">
        <f>'Visual chart Edit'!L434</f>
        <v>E</v>
      </c>
      <c r="H431" s="412" t="s">
        <v>419</v>
      </c>
      <c r="I431" s="412" t="s">
        <v>419</v>
      </c>
      <c r="J431" s="412" t="s">
        <v>419</v>
      </c>
      <c r="K431" s="412"/>
    </row>
    <row r="432" spans="1:11" x14ac:dyDescent="0.25">
      <c r="A432" s="412">
        <f>+SUBTOTAL(3,$B$4:B432)</f>
        <v>429</v>
      </c>
      <c r="B432" s="742" t="str">
        <f>'Visual chart Edit'!B435</f>
        <v>64/10</v>
      </c>
      <c r="C432" s="412" t="str">
        <f>'Visual chart Edit'!C435</f>
        <v>DA+3</v>
      </c>
      <c r="D432" s="412" t="s">
        <v>1337</v>
      </c>
      <c r="E432" s="464">
        <f>'Visual chart Edit'!I435</f>
        <v>410.6</v>
      </c>
      <c r="F432" s="412" t="str">
        <f>'Visual chart Edit'!K435</f>
        <v>DRY</v>
      </c>
      <c r="G432" s="412" t="str">
        <f>'Visual chart Edit'!L435</f>
        <v>E</v>
      </c>
      <c r="H432" s="412" t="s">
        <v>419</v>
      </c>
      <c r="I432" s="412" t="s">
        <v>419</v>
      </c>
      <c r="J432" s="412" t="s">
        <v>419</v>
      </c>
      <c r="K432" s="412"/>
    </row>
    <row r="433" spans="1:11" x14ac:dyDescent="0.25">
      <c r="A433" s="412">
        <f>+SUBTOTAL(3,$B$4:B433)</f>
        <v>430</v>
      </c>
      <c r="B433" s="742" t="str">
        <f>'Visual chart Edit'!B436</f>
        <v>64/11</v>
      </c>
      <c r="C433" s="412" t="str">
        <f>'Visual chart Edit'!C436</f>
        <v>DA+3</v>
      </c>
      <c r="D433" s="412" t="s">
        <v>1337</v>
      </c>
      <c r="E433" s="464">
        <f>'Visual chart Edit'!I436</f>
        <v>428.4</v>
      </c>
      <c r="F433" s="412" t="str">
        <f>'Visual chart Edit'!K436</f>
        <v>DRY</v>
      </c>
      <c r="G433" s="412" t="str">
        <f>'Visual chart Edit'!L436</f>
        <v>E</v>
      </c>
      <c r="H433" s="412" t="s">
        <v>419</v>
      </c>
      <c r="I433" s="412" t="s">
        <v>419</v>
      </c>
      <c r="J433" s="412" t="s">
        <v>419</v>
      </c>
      <c r="K433" s="412"/>
    </row>
    <row r="434" spans="1:11" x14ac:dyDescent="0.25">
      <c r="A434" s="412">
        <f>+SUBTOTAL(3,$B$4:B434)</f>
        <v>431</v>
      </c>
      <c r="B434" s="742" t="str">
        <f>'Visual chart Edit'!B437</f>
        <v>65/0</v>
      </c>
      <c r="C434" s="412" t="str">
        <f>'Visual chart Edit'!C437</f>
        <v>DB1+0</v>
      </c>
      <c r="D434" s="412" t="s">
        <v>1337</v>
      </c>
      <c r="E434" s="464">
        <f>'Visual chart Edit'!I437</f>
        <v>400.6</v>
      </c>
      <c r="F434" s="412" t="str">
        <f>'Visual chart Edit'!K437</f>
        <v>DRY</v>
      </c>
      <c r="G434" s="412" t="str">
        <f>'Visual chart Edit'!L437</f>
        <v>E</v>
      </c>
      <c r="H434" s="412" t="s">
        <v>419</v>
      </c>
      <c r="I434" s="412"/>
      <c r="J434" s="412" t="s">
        <v>419</v>
      </c>
      <c r="K434" s="412" t="s">
        <v>419</v>
      </c>
    </row>
    <row r="435" spans="1:11" x14ac:dyDescent="0.25">
      <c r="A435" s="412">
        <f>+SUBTOTAL(3,$B$4:B435)</f>
        <v>432</v>
      </c>
      <c r="B435" s="742" t="str">
        <f>'Visual chart Edit'!B438</f>
        <v>65/1</v>
      </c>
      <c r="C435" s="412" t="str">
        <f>'Visual chart Edit'!C438</f>
        <v>DA+0</v>
      </c>
      <c r="D435" s="412" t="s">
        <v>1337</v>
      </c>
      <c r="E435" s="464">
        <f>'Visual chart Edit'!I438</f>
        <v>395.4</v>
      </c>
      <c r="F435" s="412" t="str">
        <f>'Visual chart Edit'!K438</f>
        <v>DRY</v>
      </c>
      <c r="G435" s="412" t="str">
        <f>'Visual chart Edit'!L438</f>
        <v>E</v>
      </c>
      <c r="H435" s="412" t="s">
        <v>419</v>
      </c>
      <c r="I435" s="412" t="s">
        <v>419</v>
      </c>
      <c r="J435" s="412" t="s">
        <v>419</v>
      </c>
      <c r="K435" s="412"/>
    </row>
    <row r="436" spans="1:11" x14ac:dyDescent="0.25">
      <c r="A436" s="412">
        <f>+SUBTOTAL(3,$B$4:B436)</f>
        <v>433</v>
      </c>
      <c r="B436" s="742" t="str">
        <f>'Visual chart Edit'!B439</f>
        <v>65/2</v>
      </c>
      <c r="C436" s="412" t="str">
        <f>'Visual chart Edit'!C439</f>
        <v>DA+0</v>
      </c>
      <c r="D436" s="412" t="s">
        <v>1337</v>
      </c>
      <c r="E436" s="464">
        <f>'Visual chart Edit'!I439</f>
        <v>393.7</v>
      </c>
      <c r="F436" s="412" t="str">
        <f>'Visual chart Edit'!K439</f>
        <v>DRY</v>
      </c>
      <c r="G436" s="412" t="str">
        <f>'Visual chart Edit'!L439</f>
        <v>E</v>
      </c>
      <c r="H436" s="412" t="s">
        <v>419</v>
      </c>
      <c r="I436" s="412" t="s">
        <v>419</v>
      </c>
      <c r="J436" s="412" t="s">
        <v>419</v>
      </c>
      <c r="K436" s="412"/>
    </row>
    <row r="437" spans="1:11" x14ac:dyDescent="0.25">
      <c r="A437" s="412">
        <f>+SUBTOTAL(3,$B$4:B437)</f>
        <v>434</v>
      </c>
      <c r="B437" s="742" t="str">
        <f>'Visual chart Edit'!B440</f>
        <v>65/3</v>
      </c>
      <c r="C437" s="412" t="str">
        <f>'Visual chart Edit'!C440</f>
        <v>DA+3</v>
      </c>
      <c r="D437" s="412" t="s">
        <v>1337</v>
      </c>
      <c r="E437" s="464">
        <f>'Visual chart Edit'!I440</f>
        <v>403.7</v>
      </c>
      <c r="F437" s="412" t="str">
        <f>'Visual chart Edit'!K440</f>
        <v>DRY</v>
      </c>
      <c r="G437" s="412" t="str">
        <f>'Visual chart Edit'!L440</f>
        <v>E</v>
      </c>
      <c r="H437" s="412" t="s">
        <v>419</v>
      </c>
      <c r="I437" s="412" t="s">
        <v>419</v>
      </c>
      <c r="J437" s="412" t="s">
        <v>419</v>
      </c>
      <c r="K437" s="412"/>
    </row>
    <row r="438" spans="1:11" x14ac:dyDescent="0.25">
      <c r="A438" s="412">
        <f>+SUBTOTAL(3,$B$4:B438)</f>
        <v>435</v>
      </c>
      <c r="B438" s="742" t="str">
        <f>'Visual chart Edit'!B441</f>
        <v>65/4</v>
      </c>
      <c r="C438" s="412" t="str">
        <f>'Visual chart Edit'!C441</f>
        <v>DA+0</v>
      </c>
      <c r="D438" s="412" t="s">
        <v>1338</v>
      </c>
      <c r="E438" s="464">
        <f>'Visual chart Edit'!I441</f>
        <v>402.9</v>
      </c>
      <c r="F438" s="412" t="str">
        <f>'Visual chart Edit'!K441</f>
        <v>DRY</v>
      </c>
      <c r="G438" s="412" t="str">
        <f>'Visual chart Edit'!L441</f>
        <v>E</v>
      </c>
      <c r="H438" s="412" t="s">
        <v>419</v>
      </c>
      <c r="I438" s="412" t="s">
        <v>419</v>
      </c>
      <c r="J438" s="412" t="s">
        <v>419</v>
      </c>
      <c r="K438" s="412"/>
    </row>
    <row r="439" spans="1:11" x14ac:dyDescent="0.25">
      <c r="A439" s="412">
        <f>+SUBTOTAL(3,$B$4:B439)</f>
        <v>436</v>
      </c>
      <c r="B439" s="742" t="str">
        <f>'Visual chart Edit'!B442</f>
        <v>65/5</v>
      </c>
      <c r="C439" s="412" t="str">
        <f>'Visual chart Edit'!C442</f>
        <v>DA+0</v>
      </c>
      <c r="D439" s="412" t="s">
        <v>1338</v>
      </c>
      <c r="E439" s="464">
        <f>'Visual chart Edit'!I442</f>
        <v>376.4</v>
      </c>
      <c r="F439" s="412" t="str">
        <f>'Visual chart Edit'!K442</f>
        <v>DRY</v>
      </c>
      <c r="G439" s="412" t="str">
        <f>'Visual chart Edit'!L442</f>
        <v>E</v>
      </c>
      <c r="H439" s="412" t="s">
        <v>419</v>
      </c>
      <c r="I439" s="412" t="s">
        <v>419</v>
      </c>
      <c r="J439" s="412" t="s">
        <v>419</v>
      </c>
      <c r="K439" s="412"/>
    </row>
    <row r="440" spans="1:11" x14ac:dyDescent="0.25">
      <c r="A440" s="412">
        <f>+SUBTOTAL(3,$B$4:B440)</f>
        <v>437</v>
      </c>
      <c r="B440" s="742" t="str">
        <f>'Visual chart Edit'!B443</f>
        <v>65/6</v>
      </c>
      <c r="C440" s="412" t="str">
        <f>'Visual chart Edit'!C443</f>
        <v>DA+0</v>
      </c>
      <c r="D440" s="412" t="s">
        <v>1338</v>
      </c>
      <c r="E440" s="464">
        <f>'Visual chart Edit'!I443</f>
        <v>389.2</v>
      </c>
      <c r="F440" s="412" t="str">
        <f>'Visual chart Edit'!K443</f>
        <v>DRY</v>
      </c>
      <c r="G440" s="412" t="str">
        <f>'Visual chart Edit'!L443</f>
        <v>E</v>
      </c>
      <c r="H440" s="412" t="s">
        <v>419</v>
      </c>
      <c r="I440" s="412" t="s">
        <v>419</v>
      </c>
      <c r="J440" s="412" t="s">
        <v>419</v>
      </c>
      <c r="K440" s="412"/>
    </row>
    <row r="441" spans="1:11" x14ac:dyDescent="0.25">
      <c r="A441" s="412">
        <f>+SUBTOTAL(3,$B$4:B441)</f>
        <v>438</v>
      </c>
      <c r="B441" s="742" t="str">
        <f>'Visual chart Edit'!B444</f>
        <v>65/7</v>
      </c>
      <c r="C441" s="412" t="str">
        <f>'Visual chart Edit'!C444</f>
        <v>DA+0</v>
      </c>
      <c r="D441" s="412" t="s">
        <v>1338</v>
      </c>
      <c r="E441" s="464">
        <f>'Visual chart Edit'!I444</f>
        <v>397.6</v>
      </c>
      <c r="F441" s="412" t="str">
        <f>'Visual chart Edit'!K444</f>
        <v>DRY</v>
      </c>
      <c r="G441" s="412" t="str">
        <f>'Visual chart Edit'!L444</f>
        <v>E</v>
      </c>
      <c r="H441" s="412" t="s">
        <v>419</v>
      </c>
      <c r="I441" s="412" t="s">
        <v>419</v>
      </c>
      <c r="J441" s="412" t="s">
        <v>419</v>
      </c>
      <c r="K441" s="412"/>
    </row>
    <row r="442" spans="1:11" x14ac:dyDescent="0.25">
      <c r="A442" s="412">
        <f>+SUBTOTAL(3,$B$4:B442)</f>
        <v>439</v>
      </c>
      <c r="B442" s="742" t="str">
        <f>'Visual chart Edit'!B445</f>
        <v>65/8</v>
      </c>
      <c r="C442" s="412" t="str">
        <f>'Visual chart Edit'!C445</f>
        <v>DA+0</v>
      </c>
      <c r="D442" s="412" t="s">
        <v>1339</v>
      </c>
      <c r="E442" s="464">
        <f>'Visual chart Edit'!I445</f>
        <v>394.3</v>
      </c>
      <c r="F442" s="412" t="str">
        <f>'Visual chart Edit'!K445</f>
        <v>DRY</v>
      </c>
      <c r="G442" s="412" t="str">
        <f>'Visual chart Edit'!L445</f>
        <v>E</v>
      </c>
      <c r="H442" s="412" t="s">
        <v>419</v>
      </c>
      <c r="I442" s="412" t="s">
        <v>419</v>
      </c>
      <c r="J442" s="412" t="s">
        <v>419</v>
      </c>
      <c r="K442" s="412"/>
    </row>
    <row r="443" spans="1:11" x14ac:dyDescent="0.25">
      <c r="A443" s="412">
        <f>+SUBTOTAL(3,$B$4:B443)</f>
        <v>440</v>
      </c>
      <c r="B443" s="742" t="str">
        <f>'Visual chart Edit'!B446</f>
        <v>65/9</v>
      </c>
      <c r="C443" s="412" t="str">
        <f>'Visual chart Edit'!C446</f>
        <v>DA+0</v>
      </c>
      <c r="D443" s="412" t="s">
        <v>1339</v>
      </c>
      <c r="E443" s="464">
        <f>'Visual chart Edit'!I446</f>
        <v>389</v>
      </c>
      <c r="F443" s="412" t="str">
        <f>'Visual chart Edit'!K446</f>
        <v>DRY</v>
      </c>
      <c r="G443" s="412" t="str">
        <f>'Visual chart Edit'!L446</f>
        <v>E</v>
      </c>
      <c r="H443" s="412" t="s">
        <v>419</v>
      </c>
      <c r="I443" s="412" t="s">
        <v>419</v>
      </c>
      <c r="J443" s="412" t="s">
        <v>419</v>
      </c>
      <c r="K443" s="412"/>
    </row>
    <row r="444" spans="1:11" x14ac:dyDescent="0.25">
      <c r="A444" s="412">
        <f>+SUBTOTAL(3,$B$4:B444)</f>
        <v>441</v>
      </c>
      <c r="B444" s="742" t="str">
        <f>'Visual chart Edit'!B447</f>
        <v>65/10</v>
      </c>
      <c r="C444" s="412" t="str">
        <f>'Visual chart Edit'!C447</f>
        <v>DA+0</v>
      </c>
      <c r="D444" s="412" t="s">
        <v>1339</v>
      </c>
      <c r="E444" s="464">
        <f>'Visual chart Edit'!I447</f>
        <v>379.1</v>
      </c>
      <c r="F444" s="412" t="str">
        <f>'Visual chart Edit'!K447</f>
        <v>DRY</v>
      </c>
      <c r="G444" s="412" t="str">
        <f>'Visual chart Edit'!L447</f>
        <v>E</v>
      </c>
      <c r="H444" s="412" t="s">
        <v>419</v>
      </c>
      <c r="I444" s="412" t="s">
        <v>419</v>
      </c>
      <c r="J444" s="412" t="s">
        <v>419</v>
      </c>
      <c r="K444" s="412"/>
    </row>
    <row r="445" spans="1:11" x14ac:dyDescent="0.25">
      <c r="A445" s="412">
        <f>+SUBTOTAL(3,$B$4:B445)</f>
        <v>442</v>
      </c>
      <c r="B445" s="742" t="str">
        <f>'Visual chart Edit'!B448</f>
        <v>65/11</v>
      </c>
      <c r="C445" s="412" t="str">
        <f>'Visual chart Edit'!C448</f>
        <v>DA+0</v>
      </c>
      <c r="D445" s="412" t="s">
        <v>1339</v>
      </c>
      <c r="E445" s="464">
        <f>'Visual chart Edit'!I448</f>
        <v>387.6</v>
      </c>
      <c r="F445" s="412" t="str">
        <f>'Visual chart Edit'!K448</f>
        <v>DRY</v>
      </c>
      <c r="G445" s="412" t="str">
        <f>'Visual chart Edit'!L448</f>
        <v>E</v>
      </c>
      <c r="H445" s="412" t="s">
        <v>419</v>
      </c>
      <c r="I445" s="412" t="s">
        <v>419</v>
      </c>
      <c r="J445" s="412" t="s">
        <v>419</v>
      </c>
      <c r="K445" s="412"/>
    </row>
    <row r="446" spans="1:11" x14ac:dyDescent="0.25">
      <c r="A446" s="412">
        <f>+SUBTOTAL(3,$B$4:B446)</f>
        <v>443</v>
      </c>
      <c r="B446" s="742" t="str">
        <f>'Visual chart Edit'!B449</f>
        <v>66/0</v>
      </c>
      <c r="C446" s="412" t="str">
        <f>'Visual chart Edit'!C449</f>
        <v>DC2+6</v>
      </c>
      <c r="D446" s="412" t="s">
        <v>1339</v>
      </c>
      <c r="E446" s="464">
        <f>'Visual chart Edit'!I449</f>
        <v>426.9</v>
      </c>
      <c r="F446" s="412" t="str">
        <f>'Visual chart Edit'!K449</f>
        <v>DRY</v>
      </c>
      <c r="G446" s="412" t="str">
        <f>'Visual chart Edit'!L449</f>
        <v>E</v>
      </c>
      <c r="H446" s="412" t="s">
        <v>419</v>
      </c>
      <c r="I446" s="412"/>
      <c r="J446" s="412" t="s">
        <v>419</v>
      </c>
      <c r="K446" s="412" t="s">
        <v>419</v>
      </c>
    </row>
    <row r="447" spans="1:11" x14ac:dyDescent="0.25">
      <c r="A447" s="412">
        <f>+SUBTOTAL(3,$B$4:B447)</f>
        <v>444</v>
      </c>
      <c r="B447" s="742" t="str">
        <f>'Visual chart Edit'!B450</f>
        <v>67/0</v>
      </c>
      <c r="C447" s="412" t="str">
        <f>'Visual chart Edit'!C450</f>
        <v>DC1+9</v>
      </c>
      <c r="D447" s="412" t="s">
        <v>1339</v>
      </c>
      <c r="E447" s="464">
        <f>'Visual chart Edit'!I450</f>
        <v>207.8</v>
      </c>
      <c r="F447" s="412" t="str">
        <f>'Visual chart Edit'!K450</f>
        <v>DRY</v>
      </c>
      <c r="G447" s="412" t="str">
        <f>'Visual chart Edit'!L450</f>
        <v>E</v>
      </c>
      <c r="H447" s="412" t="s">
        <v>419</v>
      </c>
      <c r="I447" s="412"/>
      <c r="J447" s="412" t="s">
        <v>419</v>
      </c>
      <c r="K447" s="412" t="s">
        <v>419</v>
      </c>
    </row>
    <row r="448" spans="1:11" x14ac:dyDescent="0.25">
      <c r="A448" s="412">
        <f>+SUBTOTAL(3,$B$4:B448)</f>
        <v>445</v>
      </c>
      <c r="B448" s="742" t="str">
        <f>'Visual chart Edit'!B451</f>
        <v>67/1</v>
      </c>
      <c r="C448" s="412" t="str">
        <f>'Visual chart Edit'!C451</f>
        <v>DA+0</v>
      </c>
      <c r="D448" s="412" t="s">
        <v>1339</v>
      </c>
      <c r="E448" s="464">
        <f>'Visual chart Edit'!I451</f>
        <v>347.1</v>
      </c>
      <c r="F448" s="412" t="str">
        <f>'Visual chart Edit'!K451</f>
        <v>DRY</v>
      </c>
      <c r="G448" s="412" t="str">
        <f>'Visual chart Edit'!L451</f>
        <v>E</v>
      </c>
      <c r="H448" s="412" t="s">
        <v>419</v>
      </c>
      <c r="I448" s="412" t="s">
        <v>419</v>
      </c>
      <c r="J448" s="412" t="s">
        <v>419</v>
      </c>
      <c r="K448" s="412"/>
    </row>
    <row r="449" spans="1:11" x14ac:dyDescent="0.25">
      <c r="A449" s="412">
        <f>+SUBTOTAL(3,$B$4:B449)</f>
        <v>446</v>
      </c>
      <c r="B449" s="742" t="str">
        <f>'Visual chart Edit'!B452</f>
        <v>67/2</v>
      </c>
      <c r="C449" s="412" t="str">
        <f>'Visual chart Edit'!C452</f>
        <v>DA+0</v>
      </c>
      <c r="D449" s="412" t="s">
        <v>1339</v>
      </c>
      <c r="E449" s="464">
        <f>'Visual chart Edit'!I452</f>
        <v>344.9</v>
      </c>
      <c r="F449" s="412" t="str">
        <f>'Visual chart Edit'!K452</f>
        <v>DRY</v>
      </c>
      <c r="G449" s="412" t="str">
        <f>'Visual chart Edit'!L452</f>
        <v>E</v>
      </c>
      <c r="H449" s="412" t="s">
        <v>419</v>
      </c>
      <c r="I449" s="412" t="s">
        <v>419</v>
      </c>
      <c r="J449" s="412" t="s">
        <v>419</v>
      </c>
      <c r="K449" s="412"/>
    </row>
    <row r="450" spans="1:11" x14ac:dyDescent="0.25">
      <c r="A450" s="412">
        <f>+SUBTOTAL(3,$B$4:B450)</f>
        <v>447</v>
      </c>
      <c r="B450" s="742" t="str">
        <f>'Visual chart Edit'!B453</f>
        <v>68/0</v>
      </c>
      <c r="C450" s="412" t="str">
        <f>'Visual chart Edit'!C453</f>
        <v>DD45+0</v>
      </c>
      <c r="D450" s="412" t="s">
        <v>1339</v>
      </c>
      <c r="E450" s="464">
        <f>'Visual chart Edit'!I453</f>
        <v>369.2</v>
      </c>
      <c r="F450" s="412" t="str">
        <f>'Visual chart Edit'!K453</f>
        <v>DRY</v>
      </c>
      <c r="G450" s="412" t="str">
        <f>'Visual chart Edit'!L453</f>
        <v>E</v>
      </c>
      <c r="H450" s="412" t="s">
        <v>419</v>
      </c>
      <c r="I450" s="412"/>
      <c r="J450" s="412" t="s">
        <v>419</v>
      </c>
      <c r="K450" s="412"/>
    </row>
    <row r="451" spans="1:11" x14ac:dyDescent="0.25">
      <c r="A451" s="412">
        <f>+SUBTOTAL(3,$B$4:B451)</f>
        <v>448</v>
      </c>
      <c r="B451" s="742" t="str">
        <f>'Visual chart Edit'!B454</f>
        <v>69/0</v>
      </c>
      <c r="C451" s="412" t="str">
        <f>'Visual chart Edit'!C454</f>
        <v>DB2+0</v>
      </c>
      <c r="D451" s="412" t="s">
        <v>1339</v>
      </c>
      <c r="E451" s="464">
        <f>'Visual chart Edit'!I454</f>
        <v>200.9</v>
      </c>
      <c r="F451" s="412" t="str">
        <f>'Visual chart Edit'!K454</f>
        <v>DFR</v>
      </c>
      <c r="G451" s="412" t="str">
        <f>'Visual chart Edit'!L454</f>
        <v>E</v>
      </c>
      <c r="H451" s="412" t="s">
        <v>419</v>
      </c>
      <c r="I451" s="412"/>
      <c r="J451" s="412" t="s">
        <v>419</v>
      </c>
      <c r="K451" s="412" t="s">
        <v>419</v>
      </c>
    </row>
    <row r="452" spans="1:11" x14ac:dyDescent="0.25">
      <c r="A452" s="412">
        <f>+SUBTOTAL(3,$B$4:B452)</f>
        <v>449</v>
      </c>
      <c r="B452" s="742" t="str">
        <f>'Visual chart Edit'!B455</f>
        <v>69/1</v>
      </c>
      <c r="C452" s="412" t="str">
        <f>'Visual chart Edit'!C455</f>
        <v>DA+3</v>
      </c>
      <c r="D452" s="412" t="s">
        <v>1340</v>
      </c>
      <c r="E452" s="464">
        <f>'Visual chart Edit'!I455</f>
        <v>374.1</v>
      </c>
      <c r="F452" s="412" t="str">
        <f>'Visual chart Edit'!K455</f>
        <v>DRY</v>
      </c>
      <c r="G452" s="412" t="str">
        <f>'Visual chart Edit'!L455</f>
        <v>E</v>
      </c>
      <c r="H452" s="412" t="s">
        <v>419</v>
      </c>
      <c r="I452" s="412" t="s">
        <v>419</v>
      </c>
      <c r="J452" s="412" t="s">
        <v>419</v>
      </c>
      <c r="K452" s="412"/>
    </row>
    <row r="453" spans="1:11" x14ac:dyDescent="0.25">
      <c r="A453" s="412">
        <f>+SUBTOTAL(3,$B$4:B453)</f>
        <v>450</v>
      </c>
      <c r="B453" s="742" t="str">
        <f>'Visual chart Edit'!B456</f>
        <v>70/0</v>
      </c>
      <c r="C453" s="412" t="str">
        <f>'Visual chart Edit'!C456</f>
        <v>DC1+0</v>
      </c>
      <c r="D453" s="412" t="s">
        <v>1340</v>
      </c>
      <c r="E453" s="464">
        <f>'Visual chart Edit'!I456</f>
        <v>394.9</v>
      </c>
      <c r="F453" s="412" t="str">
        <f>'Visual chart Edit'!K456</f>
        <v>DRY</v>
      </c>
      <c r="G453" s="412" t="str">
        <f>'Visual chart Edit'!L456</f>
        <v>E</v>
      </c>
      <c r="H453" s="412" t="s">
        <v>419</v>
      </c>
      <c r="I453" s="412"/>
      <c r="J453" s="412" t="s">
        <v>419</v>
      </c>
      <c r="K453" s="412" t="s">
        <v>419</v>
      </c>
    </row>
    <row r="454" spans="1:11" x14ac:dyDescent="0.25">
      <c r="A454" s="412">
        <f>+SUBTOTAL(3,$B$4:B454)</f>
        <v>451</v>
      </c>
      <c r="B454" s="742" t="str">
        <f>'Visual chart Edit'!B457</f>
        <v>70/1</v>
      </c>
      <c r="C454" s="412" t="str">
        <f>'Visual chart Edit'!C457</f>
        <v>DA+3</v>
      </c>
      <c r="D454" s="412" t="s">
        <v>1339</v>
      </c>
      <c r="E454" s="464">
        <f>'Visual chart Edit'!I457</f>
        <v>388.4</v>
      </c>
      <c r="F454" s="412" t="str">
        <f>'Visual chart Edit'!K457</f>
        <v>DRY</v>
      </c>
      <c r="G454" s="412" t="str">
        <f>'Visual chart Edit'!L457</f>
        <v>E</v>
      </c>
      <c r="H454" s="412" t="s">
        <v>419</v>
      </c>
      <c r="I454" s="412" t="s">
        <v>419</v>
      </c>
      <c r="J454" s="412" t="s">
        <v>419</v>
      </c>
      <c r="K454" s="412"/>
    </row>
    <row r="455" spans="1:11" x14ac:dyDescent="0.25">
      <c r="A455" s="412">
        <f>+SUBTOTAL(3,$B$4:B455)</f>
        <v>452</v>
      </c>
      <c r="B455" s="742" t="str">
        <f>'Visual chart Edit'!B458</f>
        <v>70/2</v>
      </c>
      <c r="C455" s="412" t="str">
        <f>'Visual chart Edit'!C458</f>
        <v>DA+3</v>
      </c>
      <c r="D455" s="412" t="s">
        <v>1339</v>
      </c>
      <c r="E455" s="464">
        <f>'Visual chart Edit'!I458</f>
        <v>418.9</v>
      </c>
      <c r="F455" s="412" t="str">
        <f>'Visual chart Edit'!K458</f>
        <v>DRY</v>
      </c>
      <c r="G455" s="412" t="str">
        <f>'Visual chart Edit'!L458</f>
        <v>E</v>
      </c>
      <c r="H455" s="412" t="s">
        <v>419</v>
      </c>
      <c r="I455" s="412" t="s">
        <v>419</v>
      </c>
      <c r="J455" s="412" t="s">
        <v>419</v>
      </c>
      <c r="K455" s="412"/>
    </row>
    <row r="456" spans="1:11" x14ac:dyDescent="0.25">
      <c r="A456" s="412">
        <f>+SUBTOTAL(3,$B$4:B456)</f>
        <v>453</v>
      </c>
      <c r="B456" s="742" t="str">
        <f>'Visual chart Edit'!B459</f>
        <v>70/3</v>
      </c>
      <c r="C456" s="412" t="str">
        <f>'Visual chart Edit'!C459</f>
        <v>DA+3</v>
      </c>
      <c r="D456" s="412" t="s">
        <v>1341</v>
      </c>
      <c r="E456" s="464">
        <f>'Visual chart Edit'!I459</f>
        <v>418.6</v>
      </c>
      <c r="F456" s="412" t="str">
        <f>'Visual chart Edit'!K459</f>
        <v>DRY</v>
      </c>
      <c r="G456" s="412" t="str">
        <f>'Visual chart Edit'!L459</f>
        <v>E</v>
      </c>
      <c r="H456" s="412" t="s">
        <v>419</v>
      </c>
      <c r="I456" s="412" t="s">
        <v>419</v>
      </c>
      <c r="J456" s="412" t="s">
        <v>419</v>
      </c>
      <c r="K456" s="412"/>
    </row>
    <row r="457" spans="1:11" x14ac:dyDescent="0.25">
      <c r="A457" s="412">
        <f>+SUBTOTAL(3,$B$4:B457)</f>
        <v>454</v>
      </c>
      <c r="B457" s="742" t="str">
        <f>'Visual chart Edit'!B460</f>
        <v>70/4</v>
      </c>
      <c r="C457" s="412" t="str">
        <f>'Visual chart Edit'!C460</f>
        <v>DA+3</v>
      </c>
      <c r="D457" s="412" t="s">
        <v>1341</v>
      </c>
      <c r="E457" s="464">
        <f>'Visual chart Edit'!I460</f>
        <v>414</v>
      </c>
      <c r="F457" s="412" t="str">
        <f>'Visual chart Edit'!K460</f>
        <v>DRY</v>
      </c>
      <c r="G457" s="412" t="str">
        <f>'Visual chart Edit'!L460</f>
        <v>E</v>
      </c>
      <c r="H457" s="412" t="s">
        <v>419</v>
      </c>
      <c r="I457" s="412" t="s">
        <v>419</v>
      </c>
      <c r="J457" s="412" t="s">
        <v>419</v>
      </c>
      <c r="K457" s="412"/>
    </row>
    <row r="458" spans="1:11" x14ac:dyDescent="0.25">
      <c r="A458" s="412">
        <f>+SUBTOTAL(3,$B$4:B458)</f>
        <v>455</v>
      </c>
      <c r="B458" s="742" t="str">
        <f>'Visual chart Edit'!B461</f>
        <v>70/5</v>
      </c>
      <c r="C458" s="412" t="str">
        <f>'Visual chart Edit'!C461</f>
        <v>DA+3</v>
      </c>
      <c r="D458" s="412" t="s">
        <v>1341</v>
      </c>
      <c r="E458" s="464">
        <f>'Visual chart Edit'!I461</f>
        <v>419.6</v>
      </c>
      <c r="F458" s="412" t="str">
        <f>'Visual chart Edit'!K461</f>
        <v>DRY</v>
      </c>
      <c r="G458" s="412" t="str">
        <f>'Visual chart Edit'!L461</f>
        <v>E</v>
      </c>
      <c r="H458" s="412" t="s">
        <v>419</v>
      </c>
      <c r="I458" s="412" t="s">
        <v>419</v>
      </c>
      <c r="J458" s="412" t="s">
        <v>419</v>
      </c>
      <c r="K458" s="412"/>
    </row>
    <row r="459" spans="1:11" x14ac:dyDescent="0.25">
      <c r="A459" s="412">
        <f>+SUBTOTAL(3,$B$4:B459)</f>
        <v>456</v>
      </c>
      <c r="B459" s="742" t="str">
        <f>'Visual chart Edit'!B462</f>
        <v>70/6</v>
      </c>
      <c r="C459" s="412" t="str">
        <f>'Visual chart Edit'!C462</f>
        <v>DA+3</v>
      </c>
      <c r="D459" s="412" t="s">
        <v>1341</v>
      </c>
      <c r="E459" s="464">
        <f>'Visual chart Edit'!I462</f>
        <v>420.3</v>
      </c>
      <c r="F459" s="412" t="str">
        <f>'Visual chart Edit'!K462</f>
        <v>DRY</v>
      </c>
      <c r="G459" s="412" t="str">
        <f>'Visual chart Edit'!L462</f>
        <v>E</v>
      </c>
      <c r="H459" s="412" t="s">
        <v>419</v>
      </c>
      <c r="I459" s="412" t="s">
        <v>419</v>
      </c>
      <c r="J459" s="412" t="s">
        <v>419</v>
      </c>
      <c r="K459" s="412"/>
    </row>
    <row r="460" spans="1:11" x14ac:dyDescent="0.25">
      <c r="A460" s="412">
        <f>+SUBTOTAL(3,$B$4:B460)</f>
        <v>457</v>
      </c>
      <c r="B460" s="742" t="str">
        <f>'Visual chart Edit'!B463</f>
        <v>70/7</v>
      </c>
      <c r="C460" s="412" t="str">
        <f>'Visual chart Edit'!C463</f>
        <v>DA+3</v>
      </c>
      <c r="D460" s="412" t="s">
        <v>1341</v>
      </c>
      <c r="E460" s="464">
        <f>'Visual chart Edit'!I463</f>
        <v>419.6</v>
      </c>
      <c r="F460" s="412" t="str">
        <f>'Visual chart Edit'!K463</f>
        <v>DRY</v>
      </c>
      <c r="G460" s="412" t="str">
        <f>'Visual chart Edit'!L463</f>
        <v>E</v>
      </c>
      <c r="H460" s="412" t="s">
        <v>419</v>
      </c>
      <c r="I460" s="412" t="s">
        <v>419</v>
      </c>
      <c r="J460" s="412" t="s">
        <v>124</v>
      </c>
      <c r="K460" s="412"/>
    </row>
    <row r="461" spans="1:11" x14ac:dyDescent="0.25">
      <c r="A461" s="412">
        <f>+SUBTOTAL(3,$B$4:B461)</f>
        <v>458</v>
      </c>
      <c r="B461" s="742" t="str">
        <f>'Visual chart Edit'!B464</f>
        <v>70/8</v>
      </c>
      <c r="C461" s="412" t="str">
        <f>'Visual chart Edit'!C464</f>
        <v>DA+3</v>
      </c>
      <c r="D461" s="412" t="s">
        <v>1341</v>
      </c>
      <c r="E461" s="464">
        <f>'Visual chart Edit'!I464</f>
        <v>418.2</v>
      </c>
      <c r="F461" s="412" t="str">
        <f>'Visual chart Edit'!K464</f>
        <v>DRY</v>
      </c>
      <c r="G461" s="412" t="str">
        <f>'Visual chart Edit'!L464</f>
        <v>E</v>
      </c>
      <c r="H461" s="412" t="s">
        <v>419</v>
      </c>
      <c r="I461" s="412"/>
      <c r="J461" s="412" t="s">
        <v>124</v>
      </c>
      <c r="K461" s="412"/>
    </row>
    <row r="462" spans="1:11" x14ac:dyDescent="0.25">
      <c r="A462" s="412">
        <f>+SUBTOTAL(3,$B$4:B462)</f>
        <v>459</v>
      </c>
      <c r="B462" s="742" t="str">
        <f>'Visual chart Edit'!B465</f>
        <v>70/9</v>
      </c>
      <c r="C462" s="412" t="str">
        <f>'Visual chart Edit'!C465</f>
        <v>DA+3</v>
      </c>
      <c r="D462" s="412" t="s">
        <v>1342</v>
      </c>
      <c r="E462" s="464">
        <f>'Visual chart Edit'!I465</f>
        <v>414.1</v>
      </c>
      <c r="F462" s="412" t="str">
        <f>'Visual chart Edit'!K465</f>
        <v>DRY</v>
      </c>
      <c r="G462" s="412" t="str">
        <f>'Visual chart Edit'!L465</f>
        <v>E</v>
      </c>
      <c r="H462" s="412" t="s">
        <v>419</v>
      </c>
      <c r="I462" s="412"/>
      <c r="J462" s="412" t="s">
        <v>124</v>
      </c>
      <c r="K462" s="412"/>
    </row>
    <row r="463" spans="1:11" x14ac:dyDescent="0.25">
      <c r="A463" s="412">
        <f>+SUBTOTAL(3,$B$4:B463)</f>
        <v>460</v>
      </c>
      <c r="B463" s="742" t="str">
        <f>'Visual chart Edit'!B466</f>
        <v>70/10</v>
      </c>
      <c r="C463" s="412" t="str">
        <f>'Visual chart Edit'!C466</f>
        <v>DA+3</v>
      </c>
      <c r="D463" s="412" t="s">
        <v>1342</v>
      </c>
      <c r="E463" s="464">
        <f>'Visual chart Edit'!I466</f>
        <v>406.1</v>
      </c>
      <c r="F463" s="412" t="str">
        <f>'Visual chart Edit'!K466</f>
        <v>DRY</v>
      </c>
      <c r="G463" s="412" t="str">
        <f>'Visual chart Edit'!L466</f>
        <v>E</v>
      </c>
      <c r="H463" s="412" t="s">
        <v>419</v>
      </c>
      <c r="I463" s="412" t="s">
        <v>419</v>
      </c>
      <c r="J463" s="412" t="s">
        <v>124</v>
      </c>
      <c r="K463" s="412"/>
    </row>
    <row r="464" spans="1:11" x14ac:dyDescent="0.25">
      <c r="A464" s="412">
        <f>+SUBTOTAL(3,$B$4:B464)</f>
        <v>461</v>
      </c>
      <c r="B464" s="742" t="str">
        <f>'Visual chart Edit'!B467</f>
        <v>70/11</v>
      </c>
      <c r="C464" s="412" t="str">
        <f>'Visual chart Edit'!C467</f>
        <v>DA+3</v>
      </c>
      <c r="D464" s="412" t="s">
        <v>1341</v>
      </c>
      <c r="E464" s="464">
        <f>'Visual chart Edit'!I467</f>
        <v>408.6</v>
      </c>
      <c r="F464" s="412" t="str">
        <f>'Visual chart Edit'!K467</f>
        <v>DRY</v>
      </c>
      <c r="G464" s="412" t="str">
        <f>'Visual chart Edit'!L467</f>
        <v>E</v>
      </c>
      <c r="H464" s="412" t="s">
        <v>419</v>
      </c>
      <c r="I464" s="412" t="s">
        <v>419</v>
      </c>
      <c r="J464" s="412" t="s">
        <v>419</v>
      </c>
      <c r="K464" s="412"/>
    </row>
    <row r="465" spans="1:11" x14ac:dyDescent="0.25">
      <c r="A465" s="412">
        <f>+SUBTOTAL(3,$B$4:B465)</f>
        <v>462</v>
      </c>
      <c r="B465" s="742" t="str">
        <f>'Visual chart Edit'!B468</f>
        <v>71/0</v>
      </c>
      <c r="C465" s="412" t="str">
        <f>'Visual chart Edit'!C468</f>
        <v>DB2+3</v>
      </c>
      <c r="D465" s="412" t="s">
        <v>1341</v>
      </c>
      <c r="E465" s="464">
        <f>'Visual chart Edit'!I468</f>
        <v>420.4</v>
      </c>
      <c r="F465" s="412" t="str">
        <f>'Visual chart Edit'!K468</f>
        <v>DRY</v>
      </c>
      <c r="G465" s="412" t="str">
        <f>'Visual chart Edit'!L468</f>
        <v>E</v>
      </c>
      <c r="H465" s="412" t="s">
        <v>419</v>
      </c>
      <c r="I465" s="412"/>
      <c r="J465" s="412" t="s">
        <v>419</v>
      </c>
      <c r="K465" s="412" t="s">
        <v>419</v>
      </c>
    </row>
    <row r="466" spans="1:11" x14ac:dyDescent="0.25">
      <c r="A466" s="412">
        <f>+SUBTOTAL(3,$B$4:B466)</f>
        <v>463</v>
      </c>
      <c r="B466" s="742" t="str">
        <f>'Visual chart Edit'!B469</f>
        <v>71/1</v>
      </c>
      <c r="C466" s="412" t="str">
        <f>'Visual chart Edit'!C469</f>
        <v>DA+3</v>
      </c>
      <c r="D466" s="412" t="s">
        <v>1341</v>
      </c>
      <c r="E466" s="464">
        <f>'Visual chart Edit'!I469</f>
        <v>398.6</v>
      </c>
      <c r="F466" s="412" t="str">
        <f>'Visual chart Edit'!K469</f>
        <v>DRY</v>
      </c>
      <c r="G466" s="412" t="str">
        <f>'Visual chart Edit'!L469</f>
        <v>E</v>
      </c>
      <c r="H466" s="412" t="s">
        <v>419</v>
      </c>
      <c r="I466" s="412" t="s">
        <v>419</v>
      </c>
      <c r="J466" s="412" t="s">
        <v>419</v>
      </c>
      <c r="K466" s="412"/>
    </row>
    <row r="467" spans="1:11" x14ac:dyDescent="0.25">
      <c r="A467" s="412">
        <f>+SUBTOTAL(3,$B$4:B467)</f>
        <v>464</v>
      </c>
      <c r="B467" s="742" t="str">
        <f>'Visual chart Edit'!B470</f>
        <v>71/2</v>
      </c>
      <c r="C467" s="412" t="str">
        <f>'Visual chart Edit'!C470</f>
        <v>DA+3</v>
      </c>
      <c r="D467" s="412" t="s">
        <v>1341</v>
      </c>
      <c r="E467" s="464">
        <f>'Visual chart Edit'!I470</f>
        <v>414.3</v>
      </c>
      <c r="F467" s="412" t="str">
        <f>'Visual chart Edit'!K470</f>
        <v>DRY</v>
      </c>
      <c r="G467" s="412" t="str">
        <f>'Visual chart Edit'!L470</f>
        <v>E</v>
      </c>
      <c r="H467" s="412" t="s">
        <v>419</v>
      </c>
      <c r="I467" s="412" t="s">
        <v>419</v>
      </c>
      <c r="J467" s="412" t="s">
        <v>419</v>
      </c>
      <c r="K467" s="412"/>
    </row>
    <row r="468" spans="1:11" x14ac:dyDescent="0.25">
      <c r="A468" s="412">
        <f>+SUBTOTAL(3,$B$4:B468)</f>
        <v>465</v>
      </c>
      <c r="B468" s="742" t="str">
        <f>'Visual chart Edit'!B471</f>
        <v>71/3</v>
      </c>
      <c r="C468" s="412" t="str">
        <f>'Visual chart Edit'!C471</f>
        <v>DA+6</v>
      </c>
      <c r="D468" s="412" t="s">
        <v>1341</v>
      </c>
      <c r="E468" s="464">
        <f>'Visual chart Edit'!I471</f>
        <v>413</v>
      </c>
      <c r="F468" s="412" t="str">
        <f>'Visual chart Edit'!K471</f>
        <v>DRY</v>
      </c>
      <c r="G468" s="412" t="str">
        <f>'Visual chart Edit'!L471</f>
        <v>E</v>
      </c>
      <c r="H468" s="412" t="s">
        <v>419</v>
      </c>
      <c r="I468" s="412" t="s">
        <v>419</v>
      </c>
      <c r="J468" s="412" t="s">
        <v>419</v>
      </c>
      <c r="K468" s="412"/>
    </row>
    <row r="469" spans="1:11" x14ac:dyDescent="0.25">
      <c r="A469" s="412">
        <f>+SUBTOTAL(3,$B$4:B469)</f>
        <v>466</v>
      </c>
      <c r="B469" s="742" t="str">
        <f>'Visual chart Edit'!B472</f>
        <v>71/4</v>
      </c>
      <c r="C469" s="412" t="str">
        <f>'Visual chart Edit'!C472</f>
        <v>DA+3</v>
      </c>
      <c r="D469" s="412" t="s">
        <v>1341</v>
      </c>
      <c r="E469" s="464">
        <f>'Visual chart Edit'!I472</f>
        <v>367.7</v>
      </c>
      <c r="F469" s="412" t="str">
        <f>'Visual chart Edit'!K472</f>
        <v>DRY</v>
      </c>
      <c r="G469" s="412" t="str">
        <f>'Visual chart Edit'!L472</f>
        <v>E</v>
      </c>
      <c r="H469" s="412" t="s">
        <v>419</v>
      </c>
      <c r="I469" s="412" t="s">
        <v>419</v>
      </c>
      <c r="J469" s="412" t="s">
        <v>419</v>
      </c>
      <c r="K469" s="412"/>
    </row>
    <row r="470" spans="1:11" x14ac:dyDescent="0.25">
      <c r="A470" s="412">
        <f>+SUBTOTAL(3,$B$4:B470)</f>
        <v>467</v>
      </c>
      <c r="B470" s="742" t="str">
        <f>'Visual chart Edit'!B473</f>
        <v>71/5</v>
      </c>
      <c r="C470" s="412" t="str">
        <f>'Visual chart Edit'!C473</f>
        <v>DA+3</v>
      </c>
      <c r="D470" s="412" t="s">
        <v>1343</v>
      </c>
      <c r="E470" s="464">
        <f>'Visual chart Edit'!I473</f>
        <v>429.4</v>
      </c>
      <c r="F470" s="412" t="str">
        <f>'Visual chart Edit'!K473</f>
        <v>DRY</v>
      </c>
      <c r="G470" s="412" t="str">
        <f>'Visual chart Edit'!L473</f>
        <v>E</v>
      </c>
      <c r="H470" s="412" t="s">
        <v>419</v>
      </c>
      <c r="I470" s="412" t="s">
        <v>419</v>
      </c>
      <c r="J470" s="412" t="s">
        <v>419</v>
      </c>
      <c r="K470" s="412"/>
    </row>
    <row r="471" spans="1:11" x14ac:dyDescent="0.25">
      <c r="A471" s="412">
        <f>+SUBTOTAL(3,$B$4:B471)</f>
        <v>468</v>
      </c>
      <c r="B471" s="742" t="str">
        <f>'Visual chart Edit'!B474</f>
        <v>71/6</v>
      </c>
      <c r="C471" s="412" t="str">
        <f>'Visual chart Edit'!C474</f>
        <v>DA+0</v>
      </c>
      <c r="D471" s="412" t="s">
        <v>1343</v>
      </c>
      <c r="E471" s="464">
        <f>'Visual chart Edit'!I474</f>
        <v>408</v>
      </c>
      <c r="F471" s="412" t="str">
        <f>'Visual chart Edit'!K474</f>
        <v>DRY</v>
      </c>
      <c r="G471" s="412" t="str">
        <f>'Visual chart Edit'!L474</f>
        <v>E</v>
      </c>
      <c r="H471" s="412" t="s">
        <v>419</v>
      </c>
      <c r="I471" s="412" t="s">
        <v>419</v>
      </c>
      <c r="J471" s="412" t="s">
        <v>419</v>
      </c>
      <c r="K471" s="412"/>
    </row>
    <row r="472" spans="1:11" x14ac:dyDescent="0.25">
      <c r="A472" s="412">
        <f>+SUBTOTAL(3,$B$4:B472)</f>
        <v>469</v>
      </c>
      <c r="B472" s="742" t="str">
        <f>'Visual chart Edit'!B475</f>
        <v>71/7</v>
      </c>
      <c r="C472" s="412" t="str">
        <f>'Visual chart Edit'!C475</f>
        <v>DA+3</v>
      </c>
      <c r="D472" s="412" t="s">
        <v>1343</v>
      </c>
      <c r="E472" s="464">
        <f>'Visual chart Edit'!I475</f>
        <v>404.9</v>
      </c>
      <c r="F472" s="412" t="str">
        <f>'Visual chart Edit'!K475</f>
        <v>DRY</v>
      </c>
      <c r="G472" s="412" t="str">
        <f>'Visual chart Edit'!L475</f>
        <v>E</v>
      </c>
      <c r="H472" s="412" t="s">
        <v>419</v>
      </c>
      <c r="I472" s="412" t="s">
        <v>419</v>
      </c>
      <c r="J472" s="412" t="s">
        <v>419</v>
      </c>
      <c r="K472" s="412"/>
    </row>
    <row r="473" spans="1:11" x14ac:dyDescent="0.25">
      <c r="A473" s="412">
        <f>+SUBTOTAL(3,$B$4:B473)</f>
        <v>470</v>
      </c>
      <c r="B473" s="742" t="str">
        <f>'Visual chart Edit'!B476</f>
        <v>71/8</v>
      </c>
      <c r="C473" s="412" t="str">
        <f>'Visual chart Edit'!C476</f>
        <v>DA+3</v>
      </c>
      <c r="D473" s="412" t="s">
        <v>1343</v>
      </c>
      <c r="E473" s="464">
        <f>'Visual chart Edit'!I476</f>
        <v>431.6</v>
      </c>
      <c r="F473" s="412" t="str">
        <f>'Visual chart Edit'!K476</f>
        <v>DRY</v>
      </c>
      <c r="G473" s="412" t="str">
        <f>'Visual chart Edit'!L476</f>
        <v>E</v>
      </c>
      <c r="H473" s="412" t="s">
        <v>419</v>
      </c>
      <c r="I473" s="412" t="s">
        <v>419</v>
      </c>
      <c r="J473" s="412" t="s">
        <v>419</v>
      </c>
      <c r="K473" s="412"/>
    </row>
    <row r="474" spans="1:11" x14ac:dyDescent="0.25">
      <c r="A474" s="412">
        <f>+SUBTOTAL(3,$B$4:B474)</f>
        <v>471</v>
      </c>
      <c r="B474" s="742" t="str">
        <f>'Visual chart Edit'!B477</f>
        <v>72/0</v>
      </c>
      <c r="C474" s="412" t="str">
        <f>'Visual chart Edit'!C477</f>
        <v>DB2+3</v>
      </c>
      <c r="D474" s="412" t="s">
        <v>1343</v>
      </c>
      <c r="E474" s="464">
        <f>'Visual chart Edit'!I477</f>
        <v>408.4</v>
      </c>
      <c r="F474" s="412" t="str">
        <f>'Visual chart Edit'!K477</f>
        <v>DRY</v>
      </c>
      <c r="G474" s="412" t="str">
        <f>'Visual chart Edit'!L477</f>
        <v>E</v>
      </c>
      <c r="H474" s="412" t="s">
        <v>419</v>
      </c>
      <c r="I474" s="412"/>
      <c r="J474" s="412" t="s">
        <v>419</v>
      </c>
      <c r="K474" s="412" t="s">
        <v>419</v>
      </c>
    </row>
    <row r="475" spans="1:11" x14ac:dyDescent="0.25">
      <c r="A475" s="412">
        <f>+SUBTOTAL(3,$B$4:B475)</f>
        <v>472</v>
      </c>
      <c r="B475" s="742" t="str">
        <f>'Visual chart Edit'!B478</f>
        <v>72/1</v>
      </c>
      <c r="C475" s="412" t="str">
        <f>'Visual chart Edit'!C478</f>
        <v>DA+3</v>
      </c>
      <c r="D475" s="412" t="s">
        <v>1343</v>
      </c>
      <c r="E475" s="464">
        <f>'Visual chart Edit'!I478</f>
        <v>435.3</v>
      </c>
      <c r="F475" s="412" t="str">
        <f>'Visual chart Edit'!K478</f>
        <v>DRY</v>
      </c>
      <c r="G475" s="412" t="str">
        <f>'Visual chart Edit'!L478</f>
        <v>E</v>
      </c>
      <c r="H475" s="412" t="s">
        <v>419</v>
      </c>
      <c r="I475" s="412" t="s">
        <v>419</v>
      </c>
      <c r="J475" s="412" t="s">
        <v>419</v>
      </c>
      <c r="K475" s="412"/>
    </row>
    <row r="476" spans="1:11" x14ac:dyDescent="0.25">
      <c r="A476" s="412">
        <f>+SUBTOTAL(3,$B$4:B476)</f>
        <v>473</v>
      </c>
      <c r="B476" s="742" t="str">
        <f>'Visual chart Edit'!B479</f>
        <v>72/2</v>
      </c>
      <c r="C476" s="412" t="str">
        <f>'Visual chart Edit'!C479</f>
        <v>DA+0</v>
      </c>
      <c r="D476" s="412" t="s">
        <v>1343</v>
      </c>
      <c r="E476" s="464">
        <f>'Visual chart Edit'!I479</f>
        <v>403.9</v>
      </c>
      <c r="F476" s="412" t="str">
        <f>'Visual chart Edit'!K479</f>
        <v>DRY</v>
      </c>
      <c r="G476" s="412" t="str">
        <f>'Visual chart Edit'!L479</f>
        <v>E</v>
      </c>
      <c r="H476" s="412" t="s">
        <v>419</v>
      </c>
      <c r="I476" s="412" t="s">
        <v>419</v>
      </c>
      <c r="J476" s="412" t="s">
        <v>419</v>
      </c>
      <c r="K476" s="412"/>
    </row>
    <row r="477" spans="1:11" x14ac:dyDescent="0.25">
      <c r="A477" s="412">
        <f>+SUBTOTAL(3,$B$4:B477)</f>
        <v>474</v>
      </c>
      <c r="B477" s="742" t="str">
        <f>'Visual chart Edit'!B480</f>
        <v>72/3</v>
      </c>
      <c r="C477" s="412" t="str">
        <f>'Visual chart Edit'!C480</f>
        <v>DA+3</v>
      </c>
      <c r="D477" s="412" t="s">
        <v>1343</v>
      </c>
      <c r="E477" s="464">
        <f>'Visual chart Edit'!I480</f>
        <v>389.2</v>
      </c>
      <c r="F477" s="412" t="str">
        <f>'Visual chart Edit'!K480</f>
        <v>DRY</v>
      </c>
      <c r="G477" s="412" t="str">
        <f>'Visual chart Edit'!L480</f>
        <v>E</v>
      </c>
      <c r="H477" s="412" t="s">
        <v>419</v>
      </c>
      <c r="I477" s="412" t="s">
        <v>419</v>
      </c>
      <c r="J477" s="412" t="s">
        <v>419</v>
      </c>
      <c r="K477" s="412"/>
    </row>
    <row r="478" spans="1:11" x14ac:dyDescent="0.25">
      <c r="A478" s="412">
        <f>+SUBTOTAL(3,$B$4:B478)</f>
        <v>475</v>
      </c>
      <c r="B478" s="742" t="str">
        <f>'Visual chart Edit'!B481</f>
        <v>73/0</v>
      </c>
      <c r="C478" s="412" t="str">
        <f>'Visual chart Edit'!C481</f>
        <v>DB2+0</v>
      </c>
      <c r="D478" s="412" t="s">
        <v>1343</v>
      </c>
      <c r="E478" s="464">
        <f>'Visual chart Edit'!I481</f>
        <v>400.1</v>
      </c>
      <c r="F478" s="412" t="str">
        <f>'Visual chart Edit'!K481</f>
        <v>DRY</v>
      </c>
      <c r="G478" s="412" t="str">
        <f>'Visual chart Edit'!L481</f>
        <v>E</v>
      </c>
      <c r="H478" s="412" t="s">
        <v>419</v>
      </c>
      <c r="I478" s="412"/>
      <c r="J478" s="412" t="s">
        <v>419</v>
      </c>
      <c r="K478" s="412" t="s">
        <v>419</v>
      </c>
    </row>
    <row r="479" spans="1:11" x14ac:dyDescent="0.25">
      <c r="A479" s="412">
        <f>+SUBTOTAL(3,$B$4:B479)</f>
        <v>476</v>
      </c>
      <c r="B479" s="742" t="str">
        <f>'Visual chart Edit'!B482</f>
        <v>73/1</v>
      </c>
      <c r="C479" s="412" t="str">
        <f>'Visual chart Edit'!C482</f>
        <v>DA+0</v>
      </c>
      <c r="D479" s="412" t="s">
        <v>1344</v>
      </c>
      <c r="E479" s="464">
        <f>'Visual chart Edit'!I482</f>
        <v>383.3</v>
      </c>
      <c r="F479" s="412" t="str">
        <f>'Visual chart Edit'!K482</f>
        <v>DRY</v>
      </c>
      <c r="G479" s="412" t="str">
        <f>'Visual chart Edit'!L482</f>
        <v>E</v>
      </c>
      <c r="H479" s="412" t="s">
        <v>419</v>
      </c>
      <c r="I479" s="412" t="s">
        <v>419</v>
      </c>
      <c r="J479" s="412" t="s">
        <v>419</v>
      </c>
      <c r="K479" s="412"/>
    </row>
    <row r="480" spans="1:11" x14ac:dyDescent="0.25">
      <c r="A480" s="412">
        <f>+SUBTOTAL(3,$B$4:B480)</f>
        <v>477</v>
      </c>
      <c r="B480" s="742" t="str">
        <f>'Visual chart Edit'!B483</f>
        <v>73/2</v>
      </c>
      <c r="C480" s="412" t="str">
        <f>'Visual chart Edit'!C483</f>
        <v>DA+0</v>
      </c>
      <c r="D480" s="412" t="s">
        <v>1344</v>
      </c>
      <c r="E480" s="464">
        <f>'Visual chart Edit'!I483</f>
        <v>379</v>
      </c>
      <c r="F480" s="412" t="str">
        <f>'Visual chart Edit'!K483</f>
        <v>DRY</v>
      </c>
      <c r="G480" s="412" t="str">
        <f>'Visual chart Edit'!L483</f>
        <v>E</v>
      </c>
      <c r="H480" s="412" t="s">
        <v>419</v>
      </c>
      <c r="I480" s="412" t="s">
        <v>419</v>
      </c>
      <c r="J480" s="412" t="s">
        <v>419</v>
      </c>
      <c r="K480" s="412"/>
    </row>
    <row r="481" spans="1:11" x14ac:dyDescent="0.25">
      <c r="A481" s="412">
        <f>+SUBTOTAL(3,$B$4:B481)</f>
        <v>478</v>
      </c>
      <c r="B481" s="742" t="str">
        <f>'Visual chart Edit'!B484</f>
        <v>73/3</v>
      </c>
      <c r="C481" s="412" t="str">
        <f>'Visual chart Edit'!C484</f>
        <v>DA+0</v>
      </c>
      <c r="D481" s="412" t="s">
        <v>1344</v>
      </c>
      <c r="E481" s="464">
        <f>'Visual chart Edit'!I484</f>
        <v>381.2</v>
      </c>
      <c r="F481" s="412" t="str">
        <f>'Visual chart Edit'!K484</f>
        <v>DRY</v>
      </c>
      <c r="G481" s="412" t="str">
        <f>'Visual chart Edit'!L484</f>
        <v>E</v>
      </c>
      <c r="H481" s="412" t="s">
        <v>419</v>
      </c>
      <c r="I481" s="412" t="s">
        <v>419</v>
      </c>
      <c r="J481" s="412" t="s">
        <v>419</v>
      </c>
      <c r="K481" s="412"/>
    </row>
    <row r="482" spans="1:11" x14ac:dyDescent="0.25">
      <c r="A482" s="412">
        <f>+SUBTOTAL(3,$B$4:B482)</f>
        <v>479</v>
      </c>
      <c r="B482" s="742" t="str">
        <f>'Visual chart Edit'!B485</f>
        <v>73/4</v>
      </c>
      <c r="C482" s="412" t="str">
        <f>'Visual chart Edit'!C485</f>
        <v>DA+0</v>
      </c>
      <c r="D482" s="412" t="s">
        <v>1344</v>
      </c>
      <c r="E482" s="464">
        <f>'Visual chart Edit'!I485</f>
        <v>384.7</v>
      </c>
      <c r="F482" s="412" t="str">
        <f>'Visual chart Edit'!K485</f>
        <v>DRY</v>
      </c>
      <c r="G482" s="412" t="str">
        <f>'Visual chart Edit'!L485</f>
        <v>E</v>
      </c>
      <c r="H482" s="412" t="s">
        <v>419</v>
      </c>
      <c r="I482" s="412" t="s">
        <v>419</v>
      </c>
      <c r="J482" s="412" t="s">
        <v>419</v>
      </c>
      <c r="K482" s="412"/>
    </row>
    <row r="483" spans="1:11" x14ac:dyDescent="0.25">
      <c r="A483" s="412">
        <f>+SUBTOTAL(3,$B$4:B483)</f>
        <v>480</v>
      </c>
      <c r="B483" s="742" t="str">
        <f>'Visual chart Edit'!B486</f>
        <v>73/5</v>
      </c>
      <c r="C483" s="412" t="str">
        <f>'Visual chart Edit'!C486</f>
        <v>DA+0</v>
      </c>
      <c r="D483" s="412" t="s">
        <v>1344</v>
      </c>
      <c r="E483" s="464">
        <f>'Visual chart Edit'!I486</f>
        <v>368.8</v>
      </c>
      <c r="F483" s="412" t="str">
        <f>'Visual chart Edit'!K486</f>
        <v>DRY</v>
      </c>
      <c r="G483" s="412" t="str">
        <f>'Visual chart Edit'!L486</f>
        <v>E</v>
      </c>
      <c r="H483" s="412" t="s">
        <v>419</v>
      </c>
      <c r="I483" s="412" t="s">
        <v>419</v>
      </c>
      <c r="J483" s="412" t="s">
        <v>419</v>
      </c>
      <c r="K483" s="412"/>
    </row>
    <row r="484" spans="1:11" x14ac:dyDescent="0.25">
      <c r="A484" s="412">
        <f>+SUBTOTAL(3,$B$4:B484)</f>
        <v>481</v>
      </c>
      <c r="B484" s="742" t="str">
        <f>'Visual chart Edit'!B487</f>
        <v>73/6</v>
      </c>
      <c r="C484" s="412" t="str">
        <f>'Visual chart Edit'!C487</f>
        <v>DA+0</v>
      </c>
      <c r="D484" s="412" t="s">
        <v>1344</v>
      </c>
      <c r="E484" s="464">
        <f>'Visual chart Edit'!I487</f>
        <v>365.5</v>
      </c>
      <c r="F484" s="412" t="str">
        <f>'Visual chart Edit'!K487</f>
        <v>DRY</v>
      </c>
      <c r="G484" s="412" t="str">
        <f>'Visual chart Edit'!L487</f>
        <v>E</v>
      </c>
      <c r="H484" s="412" t="s">
        <v>419</v>
      </c>
      <c r="I484" s="412" t="s">
        <v>419</v>
      </c>
      <c r="J484" s="412" t="s">
        <v>419</v>
      </c>
      <c r="K484" s="412"/>
    </row>
    <row r="485" spans="1:11" x14ac:dyDescent="0.25">
      <c r="A485" s="412">
        <f>+SUBTOTAL(3,$B$4:B485)</f>
        <v>482</v>
      </c>
      <c r="B485" s="742" t="str">
        <f>'Visual chart Edit'!B488</f>
        <v>73/7</v>
      </c>
      <c r="C485" s="412" t="str">
        <f>'Visual chart Edit'!C488</f>
        <v>DA+0</v>
      </c>
      <c r="D485" s="412" t="s">
        <v>1344</v>
      </c>
      <c r="E485" s="464">
        <f>'Visual chart Edit'!I488</f>
        <v>392.4</v>
      </c>
      <c r="F485" s="412" t="str">
        <f>'Visual chart Edit'!K488</f>
        <v>DRY</v>
      </c>
      <c r="G485" s="412" t="str">
        <f>'Visual chart Edit'!L488</f>
        <v>E</v>
      </c>
      <c r="H485" s="412" t="s">
        <v>419</v>
      </c>
      <c r="I485" s="412" t="s">
        <v>419</v>
      </c>
      <c r="J485" s="412" t="s">
        <v>419</v>
      </c>
      <c r="K485" s="412"/>
    </row>
    <row r="486" spans="1:11" x14ac:dyDescent="0.25">
      <c r="A486" s="412">
        <f>+SUBTOTAL(3,$B$4:B486)</f>
        <v>483</v>
      </c>
      <c r="B486" s="742" t="str">
        <f>'Visual chart Edit'!B489</f>
        <v>73/8</v>
      </c>
      <c r="C486" s="412" t="str">
        <f>'Visual chart Edit'!C489</f>
        <v>DA+3</v>
      </c>
      <c r="D486" s="412" t="s">
        <v>1344</v>
      </c>
      <c r="E486" s="464">
        <f>'Visual chart Edit'!I489</f>
        <v>374.9</v>
      </c>
      <c r="F486" s="412" t="str">
        <f>'Visual chart Edit'!K489</f>
        <v>DRY</v>
      </c>
      <c r="G486" s="412" t="str">
        <f>'Visual chart Edit'!L489</f>
        <v>E</v>
      </c>
      <c r="H486" s="412" t="s">
        <v>419</v>
      </c>
      <c r="I486" s="412" t="s">
        <v>419</v>
      </c>
      <c r="J486" s="412" t="s">
        <v>419</v>
      </c>
      <c r="K486" s="412"/>
    </row>
    <row r="487" spans="1:11" x14ac:dyDescent="0.25">
      <c r="A487" s="412">
        <f>+SUBTOTAL(3,$B$4:B487)</f>
        <v>484</v>
      </c>
      <c r="B487" s="742" t="str">
        <f>'Visual chart Edit'!B490</f>
        <v>73/9</v>
      </c>
      <c r="C487" s="412" t="str">
        <f>'Visual chart Edit'!C490</f>
        <v>DA+0</v>
      </c>
      <c r="D487" s="412" t="s">
        <v>1344</v>
      </c>
      <c r="E487" s="464">
        <f>'Visual chart Edit'!I490</f>
        <v>379.5</v>
      </c>
      <c r="F487" s="412" t="str">
        <f>'Visual chart Edit'!K490</f>
        <v>DRY</v>
      </c>
      <c r="G487" s="412" t="str">
        <f>'Visual chart Edit'!L490</f>
        <v>E</v>
      </c>
      <c r="H487" s="412" t="s">
        <v>419</v>
      </c>
      <c r="I487" s="412" t="s">
        <v>419</v>
      </c>
      <c r="J487" s="412" t="s">
        <v>419</v>
      </c>
      <c r="K487" s="412"/>
    </row>
    <row r="488" spans="1:11" x14ac:dyDescent="0.25">
      <c r="A488" s="412">
        <f>+SUBTOTAL(3,$B$4:B488)</f>
        <v>485</v>
      </c>
      <c r="B488" s="412" t="str">
        <f>'Visual chart Edit'!B491</f>
        <v>74/0</v>
      </c>
      <c r="C488" s="412" t="str">
        <f>'Visual chart Edit'!C491</f>
        <v>DB2+0</v>
      </c>
      <c r="D488" s="412" t="s">
        <v>1344</v>
      </c>
      <c r="E488" s="464">
        <f>'Visual chart Edit'!I491</f>
        <v>378.9</v>
      </c>
      <c r="F488" s="412" t="str">
        <f>'Visual chart Edit'!K491</f>
        <v>Sandy</v>
      </c>
      <c r="G488" s="412" t="str">
        <f>'Visual chart Edit'!L491</f>
        <v>E</v>
      </c>
      <c r="H488" s="412" t="s">
        <v>419</v>
      </c>
      <c r="I488" s="412"/>
      <c r="J488" s="412" t="s">
        <v>419</v>
      </c>
      <c r="K488" s="412"/>
    </row>
    <row r="490" spans="1:11" x14ac:dyDescent="0.25">
      <c r="B490" s="650"/>
    </row>
    <row r="492" spans="1:11" x14ac:dyDescent="0.25">
      <c r="D492" s="349" t="s">
        <v>19</v>
      </c>
      <c r="I492" s="266">
        <f>+COUNTIF($C$4:$C$488,"*DA*")</f>
        <v>397</v>
      </c>
      <c r="J492" s="266">
        <f>+COUNTA(B4:B488)</f>
        <v>485</v>
      </c>
      <c r="K492" s="266">
        <f>J492-I492</f>
        <v>88</v>
      </c>
    </row>
    <row r="493" spans="1:11" x14ac:dyDescent="0.25">
      <c r="B493" s="646"/>
      <c r="D493" s="349" t="s">
        <v>404</v>
      </c>
      <c r="I493" s="266">
        <f>+COUNTIF($I$4:$I$488,"C")</f>
        <v>163</v>
      </c>
      <c r="J493" s="266">
        <f t="shared" ref="J493:K493" si="31">+COUNTIF(J4:J488,"C")</f>
        <v>185</v>
      </c>
      <c r="K493" s="266">
        <f t="shared" si="31"/>
        <v>19</v>
      </c>
    </row>
    <row r="494" spans="1:11" x14ac:dyDescent="0.25">
      <c r="D494" s="349" t="s">
        <v>16</v>
      </c>
      <c r="I494" s="266">
        <f>I492-I493</f>
        <v>234</v>
      </c>
      <c r="J494" s="266">
        <f t="shared" ref="J494:K494" si="32">J492-J493</f>
        <v>300</v>
      </c>
      <c r="K494" s="266">
        <f t="shared" si="32"/>
        <v>69</v>
      </c>
    </row>
    <row r="495" spans="1:11" x14ac:dyDescent="0.25">
      <c r="D495" s="349" t="s">
        <v>124</v>
      </c>
      <c r="I495" s="266">
        <f>+COUNTIF($I$4:$I$488,"WIP")</f>
        <v>0</v>
      </c>
      <c r="J495" s="266">
        <f>+COUNTIF(J6:J490,"WIP")</f>
        <v>4</v>
      </c>
      <c r="K495" s="266">
        <f>+COUNTIF(K6:K490,"WIP")</f>
        <v>0</v>
      </c>
    </row>
    <row r="496" spans="1:11" x14ac:dyDescent="0.25">
      <c r="B496" s="650"/>
    </row>
    <row r="502" spans="2:2" x14ac:dyDescent="0.25">
      <c r="B502" s="650"/>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870" t="s">
        <v>13</v>
      </c>
      <c r="B4" s="876" t="s">
        <v>1161</v>
      </c>
      <c r="C4" s="878" t="s">
        <v>13</v>
      </c>
      <c r="D4" s="878"/>
      <c r="E4" s="879" t="s">
        <v>1162</v>
      </c>
      <c r="F4" s="879" t="s">
        <v>1163</v>
      </c>
      <c r="G4" s="881" t="s">
        <v>983</v>
      </c>
      <c r="H4" s="882"/>
      <c r="I4" s="882"/>
      <c r="J4" s="882"/>
      <c r="K4" s="882"/>
      <c r="L4" s="883"/>
      <c r="M4" s="871" t="s">
        <v>19</v>
      </c>
      <c r="N4" s="873" t="s">
        <v>1164</v>
      </c>
      <c r="O4" s="873" t="s">
        <v>1165</v>
      </c>
    </row>
    <row r="5" spans="1:15" ht="38.25" x14ac:dyDescent="0.25">
      <c r="A5" s="870"/>
      <c r="B5" s="877"/>
      <c r="C5" s="691" t="s">
        <v>1166</v>
      </c>
      <c r="D5" s="691" t="s">
        <v>119</v>
      </c>
      <c r="E5" s="880"/>
      <c r="F5" s="880"/>
      <c r="G5" s="692" t="s">
        <v>1167</v>
      </c>
      <c r="H5" s="692" t="s">
        <v>1168</v>
      </c>
      <c r="I5" s="692" t="s">
        <v>1169</v>
      </c>
      <c r="J5" s="692" t="s">
        <v>1170</v>
      </c>
      <c r="K5" s="692" t="s">
        <v>9</v>
      </c>
      <c r="L5" s="692" t="s">
        <v>9</v>
      </c>
      <c r="M5" s="872"/>
      <c r="N5" s="874"/>
      <c r="O5" s="874"/>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9">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875" t="s">
        <v>1185</v>
      </c>
      <c r="C95" s="875"/>
      <c r="D95" s="875"/>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4" activePane="bottomLeft" state="frozen"/>
      <selection activeCell="N8" sqref="N8"/>
      <selection pane="bottomLeft" activeCell="H492" sqref="H492"/>
    </sheetView>
  </sheetViews>
  <sheetFormatPr defaultColWidth="9.140625" defaultRowHeight="12.75" outlineLevelRow="1" x14ac:dyDescent="0.2"/>
  <cols>
    <col min="1" max="1" width="5.5703125" style="341" customWidth="1"/>
    <col min="2" max="2" width="8.28515625" style="341" customWidth="1"/>
    <col min="3" max="3" width="9.140625" style="537"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1260</v>
      </c>
    </row>
    <row r="2" spans="1:103" x14ac:dyDescent="0.2">
      <c r="A2" s="342" t="s">
        <v>1226</v>
      </c>
      <c r="B2" s="538"/>
      <c r="C2" s="343"/>
      <c r="D2" s="538"/>
      <c r="E2" s="538"/>
      <c r="F2" s="538"/>
      <c r="G2" s="538"/>
      <c r="H2" s="539"/>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538"/>
      <c r="BE2" s="538"/>
      <c r="BF2" s="538"/>
      <c r="BG2" s="538"/>
      <c r="BH2" s="538"/>
      <c r="BI2" s="538"/>
      <c r="BJ2" s="538"/>
      <c r="BK2" s="538"/>
      <c r="BL2" s="538"/>
      <c r="BM2" s="538"/>
      <c r="BN2" s="538"/>
      <c r="BO2" s="538"/>
      <c r="BP2" s="538"/>
      <c r="BQ2" s="538"/>
      <c r="BR2" s="538"/>
      <c r="BS2" s="538"/>
      <c r="BT2" s="538"/>
      <c r="BU2" s="538"/>
      <c r="BV2" s="538"/>
      <c r="BW2" s="538"/>
      <c r="BX2" s="538"/>
      <c r="BY2" s="538"/>
      <c r="BZ2" s="538"/>
      <c r="CA2" s="538"/>
      <c r="CB2" s="538"/>
      <c r="CC2" s="538"/>
      <c r="CD2" s="538"/>
      <c r="CE2" s="538"/>
      <c r="CF2" s="538"/>
      <c r="CG2" s="538"/>
      <c r="CH2" s="538"/>
      <c r="CI2" s="538"/>
      <c r="CJ2" s="538"/>
      <c r="CK2" s="538"/>
      <c r="CL2" s="538"/>
      <c r="CM2" s="538"/>
      <c r="CN2" s="538"/>
      <c r="CO2" s="538"/>
      <c r="CP2" s="538"/>
      <c r="CQ2" s="538"/>
      <c r="CR2" s="538"/>
      <c r="CS2" s="538"/>
      <c r="CT2" s="538"/>
      <c r="CU2" s="538"/>
      <c r="CV2" s="538"/>
      <c r="CW2" s="538"/>
      <c r="CX2" s="538"/>
      <c r="CY2" s="538"/>
    </row>
    <row r="3" spans="1:103" x14ac:dyDescent="0.2">
      <c r="A3" s="342" t="s">
        <v>148</v>
      </c>
      <c r="B3" s="343"/>
      <c r="C3" s="343"/>
      <c r="D3" s="343"/>
      <c r="E3" s="343"/>
      <c r="F3" s="343"/>
      <c r="G3" s="343"/>
      <c r="H3" s="540"/>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0"/>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2" t="s">
        <v>303</v>
      </c>
      <c r="B5" s="894" t="s">
        <v>1007</v>
      </c>
      <c r="C5" s="892" t="s">
        <v>115</v>
      </c>
      <c r="D5" s="892" t="s">
        <v>4</v>
      </c>
      <c r="E5" s="892" t="s">
        <v>135</v>
      </c>
      <c r="F5" s="888" t="s">
        <v>1393</v>
      </c>
      <c r="G5" s="890" t="s">
        <v>116</v>
      </c>
      <c r="H5" s="886" t="s">
        <v>137</v>
      </c>
      <c r="I5" s="884" t="s">
        <v>1005</v>
      </c>
      <c r="J5" s="541"/>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2"/>
      <c r="BS5" s="542"/>
      <c r="BT5" s="542"/>
      <c r="BU5" s="542"/>
      <c r="BV5" s="542"/>
      <c r="BW5" s="542"/>
      <c r="BX5" s="542"/>
      <c r="BY5" s="542"/>
      <c r="BZ5" s="542"/>
      <c r="CA5" s="542"/>
      <c r="CB5" s="542"/>
      <c r="CC5" s="542"/>
      <c r="CD5" s="542"/>
      <c r="CE5" s="542"/>
      <c r="CF5" s="542"/>
      <c r="CG5" s="542"/>
      <c r="CH5" s="542"/>
      <c r="CI5" s="542"/>
      <c r="CJ5" s="542"/>
      <c r="CK5" s="542"/>
      <c r="CL5" s="542"/>
      <c r="CM5" s="542"/>
      <c r="CN5" s="542"/>
      <c r="CO5" s="542"/>
      <c r="CP5" s="542"/>
      <c r="CQ5" s="542"/>
      <c r="CR5" s="542"/>
      <c r="CS5" s="542"/>
      <c r="CT5" s="542"/>
      <c r="CU5" s="542"/>
      <c r="CV5" s="542"/>
      <c r="CW5" s="542"/>
    </row>
    <row r="6" spans="1:103" x14ac:dyDescent="0.2">
      <c r="A6" s="893"/>
      <c r="B6" s="895"/>
      <c r="C6" s="893"/>
      <c r="D6" s="893"/>
      <c r="E6" s="893"/>
      <c r="F6" s="889"/>
      <c r="G6" s="891"/>
      <c r="H6" s="887"/>
      <c r="I6" s="885"/>
      <c r="J6" s="541"/>
      <c r="K6" s="542"/>
      <c r="L6" s="542"/>
      <c r="M6" s="542"/>
      <c r="N6" s="542"/>
      <c r="O6" s="542"/>
      <c r="P6" s="542"/>
      <c r="Q6" s="542"/>
      <c r="R6" s="542"/>
      <c r="S6" s="542"/>
      <c r="T6" s="542"/>
      <c r="U6" s="542"/>
      <c r="V6" s="542"/>
      <c r="W6" s="542"/>
      <c r="X6" s="542"/>
      <c r="Y6" s="542"/>
      <c r="Z6" s="542"/>
      <c r="AA6" s="542"/>
      <c r="AB6" s="542"/>
      <c r="AC6" s="542"/>
      <c r="AD6" s="542"/>
      <c r="AE6" s="542"/>
      <c r="AF6" s="542"/>
      <c r="AG6" s="542"/>
      <c r="AH6" s="542"/>
      <c r="AI6" s="542"/>
      <c r="AJ6" s="542"/>
      <c r="AK6" s="542"/>
      <c r="AL6" s="542"/>
      <c r="AM6" s="542"/>
      <c r="AN6" s="542"/>
      <c r="AO6" s="542"/>
      <c r="AP6" s="542"/>
      <c r="AQ6" s="542"/>
      <c r="AR6" s="542"/>
      <c r="AS6" s="542"/>
      <c r="AT6" s="542"/>
      <c r="AU6" s="542"/>
      <c r="AV6" s="542"/>
      <c r="AW6" s="542"/>
      <c r="AX6" s="542"/>
      <c r="AY6" s="542"/>
      <c r="AZ6" s="542"/>
      <c r="BA6" s="542"/>
      <c r="BB6" s="542"/>
      <c r="BC6" s="542"/>
      <c r="BD6" s="542"/>
      <c r="BE6" s="542"/>
      <c r="BF6" s="542"/>
      <c r="BG6" s="542"/>
      <c r="BH6" s="542"/>
      <c r="BI6" s="542"/>
      <c r="BJ6" s="542"/>
      <c r="BK6" s="542"/>
      <c r="BL6" s="542"/>
      <c r="BM6" s="542"/>
      <c r="BN6" s="542"/>
      <c r="BO6" s="542"/>
      <c r="BP6" s="542"/>
      <c r="BQ6" s="542"/>
      <c r="BR6" s="542"/>
      <c r="BS6" s="542"/>
      <c r="BT6" s="542"/>
      <c r="BU6" s="542"/>
      <c r="BV6" s="542"/>
      <c r="BW6" s="542"/>
      <c r="BX6" s="542"/>
      <c r="BY6" s="542"/>
      <c r="BZ6" s="542"/>
      <c r="CA6" s="542"/>
      <c r="CB6" s="542"/>
      <c r="CC6" s="542"/>
      <c r="CD6" s="542"/>
      <c r="CE6" s="542"/>
      <c r="CF6" s="542"/>
      <c r="CG6" s="542"/>
      <c r="CH6" s="542"/>
      <c r="CI6" s="542"/>
      <c r="CJ6" s="542"/>
      <c r="CK6" s="542"/>
      <c r="CL6" s="542"/>
      <c r="CM6" s="542"/>
      <c r="CN6" s="542"/>
      <c r="CO6" s="542"/>
      <c r="CP6" s="542"/>
      <c r="CQ6" s="542"/>
      <c r="CR6" s="542"/>
      <c r="CS6" s="542"/>
      <c r="CT6" s="542"/>
      <c r="CU6" s="542"/>
      <c r="CV6" s="542"/>
      <c r="CW6" s="542"/>
    </row>
    <row r="7" spans="1:103" x14ac:dyDescent="0.2">
      <c r="A7" s="546"/>
      <c r="B7" s="547"/>
      <c r="C7" s="543"/>
      <c r="D7" s="543"/>
      <c r="E7" s="543"/>
      <c r="F7" s="544"/>
      <c r="G7" s="548"/>
      <c r="H7" s="549"/>
      <c r="I7" s="545"/>
      <c r="J7" s="550"/>
      <c r="K7" s="550"/>
      <c r="L7" s="550"/>
      <c r="M7" s="550"/>
      <c r="N7" s="550"/>
      <c r="O7" s="550"/>
      <c r="P7" s="550"/>
      <c r="Q7" s="550"/>
      <c r="R7" s="550"/>
      <c r="S7" s="550"/>
      <c r="T7" s="550"/>
      <c r="U7" s="550"/>
      <c r="V7" s="550"/>
      <c r="W7" s="550"/>
      <c r="X7" s="550"/>
      <c r="Y7" s="550"/>
      <c r="Z7" s="550"/>
      <c r="AA7" s="550"/>
      <c r="AB7" s="550"/>
      <c r="AC7" s="550"/>
      <c r="AD7" s="550"/>
      <c r="AE7" s="550"/>
      <c r="AF7" s="550"/>
      <c r="AG7" s="550"/>
      <c r="AH7" s="550"/>
      <c r="AI7" s="550"/>
      <c r="AJ7" s="550"/>
      <c r="AK7" s="550"/>
      <c r="AL7" s="550"/>
      <c r="AM7" s="550"/>
      <c r="AN7" s="550"/>
      <c r="AO7" s="550"/>
      <c r="AP7" s="550"/>
      <c r="AQ7" s="550"/>
      <c r="AR7" s="550"/>
      <c r="AS7" s="550"/>
      <c r="AT7" s="550"/>
      <c r="AU7" s="550"/>
      <c r="AV7" s="550"/>
      <c r="AW7" s="550"/>
      <c r="AX7" s="550"/>
      <c r="AY7" s="550"/>
      <c r="AZ7" s="550"/>
      <c r="BA7" s="550"/>
      <c r="BB7" s="550"/>
      <c r="BC7" s="550"/>
      <c r="BD7" s="550"/>
      <c r="BE7" s="550"/>
      <c r="BF7" s="550"/>
      <c r="BG7" s="550"/>
      <c r="BH7" s="550"/>
      <c r="BI7" s="550"/>
      <c r="BJ7" s="550"/>
      <c r="BK7" s="550"/>
      <c r="BL7" s="550"/>
      <c r="BM7" s="550"/>
      <c r="BN7" s="550"/>
      <c r="BO7" s="550"/>
      <c r="BP7" s="550"/>
      <c r="BQ7" s="550"/>
      <c r="BR7" s="550"/>
      <c r="BS7" s="550"/>
      <c r="BT7" s="550"/>
      <c r="BU7" s="550"/>
      <c r="BV7" s="550"/>
      <c r="BW7" s="550"/>
      <c r="BX7" s="550"/>
      <c r="BY7" s="550"/>
      <c r="BZ7" s="550"/>
      <c r="CA7" s="550"/>
      <c r="CB7" s="550"/>
      <c r="CC7" s="550"/>
      <c r="CD7" s="550"/>
      <c r="CE7" s="550"/>
      <c r="CF7" s="550"/>
      <c r="CG7" s="550"/>
      <c r="CH7" s="550"/>
      <c r="CI7" s="550"/>
      <c r="CJ7" s="550"/>
      <c r="CK7" s="550"/>
      <c r="CL7" s="550"/>
      <c r="CM7" s="550"/>
      <c r="CN7" s="550"/>
      <c r="CO7" s="550"/>
      <c r="CP7" s="550"/>
      <c r="CQ7" s="550"/>
      <c r="CR7" s="550"/>
      <c r="CS7" s="550"/>
      <c r="CT7" s="550"/>
      <c r="CU7" s="550"/>
      <c r="CV7" s="550"/>
      <c r="CW7" s="550"/>
    </row>
    <row r="8" spans="1:103" x14ac:dyDescent="0.2">
      <c r="A8" s="344">
        <f>+SUBTOTAL(3,$E$8:$E8)</f>
        <v>1</v>
      </c>
      <c r="B8" s="345">
        <v>45200</v>
      </c>
      <c r="C8" s="346" t="s">
        <v>85</v>
      </c>
      <c r="D8" s="344" t="str">
        <f>+VLOOKUP(C8,'Visual chart Edit'!$B$7:$C$491,2,FALSE)</f>
        <v>DA+3</v>
      </c>
      <c r="E8" s="344" t="s">
        <v>143</v>
      </c>
      <c r="F8" s="551">
        <v>45197</v>
      </c>
      <c r="G8" s="551">
        <v>45203</v>
      </c>
      <c r="H8" s="552" t="s">
        <v>223</v>
      </c>
      <c r="I8" s="553" t="s">
        <v>222</v>
      </c>
      <c r="J8" s="554">
        <f>G8-F8</f>
        <v>6</v>
      </c>
      <c r="K8" s="554"/>
      <c r="L8" s="554"/>
      <c r="M8" s="554"/>
      <c r="N8" s="554"/>
      <c r="O8" s="554"/>
      <c r="P8" s="554"/>
      <c r="Q8" s="554"/>
      <c r="R8" s="554"/>
      <c r="S8" s="554"/>
      <c r="T8" s="554"/>
      <c r="U8" s="554"/>
      <c r="V8" s="554"/>
      <c r="W8" s="554"/>
      <c r="X8" s="554"/>
      <c r="Y8" s="554"/>
      <c r="Z8" s="554"/>
      <c r="AA8" s="554"/>
      <c r="AB8" s="554"/>
      <c r="AC8" s="554"/>
      <c r="AD8" s="554"/>
      <c r="AE8" s="554"/>
      <c r="AF8" s="554"/>
      <c r="AG8" s="554"/>
      <c r="AH8" s="554"/>
      <c r="AI8" s="554"/>
      <c r="AJ8" s="554"/>
      <c r="AK8" s="554"/>
      <c r="AL8" s="554"/>
      <c r="AM8" s="554"/>
      <c r="AN8" s="554"/>
      <c r="AO8" s="554"/>
      <c r="AP8" s="554"/>
      <c r="AQ8" s="554"/>
      <c r="AR8" s="554"/>
      <c r="AS8" s="554"/>
      <c r="AT8" s="554"/>
      <c r="AU8" s="554"/>
      <c r="AV8" s="554"/>
      <c r="AW8" s="554"/>
      <c r="AX8" s="554"/>
      <c r="AY8" s="554"/>
      <c r="AZ8" s="554"/>
      <c r="BA8" s="554"/>
      <c r="BB8" s="554"/>
      <c r="BC8" s="554"/>
      <c r="BD8" s="554"/>
      <c r="BE8" s="554"/>
      <c r="BF8" s="554"/>
      <c r="BG8" s="554"/>
      <c r="BH8" s="554"/>
      <c r="BI8" s="554"/>
      <c r="BJ8" s="554"/>
      <c r="BK8" s="554"/>
      <c r="BL8" s="554"/>
      <c r="BM8" s="554"/>
      <c r="BN8" s="554"/>
      <c r="BO8" s="554"/>
      <c r="BP8" s="554"/>
      <c r="BQ8" s="554"/>
      <c r="BR8" s="554"/>
      <c r="BS8" s="554"/>
      <c r="BT8" s="554"/>
      <c r="BU8" s="554"/>
      <c r="BV8" s="554"/>
      <c r="BW8" s="554"/>
      <c r="BX8" s="554"/>
      <c r="BY8" s="554"/>
      <c r="BZ8" s="554"/>
      <c r="CA8" s="554"/>
      <c r="CB8" s="554"/>
      <c r="CC8" s="554"/>
      <c r="CD8" s="554"/>
      <c r="CE8" s="554"/>
      <c r="CF8" s="554"/>
      <c r="CG8" s="554"/>
      <c r="CH8" s="554"/>
      <c r="CI8" s="554"/>
      <c r="CJ8" s="554"/>
      <c r="CK8" s="554"/>
      <c r="CL8" s="554"/>
      <c r="CM8" s="554"/>
      <c r="CN8" s="554"/>
      <c r="CO8" s="554"/>
      <c r="CP8" s="554"/>
      <c r="CQ8" s="554"/>
      <c r="CR8" s="554"/>
      <c r="CS8" s="554"/>
      <c r="CT8" s="554"/>
      <c r="CU8" s="554"/>
      <c r="CV8" s="554"/>
      <c r="CW8" s="554"/>
      <c r="CX8" s="554"/>
      <c r="CY8" s="554"/>
    </row>
    <row r="9" spans="1:103" x14ac:dyDescent="0.2">
      <c r="A9" s="344">
        <f>+SUBTOTAL(3,$E$8:$E9)</f>
        <v>2</v>
      </c>
      <c r="B9" s="555">
        <v>45261</v>
      </c>
      <c r="C9" s="344" t="s">
        <v>781</v>
      </c>
      <c r="D9" s="344" t="str">
        <f>+VLOOKUP(C9,'Visual chart Edit'!$B$7:$C$491,2,FALSE)</f>
        <v>DA+6</v>
      </c>
      <c r="E9" s="344" t="s">
        <v>276</v>
      </c>
      <c r="F9" s="551">
        <v>45273</v>
      </c>
      <c r="G9" s="551">
        <v>45274</v>
      </c>
      <c r="H9" s="552" t="s">
        <v>874</v>
      </c>
      <c r="I9" s="553" t="s">
        <v>1024</v>
      </c>
      <c r="J9" s="554">
        <f t="shared" ref="J9:J72" si="0">G9-F9</f>
        <v>1</v>
      </c>
      <c r="K9" s="550"/>
      <c r="L9" s="550"/>
      <c r="M9" s="550"/>
      <c r="N9" s="550"/>
      <c r="O9" s="550"/>
      <c r="P9" s="550"/>
      <c r="Q9" s="550"/>
      <c r="R9" s="550"/>
      <c r="S9" s="550"/>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0"/>
      <c r="BO9" s="550"/>
      <c r="BP9" s="550"/>
      <c r="BQ9" s="550"/>
      <c r="BR9" s="550"/>
      <c r="BS9" s="550"/>
      <c r="BT9" s="550"/>
      <c r="BU9" s="550"/>
      <c r="BV9" s="550"/>
      <c r="BW9" s="550"/>
      <c r="BX9" s="550"/>
      <c r="BY9" s="550"/>
      <c r="BZ9" s="550"/>
      <c r="CA9" s="550"/>
      <c r="CB9" s="550"/>
      <c r="CC9" s="550"/>
      <c r="CD9" s="550"/>
      <c r="CE9" s="550"/>
      <c r="CF9" s="550"/>
      <c r="CG9" s="550"/>
      <c r="CH9" s="550"/>
      <c r="CI9" s="550"/>
      <c r="CJ9" s="550"/>
      <c r="CK9" s="550"/>
      <c r="CL9" s="550"/>
      <c r="CM9" s="550"/>
      <c r="CN9" s="550"/>
      <c r="CO9" s="550"/>
      <c r="CP9" s="550"/>
      <c r="CQ9" s="550"/>
      <c r="CR9" s="550"/>
      <c r="CS9" s="550"/>
      <c r="CT9" s="550"/>
      <c r="CU9" s="550"/>
      <c r="CV9" s="550"/>
      <c r="CW9" s="550"/>
    </row>
    <row r="10" spans="1:103" x14ac:dyDescent="0.2">
      <c r="A10" s="344">
        <f>+SUBTOTAL(3,$E$8:$E10)</f>
        <v>3</v>
      </c>
      <c r="B10" s="555">
        <v>45261</v>
      </c>
      <c r="C10" s="344" t="s">
        <v>191</v>
      </c>
      <c r="D10" s="344" t="str">
        <f>+VLOOKUP(C10,'Visual chart Edit'!$B$7:$C$491,2,FALSE)</f>
        <v>DA+3</v>
      </c>
      <c r="E10" s="344" t="s">
        <v>143</v>
      </c>
      <c r="F10" s="551">
        <v>45266</v>
      </c>
      <c r="G10" s="551">
        <v>45278</v>
      </c>
      <c r="H10" s="552" t="s">
        <v>1008</v>
      </c>
      <c r="I10" s="553" t="s">
        <v>224</v>
      </c>
      <c r="J10" s="554">
        <f t="shared" si="0"/>
        <v>12</v>
      </c>
      <c r="K10" s="550"/>
      <c r="L10" s="550"/>
      <c r="M10" s="550"/>
      <c r="N10" s="550"/>
      <c r="O10" s="550"/>
      <c r="P10" s="550"/>
      <c r="Q10" s="550"/>
      <c r="R10" s="550"/>
      <c r="S10" s="550"/>
      <c r="T10" s="550"/>
      <c r="U10" s="550"/>
      <c r="V10" s="550"/>
      <c r="W10" s="550"/>
      <c r="X10" s="550"/>
      <c r="Y10" s="550"/>
      <c r="Z10" s="550"/>
      <c r="AA10" s="550"/>
      <c r="AB10" s="550"/>
      <c r="AC10" s="550"/>
      <c r="AD10" s="550"/>
      <c r="AE10" s="550"/>
      <c r="AF10" s="550"/>
      <c r="AG10" s="550"/>
      <c r="AH10" s="550"/>
      <c r="AI10" s="550"/>
      <c r="AJ10" s="550"/>
      <c r="AK10" s="550"/>
      <c r="AL10" s="550"/>
      <c r="AM10" s="550"/>
      <c r="AN10" s="550"/>
      <c r="AO10" s="550"/>
      <c r="AP10" s="550"/>
      <c r="AQ10" s="550"/>
      <c r="AR10" s="550"/>
      <c r="AS10" s="550"/>
      <c r="AT10" s="550"/>
      <c r="AU10" s="550"/>
      <c r="AV10" s="550"/>
      <c r="AW10" s="550"/>
      <c r="AX10" s="550"/>
      <c r="AY10" s="550"/>
      <c r="AZ10" s="550"/>
      <c r="BA10" s="550"/>
      <c r="BB10" s="550"/>
      <c r="BC10" s="550"/>
      <c r="BD10" s="550"/>
      <c r="BE10" s="550"/>
      <c r="BF10" s="550"/>
      <c r="BG10" s="550"/>
      <c r="BH10" s="550"/>
      <c r="BI10" s="550"/>
      <c r="BJ10" s="550"/>
      <c r="BK10" s="550"/>
      <c r="BL10" s="550"/>
      <c r="BM10" s="550"/>
      <c r="BN10" s="550"/>
      <c r="BO10" s="550"/>
      <c r="BP10" s="550"/>
      <c r="BQ10" s="550"/>
      <c r="BR10" s="550"/>
      <c r="BS10" s="550"/>
      <c r="BT10" s="550"/>
      <c r="BU10" s="550"/>
      <c r="BV10" s="550"/>
      <c r="BW10" s="550"/>
      <c r="BX10" s="550"/>
      <c r="BY10" s="550"/>
      <c r="BZ10" s="550"/>
      <c r="CA10" s="550"/>
      <c r="CB10" s="550"/>
      <c r="CC10" s="550"/>
      <c r="CD10" s="550"/>
      <c r="CE10" s="550"/>
      <c r="CF10" s="550"/>
      <c r="CG10" s="550"/>
      <c r="CH10" s="550"/>
      <c r="CI10" s="550"/>
      <c r="CJ10" s="550"/>
      <c r="CK10" s="550"/>
      <c r="CL10" s="550"/>
      <c r="CM10" s="550"/>
      <c r="CN10" s="550"/>
      <c r="CO10" s="550"/>
      <c r="CP10" s="550"/>
      <c r="CQ10" s="550"/>
      <c r="CR10" s="550"/>
      <c r="CS10" s="550"/>
      <c r="CT10" s="550"/>
      <c r="CU10" s="550"/>
      <c r="CV10" s="550"/>
      <c r="CW10" s="550"/>
    </row>
    <row r="11" spans="1:103" x14ac:dyDescent="0.2">
      <c r="A11" s="344">
        <f>+SUBTOTAL(3,$E$8:$E11)</f>
        <v>4</v>
      </c>
      <c r="B11" s="555">
        <v>45261</v>
      </c>
      <c r="C11" s="347" t="s">
        <v>794</v>
      </c>
      <c r="D11" s="344" t="str">
        <f>+VLOOKUP(C11,'Visual chart Edit'!$B$7:$C$491,2,FALSE)</f>
        <v>DA+3</v>
      </c>
      <c r="E11" s="344" t="s">
        <v>276</v>
      </c>
      <c r="F11" s="551">
        <v>45276</v>
      </c>
      <c r="G11" s="551">
        <v>45278</v>
      </c>
      <c r="H11" s="552" t="s">
        <v>236</v>
      </c>
      <c r="I11" s="553" t="s">
        <v>1006</v>
      </c>
      <c r="J11" s="554">
        <f t="shared" si="0"/>
        <v>2</v>
      </c>
      <c r="K11" s="550"/>
      <c r="L11" s="550"/>
      <c r="M11" s="550"/>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550"/>
      <c r="AU11" s="550"/>
      <c r="AV11" s="550"/>
      <c r="AW11" s="550"/>
      <c r="AX11" s="550"/>
      <c r="AY11" s="550"/>
      <c r="AZ11" s="550"/>
      <c r="BA11" s="550"/>
      <c r="BB11" s="550"/>
      <c r="BC11" s="550"/>
      <c r="BD11" s="550"/>
      <c r="BE11" s="550"/>
      <c r="BF11" s="550"/>
      <c r="BG11" s="550"/>
      <c r="BH11" s="550"/>
      <c r="BI11" s="550"/>
      <c r="BJ11" s="550"/>
      <c r="BK11" s="550"/>
      <c r="BL11" s="550"/>
      <c r="BM11" s="550"/>
      <c r="BN11" s="550"/>
      <c r="BO11" s="550"/>
      <c r="BP11" s="550"/>
      <c r="BQ11" s="550"/>
      <c r="BR11" s="550"/>
      <c r="BS11" s="550"/>
      <c r="BT11" s="550"/>
      <c r="BU11" s="550"/>
      <c r="BV11" s="550"/>
      <c r="BW11" s="550"/>
      <c r="BX11" s="550"/>
      <c r="BY11" s="550"/>
      <c r="BZ11" s="550"/>
      <c r="CA11" s="550"/>
      <c r="CB11" s="550"/>
      <c r="CC11" s="550"/>
      <c r="CD11" s="550"/>
      <c r="CE11" s="550"/>
      <c r="CF11" s="550"/>
      <c r="CG11" s="550"/>
      <c r="CH11" s="550"/>
      <c r="CI11" s="550"/>
      <c r="CJ11" s="550"/>
      <c r="CK11" s="550"/>
      <c r="CL11" s="550"/>
      <c r="CM11" s="550"/>
      <c r="CN11" s="550"/>
      <c r="CO11" s="550"/>
      <c r="CP11" s="550"/>
      <c r="CQ11" s="550"/>
      <c r="CR11" s="550"/>
      <c r="CS11" s="550"/>
      <c r="CT11" s="550"/>
      <c r="CU11" s="550"/>
      <c r="CV11" s="550"/>
      <c r="CW11" s="550"/>
    </row>
    <row r="12" spans="1:103" x14ac:dyDescent="0.2">
      <c r="A12" s="344">
        <f>+SUBTOTAL(3,$E$8:$E12)</f>
        <v>5</v>
      </c>
      <c r="B12" s="555">
        <v>45261</v>
      </c>
      <c r="C12" s="344" t="s">
        <v>765</v>
      </c>
      <c r="D12" s="344" t="str">
        <f>+VLOOKUP(C12,'Visual chart Edit'!$B$7:$C$491,2,FALSE)</f>
        <v>DA+6</v>
      </c>
      <c r="E12" s="344" t="s">
        <v>276</v>
      </c>
      <c r="F12" s="551">
        <v>45277</v>
      </c>
      <c r="G12" s="551">
        <v>45278</v>
      </c>
      <c r="H12" s="552" t="s">
        <v>874</v>
      </c>
      <c r="I12" s="553" t="s">
        <v>1024</v>
      </c>
      <c r="J12" s="554">
        <f t="shared" si="0"/>
        <v>1</v>
      </c>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50"/>
      <c r="AW12" s="550"/>
      <c r="AX12" s="550"/>
      <c r="AY12" s="550"/>
      <c r="AZ12" s="550"/>
      <c r="BA12" s="550"/>
      <c r="BB12" s="550"/>
      <c r="BC12" s="550"/>
      <c r="BD12" s="550"/>
      <c r="BE12" s="550"/>
      <c r="BF12" s="550"/>
      <c r="BG12" s="550"/>
      <c r="BH12" s="550"/>
      <c r="BI12" s="550"/>
      <c r="BJ12" s="550"/>
      <c r="BK12" s="550"/>
      <c r="BL12" s="550"/>
      <c r="BM12" s="550"/>
      <c r="BN12" s="550"/>
      <c r="BO12" s="550"/>
      <c r="BP12" s="550"/>
      <c r="BQ12" s="550"/>
      <c r="BR12" s="550"/>
      <c r="BS12" s="550"/>
      <c r="BT12" s="550"/>
      <c r="BU12" s="550"/>
      <c r="BV12" s="550"/>
      <c r="BW12" s="550"/>
      <c r="BX12" s="550"/>
      <c r="BY12" s="550"/>
      <c r="BZ12" s="550"/>
      <c r="CA12" s="550"/>
      <c r="CB12" s="550"/>
      <c r="CC12" s="550"/>
      <c r="CD12" s="550"/>
      <c r="CE12" s="550"/>
      <c r="CF12" s="550"/>
      <c r="CG12" s="550"/>
      <c r="CH12" s="550"/>
      <c r="CI12" s="550"/>
      <c r="CJ12" s="550"/>
      <c r="CK12" s="550"/>
      <c r="CL12" s="550"/>
      <c r="CM12" s="550"/>
      <c r="CN12" s="550"/>
      <c r="CO12" s="550"/>
      <c r="CP12" s="550"/>
      <c r="CQ12" s="550"/>
      <c r="CR12" s="550"/>
      <c r="CS12" s="550"/>
      <c r="CT12" s="550"/>
      <c r="CU12" s="550"/>
      <c r="CV12" s="550"/>
      <c r="CW12" s="550"/>
    </row>
    <row r="13" spans="1:103" x14ac:dyDescent="0.2">
      <c r="A13" s="344">
        <f>+SUBTOTAL(3,$E$8:$E13)</f>
        <v>6</v>
      </c>
      <c r="B13" s="555">
        <v>45261</v>
      </c>
      <c r="C13" s="344" t="s">
        <v>795</v>
      </c>
      <c r="D13" s="344" t="str">
        <f>+VLOOKUP(C13,'Visual chart Edit'!$B$7:$C$491,2,FALSE)</f>
        <v>DA+3</v>
      </c>
      <c r="E13" s="344" t="s">
        <v>276</v>
      </c>
      <c r="F13" s="551">
        <v>45279</v>
      </c>
      <c r="G13" s="551">
        <v>45281</v>
      </c>
      <c r="H13" s="552" t="s">
        <v>236</v>
      </c>
      <c r="I13" s="553" t="s">
        <v>1006</v>
      </c>
      <c r="J13" s="554">
        <f t="shared" si="0"/>
        <v>2</v>
      </c>
      <c r="K13" s="550"/>
      <c r="L13" s="550"/>
      <c r="M13" s="550"/>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550"/>
      <c r="AU13" s="550"/>
      <c r="AV13" s="550"/>
      <c r="AW13" s="550"/>
      <c r="AX13" s="550"/>
      <c r="AY13" s="550"/>
      <c r="AZ13" s="550"/>
      <c r="BA13" s="550"/>
      <c r="BB13" s="550"/>
      <c r="BC13" s="550"/>
      <c r="BD13" s="550"/>
      <c r="BE13" s="550"/>
      <c r="BF13" s="550"/>
      <c r="BG13" s="550"/>
      <c r="BH13" s="550"/>
      <c r="BI13" s="550"/>
      <c r="BJ13" s="550"/>
      <c r="BK13" s="550"/>
      <c r="BL13" s="550"/>
      <c r="BM13" s="550"/>
      <c r="BN13" s="550"/>
      <c r="BO13" s="550"/>
      <c r="BP13" s="550"/>
      <c r="BQ13" s="550"/>
      <c r="BR13" s="550"/>
      <c r="BS13" s="550"/>
      <c r="BT13" s="550"/>
      <c r="BU13" s="550"/>
      <c r="BV13" s="550"/>
      <c r="BW13" s="550"/>
      <c r="BX13" s="550"/>
      <c r="BY13" s="550"/>
      <c r="BZ13" s="550"/>
      <c r="CA13" s="550"/>
      <c r="CB13" s="550"/>
      <c r="CC13" s="550"/>
      <c r="CD13" s="550"/>
      <c r="CE13" s="550"/>
      <c r="CF13" s="550"/>
      <c r="CG13" s="550"/>
      <c r="CH13" s="550"/>
      <c r="CI13" s="550"/>
      <c r="CJ13" s="550"/>
      <c r="CK13" s="550"/>
      <c r="CL13" s="550"/>
      <c r="CM13" s="550"/>
      <c r="CN13" s="550"/>
      <c r="CO13" s="550"/>
      <c r="CP13" s="550"/>
      <c r="CQ13" s="550"/>
      <c r="CR13" s="550"/>
      <c r="CS13" s="550"/>
      <c r="CT13" s="550"/>
      <c r="CU13" s="550"/>
      <c r="CV13" s="550"/>
      <c r="CW13" s="550"/>
    </row>
    <row r="14" spans="1:103" x14ac:dyDescent="0.2">
      <c r="A14" s="344">
        <f>+SUBTOTAL(3,$E$8:$E14)</f>
        <v>7</v>
      </c>
      <c r="B14" s="555">
        <v>45261</v>
      </c>
      <c r="C14" s="344" t="s">
        <v>764</v>
      </c>
      <c r="D14" s="344" t="str">
        <f>+VLOOKUP(C14,'Visual chart Edit'!$B$7:$C$491,2,FALSE)</f>
        <v>DA+3</v>
      </c>
      <c r="E14" s="344" t="s">
        <v>276</v>
      </c>
      <c r="F14" s="551">
        <v>45281</v>
      </c>
      <c r="G14" s="551">
        <v>45281</v>
      </c>
      <c r="H14" s="552" t="s">
        <v>874</v>
      </c>
      <c r="I14" s="553" t="s">
        <v>1024</v>
      </c>
      <c r="J14" s="554">
        <f t="shared" si="0"/>
        <v>0</v>
      </c>
      <c r="K14" s="550"/>
      <c r="L14" s="550"/>
      <c r="M14" s="550"/>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50"/>
      <c r="AS14" s="550"/>
      <c r="AT14" s="550"/>
      <c r="AU14" s="550"/>
      <c r="AV14" s="550"/>
      <c r="AW14" s="550"/>
      <c r="AX14" s="550"/>
      <c r="AY14" s="550"/>
      <c r="AZ14" s="550"/>
      <c r="BA14" s="550"/>
      <c r="BB14" s="550"/>
      <c r="BC14" s="550"/>
      <c r="BD14" s="550"/>
      <c r="BE14" s="550"/>
      <c r="BF14" s="550"/>
      <c r="BG14" s="550"/>
      <c r="BH14" s="550"/>
      <c r="BI14" s="550"/>
      <c r="BJ14" s="550"/>
      <c r="BK14" s="550"/>
      <c r="BL14" s="550"/>
      <c r="BM14" s="550"/>
      <c r="BN14" s="550"/>
      <c r="BO14" s="550"/>
      <c r="BP14" s="550"/>
      <c r="BQ14" s="550"/>
      <c r="BR14" s="550"/>
      <c r="BS14" s="550"/>
      <c r="BT14" s="550"/>
      <c r="BU14" s="550"/>
      <c r="BV14" s="550"/>
      <c r="BW14" s="550"/>
      <c r="BX14" s="550"/>
      <c r="BY14" s="550"/>
      <c r="BZ14" s="550"/>
      <c r="CA14" s="550"/>
      <c r="CB14" s="550"/>
      <c r="CC14" s="550"/>
      <c r="CD14" s="550"/>
      <c r="CE14" s="550"/>
      <c r="CF14" s="550"/>
      <c r="CG14" s="550"/>
      <c r="CH14" s="550"/>
      <c r="CI14" s="550"/>
      <c r="CJ14" s="550"/>
      <c r="CK14" s="550"/>
      <c r="CL14" s="550"/>
      <c r="CM14" s="550"/>
      <c r="CN14" s="550"/>
      <c r="CO14" s="550"/>
      <c r="CP14" s="550"/>
      <c r="CQ14" s="550"/>
      <c r="CR14" s="550"/>
      <c r="CS14" s="550"/>
      <c r="CT14" s="550"/>
      <c r="CU14" s="550"/>
      <c r="CV14" s="550"/>
      <c r="CW14" s="550"/>
    </row>
    <row r="15" spans="1:103" x14ac:dyDescent="0.2">
      <c r="A15" s="344">
        <f>+SUBTOTAL(3,$E$8:$E15)</f>
        <v>8</v>
      </c>
      <c r="B15" s="555">
        <v>45261</v>
      </c>
      <c r="C15" s="346" t="s">
        <v>189</v>
      </c>
      <c r="D15" s="344" t="str">
        <f>+VLOOKUP(C15,'Visual chart Edit'!$B$7:$C$491,2,FALSE)</f>
        <v>DA+3</v>
      </c>
      <c r="E15" s="344" t="s">
        <v>32</v>
      </c>
      <c r="F15" s="551">
        <v>45279</v>
      </c>
      <c r="G15" s="551">
        <v>45284</v>
      </c>
      <c r="H15" s="552" t="s">
        <v>1008</v>
      </c>
      <c r="I15" s="553" t="s">
        <v>237</v>
      </c>
      <c r="J15" s="554">
        <f t="shared" si="0"/>
        <v>5</v>
      </c>
      <c r="K15" s="550"/>
      <c r="L15" s="550"/>
      <c r="M15" s="550"/>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550"/>
      <c r="AR15" s="550"/>
      <c r="AS15" s="550"/>
      <c r="AT15" s="550"/>
      <c r="AU15" s="550"/>
      <c r="AV15" s="550"/>
      <c r="AW15" s="550"/>
      <c r="AX15" s="550"/>
      <c r="AY15" s="550"/>
      <c r="AZ15" s="550"/>
      <c r="BA15" s="550"/>
      <c r="BB15" s="550"/>
      <c r="BC15" s="550"/>
      <c r="BD15" s="550"/>
      <c r="BE15" s="550"/>
      <c r="BF15" s="550"/>
      <c r="BG15" s="550"/>
      <c r="BH15" s="550"/>
      <c r="BI15" s="550"/>
      <c r="BJ15" s="550"/>
      <c r="BK15" s="550"/>
      <c r="BL15" s="550"/>
      <c r="BM15" s="550"/>
      <c r="BN15" s="550"/>
      <c r="BO15" s="550"/>
      <c r="BP15" s="550"/>
      <c r="BQ15" s="550"/>
      <c r="BR15" s="550"/>
      <c r="BS15" s="550"/>
      <c r="BT15" s="550"/>
      <c r="BU15" s="550"/>
      <c r="BV15" s="550"/>
      <c r="BW15" s="550"/>
      <c r="BX15" s="550"/>
      <c r="BY15" s="550"/>
      <c r="BZ15" s="550"/>
      <c r="CA15" s="550"/>
      <c r="CB15" s="550"/>
      <c r="CC15" s="550"/>
      <c r="CD15" s="550"/>
      <c r="CE15" s="550"/>
      <c r="CF15" s="550"/>
      <c r="CG15" s="550"/>
      <c r="CH15" s="550"/>
      <c r="CI15" s="550"/>
      <c r="CJ15" s="550"/>
      <c r="CK15" s="550"/>
      <c r="CL15" s="550"/>
      <c r="CM15" s="550"/>
      <c r="CN15" s="550"/>
      <c r="CO15" s="550"/>
      <c r="CP15" s="550"/>
      <c r="CQ15" s="550"/>
      <c r="CR15" s="550"/>
      <c r="CS15" s="550"/>
      <c r="CT15" s="550"/>
      <c r="CU15" s="550"/>
      <c r="CV15" s="550"/>
      <c r="CW15" s="550"/>
    </row>
    <row r="16" spans="1:103" x14ac:dyDescent="0.2">
      <c r="A16" s="344">
        <f>+SUBTOTAL(3,$E$8:$E16)</f>
        <v>9</v>
      </c>
      <c r="B16" s="555">
        <v>45261</v>
      </c>
      <c r="C16" s="347" t="s">
        <v>807</v>
      </c>
      <c r="D16" s="344" t="str">
        <f>+VLOOKUP(C16,'Visual chart Edit'!$B$7:$C$491,2,FALSE)</f>
        <v>DA+3</v>
      </c>
      <c r="E16" s="344" t="s">
        <v>276</v>
      </c>
      <c r="F16" s="551">
        <v>45282</v>
      </c>
      <c r="G16" s="551">
        <v>45284</v>
      </c>
      <c r="H16" s="552" t="s">
        <v>875</v>
      </c>
      <c r="I16" s="553" t="s">
        <v>1006</v>
      </c>
      <c r="J16" s="554">
        <f t="shared" si="0"/>
        <v>2</v>
      </c>
      <c r="K16" s="550"/>
      <c r="L16" s="550"/>
      <c r="M16" s="550"/>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50"/>
      <c r="AS16" s="550"/>
      <c r="AT16" s="550"/>
      <c r="AU16" s="550"/>
      <c r="AV16" s="550"/>
      <c r="AW16" s="550"/>
      <c r="AX16" s="550"/>
      <c r="AY16" s="550"/>
      <c r="AZ16" s="550"/>
      <c r="BA16" s="550"/>
      <c r="BB16" s="550"/>
      <c r="BC16" s="550"/>
      <c r="BD16" s="550"/>
      <c r="BE16" s="550"/>
      <c r="BF16" s="550"/>
      <c r="BG16" s="550"/>
      <c r="BH16" s="550"/>
      <c r="BI16" s="550"/>
      <c r="BJ16" s="550"/>
      <c r="BK16" s="550"/>
      <c r="BL16" s="550"/>
      <c r="BM16" s="550"/>
      <c r="BN16" s="550"/>
      <c r="BO16" s="550"/>
      <c r="BP16" s="550"/>
      <c r="BQ16" s="550"/>
      <c r="BR16" s="550"/>
      <c r="BS16" s="550"/>
      <c r="BT16" s="550"/>
      <c r="BU16" s="550"/>
      <c r="BV16" s="550"/>
      <c r="BW16" s="550"/>
      <c r="BX16" s="550"/>
      <c r="BY16" s="550"/>
      <c r="BZ16" s="550"/>
      <c r="CA16" s="550"/>
      <c r="CB16" s="550"/>
      <c r="CC16" s="550"/>
      <c r="CD16" s="550"/>
      <c r="CE16" s="550"/>
      <c r="CF16" s="550"/>
      <c r="CG16" s="550"/>
      <c r="CH16" s="550"/>
      <c r="CI16" s="550"/>
      <c r="CJ16" s="550"/>
      <c r="CK16" s="550"/>
      <c r="CL16" s="550"/>
      <c r="CM16" s="550"/>
      <c r="CN16" s="550"/>
      <c r="CO16" s="550"/>
      <c r="CP16" s="550"/>
      <c r="CQ16" s="550"/>
      <c r="CR16" s="550"/>
      <c r="CS16" s="550"/>
      <c r="CT16" s="550"/>
      <c r="CU16" s="550"/>
      <c r="CV16" s="550"/>
      <c r="CW16" s="550"/>
    </row>
    <row r="17" spans="1:101" x14ac:dyDescent="0.2">
      <c r="A17" s="344">
        <f>+SUBTOTAL(3,$E$8:$E17)</f>
        <v>10</v>
      </c>
      <c r="B17" s="555">
        <v>45261</v>
      </c>
      <c r="C17" s="348" t="s">
        <v>761</v>
      </c>
      <c r="D17" s="344" t="str">
        <f>+VLOOKUP(C17,'Visual chart Edit'!$B$7:$C$491,2,FALSE)</f>
        <v>DA+0</v>
      </c>
      <c r="E17" s="344" t="s">
        <v>276</v>
      </c>
      <c r="F17" s="551">
        <v>45283</v>
      </c>
      <c r="G17" s="551">
        <v>45284</v>
      </c>
      <c r="H17" s="552" t="s">
        <v>874</v>
      </c>
      <c r="I17" s="553" t="s">
        <v>1024</v>
      </c>
      <c r="J17" s="554">
        <f t="shared" si="0"/>
        <v>1</v>
      </c>
      <c r="K17" s="550"/>
      <c r="L17" s="550"/>
      <c r="M17" s="550"/>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50"/>
      <c r="AS17" s="550"/>
      <c r="AT17" s="550"/>
      <c r="AU17" s="550"/>
      <c r="AV17" s="550"/>
      <c r="AW17" s="550"/>
      <c r="AX17" s="550"/>
      <c r="AY17" s="550"/>
      <c r="AZ17" s="550"/>
      <c r="BA17" s="550"/>
      <c r="BB17" s="550"/>
      <c r="BC17" s="550"/>
      <c r="BD17" s="550"/>
      <c r="BE17" s="550"/>
      <c r="BF17" s="550"/>
      <c r="BG17" s="550"/>
      <c r="BH17" s="550"/>
      <c r="BI17" s="550"/>
      <c r="BJ17" s="550"/>
      <c r="BK17" s="550"/>
      <c r="BL17" s="550"/>
      <c r="BM17" s="550"/>
      <c r="BN17" s="550"/>
      <c r="BO17" s="550"/>
      <c r="BP17" s="550"/>
      <c r="BQ17" s="550"/>
      <c r="BR17" s="550"/>
      <c r="BS17" s="550"/>
      <c r="BT17" s="550"/>
      <c r="BU17" s="550"/>
      <c r="BV17" s="550"/>
      <c r="BW17" s="550"/>
      <c r="BX17" s="550"/>
      <c r="BY17" s="550"/>
      <c r="BZ17" s="550"/>
      <c r="CA17" s="550"/>
      <c r="CB17" s="550"/>
      <c r="CC17" s="550"/>
      <c r="CD17" s="550"/>
      <c r="CE17" s="550"/>
      <c r="CF17" s="550"/>
      <c r="CG17" s="550"/>
      <c r="CH17" s="550"/>
      <c r="CI17" s="550"/>
      <c r="CJ17" s="550"/>
      <c r="CK17" s="550"/>
      <c r="CL17" s="550"/>
      <c r="CM17" s="550"/>
      <c r="CN17" s="550"/>
      <c r="CO17" s="550"/>
      <c r="CP17" s="550"/>
      <c r="CQ17" s="550"/>
      <c r="CR17" s="550"/>
      <c r="CS17" s="550"/>
      <c r="CT17" s="550"/>
      <c r="CU17" s="550"/>
      <c r="CV17" s="550"/>
      <c r="CW17" s="550"/>
    </row>
    <row r="18" spans="1:101" x14ac:dyDescent="0.2">
      <c r="A18" s="344">
        <f>+SUBTOTAL(3,$E$8:$E18)</f>
        <v>11</v>
      </c>
      <c r="B18" s="555">
        <v>45261</v>
      </c>
      <c r="C18" s="346" t="s">
        <v>793</v>
      </c>
      <c r="D18" s="344" t="str">
        <f>+VLOOKUP(C18,'Visual chart Edit'!$B$7:$C$491,2,FALSE)</f>
        <v>DA+0</v>
      </c>
      <c r="E18" s="344" t="s">
        <v>276</v>
      </c>
      <c r="F18" s="551">
        <v>45282</v>
      </c>
      <c r="G18" s="551">
        <v>45285</v>
      </c>
      <c r="H18" s="552" t="s">
        <v>236</v>
      </c>
      <c r="I18" s="553" t="s">
        <v>1006</v>
      </c>
      <c r="J18" s="554">
        <f t="shared" si="0"/>
        <v>3</v>
      </c>
      <c r="K18" s="550"/>
      <c r="L18" s="550"/>
      <c r="M18" s="550"/>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50"/>
      <c r="AW18" s="550"/>
      <c r="AX18" s="550"/>
      <c r="AY18" s="550"/>
      <c r="AZ18" s="550"/>
      <c r="BA18" s="550"/>
      <c r="BB18" s="550"/>
      <c r="BC18" s="550"/>
      <c r="BD18" s="550"/>
      <c r="BE18" s="550"/>
      <c r="BF18" s="550"/>
      <c r="BG18" s="550"/>
      <c r="BH18" s="550"/>
      <c r="BI18" s="550"/>
      <c r="BJ18" s="550"/>
      <c r="BK18" s="550"/>
      <c r="BL18" s="550"/>
      <c r="BM18" s="550"/>
      <c r="BN18" s="550"/>
      <c r="BO18" s="550"/>
      <c r="BP18" s="550"/>
      <c r="BQ18" s="550"/>
      <c r="BR18" s="550"/>
      <c r="BS18" s="550"/>
      <c r="BT18" s="550"/>
      <c r="BU18" s="550"/>
      <c r="BV18" s="550"/>
      <c r="BW18" s="550"/>
      <c r="BX18" s="550"/>
      <c r="BY18" s="550"/>
      <c r="BZ18" s="550"/>
      <c r="CA18" s="550"/>
      <c r="CB18" s="550"/>
      <c r="CC18" s="550"/>
      <c r="CD18" s="550"/>
      <c r="CE18" s="550"/>
      <c r="CF18" s="550"/>
      <c r="CG18" s="550"/>
      <c r="CH18" s="550"/>
      <c r="CI18" s="550"/>
      <c r="CJ18" s="550"/>
      <c r="CK18" s="550"/>
      <c r="CL18" s="550"/>
      <c r="CM18" s="550"/>
      <c r="CN18" s="550"/>
      <c r="CO18" s="550"/>
      <c r="CP18" s="550"/>
      <c r="CQ18" s="550"/>
      <c r="CR18" s="550"/>
      <c r="CS18" s="550"/>
      <c r="CT18" s="550"/>
      <c r="CU18" s="550"/>
      <c r="CV18" s="550"/>
      <c r="CW18" s="550"/>
    </row>
    <row r="19" spans="1:101" x14ac:dyDescent="0.2">
      <c r="A19" s="344">
        <f>+SUBTOTAL(3,$E$8:$E19)</f>
        <v>12</v>
      </c>
      <c r="B19" s="555">
        <v>45261</v>
      </c>
      <c r="C19" s="347" t="s">
        <v>760</v>
      </c>
      <c r="D19" s="344" t="str">
        <f>+VLOOKUP(C19,'Visual chart Edit'!$B$7:$C$491,2,FALSE)</f>
        <v>DA+3</v>
      </c>
      <c r="E19" s="344" t="s">
        <v>276</v>
      </c>
      <c r="F19" s="551">
        <v>45285</v>
      </c>
      <c r="G19" s="551">
        <v>45286</v>
      </c>
      <c r="H19" s="552" t="s">
        <v>874</v>
      </c>
      <c r="I19" s="553" t="s">
        <v>1024</v>
      </c>
      <c r="J19" s="554">
        <f t="shared" si="0"/>
        <v>1</v>
      </c>
      <c r="K19" s="550"/>
      <c r="L19" s="550"/>
      <c r="M19" s="550"/>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50"/>
      <c r="AS19" s="550"/>
      <c r="AT19" s="550"/>
      <c r="AU19" s="550"/>
      <c r="AV19" s="550"/>
      <c r="AW19" s="550"/>
      <c r="AX19" s="550"/>
      <c r="AY19" s="550"/>
      <c r="AZ19" s="550"/>
      <c r="BA19" s="550"/>
      <c r="BB19" s="550"/>
      <c r="BC19" s="550"/>
      <c r="BD19" s="550"/>
      <c r="BE19" s="550"/>
      <c r="BF19" s="550"/>
      <c r="BG19" s="550"/>
      <c r="BH19" s="550"/>
      <c r="BI19" s="550"/>
      <c r="BJ19" s="550"/>
      <c r="BK19" s="550"/>
      <c r="BL19" s="550"/>
      <c r="BM19" s="550"/>
      <c r="BN19" s="550"/>
      <c r="BO19" s="550"/>
      <c r="BP19" s="550"/>
      <c r="BQ19" s="550"/>
      <c r="BR19" s="550"/>
      <c r="BS19" s="550"/>
      <c r="BT19" s="550"/>
      <c r="BU19" s="550"/>
      <c r="BV19" s="550"/>
      <c r="BW19" s="550"/>
      <c r="BX19" s="550"/>
      <c r="BY19" s="550"/>
      <c r="BZ19" s="550"/>
      <c r="CA19" s="550"/>
      <c r="CB19" s="550"/>
      <c r="CC19" s="550"/>
      <c r="CD19" s="550"/>
      <c r="CE19" s="550"/>
      <c r="CF19" s="550"/>
      <c r="CG19" s="550"/>
      <c r="CH19" s="550"/>
      <c r="CI19" s="550"/>
      <c r="CJ19" s="550"/>
      <c r="CK19" s="550"/>
      <c r="CL19" s="550"/>
      <c r="CM19" s="550"/>
      <c r="CN19" s="550"/>
      <c r="CO19" s="550"/>
      <c r="CP19" s="550"/>
      <c r="CQ19" s="550"/>
      <c r="CR19" s="550"/>
      <c r="CS19" s="550"/>
      <c r="CT19" s="550"/>
      <c r="CU19" s="550"/>
      <c r="CV19" s="550"/>
      <c r="CW19" s="550"/>
    </row>
    <row r="20" spans="1:101" x14ac:dyDescent="0.2">
      <c r="A20" s="344">
        <f>+SUBTOTAL(3,$E$8:$E20)</f>
        <v>13</v>
      </c>
      <c r="B20" s="555">
        <v>45261</v>
      </c>
      <c r="C20" s="556" t="s">
        <v>776</v>
      </c>
      <c r="D20" s="344" t="str">
        <f>+VLOOKUP(C20,'Visual chart Edit'!$B$7:$C$491,2,FALSE)</f>
        <v>DA+3</v>
      </c>
      <c r="E20" s="344" t="s">
        <v>276</v>
      </c>
      <c r="F20" s="551">
        <v>45286</v>
      </c>
      <c r="G20" s="551">
        <v>45287</v>
      </c>
      <c r="H20" s="552" t="s">
        <v>876</v>
      </c>
      <c r="I20" s="553" t="s">
        <v>659</v>
      </c>
      <c r="J20" s="554">
        <f t="shared" si="0"/>
        <v>1</v>
      </c>
      <c r="K20" s="550"/>
      <c r="L20" s="550"/>
      <c r="M20" s="550"/>
      <c r="N20" s="550"/>
      <c r="O20" s="550"/>
      <c r="P20" s="550"/>
      <c r="Q20" s="550"/>
      <c r="R20" s="550"/>
      <c r="S20" s="550"/>
      <c r="T20" s="550"/>
      <c r="U20" s="550"/>
      <c r="V20" s="550"/>
      <c r="W20" s="550"/>
      <c r="X20" s="550"/>
      <c r="Y20" s="550"/>
      <c r="Z20" s="550"/>
      <c r="AA20" s="550"/>
      <c r="AB20" s="550"/>
      <c r="AC20" s="550"/>
      <c r="AD20" s="550"/>
      <c r="AE20" s="550"/>
      <c r="AF20" s="550"/>
      <c r="AG20" s="550"/>
      <c r="AH20" s="550"/>
      <c r="AI20" s="550"/>
      <c r="AJ20" s="550"/>
      <c r="AK20" s="550"/>
      <c r="AL20" s="550"/>
      <c r="AM20" s="550"/>
      <c r="AN20" s="550"/>
      <c r="AO20" s="550"/>
      <c r="AP20" s="550"/>
      <c r="AQ20" s="550"/>
      <c r="AR20" s="550"/>
      <c r="AS20" s="550"/>
      <c r="AT20" s="550"/>
      <c r="AU20" s="550"/>
      <c r="AV20" s="550"/>
      <c r="AW20" s="550"/>
      <c r="AX20" s="550"/>
      <c r="AY20" s="550"/>
      <c r="AZ20" s="550"/>
      <c r="BA20" s="550"/>
      <c r="BB20" s="550"/>
      <c r="BC20" s="550"/>
      <c r="BD20" s="550"/>
      <c r="BE20" s="550"/>
      <c r="BF20" s="550"/>
      <c r="BG20" s="550"/>
      <c r="BH20" s="550"/>
      <c r="BI20" s="550"/>
      <c r="BJ20" s="550"/>
      <c r="BK20" s="550"/>
      <c r="BL20" s="550"/>
      <c r="BM20" s="550"/>
      <c r="BN20" s="550"/>
      <c r="BO20" s="550"/>
      <c r="BP20" s="550"/>
      <c r="BQ20" s="550"/>
      <c r="BR20" s="550"/>
      <c r="BS20" s="550"/>
      <c r="BT20" s="550"/>
      <c r="BU20" s="550"/>
      <c r="BV20" s="550"/>
      <c r="BW20" s="550"/>
      <c r="BX20" s="550"/>
      <c r="BY20" s="550"/>
      <c r="BZ20" s="550"/>
      <c r="CA20" s="550"/>
      <c r="CB20" s="550"/>
      <c r="CC20" s="550"/>
      <c r="CD20" s="550"/>
      <c r="CE20" s="550"/>
      <c r="CF20" s="550"/>
      <c r="CG20" s="550"/>
      <c r="CH20" s="550"/>
      <c r="CI20" s="550"/>
      <c r="CJ20" s="550"/>
      <c r="CK20" s="550"/>
      <c r="CL20" s="550"/>
      <c r="CM20" s="550"/>
      <c r="CN20" s="550"/>
      <c r="CO20" s="550"/>
      <c r="CP20" s="550"/>
      <c r="CQ20" s="550"/>
      <c r="CR20" s="550"/>
      <c r="CS20" s="550"/>
      <c r="CT20" s="550"/>
      <c r="CU20" s="550"/>
      <c r="CV20" s="550"/>
      <c r="CW20" s="550"/>
    </row>
    <row r="21" spans="1:101" x14ac:dyDescent="0.2">
      <c r="A21" s="344">
        <f>+SUBTOTAL(3,$E$8:$E21)</f>
        <v>14</v>
      </c>
      <c r="B21" s="555">
        <v>45261</v>
      </c>
      <c r="C21" s="347" t="s">
        <v>792</v>
      </c>
      <c r="D21" s="344" t="str">
        <f>+VLOOKUP(C21,'Visual chart Edit'!$B$7:$C$491,2,FALSE)</f>
        <v>DA+3</v>
      </c>
      <c r="E21" s="344" t="s">
        <v>276</v>
      </c>
      <c r="F21" s="551">
        <v>45286</v>
      </c>
      <c r="G21" s="551">
        <v>45288</v>
      </c>
      <c r="H21" s="552" t="s">
        <v>236</v>
      </c>
      <c r="I21" s="553" t="s">
        <v>1006</v>
      </c>
      <c r="J21" s="554">
        <f t="shared" si="0"/>
        <v>2</v>
      </c>
      <c r="K21" s="550"/>
      <c r="L21" s="550"/>
      <c r="M21" s="550"/>
      <c r="N21" s="550"/>
      <c r="O21" s="550"/>
      <c r="P21" s="550"/>
      <c r="Q21" s="550"/>
      <c r="R21" s="550"/>
      <c r="S21" s="550"/>
      <c r="T21" s="550"/>
      <c r="U21" s="550"/>
      <c r="V21" s="550"/>
      <c r="W21" s="550"/>
      <c r="X21" s="550"/>
      <c r="Y21" s="550"/>
      <c r="Z21" s="550"/>
      <c r="AA21" s="550"/>
      <c r="AB21" s="550"/>
      <c r="AC21" s="550"/>
      <c r="AD21" s="550"/>
      <c r="AE21" s="550"/>
      <c r="AF21" s="550"/>
      <c r="AG21" s="550"/>
      <c r="AH21" s="550"/>
      <c r="AI21" s="550"/>
      <c r="AJ21" s="550"/>
      <c r="AK21" s="550"/>
      <c r="AL21" s="550"/>
      <c r="AM21" s="550"/>
      <c r="AN21" s="550"/>
      <c r="AO21" s="550"/>
      <c r="AP21" s="550"/>
      <c r="AQ21" s="550"/>
      <c r="AR21" s="550"/>
      <c r="AS21" s="550"/>
      <c r="AT21" s="550"/>
      <c r="AU21" s="550"/>
      <c r="AV21" s="550"/>
      <c r="AW21" s="550"/>
      <c r="AX21" s="550"/>
      <c r="AY21" s="550"/>
      <c r="AZ21" s="550"/>
      <c r="BA21" s="550"/>
      <c r="BB21" s="550"/>
      <c r="BC21" s="550"/>
      <c r="BD21" s="550"/>
      <c r="BE21" s="550"/>
      <c r="BF21" s="550"/>
      <c r="BG21" s="550"/>
      <c r="BH21" s="550"/>
      <c r="BI21" s="550"/>
      <c r="BJ21" s="550"/>
      <c r="BK21" s="550"/>
      <c r="BL21" s="550"/>
      <c r="BM21" s="550"/>
      <c r="BN21" s="550"/>
      <c r="BO21" s="550"/>
      <c r="BP21" s="550"/>
      <c r="BQ21" s="550"/>
      <c r="BR21" s="550"/>
      <c r="BS21" s="550"/>
      <c r="BT21" s="550"/>
      <c r="BU21" s="550"/>
      <c r="BV21" s="550"/>
      <c r="BW21" s="550"/>
      <c r="BX21" s="550"/>
      <c r="BY21" s="550"/>
      <c r="BZ21" s="550"/>
      <c r="CA21" s="550"/>
      <c r="CB21" s="550"/>
      <c r="CC21" s="550"/>
      <c r="CD21" s="550"/>
      <c r="CE21" s="550"/>
      <c r="CF21" s="550"/>
      <c r="CG21" s="550"/>
      <c r="CH21" s="550"/>
      <c r="CI21" s="550"/>
      <c r="CJ21" s="550"/>
      <c r="CK21" s="550"/>
      <c r="CL21" s="550"/>
      <c r="CM21" s="550"/>
      <c r="CN21" s="550"/>
      <c r="CO21" s="550"/>
      <c r="CP21" s="550"/>
      <c r="CQ21" s="550"/>
      <c r="CR21" s="550"/>
      <c r="CS21" s="550"/>
      <c r="CT21" s="550"/>
      <c r="CU21" s="550"/>
      <c r="CV21" s="550"/>
      <c r="CW21" s="550"/>
    </row>
    <row r="22" spans="1:101" x14ac:dyDescent="0.2">
      <c r="A22" s="344">
        <f>+SUBTOTAL(3,$E$8:$E22)</f>
        <v>15</v>
      </c>
      <c r="B22" s="555">
        <v>45261</v>
      </c>
      <c r="C22" s="346" t="s">
        <v>759</v>
      </c>
      <c r="D22" s="344" t="str">
        <f>+VLOOKUP(C22,'Visual chart Edit'!$B$7:$C$491,2,FALSE)</f>
        <v>DB1+3</v>
      </c>
      <c r="E22" s="344" t="s">
        <v>276</v>
      </c>
      <c r="F22" s="551">
        <v>45287</v>
      </c>
      <c r="G22" s="551">
        <v>45288</v>
      </c>
      <c r="H22" s="552" t="s">
        <v>874</v>
      </c>
      <c r="I22" s="553" t="s">
        <v>659</v>
      </c>
      <c r="J22" s="554">
        <f t="shared" si="0"/>
        <v>1</v>
      </c>
      <c r="K22" s="550"/>
      <c r="L22" s="550"/>
      <c r="M22" s="550"/>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50"/>
      <c r="AS22" s="550"/>
      <c r="AT22" s="550"/>
      <c r="AU22" s="550"/>
      <c r="AV22" s="550"/>
      <c r="AW22" s="550"/>
      <c r="AX22" s="550"/>
      <c r="AY22" s="550"/>
      <c r="AZ22" s="550"/>
      <c r="BA22" s="550"/>
      <c r="BB22" s="550"/>
      <c r="BC22" s="550"/>
      <c r="BD22" s="550"/>
      <c r="BE22" s="550"/>
      <c r="BF22" s="550"/>
      <c r="BG22" s="550"/>
      <c r="BH22" s="550"/>
      <c r="BI22" s="550"/>
      <c r="BJ22" s="550"/>
      <c r="BK22" s="550"/>
      <c r="BL22" s="550"/>
      <c r="BM22" s="550"/>
      <c r="BN22" s="550"/>
      <c r="BO22" s="550"/>
      <c r="BP22" s="550"/>
      <c r="BQ22" s="550"/>
      <c r="BR22" s="550"/>
      <c r="BS22" s="550"/>
      <c r="BT22" s="550"/>
      <c r="BU22" s="550"/>
      <c r="BV22" s="550"/>
      <c r="BW22" s="550"/>
      <c r="BX22" s="550"/>
      <c r="BY22" s="550"/>
      <c r="BZ22" s="550"/>
      <c r="CA22" s="550"/>
      <c r="CB22" s="550"/>
      <c r="CC22" s="550"/>
      <c r="CD22" s="550"/>
      <c r="CE22" s="550"/>
      <c r="CF22" s="550"/>
      <c r="CG22" s="550"/>
      <c r="CH22" s="550"/>
      <c r="CI22" s="550"/>
      <c r="CJ22" s="550"/>
      <c r="CK22" s="550"/>
      <c r="CL22" s="550"/>
      <c r="CM22" s="550"/>
      <c r="CN22" s="550"/>
      <c r="CO22" s="550"/>
      <c r="CP22" s="550"/>
      <c r="CQ22" s="550"/>
      <c r="CR22" s="550"/>
      <c r="CS22" s="550"/>
      <c r="CT22" s="550"/>
      <c r="CU22" s="550"/>
      <c r="CV22" s="550"/>
      <c r="CW22" s="550"/>
    </row>
    <row r="23" spans="1:101" x14ac:dyDescent="0.2">
      <c r="A23" s="344">
        <f>+SUBTOTAL(3,$E$8:$E23)</f>
        <v>16</v>
      </c>
      <c r="B23" s="555">
        <v>45261</v>
      </c>
      <c r="C23" s="347" t="s">
        <v>59</v>
      </c>
      <c r="D23" s="344" t="str">
        <f>+VLOOKUP(C23,'Visual chart Edit'!$B$7:$C$491,2,FALSE)</f>
        <v>DA+3</v>
      </c>
      <c r="E23" s="344" t="s">
        <v>32</v>
      </c>
      <c r="F23" s="551">
        <v>45282</v>
      </c>
      <c r="G23" s="551">
        <v>45289</v>
      </c>
      <c r="H23" s="552" t="s">
        <v>253</v>
      </c>
      <c r="I23" s="553" t="s">
        <v>237</v>
      </c>
      <c r="J23" s="554">
        <f t="shared" si="0"/>
        <v>7</v>
      </c>
      <c r="K23" s="550"/>
      <c r="L23" s="550"/>
      <c r="M23" s="550"/>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50"/>
      <c r="AS23" s="550"/>
      <c r="AT23" s="550"/>
      <c r="AU23" s="550"/>
      <c r="AV23" s="550"/>
      <c r="AW23" s="550"/>
      <c r="AX23" s="550"/>
      <c r="AY23" s="550"/>
      <c r="AZ23" s="550"/>
      <c r="BA23" s="550"/>
      <c r="BB23" s="550"/>
      <c r="BC23" s="550"/>
      <c r="BD23" s="550"/>
      <c r="BE23" s="550"/>
      <c r="BF23" s="550"/>
      <c r="BG23" s="550"/>
      <c r="BH23" s="550"/>
      <c r="BI23" s="550"/>
      <c r="BJ23" s="550"/>
      <c r="BK23" s="550"/>
      <c r="BL23" s="550"/>
      <c r="BM23" s="550"/>
      <c r="BN23" s="550"/>
      <c r="BO23" s="550"/>
      <c r="BP23" s="550"/>
      <c r="BQ23" s="550"/>
      <c r="BR23" s="550"/>
      <c r="BS23" s="550"/>
      <c r="BT23" s="550"/>
      <c r="BU23" s="550"/>
      <c r="BV23" s="550"/>
      <c r="BW23" s="550"/>
      <c r="BX23" s="550"/>
      <c r="BY23" s="550"/>
      <c r="BZ23" s="550"/>
      <c r="CA23" s="550"/>
      <c r="CB23" s="550"/>
      <c r="CC23" s="550"/>
      <c r="CD23" s="550"/>
      <c r="CE23" s="550"/>
      <c r="CF23" s="550"/>
      <c r="CG23" s="550"/>
      <c r="CH23" s="550"/>
      <c r="CI23" s="550"/>
      <c r="CJ23" s="550"/>
      <c r="CK23" s="550"/>
      <c r="CL23" s="550"/>
      <c r="CM23" s="550"/>
      <c r="CN23" s="550"/>
      <c r="CO23" s="550"/>
      <c r="CP23" s="550"/>
      <c r="CQ23" s="550"/>
      <c r="CR23" s="550"/>
      <c r="CS23" s="550"/>
      <c r="CT23" s="550"/>
      <c r="CU23" s="550"/>
      <c r="CV23" s="550"/>
      <c r="CW23" s="550"/>
    </row>
    <row r="24" spans="1:101" x14ac:dyDescent="0.2">
      <c r="A24" s="344">
        <f>+SUBTOTAL(3,$E$8:$E24)</f>
        <v>17</v>
      </c>
      <c r="B24" s="555">
        <v>45261</v>
      </c>
      <c r="C24" s="347" t="s">
        <v>757</v>
      </c>
      <c r="D24" s="344" t="str">
        <f>+VLOOKUP(C24,'Visual chart Edit'!$B$7:$C$491,2,FALSE)</f>
        <v>DA+3</v>
      </c>
      <c r="E24" s="344" t="s">
        <v>32</v>
      </c>
      <c r="F24" s="551">
        <v>45287</v>
      </c>
      <c r="G24" s="551">
        <v>45289</v>
      </c>
      <c r="H24" s="552" t="s">
        <v>1009</v>
      </c>
      <c r="I24" s="553" t="s">
        <v>1006</v>
      </c>
      <c r="J24" s="554">
        <f t="shared" si="0"/>
        <v>2</v>
      </c>
      <c r="K24" s="550"/>
      <c r="L24" s="550"/>
      <c r="M24" s="550"/>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50"/>
      <c r="AS24" s="550"/>
      <c r="AT24" s="550"/>
      <c r="AU24" s="550"/>
      <c r="AV24" s="550"/>
      <c r="AW24" s="550"/>
      <c r="AX24" s="550"/>
      <c r="AY24" s="550"/>
      <c r="AZ24" s="550"/>
      <c r="BA24" s="550"/>
      <c r="BB24" s="550"/>
      <c r="BC24" s="550"/>
      <c r="BD24" s="550"/>
      <c r="BE24" s="550"/>
      <c r="BF24" s="550"/>
      <c r="BG24" s="550"/>
      <c r="BH24" s="550"/>
      <c r="BI24" s="550"/>
      <c r="BJ24" s="550"/>
      <c r="BK24" s="550"/>
      <c r="BL24" s="550"/>
      <c r="BM24" s="550"/>
      <c r="BN24" s="550"/>
      <c r="BO24" s="550"/>
      <c r="BP24" s="550"/>
      <c r="BQ24" s="550"/>
      <c r="BR24" s="550"/>
      <c r="BS24" s="550"/>
      <c r="BT24" s="550"/>
      <c r="BU24" s="550"/>
      <c r="BV24" s="550"/>
      <c r="BW24" s="550"/>
      <c r="BX24" s="550"/>
      <c r="BY24" s="550"/>
      <c r="BZ24" s="550"/>
      <c r="CA24" s="550"/>
      <c r="CB24" s="550"/>
      <c r="CC24" s="550"/>
      <c r="CD24" s="550"/>
      <c r="CE24" s="550"/>
      <c r="CF24" s="550"/>
      <c r="CG24" s="550"/>
      <c r="CH24" s="550"/>
      <c r="CI24" s="550"/>
      <c r="CJ24" s="550"/>
      <c r="CK24" s="550"/>
      <c r="CL24" s="550"/>
      <c r="CM24" s="550"/>
      <c r="CN24" s="550"/>
      <c r="CO24" s="550"/>
      <c r="CP24" s="550"/>
      <c r="CQ24" s="550"/>
      <c r="CR24" s="550"/>
      <c r="CS24" s="550"/>
      <c r="CT24" s="550"/>
      <c r="CU24" s="550"/>
      <c r="CV24" s="550"/>
      <c r="CW24" s="550"/>
    </row>
    <row r="25" spans="1:101" x14ac:dyDescent="0.2">
      <c r="A25" s="344">
        <f>+SUBTOTAL(3,$E$8:$E25)</f>
        <v>18</v>
      </c>
      <c r="B25" s="555">
        <v>45261</v>
      </c>
      <c r="C25" s="347" t="s">
        <v>805</v>
      </c>
      <c r="D25" s="344" t="str">
        <f>+VLOOKUP(C25,'Visual chart Edit'!$B$7:$C$491,2,FALSE)</f>
        <v>DA+3</v>
      </c>
      <c r="E25" s="344" t="s">
        <v>276</v>
      </c>
      <c r="F25" s="551">
        <v>45287</v>
      </c>
      <c r="G25" s="551">
        <v>45289</v>
      </c>
      <c r="H25" s="552" t="s">
        <v>875</v>
      </c>
      <c r="I25" s="553" t="s">
        <v>1006</v>
      </c>
      <c r="J25" s="554">
        <f t="shared" si="0"/>
        <v>2</v>
      </c>
      <c r="K25" s="550"/>
      <c r="L25" s="550"/>
      <c r="M25" s="550"/>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50"/>
      <c r="AS25" s="550"/>
      <c r="AT25" s="550"/>
      <c r="AU25" s="550"/>
      <c r="AV25" s="550"/>
      <c r="AW25" s="550"/>
      <c r="AX25" s="550"/>
      <c r="AY25" s="550"/>
      <c r="AZ25" s="550"/>
      <c r="BA25" s="550"/>
      <c r="BB25" s="550"/>
      <c r="BC25" s="550"/>
      <c r="BD25" s="550"/>
      <c r="BE25" s="550"/>
      <c r="BF25" s="550"/>
      <c r="BG25" s="550"/>
      <c r="BH25" s="550"/>
      <c r="BI25" s="550"/>
      <c r="BJ25" s="550"/>
      <c r="BK25" s="550"/>
      <c r="BL25" s="550"/>
      <c r="BM25" s="550"/>
      <c r="BN25" s="550"/>
      <c r="BO25" s="550"/>
      <c r="BP25" s="550"/>
      <c r="BQ25" s="550"/>
      <c r="BR25" s="550"/>
      <c r="BS25" s="550"/>
      <c r="BT25" s="550"/>
      <c r="BU25" s="550"/>
      <c r="BV25" s="550"/>
      <c r="BW25" s="550"/>
      <c r="BX25" s="550"/>
      <c r="BY25" s="550"/>
      <c r="BZ25" s="550"/>
      <c r="CA25" s="550"/>
      <c r="CB25" s="550"/>
      <c r="CC25" s="550"/>
      <c r="CD25" s="550"/>
      <c r="CE25" s="550"/>
      <c r="CF25" s="550"/>
      <c r="CG25" s="550"/>
      <c r="CH25" s="550"/>
      <c r="CI25" s="550"/>
      <c r="CJ25" s="550"/>
      <c r="CK25" s="550"/>
      <c r="CL25" s="550"/>
      <c r="CM25" s="550"/>
      <c r="CN25" s="550"/>
      <c r="CO25" s="550"/>
      <c r="CP25" s="550"/>
      <c r="CQ25" s="550"/>
      <c r="CR25" s="550"/>
      <c r="CS25" s="550"/>
      <c r="CT25" s="550"/>
      <c r="CU25" s="550"/>
      <c r="CV25" s="550"/>
      <c r="CW25" s="550"/>
    </row>
    <row r="26" spans="1:101" x14ac:dyDescent="0.2">
      <c r="A26" s="344">
        <f>+SUBTOTAL(3,$E$8:$E26)</f>
        <v>19</v>
      </c>
      <c r="B26" s="555">
        <v>45261</v>
      </c>
      <c r="C26" s="347" t="s">
        <v>775</v>
      </c>
      <c r="D26" s="344" t="str">
        <f>+VLOOKUP(C26,'Visual chart Edit'!$B$7:$C$491,2,FALSE)</f>
        <v>DA+0</v>
      </c>
      <c r="E26" s="344" t="s">
        <v>276</v>
      </c>
      <c r="F26" s="551">
        <v>45286</v>
      </c>
      <c r="G26" s="551">
        <v>45289</v>
      </c>
      <c r="H26" s="552" t="s">
        <v>876</v>
      </c>
      <c r="I26" s="553" t="s">
        <v>659</v>
      </c>
      <c r="J26" s="554">
        <f t="shared" si="0"/>
        <v>3</v>
      </c>
      <c r="K26" s="550"/>
      <c r="L26" s="550"/>
      <c r="M26" s="550"/>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50"/>
      <c r="AS26" s="550"/>
      <c r="AT26" s="550"/>
      <c r="AU26" s="550"/>
      <c r="AV26" s="550"/>
      <c r="AW26" s="550"/>
      <c r="AX26" s="550"/>
      <c r="AY26" s="550"/>
      <c r="AZ26" s="550"/>
      <c r="BA26" s="550"/>
      <c r="BB26" s="550"/>
      <c r="BC26" s="550"/>
      <c r="BD26" s="550"/>
      <c r="BE26" s="550"/>
      <c r="BF26" s="550"/>
      <c r="BG26" s="550"/>
      <c r="BH26" s="550"/>
      <c r="BI26" s="550"/>
      <c r="BJ26" s="550"/>
      <c r="BK26" s="550"/>
      <c r="BL26" s="550"/>
      <c r="BM26" s="550"/>
      <c r="BN26" s="550"/>
      <c r="BO26" s="550"/>
      <c r="BP26" s="550"/>
      <c r="BQ26" s="550"/>
      <c r="BR26" s="550"/>
      <c r="BS26" s="550"/>
      <c r="BT26" s="550"/>
      <c r="BU26" s="550"/>
      <c r="BV26" s="550"/>
      <c r="BW26" s="550"/>
      <c r="BX26" s="550"/>
      <c r="BY26" s="550"/>
      <c r="BZ26" s="550"/>
      <c r="CA26" s="550"/>
      <c r="CB26" s="550"/>
      <c r="CC26" s="550"/>
      <c r="CD26" s="550"/>
      <c r="CE26" s="550"/>
      <c r="CF26" s="550"/>
      <c r="CG26" s="550"/>
      <c r="CH26" s="550"/>
      <c r="CI26" s="550"/>
      <c r="CJ26" s="550"/>
      <c r="CK26" s="550"/>
      <c r="CL26" s="550"/>
      <c r="CM26" s="550"/>
      <c r="CN26" s="550"/>
      <c r="CO26" s="550"/>
      <c r="CP26" s="550"/>
      <c r="CQ26" s="550"/>
      <c r="CR26" s="550"/>
      <c r="CS26" s="550"/>
      <c r="CT26" s="550"/>
      <c r="CU26" s="550"/>
      <c r="CV26" s="550"/>
      <c r="CW26" s="550"/>
    </row>
    <row r="27" spans="1:101" x14ac:dyDescent="0.2">
      <c r="A27" s="344">
        <f>+SUBTOTAL(3,$E$8:$E27)</f>
        <v>20</v>
      </c>
      <c r="B27" s="555">
        <v>45261</v>
      </c>
      <c r="C27" s="347" t="s">
        <v>188</v>
      </c>
      <c r="D27" s="344" t="str">
        <f>+VLOOKUP(C27,'Visual chart Edit'!$B$7:$C$491,2,FALSE)</f>
        <v>DA+0</v>
      </c>
      <c r="E27" s="344" t="s">
        <v>32</v>
      </c>
      <c r="F27" s="551">
        <v>45285</v>
      </c>
      <c r="G27" s="551">
        <v>45290</v>
      </c>
      <c r="H27" s="552" t="s">
        <v>1008</v>
      </c>
      <c r="I27" s="553" t="s">
        <v>237</v>
      </c>
      <c r="J27" s="554">
        <f t="shared" si="0"/>
        <v>5</v>
      </c>
      <c r="K27" s="550"/>
      <c r="L27" s="550"/>
      <c r="M27" s="550"/>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50"/>
      <c r="AS27" s="550"/>
      <c r="AT27" s="550"/>
      <c r="AU27" s="550"/>
      <c r="AV27" s="550"/>
      <c r="AW27" s="550"/>
      <c r="AX27" s="550"/>
      <c r="AY27" s="550"/>
      <c r="AZ27" s="550"/>
      <c r="BA27" s="550"/>
      <c r="BB27" s="550"/>
      <c r="BC27" s="550"/>
      <c r="BD27" s="550"/>
      <c r="BE27" s="550"/>
      <c r="BF27" s="550"/>
      <c r="BG27" s="550"/>
      <c r="BH27" s="550"/>
      <c r="BI27" s="550"/>
      <c r="BJ27" s="550"/>
      <c r="BK27" s="550"/>
      <c r="BL27" s="550"/>
      <c r="BM27" s="550"/>
      <c r="BN27" s="550"/>
      <c r="BO27" s="550"/>
      <c r="BP27" s="550"/>
      <c r="BQ27" s="550"/>
      <c r="BR27" s="550"/>
      <c r="BS27" s="550"/>
      <c r="BT27" s="550"/>
      <c r="BU27" s="550"/>
      <c r="BV27" s="550"/>
      <c r="BW27" s="550"/>
      <c r="BX27" s="550"/>
      <c r="BY27" s="550"/>
      <c r="BZ27" s="550"/>
      <c r="CA27" s="550"/>
      <c r="CB27" s="550"/>
      <c r="CC27" s="550"/>
      <c r="CD27" s="550"/>
      <c r="CE27" s="550"/>
      <c r="CF27" s="550"/>
      <c r="CG27" s="550"/>
      <c r="CH27" s="550"/>
      <c r="CI27" s="550"/>
      <c r="CJ27" s="550"/>
      <c r="CK27" s="550"/>
      <c r="CL27" s="550"/>
      <c r="CM27" s="550"/>
      <c r="CN27" s="550"/>
      <c r="CO27" s="550"/>
      <c r="CP27" s="550"/>
      <c r="CQ27" s="550"/>
      <c r="CR27" s="550"/>
      <c r="CS27" s="550"/>
      <c r="CT27" s="550"/>
      <c r="CU27" s="550"/>
      <c r="CV27" s="550"/>
      <c r="CW27" s="550"/>
    </row>
    <row r="28" spans="1:101" x14ac:dyDescent="0.2">
      <c r="A28" s="344">
        <f>+SUBTOTAL(3,$E$8:$E28)</f>
        <v>21</v>
      </c>
      <c r="B28" s="555">
        <v>45261</v>
      </c>
      <c r="C28" s="347" t="s">
        <v>758</v>
      </c>
      <c r="D28" s="344" t="str">
        <f>+VLOOKUP(C28,'Visual chart Edit'!$B$7:$C$491,2,FALSE)</f>
        <v>DA+3</v>
      </c>
      <c r="E28" s="344" t="s">
        <v>276</v>
      </c>
      <c r="F28" s="551">
        <v>45289</v>
      </c>
      <c r="G28" s="551">
        <v>45290</v>
      </c>
      <c r="H28" s="552" t="s">
        <v>874</v>
      </c>
      <c r="I28" s="553" t="s">
        <v>1024</v>
      </c>
      <c r="J28" s="554">
        <f t="shared" si="0"/>
        <v>1</v>
      </c>
      <c r="K28" s="550"/>
      <c r="L28" s="550"/>
      <c r="M28" s="550"/>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50"/>
      <c r="AS28" s="550"/>
      <c r="AT28" s="550"/>
      <c r="AU28" s="550"/>
      <c r="AV28" s="550"/>
      <c r="AW28" s="550"/>
      <c r="AX28" s="550"/>
      <c r="AY28" s="550"/>
      <c r="AZ28" s="550"/>
      <c r="BA28" s="550"/>
      <c r="BB28" s="550"/>
      <c r="BC28" s="550"/>
      <c r="BD28" s="550"/>
      <c r="BE28" s="550"/>
      <c r="BF28" s="550"/>
      <c r="BG28" s="550"/>
      <c r="BH28" s="550"/>
      <c r="BI28" s="550"/>
      <c r="BJ28" s="550"/>
      <c r="BK28" s="550"/>
      <c r="BL28" s="550"/>
      <c r="BM28" s="550"/>
      <c r="BN28" s="550"/>
      <c r="BO28" s="550"/>
      <c r="BP28" s="550"/>
      <c r="BQ28" s="550"/>
      <c r="BR28" s="550"/>
      <c r="BS28" s="550"/>
      <c r="BT28" s="550"/>
      <c r="BU28" s="550"/>
      <c r="BV28" s="550"/>
      <c r="BW28" s="550"/>
      <c r="BX28" s="550"/>
      <c r="BY28" s="550"/>
      <c r="BZ28" s="550"/>
      <c r="CA28" s="550"/>
      <c r="CB28" s="550"/>
      <c r="CC28" s="550"/>
      <c r="CD28" s="550"/>
      <c r="CE28" s="550"/>
      <c r="CF28" s="550"/>
      <c r="CG28" s="550"/>
      <c r="CH28" s="550"/>
      <c r="CI28" s="550"/>
      <c r="CJ28" s="550"/>
      <c r="CK28" s="550"/>
      <c r="CL28" s="550"/>
      <c r="CM28" s="550"/>
      <c r="CN28" s="550"/>
      <c r="CO28" s="550"/>
      <c r="CP28" s="550"/>
      <c r="CQ28" s="550"/>
      <c r="CR28" s="550"/>
      <c r="CS28" s="550"/>
      <c r="CT28" s="550"/>
      <c r="CU28" s="550"/>
      <c r="CV28" s="550"/>
      <c r="CW28" s="550"/>
    </row>
    <row r="29" spans="1:101" x14ac:dyDescent="0.2">
      <c r="A29" s="344">
        <f>+SUBTOTAL(3,$E$8:$E29)</f>
        <v>22</v>
      </c>
      <c r="B29" s="555">
        <v>45261</v>
      </c>
      <c r="C29" s="347" t="s">
        <v>756</v>
      </c>
      <c r="D29" s="344" t="str">
        <f>+VLOOKUP(C29,'Visual chart Edit'!$B$7:$C$491,2,FALSE)</f>
        <v>DA+3</v>
      </c>
      <c r="E29" s="344" t="s">
        <v>32</v>
      </c>
      <c r="F29" s="551">
        <v>45285</v>
      </c>
      <c r="G29" s="551">
        <v>45291</v>
      </c>
      <c r="H29" s="552" t="s">
        <v>1009</v>
      </c>
      <c r="I29" s="553" t="s">
        <v>1024</v>
      </c>
      <c r="J29" s="554">
        <f t="shared" si="0"/>
        <v>6</v>
      </c>
      <c r="K29" s="550"/>
      <c r="L29" s="550"/>
      <c r="M29" s="550"/>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50"/>
      <c r="AS29" s="550"/>
      <c r="AT29" s="550"/>
      <c r="AU29" s="550"/>
      <c r="AV29" s="550"/>
      <c r="AW29" s="550"/>
      <c r="AX29" s="550"/>
      <c r="AY29" s="550"/>
      <c r="AZ29" s="550"/>
      <c r="BA29" s="550"/>
      <c r="BB29" s="550"/>
      <c r="BC29" s="550"/>
      <c r="BD29" s="550"/>
      <c r="BE29" s="550"/>
      <c r="BF29" s="550"/>
      <c r="BG29" s="550"/>
      <c r="BH29" s="550"/>
      <c r="BI29" s="550"/>
      <c r="BJ29" s="550"/>
      <c r="BK29" s="550"/>
      <c r="BL29" s="550"/>
      <c r="BM29" s="550"/>
      <c r="BN29" s="550"/>
      <c r="BO29" s="550"/>
      <c r="BP29" s="550"/>
      <c r="BQ29" s="550"/>
      <c r="BR29" s="550"/>
      <c r="BS29" s="550"/>
      <c r="BT29" s="550"/>
      <c r="BU29" s="550"/>
      <c r="BV29" s="550"/>
      <c r="BW29" s="550"/>
      <c r="BX29" s="550"/>
      <c r="BY29" s="550"/>
      <c r="BZ29" s="550"/>
      <c r="CA29" s="550"/>
      <c r="CB29" s="550"/>
      <c r="CC29" s="550"/>
      <c r="CD29" s="550"/>
      <c r="CE29" s="550"/>
      <c r="CF29" s="550"/>
      <c r="CG29" s="550"/>
      <c r="CH29" s="550"/>
      <c r="CI29" s="550"/>
      <c r="CJ29" s="550"/>
      <c r="CK29" s="550"/>
      <c r="CL29" s="550"/>
      <c r="CM29" s="550"/>
      <c r="CN29" s="550"/>
      <c r="CO29" s="550"/>
      <c r="CP29" s="550"/>
      <c r="CQ29" s="550"/>
      <c r="CR29" s="550"/>
      <c r="CS29" s="550"/>
      <c r="CT29" s="550"/>
      <c r="CU29" s="550"/>
      <c r="CV29" s="550"/>
      <c r="CW29" s="550"/>
    </row>
    <row r="30" spans="1:101" x14ac:dyDescent="0.2">
      <c r="A30" s="344">
        <f>+SUBTOTAL(3,$E$8:$E30)</f>
        <v>23</v>
      </c>
      <c r="B30" s="555">
        <v>45261</v>
      </c>
      <c r="C30" s="347" t="s">
        <v>791</v>
      </c>
      <c r="D30" s="344" t="str">
        <f>+VLOOKUP(C30,'Visual chart Edit'!$B$7:$C$491,2,FALSE)</f>
        <v>DA+0</v>
      </c>
      <c r="E30" s="344" t="s">
        <v>276</v>
      </c>
      <c r="F30" s="551">
        <v>45290</v>
      </c>
      <c r="G30" s="551">
        <v>45291</v>
      </c>
      <c r="H30" s="552" t="s">
        <v>236</v>
      </c>
      <c r="I30" s="553" t="s">
        <v>1006</v>
      </c>
      <c r="J30" s="554">
        <f t="shared" si="0"/>
        <v>1</v>
      </c>
      <c r="K30" s="550"/>
      <c r="L30" s="550"/>
      <c r="M30" s="550"/>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50"/>
      <c r="AS30" s="550"/>
      <c r="AT30" s="550"/>
      <c r="AU30" s="550"/>
      <c r="AV30" s="550"/>
      <c r="AW30" s="550"/>
      <c r="AX30" s="550"/>
      <c r="AY30" s="550"/>
      <c r="AZ30" s="550"/>
      <c r="BA30" s="550"/>
      <c r="BB30" s="550"/>
      <c r="BC30" s="550"/>
      <c r="BD30" s="550"/>
      <c r="BE30" s="550"/>
      <c r="BF30" s="550"/>
      <c r="BG30" s="550"/>
      <c r="BH30" s="550"/>
      <c r="BI30" s="550"/>
      <c r="BJ30" s="550"/>
      <c r="BK30" s="550"/>
      <c r="BL30" s="550"/>
      <c r="BM30" s="550"/>
      <c r="BN30" s="550"/>
      <c r="BO30" s="550"/>
      <c r="BP30" s="550"/>
      <c r="BQ30" s="550"/>
      <c r="BR30" s="550"/>
      <c r="BS30" s="550"/>
      <c r="BT30" s="550"/>
      <c r="BU30" s="550"/>
      <c r="BV30" s="550"/>
      <c r="BW30" s="550"/>
      <c r="BX30" s="550"/>
      <c r="BY30" s="550"/>
      <c r="BZ30" s="550"/>
      <c r="CA30" s="550"/>
      <c r="CB30" s="550"/>
      <c r="CC30" s="550"/>
      <c r="CD30" s="550"/>
      <c r="CE30" s="550"/>
      <c r="CF30" s="550"/>
      <c r="CG30" s="550"/>
      <c r="CH30" s="550"/>
      <c r="CI30" s="550"/>
      <c r="CJ30" s="550"/>
      <c r="CK30" s="550"/>
      <c r="CL30" s="550"/>
      <c r="CM30" s="550"/>
      <c r="CN30" s="550"/>
      <c r="CO30" s="550"/>
      <c r="CP30" s="550"/>
      <c r="CQ30" s="550"/>
      <c r="CR30" s="550"/>
      <c r="CS30" s="550"/>
      <c r="CT30" s="550"/>
      <c r="CU30" s="550"/>
      <c r="CV30" s="550"/>
      <c r="CW30" s="550"/>
    </row>
    <row r="31" spans="1:101" x14ac:dyDescent="0.2">
      <c r="A31" s="344">
        <f>+SUBTOTAL(3,$E$8:$E31)</f>
        <v>24</v>
      </c>
      <c r="B31" s="555">
        <v>45292</v>
      </c>
      <c r="C31" s="347" t="s">
        <v>763</v>
      </c>
      <c r="D31" s="344" t="str">
        <f>+VLOOKUP(C31,'Visual chart Edit'!$B$7:$C$491,2,FALSE)</f>
        <v>DA+6</v>
      </c>
      <c r="E31" s="344" t="s">
        <v>32</v>
      </c>
      <c r="F31" s="551">
        <v>45295</v>
      </c>
      <c r="G31" s="551">
        <v>45296</v>
      </c>
      <c r="H31" s="552" t="s">
        <v>874</v>
      </c>
      <c r="I31" s="553" t="s">
        <v>1024</v>
      </c>
      <c r="J31" s="554">
        <f t="shared" si="0"/>
        <v>1</v>
      </c>
      <c r="K31" s="550"/>
      <c r="L31" s="550"/>
      <c r="M31" s="550"/>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50"/>
      <c r="AS31" s="550"/>
      <c r="AT31" s="550"/>
      <c r="AU31" s="550"/>
      <c r="AV31" s="550"/>
      <c r="AW31" s="550"/>
      <c r="AX31" s="550"/>
      <c r="AY31" s="550"/>
      <c r="AZ31" s="550"/>
      <c r="BA31" s="550"/>
      <c r="BB31" s="550"/>
      <c r="BC31" s="550"/>
      <c r="BD31" s="550"/>
      <c r="BE31" s="550"/>
      <c r="BF31" s="550"/>
      <c r="BG31" s="550"/>
      <c r="BH31" s="550"/>
      <c r="BI31" s="550"/>
      <c r="BJ31" s="550"/>
      <c r="BK31" s="550"/>
      <c r="BL31" s="550"/>
      <c r="BM31" s="550"/>
      <c r="BN31" s="550"/>
      <c r="BO31" s="550"/>
      <c r="BP31" s="550"/>
      <c r="BQ31" s="550"/>
      <c r="BR31" s="550"/>
      <c r="BS31" s="550"/>
      <c r="BT31" s="550"/>
      <c r="BU31" s="550"/>
      <c r="BV31" s="550"/>
      <c r="BW31" s="550"/>
      <c r="BX31" s="550"/>
      <c r="BY31" s="550"/>
      <c r="BZ31" s="550"/>
      <c r="CA31" s="550"/>
      <c r="CB31" s="550"/>
      <c r="CC31" s="550"/>
      <c r="CD31" s="550"/>
      <c r="CE31" s="550"/>
      <c r="CF31" s="550"/>
      <c r="CG31" s="550"/>
      <c r="CH31" s="550"/>
      <c r="CI31" s="550"/>
      <c r="CJ31" s="550"/>
      <c r="CK31" s="550"/>
      <c r="CL31" s="550"/>
      <c r="CM31" s="550"/>
      <c r="CN31" s="550"/>
      <c r="CO31" s="550"/>
      <c r="CP31" s="550"/>
      <c r="CQ31" s="550"/>
      <c r="CR31" s="550"/>
      <c r="CS31" s="550"/>
      <c r="CT31" s="550"/>
      <c r="CU31" s="550"/>
      <c r="CV31" s="550"/>
      <c r="CW31" s="550"/>
    </row>
    <row r="32" spans="1:101" x14ac:dyDescent="0.2">
      <c r="A32" s="344">
        <f>+SUBTOTAL(3,$E$8:$E32)</f>
        <v>25</v>
      </c>
      <c r="B32" s="555">
        <v>45292</v>
      </c>
      <c r="C32" s="347" t="s">
        <v>774</v>
      </c>
      <c r="D32" s="344" t="str">
        <f>+VLOOKUP(C32,'Visual chart Edit'!$B$7:$C$491,2,FALSE)</f>
        <v>DA+3</v>
      </c>
      <c r="E32" s="344" t="s">
        <v>276</v>
      </c>
      <c r="F32" s="551">
        <v>45292</v>
      </c>
      <c r="G32" s="551">
        <v>45296</v>
      </c>
      <c r="H32" s="552" t="s">
        <v>876</v>
      </c>
      <c r="I32" s="553" t="s">
        <v>1024</v>
      </c>
      <c r="J32" s="554">
        <f t="shared" si="0"/>
        <v>4</v>
      </c>
      <c r="K32" s="550"/>
      <c r="L32" s="550"/>
      <c r="M32" s="550"/>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50"/>
      <c r="AS32" s="550"/>
      <c r="AT32" s="550"/>
      <c r="AU32" s="550"/>
      <c r="AV32" s="550"/>
      <c r="AW32" s="550"/>
      <c r="AX32" s="550"/>
      <c r="AY32" s="550"/>
      <c r="AZ32" s="550"/>
      <c r="BA32" s="550"/>
      <c r="BB32" s="550"/>
      <c r="BC32" s="550"/>
      <c r="BD32" s="550"/>
      <c r="BE32" s="550"/>
      <c r="BF32" s="550"/>
      <c r="BG32" s="550"/>
      <c r="BH32" s="550"/>
      <c r="BI32" s="550"/>
      <c r="BJ32" s="550"/>
      <c r="BK32" s="550"/>
      <c r="BL32" s="550"/>
      <c r="BM32" s="550"/>
      <c r="BN32" s="550"/>
      <c r="BO32" s="550"/>
      <c r="BP32" s="550"/>
      <c r="BQ32" s="550"/>
      <c r="BR32" s="550"/>
      <c r="BS32" s="550"/>
      <c r="BT32" s="550"/>
      <c r="BU32" s="550"/>
      <c r="BV32" s="550"/>
      <c r="BW32" s="550"/>
      <c r="BX32" s="550"/>
      <c r="BY32" s="550"/>
      <c r="BZ32" s="550"/>
      <c r="CA32" s="550"/>
      <c r="CB32" s="550"/>
      <c r="CC32" s="550"/>
      <c r="CD32" s="550"/>
      <c r="CE32" s="550"/>
      <c r="CF32" s="550"/>
      <c r="CG32" s="550"/>
      <c r="CH32" s="550"/>
      <c r="CI32" s="550"/>
      <c r="CJ32" s="550"/>
      <c r="CK32" s="550"/>
      <c r="CL32" s="550"/>
      <c r="CM32" s="550"/>
      <c r="CN32" s="550"/>
      <c r="CO32" s="550"/>
      <c r="CP32" s="550"/>
      <c r="CQ32" s="550"/>
      <c r="CR32" s="550"/>
      <c r="CS32" s="550"/>
      <c r="CT32" s="550"/>
      <c r="CU32" s="550"/>
      <c r="CV32" s="550"/>
      <c r="CW32" s="550"/>
    </row>
    <row r="33" spans="1:101" x14ac:dyDescent="0.2">
      <c r="A33" s="344">
        <f>+SUBTOTAL(3,$E$8:$E33)</f>
        <v>26</v>
      </c>
      <c r="B33" s="555">
        <v>45292</v>
      </c>
      <c r="C33" s="347" t="s">
        <v>790</v>
      </c>
      <c r="D33" s="344" t="str">
        <f>+VLOOKUP(C33,'Visual chart Edit'!$B$7:$C$491,2,FALSE)</f>
        <v>DA+3</v>
      </c>
      <c r="E33" s="344" t="s">
        <v>276</v>
      </c>
      <c r="F33" s="551">
        <v>45293</v>
      </c>
      <c r="G33" s="551">
        <v>45296</v>
      </c>
      <c r="H33" s="552" t="s">
        <v>236</v>
      </c>
      <c r="I33" s="553" t="s">
        <v>1006</v>
      </c>
      <c r="J33" s="554">
        <f t="shared" si="0"/>
        <v>3</v>
      </c>
      <c r="K33" s="550"/>
      <c r="L33" s="550"/>
      <c r="M33" s="550"/>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50"/>
      <c r="AS33" s="550"/>
      <c r="AT33" s="550"/>
      <c r="AU33" s="550"/>
      <c r="AV33" s="550"/>
      <c r="AW33" s="550"/>
      <c r="AX33" s="550"/>
      <c r="AY33" s="550"/>
      <c r="AZ33" s="550"/>
      <c r="BA33" s="550"/>
      <c r="BB33" s="550"/>
      <c r="BC33" s="550"/>
      <c r="BD33" s="550"/>
      <c r="BE33" s="550"/>
      <c r="BF33" s="550"/>
      <c r="BG33" s="550"/>
      <c r="BH33" s="550"/>
      <c r="BI33" s="550"/>
      <c r="BJ33" s="550"/>
      <c r="BK33" s="550"/>
      <c r="BL33" s="550"/>
      <c r="BM33" s="550"/>
      <c r="BN33" s="550"/>
      <c r="BO33" s="550"/>
      <c r="BP33" s="550"/>
      <c r="BQ33" s="550"/>
      <c r="BR33" s="550"/>
      <c r="BS33" s="550"/>
      <c r="BT33" s="550"/>
      <c r="BU33" s="550"/>
      <c r="BV33" s="550"/>
      <c r="BW33" s="550"/>
      <c r="BX33" s="550"/>
      <c r="BY33" s="550"/>
      <c r="BZ33" s="550"/>
      <c r="CA33" s="550"/>
      <c r="CB33" s="550"/>
      <c r="CC33" s="550"/>
      <c r="CD33" s="550"/>
      <c r="CE33" s="550"/>
      <c r="CF33" s="550"/>
      <c r="CG33" s="550"/>
      <c r="CH33" s="550"/>
      <c r="CI33" s="550"/>
      <c r="CJ33" s="550"/>
      <c r="CK33" s="550"/>
      <c r="CL33" s="550"/>
      <c r="CM33" s="550"/>
      <c r="CN33" s="550"/>
      <c r="CO33" s="550"/>
      <c r="CP33" s="550"/>
      <c r="CQ33" s="550"/>
      <c r="CR33" s="550"/>
      <c r="CS33" s="550"/>
      <c r="CT33" s="550"/>
      <c r="CU33" s="550"/>
      <c r="CV33" s="550"/>
      <c r="CW33" s="550"/>
    </row>
    <row r="34" spans="1:101" x14ac:dyDescent="0.2">
      <c r="A34" s="344">
        <f>+SUBTOTAL(3,$E$8:$E34)</f>
        <v>27</v>
      </c>
      <c r="B34" s="555">
        <v>45292</v>
      </c>
      <c r="C34" s="347" t="s">
        <v>218</v>
      </c>
      <c r="D34" s="344" t="str">
        <f>+VLOOKUP(C34,'Visual chart Edit'!$B$7:$C$491,2,FALSE)</f>
        <v>DA+3</v>
      </c>
      <c r="E34" s="344" t="s">
        <v>32</v>
      </c>
      <c r="F34" s="551">
        <v>45294</v>
      </c>
      <c r="G34" s="551">
        <v>45296</v>
      </c>
      <c r="H34" s="552" t="s">
        <v>1009</v>
      </c>
      <c r="I34" s="553" t="s">
        <v>1024</v>
      </c>
      <c r="J34" s="554">
        <f t="shared" si="0"/>
        <v>2</v>
      </c>
      <c r="K34" s="550"/>
      <c r="L34" s="550"/>
      <c r="M34" s="550"/>
      <c r="N34" s="550"/>
      <c r="O34" s="550"/>
      <c r="P34" s="550"/>
      <c r="Q34" s="550"/>
      <c r="R34" s="550"/>
      <c r="S34" s="550"/>
      <c r="T34" s="550"/>
      <c r="U34" s="550"/>
      <c r="V34" s="550"/>
      <c r="W34" s="550"/>
      <c r="X34" s="550"/>
      <c r="Y34" s="550"/>
      <c r="Z34" s="550"/>
      <c r="AA34" s="550"/>
      <c r="AB34" s="550"/>
      <c r="AC34" s="550"/>
      <c r="AD34" s="550"/>
      <c r="AE34" s="550"/>
      <c r="AF34" s="550"/>
      <c r="AG34" s="550"/>
      <c r="AH34" s="550"/>
      <c r="AI34" s="550"/>
      <c r="AJ34" s="550"/>
      <c r="AK34" s="550"/>
      <c r="AL34" s="550"/>
      <c r="AM34" s="550"/>
      <c r="AN34" s="550"/>
      <c r="AO34" s="550"/>
      <c r="AP34" s="550"/>
      <c r="AQ34" s="550"/>
      <c r="AR34" s="550"/>
      <c r="AS34" s="550"/>
      <c r="AT34" s="550"/>
      <c r="AU34" s="550"/>
      <c r="AV34" s="550"/>
      <c r="AW34" s="550"/>
      <c r="AX34" s="550"/>
      <c r="AY34" s="550"/>
      <c r="AZ34" s="550"/>
      <c r="BA34" s="550"/>
      <c r="BB34" s="550"/>
      <c r="BC34" s="550"/>
      <c r="BD34" s="550"/>
      <c r="BE34" s="550"/>
      <c r="BF34" s="550"/>
      <c r="BG34" s="550"/>
      <c r="BH34" s="550"/>
      <c r="BI34" s="550"/>
      <c r="BJ34" s="550"/>
      <c r="BK34" s="550"/>
      <c r="BL34" s="550"/>
      <c r="BM34" s="550"/>
      <c r="BN34" s="550"/>
      <c r="BO34" s="550"/>
      <c r="BP34" s="550"/>
      <c r="BQ34" s="550"/>
      <c r="BR34" s="550"/>
      <c r="BS34" s="550"/>
      <c r="BT34" s="550"/>
      <c r="BU34" s="550"/>
      <c r="BV34" s="550"/>
      <c r="BW34" s="550"/>
      <c r="BX34" s="550"/>
      <c r="BY34" s="550"/>
      <c r="BZ34" s="550"/>
      <c r="CA34" s="550"/>
      <c r="CB34" s="550"/>
      <c r="CC34" s="550"/>
      <c r="CD34" s="550"/>
      <c r="CE34" s="550"/>
      <c r="CF34" s="550"/>
      <c r="CG34" s="550"/>
      <c r="CH34" s="550"/>
      <c r="CI34" s="550"/>
      <c r="CJ34" s="550"/>
      <c r="CK34" s="550"/>
      <c r="CL34" s="550"/>
      <c r="CM34" s="550"/>
      <c r="CN34" s="550"/>
      <c r="CO34" s="550"/>
      <c r="CP34" s="550"/>
      <c r="CQ34" s="550"/>
      <c r="CR34" s="550"/>
      <c r="CS34" s="550"/>
      <c r="CT34" s="550"/>
      <c r="CU34" s="550"/>
      <c r="CV34" s="550"/>
      <c r="CW34" s="550"/>
    </row>
    <row r="35" spans="1:101" x14ac:dyDescent="0.2">
      <c r="A35" s="344">
        <f>+SUBTOTAL(3,$E$8:$E35)</f>
        <v>28</v>
      </c>
      <c r="B35" s="555">
        <v>45292</v>
      </c>
      <c r="C35" s="347" t="s">
        <v>808</v>
      </c>
      <c r="D35" s="344" t="str">
        <f>+VLOOKUP(C35,'Visual chart Edit'!$B$7:$C$491,2,FALSE)</f>
        <v>DB2+0</v>
      </c>
      <c r="E35" s="344" t="s">
        <v>276</v>
      </c>
      <c r="F35" s="551">
        <v>45295</v>
      </c>
      <c r="G35" s="551">
        <v>45299</v>
      </c>
      <c r="H35" s="552" t="s">
        <v>875</v>
      </c>
      <c r="I35" s="553" t="s">
        <v>1006</v>
      </c>
      <c r="J35" s="554">
        <f t="shared" si="0"/>
        <v>4</v>
      </c>
      <c r="K35" s="550"/>
      <c r="L35" s="550"/>
      <c r="M35" s="550"/>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50"/>
      <c r="AW35" s="550"/>
      <c r="AX35" s="550"/>
      <c r="AY35" s="550"/>
      <c r="AZ35" s="550"/>
      <c r="BA35" s="550"/>
      <c r="BB35" s="550"/>
      <c r="BC35" s="550"/>
      <c r="BD35" s="550"/>
      <c r="BE35" s="550"/>
      <c r="BF35" s="550"/>
      <c r="BG35" s="550"/>
      <c r="BH35" s="550"/>
      <c r="BI35" s="550"/>
      <c r="BJ35" s="550"/>
      <c r="BK35" s="550"/>
      <c r="BL35" s="550"/>
      <c r="BM35" s="550"/>
      <c r="BN35" s="550"/>
      <c r="BO35" s="550"/>
      <c r="BP35" s="550"/>
      <c r="BQ35" s="550"/>
      <c r="BR35" s="550"/>
      <c r="BS35" s="550"/>
      <c r="BT35" s="550"/>
      <c r="BU35" s="550"/>
      <c r="BV35" s="550"/>
      <c r="BW35" s="550"/>
      <c r="BX35" s="550"/>
      <c r="BY35" s="550"/>
      <c r="BZ35" s="550"/>
      <c r="CA35" s="550"/>
      <c r="CB35" s="550"/>
      <c r="CC35" s="550"/>
      <c r="CD35" s="550"/>
      <c r="CE35" s="550"/>
      <c r="CF35" s="550"/>
      <c r="CG35" s="550"/>
      <c r="CH35" s="550"/>
      <c r="CI35" s="550"/>
      <c r="CJ35" s="550"/>
      <c r="CK35" s="550"/>
      <c r="CL35" s="550"/>
      <c r="CM35" s="550"/>
      <c r="CN35" s="550"/>
      <c r="CO35" s="550"/>
      <c r="CP35" s="550"/>
      <c r="CQ35" s="550"/>
      <c r="CR35" s="550"/>
      <c r="CS35" s="550"/>
      <c r="CT35" s="550"/>
      <c r="CU35" s="550"/>
      <c r="CV35" s="550"/>
      <c r="CW35" s="550"/>
    </row>
    <row r="36" spans="1:101" x14ac:dyDescent="0.2">
      <c r="A36" s="344">
        <f>+SUBTOTAL(3,$E$8:$E36)</f>
        <v>29</v>
      </c>
      <c r="B36" s="555">
        <v>45292</v>
      </c>
      <c r="C36" s="347" t="s">
        <v>749</v>
      </c>
      <c r="D36" s="344" t="str">
        <f>+VLOOKUP(C36,'Visual chart Edit'!$B$7:$C$491,2,FALSE)</f>
        <v>DA+0</v>
      </c>
      <c r="E36" s="344" t="s">
        <v>276</v>
      </c>
      <c r="F36" s="551">
        <v>45297</v>
      </c>
      <c r="G36" s="551">
        <v>45299</v>
      </c>
      <c r="H36" s="552" t="s">
        <v>1009</v>
      </c>
      <c r="I36" s="553" t="s">
        <v>1024</v>
      </c>
      <c r="J36" s="554">
        <f t="shared" si="0"/>
        <v>2</v>
      </c>
      <c r="K36" s="550"/>
      <c r="L36" s="550"/>
      <c r="M36" s="550"/>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50"/>
      <c r="AR36" s="550"/>
      <c r="AS36" s="550"/>
      <c r="AT36" s="550"/>
      <c r="AU36" s="550"/>
      <c r="AV36" s="550"/>
      <c r="AW36" s="550"/>
      <c r="AX36" s="550"/>
      <c r="AY36" s="550"/>
      <c r="AZ36" s="550"/>
      <c r="BA36" s="550"/>
      <c r="BB36" s="550"/>
      <c r="BC36" s="550"/>
      <c r="BD36" s="550"/>
      <c r="BE36" s="550"/>
      <c r="BF36" s="550"/>
      <c r="BG36" s="550"/>
      <c r="BH36" s="550"/>
      <c r="BI36" s="550"/>
      <c r="BJ36" s="550"/>
      <c r="BK36" s="550"/>
      <c r="BL36" s="550"/>
      <c r="BM36" s="550"/>
      <c r="BN36" s="550"/>
      <c r="BO36" s="550"/>
      <c r="BP36" s="550"/>
      <c r="BQ36" s="550"/>
      <c r="BR36" s="550"/>
      <c r="BS36" s="550"/>
      <c r="BT36" s="550"/>
      <c r="BU36" s="550"/>
      <c r="BV36" s="550"/>
      <c r="BW36" s="550"/>
      <c r="BX36" s="550"/>
      <c r="BY36" s="550"/>
      <c r="BZ36" s="550"/>
      <c r="CA36" s="550"/>
      <c r="CB36" s="550"/>
      <c r="CC36" s="550"/>
      <c r="CD36" s="550"/>
      <c r="CE36" s="550"/>
      <c r="CF36" s="550"/>
      <c r="CG36" s="550"/>
      <c r="CH36" s="550"/>
      <c r="CI36" s="550"/>
      <c r="CJ36" s="550"/>
      <c r="CK36" s="550"/>
      <c r="CL36" s="550"/>
      <c r="CM36" s="550"/>
      <c r="CN36" s="550"/>
      <c r="CO36" s="550"/>
      <c r="CP36" s="550"/>
      <c r="CQ36" s="550"/>
      <c r="CR36" s="550"/>
      <c r="CS36" s="550"/>
      <c r="CT36" s="550"/>
      <c r="CU36" s="550"/>
      <c r="CV36" s="550"/>
      <c r="CW36" s="550"/>
    </row>
    <row r="37" spans="1:101" x14ac:dyDescent="0.2">
      <c r="A37" s="344">
        <f>+SUBTOTAL(3,$E$8:$E37)</f>
        <v>30</v>
      </c>
      <c r="B37" s="555">
        <v>45292</v>
      </c>
      <c r="C37" s="347" t="s">
        <v>772</v>
      </c>
      <c r="D37" s="344" t="str">
        <f>+VLOOKUP(C37,'Visual chart Edit'!$B$7:$C$491,2,FALSE)</f>
        <v>DA+3</v>
      </c>
      <c r="E37" s="344" t="s">
        <v>276</v>
      </c>
      <c r="F37" s="551">
        <v>45299</v>
      </c>
      <c r="G37" s="551">
        <v>45300</v>
      </c>
      <c r="H37" s="552" t="s">
        <v>874</v>
      </c>
      <c r="I37" s="553" t="s">
        <v>1024</v>
      </c>
      <c r="J37" s="554">
        <f t="shared" si="0"/>
        <v>1</v>
      </c>
      <c r="K37" s="550"/>
      <c r="L37" s="550"/>
      <c r="M37" s="550"/>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50"/>
      <c r="AQ37" s="550"/>
      <c r="AR37" s="550"/>
      <c r="AS37" s="550"/>
      <c r="AT37" s="550"/>
      <c r="AU37" s="550"/>
      <c r="AV37" s="550"/>
      <c r="AW37" s="550"/>
      <c r="AX37" s="550"/>
      <c r="AY37" s="550"/>
      <c r="AZ37" s="550"/>
      <c r="BA37" s="550"/>
      <c r="BB37" s="550"/>
      <c r="BC37" s="550"/>
      <c r="BD37" s="550"/>
      <c r="BE37" s="550"/>
      <c r="BF37" s="550"/>
      <c r="BG37" s="550"/>
      <c r="BH37" s="550"/>
      <c r="BI37" s="550"/>
      <c r="BJ37" s="550"/>
      <c r="BK37" s="550"/>
      <c r="BL37" s="550"/>
      <c r="BM37" s="550"/>
      <c r="BN37" s="550"/>
      <c r="BO37" s="550"/>
      <c r="BP37" s="550"/>
      <c r="BQ37" s="550"/>
      <c r="BR37" s="550"/>
      <c r="BS37" s="550"/>
      <c r="BT37" s="550"/>
      <c r="BU37" s="550"/>
      <c r="BV37" s="550"/>
      <c r="BW37" s="550"/>
      <c r="BX37" s="550"/>
      <c r="BY37" s="550"/>
      <c r="BZ37" s="550"/>
      <c r="CA37" s="550"/>
      <c r="CB37" s="550"/>
      <c r="CC37" s="550"/>
      <c r="CD37" s="550"/>
      <c r="CE37" s="550"/>
      <c r="CF37" s="550"/>
      <c r="CG37" s="550"/>
      <c r="CH37" s="550"/>
      <c r="CI37" s="550"/>
      <c r="CJ37" s="550"/>
      <c r="CK37" s="550"/>
      <c r="CL37" s="550"/>
      <c r="CM37" s="550"/>
      <c r="CN37" s="550"/>
      <c r="CO37" s="550"/>
      <c r="CP37" s="550"/>
      <c r="CQ37" s="550"/>
      <c r="CR37" s="550"/>
      <c r="CS37" s="550"/>
      <c r="CT37" s="550"/>
      <c r="CU37" s="550"/>
      <c r="CV37" s="550"/>
      <c r="CW37" s="550"/>
    </row>
    <row r="38" spans="1:101" x14ac:dyDescent="0.2">
      <c r="A38" s="344">
        <f>+SUBTOTAL(3,$E$8:$E38)</f>
        <v>31</v>
      </c>
      <c r="B38" s="555">
        <v>45292</v>
      </c>
      <c r="C38" s="347" t="s">
        <v>799</v>
      </c>
      <c r="D38" s="344" t="str">
        <f>+VLOOKUP(C38,'Visual chart Edit'!$B$7:$C$491,2,FALSE)</f>
        <v>DA+3</v>
      </c>
      <c r="E38" s="344" t="s">
        <v>276</v>
      </c>
      <c r="F38" s="551">
        <v>45300</v>
      </c>
      <c r="G38" s="551">
        <v>45301</v>
      </c>
      <c r="H38" s="552" t="s">
        <v>236</v>
      </c>
      <c r="I38" s="553" t="s">
        <v>1006</v>
      </c>
      <c r="J38" s="554">
        <f t="shared" si="0"/>
        <v>1</v>
      </c>
      <c r="K38" s="550"/>
      <c r="L38" s="550"/>
      <c r="M38" s="550"/>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50"/>
      <c r="AQ38" s="550"/>
      <c r="AR38" s="550"/>
      <c r="AS38" s="550"/>
      <c r="AT38" s="550"/>
      <c r="AU38" s="550"/>
      <c r="AV38" s="550"/>
      <c r="AW38" s="550"/>
      <c r="AX38" s="550"/>
      <c r="AY38" s="550"/>
      <c r="AZ38" s="550"/>
      <c r="BA38" s="550"/>
      <c r="BB38" s="550"/>
      <c r="BC38" s="550"/>
      <c r="BD38" s="550"/>
      <c r="BE38" s="550"/>
      <c r="BF38" s="550"/>
      <c r="BG38" s="550"/>
      <c r="BH38" s="550"/>
      <c r="BI38" s="550"/>
      <c r="BJ38" s="550"/>
      <c r="BK38" s="550"/>
      <c r="BL38" s="550"/>
      <c r="BM38" s="550"/>
      <c r="BN38" s="550"/>
      <c r="BO38" s="550"/>
      <c r="BP38" s="550"/>
      <c r="BQ38" s="550"/>
      <c r="BR38" s="550"/>
      <c r="BS38" s="550"/>
      <c r="BT38" s="550"/>
      <c r="BU38" s="550"/>
      <c r="BV38" s="550"/>
      <c r="BW38" s="550"/>
      <c r="BX38" s="550"/>
      <c r="BY38" s="550"/>
      <c r="BZ38" s="550"/>
      <c r="CA38" s="550"/>
      <c r="CB38" s="550"/>
      <c r="CC38" s="550"/>
      <c r="CD38" s="550"/>
      <c r="CE38" s="550"/>
      <c r="CF38" s="550"/>
      <c r="CG38" s="550"/>
      <c r="CH38" s="550"/>
      <c r="CI38" s="550"/>
      <c r="CJ38" s="550"/>
      <c r="CK38" s="550"/>
      <c r="CL38" s="550"/>
      <c r="CM38" s="550"/>
      <c r="CN38" s="550"/>
      <c r="CO38" s="550"/>
      <c r="CP38" s="550"/>
      <c r="CQ38" s="550"/>
      <c r="CR38" s="550"/>
      <c r="CS38" s="550"/>
      <c r="CT38" s="550"/>
      <c r="CU38" s="550"/>
      <c r="CV38" s="550"/>
      <c r="CW38" s="550"/>
    </row>
    <row r="39" spans="1:101" x14ac:dyDescent="0.2">
      <c r="A39" s="344">
        <f>+SUBTOTAL(3,$E$8:$E39)</f>
        <v>32</v>
      </c>
      <c r="B39" s="555">
        <v>45292</v>
      </c>
      <c r="C39" s="347" t="s">
        <v>822</v>
      </c>
      <c r="D39" s="344" t="str">
        <f>+VLOOKUP(C39,'Visual chart Edit'!$B$7:$C$491,2,FALSE)</f>
        <v>DA+0</v>
      </c>
      <c r="E39" s="344" t="s">
        <v>276</v>
      </c>
      <c r="F39" s="551">
        <v>45299</v>
      </c>
      <c r="G39" s="551">
        <v>45301</v>
      </c>
      <c r="H39" s="552" t="s">
        <v>877</v>
      </c>
      <c r="I39" s="553" t="s">
        <v>1006</v>
      </c>
      <c r="J39" s="554">
        <f t="shared" si="0"/>
        <v>2</v>
      </c>
      <c r="K39" s="550"/>
      <c r="L39" s="550"/>
      <c r="M39" s="550"/>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50"/>
      <c r="AQ39" s="550"/>
      <c r="AR39" s="550"/>
      <c r="AS39" s="550"/>
      <c r="AT39" s="550"/>
      <c r="AU39" s="550"/>
      <c r="AV39" s="550"/>
      <c r="AW39" s="550"/>
      <c r="AX39" s="550"/>
      <c r="AY39" s="550"/>
      <c r="AZ39" s="550"/>
      <c r="BA39" s="550"/>
      <c r="BB39" s="550"/>
      <c r="BC39" s="550"/>
      <c r="BD39" s="550"/>
      <c r="BE39" s="550"/>
      <c r="BF39" s="550"/>
      <c r="BG39" s="550"/>
      <c r="BH39" s="550"/>
      <c r="BI39" s="550"/>
      <c r="BJ39" s="550"/>
      <c r="BK39" s="550"/>
      <c r="BL39" s="550"/>
      <c r="BM39" s="550"/>
      <c r="BN39" s="550"/>
      <c r="BO39" s="550"/>
      <c r="BP39" s="550"/>
      <c r="BQ39" s="550"/>
      <c r="BR39" s="550"/>
      <c r="BS39" s="550"/>
      <c r="BT39" s="550"/>
      <c r="BU39" s="550"/>
      <c r="BV39" s="550"/>
      <c r="BW39" s="550"/>
      <c r="BX39" s="550"/>
      <c r="BY39" s="550"/>
      <c r="BZ39" s="550"/>
      <c r="CA39" s="550"/>
      <c r="CB39" s="550"/>
      <c r="CC39" s="550"/>
      <c r="CD39" s="550"/>
      <c r="CE39" s="550"/>
      <c r="CF39" s="550"/>
      <c r="CG39" s="550"/>
      <c r="CH39" s="550"/>
      <c r="CI39" s="550"/>
      <c r="CJ39" s="550"/>
      <c r="CK39" s="550"/>
      <c r="CL39" s="550"/>
      <c r="CM39" s="550"/>
      <c r="CN39" s="550"/>
      <c r="CO39" s="550"/>
      <c r="CP39" s="550"/>
      <c r="CQ39" s="550"/>
      <c r="CR39" s="550"/>
      <c r="CS39" s="550"/>
      <c r="CT39" s="550"/>
      <c r="CU39" s="550"/>
      <c r="CV39" s="550"/>
      <c r="CW39" s="550"/>
    </row>
    <row r="40" spans="1:101" x14ac:dyDescent="0.2">
      <c r="A40" s="344">
        <f>+SUBTOTAL(3,$E$8:$E40)</f>
        <v>33</v>
      </c>
      <c r="B40" s="555">
        <v>45292</v>
      </c>
      <c r="C40" s="347" t="s">
        <v>829</v>
      </c>
      <c r="D40" s="344" t="str">
        <f>+VLOOKUP(C40,'Visual chart Edit'!$B$7:$C$491,2,FALSE)</f>
        <v>DA+0</v>
      </c>
      <c r="E40" s="344" t="s">
        <v>276</v>
      </c>
      <c r="F40" s="551">
        <v>45300</v>
      </c>
      <c r="G40" s="551">
        <v>45301</v>
      </c>
      <c r="H40" s="552" t="s">
        <v>878</v>
      </c>
      <c r="I40" s="553" t="s">
        <v>1006</v>
      </c>
      <c r="J40" s="554">
        <f t="shared" si="0"/>
        <v>1</v>
      </c>
      <c r="K40" s="550"/>
      <c r="L40" s="550"/>
      <c r="M40" s="550"/>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50"/>
      <c r="AQ40" s="550"/>
      <c r="AR40" s="550"/>
      <c r="AS40" s="550"/>
      <c r="AT40" s="550"/>
      <c r="AU40" s="550"/>
      <c r="AV40" s="550"/>
      <c r="AW40" s="550"/>
      <c r="AX40" s="550"/>
      <c r="AY40" s="550"/>
      <c r="AZ40" s="550"/>
      <c r="BA40" s="550"/>
      <c r="BB40" s="550"/>
      <c r="BC40" s="550"/>
      <c r="BD40" s="550"/>
      <c r="BE40" s="550"/>
      <c r="BF40" s="550"/>
      <c r="BG40" s="550"/>
      <c r="BH40" s="550"/>
      <c r="BI40" s="550"/>
      <c r="BJ40" s="550"/>
      <c r="BK40" s="550"/>
      <c r="BL40" s="550"/>
      <c r="BM40" s="550"/>
      <c r="BN40" s="550"/>
      <c r="BO40" s="550"/>
      <c r="BP40" s="550"/>
      <c r="BQ40" s="550"/>
      <c r="BR40" s="550"/>
      <c r="BS40" s="550"/>
      <c r="BT40" s="550"/>
      <c r="BU40" s="550"/>
      <c r="BV40" s="550"/>
      <c r="BW40" s="550"/>
      <c r="BX40" s="550"/>
      <c r="BY40" s="550"/>
      <c r="BZ40" s="550"/>
      <c r="CA40" s="550"/>
      <c r="CB40" s="550"/>
      <c r="CC40" s="550"/>
      <c r="CD40" s="550"/>
      <c r="CE40" s="550"/>
      <c r="CF40" s="550"/>
      <c r="CG40" s="550"/>
      <c r="CH40" s="550"/>
      <c r="CI40" s="550"/>
      <c r="CJ40" s="550"/>
      <c r="CK40" s="550"/>
      <c r="CL40" s="550"/>
      <c r="CM40" s="550"/>
      <c r="CN40" s="550"/>
      <c r="CO40" s="550"/>
      <c r="CP40" s="550"/>
      <c r="CQ40" s="550"/>
      <c r="CR40" s="550"/>
      <c r="CS40" s="550"/>
      <c r="CT40" s="550"/>
      <c r="CU40" s="550"/>
      <c r="CV40" s="550"/>
      <c r="CW40" s="550"/>
    </row>
    <row r="41" spans="1:101" x14ac:dyDescent="0.2">
      <c r="A41" s="344">
        <f>+SUBTOTAL(3,$E$8:$E41)</f>
        <v>34</v>
      </c>
      <c r="B41" s="555">
        <v>45292</v>
      </c>
      <c r="C41" s="347" t="s">
        <v>773</v>
      </c>
      <c r="D41" s="344" t="str">
        <f>+VLOOKUP(C41,'Visual chart Edit'!$B$7:$C$491,2,FALSE)</f>
        <v>DA+0</v>
      </c>
      <c r="E41" s="344" t="s">
        <v>276</v>
      </c>
      <c r="F41" s="551">
        <v>45301</v>
      </c>
      <c r="G41" s="551">
        <v>45302</v>
      </c>
      <c r="H41" s="552" t="s">
        <v>874</v>
      </c>
      <c r="I41" s="553" t="s">
        <v>1024</v>
      </c>
      <c r="J41" s="554">
        <f t="shared" si="0"/>
        <v>1</v>
      </c>
      <c r="K41" s="550"/>
      <c r="L41" s="550"/>
      <c r="M41" s="550"/>
      <c r="N41" s="550"/>
      <c r="O41" s="550"/>
      <c r="P41" s="550"/>
      <c r="Q41" s="550"/>
      <c r="R41" s="550"/>
      <c r="S41" s="550"/>
      <c r="T41" s="550"/>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550"/>
      <c r="BP41" s="550"/>
      <c r="BQ41" s="550"/>
      <c r="BR41" s="550"/>
      <c r="BS41" s="550"/>
      <c r="BT41" s="550"/>
      <c r="BU41" s="550"/>
      <c r="BV41" s="550"/>
      <c r="BW41" s="550"/>
      <c r="BX41" s="550"/>
      <c r="BY41" s="550"/>
      <c r="BZ41" s="550"/>
      <c r="CA41" s="550"/>
      <c r="CB41" s="550"/>
      <c r="CC41" s="550"/>
      <c r="CD41" s="550"/>
      <c r="CE41" s="550"/>
      <c r="CF41" s="550"/>
      <c r="CG41" s="550"/>
      <c r="CH41" s="550"/>
      <c r="CI41" s="550"/>
      <c r="CJ41" s="550"/>
      <c r="CK41" s="550"/>
      <c r="CL41" s="550"/>
      <c r="CM41" s="550"/>
      <c r="CN41" s="550"/>
      <c r="CO41" s="550"/>
      <c r="CP41" s="550"/>
      <c r="CQ41" s="550"/>
      <c r="CR41" s="550"/>
      <c r="CS41" s="550"/>
      <c r="CT41" s="550"/>
      <c r="CU41" s="550"/>
      <c r="CV41" s="550"/>
      <c r="CW41" s="550"/>
    </row>
    <row r="42" spans="1:101" x14ac:dyDescent="0.2">
      <c r="A42" s="344">
        <f>+SUBTOTAL(3,$E$8:$E42)</f>
        <v>35</v>
      </c>
      <c r="B42" s="555">
        <v>45292</v>
      </c>
      <c r="C42" s="347" t="s">
        <v>748</v>
      </c>
      <c r="D42" s="344" t="str">
        <f>+VLOOKUP(C42,'Visual chart Edit'!$B$7:$C$491,2,FALSE)</f>
        <v>DA+3</v>
      </c>
      <c r="E42" s="344" t="s">
        <v>276</v>
      </c>
      <c r="F42" s="551">
        <v>45300</v>
      </c>
      <c r="G42" s="551">
        <v>45302</v>
      </c>
      <c r="H42" s="552" t="s">
        <v>1009</v>
      </c>
      <c r="I42" s="553" t="s">
        <v>1024</v>
      </c>
      <c r="J42" s="554">
        <f t="shared" si="0"/>
        <v>2</v>
      </c>
      <c r="K42" s="550"/>
      <c r="L42" s="550"/>
      <c r="M42" s="550"/>
      <c r="N42" s="550"/>
      <c r="O42" s="550"/>
      <c r="P42" s="550"/>
      <c r="Q42" s="550"/>
      <c r="R42" s="550"/>
      <c r="S42" s="550"/>
      <c r="T42" s="550"/>
      <c r="U42" s="550"/>
      <c r="V42" s="550"/>
      <c r="W42" s="550"/>
      <c r="X42" s="550"/>
      <c r="Y42" s="550"/>
      <c r="Z42" s="550"/>
      <c r="AA42" s="550"/>
      <c r="AB42" s="550"/>
      <c r="AC42" s="550"/>
      <c r="AD42" s="550"/>
      <c r="AE42" s="550"/>
      <c r="AF42" s="550"/>
      <c r="AG42" s="550"/>
      <c r="AH42" s="550"/>
      <c r="AI42" s="550"/>
      <c r="AJ42" s="550"/>
      <c r="AK42" s="550"/>
      <c r="AL42" s="550"/>
      <c r="AM42" s="550"/>
      <c r="AN42" s="550"/>
      <c r="AO42" s="550"/>
      <c r="AP42" s="550"/>
      <c r="AQ42" s="550"/>
      <c r="AR42" s="550"/>
      <c r="AS42" s="550"/>
      <c r="AT42" s="550"/>
      <c r="AU42" s="550"/>
      <c r="AV42" s="550"/>
      <c r="AW42" s="550"/>
      <c r="AX42" s="550"/>
      <c r="AY42" s="550"/>
      <c r="AZ42" s="550"/>
      <c r="BA42" s="550"/>
      <c r="BB42" s="550"/>
      <c r="BC42" s="550"/>
      <c r="BD42" s="550"/>
      <c r="BE42" s="550"/>
      <c r="BF42" s="550"/>
      <c r="BG42" s="550"/>
      <c r="BH42" s="550"/>
      <c r="BI42" s="550"/>
      <c r="BJ42" s="550"/>
      <c r="BK42" s="550"/>
      <c r="BL42" s="550"/>
      <c r="BM42" s="550"/>
      <c r="BN42" s="550"/>
      <c r="BO42" s="550"/>
      <c r="BP42" s="550"/>
      <c r="BQ42" s="550"/>
      <c r="BR42" s="550"/>
      <c r="BS42" s="550"/>
      <c r="BT42" s="550"/>
      <c r="BU42" s="550"/>
      <c r="BV42" s="550"/>
      <c r="BW42" s="550"/>
      <c r="BX42" s="550"/>
      <c r="BY42" s="550"/>
      <c r="BZ42" s="550"/>
      <c r="CA42" s="550"/>
      <c r="CB42" s="550"/>
      <c r="CC42" s="550"/>
      <c r="CD42" s="550"/>
      <c r="CE42" s="550"/>
      <c r="CF42" s="550"/>
      <c r="CG42" s="550"/>
      <c r="CH42" s="550"/>
      <c r="CI42" s="550"/>
      <c r="CJ42" s="550"/>
      <c r="CK42" s="550"/>
      <c r="CL42" s="550"/>
      <c r="CM42" s="550"/>
      <c r="CN42" s="550"/>
      <c r="CO42" s="550"/>
      <c r="CP42" s="550"/>
      <c r="CQ42" s="550"/>
      <c r="CR42" s="550"/>
      <c r="CS42" s="550"/>
      <c r="CT42" s="550"/>
      <c r="CU42" s="550"/>
      <c r="CV42" s="550"/>
      <c r="CW42" s="550"/>
    </row>
    <row r="43" spans="1:101" x14ac:dyDescent="0.2">
      <c r="A43" s="344">
        <f>+SUBTOTAL(3,$E$8:$E43)</f>
        <v>36</v>
      </c>
      <c r="B43" s="555">
        <v>45292</v>
      </c>
      <c r="C43" s="347" t="s">
        <v>798</v>
      </c>
      <c r="D43" s="344" t="str">
        <f>+VLOOKUP(C43,'Visual chart Edit'!$B$7:$C$491,2,FALSE)</f>
        <v>DA+0</v>
      </c>
      <c r="E43" s="344" t="s">
        <v>32</v>
      </c>
      <c r="F43" s="551">
        <v>45302</v>
      </c>
      <c r="G43" s="551">
        <v>45304</v>
      </c>
      <c r="H43" s="552" t="s">
        <v>236</v>
      </c>
      <c r="I43" s="553" t="s">
        <v>1006</v>
      </c>
      <c r="J43" s="554">
        <f t="shared" si="0"/>
        <v>2</v>
      </c>
      <c r="K43" s="550"/>
      <c r="L43" s="550"/>
      <c r="M43" s="550"/>
      <c r="N43" s="550"/>
      <c r="O43" s="550"/>
      <c r="P43" s="550"/>
      <c r="Q43" s="550"/>
      <c r="R43" s="550"/>
      <c r="S43" s="550"/>
      <c r="T43" s="550"/>
      <c r="U43" s="550"/>
      <c r="V43" s="550"/>
      <c r="W43" s="550"/>
      <c r="X43" s="550"/>
      <c r="Y43" s="550"/>
      <c r="Z43" s="550"/>
      <c r="AA43" s="550"/>
      <c r="AB43" s="550"/>
      <c r="AC43" s="550"/>
      <c r="AD43" s="550"/>
      <c r="AE43" s="550"/>
      <c r="AF43" s="550"/>
      <c r="AG43" s="550"/>
      <c r="AH43" s="550"/>
      <c r="AI43" s="550"/>
      <c r="AJ43" s="550"/>
      <c r="AK43" s="550"/>
      <c r="AL43" s="550"/>
      <c r="AM43" s="550"/>
      <c r="AN43" s="550"/>
      <c r="AO43" s="550"/>
      <c r="AP43" s="550"/>
      <c r="AQ43" s="550"/>
      <c r="AR43" s="550"/>
      <c r="AS43" s="550"/>
      <c r="AT43" s="550"/>
      <c r="AU43" s="550"/>
      <c r="AV43" s="550"/>
      <c r="AW43" s="550"/>
      <c r="AX43" s="550"/>
      <c r="AY43" s="550"/>
      <c r="AZ43" s="550"/>
      <c r="BA43" s="550"/>
      <c r="BB43" s="550"/>
      <c r="BC43" s="550"/>
      <c r="BD43" s="550"/>
      <c r="BE43" s="550"/>
      <c r="BF43" s="550"/>
      <c r="BG43" s="550"/>
      <c r="BH43" s="550"/>
      <c r="BI43" s="550"/>
      <c r="BJ43" s="550"/>
      <c r="BK43" s="550"/>
      <c r="BL43" s="550"/>
      <c r="BM43" s="550"/>
      <c r="BN43" s="550"/>
      <c r="BO43" s="550"/>
      <c r="BP43" s="550"/>
      <c r="BQ43" s="550"/>
      <c r="BR43" s="550"/>
      <c r="BS43" s="550"/>
      <c r="BT43" s="550"/>
      <c r="BU43" s="550"/>
      <c r="BV43" s="550"/>
      <c r="BW43" s="550"/>
      <c r="BX43" s="550"/>
      <c r="BY43" s="550"/>
      <c r="BZ43" s="550"/>
      <c r="CA43" s="550"/>
      <c r="CB43" s="550"/>
      <c r="CC43" s="550"/>
      <c r="CD43" s="550"/>
      <c r="CE43" s="550"/>
      <c r="CF43" s="550"/>
      <c r="CG43" s="550"/>
      <c r="CH43" s="550"/>
      <c r="CI43" s="550"/>
      <c r="CJ43" s="550"/>
      <c r="CK43" s="550"/>
      <c r="CL43" s="550"/>
      <c r="CM43" s="550"/>
      <c r="CN43" s="550"/>
      <c r="CO43" s="550"/>
      <c r="CP43" s="550"/>
      <c r="CQ43" s="550"/>
      <c r="CR43" s="550"/>
      <c r="CS43" s="550"/>
      <c r="CT43" s="550"/>
      <c r="CU43" s="550"/>
      <c r="CV43" s="550"/>
      <c r="CW43" s="550"/>
    </row>
    <row r="44" spans="1:101" x14ac:dyDescent="0.2">
      <c r="A44" s="344">
        <f>+SUBTOTAL(3,$E$8:$E44)</f>
        <v>37</v>
      </c>
      <c r="B44" s="555">
        <v>45292</v>
      </c>
      <c r="C44" s="347" t="s">
        <v>827</v>
      </c>
      <c r="D44" s="344" t="str">
        <f>+VLOOKUP(C44,'Visual chart Edit'!$B$7:$C$491,2,FALSE)</f>
        <v>DA+0</v>
      </c>
      <c r="E44" s="344" t="s">
        <v>276</v>
      </c>
      <c r="F44" s="551">
        <v>45302</v>
      </c>
      <c r="G44" s="551">
        <v>45304</v>
      </c>
      <c r="H44" s="552" t="s">
        <v>878</v>
      </c>
      <c r="I44" s="553" t="s">
        <v>1006</v>
      </c>
      <c r="J44" s="554">
        <f t="shared" si="0"/>
        <v>2</v>
      </c>
      <c r="K44" s="550"/>
      <c r="L44" s="550"/>
      <c r="M44" s="550"/>
      <c r="N44" s="550"/>
      <c r="O44" s="550"/>
      <c r="P44" s="550"/>
      <c r="Q44" s="550"/>
      <c r="R44" s="550"/>
      <c r="S44" s="550"/>
      <c r="T44" s="550"/>
      <c r="U44" s="550"/>
      <c r="V44" s="550"/>
      <c r="W44" s="550"/>
      <c r="X44" s="550"/>
      <c r="Y44" s="550"/>
      <c r="Z44" s="550"/>
      <c r="AA44" s="550"/>
      <c r="AB44" s="550"/>
      <c r="AC44" s="550"/>
      <c r="AD44" s="550"/>
      <c r="AE44" s="550"/>
      <c r="AF44" s="550"/>
      <c r="AG44" s="550"/>
      <c r="AH44" s="550"/>
      <c r="AI44" s="550"/>
      <c r="AJ44" s="550"/>
      <c r="AK44" s="550"/>
      <c r="AL44" s="550"/>
      <c r="AM44" s="550"/>
      <c r="AN44" s="550"/>
      <c r="AO44" s="550"/>
      <c r="AP44" s="550"/>
      <c r="AQ44" s="550"/>
      <c r="AR44" s="550"/>
      <c r="AS44" s="550"/>
      <c r="AT44" s="550"/>
      <c r="AU44" s="550"/>
      <c r="AV44" s="550"/>
      <c r="AW44" s="550"/>
      <c r="AX44" s="550"/>
      <c r="AY44" s="550"/>
      <c r="AZ44" s="550"/>
      <c r="BA44" s="550"/>
      <c r="BB44" s="550"/>
      <c r="BC44" s="550"/>
      <c r="BD44" s="550"/>
      <c r="BE44" s="550"/>
      <c r="BF44" s="550"/>
      <c r="BG44" s="550"/>
      <c r="BH44" s="550"/>
      <c r="BI44" s="550"/>
      <c r="BJ44" s="550"/>
      <c r="BK44" s="550"/>
      <c r="BL44" s="550"/>
      <c r="BM44" s="550"/>
      <c r="BN44" s="550"/>
      <c r="BO44" s="550"/>
      <c r="BP44" s="550"/>
      <c r="BQ44" s="550"/>
      <c r="BR44" s="550"/>
      <c r="BS44" s="550"/>
      <c r="BT44" s="550"/>
      <c r="BU44" s="550"/>
      <c r="BV44" s="550"/>
      <c r="BW44" s="550"/>
      <c r="BX44" s="550"/>
      <c r="BY44" s="550"/>
      <c r="BZ44" s="550"/>
      <c r="CA44" s="550"/>
      <c r="CB44" s="550"/>
      <c r="CC44" s="550"/>
      <c r="CD44" s="550"/>
      <c r="CE44" s="550"/>
      <c r="CF44" s="550"/>
      <c r="CG44" s="550"/>
      <c r="CH44" s="550"/>
      <c r="CI44" s="550"/>
      <c r="CJ44" s="550"/>
      <c r="CK44" s="550"/>
      <c r="CL44" s="550"/>
      <c r="CM44" s="550"/>
      <c r="CN44" s="550"/>
      <c r="CO44" s="550"/>
      <c r="CP44" s="550"/>
      <c r="CQ44" s="550"/>
      <c r="CR44" s="550"/>
      <c r="CS44" s="550"/>
      <c r="CT44" s="550"/>
      <c r="CU44" s="550"/>
      <c r="CV44" s="550"/>
      <c r="CW44" s="550"/>
    </row>
    <row r="45" spans="1:101" x14ac:dyDescent="0.2">
      <c r="A45" s="344">
        <f>+SUBTOTAL(3,$E$8:$E45)</f>
        <v>38</v>
      </c>
      <c r="B45" s="555">
        <v>45292</v>
      </c>
      <c r="C45" s="347" t="s">
        <v>750</v>
      </c>
      <c r="D45" s="344" t="str">
        <f>+VLOOKUP(C45,'Visual chart Edit'!$B$7:$C$491,2,FALSE)</f>
        <v>DA+0</v>
      </c>
      <c r="E45" s="344" t="s">
        <v>143</v>
      </c>
      <c r="F45" s="551">
        <v>45303</v>
      </c>
      <c r="G45" s="551">
        <v>45305</v>
      </c>
      <c r="H45" s="552" t="s">
        <v>1009</v>
      </c>
      <c r="I45" s="553" t="s">
        <v>1024</v>
      </c>
      <c r="J45" s="554">
        <f t="shared" si="0"/>
        <v>2</v>
      </c>
      <c r="K45" s="550"/>
      <c r="L45" s="550"/>
      <c r="M45" s="550"/>
      <c r="N45" s="550"/>
      <c r="O45" s="550"/>
      <c r="P45" s="550"/>
      <c r="Q45" s="550"/>
      <c r="R45" s="550"/>
      <c r="S45" s="550"/>
      <c r="T45" s="550"/>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50"/>
      <c r="AS45" s="550"/>
      <c r="AT45" s="550"/>
      <c r="AU45" s="550"/>
      <c r="AV45" s="550"/>
      <c r="AW45" s="550"/>
      <c r="AX45" s="550"/>
      <c r="AY45" s="550"/>
      <c r="AZ45" s="550"/>
      <c r="BA45" s="550"/>
      <c r="BB45" s="550"/>
      <c r="BC45" s="550"/>
      <c r="BD45" s="550"/>
      <c r="BE45" s="550"/>
      <c r="BF45" s="550"/>
      <c r="BG45" s="550"/>
      <c r="BH45" s="550"/>
      <c r="BI45" s="550"/>
      <c r="BJ45" s="550"/>
      <c r="BK45" s="550"/>
      <c r="BL45" s="550"/>
      <c r="BM45" s="550"/>
      <c r="BN45" s="550"/>
      <c r="BO45" s="550"/>
      <c r="BP45" s="550"/>
      <c r="BQ45" s="550"/>
      <c r="BR45" s="550"/>
      <c r="BS45" s="550"/>
      <c r="BT45" s="550"/>
      <c r="BU45" s="550"/>
      <c r="BV45" s="550"/>
      <c r="BW45" s="550"/>
      <c r="BX45" s="550"/>
      <c r="BY45" s="550"/>
      <c r="BZ45" s="550"/>
      <c r="CA45" s="550"/>
      <c r="CB45" s="550"/>
      <c r="CC45" s="550"/>
      <c r="CD45" s="550"/>
      <c r="CE45" s="550"/>
      <c r="CF45" s="550"/>
      <c r="CG45" s="550"/>
      <c r="CH45" s="550"/>
      <c r="CI45" s="550"/>
      <c r="CJ45" s="550"/>
      <c r="CK45" s="550"/>
      <c r="CL45" s="550"/>
      <c r="CM45" s="550"/>
      <c r="CN45" s="550"/>
      <c r="CO45" s="550"/>
      <c r="CP45" s="550"/>
      <c r="CQ45" s="550"/>
      <c r="CR45" s="550"/>
      <c r="CS45" s="550"/>
      <c r="CT45" s="550"/>
      <c r="CU45" s="550"/>
      <c r="CV45" s="550"/>
      <c r="CW45" s="550"/>
    </row>
    <row r="46" spans="1:101" x14ac:dyDescent="0.2">
      <c r="A46" s="344">
        <f>+SUBTOTAL(3,$E$8:$E46)</f>
        <v>39</v>
      </c>
      <c r="B46" s="555">
        <v>45292</v>
      </c>
      <c r="C46" s="347" t="s">
        <v>812</v>
      </c>
      <c r="D46" s="344" t="str">
        <f>+VLOOKUP(C46,'Visual chart Edit'!$B$7:$C$491,2,FALSE)</f>
        <v>DA+3</v>
      </c>
      <c r="E46" s="344" t="s">
        <v>276</v>
      </c>
      <c r="F46" s="551">
        <v>45304</v>
      </c>
      <c r="G46" s="551">
        <v>45305</v>
      </c>
      <c r="H46" s="552" t="s">
        <v>875</v>
      </c>
      <c r="I46" s="553" t="s">
        <v>1006</v>
      </c>
      <c r="J46" s="554">
        <f t="shared" si="0"/>
        <v>1</v>
      </c>
      <c r="K46" s="550"/>
      <c r="L46" s="550"/>
      <c r="M46" s="550"/>
      <c r="N46" s="550"/>
      <c r="O46" s="550"/>
      <c r="P46" s="550"/>
      <c r="Q46" s="550"/>
      <c r="R46" s="550"/>
      <c r="S46" s="550"/>
      <c r="T46" s="550"/>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50"/>
      <c r="AS46" s="550"/>
      <c r="AT46" s="550"/>
      <c r="AU46" s="550"/>
      <c r="AV46" s="550"/>
      <c r="AW46" s="550"/>
      <c r="AX46" s="550"/>
      <c r="AY46" s="550"/>
      <c r="AZ46" s="550"/>
      <c r="BA46" s="550"/>
      <c r="BB46" s="550"/>
      <c r="BC46" s="550"/>
      <c r="BD46" s="550"/>
      <c r="BE46" s="550"/>
      <c r="BF46" s="550"/>
      <c r="BG46" s="550"/>
      <c r="BH46" s="550"/>
      <c r="BI46" s="550"/>
      <c r="BJ46" s="550"/>
      <c r="BK46" s="550"/>
      <c r="BL46" s="550"/>
      <c r="BM46" s="550"/>
      <c r="BN46" s="550"/>
      <c r="BO46" s="550"/>
      <c r="BP46" s="550"/>
      <c r="BQ46" s="550"/>
      <c r="BR46" s="550"/>
      <c r="BS46" s="550"/>
      <c r="BT46" s="550"/>
      <c r="BU46" s="550"/>
      <c r="BV46" s="550"/>
      <c r="BW46" s="550"/>
      <c r="BX46" s="550"/>
      <c r="BY46" s="550"/>
      <c r="BZ46" s="550"/>
      <c r="CA46" s="550"/>
      <c r="CB46" s="550"/>
      <c r="CC46" s="550"/>
      <c r="CD46" s="550"/>
      <c r="CE46" s="550"/>
      <c r="CF46" s="550"/>
      <c r="CG46" s="550"/>
      <c r="CH46" s="550"/>
      <c r="CI46" s="550"/>
      <c r="CJ46" s="550"/>
      <c r="CK46" s="550"/>
      <c r="CL46" s="550"/>
      <c r="CM46" s="550"/>
      <c r="CN46" s="550"/>
      <c r="CO46" s="550"/>
      <c r="CP46" s="550"/>
      <c r="CQ46" s="550"/>
      <c r="CR46" s="550"/>
      <c r="CS46" s="550"/>
      <c r="CT46" s="550"/>
      <c r="CU46" s="550"/>
      <c r="CV46" s="550"/>
      <c r="CW46" s="550"/>
    </row>
    <row r="47" spans="1:101" x14ac:dyDescent="0.2">
      <c r="A47" s="344">
        <f>+SUBTOTAL(3,$E$8:$E47)</f>
        <v>40</v>
      </c>
      <c r="B47" s="555">
        <v>45292</v>
      </c>
      <c r="C47" s="347" t="s">
        <v>823</v>
      </c>
      <c r="D47" s="344" t="str">
        <f>+VLOOKUP(C47,'Visual chart Edit'!$B$7:$C$491,2,FALSE)</f>
        <v>DA+3</v>
      </c>
      <c r="E47" s="344" t="s">
        <v>276</v>
      </c>
      <c r="F47" s="551">
        <v>45304</v>
      </c>
      <c r="G47" s="551">
        <v>45306</v>
      </c>
      <c r="H47" s="552" t="s">
        <v>877</v>
      </c>
      <c r="I47" s="553" t="s">
        <v>1006</v>
      </c>
      <c r="J47" s="554">
        <f t="shared" si="0"/>
        <v>2</v>
      </c>
      <c r="K47" s="550"/>
      <c r="L47" s="550"/>
      <c r="M47" s="550"/>
      <c r="N47" s="550"/>
      <c r="O47" s="550"/>
      <c r="P47" s="550"/>
      <c r="Q47" s="550"/>
      <c r="R47" s="550"/>
      <c r="S47" s="550"/>
      <c r="T47" s="550"/>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50"/>
      <c r="AS47" s="550"/>
      <c r="AT47" s="550"/>
      <c r="AU47" s="550"/>
      <c r="AV47" s="550"/>
      <c r="AW47" s="550"/>
      <c r="AX47" s="550"/>
      <c r="AY47" s="550"/>
      <c r="AZ47" s="550"/>
      <c r="BA47" s="550"/>
      <c r="BB47" s="550"/>
      <c r="BC47" s="550"/>
      <c r="BD47" s="550"/>
      <c r="BE47" s="550"/>
      <c r="BF47" s="550"/>
      <c r="BG47" s="550"/>
      <c r="BH47" s="550"/>
      <c r="BI47" s="550"/>
      <c r="BJ47" s="550"/>
      <c r="BK47" s="550"/>
      <c r="BL47" s="550"/>
      <c r="BM47" s="550"/>
      <c r="BN47" s="550"/>
      <c r="BO47" s="550"/>
      <c r="BP47" s="550"/>
      <c r="BQ47" s="550"/>
      <c r="BR47" s="550"/>
      <c r="BS47" s="550"/>
      <c r="BT47" s="550"/>
      <c r="BU47" s="550"/>
      <c r="BV47" s="550"/>
      <c r="BW47" s="550"/>
      <c r="BX47" s="550"/>
      <c r="BY47" s="550"/>
      <c r="BZ47" s="550"/>
      <c r="CA47" s="550"/>
      <c r="CB47" s="550"/>
      <c r="CC47" s="550"/>
      <c r="CD47" s="550"/>
      <c r="CE47" s="550"/>
      <c r="CF47" s="550"/>
      <c r="CG47" s="550"/>
      <c r="CH47" s="550"/>
      <c r="CI47" s="550"/>
      <c r="CJ47" s="550"/>
      <c r="CK47" s="550"/>
      <c r="CL47" s="550"/>
      <c r="CM47" s="550"/>
      <c r="CN47" s="550"/>
      <c r="CO47" s="550"/>
      <c r="CP47" s="550"/>
      <c r="CQ47" s="550"/>
      <c r="CR47" s="550"/>
      <c r="CS47" s="550"/>
      <c r="CT47" s="550"/>
      <c r="CU47" s="550"/>
      <c r="CV47" s="550"/>
      <c r="CW47" s="550"/>
    </row>
    <row r="48" spans="1:101" x14ac:dyDescent="0.2">
      <c r="A48" s="344">
        <f>+SUBTOTAL(3,$E$8:$E48)</f>
        <v>41</v>
      </c>
      <c r="B48" s="555">
        <v>45292</v>
      </c>
      <c r="C48" s="347" t="s">
        <v>741</v>
      </c>
      <c r="D48" s="344" t="str">
        <f>+VLOOKUP(C48,'Visual chart Edit'!$B$7:$C$491,2,FALSE)</f>
        <v>DA+0</v>
      </c>
      <c r="E48" s="344" t="s">
        <v>143</v>
      </c>
      <c r="F48" s="551">
        <v>45300</v>
      </c>
      <c r="G48" s="551">
        <v>45306</v>
      </c>
      <c r="H48" s="552" t="s">
        <v>876</v>
      </c>
      <c r="I48" s="553" t="s">
        <v>1024</v>
      </c>
      <c r="J48" s="554">
        <f t="shared" si="0"/>
        <v>6</v>
      </c>
      <c r="K48" s="550"/>
      <c r="L48" s="550"/>
      <c r="M48" s="550"/>
      <c r="N48" s="550"/>
      <c r="O48" s="550"/>
      <c r="P48" s="550"/>
      <c r="Q48" s="550"/>
      <c r="R48" s="550"/>
      <c r="S48" s="550"/>
      <c r="T48" s="550"/>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50"/>
      <c r="AS48" s="550"/>
      <c r="AT48" s="550"/>
      <c r="AU48" s="550"/>
      <c r="AV48" s="550"/>
      <c r="AW48" s="550"/>
      <c r="AX48" s="550"/>
      <c r="AY48" s="550"/>
      <c r="AZ48" s="550"/>
      <c r="BA48" s="550"/>
      <c r="BB48" s="550"/>
      <c r="BC48" s="550"/>
      <c r="BD48" s="550"/>
      <c r="BE48" s="550"/>
      <c r="BF48" s="550"/>
      <c r="BG48" s="550"/>
      <c r="BH48" s="550"/>
      <c r="BI48" s="550"/>
      <c r="BJ48" s="550"/>
      <c r="BK48" s="550"/>
      <c r="BL48" s="550"/>
      <c r="BM48" s="550"/>
      <c r="BN48" s="550"/>
      <c r="BO48" s="550"/>
      <c r="BP48" s="550"/>
      <c r="BQ48" s="550"/>
      <c r="BR48" s="550"/>
      <c r="BS48" s="550"/>
      <c r="BT48" s="550"/>
      <c r="BU48" s="550"/>
      <c r="BV48" s="550"/>
      <c r="BW48" s="550"/>
      <c r="BX48" s="550"/>
      <c r="BY48" s="550"/>
      <c r="BZ48" s="550"/>
      <c r="CA48" s="550"/>
      <c r="CB48" s="550"/>
      <c r="CC48" s="550"/>
      <c r="CD48" s="550"/>
      <c r="CE48" s="550"/>
      <c r="CF48" s="550"/>
      <c r="CG48" s="550"/>
      <c r="CH48" s="550"/>
      <c r="CI48" s="550"/>
      <c r="CJ48" s="550"/>
      <c r="CK48" s="550"/>
      <c r="CL48" s="550"/>
      <c r="CM48" s="550"/>
      <c r="CN48" s="550"/>
      <c r="CO48" s="550"/>
      <c r="CP48" s="550"/>
      <c r="CQ48" s="550"/>
      <c r="CR48" s="550"/>
      <c r="CS48" s="550"/>
      <c r="CT48" s="550"/>
      <c r="CU48" s="550"/>
      <c r="CV48" s="550"/>
      <c r="CW48" s="550"/>
    </row>
    <row r="49" spans="1:101" x14ac:dyDescent="0.2">
      <c r="A49" s="344">
        <f>+SUBTOTAL(3,$E$8:$E49)</f>
        <v>42</v>
      </c>
      <c r="B49" s="555">
        <v>45292</v>
      </c>
      <c r="C49" s="347" t="s">
        <v>777</v>
      </c>
      <c r="D49" s="344" t="str">
        <f>+VLOOKUP(C49,'Visual chart Edit'!$B$7:$C$491,2,FALSE)</f>
        <v>DA+0</v>
      </c>
      <c r="E49" s="344" t="s">
        <v>32</v>
      </c>
      <c r="F49" s="551">
        <v>45305</v>
      </c>
      <c r="G49" s="551">
        <v>45306</v>
      </c>
      <c r="H49" s="552" t="s">
        <v>874</v>
      </c>
      <c r="I49" s="553" t="s">
        <v>1024</v>
      </c>
      <c r="J49" s="554">
        <f t="shared" si="0"/>
        <v>1</v>
      </c>
      <c r="K49" s="550"/>
      <c r="L49" s="550"/>
      <c r="M49" s="550"/>
      <c r="N49" s="550"/>
      <c r="O49" s="550"/>
      <c r="P49" s="550"/>
      <c r="Q49" s="550"/>
      <c r="R49" s="550"/>
      <c r="S49" s="550"/>
      <c r="T49" s="550"/>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50"/>
      <c r="AR49" s="550"/>
      <c r="AS49" s="550"/>
      <c r="AT49" s="550"/>
      <c r="AU49" s="550"/>
      <c r="AV49" s="550"/>
      <c r="AW49" s="550"/>
      <c r="AX49" s="550"/>
      <c r="AY49" s="550"/>
      <c r="AZ49" s="550"/>
      <c r="BA49" s="550"/>
      <c r="BB49" s="550"/>
      <c r="BC49" s="550"/>
      <c r="BD49" s="550"/>
      <c r="BE49" s="550"/>
      <c r="BF49" s="550"/>
      <c r="BG49" s="550"/>
      <c r="BH49" s="550"/>
      <c r="BI49" s="550"/>
      <c r="BJ49" s="550"/>
      <c r="BK49" s="550"/>
      <c r="BL49" s="550"/>
      <c r="BM49" s="550"/>
      <c r="BN49" s="550"/>
      <c r="BO49" s="550"/>
      <c r="BP49" s="550"/>
      <c r="BQ49" s="550"/>
      <c r="BR49" s="550"/>
      <c r="BS49" s="550"/>
      <c r="BT49" s="550"/>
      <c r="BU49" s="550"/>
      <c r="BV49" s="550"/>
      <c r="BW49" s="550"/>
      <c r="BX49" s="550"/>
      <c r="BY49" s="550"/>
      <c r="BZ49" s="550"/>
      <c r="CA49" s="550"/>
      <c r="CB49" s="550"/>
      <c r="CC49" s="550"/>
      <c r="CD49" s="550"/>
      <c r="CE49" s="550"/>
      <c r="CF49" s="550"/>
      <c r="CG49" s="550"/>
      <c r="CH49" s="550"/>
      <c r="CI49" s="550"/>
      <c r="CJ49" s="550"/>
      <c r="CK49" s="550"/>
      <c r="CL49" s="550"/>
      <c r="CM49" s="550"/>
      <c r="CN49" s="550"/>
      <c r="CO49" s="550"/>
      <c r="CP49" s="550"/>
      <c r="CQ49" s="550"/>
      <c r="CR49" s="550"/>
      <c r="CS49" s="550"/>
      <c r="CT49" s="550"/>
      <c r="CU49" s="550"/>
      <c r="CV49" s="550"/>
      <c r="CW49" s="550"/>
    </row>
    <row r="50" spans="1:101" x14ac:dyDescent="0.2">
      <c r="A50" s="344">
        <f>+SUBTOTAL(3,$E$8:$E50)</f>
        <v>43</v>
      </c>
      <c r="B50" s="555">
        <v>45292</v>
      </c>
      <c r="C50" s="347" t="s">
        <v>796</v>
      </c>
      <c r="D50" s="344" t="str">
        <f>+VLOOKUP(C50,'Visual chart Edit'!$B$7:$C$491,2,FALSE)</f>
        <v>DA+0</v>
      </c>
      <c r="E50" s="344" t="s">
        <v>32</v>
      </c>
      <c r="F50" s="551">
        <v>45306</v>
      </c>
      <c r="G50" s="551">
        <v>45307</v>
      </c>
      <c r="H50" s="552" t="s">
        <v>236</v>
      </c>
      <c r="I50" s="553" t="s">
        <v>1006</v>
      </c>
      <c r="J50" s="554">
        <f t="shared" si="0"/>
        <v>1</v>
      </c>
      <c r="K50" s="550"/>
      <c r="L50" s="550"/>
      <c r="M50" s="550"/>
      <c r="N50" s="550"/>
      <c r="O50" s="550"/>
      <c r="P50" s="550"/>
      <c r="Q50" s="550"/>
      <c r="R50" s="550"/>
      <c r="S50" s="550"/>
      <c r="T50" s="550"/>
      <c r="U50" s="550"/>
      <c r="V50" s="550"/>
      <c r="W50" s="550"/>
      <c r="X50" s="550"/>
      <c r="Y50" s="550"/>
      <c r="Z50" s="550"/>
      <c r="AA50" s="550"/>
      <c r="AB50" s="550"/>
      <c r="AC50" s="550"/>
      <c r="AD50" s="550"/>
      <c r="AE50" s="550"/>
      <c r="AF50" s="550"/>
      <c r="AG50" s="550"/>
      <c r="AH50" s="550"/>
      <c r="AI50" s="550"/>
      <c r="AJ50" s="550"/>
      <c r="AK50" s="550"/>
      <c r="AL50" s="550"/>
      <c r="AM50" s="550"/>
      <c r="AN50" s="550"/>
      <c r="AO50" s="550"/>
      <c r="AP50" s="550"/>
      <c r="AQ50" s="550"/>
      <c r="AR50" s="550"/>
      <c r="AS50" s="550"/>
      <c r="AT50" s="550"/>
      <c r="AU50" s="550"/>
      <c r="AV50" s="550"/>
      <c r="AW50" s="550"/>
      <c r="AX50" s="550"/>
      <c r="AY50" s="550"/>
      <c r="AZ50" s="550"/>
      <c r="BA50" s="550"/>
      <c r="BB50" s="550"/>
      <c r="BC50" s="550"/>
      <c r="BD50" s="550"/>
      <c r="BE50" s="550"/>
      <c r="BF50" s="550"/>
      <c r="BG50" s="550"/>
      <c r="BH50" s="550"/>
      <c r="BI50" s="550"/>
      <c r="BJ50" s="550"/>
      <c r="BK50" s="550"/>
      <c r="BL50" s="550"/>
      <c r="BM50" s="550"/>
      <c r="BN50" s="550"/>
      <c r="BO50" s="550"/>
      <c r="BP50" s="550"/>
      <c r="BQ50" s="550"/>
      <c r="BR50" s="550"/>
      <c r="BS50" s="550"/>
      <c r="BT50" s="550"/>
      <c r="BU50" s="550"/>
      <c r="BV50" s="550"/>
      <c r="BW50" s="550"/>
      <c r="BX50" s="550"/>
      <c r="BY50" s="550"/>
      <c r="BZ50" s="550"/>
      <c r="CA50" s="550"/>
      <c r="CB50" s="550"/>
      <c r="CC50" s="550"/>
      <c r="CD50" s="550"/>
      <c r="CE50" s="550"/>
      <c r="CF50" s="550"/>
      <c r="CG50" s="550"/>
      <c r="CH50" s="550"/>
      <c r="CI50" s="550"/>
      <c r="CJ50" s="550"/>
      <c r="CK50" s="550"/>
      <c r="CL50" s="550"/>
      <c r="CM50" s="550"/>
      <c r="CN50" s="550"/>
      <c r="CO50" s="550"/>
      <c r="CP50" s="550"/>
      <c r="CQ50" s="550"/>
      <c r="CR50" s="550"/>
      <c r="CS50" s="550"/>
      <c r="CT50" s="550"/>
      <c r="CU50" s="550"/>
      <c r="CV50" s="550"/>
      <c r="CW50" s="550"/>
    </row>
    <row r="51" spans="1:101" x14ac:dyDescent="0.2">
      <c r="A51" s="344">
        <f>+SUBTOTAL(3,$E$8:$E51)</f>
        <v>44</v>
      </c>
      <c r="B51" s="555">
        <v>45292</v>
      </c>
      <c r="C51" s="347" t="s">
        <v>742</v>
      </c>
      <c r="D51" s="344" t="str">
        <f>+VLOOKUP(C51,'Visual chart Edit'!$B$7:$C$491,2,FALSE)</f>
        <v>DA+0</v>
      </c>
      <c r="E51" s="344" t="s">
        <v>143</v>
      </c>
      <c r="F51" s="551">
        <v>45303</v>
      </c>
      <c r="G51" s="551">
        <v>45308</v>
      </c>
      <c r="H51" s="552" t="s">
        <v>876</v>
      </c>
      <c r="I51" s="553" t="s">
        <v>1024</v>
      </c>
      <c r="J51" s="554">
        <f t="shared" si="0"/>
        <v>5</v>
      </c>
      <c r="K51" s="550"/>
      <c r="L51" s="550"/>
      <c r="M51" s="550"/>
      <c r="N51" s="550"/>
      <c r="O51" s="550"/>
      <c r="P51" s="550"/>
      <c r="Q51" s="550"/>
      <c r="R51" s="550"/>
      <c r="S51" s="550"/>
      <c r="T51" s="550"/>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50"/>
      <c r="AS51" s="550"/>
      <c r="AT51" s="550"/>
      <c r="AU51" s="550"/>
      <c r="AV51" s="550"/>
      <c r="AW51" s="550"/>
      <c r="AX51" s="550"/>
      <c r="AY51" s="550"/>
      <c r="AZ51" s="550"/>
      <c r="BA51" s="550"/>
      <c r="BB51" s="550"/>
      <c r="BC51" s="550"/>
      <c r="BD51" s="550"/>
      <c r="BE51" s="550"/>
      <c r="BF51" s="550"/>
      <c r="BG51" s="550"/>
      <c r="BH51" s="550"/>
      <c r="BI51" s="550"/>
      <c r="BJ51" s="550"/>
      <c r="BK51" s="550"/>
      <c r="BL51" s="550"/>
      <c r="BM51" s="550"/>
      <c r="BN51" s="550"/>
      <c r="BO51" s="550"/>
      <c r="BP51" s="550"/>
      <c r="BQ51" s="550"/>
      <c r="BR51" s="550"/>
      <c r="BS51" s="550"/>
      <c r="BT51" s="550"/>
      <c r="BU51" s="550"/>
      <c r="BV51" s="550"/>
      <c r="BW51" s="550"/>
      <c r="BX51" s="550"/>
      <c r="BY51" s="550"/>
      <c r="BZ51" s="550"/>
      <c r="CA51" s="550"/>
      <c r="CB51" s="550"/>
      <c r="CC51" s="550"/>
      <c r="CD51" s="550"/>
      <c r="CE51" s="550"/>
      <c r="CF51" s="550"/>
      <c r="CG51" s="550"/>
      <c r="CH51" s="550"/>
      <c r="CI51" s="550"/>
      <c r="CJ51" s="550"/>
      <c r="CK51" s="550"/>
      <c r="CL51" s="550"/>
      <c r="CM51" s="550"/>
      <c r="CN51" s="550"/>
      <c r="CO51" s="550"/>
      <c r="CP51" s="550"/>
      <c r="CQ51" s="550"/>
      <c r="CR51" s="550"/>
      <c r="CS51" s="550"/>
      <c r="CT51" s="550"/>
      <c r="CU51" s="550"/>
      <c r="CV51" s="550"/>
      <c r="CW51" s="550"/>
    </row>
    <row r="52" spans="1:101" x14ac:dyDescent="0.2">
      <c r="A52" s="344">
        <f>+SUBTOTAL(3,$E$8:$E52)</f>
        <v>45</v>
      </c>
      <c r="B52" s="555">
        <v>45292</v>
      </c>
      <c r="C52" s="347" t="s">
        <v>751</v>
      </c>
      <c r="D52" s="344" t="str">
        <f>+VLOOKUP(C52,'Visual chart Edit'!$B$7:$C$491,2,FALSE)</f>
        <v>DA+3</v>
      </c>
      <c r="E52" s="344" t="s">
        <v>143</v>
      </c>
      <c r="F52" s="551">
        <v>45305</v>
      </c>
      <c r="G52" s="551">
        <v>45308</v>
      </c>
      <c r="H52" s="552" t="s">
        <v>1009</v>
      </c>
      <c r="I52" s="553" t="s">
        <v>1024</v>
      </c>
      <c r="J52" s="554">
        <f t="shared" si="0"/>
        <v>3</v>
      </c>
      <c r="K52" s="550"/>
      <c r="L52" s="550"/>
      <c r="M52" s="550"/>
      <c r="N52" s="550"/>
      <c r="O52" s="550"/>
      <c r="P52" s="550"/>
      <c r="Q52" s="550"/>
      <c r="R52" s="550"/>
      <c r="S52" s="550"/>
      <c r="T52" s="550"/>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50"/>
      <c r="AS52" s="550"/>
      <c r="AT52" s="550"/>
      <c r="AU52" s="550"/>
      <c r="AV52" s="550"/>
      <c r="AW52" s="550"/>
      <c r="AX52" s="550"/>
      <c r="AY52" s="550"/>
      <c r="AZ52" s="550"/>
      <c r="BA52" s="550"/>
      <c r="BB52" s="550"/>
      <c r="BC52" s="550"/>
      <c r="BD52" s="550"/>
      <c r="BE52" s="550"/>
      <c r="BF52" s="550"/>
      <c r="BG52" s="550"/>
      <c r="BH52" s="550"/>
      <c r="BI52" s="550"/>
      <c r="BJ52" s="550"/>
      <c r="BK52" s="550"/>
      <c r="BL52" s="550"/>
      <c r="BM52" s="550"/>
      <c r="BN52" s="550"/>
      <c r="BO52" s="550"/>
      <c r="BP52" s="550"/>
      <c r="BQ52" s="550"/>
      <c r="BR52" s="550"/>
      <c r="BS52" s="550"/>
      <c r="BT52" s="550"/>
      <c r="BU52" s="550"/>
      <c r="BV52" s="550"/>
      <c r="BW52" s="550"/>
      <c r="BX52" s="550"/>
      <c r="BY52" s="550"/>
      <c r="BZ52" s="550"/>
      <c r="CA52" s="550"/>
      <c r="CB52" s="550"/>
      <c r="CC52" s="550"/>
      <c r="CD52" s="550"/>
      <c r="CE52" s="550"/>
      <c r="CF52" s="550"/>
      <c r="CG52" s="550"/>
      <c r="CH52" s="550"/>
      <c r="CI52" s="550"/>
      <c r="CJ52" s="550"/>
      <c r="CK52" s="550"/>
      <c r="CL52" s="550"/>
      <c r="CM52" s="550"/>
      <c r="CN52" s="550"/>
      <c r="CO52" s="550"/>
      <c r="CP52" s="550"/>
      <c r="CQ52" s="550"/>
      <c r="CR52" s="550"/>
      <c r="CS52" s="550"/>
      <c r="CT52" s="550"/>
      <c r="CU52" s="550"/>
      <c r="CV52" s="550"/>
      <c r="CW52" s="550"/>
    </row>
    <row r="53" spans="1:101" x14ac:dyDescent="0.2">
      <c r="A53" s="344">
        <f>+SUBTOTAL(3,$E$8:$E53)</f>
        <v>46</v>
      </c>
      <c r="B53" s="555">
        <v>45292</v>
      </c>
      <c r="C53" s="347" t="s">
        <v>60</v>
      </c>
      <c r="D53" s="344" t="str">
        <f>+VLOOKUP(C53,'Visual chart Edit'!$B$7:$C$491,2,FALSE)</f>
        <v>DA+0</v>
      </c>
      <c r="E53" s="344" t="s">
        <v>276</v>
      </c>
      <c r="F53" s="551">
        <v>45303</v>
      </c>
      <c r="G53" s="551">
        <v>45309</v>
      </c>
      <c r="H53" s="552" t="s">
        <v>253</v>
      </c>
      <c r="I53" s="553" t="s">
        <v>237</v>
      </c>
      <c r="J53" s="554">
        <f t="shared" si="0"/>
        <v>6</v>
      </c>
      <c r="K53" s="550"/>
      <c r="L53" s="550"/>
      <c r="M53" s="550"/>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50"/>
      <c r="AS53" s="550"/>
      <c r="AT53" s="550"/>
      <c r="AU53" s="550"/>
      <c r="AV53" s="550"/>
      <c r="AW53" s="550"/>
      <c r="AX53" s="550"/>
      <c r="AY53" s="550"/>
      <c r="AZ53" s="550"/>
      <c r="BA53" s="550"/>
      <c r="BB53" s="550"/>
      <c r="BC53" s="550"/>
      <c r="BD53" s="550"/>
      <c r="BE53" s="550"/>
      <c r="BF53" s="550"/>
      <c r="BG53" s="550"/>
      <c r="BH53" s="550"/>
      <c r="BI53" s="550"/>
      <c r="BJ53" s="550"/>
      <c r="BK53" s="550"/>
      <c r="BL53" s="550"/>
      <c r="BM53" s="550"/>
      <c r="BN53" s="550"/>
      <c r="BO53" s="550"/>
      <c r="BP53" s="550"/>
      <c r="BQ53" s="550"/>
      <c r="BR53" s="550"/>
      <c r="BS53" s="550"/>
      <c r="BT53" s="550"/>
      <c r="BU53" s="550"/>
      <c r="BV53" s="550"/>
      <c r="BW53" s="550"/>
      <c r="BX53" s="550"/>
      <c r="BY53" s="550"/>
      <c r="BZ53" s="550"/>
      <c r="CA53" s="550"/>
      <c r="CB53" s="550"/>
      <c r="CC53" s="550"/>
      <c r="CD53" s="550"/>
      <c r="CE53" s="550"/>
      <c r="CF53" s="550"/>
      <c r="CG53" s="550"/>
      <c r="CH53" s="550"/>
      <c r="CI53" s="550"/>
      <c r="CJ53" s="550"/>
      <c r="CK53" s="550"/>
      <c r="CL53" s="550"/>
      <c r="CM53" s="550"/>
      <c r="CN53" s="550"/>
      <c r="CO53" s="550"/>
      <c r="CP53" s="550"/>
      <c r="CQ53" s="550"/>
      <c r="CR53" s="550"/>
      <c r="CS53" s="550"/>
      <c r="CT53" s="550"/>
      <c r="CU53" s="550"/>
      <c r="CV53" s="550"/>
      <c r="CW53" s="550"/>
    </row>
    <row r="54" spans="1:101" x14ac:dyDescent="0.2">
      <c r="A54" s="344">
        <f>+SUBTOTAL(3,$E$8:$E54)</f>
        <v>47</v>
      </c>
      <c r="B54" s="555">
        <v>45292</v>
      </c>
      <c r="C54" s="347" t="s">
        <v>809</v>
      </c>
      <c r="D54" s="344" t="str">
        <f>+VLOOKUP(C54,'Visual chart Edit'!$B$7:$C$491,2,FALSE)</f>
        <v>DA+0</v>
      </c>
      <c r="E54" s="344" t="s">
        <v>276</v>
      </c>
      <c r="F54" s="551">
        <v>45301</v>
      </c>
      <c r="G54" s="551">
        <v>45309</v>
      </c>
      <c r="H54" s="552" t="s">
        <v>875</v>
      </c>
      <c r="I54" s="553" t="s">
        <v>1006</v>
      </c>
      <c r="J54" s="554">
        <f t="shared" si="0"/>
        <v>8</v>
      </c>
      <c r="K54" s="550"/>
      <c r="L54" s="550"/>
      <c r="M54" s="550"/>
      <c r="N54" s="550"/>
      <c r="O54" s="550"/>
      <c r="P54" s="550"/>
      <c r="Q54" s="550"/>
      <c r="R54" s="550"/>
      <c r="S54" s="550"/>
      <c r="T54" s="550"/>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50"/>
      <c r="AS54" s="550"/>
      <c r="AT54" s="550"/>
      <c r="AU54" s="550"/>
      <c r="AV54" s="550"/>
      <c r="AW54" s="550"/>
      <c r="AX54" s="550"/>
      <c r="AY54" s="550"/>
      <c r="AZ54" s="550"/>
      <c r="BA54" s="550"/>
      <c r="BB54" s="550"/>
      <c r="BC54" s="550"/>
      <c r="BD54" s="550"/>
      <c r="BE54" s="550"/>
      <c r="BF54" s="550"/>
      <c r="BG54" s="550"/>
      <c r="BH54" s="550"/>
      <c r="BI54" s="550"/>
      <c r="BJ54" s="550"/>
      <c r="BK54" s="550"/>
      <c r="BL54" s="550"/>
      <c r="BM54" s="550"/>
      <c r="BN54" s="550"/>
      <c r="BO54" s="550"/>
      <c r="BP54" s="550"/>
      <c r="BQ54" s="550"/>
      <c r="BR54" s="550"/>
      <c r="BS54" s="550"/>
      <c r="BT54" s="550"/>
      <c r="BU54" s="550"/>
      <c r="BV54" s="550"/>
      <c r="BW54" s="550"/>
      <c r="BX54" s="550"/>
      <c r="BY54" s="550"/>
      <c r="BZ54" s="550"/>
      <c r="CA54" s="550"/>
      <c r="CB54" s="550"/>
      <c r="CC54" s="550"/>
      <c r="CD54" s="550"/>
      <c r="CE54" s="550"/>
      <c r="CF54" s="550"/>
      <c r="CG54" s="550"/>
      <c r="CH54" s="550"/>
      <c r="CI54" s="550"/>
      <c r="CJ54" s="550"/>
      <c r="CK54" s="550"/>
      <c r="CL54" s="550"/>
      <c r="CM54" s="550"/>
      <c r="CN54" s="550"/>
      <c r="CO54" s="550"/>
      <c r="CP54" s="550"/>
      <c r="CQ54" s="550"/>
      <c r="CR54" s="550"/>
      <c r="CS54" s="550"/>
      <c r="CT54" s="550"/>
      <c r="CU54" s="550"/>
      <c r="CV54" s="550"/>
      <c r="CW54" s="550"/>
    </row>
    <row r="55" spans="1:101" x14ac:dyDescent="0.2">
      <c r="A55" s="344">
        <f>+SUBTOTAL(3,$E$8:$E55)</f>
        <v>48</v>
      </c>
      <c r="B55" s="555">
        <v>45292</v>
      </c>
      <c r="C55" s="347" t="s">
        <v>813</v>
      </c>
      <c r="D55" s="344" t="str">
        <f>+VLOOKUP(C55,'Visual chart Edit'!$B$7:$C$491,2,FALSE)</f>
        <v>DA+3</v>
      </c>
      <c r="E55" s="344" t="s">
        <v>276</v>
      </c>
      <c r="F55" s="551">
        <v>45307</v>
      </c>
      <c r="G55" s="551">
        <v>45309</v>
      </c>
      <c r="H55" s="552" t="s">
        <v>875</v>
      </c>
      <c r="I55" s="553" t="s">
        <v>1006</v>
      </c>
      <c r="J55" s="554">
        <f t="shared" si="0"/>
        <v>2</v>
      </c>
      <c r="K55" s="550"/>
      <c r="L55" s="550"/>
      <c r="M55" s="550"/>
      <c r="N55" s="550"/>
      <c r="O55" s="550"/>
      <c r="P55" s="550"/>
      <c r="Q55" s="550"/>
      <c r="R55" s="550"/>
      <c r="S55" s="550"/>
      <c r="T55" s="550"/>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0"/>
      <c r="AT55" s="550"/>
      <c r="AU55" s="550"/>
      <c r="AV55" s="550"/>
      <c r="AW55" s="550"/>
      <c r="AX55" s="550"/>
      <c r="AY55" s="550"/>
      <c r="AZ55" s="550"/>
      <c r="BA55" s="550"/>
      <c r="BB55" s="550"/>
      <c r="BC55" s="550"/>
      <c r="BD55" s="550"/>
      <c r="BE55" s="550"/>
      <c r="BF55" s="550"/>
      <c r="BG55" s="550"/>
      <c r="BH55" s="550"/>
      <c r="BI55" s="550"/>
      <c r="BJ55" s="550"/>
      <c r="BK55" s="550"/>
      <c r="BL55" s="550"/>
      <c r="BM55" s="550"/>
      <c r="BN55" s="550"/>
      <c r="BO55" s="550"/>
      <c r="BP55" s="550"/>
      <c r="BQ55" s="550"/>
      <c r="BR55" s="550"/>
      <c r="BS55" s="550"/>
      <c r="BT55" s="550"/>
      <c r="BU55" s="550"/>
      <c r="BV55" s="550"/>
      <c r="BW55" s="550"/>
      <c r="BX55" s="550"/>
      <c r="BY55" s="550"/>
      <c r="BZ55" s="550"/>
      <c r="CA55" s="550"/>
      <c r="CB55" s="550"/>
      <c r="CC55" s="550"/>
      <c r="CD55" s="550"/>
      <c r="CE55" s="550"/>
      <c r="CF55" s="550"/>
      <c r="CG55" s="550"/>
      <c r="CH55" s="550"/>
      <c r="CI55" s="550"/>
      <c r="CJ55" s="550"/>
      <c r="CK55" s="550"/>
      <c r="CL55" s="550"/>
      <c r="CM55" s="550"/>
      <c r="CN55" s="550"/>
      <c r="CO55" s="550"/>
      <c r="CP55" s="550"/>
      <c r="CQ55" s="550"/>
      <c r="CR55" s="550"/>
      <c r="CS55" s="550"/>
      <c r="CT55" s="550"/>
      <c r="CU55" s="550"/>
      <c r="CV55" s="550"/>
      <c r="CW55" s="550"/>
    </row>
    <row r="56" spans="1:101" x14ac:dyDescent="0.2">
      <c r="A56" s="344">
        <f>+SUBTOTAL(3,$E$8:$E56)</f>
        <v>49</v>
      </c>
      <c r="B56" s="555">
        <v>45292</v>
      </c>
      <c r="C56" s="347" t="s">
        <v>826</v>
      </c>
      <c r="D56" s="344" t="str">
        <f>+VLOOKUP(C56,'Visual chart Edit'!$B$7:$C$491,2,FALSE)</f>
        <v>DA+0</v>
      </c>
      <c r="E56" s="344" t="s">
        <v>276</v>
      </c>
      <c r="F56" s="551">
        <v>45307</v>
      </c>
      <c r="G56" s="551">
        <v>45309</v>
      </c>
      <c r="H56" s="552" t="s">
        <v>878</v>
      </c>
      <c r="I56" s="553" t="s">
        <v>1006</v>
      </c>
      <c r="J56" s="554">
        <f t="shared" si="0"/>
        <v>2</v>
      </c>
      <c r="K56" s="550"/>
      <c r="L56" s="550"/>
      <c r="M56" s="550"/>
      <c r="N56" s="550"/>
      <c r="O56" s="550"/>
      <c r="P56" s="550"/>
      <c r="Q56" s="550"/>
      <c r="R56" s="550"/>
      <c r="S56" s="550"/>
      <c r="T56" s="550"/>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50"/>
      <c r="AS56" s="550"/>
      <c r="AT56" s="550"/>
      <c r="AU56" s="550"/>
      <c r="AV56" s="550"/>
      <c r="AW56" s="550"/>
      <c r="AX56" s="550"/>
      <c r="AY56" s="550"/>
      <c r="AZ56" s="550"/>
      <c r="BA56" s="550"/>
      <c r="BB56" s="550"/>
      <c r="BC56" s="550"/>
      <c r="BD56" s="550"/>
      <c r="BE56" s="550"/>
      <c r="BF56" s="550"/>
      <c r="BG56" s="550"/>
      <c r="BH56" s="550"/>
      <c r="BI56" s="550"/>
      <c r="BJ56" s="550"/>
      <c r="BK56" s="550"/>
      <c r="BL56" s="550"/>
      <c r="BM56" s="550"/>
      <c r="BN56" s="550"/>
      <c r="BO56" s="550"/>
      <c r="BP56" s="550"/>
      <c r="BQ56" s="550"/>
      <c r="BR56" s="550"/>
      <c r="BS56" s="550"/>
      <c r="BT56" s="550"/>
      <c r="BU56" s="550"/>
      <c r="BV56" s="550"/>
      <c r="BW56" s="550"/>
      <c r="BX56" s="550"/>
      <c r="BY56" s="550"/>
      <c r="BZ56" s="550"/>
      <c r="CA56" s="550"/>
      <c r="CB56" s="550"/>
      <c r="CC56" s="550"/>
      <c r="CD56" s="550"/>
      <c r="CE56" s="550"/>
      <c r="CF56" s="550"/>
      <c r="CG56" s="550"/>
      <c r="CH56" s="550"/>
      <c r="CI56" s="550"/>
      <c r="CJ56" s="550"/>
      <c r="CK56" s="550"/>
      <c r="CL56" s="550"/>
      <c r="CM56" s="550"/>
      <c r="CN56" s="550"/>
      <c r="CO56" s="550"/>
      <c r="CP56" s="550"/>
      <c r="CQ56" s="550"/>
      <c r="CR56" s="550"/>
      <c r="CS56" s="550"/>
      <c r="CT56" s="550"/>
      <c r="CU56" s="550"/>
      <c r="CV56" s="550"/>
      <c r="CW56" s="550"/>
    </row>
    <row r="57" spans="1:101" x14ac:dyDescent="0.2">
      <c r="A57" s="344">
        <f>+SUBTOTAL(3,$E$8:$E57)</f>
        <v>50</v>
      </c>
      <c r="B57" s="555">
        <v>45292</v>
      </c>
      <c r="C57" s="347" t="s">
        <v>98</v>
      </c>
      <c r="D57" s="344" t="str">
        <f>+VLOOKUP(C57,'Visual chart Edit'!$B$7:$C$491,2,FALSE)</f>
        <v>DB2+0</v>
      </c>
      <c r="E57" s="344" t="s">
        <v>276</v>
      </c>
      <c r="F57" s="551">
        <v>45308</v>
      </c>
      <c r="G57" s="551">
        <v>45310</v>
      </c>
      <c r="H57" s="552" t="s">
        <v>874</v>
      </c>
      <c r="I57" s="553" t="s">
        <v>1024</v>
      </c>
      <c r="J57" s="554">
        <f t="shared" si="0"/>
        <v>2</v>
      </c>
      <c r="K57" s="550"/>
      <c r="L57" s="550"/>
      <c r="M57" s="550"/>
      <c r="N57" s="550"/>
      <c r="O57" s="550"/>
      <c r="P57" s="550"/>
      <c r="Q57" s="550"/>
      <c r="R57" s="550"/>
      <c r="S57" s="550"/>
      <c r="T57" s="550"/>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50"/>
      <c r="AS57" s="550"/>
      <c r="AT57" s="550"/>
      <c r="AU57" s="550"/>
      <c r="AV57" s="550"/>
      <c r="AW57" s="550"/>
      <c r="AX57" s="550"/>
      <c r="AY57" s="550"/>
      <c r="AZ57" s="550"/>
      <c r="BA57" s="550"/>
      <c r="BB57" s="550"/>
      <c r="BC57" s="550"/>
      <c r="BD57" s="550"/>
      <c r="BE57" s="550"/>
      <c r="BF57" s="550"/>
      <c r="BG57" s="550"/>
      <c r="BH57" s="550"/>
      <c r="BI57" s="550"/>
      <c r="BJ57" s="550"/>
      <c r="BK57" s="550"/>
      <c r="BL57" s="550"/>
      <c r="BM57" s="550"/>
      <c r="BN57" s="550"/>
      <c r="BO57" s="550"/>
      <c r="BP57" s="550"/>
      <c r="BQ57" s="550"/>
      <c r="BR57" s="550"/>
      <c r="BS57" s="550"/>
      <c r="BT57" s="550"/>
      <c r="BU57" s="550"/>
      <c r="BV57" s="550"/>
      <c r="BW57" s="550"/>
      <c r="BX57" s="550"/>
      <c r="BY57" s="550"/>
      <c r="BZ57" s="550"/>
      <c r="CA57" s="550"/>
      <c r="CB57" s="550"/>
      <c r="CC57" s="550"/>
      <c r="CD57" s="550"/>
      <c r="CE57" s="550"/>
      <c r="CF57" s="550"/>
      <c r="CG57" s="550"/>
      <c r="CH57" s="550"/>
      <c r="CI57" s="550"/>
      <c r="CJ57" s="550"/>
      <c r="CK57" s="550"/>
      <c r="CL57" s="550"/>
      <c r="CM57" s="550"/>
      <c r="CN57" s="550"/>
      <c r="CO57" s="550"/>
      <c r="CP57" s="550"/>
      <c r="CQ57" s="550"/>
      <c r="CR57" s="550"/>
      <c r="CS57" s="550"/>
      <c r="CT57" s="550"/>
      <c r="CU57" s="550"/>
      <c r="CV57" s="550"/>
      <c r="CW57" s="550"/>
    </row>
    <row r="58" spans="1:101" x14ac:dyDescent="0.2">
      <c r="A58" s="344">
        <f>+SUBTOTAL(3,$E$8:$E58)</f>
        <v>51</v>
      </c>
      <c r="B58" s="555">
        <v>45292</v>
      </c>
      <c r="C58" s="347" t="s">
        <v>797</v>
      </c>
      <c r="D58" s="344" t="str">
        <f>+VLOOKUP(C58,'Visual chart Edit'!$B$7:$C$491,2,FALSE)</f>
        <v>DA+3</v>
      </c>
      <c r="E58" s="344" t="s">
        <v>32</v>
      </c>
      <c r="F58" s="551">
        <v>45309</v>
      </c>
      <c r="G58" s="551">
        <v>45310</v>
      </c>
      <c r="H58" s="552" t="s">
        <v>236</v>
      </c>
      <c r="I58" s="553" t="s">
        <v>1006</v>
      </c>
      <c r="J58" s="554">
        <f t="shared" si="0"/>
        <v>1</v>
      </c>
      <c r="K58" s="550"/>
      <c r="L58" s="550"/>
      <c r="M58" s="550"/>
      <c r="N58" s="550"/>
      <c r="O58" s="550"/>
      <c r="P58" s="550"/>
      <c r="Q58" s="550"/>
      <c r="R58" s="550"/>
      <c r="S58" s="550"/>
      <c r="T58" s="550"/>
      <c r="U58" s="550"/>
      <c r="V58" s="550"/>
      <c r="W58" s="550"/>
      <c r="X58" s="550"/>
      <c r="Y58" s="550"/>
      <c r="Z58" s="550"/>
      <c r="AA58" s="550"/>
      <c r="AB58" s="550"/>
      <c r="AC58" s="550"/>
      <c r="AD58" s="550"/>
      <c r="AE58" s="550"/>
      <c r="AF58" s="550"/>
      <c r="AG58" s="550"/>
      <c r="AH58" s="550"/>
      <c r="AI58" s="550"/>
      <c r="AJ58" s="550"/>
      <c r="AK58" s="550"/>
      <c r="AL58" s="550"/>
      <c r="AM58" s="550"/>
      <c r="AN58" s="550"/>
      <c r="AO58" s="550"/>
      <c r="AP58" s="550"/>
      <c r="AQ58" s="550"/>
      <c r="AR58" s="550"/>
      <c r="AS58" s="550"/>
      <c r="AT58" s="550"/>
      <c r="AU58" s="550"/>
      <c r="AV58" s="550"/>
      <c r="AW58" s="550"/>
      <c r="AX58" s="550"/>
      <c r="AY58" s="550"/>
      <c r="AZ58" s="550"/>
      <c r="BA58" s="550"/>
      <c r="BB58" s="550"/>
      <c r="BC58" s="550"/>
      <c r="BD58" s="550"/>
      <c r="BE58" s="550"/>
      <c r="BF58" s="550"/>
      <c r="BG58" s="550"/>
      <c r="BH58" s="550"/>
      <c r="BI58" s="550"/>
      <c r="BJ58" s="550"/>
      <c r="BK58" s="550"/>
      <c r="BL58" s="550"/>
      <c r="BM58" s="550"/>
      <c r="BN58" s="550"/>
      <c r="BO58" s="550"/>
      <c r="BP58" s="550"/>
      <c r="BQ58" s="550"/>
      <c r="BR58" s="550"/>
      <c r="BS58" s="550"/>
      <c r="BT58" s="550"/>
      <c r="BU58" s="550"/>
      <c r="BV58" s="550"/>
      <c r="BW58" s="550"/>
      <c r="BX58" s="550"/>
      <c r="BY58" s="550"/>
      <c r="BZ58" s="550"/>
      <c r="CA58" s="550"/>
      <c r="CB58" s="550"/>
      <c r="CC58" s="550"/>
      <c r="CD58" s="550"/>
      <c r="CE58" s="550"/>
      <c r="CF58" s="550"/>
      <c r="CG58" s="550"/>
      <c r="CH58" s="550"/>
      <c r="CI58" s="550"/>
      <c r="CJ58" s="550"/>
      <c r="CK58" s="550"/>
      <c r="CL58" s="550"/>
      <c r="CM58" s="550"/>
      <c r="CN58" s="550"/>
      <c r="CO58" s="550"/>
      <c r="CP58" s="550"/>
      <c r="CQ58" s="550"/>
      <c r="CR58" s="550"/>
      <c r="CS58" s="550"/>
      <c r="CT58" s="550"/>
      <c r="CU58" s="550"/>
      <c r="CV58" s="550"/>
      <c r="CW58" s="550"/>
    </row>
    <row r="59" spans="1:101" x14ac:dyDescent="0.2">
      <c r="A59" s="344">
        <f>+SUBTOTAL(3,$E$8:$E59)</f>
        <v>52</v>
      </c>
      <c r="B59" s="555">
        <v>45292</v>
      </c>
      <c r="C59" s="347" t="s">
        <v>825</v>
      </c>
      <c r="D59" s="344" t="str">
        <f>+VLOOKUP(C59,'Visual chart Edit'!$B$7:$C$491,2,FALSE)</f>
        <v>DA+0</v>
      </c>
      <c r="E59" s="344" t="s">
        <v>276</v>
      </c>
      <c r="F59" s="551">
        <v>45311</v>
      </c>
      <c r="G59" s="551">
        <v>45312</v>
      </c>
      <c r="H59" s="552" t="s">
        <v>878</v>
      </c>
      <c r="I59" s="553" t="s">
        <v>1006</v>
      </c>
      <c r="J59" s="554">
        <f t="shared" si="0"/>
        <v>1</v>
      </c>
      <c r="K59" s="550"/>
      <c r="L59" s="550"/>
      <c r="M59" s="550"/>
      <c r="N59" s="550"/>
      <c r="O59" s="550"/>
      <c r="P59" s="550"/>
      <c r="Q59" s="550"/>
      <c r="R59" s="550"/>
      <c r="S59" s="550"/>
      <c r="T59" s="550"/>
      <c r="U59" s="550"/>
      <c r="V59" s="550"/>
      <c r="W59" s="550"/>
      <c r="X59" s="550"/>
      <c r="Y59" s="550"/>
      <c r="Z59" s="550"/>
      <c r="AA59" s="550"/>
      <c r="AB59" s="550"/>
      <c r="AC59" s="550"/>
      <c r="AD59" s="550"/>
      <c r="AE59" s="550"/>
      <c r="AF59" s="550"/>
      <c r="AG59" s="550"/>
      <c r="AH59" s="550"/>
      <c r="AI59" s="550"/>
      <c r="AJ59" s="550"/>
      <c r="AK59" s="550"/>
      <c r="AL59" s="550"/>
      <c r="AM59" s="550"/>
      <c r="AN59" s="550"/>
      <c r="AO59" s="550"/>
      <c r="AP59" s="550"/>
      <c r="AQ59" s="550"/>
      <c r="AR59" s="550"/>
      <c r="AS59" s="550"/>
      <c r="AT59" s="550"/>
      <c r="AU59" s="550"/>
      <c r="AV59" s="550"/>
      <c r="AW59" s="550"/>
      <c r="AX59" s="550"/>
      <c r="AY59" s="550"/>
      <c r="AZ59" s="550"/>
      <c r="BA59" s="550"/>
      <c r="BB59" s="550"/>
      <c r="BC59" s="550"/>
      <c r="BD59" s="550"/>
      <c r="BE59" s="550"/>
      <c r="BF59" s="550"/>
      <c r="BG59" s="550"/>
      <c r="BH59" s="550"/>
      <c r="BI59" s="550"/>
      <c r="BJ59" s="550"/>
      <c r="BK59" s="550"/>
      <c r="BL59" s="550"/>
      <c r="BM59" s="550"/>
      <c r="BN59" s="550"/>
      <c r="BO59" s="550"/>
      <c r="BP59" s="550"/>
      <c r="BQ59" s="550"/>
      <c r="BR59" s="550"/>
      <c r="BS59" s="550"/>
      <c r="BT59" s="550"/>
      <c r="BU59" s="550"/>
      <c r="BV59" s="550"/>
      <c r="BW59" s="550"/>
      <c r="BX59" s="550"/>
      <c r="BY59" s="550"/>
      <c r="BZ59" s="550"/>
      <c r="CA59" s="550"/>
      <c r="CB59" s="550"/>
      <c r="CC59" s="550"/>
      <c r="CD59" s="550"/>
      <c r="CE59" s="550"/>
      <c r="CF59" s="550"/>
      <c r="CG59" s="550"/>
      <c r="CH59" s="550"/>
      <c r="CI59" s="550"/>
      <c r="CJ59" s="550"/>
      <c r="CK59" s="550"/>
      <c r="CL59" s="550"/>
      <c r="CM59" s="550"/>
      <c r="CN59" s="550"/>
      <c r="CO59" s="550"/>
      <c r="CP59" s="550"/>
      <c r="CQ59" s="550"/>
      <c r="CR59" s="550"/>
      <c r="CS59" s="550"/>
      <c r="CT59" s="550"/>
      <c r="CU59" s="550"/>
      <c r="CV59" s="550"/>
      <c r="CW59" s="550"/>
    </row>
    <row r="60" spans="1:101" x14ac:dyDescent="0.2">
      <c r="A60" s="344">
        <f>+SUBTOTAL(3,$E$8:$E60)</f>
        <v>53</v>
      </c>
      <c r="B60" s="555">
        <v>45292</v>
      </c>
      <c r="C60" s="347" t="s">
        <v>810</v>
      </c>
      <c r="D60" s="344" t="str">
        <f>+VLOOKUP(C60,'Visual chart Edit'!$B$7:$C$491,2,FALSE)</f>
        <v>DA+3</v>
      </c>
      <c r="E60" s="344" t="s">
        <v>276</v>
      </c>
      <c r="F60" s="551">
        <v>45311</v>
      </c>
      <c r="G60" s="551">
        <v>45312</v>
      </c>
      <c r="H60" s="552" t="s">
        <v>875</v>
      </c>
      <c r="I60" s="553" t="s">
        <v>1006</v>
      </c>
      <c r="J60" s="554">
        <f t="shared" si="0"/>
        <v>1</v>
      </c>
      <c r="K60" s="550"/>
      <c r="L60" s="550"/>
      <c r="M60" s="550"/>
      <c r="N60" s="550"/>
      <c r="O60" s="550"/>
      <c r="P60" s="550"/>
      <c r="Q60" s="550"/>
      <c r="R60" s="550"/>
      <c r="S60" s="550"/>
      <c r="T60" s="550"/>
      <c r="U60" s="550"/>
      <c r="V60" s="550"/>
      <c r="W60" s="550"/>
      <c r="X60" s="550"/>
      <c r="Y60" s="550"/>
      <c r="Z60" s="550"/>
      <c r="AA60" s="550"/>
      <c r="AB60" s="550"/>
      <c r="AC60" s="550"/>
      <c r="AD60" s="550"/>
      <c r="AE60" s="550"/>
      <c r="AF60" s="550"/>
      <c r="AG60" s="550"/>
      <c r="AH60" s="550"/>
      <c r="AI60" s="550"/>
      <c r="AJ60" s="550"/>
      <c r="AK60" s="550"/>
      <c r="AL60" s="550"/>
      <c r="AM60" s="550"/>
      <c r="AN60" s="550"/>
      <c r="AO60" s="550"/>
      <c r="AP60" s="550"/>
      <c r="AQ60" s="550"/>
      <c r="AR60" s="550"/>
      <c r="AS60" s="550"/>
      <c r="AT60" s="550"/>
      <c r="AU60" s="550"/>
      <c r="AV60" s="550"/>
      <c r="AW60" s="550"/>
      <c r="AX60" s="550"/>
      <c r="AY60" s="550"/>
      <c r="AZ60" s="550"/>
      <c r="BA60" s="550"/>
      <c r="BB60" s="550"/>
      <c r="BC60" s="550"/>
      <c r="BD60" s="550"/>
      <c r="BE60" s="550"/>
      <c r="BF60" s="550"/>
      <c r="BG60" s="550"/>
      <c r="BH60" s="550"/>
      <c r="BI60" s="550"/>
      <c r="BJ60" s="550"/>
      <c r="BK60" s="550"/>
      <c r="BL60" s="550"/>
      <c r="BM60" s="550"/>
      <c r="BN60" s="550"/>
      <c r="BO60" s="550"/>
      <c r="BP60" s="550"/>
      <c r="BQ60" s="550"/>
      <c r="BR60" s="550"/>
      <c r="BS60" s="550"/>
      <c r="BT60" s="550"/>
      <c r="BU60" s="550"/>
      <c r="BV60" s="550"/>
      <c r="BW60" s="550"/>
      <c r="BX60" s="550"/>
      <c r="BY60" s="550"/>
      <c r="BZ60" s="550"/>
      <c r="CA60" s="550"/>
      <c r="CB60" s="550"/>
      <c r="CC60" s="550"/>
      <c r="CD60" s="550"/>
      <c r="CE60" s="550"/>
      <c r="CF60" s="550"/>
      <c r="CG60" s="550"/>
      <c r="CH60" s="550"/>
      <c r="CI60" s="550"/>
      <c r="CJ60" s="550"/>
      <c r="CK60" s="550"/>
      <c r="CL60" s="550"/>
      <c r="CM60" s="550"/>
      <c r="CN60" s="550"/>
      <c r="CO60" s="550"/>
      <c r="CP60" s="550"/>
      <c r="CQ60" s="550"/>
      <c r="CR60" s="550"/>
      <c r="CS60" s="550"/>
      <c r="CT60" s="550"/>
      <c r="CU60" s="550"/>
      <c r="CV60" s="550"/>
      <c r="CW60" s="550"/>
    </row>
    <row r="61" spans="1:101" x14ac:dyDescent="0.2">
      <c r="A61" s="344">
        <f>+SUBTOTAL(3,$E$8:$E61)</f>
        <v>54</v>
      </c>
      <c r="B61" s="555">
        <v>45292</v>
      </c>
      <c r="C61" s="347" t="s">
        <v>752</v>
      </c>
      <c r="D61" s="344" t="str">
        <f>+VLOOKUP(C61,'Visual chart Edit'!$B$7:$C$491,2,FALSE)</f>
        <v>DA+3</v>
      </c>
      <c r="E61" s="344" t="s">
        <v>143</v>
      </c>
      <c r="F61" s="551">
        <v>45309</v>
      </c>
      <c r="G61" s="551">
        <v>45312</v>
      </c>
      <c r="H61" s="552" t="s">
        <v>1009</v>
      </c>
      <c r="I61" s="553" t="s">
        <v>1024</v>
      </c>
      <c r="J61" s="554">
        <f t="shared" si="0"/>
        <v>3</v>
      </c>
      <c r="K61" s="550"/>
      <c r="L61" s="550"/>
      <c r="M61" s="550"/>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0"/>
      <c r="AT61" s="550"/>
      <c r="AU61" s="550"/>
      <c r="AV61" s="550"/>
      <c r="AW61" s="550"/>
      <c r="AX61" s="550"/>
      <c r="AY61" s="550"/>
      <c r="AZ61" s="550"/>
      <c r="BA61" s="550"/>
      <c r="BB61" s="550"/>
      <c r="BC61" s="550"/>
      <c r="BD61" s="550"/>
      <c r="BE61" s="550"/>
      <c r="BF61" s="550"/>
      <c r="BG61" s="550"/>
      <c r="BH61" s="550"/>
      <c r="BI61" s="550"/>
      <c r="BJ61" s="550"/>
      <c r="BK61" s="550"/>
      <c r="BL61" s="550"/>
      <c r="BM61" s="550"/>
      <c r="BN61" s="550"/>
      <c r="BO61" s="550"/>
      <c r="BP61" s="550"/>
      <c r="BQ61" s="550"/>
      <c r="BR61" s="550"/>
      <c r="BS61" s="550"/>
      <c r="BT61" s="550"/>
      <c r="BU61" s="550"/>
      <c r="BV61" s="550"/>
      <c r="BW61" s="550"/>
      <c r="BX61" s="550"/>
      <c r="BY61" s="550"/>
      <c r="BZ61" s="550"/>
      <c r="CA61" s="550"/>
      <c r="CB61" s="550"/>
      <c r="CC61" s="550"/>
      <c r="CD61" s="550"/>
      <c r="CE61" s="550"/>
      <c r="CF61" s="550"/>
      <c r="CG61" s="550"/>
      <c r="CH61" s="550"/>
      <c r="CI61" s="550"/>
      <c r="CJ61" s="550"/>
      <c r="CK61" s="550"/>
      <c r="CL61" s="550"/>
      <c r="CM61" s="550"/>
      <c r="CN61" s="550"/>
      <c r="CO61" s="550"/>
      <c r="CP61" s="550"/>
      <c r="CQ61" s="550"/>
      <c r="CR61" s="550"/>
      <c r="CS61" s="550"/>
      <c r="CT61" s="550"/>
      <c r="CU61" s="550"/>
      <c r="CV61" s="550"/>
      <c r="CW61" s="550"/>
    </row>
    <row r="62" spans="1:101" x14ac:dyDescent="0.2">
      <c r="A62" s="344">
        <f>+SUBTOTAL(3,$E$8:$E62)</f>
        <v>55</v>
      </c>
      <c r="B62" s="555">
        <v>45292</v>
      </c>
      <c r="C62" s="347" t="s">
        <v>800</v>
      </c>
      <c r="D62" s="344" t="str">
        <f>+VLOOKUP(C62,'Visual chart Edit'!$B$7:$C$491,2,FALSE)</f>
        <v>DA+3</v>
      </c>
      <c r="E62" s="344" t="s">
        <v>32</v>
      </c>
      <c r="F62" s="551">
        <v>45312</v>
      </c>
      <c r="G62" s="551">
        <v>45314</v>
      </c>
      <c r="H62" s="552" t="s">
        <v>236</v>
      </c>
      <c r="I62" s="553" t="s">
        <v>1006</v>
      </c>
      <c r="J62" s="554">
        <f t="shared" si="0"/>
        <v>2</v>
      </c>
      <c r="K62" s="550"/>
      <c r="L62" s="550"/>
      <c r="M62" s="550"/>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50"/>
      <c r="AS62" s="550"/>
      <c r="AT62" s="550"/>
      <c r="AU62" s="550"/>
      <c r="AV62" s="550"/>
      <c r="AW62" s="550"/>
      <c r="AX62" s="550"/>
      <c r="AY62" s="550"/>
      <c r="AZ62" s="550"/>
      <c r="BA62" s="550"/>
      <c r="BB62" s="550"/>
      <c r="BC62" s="550"/>
      <c r="BD62" s="550"/>
      <c r="BE62" s="550"/>
      <c r="BF62" s="550"/>
      <c r="BG62" s="550"/>
      <c r="BH62" s="550"/>
      <c r="BI62" s="550"/>
      <c r="BJ62" s="550"/>
      <c r="BK62" s="550"/>
      <c r="BL62" s="550"/>
      <c r="BM62" s="550"/>
      <c r="BN62" s="550"/>
      <c r="BO62" s="550"/>
      <c r="BP62" s="550"/>
      <c r="BQ62" s="550"/>
      <c r="BR62" s="550"/>
      <c r="BS62" s="550"/>
      <c r="BT62" s="550"/>
      <c r="BU62" s="550"/>
      <c r="BV62" s="550"/>
      <c r="BW62" s="550"/>
      <c r="BX62" s="550"/>
      <c r="BY62" s="550"/>
      <c r="BZ62" s="550"/>
      <c r="CA62" s="550"/>
      <c r="CB62" s="550"/>
      <c r="CC62" s="550"/>
      <c r="CD62" s="550"/>
      <c r="CE62" s="550"/>
      <c r="CF62" s="550"/>
      <c r="CG62" s="550"/>
      <c r="CH62" s="550"/>
      <c r="CI62" s="550"/>
      <c r="CJ62" s="550"/>
      <c r="CK62" s="550"/>
      <c r="CL62" s="550"/>
      <c r="CM62" s="550"/>
      <c r="CN62" s="550"/>
      <c r="CO62" s="550"/>
      <c r="CP62" s="550"/>
      <c r="CQ62" s="550"/>
      <c r="CR62" s="550"/>
      <c r="CS62" s="550"/>
      <c r="CT62" s="550"/>
      <c r="CU62" s="550"/>
      <c r="CV62" s="550"/>
      <c r="CW62" s="550"/>
    </row>
    <row r="63" spans="1:101" x14ac:dyDescent="0.2">
      <c r="A63" s="344">
        <f>+SUBTOTAL(3,$E$8:$E63)</f>
        <v>56</v>
      </c>
      <c r="B63" s="555">
        <v>45292</v>
      </c>
      <c r="C63" s="347" t="s">
        <v>817</v>
      </c>
      <c r="D63" s="344" t="str">
        <f>+VLOOKUP(C63,'Visual chart Edit'!$B$7:$C$491,2,FALSE)</f>
        <v>DA+3</v>
      </c>
      <c r="E63" s="344" t="s">
        <v>276</v>
      </c>
      <c r="F63" s="551">
        <v>45313</v>
      </c>
      <c r="G63" s="551">
        <v>45315</v>
      </c>
      <c r="H63" s="552" t="s">
        <v>877</v>
      </c>
      <c r="I63" s="553" t="s">
        <v>1006</v>
      </c>
      <c r="J63" s="554">
        <f t="shared" si="0"/>
        <v>2</v>
      </c>
      <c r="K63" s="550"/>
      <c r="L63" s="550"/>
      <c r="M63" s="550"/>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50"/>
      <c r="AS63" s="550"/>
      <c r="AT63" s="550"/>
      <c r="AU63" s="550"/>
      <c r="AV63" s="550"/>
      <c r="AW63" s="550"/>
      <c r="AX63" s="550"/>
      <c r="AY63" s="550"/>
      <c r="AZ63" s="550"/>
      <c r="BA63" s="550"/>
      <c r="BB63" s="550"/>
      <c r="BC63" s="550"/>
      <c r="BD63" s="550"/>
      <c r="BE63" s="550"/>
      <c r="BF63" s="550"/>
      <c r="BG63" s="550"/>
      <c r="BH63" s="550"/>
      <c r="BI63" s="550"/>
      <c r="BJ63" s="550"/>
      <c r="BK63" s="550"/>
      <c r="BL63" s="550"/>
      <c r="BM63" s="550"/>
      <c r="BN63" s="550"/>
      <c r="BO63" s="550"/>
      <c r="BP63" s="550"/>
      <c r="BQ63" s="550"/>
      <c r="BR63" s="550"/>
      <c r="BS63" s="550"/>
      <c r="BT63" s="550"/>
      <c r="BU63" s="550"/>
      <c r="BV63" s="550"/>
      <c r="BW63" s="550"/>
      <c r="BX63" s="550"/>
      <c r="BY63" s="550"/>
      <c r="BZ63" s="550"/>
      <c r="CA63" s="550"/>
      <c r="CB63" s="550"/>
      <c r="CC63" s="550"/>
      <c r="CD63" s="550"/>
      <c r="CE63" s="550"/>
      <c r="CF63" s="550"/>
      <c r="CG63" s="550"/>
      <c r="CH63" s="550"/>
      <c r="CI63" s="550"/>
      <c r="CJ63" s="550"/>
      <c r="CK63" s="550"/>
      <c r="CL63" s="550"/>
      <c r="CM63" s="550"/>
      <c r="CN63" s="550"/>
      <c r="CO63" s="550"/>
      <c r="CP63" s="550"/>
      <c r="CQ63" s="550"/>
      <c r="CR63" s="550"/>
      <c r="CS63" s="550"/>
      <c r="CT63" s="550"/>
      <c r="CU63" s="550"/>
      <c r="CV63" s="550"/>
      <c r="CW63" s="550"/>
    </row>
    <row r="64" spans="1:101" x14ac:dyDescent="0.2">
      <c r="A64" s="344">
        <f>+SUBTOTAL(3,$E$8:$E64)</f>
        <v>57</v>
      </c>
      <c r="B64" s="555">
        <v>45292</v>
      </c>
      <c r="C64" s="347" t="s">
        <v>778</v>
      </c>
      <c r="D64" s="344" t="str">
        <f>+VLOOKUP(C64,'Visual chart Edit'!$B$7:$C$491,2,FALSE)</f>
        <v>DA+3</v>
      </c>
      <c r="E64" s="344" t="s">
        <v>276</v>
      </c>
      <c r="F64" s="551">
        <v>45314</v>
      </c>
      <c r="G64" s="551">
        <v>45315</v>
      </c>
      <c r="H64" s="552" t="s">
        <v>874</v>
      </c>
      <c r="I64" s="553" t="s">
        <v>1024</v>
      </c>
      <c r="J64" s="554">
        <f t="shared" si="0"/>
        <v>1</v>
      </c>
      <c r="K64" s="550"/>
      <c r="L64" s="550"/>
      <c r="M64" s="550"/>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50"/>
      <c r="AQ64" s="550"/>
      <c r="AR64" s="550"/>
      <c r="AS64" s="550"/>
      <c r="AT64" s="550"/>
      <c r="AU64" s="550"/>
      <c r="AV64" s="550"/>
      <c r="AW64" s="550"/>
      <c r="AX64" s="550"/>
      <c r="AY64" s="550"/>
      <c r="AZ64" s="550"/>
      <c r="BA64" s="550"/>
      <c r="BB64" s="550"/>
      <c r="BC64" s="550"/>
      <c r="BD64" s="550"/>
      <c r="BE64" s="550"/>
      <c r="BF64" s="550"/>
      <c r="BG64" s="550"/>
      <c r="BH64" s="550"/>
      <c r="BI64" s="550"/>
      <c r="BJ64" s="550"/>
      <c r="BK64" s="550"/>
      <c r="BL64" s="550"/>
      <c r="BM64" s="550"/>
      <c r="BN64" s="550"/>
      <c r="BO64" s="550"/>
      <c r="BP64" s="550"/>
      <c r="BQ64" s="550"/>
      <c r="BR64" s="550"/>
      <c r="BS64" s="550"/>
      <c r="BT64" s="550"/>
      <c r="BU64" s="550"/>
      <c r="BV64" s="550"/>
      <c r="BW64" s="550"/>
      <c r="BX64" s="550"/>
      <c r="BY64" s="550"/>
      <c r="BZ64" s="550"/>
      <c r="CA64" s="550"/>
      <c r="CB64" s="550"/>
      <c r="CC64" s="550"/>
      <c r="CD64" s="550"/>
      <c r="CE64" s="550"/>
      <c r="CF64" s="550"/>
      <c r="CG64" s="550"/>
      <c r="CH64" s="550"/>
      <c r="CI64" s="550"/>
      <c r="CJ64" s="550"/>
      <c r="CK64" s="550"/>
      <c r="CL64" s="550"/>
      <c r="CM64" s="550"/>
      <c r="CN64" s="550"/>
      <c r="CO64" s="550"/>
      <c r="CP64" s="550"/>
      <c r="CQ64" s="550"/>
      <c r="CR64" s="550"/>
      <c r="CS64" s="550"/>
      <c r="CT64" s="550"/>
      <c r="CU64" s="550"/>
      <c r="CV64" s="550"/>
      <c r="CW64" s="550"/>
    </row>
    <row r="65" spans="1:101" x14ac:dyDescent="0.2">
      <c r="A65" s="344">
        <f>+SUBTOTAL(3,$E$8:$E65)</f>
        <v>58</v>
      </c>
      <c r="B65" s="555">
        <v>45292</v>
      </c>
      <c r="C65" s="347" t="s">
        <v>824</v>
      </c>
      <c r="D65" s="344" t="str">
        <f>+VLOOKUP(C65,'Visual chart Edit'!$B$7:$C$491,2,FALSE)</f>
        <v>DA+0</v>
      </c>
      <c r="E65" s="344" t="s">
        <v>276</v>
      </c>
      <c r="F65" s="551">
        <v>45314</v>
      </c>
      <c r="G65" s="551">
        <v>45315</v>
      </c>
      <c r="H65" s="552" t="s">
        <v>878</v>
      </c>
      <c r="I65" s="553" t="s">
        <v>1006</v>
      </c>
      <c r="J65" s="554">
        <f t="shared" si="0"/>
        <v>1</v>
      </c>
      <c r="K65" s="550"/>
      <c r="L65" s="550"/>
      <c r="M65" s="550"/>
      <c r="N65" s="550"/>
      <c r="O65" s="550"/>
      <c r="P65" s="550"/>
      <c r="Q65" s="550"/>
      <c r="R65" s="550"/>
      <c r="S65" s="550"/>
      <c r="T65" s="550"/>
      <c r="U65" s="550"/>
      <c r="V65" s="550"/>
      <c r="W65" s="550"/>
      <c r="X65" s="550"/>
      <c r="Y65" s="550"/>
      <c r="Z65" s="550"/>
      <c r="AA65" s="550"/>
      <c r="AB65" s="550"/>
      <c r="AC65" s="550"/>
      <c r="AD65" s="550"/>
      <c r="AE65" s="550"/>
      <c r="AF65" s="550"/>
      <c r="AG65" s="550"/>
      <c r="AH65" s="550"/>
      <c r="AI65" s="550"/>
      <c r="AJ65" s="550"/>
      <c r="AK65" s="550"/>
      <c r="AL65" s="550"/>
      <c r="AM65" s="550"/>
      <c r="AN65" s="550"/>
      <c r="AO65" s="550"/>
      <c r="AP65" s="550"/>
      <c r="AQ65" s="550"/>
      <c r="AR65" s="550"/>
      <c r="AS65" s="550"/>
      <c r="AT65" s="550"/>
      <c r="AU65" s="550"/>
      <c r="AV65" s="550"/>
      <c r="AW65" s="550"/>
      <c r="AX65" s="550"/>
      <c r="AY65" s="550"/>
      <c r="AZ65" s="550"/>
      <c r="BA65" s="550"/>
      <c r="BB65" s="550"/>
      <c r="BC65" s="550"/>
      <c r="BD65" s="550"/>
      <c r="BE65" s="550"/>
      <c r="BF65" s="550"/>
      <c r="BG65" s="550"/>
      <c r="BH65" s="550"/>
      <c r="BI65" s="550"/>
      <c r="BJ65" s="550"/>
      <c r="BK65" s="550"/>
      <c r="BL65" s="550"/>
      <c r="BM65" s="550"/>
      <c r="BN65" s="550"/>
      <c r="BO65" s="550"/>
      <c r="BP65" s="550"/>
      <c r="BQ65" s="550"/>
      <c r="BR65" s="550"/>
      <c r="BS65" s="550"/>
      <c r="BT65" s="550"/>
      <c r="BU65" s="550"/>
      <c r="BV65" s="550"/>
      <c r="BW65" s="550"/>
      <c r="BX65" s="550"/>
      <c r="BY65" s="550"/>
      <c r="BZ65" s="550"/>
      <c r="CA65" s="550"/>
      <c r="CB65" s="550"/>
      <c r="CC65" s="550"/>
      <c r="CD65" s="550"/>
      <c r="CE65" s="550"/>
      <c r="CF65" s="550"/>
      <c r="CG65" s="550"/>
      <c r="CH65" s="550"/>
      <c r="CI65" s="550"/>
      <c r="CJ65" s="550"/>
      <c r="CK65" s="550"/>
      <c r="CL65" s="550"/>
      <c r="CM65" s="550"/>
      <c r="CN65" s="550"/>
      <c r="CO65" s="550"/>
      <c r="CP65" s="550"/>
      <c r="CQ65" s="550"/>
      <c r="CR65" s="550"/>
      <c r="CS65" s="550"/>
      <c r="CT65" s="550"/>
      <c r="CU65" s="550"/>
      <c r="CV65" s="550"/>
      <c r="CW65" s="550"/>
    </row>
    <row r="66" spans="1:101" x14ac:dyDescent="0.2">
      <c r="A66" s="344">
        <f>+SUBTOTAL(3,$E$8:$E66)</f>
        <v>59</v>
      </c>
      <c r="B66" s="555">
        <v>45292</v>
      </c>
      <c r="C66" s="347" t="s">
        <v>806</v>
      </c>
      <c r="D66" s="344" t="str">
        <f>+VLOOKUP(C66,'Visual chart Edit'!$B$7:$C$491,2,FALSE)</f>
        <v>DA+3</v>
      </c>
      <c r="E66" s="344" t="s">
        <v>276</v>
      </c>
      <c r="F66" s="551">
        <v>45315</v>
      </c>
      <c r="G66" s="551">
        <v>45316</v>
      </c>
      <c r="H66" s="552" t="s">
        <v>875</v>
      </c>
      <c r="I66" s="553" t="s">
        <v>1006</v>
      </c>
      <c r="J66" s="554">
        <f t="shared" si="0"/>
        <v>1</v>
      </c>
      <c r="K66" s="550"/>
      <c r="L66" s="550"/>
      <c r="M66" s="550"/>
      <c r="N66" s="550"/>
      <c r="O66" s="550"/>
      <c r="P66" s="550"/>
      <c r="Q66" s="550"/>
      <c r="R66" s="550"/>
      <c r="S66" s="550"/>
      <c r="T66" s="550"/>
      <c r="U66" s="550"/>
      <c r="V66" s="550"/>
      <c r="W66" s="550"/>
      <c r="X66" s="550"/>
      <c r="Y66" s="550"/>
      <c r="Z66" s="550"/>
      <c r="AA66" s="550"/>
      <c r="AB66" s="550"/>
      <c r="AC66" s="550"/>
      <c r="AD66" s="550"/>
      <c r="AE66" s="550"/>
      <c r="AF66" s="550"/>
      <c r="AG66" s="550"/>
      <c r="AH66" s="550"/>
      <c r="AI66" s="550"/>
      <c r="AJ66" s="550"/>
      <c r="AK66" s="550"/>
      <c r="AL66" s="550"/>
      <c r="AM66" s="550"/>
      <c r="AN66" s="550"/>
      <c r="AO66" s="550"/>
      <c r="AP66" s="550"/>
      <c r="AQ66" s="550"/>
      <c r="AR66" s="550"/>
      <c r="AS66" s="550"/>
      <c r="AT66" s="550"/>
      <c r="AU66" s="550"/>
      <c r="AV66" s="550"/>
      <c r="AW66" s="550"/>
      <c r="AX66" s="550"/>
      <c r="AY66" s="550"/>
      <c r="AZ66" s="550"/>
      <c r="BA66" s="550"/>
      <c r="BB66" s="550"/>
      <c r="BC66" s="550"/>
      <c r="BD66" s="550"/>
      <c r="BE66" s="550"/>
      <c r="BF66" s="550"/>
      <c r="BG66" s="550"/>
      <c r="BH66" s="550"/>
      <c r="BI66" s="550"/>
      <c r="BJ66" s="550"/>
      <c r="BK66" s="550"/>
      <c r="BL66" s="550"/>
      <c r="BM66" s="550"/>
      <c r="BN66" s="550"/>
      <c r="BO66" s="550"/>
      <c r="BP66" s="550"/>
      <c r="BQ66" s="550"/>
      <c r="BR66" s="550"/>
      <c r="BS66" s="550"/>
      <c r="BT66" s="550"/>
      <c r="BU66" s="550"/>
      <c r="BV66" s="550"/>
      <c r="BW66" s="550"/>
      <c r="BX66" s="550"/>
      <c r="BY66" s="550"/>
      <c r="BZ66" s="550"/>
      <c r="CA66" s="550"/>
      <c r="CB66" s="550"/>
      <c r="CC66" s="550"/>
      <c r="CD66" s="550"/>
      <c r="CE66" s="550"/>
      <c r="CF66" s="550"/>
      <c r="CG66" s="550"/>
      <c r="CH66" s="550"/>
      <c r="CI66" s="550"/>
      <c r="CJ66" s="550"/>
      <c r="CK66" s="550"/>
      <c r="CL66" s="550"/>
      <c r="CM66" s="550"/>
      <c r="CN66" s="550"/>
      <c r="CO66" s="550"/>
      <c r="CP66" s="550"/>
      <c r="CQ66" s="550"/>
      <c r="CR66" s="550"/>
      <c r="CS66" s="550"/>
      <c r="CT66" s="550"/>
      <c r="CU66" s="550"/>
      <c r="CV66" s="550"/>
      <c r="CW66" s="550"/>
    </row>
    <row r="67" spans="1:101" x14ac:dyDescent="0.2">
      <c r="A67" s="344">
        <f>+SUBTOTAL(3,$E$8:$E67)</f>
        <v>60</v>
      </c>
      <c r="B67" s="555">
        <v>45292</v>
      </c>
      <c r="C67" s="347" t="s">
        <v>743</v>
      </c>
      <c r="D67" s="344" t="str">
        <f>+VLOOKUP(C67,'Visual chart Edit'!$B$7:$C$491,2,FALSE)</f>
        <v>DA+0</v>
      </c>
      <c r="E67" s="344" t="s">
        <v>143</v>
      </c>
      <c r="F67" s="551">
        <v>45308</v>
      </c>
      <c r="G67" s="551">
        <v>45316</v>
      </c>
      <c r="H67" s="552" t="s">
        <v>876</v>
      </c>
      <c r="I67" s="553" t="s">
        <v>1024</v>
      </c>
      <c r="J67" s="554">
        <f t="shared" si="0"/>
        <v>8</v>
      </c>
      <c r="K67" s="550"/>
      <c r="L67" s="550"/>
      <c r="M67" s="550"/>
      <c r="N67" s="550"/>
      <c r="O67" s="550"/>
      <c r="P67" s="550"/>
      <c r="Q67" s="550"/>
      <c r="R67" s="550"/>
      <c r="S67" s="550"/>
      <c r="T67" s="550"/>
      <c r="U67" s="550"/>
      <c r="V67" s="550"/>
      <c r="W67" s="550"/>
      <c r="X67" s="550"/>
      <c r="Y67" s="550"/>
      <c r="Z67" s="550"/>
      <c r="AA67" s="550"/>
      <c r="AB67" s="550"/>
      <c r="AC67" s="550"/>
      <c r="AD67" s="550"/>
      <c r="AE67" s="550"/>
      <c r="AF67" s="550"/>
      <c r="AG67" s="550"/>
      <c r="AH67" s="550"/>
      <c r="AI67" s="550"/>
      <c r="AJ67" s="550"/>
      <c r="AK67" s="550"/>
      <c r="AL67" s="550"/>
      <c r="AM67" s="550"/>
      <c r="AN67" s="550"/>
      <c r="AO67" s="550"/>
      <c r="AP67" s="550"/>
      <c r="AQ67" s="550"/>
      <c r="AR67" s="550"/>
      <c r="AS67" s="550"/>
      <c r="AT67" s="550"/>
      <c r="AU67" s="550"/>
      <c r="AV67" s="550"/>
      <c r="AW67" s="550"/>
      <c r="AX67" s="550"/>
      <c r="AY67" s="550"/>
      <c r="AZ67" s="550"/>
      <c r="BA67" s="550"/>
      <c r="BB67" s="550"/>
      <c r="BC67" s="550"/>
      <c r="BD67" s="550"/>
      <c r="BE67" s="550"/>
      <c r="BF67" s="550"/>
      <c r="BG67" s="550"/>
      <c r="BH67" s="550"/>
      <c r="BI67" s="550"/>
      <c r="BJ67" s="550"/>
      <c r="BK67" s="550"/>
      <c r="BL67" s="550"/>
      <c r="BM67" s="550"/>
      <c r="BN67" s="550"/>
      <c r="BO67" s="550"/>
      <c r="BP67" s="550"/>
      <c r="BQ67" s="550"/>
      <c r="BR67" s="550"/>
      <c r="BS67" s="550"/>
      <c r="BT67" s="550"/>
      <c r="BU67" s="550"/>
      <c r="BV67" s="550"/>
      <c r="BW67" s="550"/>
      <c r="BX67" s="550"/>
      <c r="BY67" s="550"/>
      <c r="BZ67" s="550"/>
      <c r="CA67" s="550"/>
      <c r="CB67" s="550"/>
      <c r="CC67" s="550"/>
      <c r="CD67" s="550"/>
      <c r="CE67" s="550"/>
      <c r="CF67" s="550"/>
      <c r="CG67" s="550"/>
      <c r="CH67" s="550"/>
      <c r="CI67" s="550"/>
      <c r="CJ67" s="550"/>
      <c r="CK67" s="550"/>
      <c r="CL67" s="550"/>
      <c r="CM67" s="550"/>
      <c r="CN67" s="550"/>
      <c r="CO67" s="550"/>
      <c r="CP67" s="550"/>
      <c r="CQ67" s="550"/>
      <c r="CR67" s="550"/>
      <c r="CS67" s="550"/>
      <c r="CT67" s="550"/>
      <c r="CU67" s="550"/>
      <c r="CV67" s="550"/>
      <c r="CW67" s="550"/>
    </row>
    <row r="68" spans="1:101" x14ac:dyDescent="0.2">
      <c r="A68" s="344">
        <f>+SUBTOTAL(3,$E$8:$E68)</f>
        <v>61</v>
      </c>
      <c r="B68" s="555">
        <v>45292</v>
      </c>
      <c r="C68" s="347" t="s">
        <v>744</v>
      </c>
      <c r="D68" s="344" t="str">
        <f>+VLOOKUP(C68,'Visual chart Edit'!$B$7:$C$491,2,FALSE)</f>
        <v>DA+0</v>
      </c>
      <c r="E68" s="344" t="s">
        <v>143</v>
      </c>
      <c r="F68" s="551">
        <v>45311</v>
      </c>
      <c r="G68" s="551">
        <v>45316</v>
      </c>
      <c r="H68" s="552" t="s">
        <v>876</v>
      </c>
      <c r="I68" s="553" t="s">
        <v>1024</v>
      </c>
      <c r="J68" s="554">
        <f t="shared" si="0"/>
        <v>5</v>
      </c>
      <c r="K68" s="550"/>
      <c r="L68" s="550"/>
      <c r="M68" s="550"/>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50"/>
      <c r="AQ68" s="550"/>
      <c r="AR68" s="550"/>
      <c r="AS68" s="550"/>
      <c r="AT68" s="550"/>
      <c r="AU68" s="550"/>
      <c r="AV68" s="550"/>
      <c r="AW68" s="550"/>
      <c r="AX68" s="550"/>
      <c r="AY68" s="550"/>
      <c r="AZ68" s="550"/>
      <c r="BA68" s="550"/>
      <c r="BB68" s="550"/>
      <c r="BC68" s="550"/>
      <c r="BD68" s="550"/>
      <c r="BE68" s="550"/>
      <c r="BF68" s="550"/>
      <c r="BG68" s="550"/>
      <c r="BH68" s="550"/>
      <c r="BI68" s="550"/>
      <c r="BJ68" s="550"/>
      <c r="BK68" s="550"/>
      <c r="BL68" s="550"/>
      <c r="BM68" s="550"/>
      <c r="BN68" s="550"/>
      <c r="BO68" s="550"/>
      <c r="BP68" s="550"/>
      <c r="BQ68" s="550"/>
      <c r="BR68" s="550"/>
      <c r="BS68" s="550"/>
      <c r="BT68" s="550"/>
      <c r="BU68" s="550"/>
      <c r="BV68" s="550"/>
      <c r="BW68" s="550"/>
      <c r="BX68" s="550"/>
      <c r="BY68" s="550"/>
      <c r="BZ68" s="550"/>
      <c r="CA68" s="550"/>
      <c r="CB68" s="550"/>
      <c r="CC68" s="550"/>
      <c r="CD68" s="550"/>
      <c r="CE68" s="550"/>
      <c r="CF68" s="550"/>
      <c r="CG68" s="550"/>
      <c r="CH68" s="550"/>
      <c r="CI68" s="550"/>
      <c r="CJ68" s="550"/>
      <c r="CK68" s="550"/>
      <c r="CL68" s="550"/>
      <c r="CM68" s="550"/>
      <c r="CN68" s="550"/>
      <c r="CO68" s="550"/>
      <c r="CP68" s="550"/>
      <c r="CQ68" s="550"/>
      <c r="CR68" s="550"/>
      <c r="CS68" s="550"/>
      <c r="CT68" s="550"/>
      <c r="CU68" s="550"/>
      <c r="CV68" s="550"/>
      <c r="CW68" s="550"/>
    </row>
    <row r="69" spans="1:101" x14ac:dyDescent="0.2">
      <c r="A69" s="344">
        <f>+SUBTOTAL(3,$E$8:$E69)</f>
        <v>62</v>
      </c>
      <c r="B69" s="555">
        <v>45292</v>
      </c>
      <c r="C69" s="347" t="s">
        <v>801</v>
      </c>
      <c r="D69" s="344" t="str">
        <f>+VLOOKUP(C69,'Visual chart Edit'!$B$7:$C$491,2,FALSE)</f>
        <v>DA+0</v>
      </c>
      <c r="E69" s="344" t="s">
        <v>32</v>
      </c>
      <c r="F69" s="551">
        <v>45315</v>
      </c>
      <c r="G69" s="551">
        <v>45316</v>
      </c>
      <c r="H69" s="552" t="s">
        <v>236</v>
      </c>
      <c r="I69" s="553" t="s">
        <v>1006</v>
      </c>
      <c r="J69" s="554">
        <f t="shared" si="0"/>
        <v>1</v>
      </c>
      <c r="K69" s="550"/>
      <c r="L69" s="550"/>
      <c r="M69" s="550"/>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50"/>
      <c r="AQ69" s="550"/>
      <c r="AR69" s="550"/>
      <c r="AS69" s="550"/>
      <c r="AT69" s="550"/>
      <c r="AU69" s="550"/>
      <c r="AV69" s="550"/>
      <c r="AW69" s="550"/>
      <c r="AX69" s="550"/>
      <c r="AY69" s="550"/>
      <c r="AZ69" s="550"/>
      <c r="BA69" s="550"/>
      <c r="BB69" s="550"/>
      <c r="BC69" s="550"/>
      <c r="BD69" s="550"/>
      <c r="BE69" s="550"/>
      <c r="BF69" s="550"/>
      <c r="BG69" s="550"/>
      <c r="BH69" s="550"/>
      <c r="BI69" s="550"/>
      <c r="BJ69" s="550"/>
      <c r="BK69" s="550"/>
      <c r="BL69" s="550"/>
      <c r="BM69" s="550"/>
      <c r="BN69" s="550"/>
      <c r="BO69" s="550"/>
      <c r="BP69" s="550"/>
      <c r="BQ69" s="550"/>
      <c r="BR69" s="550"/>
      <c r="BS69" s="550"/>
      <c r="BT69" s="550"/>
      <c r="BU69" s="550"/>
      <c r="BV69" s="550"/>
      <c r="BW69" s="550"/>
      <c r="BX69" s="550"/>
      <c r="BY69" s="550"/>
      <c r="BZ69" s="550"/>
      <c r="CA69" s="550"/>
      <c r="CB69" s="550"/>
      <c r="CC69" s="550"/>
      <c r="CD69" s="550"/>
      <c r="CE69" s="550"/>
      <c r="CF69" s="550"/>
      <c r="CG69" s="550"/>
      <c r="CH69" s="550"/>
      <c r="CI69" s="550"/>
      <c r="CJ69" s="550"/>
      <c r="CK69" s="550"/>
      <c r="CL69" s="550"/>
      <c r="CM69" s="550"/>
      <c r="CN69" s="550"/>
      <c r="CO69" s="550"/>
      <c r="CP69" s="550"/>
      <c r="CQ69" s="550"/>
      <c r="CR69" s="550"/>
      <c r="CS69" s="550"/>
      <c r="CT69" s="550"/>
      <c r="CU69" s="550"/>
      <c r="CV69" s="550"/>
      <c r="CW69" s="550"/>
    </row>
    <row r="70" spans="1:101" x14ac:dyDescent="0.2">
      <c r="A70" s="344">
        <f>+SUBTOTAL(3,$E$8:$E70)</f>
        <v>63</v>
      </c>
      <c r="B70" s="555">
        <v>45292</v>
      </c>
      <c r="C70" s="347" t="s">
        <v>187</v>
      </c>
      <c r="D70" s="344" t="str">
        <f>+VLOOKUP(C70,'Visual chart Edit'!$B$7:$C$491,2,FALSE)</f>
        <v>DA+0</v>
      </c>
      <c r="E70" s="344" t="s">
        <v>32</v>
      </c>
      <c r="F70" s="551">
        <v>45305</v>
      </c>
      <c r="G70" s="551">
        <v>45318</v>
      </c>
      <c r="H70" s="552" t="s">
        <v>1008</v>
      </c>
      <c r="I70" s="553" t="s">
        <v>237</v>
      </c>
      <c r="J70" s="554">
        <f t="shared" si="0"/>
        <v>13</v>
      </c>
      <c r="K70" s="550"/>
      <c r="L70" s="550"/>
      <c r="M70" s="550"/>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50"/>
      <c r="AQ70" s="550"/>
      <c r="AR70" s="550"/>
      <c r="AS70" s="550"/>
      <c r="AT70" s="550"/>
      <c r="AU70" s="550"/>
      <c r="AV70" s="550"/>
      <c r="AW70" s="550"/>
      <c r="AX70" s="550"/>
      <c r="AY70" s="550"/>
      <c r="AZ70" s="550"/>
      <c r="BA70" s="550"/>
      <c r="BB70" s="550"/>
      <c r="BC70" s="550"/>
      <c r="BD70" s="550"/>
      <c r="BE70" s="550"/>
      <c r="BF70" s="550"/>
      <c r="BG70" s="550"/>
      <c r="BH70" s="550"/>
      <c r="BI70" s="550"/>
      <c r="BJ70" s="550"/>
      <c r="BK70" s="550"/>
      <c r="BL70" s="550"/>
      <c r="BM70" s="550"/>
      <c r="BN70" s="550"/>
      <c r="BO70" s="550"/>
      <c r="BP70" s="550"/>
      <c r="BQ70" s="550"/>
      <c r="BR70" s="550"/>
      <c r="BS70" s="550"/>
      <c r="BT70" s="550"/>
      <c r="BU70" s="550"/>
      <c r="BV70" s="550"/>
      <c r="BW70" s="550"/>
      <c r="BX70" s="550"/>
      <c r="BY70" s="550"/>
      <c r="BZ70" s="550"/>
      <c r="CA70" s="550"/>
      <c r="CB70" s="550"/>
      <c r="CC70" s="550"/>
      <c r="CD70" s="550"/>
      <c r="CE70" s="550"/>
      <c r="CF70" s="550"/>
      <c r="CG70" s="550"/>
      <c r="CH70" s="550"/>
      <c r="CI70" s="550"/>
      <c r="CJ70" s="550"/>
      <c r="CK70" s="550"/>
      <c r="CL70" s="550"/>
      <c r="CM70" s="550"/>
      <c r="CN70" s="550"/>
      <c r="CO70" s="550"/>
      <c r="CP70" s="550"/>
      <c r="CQ70" s="550"/>
      <c r="CR70" s="550"/>
      <c r="CS70" s="550"/>
      <c r="CT70" s="550"/>
      <c r="CU70" s="550"/>
      <c r="CV70" s="550"/>
      <c r="CW70" s="550"/>
    </row>
    <row r="71" spans="1:101" x14ac:dyDescent="0.2">
      <c r="A71" s="344">
        <f>+SUBTOTAL(3,$E$8:$E71)</f>
        <v>64</v>
      </c>
      <c r="B71" s="555">
        <v>45292</v>
      </c>
      <c r="C71" s="347" t="s">
        <v>779</v>
      </c>
      <c r="D71" s="344" t="str">
        <f>+VLOOKUP(C71,'Visual chart Edit'!$B$7:$C$491,2,FALSE)</f>
        <v>DA+6</v>
      </c>
      <c r="E71" s="344" t="s">
        <v>32</v>
      </c>
      <c r="F71" s="551">
        <v>45318</v>
      </c>
      <c r="G71" s="551">
        <v>45319</v>
      </c>
      <c r="H71" s="552" t="s">
        <v>874</v>
      </c>
      <c r="I71" s="553" t="s">
        <v>1024</v>
      </c>
      <c r="J71" s="554">
        <f t="shared" si="0"/>
        <v>1</v>
      </c>
      <c r="K71" s="550"/>
      <c r="L71" s="550"/>
      <c r="M71" s="550"/>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50"/>
      <c r="AQ71" s="550"/>
      <c r="AR71" s="550"/>
      <c r="AS71" s="550"/>
      <c r="AT71" s="550"/>
      <c r="AU71" s="550"/>
      <c r="AV71" s="550"/>
      <c r="AW71" s="550"/>
      <c r="AX71" s="550"/>
      <c r="AY71" s="550"/>
      <c r="AZ71" s="550"/>
      <c r="BA71" s="550"/>
      <c r="BB71" s="550"/>
      <c r="BC71" s="550"/>
      <c r="BD71" s="550"/>
      <c r="BE71" s="550"/>
      <c r="BF71" s="550"/>
      <c r="BG71" s="550"/>
      <c r="BH71" s="550"/>
      <c r="BI71" s="550"/>
      <c r="BJ71" s="550"/>
      <c r="BK71" s="550"/>
      <c r="BL71" s="550"/>
      <c r="BM71" s="550"/>
      <c r="BN71" s="550"/>
      <c r="BO71" s="550"/>
      <c r="BP71" s="550"/>
      <c r="BQ71" s="550"/>
      <c r="BR71" s="550"/>
      <c r="BS71" s="550"/>
      <c r="BT71" s="550"/>
      <c r="BU71" s="550"/>
      <c r="BV71" s="550"/>
      <c r="BW71" s="550"/>
      <c r="BX71" s="550"/>
      <c r="BY71" s="550"/>
      <c r="BZ71" s="550"/>
      <c r="CA71" s="550"/>
      <c r="CB71" s="550"/>
      <c r="CC71" s="550"/>
      <c r="CD71" s="550"/>
      <c r="CE71" s="550"/>
      <c r="CF71" s="550"/>
      <c r="CG71" s="550"/>
      <c r="CH71" s="550"/>
      <c r="CI71" s="550"/>
      <c r="CJ71" s="550"/>
      <c r="CK71" s="550"/>
      <c r="CL71" s="550"/>
      <c r="CM71" s="550"/>
      <c r="CN71" s="550"/>
      <c r="CO71" s="550"/>
      <c r="CP71" s="550"/>
      <c r="CQ71" s="550"/>
      <c r="CR71" s="550"/>
      <c r="CS71" s="550"/>
      <c r="CT71" s="550"/>
      <c r="CU71" s="550"/>
      <c r="CV71" s="550"/>
      <c r="CW71" s="550"/>
    </row>
    <row r="72" spans="1:101" x14ac:dyDescent="0.2">
      <c r="A72" s="344">
        <f>+SUBTOTAL(3,$E$8:$E72)</f>
        <v>65</v>
      </c>
      <c r="B72" s="555">
        <v>45292</v>
      </c>
      <c r="C72" s="347" t="s">
        <v>745</v>
      </c>
      <c r="D72" s="344" t="str">
        <f>+VLOOKUP(C72,'Visual chart Edit'!$B$7:$C$491,2,FALSE)</f>
        <v>DA+0</v>
      </c>
      <c r="E72" s="344" t="s">
        <v>143</v>
      </c>
      <c r="F72" s="551">
        <v>45318</v>
      </c>
      <c r="G72" s="551">
        <v>45320</v>
      </c>
      <c r="H72" s="552" t="s">
        <v>876</v>
      </c>
      <c r="I72" s="553" t="s">
        <v>1024</v>
      </c>
      <c r="J72" s="554">
        <f t="shared" si="0"/>
        <v>2</v>
      </c>
      <c r="K72" s="550"/>
      <c r="L72" s="550"/>
      <c r="M72" s="550"/>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50"/>
      <c r="AQ72" s="550"/>
      <c r="AR72" s="550"/>
      <c r="AS72" s="550"/>
      <c r="AT72" s="550"/>
      <c r="AU72" s="550"/>
      <c r="AV72" s="550"/>
      <c r="AW72" s="550"/>
      <c r="AX72" s="550"/>
      <c r="AY72" s="550"/>
      <c r="AZ72" s="550"/>
      <c r="BA72" s="550"/>
      <c r="BB72" s="550"/>
      <c r="BC72" s="550"/>
      <c r="BD72" s="550"/>
      <c r="BE72" s="550"/>
      <c r="BF72" s="550"/>
      <c r="BG72" s="550"/>
      <c r="BH72" s="550"/>
      <c r="BI72" s="550"/>
      <c r="BJ72" s="550"/>
      <c r="BK72" s="550"/>
      <c r="BL72" s="550"/>
      <c r="BM72" s="550"/>
      <c r="BN72" s="550"/>
      <c r="BO72" s="550"/>
      <c r="BP72" s="550"/>
      <c r="BQ72" s="550"/>
      <c r="BR72" s="550"/>
      <c r="BS72" s="550"/>
      <c r="BT72" s="550"/>
      <c r="BU72" s="550"/>
      <c r="BV72" s="550"/>
      <c r="BW72" s="550"/>
      <c r="BX72" s="550"/>
      <c r="BY72" s="550"/>
      <c r="BZ72" s="550"/>
      <c r="CA72" s="550"/>
      <c r="CB72" s="550"/>
      <c r="CC72" s="550"/>
      <c r="CD72" s="550"/>
      <c r="CE72" s="550"/>
      <c r="CF72" s="550"/>
      <c r="CG72" s="550"/>
      <c r="CH72" s="550"/>
      <c r="CI72" s="550"/>
      <c r="CJ72" s="550"/>
      <c r="CK72" s="550"/>
      <c r="CL72" s="550"/>
      <c r="CM72" s="550"/>
      <c r="CN72" s="550"/>
      <c r="CO72" s="550"/>
      <c r="CP72" s="550"/>
      <c r="CQ72" s="550"/>
      <c r="CR72" s="550"/>
      <c r="CS72" s="550"/>
      <c r="CT72" s="550"/>
      <c r="CU72" s="550"/>
      <c r="CV72" s="550"/>
      <c r="CW72" s="550"/>
    </row>
    <row r="73" spans="1:101" x14ac:dyDescent="0.2">
      <c r="A73" s="344">
        <f>+SUBTOTAL(3,$E$8:$E73)</f>
        <v>66</v>
      </c>
      <c r="B73" s="555">
        <v>45292</v>
      </c>
      <c r="C73" s="347" t="s">
        <v>811</v>
      </c>
      <c r="D73" s="344" t="str">
        <f>+VLOOKUP(C73,'Visual chart Edit'!$B$7:$C$491,2,FALSE)</f>
        <v>DA+0</v>
      </c>
      <c r="E73" s="344" t="s">
        <v>276</v>
      </c>
      <c r="F73" s="551">
        <v>45320</v>
      </c>
      <c r="G73" s="551">
        <v>45321</v>
      </c>
      <c r="H73" s="552" t="s">
        <v>875</v>
      </c>
      <c r="I73" s="553" t="s">
        <v>1006</v>
      </c>
      <c r="J73" s="554">
        <f t="shared" ref="J73:J136" si="1">G73-F73</f>
        <v>1</v>
      </c>
      <c r="K73" s="550"/>
      <c r="L73" s="550"/>
      <c r="M73" s="550"/>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50"/>
      <c r="AQ73" s="550"/>
      <c r="AR73" s="550"/>
      <c r="AS73" s="550"/>
      <c r="AT73" s="550"/>
      <c r="AU73" s="550"/>
      <c r="AV73" s="550"/>
      <c r="AW73" s="550"/>
      <c r="AX73" s="550"/>
      <c r="AY73" s="550"/>
      <c r="AZ73" s="550"/>
      <c r="BA73" s="550"/>
      <c r="BB73" s="550"/>
      <c r="BC73" s="550"/>
      <c r="BD73" s="550"/>
      <c r="BE73" s="550"/>
      <c r="BF73" s="550"/>
      <c r="BG73" s="550"/>
      <c r="BH73" s="550"/>
      <c r="BI73" s="550"/>
      <c r="BJ73" s="550"/>
      <c r="BK73" s="550"/>
      <c r="BL73" s="550"/>
      <c r="BM73" s="550"/>
      <c r="BN73" s="550"/>
      <c r="BO73" s="550"/>
      <c r="BP73" s="550"/>
      <c r="BQ73" s="550"/>
      <c r="BR73" s="550"/>
      <c r="BS73" s="550"/>
      <c r="BT73" s="550"/>
      <c r="BU73" s="550"/>
      <c r="BV73" s="550"/>
      <c r="BW73" s="550"/>
      <c r="BX73" s="550"/>
      <c r="BY73" s="550"/>
      <c r="BZ73" s="550"/>
      <c r="CA73" s="550"/>
      <c r="CB73" s="550"/>
      <c r="CC73" s="550"/>
      <c r="CD73" s="550"/>
      <c r="CE73" s="550"/>
      <c r="CF73" s="550"/>
      <c r="CG73" s="550"/>
      <c r="CH73" s="550"/>
      <c r="CI73" s="550"/>
      <c r="CJ73" s="550"/>
      <c r="CK73" s="550"/>
      <c r="CL73" s="550"/>
      <c r="CM73" s="550"/>
      <c r="CN73" s="550"/>
      <c r="CO73" s="550"/>
      <c r="CP73" s="550"/>
      <c r="CQ73" s="550"/>
      <c r="CR73" s="550"/>
      <c r="CS73" s="550"/>
      <c r="CT73" s="550"/>
      <c r="CU73" s="550"/>
      <c r="CV73" s="550"/>
      <c r="CW73" s="550"/>
    </row>
    <row r="74" spans="1:101" x14ac:dyDescent="0.2">
      <c r="A74" s="344">
        <f>+SUBTOTAL(3,$E$8:$E74)</f>
        <v>67</v>
      </c>
      <c r="B74" s="555">
        <v>45292</v>
      </c>
      <c r="C74" s="347" t="s">
        <v>802</v>
      </c>
      <c r="D74" s="344" t="str">
        <f>+VLOOKUP(C74,'Visual chart Edit'!$B$7:$C$491,2,FALSE)</f>
        <v>DA+3</v>
      </c>
      <c r="E74" s="344" t="s">
        <v>32</v>
      </c>
      <c r="F74" s="551">
        <v>45320</v>
      </c>
      <c r="G74" s="551">
        <v>45321</v>
      </c>
      <c r="H74" s="552" t="s">
        <v>236</v>
      </c>
      <c r="I74" s="553" t="s">
        <v>1006</v>
      </c>
      <c r="J74" s="554">
        <f t="shared" si="1"/>
        <v>1</v>
      </c>
      <c r="K74" s="550"/>
      <c r="L74" s="550"/>
      <c r="M74" s="550"/>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50"/>
      <c r="AQ74" s="550"/>
      <c r="AR74" s="550"/>
      <c r="AS74" s="550"/>
      <c r="AT74" s="550"/>
      <c r="AU74" s="550"/>
      <c r="AV74" s="550"/>
      <c r="AW74" s="550"/>
      <c r="AX74" s="550"/>
      <c r="AY74" s="550"/>
      <c r="AZ74" s="550"/>
      <c r="BA74" s="550"/>
      <c r="BB74" s="550"/>
      <c r="BC74" s="550"/>
      <c r="BD74" s="550"/>
      <c r="BE74" s="550"/>
      <c r="BF74" s="550"/>
      <c r="BG74" s="550"/>
      <c r="BH74" s="550"/>
      <c r="BI74" s="550"/>
      <c r="BJ74" s="550"/>
      <c r="BK74" s="550"/>
      <c r="BL74" s="550"/>
      <c r="BM74" s="550"/>
      <c r="BN74" s="550"/>
      <c r="BO74" s="550"/>
      <c r="BP74" s="550"/>
      <c r="BQ74" s="550"/>
      <c r="BR74" s="550"/>
      <c r="BS74" s="550"/>
      <c r="BT74" s="550"/>
      <c r="BU74" s="550"/>
      <c r="BV74" s="550"/>
      <c r="BW74" s="550"/>
      <c r="BX74" s="550"/>
      <c r="BY74" s="550"/>
      <c r="BZ74" s="550"/>
      <c r="CA74" s="550"/>
      <c r="CB74" s="550"/>
      <c r="CC74" s="550"/>
      <c r="CD74" s="550"/>
      <c r="CE74" s="550"/>
      <c r="CF74" s="550"/>
      <c r="CG74" s="550"/>
      <c r="CH74" s="550"/>
      <c r="CI74" s="550"/>
      <c r="CJ74" s="550"/>
      <c r="CK74" s="550"/>
      <c r="CL74" s="550"/>
      <c r="CM74" s="550"/>
      <c r="CN74" s="550"/>
      <c r="CO74" s="550"/>
      <c r="CP74" s="550"/>
      <c r="CQ74" s="550"/>
      <c r="CR74" s="550"/>
      <c r="CS74" s="550"/>
      <c r="CT74" s="550"/>
      <c r="CU74" s="550"/>
      <c r="CV74" s="550"/>
      <c r="CW74" s="550"/>
    </row>
    <row r="75" spans="1:101" x14ac:dyDescent="0.2">
      <c r="A75" s="344">
        <f>+SUBTOTAL(3,$E$8:$E75)</f>
        <v>68</v>
      </c>
      <c r="B75" s="555">
        <v>45292</v>
      </c>
      <c r="C75" s="347" t="s">
        <v>816</v>
      </c>
      <c r="D75" s="344" t="str">
        <f>+VLOOKUP(C75,'Visual chart Edit'!$B$7:$C$491,2,FALSE)</f>
        <v>DA+3</v>
      </c>
      <c r="E75" s="344" t="s">
        <v>276</v>
      </c>
      <c r="F75" s="551">
        <v>45320</v>
      </c>
      <c r="G75" s="551">
        <v>45322</v>
      </c>
      <c r="H75" s="552" t="s">
        <v>877</v>
      </c>
      <c r="I75" s="553" t="s">
        <v>1006</v>
      </c>
      <c r="J75" s="554">
        <f t="shared" si="1"/>
        <v>2</v>
      </c>
      <c r="K75" s="550"/>
      <c r="L75" s="550"/>
      <c r="M75" s="550"/>
      <c r="N75" s="550"/>
      <c r="O75" s="550"/>
      <c r="P75" s="550"/>
      <c r="Q75" s="550"/>
      <c r="R75" s="550"/>
      <c r="S75" s="550"/>
      <c r="T75" s="550"/>
      <c r="U75" s="550"/>
      <c r="V75" s="550"/>
      <c r="W75" s="550"/>
      <c r="X75" s="550"/>
      <c r="Y75" s="550"/>
      <c r="Z75" s="550"/>
      <c r="AA75" s="550"/>
      <c r="AB75" s="550"/>
      <c r="AC75" s="550"/>
      <c r="AD75" s="550"/>
      <c r="AE75" s="550"/>
      <c r="AF75" s="550"/>
      <c r="AG75" s="550"/>
      <c r="AH75" s="550"/>
      <c r="AI75" s="550"/>
      <c r="AJ75" s="550"/>
      <c r="AK75" s="550"/>
      <c r="AL75" s="550"/>
      <c r="AM75" s="550"/>
      <c r="AN75" s="550"/>
      <c r="AO75" s="550"/>
      <c r="AP75" s="550"/>
      <c r="AQ75" s="550"/>
      <c r="AR75" s="550"/>
      <c r="AS75" s="550"/>
      <c r="AT75" s="550"/>
      <c r="AU75" s="550"/>
      <c r="AV75" s="550"/>
      <c r="AW75" s="550"/>
      <c r="AX75" s="550"/>
      <c r="AY75" s="550"/>
      <c r="AZ75" s="550"/>
      <c r="BA75" s="550"/>
      <c r="BB75" s="550"/>
      <c r="BC75" s="550"/>
      <c r="BD75" s="550"/>
      <c r="BE75" s="550"/>
      <c r="BF75" s="550"/>
      <c r="BG75" s="550"/>
      <c r="BH75" s="550"/>
      <c r="BI75" s="550"/>
      <c r="BJ75" s="550"/>
      <c r="BK75" s="550"/>
      <c r="BL75" s="550"/>
      <c r="BM75" s="550"/>
      <c r="BN75" s="550"/>
      <c r="BO75" s="550"/>
      <c r="BP75" s="550"/>
      <c r="BQ75" s="550"/>
      <c r="BR75" s="550"/>
      <c r="BS75" s="550"/>
      <c r="BT75" s="550"/>
      <c r="BU75" s="550"/>
      <c r="BV75" s="550"/>
      <c r="BW75" s="550"/>
      <c r="BX75" s="550"/>
      <c r="BY75" s="550"/>
      <c r="BZ75" s="550"/>
      <c r="CA75" s="550"/>
      <c r="CB75" s="550"/>
      <c r="CC75" s="550"/>
      <c r="CD75" s="550"/>
      <c r="CE75" s="550"/>
      <c r="CF75" s="550"/>
      <c r="CG75" s="550"/>
      <c r="CH75" s="550"/>
      <c r="CI75" s="550"/>
      <c r="CJ75" s="550"/>
      <c r="CK75" s="550"/>
      <c r="CL75" s="550"/>
      <c r="CM75" s="550"/>
      <c r="CN75" s="550"/>
      <c r="CO75" s="550"/>
      <c r="CP75" s="550"/>
      <c r="CQ75" s="550"/>
      <c r="CR75" s="550"/>
      <c r="CS75" s="550"/>
      <c r="CT75" s="550"/>
      <c r="CU75" s="550"/>
      <c r="CV75" s="550"/>
      <c r="CW75" s="550"/>
    </row>
    <row r="76" spans="1:101" x14ac:dyDescent="0.2">
      <c r="A76" s="344">
        <f>+SUBTOTAL(3,$E$8:$E76)</f>
        <v>69</v>
      </c>
      <c r="B76" s="555">
        <v>45292</v>
      </c>
      <c r="C76" s="347" t="s">
        <v>780</v>
      </c>
      <c r="D76" s="344" t="str">
        <f>+VLOOKUP(C76,'Visual chart Edit'!$B$7:$C$491,2,FALSE)</f>
        <v>DA+6</v>
      </c>
      <c r="E76" s="344" t="s">
        <v>32</v>
      </c>
      <c r="F76" s="551">
        <v>45321</v>
      </c>
      <c r="G76" s="551">
        <v>45322</v>
      </c>
      <c r="H76" s="552" t="s">
        <v>874</v>
      </c>
      <c r="I76" s="553" t="s">
        <v>1024</v>
      </c>
      <c r="J76" s="554">
        <f t="shared" si="1"/>
        <v>1</v>
      </c>
      <c r="K76" s="550"/>
      <c r="L76" s="550"/>
      <c r="M76" s="550"/>
      <c r="N76" s="550"/>
      <c r="O76" s="550"/>
      <c r="P76" s="550"/>
      <c r="Q76" s="550"/>
      <c r="R76" s="550"/>
      <c r="S76" s="550"/>
      <c r="T76" s="550"/>
      <c r="U76" s="550"/>
      <c r="V76" s="550"/>
      <c r="W76" s="550"/>
      <c r="X76" s="550"/>
      <c r="Y76" s="550"/>
      <c r="Z76" s="550"/>
      <c r="AA76" s="550"/>
      <c r="AB76" s="550"/>
      <c r="AC76" s="550"/>
      <c r="AD76" s="550"/>
      <c r="AE76" s="550"/>
      <c r="AF76" s="550"/>
      <c r="AG76" s="550"/>
      <c r="AH76" s="550"/>
      <c r="AI76" s="550"/>
      <c r="AJ76" s="550"/>
      <c r="AK76" s="550"/>
      <c r="AL76" s="550"/>
      <c r="AM76" s="550"/>
      <c r="AN76" s="550"/>
      <c r="AO76" s="550"/>
      <c r="AP76" s="550"/>
      <c r="AQ76" s="550"/>
      <c r="AR76" s="550"/>
      <c r="AS76" s="550"/>
      <c r="AT76" s="550"/>
      <c r="AU76" s="550"/>
      <c r="AV76" s="550"/>
      <c r="AW76" s="550"/>
      <c r="AX76" s="550"/>
      <c r="AY76" s="550"/>
      <c r="AZ76" s="550"/>
      <c r="BA76" s="550"/>
      <c r="BB76" s="550"/>
      <c r="BC76" s="550"/>
      <c r="BD76" s="550"/>
      <c r="BE76" s="550"/>
      <c r="BF76" s="550"/>
      <c r="BG76" s="550"/>
      <c r="BH76" s="550"/>
      <c r="BI76" s="550"/>
      <c r="BJ76" s="550"/>
      <c r="BK76" s="550"/>
      <c r="BL76" s="550"/>
      <c r="BM76" s="550"/>
      <c r="BN76" s="550"/>
      <c r="BO76" s="550"/>
      <c r="BP76" s="550"/>
      <c r="BQ76" s="550"/>
      <c r="BR76" s="550"/>
      <c r="BS76" s="550"/>
      <c r="BT76" s="550"/>
      <c r="BU76" s="550"/>
      <c r="BV76" s="550"/>
      <c r="BW76" s="550"/>
      <c r="BX76" s="550"/>
      <c r="BY76" s="550"/>
      <c r="BZ76" s="550"/>
      <c r="CA76" s="550"/>
      <c r="CB76" s="550"/>
      <c r="CC76" s="550"/>
      <c r="CD76" s="550"/>
      <c r="CE76" s="550"/>
      <c r="CF76" s="550"/>
      <c r="CG76" s="550"/>
      <c r="CH76" s="550"/>
      <c r="CI76" s="550"/>
      <c r="CJ76" s="550"/>
      <c r="CK76" s="550"/>
      <c r="CL76" s="550"/>
      <c r="CM76" s="550"/>
      <c r="CN76" s="550"/>
      <c r="CO76" s="550"/>
      <c r="CP76" s="550"/>
      <c r="CQ76" s="550"/>
      <c r="CR76" s="550"/>
      <c r="CS76" s="550"/>
      <c r="CT76" s="550"/>
      <c r="CU76" s="550"/>
      <c r="CV76" s="550"/>
      <c r="CW76" s="550"/>
    </row>
    <row r="77" spans="1:101" x14ac:dyDescent="0.2">
      <c r="A77" s="344">
        <f>+SUBTOTAL(3,$E$8:$E77)</f>
        <v>70</v>
      </c>
      <c r="B77" s="555">
        <v>45323</v>
      </c>
      <c r="C77" s="347" t="s">
        <v>815</v>
      </c>
      <c r="D77" s="344" t="str">
        <f>+VLOOKUP(C77,'Visual chart Edit'!$B$7:$C$491,2,FALSE)</f>
        <v>DA+3</v>
      </c>
      <c r="E77" s="344" t="s">
        <v>276</v>
      </c>
      <c r="F77" s="551">
        <v>45323</v>
      </c>
      <c r="G77" s="551">
        <v>45324</v>
      </c>
      <c r="H77" s="552" t="s">
        <v>875</v>
      </c>
      <c r="I77" s="553" t="s">
        <v>1006</v>
      </c>
      <c r="J77" s="554">
        <f t="shared" si="1"/>
        <v>1</v>
      </c>
      <c r="K77" s="550"/>
      <c r="L77" s="550"/>
      <c r="M77" s="550"/>
      <c r="N77" s="550"/>
      <c r="O77" s="550"/>
      <c r="P77" s="550"/>
      <c r="Q77" s="550"/>
      <c r="R77" s="550"/>
      <c r="S77" s="550"/>
      <c r="T77" s="550"/>
      <c r="U77" s="550"/>
      <c r="V77" s="550"/>
      <c r="W77" s="550"/>
      <c r="X77" s="550"/>
      <c r="Y77" s="550"/>
      <c r="Z77" s="550"/>
      <c r="AA77" s="550"/>
      <c r="AB77" s="550"/>
      <c r="AC77" s="550"/>
      <c r="AD77" s="550"/>
      <c r="AE77" s="550"/>
      <c r="AF77" s="550"/>
      <c r="AG77" s="550"/>
      <c r="AH77" s="550"/>
      <c r="AI77" s="550"/>
      <c r="AJ77" s="550"/>
      <c r="AK77" s="550"/>
      <c r="AL77" s="550"/>
      <c r="AM77" s="550"/>
      <c r="AN77" s="550"/>
      <c r="AO77" s="550"/>
      <c r="AP77" s="550"/>
      <c r="AQ77" s="550"/>
      <c r="AR77" s="550"/>
      <c r="AS77" s="550"/>
      <c r="AT77" s="550"/>
      <c r="AU77" s="550"/>
      <c r="AV77" s="550"/>
      <c r="AW77" s="550"/>
      <c r="AX77" s="550"/>
      <c r="AY77" s="550"/>
      <c r="AZ77" s="550"/>
      <c r="BA77" s="550"/>
      <c r="BB77" s="550"/>
      <c r="BC77" s="550"/>
      <c r="BD77" s="550"/>
      <c r="BE77" s="550"/>
      <c r="BF77" s="550"/>
      <c r="BG77" s="550"/>
      <c r="BH77" s="550"/>
      <c r="BI77" s="550"/>
      <c r="BJ77" s="550"/>
      <c r="BK77" s="550"/>
      <c r="BL77" s="550"/>
      <c r="BM77" s="550"/>
      <c r="BN77" s="550"/>
      <c r="BO77" s="550"/>
      <c r="BP77" s="550"/>
      <c r="BQ77" s="550"/>
      <c r="BR77" s="550"/>
      <c r="BS77" s="550"/>
      <c r="BT77" s="550"/>
      <c r="BU77" s="550"/>
      <c r="BV77" s="550"/>
      <c r="BW77" s="550"/>
      <c r="BX77" s="550"/>
      <c r="BY77" s="550"/>
      <c r="BZ77" s="550"/>
      <c r="CA77" s="550"/>
      <c r="CB77" s="550"/>
      <c r="CC77" s="550"/>
      <c r="CD77" s="550"/>
      <c r="CE77" s="550"/>
      <c r="CF77" s="550"/>
      <c r="CG77" s="550"/>
      <c r="CH77" s="550"/>
      <c r="CI77" s="550"/>
      <c r="CJ77" s="550"/>
      <c r="CK77" s="550"/>
      <c r="CL77" s="550"/>
      <c r="CM77" s="550"/>
      <c r="CN77" s="550"/>
      <c r="CO77" s="550"/>
      <c r="CP77" s="550"/>
      <c r="CQ77" s="550"/>
      <c r="CR77" s="550"/>
      <c r="CS77" s="550"/>
      <c r="CT77" s="550"/>
      <c r="CU77" s="550"/>
      <c r="CV77" s="550"/>
      <c r="CW77" s="550"/>
    </row>
    <row r="78" spans="1:101" x14ac:dyDescent="0.2">
      <c r="A78" s="344">
        <f>+SUBTOTAL(3,$E$8:$E78)</f>
        <v>71</v>
      </c>
      <c r="B78" s="555">
        <v>45323</v>
      </c>
      <c r="C78" s="347" t="s">
        <v>717</v>
      </c>
      <c r="D78" s="344" t="str">
        <f>+VLOOKUP(C78,'Visual chart Edit'!$B$7:$C$491,2,FALSE)</f>
        <v>DA+9</v>
      </c>
      <c r="E78" s="344" t="s">
        <v>143</v>
      </c>
      <c r="F78" s="551">
        <v>45322</v>
      </c>
      <c r="G78" s="551">
        <v>45324</v>
      </c>
      <c r="H78" s="552" t="s">
        <v>876</v>
      </c>
      <c r="I78" s="553" t="s">
        <v>1024</v>
      </c>
      <c r="J78" s="554">
        <f t="shared" si="1"/>
        <v>2</v>
      </c>
      <c r="K78" s="550"/>
      <c r="L78" s="550"/>
      <c r="M78" s="550"/>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50"/>
      <c r="AQ78" s="550"/>
      <c r="AR78" s="550"/>
      <c r="AS78" s="550"/>
      <c r="AT78" s="550"/>
      <c r="AU78" s="550"/>
      <c r="AV78" s="550"/>
      <c r="AW78" s="550"/>
      <c r="AX78" s="550"/>
      <c r="AY78" s="550"/>
      <c r="AZ78" s="550"/>
      <c r="BA78" s="550"/>
      <c r="BB78" s="550"/>
      <c r="BC78" s="550"/>
      <c r="BD78" s="550"/>
      <c r="BE78" s="550"/>
      <c r="BF78" s="550"/>
      <c r="BG78" s="550"/>
      <c r="BH78" s="550"/>
      <c r="BI78" s="550"/>
      <c r="BJ78" s="550"/>
      <c r="BK78" s="550"/>
      <c r="BL78" s="550"/>
      <c r="BM78" s="550"/>
      <c r="BN78" s="550"/>
      <c r="BO78" s="550"/>
      <c r="BP78" s="550"/>
      <c r="BQ78" s="550"/>
      <c r="BR78" s="550"/>
      <c r="BS78" s="550"/>
      <c r="BT78" s="550"/>
      <c r="BU78" s="550"/>
      <c r="BV78" s="550"/>
      <c r="BW78" s="550"/>
      <c r="BX78" s="550"/>
      <c r="BY78" s="550"/>
      <c r="BZ78" s="550"/>
      <c r="CA78" s="550"/>
      <c r="CB78" s="550"/>
      <c r="CC78" s="550"/>
      <c r="CD78" s="550"/>
      <c r="CE78" s="550"/>
      <c r="CF78" s="550"/>
      <c r="CG78" s="550"/>
      <c r="CH78" s="550"/>
      <c r="CI78" s="550"/>
      <c r="CJ78" s="550"/>
      <c r="CK78" s="550"/>
      <c r="CL78" s="550"/>
      <c r="CM78" s="550"/>
      <c r="CN78" s="550"/>
      <c r="CO78" s="550"/>
      <c r="CP78" s="550"/>
      <c r="CQ78" s="550"/>
      <c r="CR78" s="550"/>
      <c r="CS78" s="550"/>
      <c r="CT78" s="550"/>
      <c r="CU78" s="550"/>
      <c r="CV78" s="550"/>
      <c r="CW78" s="550"/>
    </row>
    <row r="79" spans="1:101" x14ac:dyDescent="0.2">
      <c r="A79" s="344">
        <f>+SUBTOTAL(3,$E$8:$E79)</f>
        <v>72</v>
      </c>
      <c r="B79" s="555">
        <v>45323</v>
      </c>
      <c r="C79" s="347" t="s">
        <v>803</v>
      </c>
      <c r="D79" s="344" t="str">
        <f>+VLOOKUP(C79,'Visual chart Edit'!$B$7:$C$491,2,FALSE)</f>
        <v>DA+0</v>
      </c>
      <c r="E79" s="344" t="s">
        <v>276</v>
      </c>
      <c r="F79" s="551">
        <v>45323</v>
      </c>
      <c r="G79" s="551">
        <v>45324</v>
      </c>
      <c r="H79" s="552" t="s">
        <v>236</v>
      </c>
      <c r="I79" s="553" t="s">
        <v>1006</v>
      </c>
      <c r="J79" s="554">
        <f t="shared" si="1"/>
        <v>1</v>
      </c>
      <c r="K79" s="550"/>
      <c r="L79" s="550"/>
      <c r="M79" s="550"/>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50"/>
      <c r="AQ79" s="550"/>
      <c r="AR79" s="550"/>
      <c r="AS79" s="550"/>
      <c r="AT79" s="550"/>
      <c r="AU79" s="550"/>
      <c r="AV79" s="550"/>
      <c r="AW79" s="550"/>
      <c r="AX79" s="550"/>
      <c r="AY79" s="550"/>
      <c r="AZ79" s="550"/>
      <c r="BA79" s="550"/>
      <c r="BB79" s="550"/>
      <c r="BC79" s="550"/>
      <c r="BD79" s="550"/>
      <c r="BE79" s="550"/>
      <c r="BF79" s="550"/>
      <c r="BG79" s="550"/>
      <c r="BH79" s="550"/>
      <c r="BI79" s="550"/>
      <c r="BJ79" s="550"/>
      <c r="BK79" s="550"/>
      <c r="BL79" s="550"/>
      <c r="BM79" s="550"/>
      <c r="BN79" s="550"/>
      <c r="BO79" s="550"/>
      <c r="BP79" s="550"/>
      <c r="BQ79" s="550"/>
      <c r="BR79" s="550"/>
      <c r="BS79" s="550"/>
      <c r="BT79" s="550"/>
      <c r="BU79" s="550"/>
      <c r="BV79" s="550"/>
      <c r="BW79" s="550"/>
      <c r="BX79" s="550"/>
      <c r="BY79" s="550"/>
      <c r="BZ79" s="550"/>
      <c r="CA79" s="550"/>
      <c r="CB79" s="550"/>
      <c r="CC79" s="550"/>
      <c r="CD79" s="550"/>
      <c r="CE79" s="550"/>
      <c r="CF79" s="550"/>
      <c r="CG79" s="550"/>
      <c r="CH79" s="550"/>
      <c r="CI79" s="550"/>
      <c r="CJ79" s="550"/>
      <c r="CK79" s="550"/>
      <c r="CL79" s="550"/>
      <c r="CM79" s="550"/>
      <c r="CN79" s="550"/>
      <c r="CO79" s="550"/>
      <c r="CP79" s="550"/>
      <c r="CQ79" s="550"/>
      <c r="CR79" s="550"/>
      <c r="CS79" s="550"/>
      <c r="CT79" s="550"/>
      <c r="CU79" s="550"/>
      <c r="CV79" s="550"/>
      <c r="CW79" s="550"/>
    </row>
    <row r="80" spans="1:101" x14ac:dyDescent="0.2">
      <c r="A80" s="344">
        <f>+SUBTOTAL(3,$E$8:$E80)</f>
        <v>73</v>
      </c>
      <c r="B80" s="555">
        <v>45323</v>
      </c>
      <c r="C80" s="347" t="s">
        <v>61</v>
      </c>
      <c r="D80" s="344" t="str">
        <f>+VLOOKUP(C80,'Visual chart Edit'!$B$7:$C$491,2,FALSE)</f>
        <v>DA+6</v>
      </c>
      <c r="E80" s="344" t="s">
        <v>143</v>
      </c>
      <c r="F80" s="551">
        <v>45318</v>
      </c>
      <c r="G80" s="551">
        <v>45326</v>
      </c>
      <c r="H80" s="552" t="s">
        <v>250</v>
      </c>
      <c r="I80" s="553" t="s">
        <v>237</v>
      </c>
      <c r="J80" s="554">
        <f t="shared" si="1"/>
        <v>8</v>
      </c>
      <c r="K80" s="550"/>
      <c r="L80" s="550"/>
      <c r="M80" s="550"/>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50"/>
      <c r="AQ80" s="550"/>
      <c r="AR80" s="550"/>
      <c r="AS80" s="550"/>
      <c r="AT80" s="550"/>
      <c r="AU80" s="550"/>
      <c r="AV80" s="550"/>
      <c r="AW80" s="550"/>
      <c r="AX80" s="550"/>
      <c r="AY80" s="550"/>
      <c r="AZ80" s="550"/>
      <c r="BA80" s="550"/>
      <c r="BB80" s="550"/>
      <c r="BC80" s="550"/>
      <c r="BD80" s="550"/>
      <c r="BE80" s="550"/>
      <c r="BF80" s="550"/>
      <c r="BG80" s="550"/>
      <c r="BH80" s="550"/>
      <c r="BI80" s="550"/>
      <c r="BJ80" s="550"/>
      <c r="BK80" s="550"/>
      <c r="BL80" s="550"/>
      <c r="BM80" s="550"/>
      <c r="BN80" s="550"/>
      <c r="BO80" s="550"/>
      <c r="BP80" s="550"/>
      <c r="BQ80" s="550"/>
      <c r="BR80" s="550"/>
      <c r="BS80" s="550"/>
      <c r="BT80" s="550"/>
      <c r="BU80" s="550"/>
      <c r="BV80" s="550"/>
      <c r="BW80" s="550"/>
      <c r="BX80" s="550"/>
      <c r="BY80" s="550"/>
      <c r="BZ80" s="550"/>
      <c r="CA80" s="550"/>
      <c r="CB80" s="550"/>
      <c r="CC80" s="550"/>
      <c r="CD80" s="550"/>
      <c r="CE80" s="550"/>
      <c r="CF80" s="550"/>
      <c r="CG80" s="550"/>
      <c r="CH80" s="550"/>
      <c r="CI80" s="550"/>
      <c r="CJ80" s="550"/>
      <c r="CK80" s="550"/>
      <c r="CL80" s="550"/>
      <c r="CM80" s="550"/>
      <c r="CN80" s="550"/>
      <c r="CO80" s="550"/>
      <c r="CP80" s="550"/>
      <c r="CQ80" s="550"/>
      <c r="CR80" s="550"/>
      <c r="CS80" s="550"/>
      <c r="CT80" s="550"/>
      <c r="CU80" s="550"/>
      <c r="CV80" s="550"/>
      <c r="CW80" s="550"/>
    </row>
    <row r="81" spans="1:101" x14ac:dyDescent="0.2">
      <c r="A81" s="344">
        <f>+SUBTOTAL(3,$E$8:$E81)</f>
        <v>74</v>
      </c>
      <c r="B81" s="555">
        <v>45323</v>
      </c>
      <c r="C81" s="347" t="s">
        <v>831</v>
      </c>
      <c r="D81" s="344" t="str">
        <f>+VLOOKUP(C81,'Visual chart Edit'!$B$7:$C$491,2,FALSE)</f>
        <v>DA+0</v>
      </c>
      <c r="E81" s="344" t="s">
        <v>276</v>
      </c>
      <c r="F81" s="551">
        <v>45325</v>
      </c>
      <c r="G81" s="551">
        <v>45326</v>
      </c>
      <c r="H81" s="552" t="s">
        <v>878</v>
      </c>
      <c r="I81" s="553" t="s">
        <v>1006</v>
      </c>
      <c r="J81" s="554">
        <f t="shared" si="1"/>
        <v>1</v>
      </c>
      <c r="K81" s="550"/>
      <c r="L81" s="550"/>
      <c r="M81" s="550"/>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50"/>
      <c r="AQ81" s="550"/>
      <c r="AR81" s="550"/>
      <c r="AS81" s="550"/>
      <c r="AT81" s="550"/>
      <c r="AU81" s="550"/>
      <c r="AV81" s="550"/>
      <c r="AW81" s="550"/>
      <c r="AX81" s="550"/>
      <c r="AY81" s="550"/>
      <c r="AZ81" s="550"/>
      <c r="BA81" s="550"/>
      <c r="BB81" s="550"/>
      <c r="BC81" s="550"/>
      <c r="BD81" s="550"/>
      <c r="BE81" s="550"/>
      <c r="BF81" s="550"/>
      <c r="BG81" s="550"/>
      <c r="BH81" s="550"/>
      <c r="BI81" s="550"/>
      <c r="BJ81" s="550"/>
      <c r="BK81" s="550"/>
      <c r="BL81" s="550"/>
      <c r="BM81" s="550"/>
      <c r="BN81" s="550"/>
      <c r="BO81" s="550"/>
      <c r="BP81" s="550"/>
      <c r="BQ81" s="550"/>
      <c r="BR81" s="550"/>
      <c r="BS81" s="550"/>
      <c r="BT81" s="550"/>
      <c r="BU81" s="550"/>
      <c r="BV81" s="550"/>
      <c r="BW81" s="550"/>
      <c r="BX81" s="550"/>
      <c r="BY81" s="550"/>
      <c r="BZ81" s="550"/>
      <c r="CA81" s="550"/>
      <c r="CB81" s="550"/>
      <c r="CC81" s="550"/>
      <c r="CD81" s="550"/>
      <c r="CE81" s="550"/>
      <c r="CF81" s="550"/>
      <c r="CG81" s="550"/>
      <c r="CH81" s="550"/>
      <c r="CI81" s="550"/>
      <c r="CJ81" s="550"/>
      <c r="CK81" s="550"/>
      <c r="CL81" s="550"/>
      <c r="CM81" s="550"/>
      <c r="CN81" s="550"/>
      <c r="CO81" s="550"/>
      <c r="CP81" s="550"/>
      <c r="CQ81" s="550"/>
      <c r="CR81" s="550"/>
      <c r="CS81" s="550"/>
      <c r="CT81" s="550"/>
      <c r="CU81" s="550"/>
      <c r="CV81" s="550"/>
      <c r="CW81" s="550"/>
    </row>
    <row r="82" spans="1:101" x14ac:dyDescent="0.2">
      <c r="A82" s="344">
        <f>+SUBTOTAL(3,$E$8:$E82)</f>
        <v>75</v>
      </c>
      <c r="B82" s="555">
        <v>45323</v>
      </c>
      <c r="C82" s="347" t="s">
        <v>718</v>
      </c>
      <c r="D82" s="344" t="str">
        <f>+VLOOKUP(C82,'Visual chart Edit'!$B$7:$C$491,2,FALSE)</f>
        <v>DA+6</v>
      </c>
      <c r="E82" s="344" t="s">
        <v>143</v>
      </c>
      <c r="F82" s="551">
        <v>45325</v>
      </c>
      <c r="G82" s="551">
        <v>45328</v>
      </c>
      <c r="H82" s="552" t="s">
        <v>876</v>
      </c>
      <c r="I82" s="553" t="s">
        <v>1024</v>
      </c>
      <c r="J82" s="554">
        <f t="shared" si="1"/>
        <v>3</v>
      </c>
      <c r="K82" s="550"/>
      <c r="L82" s="550"/>
      <c r="M82" s="550"/>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50"/>
      <c r="AQ82" s="550"/>
      <c r="AR82" s="550"/>
      <c r="AS82" s="550"/>
      <c r="AT82" s="550"/>
      <c r="AU82" s="550"/>
      <c r="AV82" s="550"/>
      <c r="AW82" s="550"/>
      <c r="AX82" s="550"/>
      <c r="AY82" s="550"/>
      <c r="AZ82" s="550"/>
      <c r="BA82" s="550"/>
      <c r="BB82" s="550"/>
      <c r="BC82" s="550"/>
      <c r="BD82" s="550"/>
      <c r="BE82" s="550"/>
      <c r="BF82" s="550"/>
      <c r="BG82" s="550"/>
      <c r="BH82" s="550"/>
      <c r="BI82" s="550"/>
      <c r="BJ82" s="550"/>
      <c r="BK82" s="550"/>
      <c r="BL82" s="550"/>
      <c r="BM82" s="550"/>
      <c r="BN82" s="550"/>
      <c r="BO82" s="550"/>
      <c r="BP82" s="550"/>
      <c r="BQ82" s="550"/>
      <c r="BR82" s="550"/>
      <c r="BS82" s="550"/>
      <c r="BT82" s="550"/>
      <c r="BU82" s="550"/>
      <c r="BV82" s="550"/>
      <c r="BW82" s="550"/>
      <c r="BX82" s="550"/>
      <c r="BY82" s="550"/>
      <c r="BZ82" s="550"/>
      <c r="CA82" s="550"/>
      <c r="CB82" s="550"/>
      <c r="CC82" s="550"/>
      <c r="CD82" s="550"/>
      <c r="CE82" s="550"/>
      <c r="CF82" s="550"/>
      <c r="CG82" s="550"/>
      <c r="CH82" s="550"/>
      <c r="CI82" s="550"/>
      <c r="CJ82" s="550"/>
      <c r="CK82" s="550"/>
      <c r="CL82" s="550"/>
      <c r="CM82" s="550"/>
      <c r="CN82" s="550"/>
      <c r="CO82" s="550"/>
      <c r="CP82" s="550"/>
      <c r="CQ82" s="550"/>
      <c r="CR82" s="550"/>
      <c r="CS82" s="550"/>
      <c r="CT82" s="550"/>
      <c r="CU82" s="550"/>
      <c r="CV82" s="550"/>
      <c r="CW82" s="550"/>
    </row>
    <row r="83" spans="1:101" x14ac:dyDescent="0.2">
      <c r="A83" s="344">
        <f>+SUBTOTAL(3,$E$8:$E83)</f>
        <v>76</v>
      </c>
      <c r="B83" s="555">
        <v>45323</v>
      </c>
      <c r="C83" s="347" t="s">
        <v>814</v>
      </c>
      <c r="D83" s="344" t="str">
        <f>+VLOOKUP(C83,'Visual chart Edit'!$B$7:$C$491,2,FALSE)</f>
        <v>DA+0</v>
      </c>
      <c r="E83" s="344" t="s">
        <v>276</v>
      </c>
      <c r="F83" s="551">
        <v>45325</v>
      </c>
      <c r="G83" s="551">
        <v>45329</v>
      </c>
      <c r="H83" s="552" t="s">
        <v>875</v>
      </c>
      <c r="I83" s="553" t="s">
        <v>1006</v>
      </c>
      <c r="J83" s="554">
        <f t="shared" si="1"/>
        <v>4</v>
      </c>
      <c r="K83" s="550"/>
      <c r="L83" s="550"/>
      <c r="M83" s="550"/>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50"/>
      <c r="AQ83" s="550"/>
      <c r="AR83" s="550"/>
      <c r="AS83" s="550"/>
      <c r="AT83" s="550"/>
      <c r="AU83" s="550"/>
      <c r="AV83" s="550"/>
      <c r="AW83" s="550"/>
      <c r="AX83" s="550"/>
      <c r="AY83" s="550"/>
      <c r="AZ83" s="550"/>
      <c r="BA83" s="550"/>
      <c r="BB83" s="550"/>
      <c r="BC83" s="550"/>
      <c r="BD83" s="550"/>
      <c r="BE83" s="550"/>
      <c r="BF83" s="550"/>
      <c r="BG83" s="550"/>
      <c r="BH83" s="550"/>
      <c r="BI83" s="550"/>
      <c r="BJ83" s="550"/>
      <c r="BK83" s="550"/>
      <c r="BL83" s="550"/>
      <c r="BM83" s="550"/>
      <c r="BN83" s="550"/>
      <c r="BO83" s="550"/>
      <c r="BP83" s="550"/>
      <c r="BQ83" s="550"/>
      <c r="BR83" s="550"/>
      <c r="BS83" s="550"/>
      <c r="BT83" s="550"/>
      <c r="BU83" s="550"/>
      <c r="BV83" s="550"/>
      <c r="BW83" s="550"/>
      <c r="BX83" s="550"/>
      <c r="BY83" s="550"/>
      <c r="BZ83" s="550"/>
      <c r="CA83" s="550"/>
      <c r="CB83" s="550"/>
      <c r="CC83" s="550"/>
      <c r="CD83" s="550"/>
      <c r="CE83" s="550"/>
      <c r="CF83" s="550"/>
      <c r="CG83" s="550"/>
      <c r="CH83" s="550"/>
      <c r="CI83" s="550"/>
      <c r="CJ83" s="550"/>
      <c r="CK83" s="550"/>
      <c r="CL83" s="550"/>
      <c r="CM83" s="550"/>
      <c r="CN83" s="550"/>
      <c r="CO83" s="550"/>
      <c r="CP83" s="550"/>
      <c r="CQ83" s="550"/>
      <c r="CR83" s="550"/>
      <c r="CS83" s="550"/>
      <c r="CT83" s="550"/>
      <c r="CU83" s="550"/>
      <c r="CV83" s="550"/>
      <c r="CW83" s="550"/>
    </row>
    <row r="84" spans="1:101" x14ac:dyDescent="0.2">
      <c r="A84" s="344">
        <f>+SUBTOTAL(3,$E$8:$E84)</f>
        <v>77</v>
      </c>
      <c r="B84" s="555">
        <v>45323</v>
      </c>
      <c r="C84" s="347" t="s">
        <v>804</v>
      </c>
      <c r="D84" s="344" t="str">
        <f>+VLOOKUP(C84,'Visual chart Edit'!$B$7:$C$491,2,FALSE)</f>
        <v>DA+3</v>
      </c>
      <c r="E84" s="344" t="s">
        <v>32</v>
      </c>
      <c r="F84" s="551">
        <v>45328</v>
      </c>
      <c r="G84" s="551">
        <v>45329</v>
      </c>
      <c r="H84" s="552" t="s">
        <v>236</v>
      </c>
      <c r="I84" s="553" t="s">
        <v>1006</v>
      </c>
      <c r="J84" s="554">
        <f t="shared" si="1"/>
        <v>1</v>
      </c>
      <c r="K84" s="550"/>
      <c r="L84" s="550"/>
      <c r="M84" s="550"/>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50"/>
      <c r="AQ84" s="550"/>
      <c r="AR84" s="550"/>
      <c r="AS84" s="550"/>
      <c r="AT84" s="550"/>
      <c r="AU84" s="550"/>
      <c r="AV84" s="550"/>
      <c r="AW84" s="550"/>
      <c r="AX84" s="550"/>
      <c r="AY84" s="550"/>
      <c r="AZ84" s="550"/>
      <c r="BA84" s="550"/>
      <c r="BB84" s="550"/>
      <c r="BC84" s="550"/>
      <c r="BD84" s="550"/>
      <c r="BE84" s="550"/>
      <c r="BF84" s="550"/>
      <c r="BG84" s="550"/>
      <c r="BH84" s="550"/>
      <c r="BI84" s="550"/>
      <c r="BJ84" s="550"/>
      <c r="BK84" s="550"/>
      <c r="BL84" s="550"/>
      <c r="BM84" s="550"/>
      <c r="BN84" s="550"/>
      <c r="BO84" s="550"/>
      <c r="BP84" s="550"/>
      <c r="BQ84" s="550"/>
      <c r="BR84" s="550"/>
      <c r="BS84" s="550"/>
      <c r="BT84" s="550"/>
      <c r="BU84" s="550"/>
      <c r="BV84" s="550"/>
      <c r="BW84" s="550"/>
      <c r="BX84" s="550"/>
      <c r="BY84" s="550"/>
      <c r="BZ84" s="550"/>
      <c r="CA84" s="550"/>
      <c r="CB84" s="550"/>
      <c r="CC84" s="550"/>
      <c r="CD84" s="550"/>
      <c r="CE84" s="550"/>
      <c r="CF84" s="550"/>
      <c r="CG84" s="550"/>
      <c r="CH84" s="550"/>
      <c r="CI84" s="550"/>
      <c r="CJ84" s="550"/>
      <c r="CK84" s="550"/>
      <c r="CL84" s="550"/>
      <c r="CM84" s="550"/>
      <c r="CN84" s="550"/>
      <c r="CO84" s="550"/>
      <c r="CP84" s="550"/>
      <c r="CQ84" s="550"/>
      <c r="CR84" s="550"/>
      <c r="CS84" s="550"/>
      <c r="CT84" s="550"/>
      <c r="CU84" s="550"/>
      <c r="CV84" s="550"/>
      <c r="CW84" s="550"/>
    </row>
    <row r="85" spans="1:101" x14ac:dyDescent="0.2">
      <c r="A85" s="344">
        <f>+SUBTOTAL(3,$E$8:$E85)</f>
        <v>78</v>
      </c>
      <c r="B85" s="555">
        <v>45323</v>
      </c>
      <c r="C85" s="347" t="s">
        <v>766</v>
      </c>
      <c r="D85" s="344" t="str">
        <f>+VLOOKUP(C85,'Visual chart Edit'!$B$7:$C$491,2,FALSE)</f>
        <v>DA+6</v>
      </c>
      <c r="E85" s="344" t="s">
        <v>276</v>
      </c>
      <c r="F85" s="551">
        <v>45327</v>
      </c>
      <c r="G85" s="551">
        <v>45329</v>
      </c>
      <c r="H85" s="552" t="s">
        <v>1009</v>
      </c>
      <c r="I85" s="553" t="s">
        <v>1024</v>
      </c>
      <c r="J85" s="554">
        <f t="shared" si="1"/>
        <v>2</v>
      </c>
      <c r="K85" s="550"/>
      <c r="L85" s="550"/>
      <c r="M85" s="550"/>
      <c r="N85" s="550"/>
      <c r="O85" s="550"/>
      <c r="P85" s="550"/>
      <c r="Q85" s="550"/>
      <c r="R85" s="550"/>
      <c r="S85" s="550"/>
      <c r="T85" s="550"/>
      <c r="U85" s="550"/>
      <c r="V85" s="550"/>
      <c r="W85" s="550"/>
      <c r="X85" s="550"/>
      <c r="Y85" s="550"/>
      <c r="Z85" s="550"/>
      <c r="AA85" s="550"/>
      <c r="AB85" s="550"/>
      <c r="AC85" s="550"/>
      <c r="AD85" s="550"/>
      <c r="AE85" s="550"/>
      <c r="AF85" s="550"/>
      <c r="AG85" s="550"/>
      <c r="AH85" s="550"/>
      <c r="AI85" s="550"/>
      <c r="AJ85" s="550"/>
      <c r="AK85" s="550"/>
      <c r="AL85" s="550"/>
      <c r="AM85" s="550"/>
      <c r="AN85" s="550"/>
      <c r="AO85" s="550"/>
      <c r="AP85" s="550"/>
      <c r="AQ85" s="550"/>
      <c r="AR85" s="550"/>
      <c r="AS85" s="550"/>
      <c r="AT85" s="550"/>
      <c r="AU85" s="550"/>
      <c r="AV85" s="550"/>
      <c r="AW85" s="550"/>
      <c r="AX85" s="550"/>
      <c r="AY85" s="550"/>
      <c r="AZ85" s="550"/>
      <c r="BA85" s="550"/>
      <c r="BB85" s="550"/>
      <c r="BC85" s="550"/>
      <c r="BD85" s="550"/>
      <c r="BE85" s="550"/>
      <c r="BF85" s="550"/>
      <c r="BG85" s="550"/>
      <c r="BH85" s="550"/>
      <c r="BI85" s="550"/>
      <c r="BJ85" s="550"/>
      <c r="BK85" s="550"/>
      <c r="BL85" s="550"/>
      <c r="BM85" s="550"/>
      <c r="BN85" s="550"/>
      <c r="BO85" s="550"/>
      <c r="BP85" s="550"/>
      <c r="BQ85" s="550"/>
      <c r="BR85" s="550"/>
      <c r="BS85" s="550"/>
      <c r="BT85" s="550"/>
      <c r="BU85" s="550"/>
      <c r="BV85" s="550"/>
      <c r="BW85" s="550"/>
      <c r="BX85" s="550"/>
      <c r="BY85" s="550"/>
      <c r="BZ85" s="550"/>
      <c r="CA85" s="550"/>
      <c r="CB85" s="550"/>
      <c r="CC85" s="550"/>
      <c r="CD85" s="550"/>
      <c r="CE85" s="550"/>
      <c r="CF85" s="550"/>
      <c r="CG85" s="550"/>
      <c r="CH85" s="550"/>
      <c r="CI85" s="550"/>
      <c r="CJ85" s="550"/>
      <c r="CK85" s="550"/>
      <c r="CL85" s="550"/>
      <c r="CM85" s="550"/>
      <c r="CN85" s="550"/>
      <c r="CO85" s="550"/>
      <c r="CP85" s="550"/>
      <c r="CQ85" s="550"/>
      <c r="CR85" s="550"/>
      <c r="CS85" s="550"/>
      <c r="CT85" s="550"/>
      <c r="CU85" s="550"/>
      <c r="CV85" s="550"/>
      <c r="CW85" s="550"/>
    </row>
    <row r="86" spans="1:101" x14ac:dyDescent="0.2">
      <c r="A86" s="344">
        <f>+SUBTOTAL(3,$E$8:$E86)</f>
        <v>79</v>
      </c>
      <c r="B86" s="555">
        <v>45323</v>
      </c>
      <c r="C86" s="347" t="s">
        <v>783</v>
      </c>
      <c r="D86" s="344" t="str">
        <f>+VLOOKUP(C86,'Visual chart Edit'!$B$7:$C$491,2,FALSE)</f>
        <v>DA+3</v>
      </c>
      <c r="E86" s="344" t="s">
        <v>276</v>
      </c>
      <c r="F86" s="551">
        <v>45329</v>
      </c>
      <c r="G86" s="551">
        <v>45331</v>
      </c>
      <c r="H86" s="552" t="s">
        <v>874</v>
      </c>
      <c r="I86" s="553" t="s">
        <v>1024</v>
      </c>
      <c r="J86" s="554">
        <f t="shared" si="1"/>
        <v>2</v>
      </c>
      <c r="K86" s="550"/>
      <c r="L86" s="550"/>
      <c r="M86" s="550"/>
      <c r="N86" s="550"/>
      <c r="O86" s="550"/>
      <c r="P86" s="550"/>
      <c r="Q86" s="550"/>
      <c r="R86" s="550"/>
      <c r="S86" s="550"/>
      <c r="T86" s="550"/>
      <c r="U86" s="550"/>
      <c r="V86" s="550"/>
      <c r="W86" s="550"/>
      <c r="X86" s="550"/>
      <c r="Y86" s="550"/>
      <c r="Z86" s="550"/>
      <c r="AA86" s="550"/>
      <c r="AB86" s="550"/>
      <c r="AC86" s="550"/>
      <c r="AD86" s="550"/>
      <c r="AE86" s="550"/>
      <c r="AF86" s="550"/>
      <c r="AG86" s="550"/>
      <c r="AH86" s="550"/>
      <c r="AI86" s="550"/>
      <c r="AJ86" s="550"/>
      <c r="AK86" s="550"/>
      <c r="AL86" s="550"/>
      <c r="AM86" s="550"/>
      <c r="AN86" s="550"/>
      <c r="AO86" s="550"/>
      <c r="AP86" s="550"/>
      <c r="AQ86" s="550"/>
      <c r="AR86" s="550"/>
      <c r="AS86" s="550"/>
      <c r="AT86" s="550"/>
      <c r="AU86" s="550"/>
      <c r="AV86" s="550"/>
      <c r="AW86" s="550"/>
      <c r="AX86" s="550"/>
      <c r="AY86" s="550"/>
      <c r="AZ86" s="550"/>
      <c r="BA86" s="550"/>
      <c r="BB86" s="550"/>
      <c r="BC86" s="550"/>
      <c r="BD86" s="550"/>
      <c r="BE86" s="550"/>
      <c r="BF86" s="550"/>
      <c r="BG86" s="550"/>
      <c r="BH86" s="550"/>
      <c r="BI86" s="550"/>
      <c r="BJ86" s="550"/>
      <c r="BK86" s="550"/>
      <c r="BL86" s="550"/>
      <c r="BM86" s="550"/>
      <c r="BN86" s="550"/>
      <c r="BO86" s="550"/>
      <c r="BP86" s="550"/>
      <c r="BQ86" s="550"/>
      <c r="BR86" s="550"/>
      <c r="BS86" s="550"/>
      <c r="BT86" s="550"/>
      <c r="BU86" s="550"/>
      <c r="BV86" s="550"/>
      <c r="BW86" s="550"/>
      <c r="BX86" s="550"/>
      <c r="BY86" s="550"/>
      <c r="BZ86" s="550"/>
      <c r="CA86" s="550"/>
      <c r="CB86" s="550"/>
      <c r="CC86" s="550"/>
      <c r="CD86" s="550"/>
      <c r="CE86" s="550"/>
      <c r="CF86" s="550"/>
      <c r="CG86" s="550"/>
      <c r="CH86" s="550"/>
      <c r="CI86" s="550"/>
      <c r="CJ86" s="550"/>
      <c r="CK86" s="550"/>
      <c r="CL86" s="550"/>
      <c r="CM86" s="550"/>
      <c r="CN86" s="550"/>
      <c r="CO86" s="550"/>
      <c r="CP86" s="550"/>
      <c r="CQ86" s="550"/>
      <c r="CR86" s="550"/>
      <c r="CS86" s="550"/>
      <c r="CT86" s="550"/>
      <c r="CU86" s="550"/>
      <c r="CV86" s="550"/>
      <c r="CW86" s="550"/>
    </row>
    <row r="87" spans="1:101" x14ac:dyDescent="0.2">
      <c r="A87" s="344">
        <f>+SUBTOTAL(3,$E$8:$E87)</f>
        <v>80</v>
      </c>
      <c r="B87" s="555">
        <v>45323</v>
      </c>
      <c r="C87" s="347" t="s">
        <v>830</v>
      </c>
      <c r="D87" s="344" t="str">
        <f>+VLOOKUP(C87,'Visual chart Edit'!$B$7:$C$491,2,FALSE)</f>
        <v>DA+0</v>
      </c>
      <c r="E87" s="344" t="s">
        <v>276</v>
      </c>
      <c r="F87" s="551">
        <v>45329</v>
      </c>
      <c r="G87" s="551">
        <v>45331</v>
      </c>
      <c r="H87" s="552" t="s">
        <v>878</v>
      </c>
      <c r="I87" s="553" t="s">
        <v>1006</v>
      </c>
      <c r="J87" s="554">
        <f t="shared" si="1"/>
        <v>2</v>
      </c>
      <c r="K87" s="550"/>
      <c r="L87" s="550"/>
      <c r="M87" s="550"/>
      <c r="N87" s="550"/>
      <c r="O87" s="550"/>
      <c r="P87" s="550"/>
      <c r="Q87" s="550"/>
      <c r="R87" s="550"/>
      <c r="S87" s="550"/>
      <c r="T87" s="550"/>
      <c r="U87" s="550"/>
      <c r="V87" s="550"/>
      <c r="W87" s="550"/>
      <c r="X87" s="550"/>
      <c r="Y87" s="550"/>
      <c r="Z87" s="550"/>
      <c r="AA87" s="550"/>
      <c r="AB87" s="550"/>
      <c r="AC87" s="550"/>
      <c r="AD87" s="550"/>
      <c r="AE87" s="550"/>
      <c r="AF87" s="550"/>
      <c r="AG87" s="550"/>
      <c r="AH87" s="550"/>
      <c r="AI87" s="550"/>
      <c r="AJ87" s="550"/>
      <c r="AK87" s="550"/>
      <c r="AL87" s="550"/>
      <c r="AM87" s="550"/>
      <c r="AN87" s="550"/>
      <c r="AO87" s="550"/>
      <c r="AP87" s="550"/>
      <c r="AQ87" s="550"/>
      <c r="AR87" s="550"/>
      <c r="AS87" s="550"/>
      <c r="AT87" s="550"/>
      <c r="AU87" s="550"/>
      <c r="AV87" s="550"/>
      <c r="AW87" s="550"/>
      <c r="AX87" s="550"/>
      <c r="AY87" s="550"/>
      <c r="AZ87" s="550"/>
      <c r="BA87" s="550"/>
      <c r="BB87" s="550"/>
      <c r="BC87" s="550"/>
      <c r="BD87" s="550"/>
      <c r="BE87" s="550"/>
      <c r="BF87" s="550"/>
      <c r="BG87" s="550"/>
      <c r="BH87" s="550"/>
      <c r="BI87" s="550"/>
      <c r="BJ87" s="550"/>
      <c r="BK87" s="550"/>
      <c r="BL87" s="550"/>
      <c r="BM87" s="550"/>
      <c r="BN87" s="550"/>
      <c r="BO87" s="550"/>
      <c r="BP87" s="550"/>
      <c r="BQ87" s="550"/>
      <c r="BR87" s="550"/>
      <c r="BS87" s="550"/>
      <c r="BT87" s="550"/>
      <c r="BU87" s="550"/>
      <c r="BV87" s="550"/>
      <c r="BW87" s="550"/>
      <c r="BX87" s="550"/>
      <c r="BY87" s="550"/>
      <c r="BZ87" s="550"/>
      <c r="CA87" s="550"/>
      <c r="CB87" s="550"/>
      <c r="CC87" s="550"/>
      <c r="CD87" s="550"/>
      <c r="CE87" s="550"/>
      <c r="CF87" s="550"/>
      <c r="CG87" s="550"/>
      <c r="CH87" s="550"/>
      <c r="CI87" s="550"/>
      <c r="CJ87" s="550"/>
      <c r="CK87" s="550"/>
      <c r="CL87" s="550"/>
      <c r="CM87" s="550"/>
      <c r="CN87" s="550"/>
      <c r="CO87" s="550"/>
      <c r="CP87" s="550"/>
      <c r="CQ87" s="550"/>
      <c r="CR87" s="550"/>
      <c r="CS87" s="550"/>
      <c r="CT87" s="550"/>
      <c r="CU87" s="550"/>
      <c r="CV87" s="550"/>
      <c r="CW87" s="550"/>
    </row>
    <row r="88" spans="1:101" x14ac:dyDescent="0.2">
      <c r="A88" s="344">
        <f>+SUBTOTAL(3,$E$8:$E88)</f>
        <v>81</v>
      </c>
      <c r="B88" s="555">
        <v>45323</v>
      </c>
      <c r="C88" s="347" t="s">
        <v>818</v>
      </c>
      <c r="D88" s="344" t="str">
        <f>+VLOOKUP(C88,'Visual chart Edit'!$B$7:$C$491,2,FALSE)</f>
        <v>DA+3</v>
      </c>
      <c r="E88" s="344" t="s">
        <v>276</v>
      </c>
      <c r="F88" s="551">
        <v>45330</v>
      </c>
      <c r="G88" s="551">
        <v>45332</v>
      </c>
      <c r="H88" s="552" t="s">
        <v>877</v>
      </c>
      <c r="I88" s="553" t="s">
        <v>1006</v>
      </c>
      <c r="J88" s="554">
        <f t="shared" si="1"/>
        <v>2</v>
      </c>
      <c r="K88" s="550"/>
      <c r="L88" s="550"/>
      <c r="M88" s="550"/>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50"/>
      <c r="AQ88" s="550"/>
      <c r="AR88" s="550"/>
      <c r="AS88" s="550"/>
      <c r="AT88" s="550"/>
      <c r="AU88" s="550"/>
      <c r="AV88" s="550"/>
      <c r="AW88" s="550"/>
      <c r="AX88" s="550"/>
      <c r="AY88" s="550"/>
      <c r="AZ88" s="550"/>
      <c r="BA88" s="550"/>
      <c r="BB88" s="550"/>
      <c r="BC88" s="550"/>
      <c r="BD88" s="550"/>
      <c r="BE88" s="550"/>
      <c r="BF88" s="550"/>
      <c r="BG88" s="550"/>
      <c r="BH88" s="550"/>
      <c r="BI88" s="550"/>
      <c r="BJ88" s="550"/>
      <c r="BK88" s="550"/>
      <c r="BL88" s="550"/>
      <c r="BM88" s="550"/>
      <c r="BN88" s="550"/>
      <c r="BO88" s="550"/>
      <c r="BP88" s="550"/>
      <c r="BQ88" s="550"/>
      <c r="BR88" s="550"/>
      <c r="BS88" s="550"/>
      <c r="BT88" s="550"/>
      <c r="BU88" s="550"/>
      <c r="BV88" s="550"/>
      <c r="BW88" s="550"/>
      <c r="BX88" s="550"/>
      <c r="BY88" s="550"/>
      <c r="BZ88" s="550"/>
      <c r="CA88" s="550"/>
      <c r="CB88" s="550"/>
      <c r="CC88" s="550"/>
      <c r="CD88" s="550"/>
      <c r="CE88" s="550"/>
      <c r="CF88" s="550"/>
      <c r="CG88" s="550"/>
      <c r="CH88" s="550"/>
      <c r="CI88" s="550"/>
      <c r="CJ88" s="550"/>
      <c r="CK88" s="550"/>
      <c r="CL88" s="550"/>
      <c r="CM88" s="550"/>
      <c r="CN88" s="550"/>
      <c r="CO88" s="550"/>
      <c r="CP88" s="550"/>
      <c r="CQ88" s="550"/>
      <c r="CR88" s="550"/>
      <c r="CS88" s="550"/>
      <c r="CT88" s="550"/>
      <c r="CU88" s="550"/>
      <c r="CV88" s="550"/>
      <c r="CW88" s="550"/>
    </row>
    <row r="89" spans="1:101" x14ac:dyDescent="0.2">
      <c r="A89" s="344">
        <f>+SUBTOTAL(3,$E$8:$E89)</f>
        <v>82</v>
      </c>
      <c r="B89" s="555">
        <v>45323</v>
      </c>
      <c r="C89" s="347" t="s">
        <v>784</v>
      </c>
      <c r="D89" s="344" t="str">
        <f>+VLOOKUP(C89,'Visual chart Edit'!$B$7:$C$491,2,FALSE)</f>
        <v>DA+3</v>
      </c>
      <c r="E89" s="344" t="s">
        <v>276</v>
      </c>
      <c r="F89" s="551">
        <v>45331</v>
      </c>
      <c r="G89" s="551">
        <v>45333</v>
      </c>
      <c r="H89" s="552" t="s">
        <v>874</v>
      </c>
      <c r="I89" s="553" t="s">
        <v>1024</v>
      </c>
      <c r="J89" s="554">
        <f t="shared" si="1"/>
        <v>2</v>
      </c>
      <c r="K89" s="550"/>
      <c r="L89" s="550"/>
      <c r="M89" s="550"/>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50"/>
      <c r="AQ89" s="550"/>
      <c r="AR89" s="550"/>
      <c r="AS89" s="550"/>
      <c r="AT89" s="550"/>
      <c r="AU89" s="550"/>
      <c r="AV89" s="550"/>
      <c r="AW89" s="550"/>
      <c r="AX89" s="550"/>
      <c r="AY89" s="550"/>
      <c r="AZ89" s="550"/>
      <c r="BA89" s="550"/>
      <c r="BB89" s="550"/>
      <c r="BC89" s="550"/>
      <c r="BD89" s="550"/>
      <c r="BE89" s="550"/>
      <c r="BF89" s="550"/>
      <c r="BG89" s="550"/>
      <c r="BH89" s="550"/>
      <c r="BI89" s="550"/>
      <c r="BJ89" s="550"/>
      <c r="BK89" s="550"/>
      <c r="BL89" s="550"/>
      <c r="BM89" s="550"/>
      <c r="BN89" s="550"/>
      <c r="BO89" s="550"/>
      <c r="BP89" s="550"/>
      <c r="BQ89" s="550"/>
      <c r="BR89" s="550"/>
      <c r="BS89" s="550"/>
      <c r="BT89" s="550"/>
      <c r="BU89" s="550"/>
      <c r="BV89" s="550"/>
      <c r="BW89" s="550"/>
      <c r="BX89" s="550"/>
      <c r="BY89" s="550"/>
      <c r="BZ89" s="550"/>
      <c r="CA89" s="550"/>
      <c r="CB89" s="550"/>
      <c r="CC89" s="550"/>
      <c r="CD89" s="550"/>
      <c r="CE89" s="550"/>
      <c r="CF89" s="550"/>
      <c r="CG89" s="550"/>
      <c r="CH89" s="550"/>
      <c r="CI89" s="550"/>
      <c r="CJ89" s="550"/>
      <c r="CK89" s="550"/>
      <c r="CL89" s="550"/>
      <c r="CM89" s="550"/>
      <c r="CN89" s="550"/>
      <c r="CO89" s="550"/>
      <c r="CP89" s="550"/>
      <c r="CQ89" s="550"/>
      <c r="CR89" s="550"/>
      <c r="CS89" s="550"/>
      <c r="CT89" s="550"/>
      <c r="CU89" s="550"/>
      <c r="CV89" s="550"/>
      <c r="CW89" s="550"/>
    </row>
    <row r="90" spans="1:101" x14ac:dyDescent="0.2">
      <c r="A90" s="344">
        <f>+SUBTOTAL(3,$E$8:$E90)</f>
        <v>83</v>
      </c>
      <c r="B90" s="555">
        <v>45323</v>
      </c>
      <c r="C90" s="347" t="s">
        <v>719</v>
      </c>
      <c r="D90" s="344" t="str">
        <f>+VLOOKUP(C90,'Visual chart Edit'!$B$7:$C$491,2,FALSE)</f>
        <v>DA+3</v>
      </c>
      <c r="E90" s="344" t="s">
        <v>143</v>
      </c>
      <c r="F90" s="551">
        <v>45329</v>
      </c>
      <c r="G90" s="551">
        <v>45334</v>
      </c>
      <c r="H90" s="552" t="s">
        <v>876</v>
      </c>
      <c r="I90" s="553" t="s">
        <v>1024</v>
      </c>
      <c r="J90" s="554">
        <f t="shared" si="1"/>
        <v>5</v>
      </c>
      <c r="K90" s="550"/>
      <c r="L90" s="550"/>
      <c r="M90" s="550"/>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50"/>
      <c r="AQ90" s="550"/>
      <c r="AR90" s="550"/>
      <c r="AS90" s="550"/>
      <c r="AT90" s="550"/>
      <c r="AU90" s="550"/>
      <c r="AV90" s="550"/>
      <c r="AW90" s="550"/>
      <c r="AX90" s="550"/>
      <c r="AY90" s="550"/>
      <c r="AZ90" s="550"/>
      <c r="BA90" s="550"/>
      <c r="BB90" s="550"/>
      <c r="BC90" s="550"/>
      <c r="BD90" s="550"/>
      <c r="BE90" s="550"/>
      <c r="BF90" s="550"/>
      <c r="BG90" s="550"/>
      <c r="BH90" s="550"/>
      <c r="BI90" s="550"/>
      <c r="BJ90" s="550"/>
      <c r="BK90" s="550"/>
      <c r="BL90" s="550"/>
      <c r="BM90" s="550"/>
      <c r="BN90" s="550"/>
      <c r="BO90" s="550"/>
      <c r="BP90" s="550"/>
      <c r="BQ90" s="550"/>
      <c r="BR90" s="550"/>
      <c r="BS90" s="550"/>
      <c r="BT90" s="550"/>
      <c r="BU90" s="550"/>
      <c r="BV90" s="550"/>
      <c r="BW90" s="550"/>
      <c r="BX90" s="550"/>
      <c r="BY90" s="550"/>
      <c r="BZ90" s="550"/>
      <c r="CA90" s="550"/>
      <c r="CB90" s="550"/>
      <c r="CC90" s="550"/>
      <c r="CD90" s="550"/>
      <c r="CE90" s="550"/>
      <c r="CF90" s="550"/>
      <c r="CG90" s="550"/>
      <c r="CH90" s="550"/>
      <c r="CI90" s="550"/>
      <c r="CJ90" s="550"/>
      <c r="CK90" s="550"/>
      <c r="CL90" s="550"/>
      <c r="CM90" s="550"/>
      <c r="CN90" s="550"/>
      <c r="CO90" s="550"/>
      <c r="CP90" s="550"/>
      <c r="CQ90" s="550"/>
      <c r="CR90" s="550"/>
      <c r="CS90" s="550"/>
      <c r="CT90" s="550"/>
      <c r="CU90" s="550"/>
      <c r="CV90" s="550"/>
      <c r="CW90" s="550"/>
    </row>
    <row r="91" spans="1:101" x14ac:dyDescent="0.2">
      <c r="A91" s="344">
        <f>+SUBTOTAL(3,$E$8:$E91)</f>
        <v>84</v>
      </c>
      <c r="B91" s="555">
        <v>45323</v>
      </c>
      <c r="C91" s="347" t="s">
        <v>767</v>
      </c>
      <c r="D91" s="344" t="str">
        <f>+VLOOKUP(C91,'Visual chart Edit'!$B$7:$C$491,2,FALSE)</f>
        <v>DA+9</v>
      </c>
      <c r="E91" s="344" t="s">
        <v>416</v>
      </c>
      <c r="F91" s="551">
        <v>45333</v>
      </c>
      <c r="G91" s="551">
        <v>45334</v>
      </c>
      <c r="H91" s="552" t="s">
        <v>1009</v>
      </c>
      <c r="I91" s="553" t="s">
        <v>1024</v>
      </c>
      <c r="J91" s="554">
        <f t="shared" si="1"/>
        <v>1</v>
      </c>
      <c r="K91" s="550"/>
      <c r="L91" s="550"/>
      <c r="M91" s="550"/>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50"/>
      <c r="AQ91" s="550"/>
      <c r="AR91" s="550"/>
      <c r="AS91" s="550"/>
      <c r="AT91" s="550"/>
      <c r="AU91" s="550"/>
      <c r="AV91" s="550"/>
      <c r="AW91" s="550"/>
      <c r="AX91" s="550"/>
      <c r="AY91" s="550"/>
      <c r="AZ91" s="550"/>
      <c r="BA91" s="550"/>
      <c r="BB91" s="550"/>
      <c r="BC91" s="550"/>
      <c r="BD91" s="550"/>
      <c r="BE91" s="550"/>
      <c r="BF91" s="550"/>
      <c r="BG91" s="550"/>
      <c r="BH91" s="550"/>
      <c r="BI91" s="550"/>
      <c r="BJ91" s="550"/>
      <c r="BK91" s="550"/>
      <c r="BL91" s="550"/>
      <c r="BM91" s="550"/>
      <c r="BN91" s="550"/>
      <c r="BO91" s="550"/>
      <c r="BP91" s="550"/>
      <c r="BQ91" s="550"/>
      <c r="BR91" s="550"/>
      <c r="BS91" s="550"/>
      <c r="BT91" s="550"/>
      <c r="BU91" s="550"/>
      <c r="BV91" s="550"/>
      <c r="BW91" s="550"/>
      <c r="BX91" s="550"/>
      <c r="BY91" s="550"/>
      <c r="BZ91" s="550"/>
      <c r="CA91" s="550"/>
      <c r="CB91" s="550"/>
      <c r="CC91" s="550"/>
      <c r="CD91" s="550"/>
      <c r="CE91" s="550"/>
      <c r="CF91" s="550"/>
      <c r="CG91" s="550"/>
      <c r="CH91" s="550"/>
      <c r="CI91" s="550"/>
      <c r="CJ91" s="550"/>
      <c r="CK91" s="550"/>
      <c r="CL91" s="550"/>
      <c r="CM91" s="550"/>
      <c r="CN91" s="550"/>
      <c r="CO91" s="550"/>
      <c r="CP91" s="550"/>
      <c r="CQ91" s="550"/>
      <c r="CR91" s="550"/>
      <c r="CS91" s="550"/>
      <c r="CT91" s="550"/>
      <c r="CU91" s="550"/>
      <c r="CV91" s="550"/>
      <c r="CW91" s="550"/>
    </row>
    <row r="92" spans="1:101" x14ac:dyDescent="0.2">
      <c r="A92" s="344">
        <f>+SUBTOTAL(3,$E$8:$E92)</f>
        <v>85</v>
      </c>
      <c r="B92" s="555">
        <v>45323</v>
      </c>
      <c r="C92" s="347" t="s">
        <v>100</v>
      </c>
      <c r="D92" s="344" t="str">
        <f>+VLOOKUP(C92,'Visual chart Edit'!$B$7:$C$491,2,FALSE)</f>
        <v>DC1+0</v>
      </c>
      <c r="E92" s="344" t="s">
        <v>32</v>
      </c>
      <c r="F92" s="551">
        <v>45331</v>
      </c>
      <c r="G92" s="551">
        <v>45335</v>
      </c>
      <c r="H92" s="552" t="s">
        <v>236</v>
      </c>
      <c r="I92" s="553" t="s">
        <v>1006</v>
      </c>
      <c r="J92" s="554">
        <f t="shared" si="1"/>
        <v>4</v>
      </c>
      <c r="K92" s="550"/>
      <c r="L92" s="550"/>
      <c r="M92" s="550"/>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50"/>
      <c r="AQ92" s="550"/>
      <c r="AR92" s="550"/>
      <c r="AS92" s="550"/>
      <c r="AT92" s="550"/>
      <c r="AU92" s="550"/>
      <c r="AV92" s="550"/>
      <c r="AW92" s="550"/>
      <c r="AX92" s="550"/>
      <c r="AY92" s="550"/>
      <c r="AZ92" s="550"/>
      <c r="BA92" s="550"/>
      <c r="BB92" s="550"/>
      <c r="BC92" s="550"/>
      <c r="BD92" s="550"/>
      <c r="BE92" s="550"/>
      <c r="BF92" s="550"/>
      <c r="BG92" s="550"/>
      <c r="BH92" s="550"/>
      <c r="BI92" s="550"/>
      <c r="BJ92" s="550"/>
      <c r="BK92" s="550"/>
      <c r="BL92" s="550"/>
      <c r="BM92" s="550"/>
      <c r="BN92" s="550"/>
      <c r="BO92" s="550"/>
      <c r="BP92" s="550"/>
      <c r="BQ92" s="550"/>
      <c r="BR92" s="550"/>
      <c r="BS92" s="550"/>
      <c r="BT92" s="550"/>
      <c r="BU92" s="550"/>
      <c r="BV92" s="550"/>
      <c r="BW92" s="550"/>
      <c r="BX92" s="550"/>
      <c r="BY92" s="550"/>
      <c r="BZ92" s="550"/>
      <c r="CA92" s="550"/>
      <c r="CB92" s="550"/>
      <c r="CC92" s="550"/>
      <c r="CD92" s="550"/>
      <c r="CE92" s="550"/>
      <c r="CF92" s="550"/>
      <c r="CG92" s="550"/>
      <c r="CH92" s="550"/>
      <c r="CI92" s="550"/>
      <c r="CJ92" s="550"/>
      <c r="CK92" s="550"/>
      <c r="CL92" s="550"/>
      <c r="CM92" s="550"/>
      <c r="CN92" s="550"/>
      <c r="CO92" s="550"/>
      <c r="CP92" s="550"/>
      <c r="CQ92" s="550"/>
      <c r="CR92" s="550"/>
      <c r="CS92" s="550"/>
      <c r="CT92" s="550"/>
      <c r="CU92" s="550"/>
      <c r="CV92" s="550"/>
      <c r="CW92" s="550"/>
    </row>
    <row r="93" spans="1:101" x14ac:dyDescent="0.2">
      <c r="A93" s="344">
        <f>+SUBTOTAL(3,$E$8:$E93)</f>
        <v>86</v>
      </c>
      <c r="B93" s="555">
        <v>45323</v>
      </c>
      <c r="C93" s="347" t="s">
        <v>720</v>
      </c>
      <c r="D93" s="344" t="str">
        <f>+VLOOKUP(C93,'Visual chart Edit'!$B$7:$C$491,2,FALSE)</f>
        <v>DA+6</v>
      </c>
      <c r="E93" s="344" t="s">
        <v>143</v>
      </c>
      <c r="F93" s="551">
        <v>45331</v>
      </c>
      <c r="G93" s="551">
        <v>45335</v>
      </c>
      <c r="H93" s="552" t="s">
        <v>876</v>
      </c>
      <c r="I93" s="553" t="s">
        <v>1024</v>
      </c>
      <c r="J93" s="554">
        <f t="shared" si="1"/>
        <v>4</v>
      </c>
      <c r="K93" s="550"/>
      <c r="L93" s="550"/>
      <c r="M93" s="550"/>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50"/>
      <c r="AQ93" s="550"/>
      <c r="AR93" s="550"/>
      <c r="AS93" s="550"/>
      <c r="AT93" s="550"/>
      <c r="AU93" s="550"/>
      <c r="AV93" s="550"/>
      <c r="AW93" s="550"/>
      <c r="AX93" s="550"/>
      <c r="AY93" s="550"/>
      <c r="AZ93" s="550"/>
      <c r="BA93" s="550"/>
      <c r="BB93" s="550"/>
      <c r="BC93" s="550"/>
      <c r="BD93" s="550"/>
      <c r="BE93" s="550"/>
      <c r="BF93" s="550"/>
      <c r="BG93" s="550"/>
      <c r="BH93" s="550"/>
      <c r="BI93" s="550"/>
      <c r="BJ93" s="550"/>
      <c r="BK93" s="550"/>
      <c r="BL93" s="550"/>
      <c r="BM93" s="550"/>
      <c r="BN93" s="550"/>
      <c r="BO93" s="550"/>
      <c r="BP93" s="550"/>
      <c r="BQ93" s="550"/>
      <c r="BR93" s="550"/>
      <c r="BS93" s="550"/>
      <c r="BT93" s="550"/>
      <c r="BU93" s="550"/>
      <c r="BV93" s="550"/>
      <c r="BW93" s="550"/>
      <c r="BX93" s="550"/>
      <c r="BY93" s="550"/>
      <c r="BZ93" s="550"/>
      <c r="CA93" s="550"/>
      <c r="CB93" s="550"/>
      <c r="CC93" s="550"/>
      <c r="CD93" s="550"/>
      <c r="CE93" s="550"/>
      <c r="CF93" s="550"/>
      <c r="CG93" s="550"/>
      <c r="CH93" s="550"/>
      <c r="CI93" s="550"/>
      <c r="CJ93" s="550"/>
      <c r="CK93" s="550"/>
      <c r="CL93" s="550"/>
      <c r="CM93" s="550"/>
      <c r="CN93" s="550"/>
      <c r="CO93" s="550"/>
      <c r="CP93" s="550"/>
      <c r="CQ93" s="550"/>
      <c r="CR93" s="550"/>
      <c r="CS93" s="550"/>
      <c r="CT93" s="550"/>
      <c r="CU93" s="550"/>
      <c r="CV93" s="550"/>
      <c r="CW93" s="550"/>
    </row>
    <row r="94" spans="1:101" x14ac:dyDescent="0.2">
      <c r="A94" s="344">
        <f>+SUBTOTAL(3,$E$8:$E94)</f>
        <v>87</v>
      </c>
      <c r="B94" s="555">
        <v>45323</v>
      </c>
      <c r="C94" s="347" t="s">
        <v>785</v>
      </c>
      <c r="D94" s="344" t="str">
        <f>+VLOOKUP(C94,'Visual chart Edit'!$B$7:$C$491,2,FALSE)</f>
        <v>DA+9</v>
      </c>
      <c r="E94" s="344" t="s">
        <v>416</v>
      </c>
      <c r="F94" s="551">
        <v>45333</v>
      </c>
      <c r="G94" s="551">
        <v>45335</v>
      </c>
      <c r="H94" s="552" t="s">
        <v>874</v>
      </c>
      <c r="I94" s="553" t="s">
        <v>1024</v>
      </c>
      <c r="J94" s="554">
        <f t="shared" si="1"/>
        <v>2</v>
      </c>
      <c r="K94" s="550"/>
      <c r="L94" s="550"/>
      <c r="M94" s="550"/>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50"/>
      <c r="AQ94" s="550"/>
      <c r="AR94" s="550"/>
      <c r="AS94" s="550"/>
      <c r="AT94" s="550"/>
      <c r="AU94" s="550"/>
      <c r="AV94" s="550"/>
      <c r="AW94" s="550"/>
      <c r="AX94" s="550"/>
      <c r="AY94" s="550"/>
      <c r="AZ94" s="550"/>
      <c r="BA94" s="550"/>
      <c r="BB94" s="550"/>
      <c r="BC94" s="550"/>
      <c r="BD94" s="550"/>
      <c r="BE94" s="550"/>
      <c r="BF94" s="550"/>
      <c r="BG94" s="550"/>
      <c r="BH94" s="550"/>
      <c r="BI94" s="550"/>
      <c r="BJ94" s="550"/>
      <c r="BK94" s="550"/>
      <c r="BL94" s="550"/>
      <c r="BM94" s="550"/>
      <c r="BN94" s="550"/>
      <c r="BO94" s="550"/>
      <c r="BP94" s="550"/>
      <c r="BQ94" s="550"/>
      <c r="BR94" s="550"/>
      <c r="BS94" s="550"/>
      <c r="BT94" s="550"/>
      <c r="BU94" s="550"/>
      <c r="BV94" s="550"/>
      <c r="BW94" s="550"/>
      <c r="BX94" s="550"/>
      <c r="BY94" s="550"/>
      <c r="BZ94" s="550"/>
      <c r="CA94" s="550"/>
      <c r="CB94" s="550"/>
      <c r="CC94" s="550"/>
      <c r="CD94" s="550"/>
      <c r="CE94" s="550"/>
      <c r="CF94" s="550"/>
      <c r="CG94" s="550"/>
      <c r="CH94" s="550"/>
      <c r="CI94" s="550"/>
      <c r="CJ94" s="550"/>
      <c r="CK94" s="550"/>
      <c r="CL94" s="550"/>
      <c r="CM94" s="550"/>
      <c r="CN94" s="550"/>
      <c r="CO94" s="550"/>
      <c r="CP94" s="550"/>
      <c r="CQ94" s="550"/>
      <c r="CR94" s="550"/>
      <c r="CS94" s="550"/>
      <c r="CT94" s="550"/>
      <c r="CU94" s="550"/>
      <c r="CV94" s="550"/>
      <c r="CW94" s="550"/>
    </row>
    <row r="95" spans="1:101" x14ac:dyDescent="0.2">
      <c r="A95" s="344">
        <f>+SUBTOTAL(3,$E$8:$E95)</f>
        <v>88</v>
      </c>
      <c r="B95" s="555">
        <v>45323</v>
      </c>
      <c r="C95" s="347" t="s">
        <v>62</v>
      </c>
      <c r="D95" s="344" t="str">
        <f>+VLOOKUP(C95,'Visual chart Edit'!$B$7:$C$491,2,FALSE)</f>
        <v>DA+6</v>
      </c>
      <c r="E95" s="344" t="s">
        <v>143</v>
      </c>
      <c r="F95" s="551">
        <v>45327</v>
      </c>
      <c r="G95" s="551">
        <v>45338</v>
      </c>
      <c r="H95" s="552" t="s">
        <v>250</v>
      </c>
      <c r="I95" s="553" t="s">
        <v>237</v>
      </c>
      <c r="J95" s="554">
        <f t="shared" si="1"/>
        <v>11</v>
      </c>
      <c r="K95" s="550"/>
      <c r="L95" s="550"/>
      <c r="M95" s="550"/>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50"/>
      <c r="AQ95" s="550"/>
      <c r="AR95" s="550"/>
      <c r="AS95" s="550"/>
      <c r="AT95" s="550"/>
      <c r="AU95" s="550"/>
      <c r="AV95" s="550"/>
      <c r="AW95" s="550"/>
      <c r="AX95" s="550"/>
      <c r="AY95" s="550"/>
      <c r="AZ95" s="550"/>
      <c r="BA95" s="550"/>
      <c r="BB95" s="550"/>
      <c r="BC95" s="550"/>
      <c r="BD95" s="550"/>
      <c r="BE95" s="550"/>
      <c r="BF95" s="550"/>
      <c r="BG95" s="550"/>
      <c r="BH95" s="550"/>
      <c r="BI95" s="550"/>
      <c r="BJ95" s="550"/>
      <c r="BK95" s="550"/>
      <c r="BL95" s="550"/>
      <c r="BM95" s="550"/>
      <c r="BN95" s="550"/>
      <c r="BO95" s="550"/>
      <c r="BP95" s="550"/>
      <c r="BQ95" s="550"/>
      <c r="BR95" s="550"/>
      <c r="BS95" s="550"/>
      <c r="BT95" s="550"/>
      <c r="BU95" s="550"/>
      <c r="BV95" s="550"/>
      <c r="BW95" s="550"/>
      <c r="BX95" s="550"/>
      <c r="BY95" s="550"/>
      <c r="BZ95" s="550"/>
      <c r="CA95" s="550"/>
      <c r="CB95" s="550"/>
      <c r="CC95" s="550"/>
      <c r="CD95" s="550"/>
      <c r="CE95" s="550"/>
      <c r="CF95" s="550"/>
      <c r="CG95" s="550"/>
      <c r="CH95" s="550"/>
      <c r="CI95" s="550"/>
      <c r="CJ95" s="550"/>
      <c r="CK95" s="550"/>
      <c r="CL95" s="550"/>
      <c r="CM95" s="550"/>
      <c r="CN95" s="550"/>
      <c r="CO95" s="550"/>
      <c r="CP95" s="550"/>
      <c r="CQ95" s="550"/>
      <c r="CR95" s="550"/>
      <c r="CS95" s="550"/>
      <c r="CT95" s="550"/>
      <c r="CU95" s="550"/>
      <c r="CV95" s="550"/>
      <c r="CW95" s="550"/>
    </row>
    <row r="96" spans="1:101" x14ac:dyDescent="0.2">
      <c r="A96" s="344">
        <f>+SUBTOTAL(3,$E$8:$E96)</f>
        <v>89</v>
      </c>
      <c r="B96" s="555">
        <v>45323</v>
      </c>
      <c r="C96" s="347" t="s">
        <v>787</v>
      </c>
      <c r="D96" s="344" t="str">
        <f>+VLOOKUP(C96,'Visual chart Edit'!$B$7:$C$491,2,FALSE)</f>
        <v>DA+0</v>
      </c>
      <c r="E96" s="344" t="s">
        <v>416</v>
      </c>
      <c r="F96" s="551">
        <v>45336</v>
      </c>
      <c r="G96" s="551">
        <v>45338</v>
      </c>
      <c r="H96" s="552" t="s">
        <v>874</v>
      </c>
      <c r="I96" s="553" t="s">
        <v>1024</v>
      </c>
      <c r="J96" s="554">
        <f t="shared" si="1"/>
        <v>2</v>
      </c>
      <c r="K96" s="550"/>
      <c r="L96" s="550"/>
      <c r="M96" s="550"/>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50"/>
      <c r="AQ96" s="550"/>
      <c r="AR96" s="550"/>
      <c r="AS96" s="550"/>
      <c r="AT96" s="550"/>
      <c r="AU96" s="550"/>
      <c r="AV96" s="550"/>
      <c r="AW96" s="550"/>
      <c r="AX96" s="550"/>
      <c r="AY96" s="550"/>
      <c r="AZ96" s="550"/>
      <c r="BA96" s="550"/>
      <c r="BB96" s="550"/>
      <c r="BC96" s="550"/>
      <c r="BD96" s="550"/>
      <c r="BE96" s="550"/>
      <c r="BF96" s="550"/>
      <c r="BG96" s="550"/>
      <c r="BH96" s="550"/>
      <c r="BI96" s="550"/>
      <c r="BJ96" s="550"/>
      <c r="BK96" s="550"/>
      <c r="BL96" s="550"/>
      <c r="BM96" s="550"/>
      <c r="BN96" s="550"/>
      <c r="BO96" s="550"/>
      <c r="BP96" s="550"/>
      <c r="BQ96" s="550"/>
      <c r="BR96" s="550"/>
      <c r="BS96" s="550"/>
      <c r="BT96" s="550"/>
      <c r="BU96" s="550"/>
      <c r="BV96" s="550"/>
      <c r="BW96" s="550"/>
      <c r="BX96" s="550"/>
      <c r="BY96" s="550"/>
      <c r="BZ96" s="550"/>
      <c r="CA96" s="550"/>
      <c r="CB96" s="550"/>
      <c r="CC96" s="550"/>
      <c r="CD96" s="550"/>
      <c r="CE96" s="550"/>
      <c r="CF96" s="550"/>
      <c r="CG96" s="550"/>
      <c r="CH96" s="550"/>
      <c r="CI96" s="550"/>
      <c r="CJ96" s="550"/>
      <c r="CK96" s="550"/>
      <c r="CL96" s="550"/>
      <c r="CM96" s="550"/>
      <c r="CN96" s="550"/>
      <c r="CO96" s="550"/>
      <c r="CP96" s="550"/>
      <c r="CQ96" s="550"/>
      <c r="CR96" s="550"/>
      <c r="CS96" s="550"/>
      <c r="CT96" s="550"/>
      <c r="CU96" s="550"/>
      <c r="CV96" s="550"/>
      <c r="CW96" s="550"/>
    </row>
    <row r="97" spans="1:103" x14ac:dyDescent="0.2">
      <c r="A97" s="344">
        <f>+SUBTOTAL(3,$E$8:$E97)</f>
        <v>90</v>
      </c>
      <c r="B97" s="555">
        <v>45323</v>
      </c>
      <c r="C97" s="347" t="s">
        <v>768</v>
      </c>
      <c r="D97" s="344" t="str">
        <f>+VLOOKUP(C97,'Visual chart Edit'!$B$7:$C$491,2,FALSE)</f>
        <v>DA+6</v>
      </c>
      <c r="E97" s="344" t="s">
        <v>276</v>
      </c>
      <c r="F97" s="551">
        <v>45336</v>
      </c>
      <c r="G97" s="551">
        <v>45338</v>
      </c>
      <c r="H97" s="552" t="s">
        <v>1009</v>
      </c>
      <c r="I97" s="553" t="s">
        <v>1024</v>
      </c>
      <c r="J97" s="554">
        <f t="shared" si="1"/>
        <v>2</v>
      </c>
      <c r="K97" s="550"/>
      <c r="L97" s="550"/>
      <c r="M97" s="550"/>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50"/>
      <c r="AQ97" s="550"/>
      <c r="AR97" s="550"/>
      <c r="AS97" s="550"/>
      <c r="AT97" s="550"/>
      <c r="AU97" s="550"/>
      <c r="AV97" s="550"/>
      <c r="AW97" s="550"/>
      <c r="AX97" s="550"/>
      <c r="AY97" s="550"/>
      <c r="AZ97" s="550"/>
      <c r="BA97" s="550"/>
      <c r="BB97" s="550"/>
      <c r="BC97" s="550"/>
      <c r="BD97" s="550"/>
      <c r="BE97" s="550"/>
      <c r="BF97" s="550"/>
      <c r="BG97" s="550"/>
      <c r="BH97" s="550"/>
      <c r="BI97" s="550"/>
      <c r="BJ97" s="550"/>
      <c r="BK97" s="550"/>
      <c r="BL97" s="550"/>
      <c r="BM97" s="550"/>
      <c r="BN97" s="550"/>
      <c r="BO97" s="550"/>
      <c r="BP97" s="550"/>
      <c r="BQ97" s="550"/>
      <c r="BR97" s="550"/>
      <c r="BS97" s="550"/>
      <c r="BT97" s="550"/>
      <c r="BU97" s="550"/>
      <c r="BV97" s="550"/>
      <c r="BW97" s="550"/>
      <c r="BX97" s="550"/>
      <c r="BY97" s="550"/>
      <c r="BZ97" s="550"/>
      <c r="CA97" s="550"/>
      <c r="CB97" s="550"/>
      <c r="CC97" s="550"/>
      <c r="CD97" s="550"/>
      <c r="CE97" s="550"/>
      <c r="CF97" s="550"/>
      <c r="CG97" s="550"/>
      <c r="CH97" s="550"/>
      <c r="CI97" s="550"/>
      <c r="CJ97" s="550"/>
      <c r="CK97" s="550"/>
      <c r="CL97" s="550"/>
      <c r="CM97" s="550"/>
      <c r="CN97" s="550"/>
      <c r="CO97" s="550"/>
      <c r="CP97" s="550"/>
      <c r="CQ97" s="550"/>
      <c r="CR97" s="550"/>
      <c r="CS97" s="550"/>
      <c r="CT97" s="550"/>
      <c r="CU97" s="550"/>
      <c r="CV97" s="550"/>
      <c r="CW97" s="550"/>
    </row>
    <row r="98" spans="1:103" x14ac:dyDescent="0.2">
      <c r="A98" s="344">
        <f>+SUBTOTAL(3,$E$8:$E98)</f>
        <v>91</v>
      </c>
      <c r="B98" s="555">
        <v>45323</v>
      </c>
      <c r="C98" s="347" t="s">
        <v>70</v>
      </c>
      <c r="D98" s="344" t="str">
        <f>+VLOOKUP(C98,'Visual chart Edit'!$B$7:$C$491,2,FALSE)</f>
        <v>DB2+0</v>
      </c>
      <c r="E98" s="344" t="s">
        <v>32</v>
      </c>
      <c r="F98" s="551">
        <v>45327</v>
      </c>
      <c r="G98" s="551">
        <v>45339</v>
      </c>
      <c r="H98" s="552" t="s">
        <v>253</v>
      </c>
      <c r="I98" s="553" t="s">
        <v>237</v>
      </c>
      <c r="J98" s="554">
        <f t="shared" si="1"/>
        <v>12</v>
      </c>
      <c r="K98" s="550"/>
      <c r="L98" s="550"/>
      <c r="M98" s="550"/>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50"/>
      <c r="AQ98" s="550"/>
      <c r="AR98" s="550"/>
      <c r="AS98" s="550"/>
      <c r="AT98" s="550"/>
      <c r="AU98" s="550"/>
      <c r="AV98" s="550"/>
      <c r="AW98" s="550"/>
      <c r="AX98" s="550"/>
      <c r="AY98" s="550"/>
      <c r="AZ98" s="550"/>
      <c r="BA98" s="550"/>
      <c r="BB98" s="550"/>
      <c r="BC98" s="550"/>
      <c r="BD98" s="550"/>
      <c r="BE98" s="550"/>
      <c r="BF98" s="550"/>
      <c r="BG98" s="550"/>
      <c r="BH98" s="550"/>
      <c r="BI98" s="550"/>
      <c r="BJ98" s="550"/>
      <c r="BK98" s="550"/>
      <c r="BL98" s="550"/>
      <c r="BM98" s="550"/>
      <c r="BN98" s="550"/>
      <c r="BO98" s="550"/>
      <c r="BP98" s="550"/>
      <c r="BQ98" s="550"/>
      <c r="BR98" s="550"/>
      <c r="BS98" s="550"/>
      <c r="BT98" s="550"/>
      <c r="BU98" s="550"/>
      <c r="BV98" s="550"/>
      <c r="BW98" s="550"/>
      <c r="BX98" s="550"/>
      <c r="BY98" s="550"/>
      <c r="BZ98" s="550"/>
      <c r="CA98" s="550"/>
      <c r="CB98" s="550"/>
      <c r="CC98" s="550"/>
      <c r="CD98" s="550"/>
      <c r="CE98" s="550"/>
      <c r="CF98" s="550"/>
      <c r="CG98" s="550"/>
      <c r="CH98" s="550"/>
      <c r="CI98" s="550"/>
      <c r="CJ98" s="550"/>
      <c r="CK98" s="550"/>
      <c r="CL98" s="550"/>
      <c r="CM98" s="550"/>
      <c r="CN98" s="550"/>
      <c r="CO98" s="550"/>
      <c r="CP98" s="550"/>
      <c r="CQ98" s="550"/>
      <c r="CR98" s="550"/>
      <c r="CS98" s="550"/>
      <c r="CT98" s="550"/>
      <c r="CU98" s="550"/>
      <c r="CV98" s="550"/>
      <c r="CW98" s="550"/>
    </row>
    <row r="99" spans="1:103" x14ac:dyDescent="0.2">
      <c r="A99" s="344">
        <f>+SUBTOTAL(3,$E$8:$E99)</f>
        <v>92</v>
      </c>
      <c r="B99" s="555">
        <v>45323</v>
      </c>
      <c r="C99" s="347" t="s">
        <v>722</v>
      </c>
      <c r="D99" s="344" t="str">
        <f>+VLOOKUP(C99,'Visual chart Edit'!$B$7:$C$491,2,FALSE)</f>
        <v>DA+9</v>
      </c>
      <c r="E99" s="344" t="s">
        <v>143</v>
      </c>
      <c r="F99" s="551">
        <v>45336</v>
      </c>
      <c r="G99" s="551">
        <v>45339</v>
      </c>
      <c r="H99" s="552" t="s">
        <v>876</v>
      </c>
      <c r="I99" s="553" t="s">
        <v>1024</v>
      </c>
      <c r="J99" s="554">
        <f t="shared" si="1"/>
        <v>3</v>
      </c>
      <c r="K99" s="550"/>
      <c r="L99" s="550"/>
      <c r="M99" s="550"/>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50"/>
      <c r="AQ99" s="550"/>
      <c r="AR99" s="550"/>
      <c r="AS99" s="550"/>
      <c r="AT99" s="550"/>
      <c r="AU99" s="550"/>
      <c r="AV99" s="550"/>
      <c r="AW99" s="550"/>
      <c r="AX99" s="550"/>
      <c r="AY99" s="550"/>
      <c r="AZ99" s="550"/>
      <c r="BA99" s="550"/>
      <c r="BB99" s="550"/>
      <c r="BC99" s="550"/>
      <c r="BD99" s="550"/>
      <c r="BE99" s="550"/>
      <c r="BF99" s="550"/>
      <c r="BG99" s="550"/>
      <c r="BH99" s="550"/>
      <c r="BI99" s="550"/>
      <c r="BJ99" s="550"/>
      <c r="BK99" s="550"/>
      <c r="BL99" s="550"/>
      <c r="BM99" s="550"/>
      <c r="BN99" s="550"/>
      <c r="BO99" s="550"/>
      <c r="BP99" s="550"/>
      <c r="BQ99" s="550"/>
      <c r="BR99" s="550"/>
      <c r="BS99" s="550"/>
      <c r="BT99" s="550"/>
      <c r="BU99" s="550"/>
      <c r="BV99" s="550"/>
      <c r="BW99" s="550"/>
      <c r="BX99" s="550"/>
      <c r="BY99" s="550"/>
      <c r="BZ99" s="550"/>
      <c r="CA99" s="550"/>
      <c r="CB99" s="550"/>
      <c r="CC99" s="550"/>
      <c r="CD99" s="550"/>
      <c r="CE99" s="550"/>
      <c r="CF99" s="550"/>
      <c r="CG99" s="550"/>
      <c r="CH99" s="550"/>
      <c r="CI99" s="550"/>
      <c r="CJ99" s="550"/>
      <c r="CK99" s="550"/>
      <c r="CL99" s="550"/>
      <c r="CM99" s="550"/>
      <c r="CN99" s="550"/>
      <c r="CO99" s="550"/>
      <c r="CP99" s="550"/>
      <c r="CQ99" s="550"/>
      <c r="CR99" s="550"/>
      <c r="CS99" s="550"/>
      <c r="CT99" s="550"/>
      <c r="CU99" s="550"/>
      <c r="CV99" s="550"/>
      <c r="CW99" s="550"/>
    </row>
    <row r="100" spans="1:103" x14ac:dyDescent="0.2">
      <c r="A100" s="344">
        <f>+SUBTOTAL(3,$E$8:$E100)</f>
        <v>93</v>
      </c>
      <c r="B100" s="555">
        <v>45323</v>
      </c>
      <c r="C100" s="346" t="s">
        <v>190</v>
      </c>
      <c r="D100" s="344" t="str">
        <f>+VLOOKUP(C100,'Visual chart Edit'!$B$7:$C$491,2,FALSE)</f>
        <v>DA+3</v>
      </c>
      <c r="E100" s="344" t="s">
        <v>276</v>
      </c>
      <c r="F100" s="551">
        <v>45332</v>
      </c>
      <c r="G100" s="551">
        <v>45340</v>
      </c>
      <c r="H100" s="552" t="s">
        <v>253</v>
      </c>
      <c r="I100" s="553" t="s">
        <v>237</v>
      </c>
      <c r="J100" s="554">
        <f t="shared" si="1"/>
        <v>8</v>
      </c>
      <c r="K100" s="550"/>
      <c r="L100" s="550"/>
      <c r="M100" s="550"/>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50"/>
      <c r="AQ100" s="550"/>
      <c r="AR100" s="550"/>
      <c r="AS100" s="550"/>
      <c r="AT100" s="550"/>
      <c r="AU100" s="550"/>
      <c r="AV100" s="550"/>
      <c r="AW100" s="550"/>
      <c r="AX100" s="550"/>
      <c r="AY100" s="550"/>
      <c r="AZ100" s="550"/>
      <c r="BA100" s="550"/>
      <c r="BB100" s="550"/>
      <c r="BC100" s="550"/>
      <c r="BD100" s="550"/>
      <c r="BE100" s="550"/>
      <c r="BF100" s="550"/>
      <c r="BG100" s="550"/>
      <c r="BH100" s="550"/>
      <c r="BI100" s="550"/>
      <c r="BJ100" s="550"/>
      <c r="BK100" s="550"/>
      <c r="BL100" s="550"/>
      <c r="BM100" s="550"/>
      <c r="BN100" s="550"/>
      <c r="BO100" s="550"/>
      <c r="BP100" s="550"/>
      <c r="BQ100" s="550"/>
      <c r="BR100" s="550"/>
      <c r="BS100" s="550"/>
      <c r="BT100" s="550"/>
      <c r="BU100" s="550"/>
      <c r="BV100" s="550"/>
      <c r="BW100" s="550"/>
      <c r="BX100" s="550"/>
      <c r="BY100" s="550"/>
      <c r="BZ100" s="550"/>
      <c r="CA100" s="550"/>
      <c r="CB100" s="550"/>
      <c r="CC100" s="550"/>
      <c r="CD100" s="550"/>
      <c r="CE100" s="550"/>
      <c r="CF100" s="550"/>
      <c r="CG100" s="550"/>
      <c r="CH100" s="550"/>
      <c r="CI100" s="550"/>
      <c r="CJ100" s="550"/>
      <c r="CK100" s="550"/>
      <c r="CL100" s="550"/>
      <c r="CM100" s="550"/>
      <c r="CN100" s="550"/>
      <c r="CO100" s="550"/>
      <c r="CP100" s="550"/>
      <c r="CQ100" s="550"/>
      <c r="CR100" s="550"/>
      <c r="CS100" s="550"/>
      <c r="CT100" s="550"/>
      <c r="CU100" s="550"/>
      <c r="CV100" s="550"/>
      <c r="CW100" s="550"/>
    </row>
    <row r="101" spans="1:103" x14ac:dyDescent="0.2">
      <c r="A101" s="344">
        <f>+SUBTOTAL(3,$E$8:$E101)</f>
        <v>94</v>
      </c>
      <c r="B101" s="555">
        <v>45323</v>
      </c>
      <c r="C101" s="346" t="s">
        <v>693</v>
      </c>
      <c r="D101" s="344" t="str">
        <f>+VLOOKUP(C101,'Visual chart Edit'!$B$7:$C$491,2,FALSE)</f>
        <v>DA+3</v>
      </c>
      <c r="E101" s="344" t="s">
        <v>143</v>
      </c>
      <c r="F101" s="551">
        <v>45336</v>
      </c>
      <c r="G101" s="551">
        <v>45340</v>
      </c>
      <c r="H101" s="552" t="s">
        <v>877</v>
      </c>
      <c r="I101" s="553" t="s">
        <v>1024</v>
      </c>
      <c r="J101" s="554">
        <f t="shared" si="1"/>
        <v>4</v>
      </c>
      <c r="K101" s="550"/>
      <c r="L101" s="550"/>
      <c r="M101" s="550"/>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50"/>
      <c r="AQ101" s="550"/>
      <c r="AR101" s="550"/>
      <c r="AS101" s="550"/>
      <c r="AT101" s="550"/>
      <c r="AU101" s="550"/>
      <c r="AV101" s="550"/>
      <c r="AW101" s="550"/>
      <c r="AX101" s="550"/>
      <c r="AY101" s="550"/>
      <c r="AZ101" s="550"/>
      <c r="BA101" s="550"/>
      <c r="BB101" s="550"/>
      <c r="BC101" s="550"/>
      <c r="BD101" s="550"/>
      <c r="BE101" s="550"/>
      <c r="BF101" s="550"/>
      <c r="BG101" s="550"/>
      <c r="BH101" s="550"/>
      <c r="BI101" s="550"/>
      <c r="BJ101" s="550"/>
      <c r="BK101" s="550"/>
      <c r="BL101" s="550"/>
      <c r="BM101" s="550"/>
      <c r="BN101" s="550"/>
      <c r="BO101" s="550"/>
      <c r="BP101" s="550"/>
      <c r="BQ101" s="550"/>
      <c r="BR101" s="550"/>
      <c r="BS101" s="550"/>
      <c r="BT101" s="550"/>
      <c r="BU101" s="550"/>
      <c r="BV101" s="550"/>
      <c r="BW101" s="550"/>
      <c r="BX101" s="550"/>
      <c r="BY101" s="550"/>
      <c r="BZ101" s="550"/>
      <c r="CA101" s="550"/>
      <c r="CB101" s="550"/>
      <c r="CC101" s="550"/>
      <c r="CD101" s="550"/>
      <c r="CE101" s="550"/>
      <c r="CF101" s="550"/>
      <c r="CG101" s="550"/>
      <c r="CH101" s="550"/>
      <c r="CI101" s="550"/>
      <c r="CJ101" s="550"/>
      <c r="CK101" s="550"/>
      <c r="CL101" s="550"/>
      <c r="CM101" s="550"/>
      <c r="CN101" s="550"/>
      <c r="CO101" s="550"/>
      <c r="CP101" s="550"/>
      <c r="CQ101" s="550"/>
      <c r="CR101" s="550"/>
      <c r="CS101" s="550"/>
      <c r="CT101" s="550"/>
      <c r="CU101" s="550"/>
      <c r="CV101" s="550"/>
      <c r="CW101" s="550"/>
    </row>
    <row r="102" spans="1:103" x14ac:dyDescent="0.2">
      <c r="A102" s="344">
        <f>+SUBTOTAL(3,$E$8:$E102)</f>
        <v>95</v>
      </c>
      <c r="B102" s="555">
        <v>45323</v>
      </c>
      <c r="C102" s="346" t="s">
        <v>721</v>
      </c>
      <c r="D102" s="344" t="str">
        <f>+VLOOKUP(C102,'Visual chart Edit'!$B$7:$C$491,2,FALSE)</f>
        <v>DA+3</v>
      </c>
      <c r="E102" s="344" t="s">
        <v>143</v>
      </c>
      <c r="F102" s="551">
        <v>45339</v>
      </c>
      <c r="G102" s="551">
        <v>45341</v>
      </c>
      <c r="H102" s="552" t="s">
        <v>876</v>
      </c>
      <c r="I102" s="553" t="s">
        <v>1024</v>
      </c>
      <c r="J102" s="554">
        <f t="shared" si="1"/>
        <v>2</v>
      </c>
      <c r="K102" s="550"/>
      <c r="L102" s="550"/>
      <c r="M102" s="550"/>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50"/>
      <c r="AQ102" s="550"/>
      <c r="AR102" s="550"/>
      <c r="AS102" s="550"/>
      <c r="AT102" s="550"/>
      <c r="AU102" s="550"/>
      <c r="AV102" s="550"/>
      <c r="AW102" s="550"/>
      <c r="AX102" s="550"/>
      <c r="AY102" s="550"/>
      <c r="AZ102" s="550"/>
      <c r="BA102" s="550"/>
      <c r="BB102" s="550"/>
      <c r="BC102" s="550"/>
      <c r="BD102" s="550"/>
      <c r="BE102" s="550"/>
      <c r="BF102" s="550"/>
      <c r="BG102" s="550"/>
      <c r="BH102" s="550"/>
      <c r="BI102" s="550"/>
      <c r="BJ102" s="550"/>
      <c r="BK102" s="550"/>
      <c r="BL102" s="550"/>
      <c r="BM102" s="550"/>
      <c r="BN102" s="550"/>
      <c r="BO102" s="550"/>
      <c r="BP102" s="550"/>
      <c r="BQ102" s="550"/>
      <c r="BR102" s="550"/>
      <c r="BS102" s="550"/>
      <c r="BT102" s="550"/>
      <c r="BU102" s="550"/>
      <c r="BV102" s="550"/>
      <c r="BW102" s="550"/>
      <c r="BX102" s="550"/>
      <c r="BY102" s="550"/>
      <c r="BZ102" s="550"/>
      <c r="CA102" s="550"/>
      <c r="CB102" s="550"/>
      <c r="CC102" s="550"/>
      <c r="CD102" s="550"/>
      <c r="CE102" s="550"/>
      <c r="CF102" s="550"/>
      <c r="CG102" s="550"/>
      <c r="CH102" s="550"/>
      <c r="CI102" s="550"/>
      <c r="CJ102" s="550"/>
      <c r="CK102" s="550"/>
      <c r="CL102" s="550"/>
      <c r="CM102" s="550"/>
      <c r="CN102" s="550"/>
      <c r="CO102" s="550"/>
      <c r="CP102" s="550"/>
      <c r="CQ102" s="550"/>
      <c r="CR102" s="550"/>
      <c r="CS102" s="550"/>
      <c r="CT102" s="550"/>
      <c r="CU102" s="550"/>
      <c r="CV102" s="550"/>
      <c r="CW102" s="550"/>
    </row>
    <row r="103" spans="1:103" x14ac:dyDescent="0.2">
      <c r="A103" s="344">
        <f>+SUBTOTAL(3,$E$8:$E103)</f>
        <v>96</v>
      </c>
      <c r="B103" s="555">
        <v>45323</v>
      </c>
      <c r="C103" s="346" t="s">
        <v>786</v>
      </c>
      <c r="D103" s="344" t="str">
        <f>+VLOOKUP(C103,'Visual chart Edit'!$B$7:$C$491,2,FALSE)</f>
        <v>DA+6</v>
      </c>
      <c r="E103" s="344" t="s">
        <v>276</v>
      </c>
      <c r="F103" s="551">
        <v>45339</v>
      </c>
      <c r="G103" s="551">
        <v>45342</v>
      </c>
      <c r="H103" s="552" t="s">
        <v>874</v>
      </c>
      <c r="I103" s="553" t="s">
        <v>1024</v>
      </c>
      <c r="J103" s="554">
        <f t="shared" si="1"/>
        <v>3</v>
      </c>
      <c r="K103" s="550"/>
      <c r="L103" s="550"/>
      <c r="M103" s="550"/>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50"/>
      <c r="AQ103" s="550"/>
      <c r="AR103" s="550"/>
      <c r="AS103" s="550"/>
      <c r="AT103" s="550"/>
      <c r="AU103" s="550"/>
      <c r="AV103" s="550"/>
      <c r="AW103" s="550"/>
      <c r="AX103" s="550"/>
      <c r="AY103" s="550"/>
      <c r="AZ103" s="550"/>
      <c r="BA103" s="550"/>
      <c r="BB103" s="550"/>
      <c r="BC103" s="550"/>
      <c r="BD103" s="550"/>
      <c r="BE103" s="550"/>
      <c r="BF103" s="550"/>
      <c r="BG103" s="550"/>
      <c r="BH103" s="550"/>
      <c r="BI103" s="550"/>
      <c r="BJ103" s="550"/>
      <c r="BK103" s="550"/>
      <c r="BL103" s="550"/>
      <c r="BM103" s="550"/>
      <c r="BN103" s="550"/>
      <c r="BO103" s="550"/>
      <c r="BP103" s="550"/>
      <c r="BQ103" s="550"/>
      <c r="BR103" s="550"/>
      <c r="BS103" s="550"/>
      <c r="BT103" s="550"/>
      <c r="BU103" s="550"/>
      <c r="BV103" s="550"/>
      <c r="BW103" s="550"/>
      <c r="BX103" s="550"/>
      <c r="BY103" s="550"/>
      <c r="BZ103" s="550"/>
      <c r="CA103" s="550"/>
      <c r="CB103" s="550"/>
      <c r="CC103" s="550"/>
      <c r="CD103" s="550"/>
      <c r="CE103" s="550"/>
      <c r="CF103" s="550"/>
      <c r="CG103" s="550"/>
      <c r="CH103" s="550"/>
      <c r="CI103" s="550"/>
      <c r="CJ103" s="550"/>
      <c r="CK103" s="550"/>
      <c r="CL103" s="550"/>
      <c r="CM103" s="550"/>
      <c r="CN103" s="550"/>
      <c r="CO103" s="550"/>
      <c r="CP103" s="550"/>
      <c r="CQ103" s="550"/>
      <c r="CR103" s="550"/>
      <c r="CS103" s="550"/>
      <c r="CT103" s="550"/>
      <c r="CU103" s="550"/>
      <c r="CV103" s="550"/>
      <c r="CW103" s="550"/>
    </row>
    <row r="104" spans="1:103" s="558" customFormat="1" x14ac:dyDescent="0.2">
      <c r="A104" s="344">
        <f>+SUBTOTAL(3,$E$8:$E104)</f>
        <v>97</v>
      </c>
      <c r="B104" s="555">
        <v>45323</v>
      </c>
      <c r="C104" s="347" t="s">
        <v>789</v>
      </c>
      <c r="D104" s="344" t="str">
        <f>+VLOOKUP(C104,'Visual chart Edit'!$B$7:$C$491,2,FALSE)</f>
        <v>DA+3</v>
      </c>
      <c r="E104" s="344" t="s">
        <v>143</v>
      </c>
      <c r="F104" s="551">
        <v>45339</v>
      </c>
      <c r="G104" s="551">
        <v>45343</v>
      </c>
      <c r="H104" s="552" t="s">
        <v>236</v>
      </c>
      <c r="I104" s="553" t="s">
        <v>1006</v>
      </c>
      <c r="J104" s="554">
        <f t="shared" si="1"/>
        <v>4</v>
      </c>
      <c r="K104" s="557"/>
      <c r="L104" s="557"/>
      <c r="M104" s="557"/>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7"/>
      <c r="AQ104" s="557"/>
      <c r="AR104" s="557"/>
      <c r="AS104" s="557"/>
      <c r="AT104" s="557"/>
      <c r="AU104" s="557"/>
      <c r="AV104" s="557"/>
      <c r="AW104" s="557"/>
      <c r="AX104" s="557"/>
      <c r="AY104" s="557"/>
      <c r="AZ104" s="557"/>
      <c r="BA104" s="557"/>
      <c r="BB104" s="557"/>
      <c r="BC104" s="557"/>
      <c r="BD104" s="557"/>
      <c r="BE104" s="557"/>
      <c r="BF104" s="557"/>
      <c r="BG104" s="557"/>
      <c r="BH104" s="557"/>
      <c r="BI104" s="557"/>
      <c r="BJ104" s="557"/>
      <c r="BK104" s="557"/>
      <c r="BL104" s="557"/>
      <c r="BM104" s="557"/>
      <c r="BN104" s="557"/>
      <c r="BO104" s="557"/>
      <c r="BP104" s="557"/>
      <c r="BQ104" s="557"/>
      <c r="BR104" s="557"/>
      <c r="BS104" s="557"/>
      <c r="BT104" s="557"/>
      <c r="BU104" s="557"/>
      <c r="BV104" s="557"/>
      <c r="BW104" s="557"/>
      <c r="BX104" s="557"/>
      <c r="BY104" s="557"/>
      <c r="BZ104" s="557"/>
      <c r="CA104" s="557"/>
      <c r="CB104" s="557"/>
      <c r="CC104" s="557"/>
      <c r="CD104" s="557"/>
      <c r="CE104" s="557"/>
      <c r="CF104" s="557"/>
      <c r="CG104" s="557"/>
      <c r="CH104" s="557"/>
      <c r="CI104" s="557"/>
      <c r="CJ104" s="557"/>
      <c r="CK104" s="557"/>
      <c r="CL104" s="557"/>
      <c r="CM104" s="557"/>
      <c r="CN104" s="557"/>
      <c r="CO104" s="557"/>
      <c r="CP104" s="557"/>
      <c r="CQ104" s="557"/>
      <c r="CR104" s="557"/>
      <c r="CS104" s="557"/>
      <c r="CT104" s="557"/>
      <c r="CU104" s="557"/>
      <c r="CV104" s="557"/>
      <c r="CW104" s="557"/>
    </row>
    <row r="105" spans="1:103" x14ac:dyDescent="0.2">
      <c r="A105" s="344">
        <f>+SUBTOTAL(3,$E$8:$E105)</f>
        <v>98</v>
      </c>
      <c r="B105" s="555">
        <v>45323</v>
      </c>
      <c r="C105" s="346" t="s">
        <v>728</v>
      </c>
      <c r="D105" s="344" t="str">
        <f>+VLOOKUP(C105,'Visual chart Edit'!$B$7:$C$491,2,FALSE)</f>
        <v>DA+3</v>
      </c>
      <c r="E105" s="344" t="s">
        <v>143</v>
      </c>
      <c r="F105" s="551">
        <v>45343</v>
      </c>
      <c r="G105" s="551">
        <v>45344</v>
      </c>
      <c r="H105" s="552" t="s">
        <v>876</v>
      </c>
      <c r="I105" s="553" t="s">
        <v>1024</v>
      </c>
      <c r="J105" s="554">
        <f t="shared" si="1"/>
        <v>1</v>
      </c>
      <c r="K105" s="550"/>
      <c r="L105" s="550"/>
      <c r="M105" s="550"/>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50"/>
      <c r="AQ105" s="550"/>
      <c r="AR105" s="550"/>
      <c r="AS105" s="550"/>
      <c r="AT105" s="550"/>
      <c r="AU105" s="550"/>
      <c r="AV105" s="550"/>
      <c r="AW105" s="550"/>
      <c r="AX105" s="550"/>
      <c r="AY105" s="550"/>
      <c r="AZ105" s="550"/>
      <c r="BA105" s="550"/>
      <c r="BB105" s="550"/>
      <c r="BC105" s="550"/>
      <c r="BD105" s="550"/>
      <c r="BE105" s="550"/>
      <c r="BF105" s="550"/>
      <c r="BG105" s="550"/>
      <c r="BH105" s="550"/>
      <c r="BI105" s="550"/>
      <c r="BJ105" s="550"/>
      <c r="BK105" s="550"/>
      <c r="BL105" s="550"/>
      <c r="BM105" s="550"/>
      <c r="BN105" s="550"/>
      <c r="BO105" s="550"/>
      <c r="BP105" s="550"/>
      <c r="BQ105" s="550"/>
      <c r="BR105" s="550"/>
      <c r="BS105" s="550"/>
      <c r="BT105" s="550"/>
      <c r="BU105" s="550"/>
      <c r="BV105" s="550"/>
      <c r="BW105" s="550"/>
      <c r="BX105" s="550"/>
      <c r="BY105" s="550"/>
      <c r="BZ105" s="550"/>
      <c r="CA105" s="550"/>
      <c r="CB105" s="550"/>
      <c r="CC105" s="550"/>
      <c r="CD105" s="550"/>
      <c r="CE105" s="550"/>
      <c r="CF105" s="550"/>
      <c r="CG105" s="550"/>
      <c r="CH105" s="550"/>
      <c r="CI105" s="550"/>
      <c r="CJ105" s="550"/>
      <c r="CK105" s="550"/>
      <c r="CL105" s="550"/>
      <c r="CM105" s="550"/>
      <c r="CN105" s="550"/>
      <c r="CO105" s="550"/>
      <c r="CP105" s="550"/>
      <c r="CQ105" s="550"/>
      <c r="CR105" s="550"/>
      <c r="CS105" s="550"/>
      <c r="CT105" s="550"/>
      <c r="CU105" s="550"/>
      <c r="CV105" s="550"/>
      <c r="CW105" s="550"/>
    </row>
    <row r="106" spans="1:103" x14ac:dyDescent="0.2">
      <c r="A106" s="344">
        <f>+SUBTOTAL(3,$E$8:$E106)</f>
        <v>99</v>
      </c>
      <c r="B106" s="555">
        <v>45323</v>
      </c>
      <c r="C106" s="346" t="s">
        <v>819</v>
      </c>
      <c r="D106" s="344" t="str">
        <f>+VLOOKUP(C106,'Visual chart Edit'!$B$7:$C$491,2,FALSE)</f>
        <v>DA+3</v>
      </c>
      <c r="E106" s="344" t="s">
        <v>276</v>
      </c>
      <c r="F106" s="551">
        <v>45345</v>
      </c>
      <c r="G106" s="551">
        <v>45346</v>
      </c>
      <c r="H106" s="552" t="s">
        <v>878</v>
      </c>
      <c r="I106" s="553" t="s">
        <v>1006</v>
      </c>
      <c r="J106" s="554">
        <f t="shared" si="1"/>
        <v>1</v>
      </c>
      <c r="K106" s="550"/>
      <c r="L106" s="550"/>
      <c r="M106" s="550"/>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50"/>
      <c r="AQ106" s="550"/>
      <c r="AR106" s="550"/>
      <c r="AS106" s="550"/>
      <c r="AT106" s="550"/>
      <c r="AU106" s="550"/>
      <c r="AV106" s="550"/>
      <c r="AW106" s="550"/>
      <c r="AX106" s="550"/>
      <c r="AY106" s="550"/>
      <c r="AZ106" s="550"/>
      <c r="BA106" s="550"/>
      <c r="BB106" s="550"/>
      <c r="BC106" s="550"/>
      <c r="BD106" s="550"/>
      <c r="BE106" s="550"/>
      <c r="BF106" s="550"/>
      <c r="BG106" s="550"/>
      <c r="BH106" s="550"/>
      <c r="BI106" s="550"/>
      <c r="BJ106" s="550"/>
      <c r="BK106" s="550"/>
      <c r="BL106" s="550"/>
      <c r="BM106" s="550"/>
      <c r="BN106" s="550"/>
      <c r="BO106" s="550"/>
      <c r="BP106" s="550"/>
      <c r="BQ106" s="550"/>
      <c r="BR106" s="550"/>
      <c r="BS106" s="550"/>
      <c r="BT106" s="550"/>
      <c r="BU106" s="550"/>
      <c r="BV106" s="550"/>
      <c r="BW106" s="550"/>
      <c r="BX106" s="550"/>
      <c r="BY106" s="550"/>
      <c r="BZ106" s="550"/>
      <c r="CA106" s="550"/>
      <c r="CB106" s="550"/>
      <c r="CC106" s="550"/>
      <c r="CD106" s="550"/>
      <c r="CE106" s="550"/>
      <c r="CF106" s="550"/>
      <c r="CG106" s="550"/>
      <c r="CH106" s="550"/>
      <c r="CI106" s="550"/>
      <c r="CJ106" s="550"/>
      <c r="CK106" s="550"/>
      <c r="CL106" s="550"/>
      <c r="CM106" s="550"/>
      <c r="CN106" s="550"/>
      <c r="CO106" s="550"/>
      <c r="CP106" s="550"/>
      <c r="CQ106" s="550"/>
      <c r="CR106" s="550"/>
      <c r="CS106" s="550"/>
      <c r="CT106" s="550"/>
      <c r="CU106" s="550"/>
      <c r="CV106" s="550"/>
      <c r="CW106" s="550"/>
    </row>
    <row r="107" spans="1:103" x14ac:dyDescent="0.2">
      <c r="A107" s="344">
        <f>+SUBTOTAL(3,$E$8:$E107)</f>
        <v>100</v>
      </c>
      <c r="B107" s="555">
        <v>45323</v>
      </c>
      <c r="C107" s="346" t="s">
        <v>769</v>
      </c>
      <c r="D107" s="344" t="str">
        <f>+VLOOKUP(C107,'Visual chart Edit'!$B$7:$C$491,2,FALSE)</f>
        <v>DA+3</v>
      </c>
      <c r="E107" s="344" t="s">
        <v>32</v>
      </c>
      <c r="F107" s="551">
        <v>45342</v>
      </c>
      <c r="G107" s="551">
        <v>45346</v>
      </c>
      <c r="H107" s="552" t="s">
        <v>1009</v>
      </c>
      <c r="I107" s="553" t="s">
        <v>1024</v>
      </c>
      <c r="J107" s="554">
        <f t="shared" si="1"/>
        <v>4</v>
      </c>
      <c r="K107" s="550"/>
      <c r="L107" s="550"/>
      <c r="M107" s="550"/>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50"/>
      <c r="AQ107" s="550"/>
      <c r="AR107" s="550"/>
      <c r="AS107" s="550"/>
      <c r="AT107" s="550"/>
      <c r="AU107" s="550"/>
      <c r="AV107" s="550"/>
      <c r="AW107" s="550"/>
      <c r="AX107" s="550"/>
      <c r="AY107" s="550"/>
      <c r="AZ107" s="550"/>
      <c r="BA107" s="550"/>
      <c r="BB107" s="550"/>
      <c r="BC107" s="550"/>
      <c r="BD107" s="550"/>
      <c r="BE107" s="550"/>
      <c r="BF107" s="550"/>
      <c r="BG107" s="550"/>
      <c r="BH107" s="550"/>
      <c r="BI107" s="550"/>
      <c r="BJ107" s="550"/>
      <c r="BK107" s="550"/>
      <c r="BL107" s="550"/>
      <c r="BM107" s="550"/>
      <c r="BN107" s="550"/>
      <c r="BO107" s="550"/>
      <c r="BP107" s="550"/>
      <c r="BQ107" s="550"/>
      <c r="BR107" s="550"/>
      <c r="BS107" s="550"/>
      <c r="BT107" s="550"/>
      <c r="BU107" s="550"/>
      <c r="BV107" s="550"/>
      <c r="BW107" s="550"/>
      <c r="BX107" s="550"/>
      <c r="BY107" s="550"/>
      <c r="BZ107" s="550"/>
      <c r="CA107" s="550"/>
      <c r="CB107" s="550"/>
      <c r="CC107" s="550"/>
      <c r="CD107" s="550"/>
      <c r="CE107" s="550"/>
      <c r="CF107" s="550"/>
      <c r="CG107" s="550"/>
      <c r="CH107" s="550"/>
      <c r="CI107" s="550"/>
      <c r="CJ107" s="550"/>
      <c r="CK107" s="550"/>
      <c r="CL107" s="550"/>
      <c r="CM107" s="550"/>
      <c r="CN107" s="550"/>
      <c r="CO107" s="550"/>
      <c r="CP107" s="550"/>
      <c r="CQ107" s="550"/>
      <c r="CR107" s="550"/>
      <c r="CS107" s="550"/>
      <c r="CT107" s="550"/>
      <c r="CU107" s="550"/>
      <c r="CV107" s="550"/>
      <c r="CW107" s="550"/>
    </row>
    <row r="108" spans="1:103" x14ac:dyDescent="0.2">
      <c r="A108" s="344">
        <f>+SUBTOTAL(3,$E$8:$E108)</f>
        <v>101</v>
      </c>
      <c r="B108" s="555">
        <v>45323</v>
      </c>
      <c r="C108" s="346" t="s">
        <v>177</v>
      </c>
      <c r="D108" s="344" t="str">
        <f>+VLOOKUP(C108,'Visual chart Edit'!$B$7:$C$491,2,FALSE)</f>
        <v>DA+6</v>
      </c>
      <c r="E108" s="344" t="s">
        <v>276</v>
      </c>
      <c r="F108" s="551">
        <v>45341</v>
      </c>
      <c r="G108" s="551">
        <v>45347</v>
      </c>
      <c r="H108" s="552" t="s">
        <v>377</v>
      </c>
      <c r="I108" s="553" t="s">
        <v>237</v>
      </c>
      <c r="J108" s="554">
        <f t="shared" si="1"/>
        <v>6</v>
      </c>
      <c r="K108" s="550"/>
      <c r="L108" s="550"/>
      <c r="M108" s="550"/>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50"/>
      <c r="AQ108" s="550"/>
      <c r="AR108" s="550"/>
      <c r="AS108" s="550"/>
      <c r="AT108" s="550"/>
      <c r="AU108" s="550"/>
      <c r="AV108" s="550"/>
      <c r="AW108" s="550"/>
      <c r="AX108" s="550"/>
      <c r="AY108" s="550"/>
      <c r="AZ108" s="550"/>
      <c r="BA108" s="550"/>
      <c r="BB108" s="550"/>
      <c r="BC108" s="550"/>
      <c r="BD108" s="550"/>
      <c r="BE108" s="550"/>
      <c r="BF108" s="550"/>
      <c r="BG108" s="550"/>
      <c r="BH108" s="550"/>
      <c r="BI108" s="550"/>
      <c r="BJ108" s="550"/>
      <c r="BK108" s="550"/>
      <c r="BL108" s="550"/>
      <c r="BM108" s="550"/>
      <c r="BN108" s="550"/>
      <c r="BO108" s="550"/>
      <c r="BP108" s="550"/>
      <c r="BQ108" s="550"/>
      <c r="BR108" s="550"/>
      <c r="BS108" s="550"/>
      <c r="BT108" s="550"/>
      <c r="BU108" s="550"/>
      <c r="BV108" s="550"/>
      <c r="BW108" s="550"/>
      <c r="BX108" s="550"/>
      <c r="BY108" s="550"/>
      <c r="BZ108" s="550"/>
      <c r="CA108" s="550"/>
      <c r="CB108" s="550"/>
      <c r="CC108" s="550"/>
      <c r="CD108" s="550"/>
      <c r="CE108" s="550"/>
      <c r="CF108" s="550"/>
      <c r="CG108" s="550"/>
      <c r="CH108" s="550"/>
      <c r="CI108" s="550"/>
      <c r="CJ108" s="550"/>
      <c r="CK108" s="550"/>
      <c r="CL108" s="550"/>
      <c r="CM108" s="550"/>
      <c r="CN108" s="550"/>
      <c r="CO108" s="550"/>
      <c r="CP108" s="550"/>
      <c r="CQ108" s="550"/>
      <c r="CR108" s="550"/>
      <c r="CS108" s="550"/>
      <c r="CT108" s="550"/>
      <c r="CU108" s="550"/>
      <c r="CV108" s="550"/>
      <c r="CW108" s="550"/>
    </row>
    <row r="109" spans="1:103" x14ac:dyDescent="0.2">
      <c r="A109" s="344">
        <f>+SUBTOTAL(3,$E$8:$E109)</f>
        <v>102</v>
      </c>
      <c r="B109" s="555">
        <v>45323</v>
      </c>
      <c r="C109" s="346" t="s">
        <v>770</v>
      </c>
      <c r="D109" s="344" t="str">
        <f>+VLOOKUP(C109,'Visual chart Edit'!$B$7:$C$491,2,FALSE)</f>
        <v>DA+3</v>
      </c>
      <c r="E109" s="344" t="s">
        <v>32</v>
      </c>
      <c r="F109" s="551">
        <v>45347</v>
      </c>
      <c r="G109" s="551">
        <v>45350</v>
      </c>
      <c r="H109" s="552" t="s">
        <v>874</v>
      </c>
      <c r="I109" s="553" t="s">
        <v>1024</v>
      </c>
      <c r="J109" s="554">
        <f t="shared" si="1"/>
        <v>3</v>
      </c>
      <c r="K109" s="550"/>
      <c r="L109" s="550"/>
      <c r="M109" s="550"/>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50"/>
      <c r="AQ109" s="550"/>
      <c r="AR109" s="550"/>
      <c r="AS109" s="550"/>
      <c r="AT109" s="550"/>
      <c r="AU109" s="550"/>
      <c r="AV109" s="550"/>
      <c r="AW109" s="550"/>
      <c r="AX109" s="550"/>
      <c r="AY109" s="550"/>
      <c r="AZ109" s="550"/>
      <c r="BA109" s="550"/>
      <c r="BB109" s="550"/>
      <c r="BC109" s="550"/>
      <c r="BD109" s="550"/>
      <c r="BE109" s="550"/>
      <c r="BF109" s="550"/>
      <c r="BG109" s="550"/>
      <c r="BH109" s="550"/>
      <c r="BI109" s="550"/>
      <c r="BJ109" s="550"/>
      <c r="BK109" s="550"/>
      <c r="BL109" s="550"/>
      <c r="BM109" s="550"/>
      <c r="BN109" s="550"/>
      <c r="BO109" s="550"/>
      <c r="BP109" s="550"/>
      <c r="BQ109" s="550"/>
      <c r="BR109" s="550"/>
      <c r="BS109" s="550"/>
      <c r="BT109" s="550"/>
      <c r="BU109" s="550"/>
      <c r="BV109" s="550"/>
      <c r="BW109" s="550"/>
      <c r="BX109" s="550"/>
      <c r="BY109" s="550"/>
      <c r="BZ109" s="550"/>
      <c r="CA109" s="550"/>
      <c r="CB109" s="550"/>
      <c r="CC109" s="550"/>
      <c r="CD109" s="550"/>
      <c r="CE109" s="550"/>
      <c r="CF109" s="550"/>
      <c r="CG109" s="550"/>
      <c r="CH109" s="550"/>
      <c r="CI109" s="550"/>
      <c r="CJ109" s="550"/>
      <c r="CK109" s="550"/>
      <c r="CL109" s="550"/>
      <c r="CM109" s="550"/>
      <c r="CN109" s="550"/>
      <c r="CO109" s="550"/>
      <c r="CP109" s="550"/>
      <c r="CQ109" s="550"/>
      <c r="CR109" s="550"/>
      <c r="CS109" s="550"/>
      <c r="CT109" s="550"/>
      <c r="CU109" s="550"/>
      <c r="CV109" s="550"/>
      <c r="CW109" s="550"/>
      <c r="CY109" s="559"/>
    </row>
    <row r="110" spans="1:103" x14ac:dyDescent="0.2">
      <c r="A110" s="344">
        <f>+SUBTOTAL(3,$E$8:$E110)</f>
        <v>103</v>
      </c>
      <c r="B110" s="555">
        <v>45323</v>
      </c>
      <c r="C110" s="346" t="s">
        <v>183</v>
      </c>
      <c r="D110" s="344" t="str">
        <f>+VLOOKUP(C110,'Visual chart Edit'!$B$7:$C$491,2,FALSE)</f>
        <v>DA+6</v>
      </c>
      <c r="E110" s="344" t="s">
        <v>143</v>
      </c>
      <c r="F110" s="551">
        <v>45342</v>
      </c>
      <c r="G110" s="551">
        <v>45351</v>
      </c>
      <c r="H110" s="552" t="s">
        <v>250</v>
      </c>
      <c r="I110" s="553" t="s">
        <v>237</v>
      </c>
      <c r="J110" s="554">
        <f t="shared" si="1"/>
        <v>9</v>
      </c>
      <c r="K110" s="550"/>
      <c r="L110" s="550"/>
      <c r="M110" s="550"/>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50"/>
      <c r="AQ110" s="550"/>
      <c r="AR110" s="550"/>
      <c r="AS110" s="550"/>
      <c r="AT110" s="550"/>
      <c r="AU110" s="550"/>
      <c r="AV110" s="550"/>
      <c r="AW110" s="550"/>
      <c r="AX110" s="550"/>
      <c r="AY110" s="550"/>
      <c r="AZ110" s="550"/>
      <c r="BA110" s="550"/>
      <c r="BB110" s="550"/>
      <c r="BC110" s="550"/>
      <c r="BD110" s="550"/>
      <c r="BE110" s="550"/>
      <c r="BF110" s="550"/>
      <c r="BG110" s="550"/>
      <c r="BH110" s="550"/>
      <c r="BI110" s="550"/>
      <c r="BJ110" s="550"/>
      <c r="BK110" s="550"/>
      <c r="BL110" s="550"/>
      <c r="BM110" s="550"/>
      <c r="BN110" s="550"/>
      <c r="BO110" s="550"/>
      <c r="BP110" s="550"/>
      <c r="BQ110" s="550"/>
      <c r="BR110" s="550"/>
      <c r="BS110" s="550"/>
      <c r="BT110" s="550"/>
      <c r="BU110" s="550"/>
      <c r="BV110" s="550"/>
      <c r="BW110" s="550"/>
      <c r="BX110" s="550"/>
      <c r="BY110" s="550"/>
      <c r="BZ110" s="550"/>
      <c r="CA110" s="550"/>
      <c r="CB110" s="550"/>
      <c r="CC110" s="550"/>
      <c r="CD110" s="550"/>
      <c r="CE110" s="550"/>
      <c r="CF110" s="550"/>
      <c r="CG110" s="550"/>
      <c r="CH110" s="550"/>
      <c r="CI110" s="550"/>
      <c r="CJ110" s="550"/>
      <c r="CK110" s="550"/>
      <c r="CL110" s="550"/>
      <c r="CM110" s="550"/>
      <c r="CN110" s="550"/>
      <c r="CO110" s="550"/>
      <c r="CP110" s="550"/>
      <c r="CQ110" s="550"/>
      <c r="CR110" s="550"/>
      <c r="CS110" s="550"/>
      <c r="CT110" s="550"/>
      <c r="CU110" s="550"/>
      <c r="CV110" s="550"/>
      <c r="CW110" s="550"/>
    </row>
    <row r="111" spans="1:103" x14ac:dyDescent="0.2">
      <c r="A111" s="344">
        <f>+SUBTOTAL(3,$E$8:$E111)</f>
        <v>104</v>
      </c>
      <c r="B111" s="555">
        <v>45323</v>
      </c>
      <c r="C111" s="346" t="s">
        <v>820</v>
      </c>
      <c r="D111" s="344" t="str">
        <f>+VLOOKUP(C111,'Visual chart Edit'!$B$7:$C$491,2,FALSE)</f>
        <v>DB1+0</v>
      </c>
      <c r="E111" s="344" t="s">
        <v>276</v>
      </c>
      <c r="F111" s="551">
        <v>45350</v>
      </c>
      <c r="G111" s="551">
        <v>45351</v>
      </c>
      <c r="H111" s="552" t="s">
        <v>878</v>
      </c>
      <c r="I111" s="553" t="s">
        <v>1006</v>
      </c>
      <c r="J111" s="554">
        <f t="shared" si="1"/>
        <v>1</v>
      </c>
      <c r="K111" s="550"/>
      <c r="L111" s="550"/>
      <c r="M111" s="550"/>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50"/>
      <c r="AQ111" s="550"/>
      <c r="AR111" s="550"/>
      <c r="AS111" s="550"/>
      <c r="AT111" s="550"/>
      <c r="AU111" s="550"/>
      <c r="AV111" s="550"/>
      <c r="AW111" s="550"/>
      <c r="AX111" s="550"/>
      <c r="AY111" s="550"/>
      <c r="AZ111" s="550"/>
      <c r="BA111" s="550"/>
      <c r="BB111" s="550"/>
      <c r="BC111" s="550"/>
      <c r="BD111" s="550"/>
      <c r="BE111" s="550"/>
      <c r="BF111" s="550"/>
      <c r="BG111" s="550"/>
      <c r="BH111" s="550"/>
      <c r="BI111" s="550"/>
      <c r="BJ111" s="550"/>
      <c r="BK111" s="550"/>
      <c r="BL111" s="550"/>
      <c r="BM111" s="550"/>
      <c r="BN111" s="550"/>
      <c r="BO111" s="550"/>
      <c r="BP111" s="550"/>
      <c r="BQ111" s="550"/>
      <c r="BR111" s="550"/>
      <c r="BS111" s="550"/>
      <c r="BT111" s="550"/>
      <c r="BU111" s="550"/>
      <c r="BV111" s="550"/>
      <c r="BW111" s="550"/>
      <c r="BX111" s="550"/>
      <c r="BY111" s="550"/>
      <c r="BZ111" s="550"/>
      <c r="CA111" s="550"/>
      <c r="CB111" s="550"/>
      <c r="CC111" s="550"/>
      <c r="CD111" s="550"/>
      <c r="CE111" s="550"/>
      <c r="CF111" s="550"/>
      <c r="CG111" s="550"/>
      <c r="CH111" s="550"/>
      <c r="CI111" s="550"/>
      <c r="CJ111" s="550"/>
      <c r="CK111" s="550"/>
      <c r="CL111" s="550"/>
      <c r="CM111" s="550"/>
      <c r="CN111" s="550"/>
      <c r="CO111" s="550"/>
      <c r="CP111" s="550"/>
      <c r="CQ111" s="550"/>
      <c r="CR111" s="550"/>
      <c r="CS111" s="550"/>
      <c r="CT111" s="550"/>
      <c r="CU111" s="550"/>
      <c r="CV111" s="550"/>
      <c r="CW111" s="550"/>
    </row>
    <row r="112" spans="1:103" x14ac:dyDescent="0.2">
      <c r="A112" s="344">
        <f>+SUBTOTAL(3,$E$8:$E112)</f>
        <v>105</v>
      </c>
      <c r="B112" s="555">
        <v>45323</v>
      </c>
      <c r="C112" s="347" t="s">
        <v>771</v>
      </c>
      <c r="D112" s="344" t="str">
        <f>+VLOOKUP(C112,'Visual chart Edit'!$B$7:$C$491,2,FALSE)</f>
        <v>DA+3</v>
      </c>
      <c r="E112" s="344" t="s">
        <v>32</v>
      </c>
      <c r="F112" s="551">
        <v>45349</v>
      </c>
      <c r="G112" s="551">
        <v>45351</v>
      </c>
      <c r="H112" s="552" t="s">
        <v>874</v>
      </c>
      <c r="I112" s="553" t="s">
        <v>1024</v>
      </c>
      <c r="J112" s="554">
        <f t="shared" si="1"/>
        <v>2</v>
      </c>
      <c r="K112" s="550"/>
      <c r="L112" s="550"/>
      <c r="M112" s="550"/>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50"/>
      <c r="AQ112" s="550"/>
      <c r="AR112" s="550"/>
      <c r="AS112" s="550"/>
      <c r="AT112" s="550"/>
      <c r="AU112" s="550"/>
      <c r="AV112" s="550"/>
      <c r="AW112" s="550"/>
      <c r="AX112" s="550"/>
      <c r="AY112" s="550"/>
      <c r="AZ112" s="550"/>
      <c r="BA112" s="550"/>
      <c r="BB112" s="550"/>
      <c r="BC112" s="550"/>
      <c r="BD112" s="550"/>
      <c r="BE112" s="550"/>
      <c r="BF112" s="550"/>
      <c r="BG112" s="550"/>
      <c r="BH112" s="550"/>
      <c r="BI112" s="550"/>
      <c r="BJ112" s="550"/>
      <c r="BK112" s="550"/>
      <c r="BL112" s="550"/>
      <c r="BM112" s="550"/>
      <c r="BN112" s="550"/>
      <c r="BO112" s="550"/>
      <c r="BP112" s="550"/>
      <c r="BQ112" s="550"/>
      <c r="BR112" s="550"/>
      <c r="BS112" s="550"/>
      <c r="BT112" s="550"/>
      <c r="BU112" s="550"/>
      <c r="BV112" s="550"/>
      <c r="BW112" s="550"/>
      <c r="BX112" s="550"/>
      <c r="BY112" s="550"/>
      <c r="BZ112" s="550"/>
      <c r="CA112" s="550"/>
      <c r="CB112" s="550"/>
      <c r="CC112" s="550"/>
      <c r="CD112" s="550"/>
      <c r="CE112" s="550"/>
      <c r="CF112" s="550"/>
      <c r="CG112" s="550"/>
      <c r="CH112" s="550"/>
      <c r="CI112" s="550"/>
      <c r="CJ112" s="550"/>
      <c r="CK112" s="550"/>
      <c r="CL112" s="550"/>
      <c r="CM112" s="550"/>
      <c r="CN112" s="550"/>
      <c r="CO112" s="550"/>
      <c r="CP112" s="550"/>
      <c r="CQ112" s="550"/>
      <c r="CR112" s="550"/>
      <c r="CS112" s="550"/>
      <c r="CT112" s="550"/>
      <c r="CU112" s="550"/>
      <c r="CV112" s="550"/>
      <c r="CW112" s="550"/>
    </row>
    <row r="113" spans="1:103" x14ac:dyDescent="0.2">
      <c r="A113" s="344">
        <f>+SUBTOTAL(3,$E$8:$E113)</f>
        <v>106</v>
      </c>
      <c r="B113" s="555">
        <v>45352</v>
      </c>
      <c r="C113" s="346" t="s">
        <v>51</v>
      </c>
      <c r="D113" s="344" t="str">
        <f>+VLOOKUP(C113,'Visual chart Edit'!$B$7:$C$491,2,FALSE)</f>
        <v>DA+9</v>
      </c>
      <c r="E113" s="344" t="s">
        <v>143</v>
      </c>
      <c r="F113" s="551">
        <v>45348</v>
      </c>
      <c r="G113" s="551">
        <v>45353</v>
      </c>
      <c r="H113" s="552" t="s">
        <v>377</v>
      </c>
      <c r="I113" s="553" t="s">
        <v>237</v>
      </c>
      <c r="J113" s="554">
        <f t="shared" si="1"/>
        <v>5</v>
      </c>
      <c r="K113" s="550"/>
      <c r="L113" s="550"/>
      <c r="M113" s="550"/>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50"/>
      <c r="AQ113" s="550"/>
      <c r="AR113" s="550"/>
      <c r="AS113" s="550"/>
      <c r="AT113" s="550"/>
      <c r="AU113" s="550"/>
      <c r="AV113" s="550"/>
      <c r="AW113" s="550"/>
      <c r="AX113" s="550"/>
      <c r="AY113" s="550"/>
      <c r="AZ113" s="550"/>
      <c r="BA113" s="550"/>
      <c r="BB113" s="550"/>
      <c r="BC113" s="550"/>
      <c r="BD113" s="550"/>
      <c r="BE113" s="550"/>
      <c r="BF113" s="550"/>
      <c r="BG113" s="550"/>
      <c r="BH113" s="550"/>
      <c r="BI113" s="550"/>
      <c r="BJ113" s="550"/>
      <c r="BK113" s="550"/>
      <c r="BL113" s="550"/>
      <c r="BM113" s="550"/>
      <c r="BN113" s="550"/>
      <c r="BO113" s="550"/>
      <c r="BP113" s="550"/>
      <c r="BQ113" s="550"/>
      <c r="BR113" s="550"/>
      <c r="BS113" s="550"/>
      <c r="BT113" s="550"/>
      <c r="BU113" s="550"/>
      <c r="BV113" s="550"/>
      <c r="BW113" s="550"/>
      <c r="BX113" s="550"/>
      <c r="BY113" s="550"/>
      <c r="BZ113" s="550"/>
      <c r="CA113" s="550"/>
      <c r="CB113" s="550"/>
      <c r="CC113" s="550"/>
      <c r="CD113" s="550"/>
      <c r="CE113" s="550"/>
      <c r="CF113" s="550"/>
      <c r="CG113" s="550"/>
      <c r="CH113" s="550"/>
      <c r="CI113" s="550"/>
      <c r="CJ113" s="550"/>
      <c r="CK113" s="550"/>
      <c r="CL113" s="550"/>
      <c r="CM113" s="550"/>
      <c r="CN113" s="550"/>
      <c r="CO113" s="550"/>
      <c r="CP113" s="550"/>
      <c r="CQ113" s="550"/>
      <c r="CR113" s="550"/>
      <c r="CS113" s="550"/>
      <c r="CT113" s="550"/>
      <c r="CU113" s="550"/>
      <c r="CV113" s="550"/>
      <c r="CW113" s="550"/>
    </row>
    <row r="114" spans="1:103" x14ac:dyDescent="0.2">
      <c r="A114" s="344">
        <f>+SUBTOTAL(3,$E$8:$E114)</f>
        <v>107</v>
      </c>
      <c r="B114" s="555">
        <v>45352</v>
      </c>
      <c r="C114" s="346" t="s">
        <v>788</v>
      </c>
      <c r="D114" s="344" t="str">
        <f>+VLOOKUP(C114,'Visual chart Edit'!$B$7:$C$491,2,FALSE)</f>
        <v>DA+9</v>
      </c>
      <c r="E114" s="344" t="s">
        <v>276</v>
      </c>
      <c r="F114" s="551">
        <v>45325</v>
      </c>
      <c r="G114" s="551">
        <v>45355</v>
      </c>
      <c r="H114" s="552" t="s">
        <v>874</v>
      </c>
      <c r="I114" s="553" t="s">
        <v>1024</v>
      </c>
      <c r="J114" s="554">
        <f t="shared" si="1"/>
        <v>30</v>
      </c>
      <c r="K114" s="550"/>
      <c r="L114" s="550"/>
      <c r="M114" s="550"/>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50"/>
      <c r="AQ114" s="550"/>
      <c r="AR114" s="550"/>
      <c r="AS114" s="550"/>
      <c r="AT114" s="550"/>
      <c r="AU114" s="550"/>
      <c r="AV114" s="550"/>
      <c r="AW114" s="550"/>
      <c r="AX114" s="550"/>
      <c r="AY114" s="550"/>
      <c r="AZ114" s="550"/>
      <c r="BA114" s="550"/>
      <c r="BB114" s="550"/>
      <c r="BC114" s="550"/>
      <c r="BD114" s="550"/>
      <c r="BE114" s="550"/>
      <c r="BF114" s="550"/>
      <c r="BG114" s="550"/>
      <c r="BH114" s="550"/>
      <c r="BI114" s="550"/>
      <c r="BJ114" s="550"/>
      <c r="BK114" s="550"/>
      <c r="BL114" s="550"/>
      <c r="BM114" s="550"/>
      <c r="BN114" s="550"/>
      <c r="BO114" s="550"/>
      <c r="BP114" s="550"/>
      <c r="BQ114" s="550"/>
      <c r="BR114" s="550"/>
      <c r="BS114" s="550"/>
      <c r="BT114" s="550"/>
      <c r="BU114" s="550"/>
      <c r="BV114" s="550"/>
      <c r="BW114" s="550"/>
      <c r="BX114" s="550"/>
      <c r="BY114" s="550"/>
      <c r="BZ114" s="550"/>
      <c r="CA114" s="550"/>
      <c r="CB114" s="550"/>
      <c r="CC114" s="550"/>
      <c r="CD114" s="550"/>
      <c r="CE114" s="550"/>
      <c r="CF114" s="550"/>
      <c r="CG114" s="550"/>
      <c r="CH114" s="550"/>
      <c r="CI114" s="550"/>
      <c r="CJ114" s="550"/>
      <c r="CK114" s="550"/>
      <c r="CL114" s="550"/>
      <c r="CM114" s="550"/>
      <c r="CN114" s="550"/>
      <c r="CO114" s="550"/>
      <c r="CP114" s="550"/>
      <c r="CQ114" s="550"/>
      <c r="CR114" s="550"/>
      <c r="CS114" s="550"/>
      <c r="CT114" s="550"/>
      <c r="CU114" s="550"/>
      <c r="CV114" s="550"/>
      <c r="CW114" s="550"/>
      <c r="CY114" s="559"/>
    </row>
    <row r="115" spans="1:103" x14ac:dyDescent="0.2">
      <c r="A115" s="344">
        <f>+SUBTOTAL(3,$E$8:$E115)</f>
        <v>108</v>
      </c>
      <c r="B115" s="555">
        <v>45352</v>
      </c>
      <c r="C115" s="346" t="s">
        <v>821</v>
      </c>
      <c r="D115" s="344" t="str">
        <f>+VLOOKUP(C115,'Visual chart Edit'!$B$7:$C$491,2,FALSE)</f>
        <v>DA+0</v>
      </c>
      <c r="E115" s="344" t="s">
        <v>276</v>
      </c>
      <c r="F115" s="551">
        <v>45354</v>
      </c>
      <c r="G115" s="551">
        <v>45356</v>
      </c>
      <c r="H115" s="552" t="s">
        <v>878</v>
      </c>
      <c r="I115" s="553" t="s">
        <v>1006</v>
      </c>
      <c r="J115" s="554">
        <f t="shared" si="1"/>
        <v>2</v>
      </c>
      <c r="K115" s="550"/>
      <c r="L115" s="550"/>
      <c r="M115" s="550"/>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50"/>
      <c r="AQ115" s="550"/>
      <c r="AR115" s="550"/>
      <c r="AS115" s="550"/>
      <c r="AT115" s="550"/>
      <c r="AU115" s="550"/>
      <c r="AV115" s="550"/>
      <c r="AW115" s="550"/>
      <c r="AX115" s="550"/>
      <c r="AY115" s="550"/>
      <c r="AZ115" s="550"/>
      <c r="BA115" s="550"/>
      <c r="BB115" s="550"/>
      <c r="BC115" s="550"/>
      <c r="BD115" s="550"/>
      <c r="BE115" s="550"/>
      <c r="BF115" s="550"/>
      <c r="BG115" s="550"/>
      <c r="BH115" s="550"/>
      <c r="BI115" s="550"/>
      <c r="BJ115" s="550"/>
      <c r="BK115" s="550"/>
      <c r="BL115" s="550"/>
      <c r="BM115" s="550"/>
      <c r="BN115" s="550"/>
      <c r="BO115" s="550"/>
      <c r="BP115" s="550"/>
      <c r="BQ115" s="550"/>
      <c r="BR115" s="550"/>
      <c r="BS115" s="550"/>
      <c r="BT115" s="550"/>
      <c r="BU115" s="550"/>
      <c r="BV115" s="550"/>
      <c r="BW115" s="550"/>
      <c r="BX115" s="550"/>
      <c r="BY115" s="550"/>
      <c r="BZ115" s="550"/>
      <c r="CA115" s="550"/>
      <c r="CB115" s="550"/>
      <c r="CC115" s="550"/>
      <c r="CD115" s="550"/>
      <c r="CE115" s="550"/>
      <c r="CF115" s="550"/>
      <c r="CG115" s="550"/>
      <c r="CH115" s="550"/>
      <c r="CI115" s="550"/>
      <c r="CJ115" s="550"/>
      <c r="CK115" s="550"/>
      <c r="CL115" s="550"/>
      <c r="CM115" s="550"/>
      <c r="CN115" s="550"/>
      <c r="CO115" s="550"/>
      <c r="CP115" s="550"/>
      <c r="CQ115" s="550"/>
      <c r="CR115" s="550"/>
      <c r="CS115" s="550"/>
      <c r="CT115" s="550"/>
      <c r="CU115" s="550"/>
      <c r="CV115" s="550"/>
      <c r="CW115" s="550"/>
      <c r="CY115" s="559"/>
    </row>
    <row r="116" spans="1:103" x14ac:dyDescent="0.2">
      <c r="A116" s="344">
        <f>+SUBTOTAL(3,$E$8:$E116)</f>
        <v>109</v>
      </c>
      <c r="B116" s="555">
        <v>45352</v>
      </c>
      <c r="C116" s="346" t="s">
        <v>25</v>
      </c>
      <c r="D116" s="344" t="str">
        <f>+VLOOKUP(C116,'Visual chart Edit'!$B$7:$C$491,2,FALSE)</f>
        <v>DA+0</v>
      </c>
      <c r="E116" s="344" t="s">
        <v>143</v>
      </c>
      <c r="F116" s="551">
        <v>45352</v>
      </c>
      <c r="G116" s="551">
        <v>45360</v>
      </c>
      <c r="H116" s="552" t="s">
        <v>253</v>
      </c>
      <c r="I116" s="553" t="s">
        <v>237</v>
      </c>
      <c r="J116" s="554">
        <f t="shared" si="1"/>
        <v>8</v>
      </c>
      <c r="K116" s="550"/>
      <c r="L116" s="550"/>
      <c r="M116" s="550"/>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50"/>
      <c r="AQ116" s="550"/>
      <c r="AR116" s="550"/>
      <c r="AS116" s="550"/>
      <c r="AT116" s="550"/>
      <c r="AU116" s="550"/>
      <c r="AV116" s="550"/>
      <c r="AW116" s="550"/>
      <c r="AX116" s="550"/>
      <c r="AY116" s="550"/>
      <c r="AZ116" s="550"/>
      <c r="BA116" s="550"/>
      <c r="BB116" s="550"/>
      <c r="BC116" s="550"/>
      <c r="BD116" s="550"/>
      <c r="BE116" s="550"/>
      <c r="BF116" s="550"/>
      <c r="BG116" s="550"/>
      <c r="BH116" s="550"/>
      <c r="BI116" s="550"/>
      <c r="BJ116" s="550"/>
      <c r="BK116" s="550"/>
      <c r="BL116" s="550"/>
      <c r="BM116" s="550"/>
      <c r="BN116" s="550"/>
      <c r="BO116" s="550"/>
      <c r="BP116" s="550"/>
      <c r="BQ116" s="550"/>
      <c r="BR116" s="550"/>
      <c r="BS116" s="550"/>
      <c r="BT116" s="550"/>
      <c r="BU116" s="550"/>
      <c r="BV116" s="550"/>
      <c r="BW116" s="550"/>
      <c r="BX116" s="550"/>
      <c r="BY116" s="550"/>
      <c r="BZ116" s="550"/>
      <c r="CA116" s="550"/>
      <c r="CB116" s="550"/>
      <c r="CC116" s="550"/>
      <c r="CD116" s="550"/>
      <c r="CE116" s="550"/>
      <c r="CF116" s="550"/>
      <c r="CG116" s="550"/>
      <c r="CH116" s="550"/>
      <c r="CI116" s="550"/>
      <c r="CJ116" s="550"/>
      <c r="CK116" s="550"/>
      <c r="CL116" s="550"/>
      <c r="CM116" s="550"/>
      <c r="CN116" s="550"/>
      <c r="CO116" s="550"/>
      <c r="CP116" s="550"/>
      <c r="CQ116" s="550"/>
      <c r="CR116" s="550"/>
      <c r="CS116" s="550"/>
      <c r="CT116" s="550"/>
      <c r="CU116" s="550"/>
      <c r="CV116" s="550"/>
      <c r="CW116" s="550"/>
    </row>
    <row r="117" spans="1:103" x14ac:dyDescent="0.2">
      <c r="A117" s="344">
        <f>+SUBTOTAL(3,$E$8:$E117)</f>
        <v>110</v>
      </c>
      <c r="B117" s="555">
        <v>45352</v>
      </c>
      <c r="C117" s="346" t="s">
        <v>99</v>
      </c>
      <c r="D117" s="344" t="str">
        <f>+VLOOKUP(C117,'Visual chart Edit'!$B$7:$C$491,2,FALSE)</f>
        <v>DB2+0</v>
      </c>
      <c r="E117" s="344" t="s">
        <v>276</v>
      </c>
      <c r="F117" s="551">
        <v>45357</v>
      </c>
      <c r="G117" s="551">
        <v>45361</v>
      </c>
      <c r="H117" s="552" t="s">
        <v>874</v>
      </c>
      <c r="I117" s="553" t="s">
        <v>1024</v>
      </c>
      <c r="J117" s="554">
        <f t="shared" si="1"/>
        <v>4</v>
      </c>
      <c r="K117" s="550"/>
      <c r="L117" s="550"/>
      <c r="M117" s="550"/>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50"/>
      <c r="AQ117" s="550"/>
      <c r="AR117" s="550"/>
      <c r="AS117" s="550"/>
      <c r="AT117" s="550"/>
      <c r="AU117" s="550"/>
      <c r="AV117" s="550"/>
      <c r="AW117" s="550"/>
      <c r="AX117" s="550"/>
      <c r="AY117" s="550"/>
      <c r="AZ117" s="550"/>
      <c r="BA117" s="550"/>
      <c r="BB117" s="550"/>
      <c r="BC117" s="550"/>
      <c r="BD117" s="550"/>
      <c r="BE117" s="550"/>
      <c r="BF117" s="550"/>
      <c r="BG117" s="550"/>
      <c r="BH117" s="550"/>
      <c r="BI117" s="550"/>
      <c r="BJ117" s="550"/>
      <c r="BK117" s="550"/>
      <c r="BL117" s="550"/>
      <c r="BM117" s="550"/>
      <c r="BN117" s="550"/>
      <c r="BO117" s="550"/>
      <c r="BP117" s="550"/>
      <c r="BQ117" s="550"/>
      <c r="BR117" s="550"/>
      <c r="BS117" s="550"/>
      <c r="BT117" s="550"/>
      <c r="BU117" s="550"/>
      <c r="BV117" s="550"/>
      <c r="BW117" s="550"/>
      <c r="BX117" s="550"/>
      <c r="BY117" s="550"/>
      <c r="BZ117" s="550"/>
      <c r="CA117" s="550"/>
      <c r="CB117" s="550"/>
      <c r="CC117" s="550"/>
      <c r="CD117" s="550"/>
      <c r="CE117" s="550"/>
      <c r="CF117" s="550"/>
      <c r="CG117" s="550"/>
      <c r="CH117" s="550"/>
      <c r="CI117" s="550"/>
      <c r="CJ117" s="550"/>
      <c r="CK117" s="550"/>
      <c r="CL117" s="550"/>
      <c r="CM117" s="550"/>
      <c r="CN117" s="550"/>
      <c r="CO117" s="550"/>
      <c r="CP117" s="550"/>
      <c r="CQ117" s="550"/>
      <c r="CR117" s="550"/>
      <c r="CS117" s="550"/>
      <c r="CT117" s="550"/>
      <c r="CU117" s="550"/>
      <c r="CV117" s="550"/>
      <c r="CW117" s="550"/>
    </row>
    <row r="118" spans="1:103" x14ac:dyDescent="0.2">
      <c r="A118" s="344">
        <f>+SUBTOTAL(3,$E$8:$E118)</f>
        <v>111</v>
      </c>
      <c r="B118" s="555">
        <v>45352</v>
      </c>
      <c r="C118" s="344" t="s">
        <v>782</v>
      </c>
      <c r="D118" s="344" t="str">
        <f>+VLOOKUP(C118,'Visual chart Edit'!$B$7:$C$491,2,FALSE)</f>
        <v>DA+3</v>
      </c>
      <c r="E118" s="344" t="s">
        <v>276</v>
      </c>
      <c r="F118" s="551">
        <v>45364</v>
      </c>
      <c r="G118" s="551">
        <v>45365</v>
      </c>
      <c r="H118" s="552" t="s">
        <v>874</v>
      </c>
      <c r="I118" s="553" t="s">
        <v>1024</v>
      </c>
      <c r="J118" s="554">
        <f t="shared" si="1"/>
        <v>1</v>
      </c>
      <c r="K118" s="550"/>
      <c r="L118" s="550"/>
      <c r="M118" s="550"/>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50"/>
      <c r="AQ118" s="550"/>
      <c r="AR118" s="550"/>
      <c r="AS118" s="550"/>
      <c r="AT118" s="550"/>
      <c r="AU118" s="550"/>
      <c r="AV118" s="550"/>
      <c r="AW118" s="550"/>
      <c r="AX118" s="550"/>
      <c r="AY118" s="550"/>
      <c r="AZ118" s="550"/>
      <c r="BA118" s="550"/>
      <c r="BB118" s="550"/>
      <c r="BC118" s="550"/>
      <c r="BD118" s="550"/>
      <c r="BE118" s="550"/>
      <c r="BF118" s="550"/>
      <c r="BG118" s="550"/>
      <c r="BH118" s="550"/>
      <c r="BI118" s="550"/>
      <c r="BJ118" s="550"/>
      <c r="BK118" s="550"/>
      <c r="BL118" s="550"/>
      <c r="BM118" s="550"/>
      <c r="BN118" s="550"/>
      <c r="BO118" s="550"/>
      <c r="BP118" s="550"/>
      <c r="BQ118" s="550"/>
      <c r="BR118" s="550"/>
      <c r="BS118" s="550"/>
      <c r="BT118" s="550"/>
      <c r="BU118" s="550"/>
      <c r="BV118" s="550"/>
      <c r="BW118" s="550"/>
      <c r="BX118" s="550"/>
      <c r="BY118" s="550"/>
      <c r="BZ118" s="550"/>
      <c r="CA118" s="550"/>
      <c r="CB118" s="550"/>
      <c r="CC118" s="550"/>
      <c r="CD118" s="550"/>
      <c r="CE118" s="550"/>
      <c r="CF118" s="550"/>
      <c r="CG118" s="550"/>
      <c r="CH118" s="550"/>
      <c r="CI118" s="550"/>
      <c r="CJ118" s="550"/>
      <c r="CK118" s="550"/>
      <c r="CL118" s="550"/>
      <c r="CM118" s="550"/>
      <c r="CN118" s="550"/>
      <c r="CO118" s="550"/>
      <c r="CP118" s="550"/>
      <c r="CQ118" s="550"/>
      <c r="CR118" s="550"/>
      <c r="CS118" s="550"/>
      <c r="CT118" s="550"/>
      <c r="CU118" s="550"/>
      <c r="CV118" s="550"/>
      <c r="CW118" s="550"/>
    </row>
    <row r="119" spans="1:103" x14ac:dyDescent="0.2">
      <c r="A119" s="344">
        <f>+SUBTOTAL(3,$E$8:$E119)</f>
        <v>112</v>
      </c>
      <c r="B119" s="555">
        <v>45352</v>
      </c>
      <c r="C119" s="346" t="s">
        <v>694</v>
      </c>
      <c r="D119" s="344" t="str">
        <f>+VLOOKUP(C119,'Visual chart Edit'!$B$7:$C$491,2,FALSE)</f>
        <v>DA+3</v>
      </c>
      <c r="E119" s="344" t="s">
        <v>143</v>
      </c>
      <c r="F119" s="551">
        <v>45364</v>
      </c>
      <c r="G119" s="551">
        <v>45366</v>
      </c>
      <c r="H119" s="552" t="s">
        <v>877</v>
      </c>
      <c r="I119" s="553" t="s">
        <v>1024</v>
      </c>
      <c r="J119" s="554">
        <f t="shared" si="1"/>
        <v>2</v>
      </c>
      <c r="K119" s="550"/>
      <c r="L119" s="550"/>
      <c r="M119" s="550"/>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50"/>
      <c r="AQ119" s="550"/>
      <c r="AR119" s="550"/>
      <c r="AS119" s="550"/>
      <c r="AT119" s="550"/>
      <c r="AU119" s="550"/>
      <c r="AV119" s="550"/>
      <c r="AW119" s="550"/>
      <c r="AX119" s="550"/>
      <c r="AY119" s="550"/>
      <c r="AZ119" s="550"/>
      <c r="BA119" s="550"/>
      <c r="BB119" s="550"/>
      <c r="BC119" s="550"/>
      <c r="BD119" s="550"/>
      <c r="BE119" s="550"/>
      <c r="BF119" s="550"/>
      <c r="BG119" s="550"/>
      <c r="BH119" s="550"/>
      <c r="BI119" s="550"/>
      <c r="BJ119" s="550"/>
      <c r="BK119" s="550"/>
      <c r="BL119" s="550"/>
      <c r="BM119" s="550"/>
      <c r="BN119" s="550"/>
      <c r="BO119" s="550"/>
      <c r="BP119" s="550"/>
      <c r="BQ119" s="550"/>
      <c r="BR119" s="550"/>
      <c r="BS119" s="550"/>
      <c r="BT119" s="550"/>
      <c r="BU119" s="550"/>
      <c r="BV119" s="550"/>
      <c r="BW119" s="550"/>
      <c r="BX119" s="550"/>
      <c r="BY119" s="550"/>
      <c r="BZ119" s="550"/>
      <c r="CA119" s="550"/>
      <c r="CB119" s="550"/>
      <c r="CC119" s="550"/>
      <c r="CD119" s="550"/>
      <c r="CE119" s="550"/>
      <c r="CF119" s="550"/>
      <c r="CG119" s="550"/>
      <c r="CH119" s="550"/>
      <c r="CI119" s="550"/>
      <c r="CJ119" s="550"/>
      <c r="CK119" s="550"/>
      <c r="CL119" s="550"/>
      <c r="CM119" s="550"/>
      <c r="CN119" s="550"/>
      <c r="CO119" s="550"/>
      <c r="CP119" s="550"/>
      <c r="CQ119" s="550"/>
      <c r="CR119" s="550"/>
      <c r="CS119" s="550"/>
      <c r="CT119" s="550"/>
      <c r="CU119" s="550"/>
      <c r="CV119" s="550"/>
      <c r="CW119" s="550"/>
    </row>
    <row r="120" spans="1:103" x14ac:dyDescent="0.2">
      <c r="A120" s="344">
        <f>+SUBTOTAL(3,$E$8:$E120)</f>
        <v>113</v>
      </c>
      <c r="B120" s="555">
        <v>45352</v>
      </c>
      <c r="C120" s="346" t="s">
        <v>68</v>
      </c>
      <c r="D120" s="344" t="str">
        <f>+VLOOKUP(C120,'Visual chart Edit'!$B$7:$C$491,2,FALSE)</f>
        <v>DA+0</v>
      </c>
      <c r="E120" s="344" t="s">
        <v>276</v>
      </c>
      <c r="F120" s="551">
        <v>45322</v>
      </c>
      <c r="G120" s="551">
        <v>45368</v>
      </c>
      <c r="H120" s="552" t="s">
        <v>360</v>
      </c>
      <c r="I120" s="553" t="s">
        <v>237</v>
      </c>
      <c r="J120" s="554">
        <f t="shared" si="1"/>
        <v>46</v>
      </c>
      <c r="K120" s="550"/>
      <c r="L120" s="550"/>
      <c r="M120" s="550"/>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50"/>
      <c r="AQ120" s="550"/>
      <c r="AR120" s="550"/>
      <c r="AS120" s="550"/>
      <c r="AT120" s="550"/>
      <c r="AU120" s="550"/>
      <c r="AV120" s="550"/>
      <c r="AW120" s="550"/>
      <c r="AX120" s="550"/>
      <c r="AY120" s="550"/>
      <c r="AZ120" s="550"/>
      <c r="BA120" s="550"/>
      <c r="BB120" s="550"/>
      <c r="BC120" s="550"/>
      <c r="BD120" s="550"/>
      <c r="BE120" s="550"/>
      <c r="BF120" s="550"/>
      <c r="BG120" s="550"/>
      <c r="BH120" s="550"/>
      <c r="BI120" s="550"/>
      <c r="BJ120" s="550"/>
      <c r="BK120" s="550"/>
      <c r="BL120" s="550"/>
      <c r="BM120" s="550"/>
      <c r="BN120" s="550"/>
      <c r="BO120" s="550"/>
      <c r="BP120" s="550"/>
      <c r="BQ120" s="550"/>
      <c r="BR120" s="550"/>
      <c r="BS120" s="550"/>
      <c r="BT120" s="550"/>
      <c r="BU120" s="550"/>
      <c r="BV120" s="550"/>
      <c r="BW120" s="550"/>
      <c r="BX120" s="550"/>
      <c r="BY120" s="550"/>
      <c r="BZ120" s="550"/>
      <c r="CA120" s="550"/>
      <c r="CB120" s="550"/>
      <c r="CC120" s="550"/>
      <c r="CD120" s="550"/>
      <c r="CE120" s="550"/>
      <c r="CF120" s="550"/>
      <c r="CG120" s="550"/>
      <c r="CH120" s="550"/>
      <c r="CI120" s="550"/>
      <c r="CJ120" s="550"/>
      <c r="CK120" s="550"/>
      <c r="CL120" s="550"/>
      <c r="CM120" s="550"/>
      <c r="CN120" s="550"/>
      <c r="CO120" s="550"/>
      <c r="CP120" s="550"/>
      <c r="CQ120" s="550"/>
      <c r="CR120" s="550"/>
      <c r="CS120" s="550"/>
      <c r="CT120" s="550"/>
      <c r="CU120" s="550"/>
      <c r="CV120" s="550"/>
      <c r="CW120" s="550"/>
    </row>
    <row r="121" spans="1:103" x14ac:dyDescent="0.2">
      <c r="A121" s="344">
        <f>+SUBTOTAL(3,$E$8:$E121)</f>
        <v>114</v>
      </c>
      <c r="B121" s="555">
        <v>45352</v>
      </c>
      <c r="C121" s="346" t="s">
        <v>697</v>
      </c>
      <c r="D121" s="344" t="str">
        <f>+VLOOKUP(C121,'Visual chart Edit'!$B$7:$C$491,2,FALSE)</f>
        <v>DA+0</v>
      </c>
      <c r="E121" s="344" t="s">
        <v>143</v>
      </c>
      <c r="F121" s="551">
        <v>45365</v>
      </c>
      <c r="G121" s="551">
        <v>45368</v>
      </c>
      <c r="H121" s="552" t="s">
        <v>236</v>
      </c>
      <c r="I121" s="553" t="s">
        <v>1024</v>
      </c>
      <c r="J121" s="554">
        <f t="shared" si="1"/>
        <v>3</v>
      </c>
      <c r="K121" s="550"/>
      <c r="L121" s="550"/>
      <c r="M121" s="550"/>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50"/>
      <c r="AQ121" s="550"/>
      <c r="AR121" s="550"/>
      <c r="AS121" s="550"/>
      <c r="AT121" s="550"/>
      <c r="AU121" s="550"/>
      <c r="AV121" s="550"/>
      <c r="AW121" s="550"/>
      <c r="AX121" s="550"/>
      <c r="AY121" s="550"/>
      <c r="AZ121" s="550"/>
      <c r="BA121" s="550"/>
      <c r="BB121" s="550"/>
      <c r="BC121" s="550"/>
      <c r="BD121" s="550"/>
      <c r="BE121" s="550"/>
      <c r="BF121" s="550"/>
      <c r="BG121" s="550"/>
      <c r="BH121" s="550"/>
      <c r="BI121" s="550"/>
      <c r="BJ121" s="550"/>
      <c r="BK121" s="550"/>
      <c r="BL121" s="550"/>
      <c r="BM121" s="550"/>
      <c r="BN121" s="550"/>
      <c r="BO121" s="550"/>
      <c r="BP121" s="550"/>
      <c r="BQ121" s="550"/>
      <c r="BR121" s="550"/>
      <c r="BS121" s="550"/>
      <c r="BT121" s="550"/>
      <c r="BU121" s="550"/>
      <c r="BV121" s="550"/>
      <c r="BW121" s="550"/>
      <c r="BX121" s="550"/>
      <c r="BY121" s="550"/>
      <c r="BZ121" s="550"/>
      <c r="CA121" s="550"/>
      <c r="CB121" s="550"/>
      <c r="CC121" s="550"/>
      <c r="CD121" s="550"/>
      <c r="CE121" s="550"/>
      <c r="CF121" s="550"/>
      <c r="CG121" s="550"/>
      <c r="CH121" s="550"/>
      <c r="CI121" s="550"/>
      <c r="CJ121" s="550"/>
      <c r="CK121" s="550"/>
      <c r="CL121" s="550"/>
      <c r="CM121" s="550"/>
      <c r="CN121" s="550"/>
      <c r="CO121" s="550"/>
      <c r="CP121" s="550"/>
      <c r="CQ121" s="550"/>
      <c r="CR121" s="550"/>
      <c r="CS121" s="550"/>
      <c r="CT121" s="550"/>
      <c r="CU121" s="550"/>
      <c r="CV121" s="550"/>
      <c r="CW121" s="550"/>
    </row>
    <row r="122" spans="1:103" x14ac:dyDescent="0.2">
      <c r="A122" s="344">
        <f>+SUBTOTAL(3,$E$8:$E122)</f>
        <v>115</v>
      </c>
      <c r="B122" s="555">
        <v>45352</v>
      </c>
      <c r="C122" s="346" t="s">
        <v>97</v>
      </c>
      <c r="D122" s="344" t="str">
        <f>+VLOOKUP(C122,'Visual chart Edit'!$B$7:$C$491,2,FALSE)</f>
        <v>DC1+0</v>
      </c>
      <c r="E122" s="344" t="s">
        <v>276</v>
      </c>
      <c r="F122" s="551">
        <v>45366</v>
      </c>
      <c r="G122" s="551">
        <v>45370</v>
      </c>
      <c r="H122" s="552" t="s">
        <v>874</v>
      </c>
      <c r="I122" s="553" t="s">
        <v>1024</v>
      </c>
      <c r="J122" s="554">
        <f t="shared" si="1"/>
        <v>4</v>
      </c>
      <c r="K122" s="550"/>
      <c r="L122" s="550"/>
      <c r="M122" s="550"/>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50"/>
      <c r="AQ122" s="550"/>
      <c r="AR122" s="550"/>
      <c r="AS122" s="550"/>
      <c r="AT122" s="550"/>
      <c r="AU122" s="550"/>
      <c r="AV122" s="550"/>
      <c r="AW122" s="550"/>
      <c r="AX122" s="550"/>
      <c r="AY122" s="550"/>
      <c r="AZ122" s="550"/>
      <c r="BA122" s="550"/>
      <c r="BB122" s="550"/>
      <c r="BC122" s="550"/>
      <c r="BD122" s="550"/>
      <c r="BE122" s="550"/>
      <c r="BF122" s="550"/>
      <c r="BG122" s="550"/>
      <c r="BH122" s="550"/>
      <c r="BI122" s="550"/>
      <c r="BJ122" s="550"/>
      <c r="BK122" s="550"/>
      <c r="BL122" s="550"/>
      <c r="BM122" s="550"/>
      <c r="BN122" s="550"/>
      <c r="BO122" s="550"/>
      <c r="BP122" s="550"/>
      <c r="BQ122" s="550"/>
      <c r="BR122" s="550"/>
      <c r="BS122" s="550"/>
      <c r="BT122" s="550"/>
      <c r="BU122" s="550"/>
      <c r="BV122" s="550"/>
      <c r="BW122" s="550"/>
      <c r="BX122" s="550"/>
      <c r="BY122" s="550"/>
      <c r="BZ122" s="550"/>
      <c r="CA122" s="550"/>
      <c r="CB122" s="550"/>
      <c r="CC122" s="550"/>
      <c r="CD122" s="550"/>
      <c r="CE122" s="550"/>
      <c r="CF122" s="550"/>
      <c r="CG122" s="550"/>
      <c r="CH122" s="550"/>
      <c r="CI122" s="550"/>
      <c r="CJ122" s="550"/>
      <c r="CK122" s="550"/>
      <c r="CL122" s="550"/>
      <c r="CM122" s="550"/>
      <c r="CN122" s="550"/>
      <c r="CO122" s="550"/>
      <c r="CP122" s="550"/>
      <c r="CQ122" s="550"/>
      <c r="CR122" s="550"/>
      <c r="CS122" s="550"/>
      <c r="CT122" s="550"/>
      <c r="CU122" s="550"/>
      <c r="CV122" s="550"/>
      <c r="CW122" s="550"/>
    </row>
    <row r="123" spans="1:103" x14ac:dyDescent="0.2">
      <c r="A123" s="344">
        <f>+SUBTOTAL(3,$E$8:$E123)</f>
        <v>116</v>
      </c>
      <c r="B123" s="555">
        <v>45352</v>
      </c>
      <c r="C123" s="346" t="s">
        <v>695</v>
      </c>
      <c r="D123" s="344" t="str">
        <f>+VLOOKUP(C123,'Visual chart Edit'!$B$7:$C$491,2,FALSE)</f>
        <v>DA+3</v>
      </c>
      <c r="E123" s="344" t="s">
        <v>143</v>
      </c>
      <c r="F123" s="551">
        <v>45366</v>
      </c>
      <c r="G123" s="551">
        <v>45370</v>
      </c>
      <c r="H123" s="552" t="s">
        <v>877</v>
      </c>
      <c r="I123" s="553" t="s">
        <v>1024</v>
      </c>
      <c r="J123" s="554">
        <f t="shared" si="1"/>
        <v>4</v>
      </c>
      <c r="K123" s="550"/>
      <c r="L123" s="550"/>
      <c r="M123" s="550"/>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c r="AR123" s="550"/>
      <c r="AS123" s="550"/>
      <c r="AT123" s="550"/>
      <c r="AU123" s="550"/>
      <c r="AV123" s="550"/>
      <c r="AW123" s="550"/>
      <c r="AX123" s="550"/>
      <c r="AY123" s="550"/>
      <c r="AZ123" s="550"/>
      <c r="BA123" s="550"/>
      <c r="BB123" s="550"/>
      <c r="BC123" s="550"/>
      <c r="BD123" s="550"/>
      <c r="BE123" s="550"/>
      <c r="BF123" s="550"/>
      <c r="BG123" s="550"/>
      <c r="BH123" s="550"/>
      <c r="BI123" s="550"/>
      <c r="BJ123" s="550"/>
      <c r="BK123" s="550"/>
      <c r="BL123" s="550"/>
      <c r="BM123" s="550"/>
      <c r="BN123" s="550"/>
      <c r="BO123" s="550"/>
      <c r="BP123" s="550"/>
      <c r="BQ123" s="550"/>
      <c r="BR123" s="550"/>
      <c r="BS123" s="550"/>
      <c r="BT123" s="550"/>
      <c r="BU123" s="550"/>
      <c r="BV123" s="550"/>
      <c r="BW123" s="550"/>
      <c r="BX123" s="550"/>
      <c r="BY123" s="550"/>
      <c r="BZ123" s="550"/>
      <c r="CA123" s="550"/>
      <c r="CB123" s="550"/>
      <c r="CC123" s="550"/>
      <c r="CD123" s="550"/>
      <c r="CE123" s="550"/>
      <c r="CF123" s="550"/>
      <c r="CG123" s="550"/>
      <c r="CH123" s="550"/>
      <c r="CI123" s="550"/>
      <c r="CJ123" s="550"/>
      <c r="CK123" s="550"/>
      <c r="CL123" s="550"/>
      <c r="CM123" s="550"/>
      <c r="CN123" s="550"/>
      <c r="CO123" s="550"/>
      <c r="CP123" s="550"/>
      <c r="CQ123" s="550"/>
      <c r="CR123" s="550"/>
      <c r="CS123" s="550"/>
      <c r="CT123" s="550"/>
      <c r="CU123" s="550"/>
      <c r="CV123" s="550"/>
      <c r="CW123" s="550"/>
    </row>
    <row r="124" spans="1:103" x14ac:dyDescent="0.2">
      <c r="A124" s="344">
        <f>+SUBTOTAL(3,$E$8:$E124)</f>
        <v>117</v>
      </c>
      <c r="B124" s="555">
        <v>45352</v>
      </c>
      <c r="C124" s="346" t="s">
        <v>696</v>
      </c>
      <c r="D124" s="344" t="str">
        <f>+VLOOKUP(C124,'Visual chart Edit'!$B$7:$C$491,2,FALSE)</f>
        <v>DA+3</v>
      </c>
      <c r="E124" s="344" t="s">
        <v>143</v>
      </c>
      <c r="F124" s="551">
        <v>45369</v>
      </c>
      <c r="G124" s="551">
        <v>45371</v>
      </c>
      <c r="H124" s="552" t="s">
        <v>236</v>
      </c>
      <c r="I124" s="553" t="s">
        <v>1024</v>
      </c>
      <c r="J124" s="554">
        <f t="shared" si="1"/>
        <v>2</v>
      </c>
      <c r="K124" s="550"/>
      <c r="L124" s="550"/>
      <c r="M124" s="550"/>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50"/>
      <c r="AQ124" s="550"/>
      <c r="AR124" s="550"/>
      <c r="AS124" s="550"/>
      <c r="AT124" s="550"/>
      <c r="AU124" s="550"/>
      <c r="AV124" s="550"/>
      <c r="AW124" s="550"/>
      <c r="AX124" s="550"/>
      <c r="AY124" s="550"/>
      <c r="AZ124" s="550"/>
      <c r="BA124" s="550"/>
      <c r="BB124" s="550"/>
      <c r="BC124" s="550"/>
      <c r="BD124" s="550"/>
      <c r="BE124" s="550"/>
      <c r="BF124" s="550"/>
      <c r="BG124" s="550"/>
      <c r="BH124" s="550"/>
      <c r="BI124" s="550"/>
      <c r="BJ124" s="550"/>
      <c r="BK124" s="550"/>
      <c r="BL124" s="550"/>
      <c r="BM124" s="550"/>
      <c r="BN124" s="550"/>
      <c r="BO124" s="550"/>
      <c r="BP124" s="550"/>
      <c r="BQ124" s="550"/>
      <c r="BR124" s="550"/>
      <c r="BS124" s="550"/>
      <c r="BT124" s="550"/>
      <c r="BU124" s="550"/>
      <c r="BV124" s="550"/>
      <c r="BW124" s="550"/>
      <c r="BX124" s="550"/>
      <c r="BY124" s="550"/>
      <c r="BZ124" s="550"/>
      <c r="CA124" s="550"/>
      <c r="CB124" s="550"/>
      <c r="CC124" s="550"/>
      <c r="CD124" s="550"/>
      <c r="CE124" s="550"/>
      <c r="CF124" s="550"/>
      <c r="CG124" s="550"/>
      <c r="CH124" s="550"/>
      <c r="CI124" s="550"/>
      <c r="CJ124" s="550"/>
      <c r="CK124" s="550"/>
      <c r="CL124" s="550"/>
      <c r="CM124" s="550"/>
      <c r="CN124" s="550"/>
      <c r="CO124" s="550"/>
      <c r="CP124" s="550"/>
      <c r="CQ124" s="550"/>
      <c r="CR124" s="550"/>
      <c r="CS124" s="550"/>
      <c r="CT124" s="550"/>
      <c r="CU124" s="550"/>
      <c r="CV124" s="550"/>
      <c r="CW124" s="550"/>
    </row>
    <row r="125" spans="1:103" x14ac:dyDescent="0.2">
      <c r="A125" s="344">
        <f>+SUBTOTAL(3,$E$8:$E125)</f>
        <v>118</v>
      </c>
      <c r="B125" s="555">
        <v>45352</v>
      </c>
      <c r="C125" s="346" t="s">
        <v>689</v>
      </c>
      <c r="D125" s="344" t="str">
        <f>+VLOOKUP(C125,'Visual chart Edit'!$B$7:$C$491,2,FALSE)</f>
        <v>DA+6</v>
      </c>
      <c r="E125" s="344" t="s">
        <v>143</v>
      </c>
      <c r="F125" s="551">
        <v>45369</v>
      </c>
      <c r="G125" s="551">
        <v>45371</v>
      </c>
      <c r="H125" s="552" t="s">
        <v>878</v>
      </c>
      <c r="I125" s="553" t="s">
        <v>1024</v>
      </c>
      <c r="J125" s="554">
        <f t="shared" si="1"/>
        <v>2</v>
      </c>
      <c r="K125" s="550"/>
      <c r="L125" s="550"/>
      <c r="M125" s="550"/>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50"/>
      <c r="AQ125" s="550"/>
      <c r="AR125" s="550"/>
      <c r="AS125" s="550"/>
      <c r="AT125" s="550"/>
      <c r="AU125" s="550"/>
      <c r="AV125" s="550"/>
      <c r="AW125" s="550"/>
      <c r="AX125" s="550"/>
      <c r="AY125" s="550"/>
      <c r="AZ125" s="550"/>
      <c r="BA125" s="550"/>
      <c r="BB125" s="550"/>
      <c r="BC125" s="550"/>
      <c r="BD125" s="550"/>
      <c r="BE125" s="550"/>
      <c r="BF125" s="550"/>
      <c r="BG125" s="550"/>
      <c r="BH125" s="550"/>
      <c r="BI125" s="550"/>
      <c r="BJ125" s="550"/>
      <c r="BK125" s="550"/>
      <c r="BL125" s="550"/>
      <c r="BM125" s="550"/>
      <c r="BN125" s="550"/>
      <c r="BO125" s="550"/>
      <c r="BP125" s="550"/>
      <c r="BQ125" s="550"/>
      <c r="BR125" s="550"/>
      <c r="BS125" s="550"/>
      <c r="BT125" s="550"/>
      <c r="BU125" s="550"/>
      <c r="BV125" s="550"/>
      <c r="BW125" s="550"/>
      <c r="BX125" s="550"/>
      <c r="BY125" s="550"/>
      <c r="BZ125" s="550"/>
      <c r="CA125" s="550"/>
      <c r="CB125" s="550"/>
      <c r="CC125" s="550"/>
      <c r="CD125" s="550"/>
      <c r="CE125" s="550"/>
      <c r="CF125" s="550"/>
      <c r="CG125" s="550"/>
      <c r="CH125" s="550"/>
      <c r="CI125" s="550"/>
      <c r="CJ125" s="550"/>
      <c r="CK125" s="550"/>
      <c r="CL125" s="550"/>
      <c r="CM125" s="550"/>
      <c r="CN125" s="550"/>
      <c r="CO125" s="550"/>
      <c r="CP125" s="550"/>
      <c r="CQ125" s="550"/>
      <c r="CR125" s="550"/>
      <c r="CS125" s="550"/>
      <c r="CT125" s="550"/>
      <c r="CU125" s="550"/>
      <c r="CV125" s="550"/>
      <c r="CW125" s="550"/>
    </row>
    <row r="126" spans="1:103" x14ac:dyDescent="0.2">
      <c r="A126" s="344">
        <f>+SUBTOTAL(3,$E$8:$E126)</f>
        <v>119</v>
      </c>
      <c r="B126" s="555">
        <v>45352</v>
      </c>
      <c r="C126" s="346" t="s">
        <v>688</v>
      </c>
      <c r="D126" s="344" t="str">
        <f>+VLOOKUP(C126,'Visual chart Edit'!$B$7:$C$491,2,FALSE)</f>
        <v>DA+3</v>
      </c>
      <c r="E126" s="344" t="s">
        <v>143</v>
      </c>
      <c r="F126" s="551">
        <v>45372</v>
      </c>
      <c r="G126" s="551">
        <v>45374</v>
      </c>
      <c r="H126" s="552" t="s">
        <v>878</v>
      </c>
      <c r="I126" s="553" t="s">
        <v>1024</v>
      </c>
      <c r="J126" s="554">
        <f t="shared" si="1"/>
        <v>2</v>
      </c>
      <c r="K126" s="550"/>
      <c r="L126" s="550"/>
      <c r="M126" s="550"/>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50"/>
      <c r="AQ126" s="550"/>
      <c r="AR126" s="550"/>
      <c r="AS126" s="550"/>
      <c r="AT126" s="550"/>
      <c r="AU126" s="550"/>
      <c r="AV126" s="550"/>
      <c r="AW126" s="550"/>
      <c r="AX126" s="550"/>
      <c r="AY126" s="550"/>
      <c r="AZ126" s="550"/>
      <c r="BA126" s="550"/>
      <c r="BB126" s="550"/>
      <c r="BC126" s="550"/>
      <c r="BD126" s="550"/>
      <c r="BE126" s="550"/>
      <c r="BF126" s="550"/>
      <c r="BG126" s="550"/>
      <c r="BH126" s="550"/>
      <c r="BI126" s="550"/>
      <c r="BJ126" s="550"/>
      <c r="BK126" s="550"/>
      <c r="BL126" s="550"/>
      <c r="BM126" s="550"/>
      <c r="BN126" s="550"/>
      <c r="BO126" s="550"/>
      <c r="BP126" s="550"/>
      <c r="BQ126" s="550"/>
      <c r="BR126" s="550"/>
      <c r="BS126" s="550"/>
      <c r="BT126" s="550"/>
      <c r="BU126" s="550"/>
      <c r="BV126" s="550"/>
      <c r="BW126" s="550"/>
      <c r="BX126" s="550"/>
      <c r="BY126" s="550"/>
      <c r="BZ126" s="550"/>
      <c r="CA126" s="550"/>
      <c r="CB126" s="550"/>
      <c r="CC126" s="550"/>
      <c r="CD126" s="550"/>
      <c r="CE126" s="550"/>
      <c r="CF126" s="550"/>
      <c r="CG126" s="550"/>
      <c r="CH126" s="550"/>
      <c r="CI126" s="550"/>
      <c r="CJ126" s="550"/>
      <c r="CK126" s="550"/>
      <c r="CL126" s="550"/>
      <c r="CM126" s="550"/>
      <c r="CN126" s="550"/>
      <c r="CO126" s="550"/>
      <c r="CP126" s="550"/>
      <c r="CQ126" s="550"/>
      <c r="CR126" s="550"/>
      <c r="CS126" s="550"/>
      <c r="CT126" s="550"/>
      <c r="CU126" s="550"/>
      <c r="CV126" s="550"/>
      <c r="CW126" s="550"/>
    </row>
    <row r="127" spans="1:103" x14ac:dyDescent="0.2">
      <c r="A127" s="344">
        <f>+SUBTOTAL(3,$E$8:$E127)</f>
        <v>120</v>
      </c>
      <c r="B127" s="555">
        <v>45352</v>
      </c>
      <c r="C127" s="346" t="s">
        <v>687</v>
      </c>
      <c r="D127" s="344" t="str">
        <f>+VLOOKUP(C127,'Visual chart Edit'!$B$7:$C$491,2,FALSE)</f>
        <v>DA+0</v>
      </c>
      <c r="E127" s="344" t="s">
        <v>143</v>
      </c>
      <c r="F127" s="551">
        <v>45377</v>
      </c>
      <c r="G127" s="551">
        <v>45380</v>
      </c>
      <c r="H127" s="552" t="s">
        <v>878</v>
      </c>
      <c r="I127" s="553" t="s">
        <v>1020</v>
      </c>
      <c r="J127" s="554">
        <f t="shared" si="1"/>
        <v>3</v>
      </c>
      <c r="K127" s="550"/>
      <c r="L127" s="550"/>
      <c r="M127" s="550"/>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50"/>
      <c r="AQ127" s="550"/>
      <c r="AR127" s="550"/>
      <c r="AS127" s="550"/>
      <c r="AT127" s="550"/>
      <c r="AU127" s="550"/>
      <c r="AV127" s="550"/>
      <c r="AW127" s="550"/>
      <c r="AX127" s="550"/>
      <c r="AY127" s="550"/>
      <c r="AZ127" s="550"/>
      <c r="BA127" s="550"/>
      <c r="BB127" s="550"/>
      <c r="BC127" s="550"/>
      <c r="BD127" s="550"/>
      <c r="BE127" s="550"/>
      <c r="BF127" s="550"/>
      <c r="BG127" s="550"/>
      <c r="BH127" s="550"/>
      <c r="BI127" s="550"/>
      <c r="BJ127" s="550"/>
      <c r="BK127" s="550"/>
      <c r="BL127" s="550"/>
      <c r="BM127" s="550"/>
      <c r="BN127" s="550"/>
      <c r="BO127" s="550"/>
      <c r="BP127" s="550"/>
      <c r="BQ127" s="550"/>
      <c r="BR127" s="550"/>
      <c r="BS127" s="550"/>
      <c r="BT127" s="550"/>
      <c r="BU127" s="550"/>
      <c r="BV127" s="550"/>
      <c r="BW127" s="550"/>
      <c r="BX127" s="550"/>
      <c r="BY127" s="550"/>
      <c r="BZ127" s="550"/>
      <c r="CA127" s="550"/>
      <c r="CB127" s="550"/>
      <c r="CC127" s="550"/>
      <c r="CD127" s="550"/>
      <c r="CE127" s="550"/>
      <c r="CF127" s="550"/>
      <c r="CG127" s="550"/>
      <c r="CH127" s="550"/>
      <c r="CI127" s="550"/>
      <c r="CJ127" s="550"/>
      <c r="CK127" s="550"/>
      <c r="CL127" s="550"/>
      <c r="CM127" s="550"/>
      <c r="CN127" s="550"/>
      <c r="CO127" s="550"/>
      <c r="CP127" s="550"/>
      <c r="CQ127" s="550"/>
      <c r="CR127" s="550"/>
      <c r="CS127" s="550"/>
      <c r="CT127" s="550"/>
      <c r="CU127" s="550"/>
      <c r="CV127" s="550"/>
      <c r="CW127" s="550"/>
    </row>
    <row r="128" spans="1:103" x14ac:dyDescent="0.2">
      <c r="A128" s="344">
        <f>+SUBTOTAL(3,$E$8:$E128)</f>
        <v>121</v>
      </c>
      <c r="B128" s="555">
        <v>45352</v>
      </c>
      <c r="C128" s="346" t="s">
        <v>686</v>
      </c>
      <c r="D128" s="344" t="str">
        <f>+VLOOKUP(C128,'Visual chart Edit'!$B$7:$C$491,2,FALSE)</f>
        <v>DA+3</v>
      </c>
      <c r="E128" s="344" t="s">
        <v>143</v>
      </c>
      <c r="F128" s="551">
        <v>45381</v>
      </c>
      <c r="G128" s="551">
        <v>45382</v>
      </c>
      <c r="H128" s="552" t="s">
        <v>878</v>
      </c>
      <c r="I128" s="553" t="s">
        <v>1020</v>
      </c>
      <c r="J128" s="554">
        <f t="shared" si="1"/>
        <v>1</v>
      </c>
      <c r="K128" s="550"/>
      <c r="L128" s="550"/>
      <c r="M128" s="550"/>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50"/>
      <c r="AQ128" s="550"/>
      <c r="AR128" s="550"/>
      <c r="AS128" s="550"/>
      <c r="AT128" s="550"/>
      <c r="AU128" s="550"/>
      <c r="AV128" s="550"/>
      <c r="AW128" s="550"/>
      <c r="AX128" s="550"/>
      <c r="AY128" s="550"/>
      <c r="AZ128" s="550"/>
      <c r="BA128" s="550"/>
      <c r="BB128" s="550"/>
      <c r="BC128" s="550"/>
      <c r="BD128" s="550"/>
      <c r="BE128" s="550"/>
      <c r="BF128" s="550"/>
      <c r="BG128" s="550"/>
      <c r="BH128" s="550"/>
      <c r="BI128" s="550"/>
      <c r="BJ128" s="550"/>
      <c r="BK128" s="550"/>
      <c r="BL128" s="550"/>
      <c r="BM128" s="550"/>
      <c r="BN128" s="550"/>
      <c r="BO128" s="550"/>
      <c r="BP128" s="550"/>
      <c r="BQ128" s="550"/>
      <c r="BR128" s="550"/>
      <c r="BS128" s="550"/>
      <c r="BT128" s="550"/>
      <c r="BU128" s="550"/>
      <c r="BV128" s="550"/>
      <c r="BW128" s="550"/>
      <c r="BX128" s="550"/>
      <c r="BY128" s="550"/>
      <c r="BZ128" s="550"/>
      <c r="CA128" s="550"/>
      <c r="CB128" s="550"/>
      <c r="CC128" s="550"/>
      <c r="CD128" s="550"/>
      <c r="CE128" s="550"/>
      <c r="CF128" s="550"/>
      <c r="CG128" s="550"/>
      <c r="CH128" s="550"/>
      <c r="CI128" s="550"/>
      <c r="CJ128" s="550"/>
      <c r="CK128" s="550"/>
      <c r="CL128" s="550"/>
      <c r="CM128" s="550"/>
      <c r="CN128" s="550"/>
      <c r="CO128" s="550"/>
      <c r="CP128" s="550"/>
      <c r="CQ128" s="550"/>
      <c r="CR128" s="550"/>
      <c r="CS128" s="550"/>
      <c r="CT128" s="550"/>
      <c r="CU128" s="550"/>
      <c r="CV128" s="550"/>
      <c r="CW128" s="550"/>
    </row>
    <row r="129" spans="1:101" x14ac:dyDescent="0.2">
      <c r="A129" s="344">
        <f>+SUBTOTAL(3,$E$8:$E129)</f>
        <v>122</v>
      </c>
      <c r="B129" s="555">
        <v>45383</v>
      </c>
      <c r="C129" s="346" t="s">
        <v>707</v>
      </c>
      <c r="D129" s="344" t="str">
        <f>+VLOOKUP(C129,'Visual chart Edit'!$B$7:$C$491,2,FALSE)</f>
        <v>DA+0</v>
      </c>
      <c r="E129" s="344" t="s">
        <v>143</v>
      </c>
      <c r="F129" s="551">
        <v>45373</v>
      </c>
      <c r="G129" s="551">
        <v>45383</v>
      </c>
      <c r="H129" s="552" t="s">
        <v>236</v>
      </c>
      <c r="I129" s="553" t="s">
        <v>1024</v>
      </c>
      <c r="J129" s="554">
        <f t="shared" si="1"/>
        <v>10</v>
      </c>
      <c r="K129" s="550"/>
      <c r="L129" s="550"/>
      <c r="M129" s="550"/>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50"/>
      <c r="AQ129" s="550"/>
      <c r="AR129" s="550"/>
      <c r="AS129" s="550"/>
      <c r="AT129" s="550"/>
      <c r="AU129" s="550"/>
      <c r="AV129" s="550"/>
      <c r="AW129" s="550"/>
      <c r="AX129" s="550"/>
      <c r="AY129" s="550"/>
      <c r="AZ129" s="550"/>
      <c r="BA129" s="550"/>
      <c r="BB129" s="550"/>
      <c r="BC129" s="550"/>
      <c r="BD129" s="550"/>
      <c r="BE129" s="550"/>
      <c r="BF129" s="550"/>
      <c r="BG129" s="550"/>
      <c r="BH129" s="550"/>
      <c r="BI129" s="550"/>
      <c r="BJ129" s="550"/>
      <c r="BK129" s="550"/>
      <c r="BL129" s="550"/>
      <c r="BM129" s="550"/>
      <c r="BN129" s="550"/>
      <c r="BO129" s="550"/>
      <c r="BP129" s="550"/>
      <c r="BQ129" s="550"/>
      <c r="BR129" s="550"/>
      <c r="BS129" s="550"/>
      <c r="BT129" s="550"/>
      <c r="BU129" s="550"/>
      <c r="BV129" s="550"/>
      <c r="BW129" s="550"/>
      <c r="BX129" s="550"/>
      <c r="BY129" s="550"/>
      <c r="BZ129" s="550"/>
      <c r="CA129" s="550"/>
      <c r="CB129" s="550"/>
      <c r="CC129" s="550"/>
      <c r="CD129" s="550"/>
      <c r="CE129" s="550"/>
      <c r="CF129" s="550"/>
      <c r="CG129" s="550"/>
      <c r="CH129" s="550"/>
      <c r="CI129" s="550"/>
      <c r="CJ129" s="550"/>
      <c r="CK129" s="550"/>
      <c r="CL129" s="550"/>
      <c r="CM129" s="550"/>
      <c r="CN129" s="550"/>
      <c r="CO129" s="550"/>
      <c r="CP129" s="550"/>
      <c r="CQ129" s="550"/>
      <c r="CR129" s="550"/>
      <c r="CS129" s="550"/>
      <c r="CT129" s="550"/>
      <c r="CU129" s="550"/>
      <c r="CV129" s="550"/>
      <c r="CW129" s="550"/>
    </row>
    <row r="130" spans="1:101" x14ac:dyDescent="0.2">
      <c r="A130" s="344">
        <f>+SUBTOTAL(3,$E$8:$E130)</f>
        <v>123</v>
      </c>
      <c r="B130" s="555">
        <v>45383</v>
      </c>
      <c r="C130" s="346" t="s">
        <v>690</v>
      </c>
      <c r="D130" s="344" t="str">
        <f>+VLOOKUP(C130,'Visual chart Edit'!$B$7:$C$491,2,FALSE)</f>
        <v>DC2+0</v>
      </c>
      <c r="E130" s="344" t="s">
        <v>143</v>
      </c>
      <c r="F130" s="551">
        <v>45385</v>
      </c>
      <c r="G130" s="551">
        <v>45389</v>
      </c>
      <c r="H130" s="552" t="s">
        <v>878</v>
      </c>
      <c r="I130" s="553" t="s">
        <v>1024</v>
      </c>
      <c r="J130" s="554">
        <f t="shared" si="1"/>
        <v>4</v>
      </c>
      <c r="K130" s="550"/>
      <c r="L130" s="550"/>
      <c r="M130" s="550"/>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50"/>
      <c r="AQ130" s="550"/>
      <c r="AR130" s="550"/>
      <c r="AS130" s="550"/>
      <c r="AT130" s="550"/>
      <c r="AU130" s="550"/>
      <c r="AV130" s="550"/>
      <c r="AW130" s="550"/>
      <c r="AX130" s="550"/>
      <c r="AY130" s="550"/>
      <c r="AZ130" s="550"/>
      <c r="BA130" s="550"/>
      <c r="BB130" s="550"/>
      <c r="BC130" s="550"/>
      <c r="BD130" s="550"/>
      <c r="BE130" s="550"/>
      <c r="BF130" s="550"/>
      <c r="BG130" s="550"/>
      <c r="BH130" s="550"/>
      <c r="BI130" s="550"/>
      <c r="BJ130" s="550"/>
      <c r="BK130" s="550"/>
      <c r="BL130" s="550"/>
      <c r="BM130" s="550"/>
      <c r="BN130" s="550"/>
      <c r="BO130" s="550"/>
      <c r="BP130" s="550"/>
      <c r="BQ130" s="550"/>
      <c r="BR130" s="550"/>
      <c r="BS130" s="550"/>
      <c r="BT130" s="550"/>
      <c r="BU130" s="550"/>
      <c r="BV130" s="550"/>
      <c r="BW130" s="550"/>
      <c r="BX130" s="550"/>
      <c r="BY130" s="550"/>
      <c r="BZ130" s="550"/>
      <c r="CA130" s="550"/>
      <c r="CB130" s="550"/>
      <c r="CC130" s="550"/>
      <c r="CD130" s="550"/>
      <c r="CE130" s="550"/>
      <c r="CF130" s="550"/>
      <c r="CG130" s="550"/>
      <c r="CH130" s="550"/>
      <c r="CI130" s="550"/>
      <c r="CJ130" s="550"/>
      <c r="CK130" s="550"/>
      <c r="CL130" s="550"/>
      <c r="CM130" s="550"/>
      <c r="CN130" s="550"/>
      <c r="CO130" s="550"/>
      <c r="CP130" s="550"/>
      <c r="CQ130" s="550"/>
      <c r="CR130" s="550"/>
      <c r="CS130" s="550"/>
      <c r="CT130" s="550"/>
      <c r="CU130" s="550"/>
      <c r="CV130" s="550"/>
      <c r="CW130" s="550"/>
    </row>
    <row r="131" spans="1:101" x14ac:dyDescent="0.2">
      <c r="A131" s="344">
        <f>+SUBTOTAL(3,$E$8:$E131)</f>
        <v>124</v>
      </c>
      <c r="B131" s="555">
        <v>45383</v>
      </c>
      <c r="C131" s="346" t="s">
        <v>708</v>
      </c>
      <c r="D131" s="344" t="str">
        <f>+VLOOKUP(C131,'Visual chart Edit'!$B$7:$C$491,2,FALSE)</f>
        <v>DA+0</v>
      </c>
      <c r="E131" s="344" t="s">
        <v>143</v>
      </c>
      <c r="F131" s="551">
        <v>45385</v>
      </c>
      <c r="G131" s="551">
        <v>45390</v>
      </c>
      <c r="H131" s="552" t="s">
        <v>236</v>
      </c>
      <c r="I131" s="553" t="s">
        <v>1024</v>
      </c>
      <c r="J131" s="554">
        <f t="shared" si="1"/>
        <v>5</v>
      </c>
      <c r="K131" s="550"/>
      <c r="L131" s="550"/>
      <c r="M131" s="550"/>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50"/>
      <c r="AQ131" s="550"/>
      <c r="AR131" s="550"/>
      <c r="AS131" s="550"/>
      <c r="AT131" s="550"/>
      <c r="AU131" s="550"/>
      <c r="AV131" s="550"/>
      <c r="AW131" s="550"/>
      <c r="AX131" s="550"/>
      <c r="AY131" s="550"/>
      <c r="AZ131" s="550"/>
      <c r="BA131" s="550"/>
      <c r="BB131" s="550"/>
      <c r="BC131" s="550"/>
      <c r="BD131" s="550"/>
      <c r="BE131" s="550"/>
      <c r="BF131" s="550"/>
      <c r="BG131" s="550"/>
      <c r="BH131" s="550"/>
      <c r="BI131" s="550"/>
      <c r="BJ131" s="550"/>
      <c r="BK131" s="550"/>
      <c r="BL131" s="550"/>
      <c r="BM131" s="550"/>
      <c r="BN131" s="550"/>
      <c r="BO131" s="550"/>
      <c r="BP131" s="550"/>
      <c r="BQ131" s="550"/>
      <c r="BR131" s="550"/>
      <c r="BS131" s="550"/>
      <c r="BT131" s="550"/>
      <c r="BU131" s="550"/>
      <c r="BV131" s="550"/>
      <c r="BW131" s="550"/>
      <c r="BX131" s="550"/>
      <c r="BY131" s="550"/>
      <c r="BZ131" s="550"/>
      <c r="CA131" s="550"/>
      <c r="CB131" s="550"/>
      <c r="CC131" s="550"/>
      <c r="CD131" s="550"/>
      <c r="CE131" s="550"/>
      <c r="CF131" s="550"/>
      <c r="CG131" s="550"/>
      <c r="CH131" s="550"/>
      <c r="CI131" s="550"/>
      <c r="CJ131" s="550"/>
      <c r="CK131" s="550"/>
      <c r="CL131" s="550"/>
      <c r="CM131" s="550"/>
      <c r="CN131" s="550"/>
      <c r="CO131" s="550"/>
      <c r="CP131" s="550"/>
      <c r="CQ131" s="550"/>
      <c r="CR131" s="550"/>
      <c r="CS131" s="550"/>
      <c r="CT131" s="550"/>
      <c r="CU131" s="550"/>
      <c r="CV131" s="550"/>
      <c r="CW131" s="550"/>
    </row>
    <row r="132" spans="1:101" x14ac:dyDescent="0.2">
      <c r="A132" s="344">
        <f>+SUBTOTAL(3,$E$8:$E132)</f>
        <v>125</v>
      </c>
      <c r="B132" s="555">
        <v>45383</v>
      </c>
      <c r="C132" s="346" t="s">
        <v>710</v>
      </c>
      <c r="D132" s="344" t="str">
        <f>+VLOOKUP(C132,'Visual chart Edit'!$B$7:$C$491,2,FALSE)</f>
        <v>DA+0</v>
      </c>
      <c r="E132" s="344" t="s">
        <v>143</v>
      </c>
      <c r="F132" s="551">
        <v>45390</v>
      </c>
      <c r="G132" s="551">
        <v>45395</v>
      </c>
      <c r="H132" s="552" t="s">
        <v>236</v>
      </c>
      <c r="I132" s="553" t="s">
        <v>1020</v>
      </c>
      <c r="J132" s="554">
        <f t="shared" si="1"/>
        <v>5</v>
      </c>
      <c r="K132" s="550"/>
      <c r="L132" s="550"/>
      <c r="M132" s="550"/>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50"/>
      <c r="AQ132" s="550"/>
      <c r="AR132" s="550"/>
      <c r="AS132" s="550"/>
      <c r="AT132" s="550"/>
      <c r="AU132" s="550"/>
      <c r="AV132" s="550"/>
      <c r="AW132" s="550"/>
      <c r="AX132" s="550"/>
      <c r="AY132" s="550"/>
      <c r="AZ132" s="550"/>
      <c r="BA132" s="550"/>
      <c r="BB132" s="550"/>
      <c r="BC132" s="550"/>
      <c r="BD132" s="550"/>
      <c r="BE132" s="550"/>
      <c r="BF132" s="550"/>
      <c r="BG132" s="550"/>
      <c r="BH132" s="550"/>
      <c r="BI132" s="550"/>
      <c r="BJ132" s="550"/>
      <c r="BK132" s="550"/>
      <c r="BL132" s="550"/>
      <c r="BM132" s="550"/>
      <c r="BN132" s="550"/>
      <c r="BO132" s="550"/>
      <c r="BP132" s="550"/>
      <c r="BQ132" s="550"/>
      <c r="BR132" s="550"/>
      <c r="BS132" s="550"/>
      <c r="BT132" s="550"/>
      <c r="BU132" s="550"/>
      <c r="BV132" s="550"/>
      <c r="BW132" s="550"/>
      <c r="BX132" s="550"/>
      <c r="BY132" s="550"/>
      <c r="BZ132" s="550"/>
      <c r="CA132" s="550"/>
      <c r="CB132" s="550"/>
      <c r="CC132" s="550"/>
      <c r="CD132" s="550"/>
      <c r="CE132" s="550"/>
      <c r="CF132" s="550"/>
      <c r="CG132" s="550"/>
      <c r="CH132" s="550"/>
      <c r="CI132" s="550"/>
      <c r="CJ132" s="550"/>
      <c r="CK132" s="550"/>
      <c r="CL132" s="550"/>
      <c r="CM132" s="550"/>
      <c r="CN132" s="550"/>
      <c r="CO132" s="550"/>
      <c r="CP132" s="550"/>
      <c r="CQ132" s="550"/>
      <c r="CR132" s="550"/>
      <c r="CS132" s="550"/>
      <c r="CT132" s="550"/>
      <c r="CU132" s="550"/>
      <c r="CV132" s="550"/>
      <c r="CW132" s="550"/>
    </row>
    <row r="133" spans="1:101" x14ac:dyDescent="0.2">
      <c r="A133" s="344">
        <f>+SUBTOTAL(3,$E$8:$E133)</f>
        <v>126</v>
      </c>
      <c r="B133" s="555">
        <v>45383</v>
      </c>
      <c r="C133" s="346" t="s">
        <v>691</v>
      </c>
      <c r="D133" s="344" t="str">
        <f>+VLOOKUP(C133,'Visual chart Edit'!$B$7:$C$491,2,FALSE)</f>
        <v>DA+9</v>
      </c>
      <c r="E133" s="344" t="s">
        <v>143</v>
      </c>
      <c r="F133" s="551">
        <v>45390</v>
      </c>
      <c r="G133" s="551">
        <v>45397</v>
      </c>
      <c r="H133" s="552" t="s">
        <v>877</v>
      </c>
      <c r="I133" s="553" t="s">
        <v>1024</v>
      </c>
      <c r="J133" s="554">
        <f t="shared" si="1"/>
        <v>7</v>
      </c>
      <c r="K133" s="550"/>
      <c r="L133" s="550"/>
      <c r="M133" s="550"/>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50"/>
      <c r="AQ133" s="550"/>
      <c r="AR133" s="550"/>
      <c r="AS133" s="550"/>
      <c r="AT133" s="550"/>
      <c r="AU133" s="550"/>
      <c r="AV133" s="550"/>
      <c r="AW133" s="550"/>
      <c r="AX133" s="550"/>
      <c r="AY133" s="550"/>
      <c r="AZ133" s="550"/>
      <c r="BA133" s="550"/>
      <c r="BB133" s="550"/>
      <c r="BC133" s="550"/>
      <c r="BD133" s="550"/>
      <c r="BE133" s="550"/>
      <c r="BF133" s="550"/>
      <c r="BG133" s="550"/>
      <c r="BH133" s="550"/>
      <c r="BI133" s="550"/>
      <c r="BJ133" s="550"/>
      <c r="BK133" s="550"/>
      <c r="BL133" s="550"/>
      <c r="BM133" s="550"/>
      <c r="BN133" s="550"/>
      <c r="BO133" s="550"/>
      <c r="BP133" s="550"/>
      <c r="BQ133" s="550"/>
      <c r="BR133" s="550"/>
      <c r="BS133" s="550"/>
      <c r="BT133" s="550"/>
      <c r="BU133" s="550"/>
      <c r="BV133" s="550"/>
      <c r="BW133" s="550"/>
      <c r="BX133" s="550"/>
      <c r="BY133" s="550"/>
      <c r="BZ133" s="550"/>
      <c r="CA133" s="550"/>
      <c r="CB133" s="550"/>
      <c r="CC133" s="550"/>
      <c r="CD133" s="550"/>
      <c r="CE133" s="550"/>
      <c r="CF133" s="550"/>
      <c r="CG133" s="550"/>
      <c r="CH133" s="550"/>
      <c r="CI133" s="550"/>
      <c r="CJ133" s="550"/>
      <c r="CK133" s="550"/>
      <c r="CL133" s="550"/>
      <c r="CM133" s="550"/>
      <c r="CN133" s="550"/>
      <c r="CO133" s="550"/>
      <c r="CP133" s="550"/>
      <c r="CQ133" s="550"/>
      <c r="CR133" s="550"/>
      <c r="CS133" s="550"/>
      <c r="CT133" s="550"/>
      <c r="CU133" s="550"/>
      <c r="CV133" s="550"/>
      <c r="CW133" s="550"/>
    </row>
    <row r="134" spans="1:101" x14ac:dyDescent="0.2">
      <c r="A134" s="344">
        <f>+SUBTOTAL(3,$E$8:$E134)</f>
        <v>127</v>
      </c>
      <c r="B134" s="555">
        <v>45383</v>
      </c>
      <c r="C134" s="346" t="s">
        <v>706</v>
      </c>
      <c r="D134" s="344" t="str">
        <f>+VLOOKUP(C134,'Visual chart Edit'!$B$7:$C$491,2,FALSE)</f>
        <v>DA+9</v>
      </c>
      <c r="E134" s="344" t="s">
        <v>143</v>
      </c>
      <c r="F134" s="551">
        <v>45396</v>
      </c>
      <c r="G134" s="551">
        <v>45401</v>
      </c>
      <c r="H134" s="552" t="s">
        <v>236</v>
      </c>
      <c r="I134" s="553" t="s">
        <v>1024</v>
      </c>
      <c r="J134" s="554">
        <f t="shared" si="1"/>
        <v>5</v>
      </c>
      <c r="K134" s="550"/>
      <c r="L134" s="550"/>
      <c r="M134" s="550"/>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50"/>
      <c r="AQ134" s="550"/>
      <c r="AR134" s="550"/>
      <c r="AS134" s="550"/>
      <c r="AT134" s="550"/>
      <c r="AU134" s="550"/>
      <c r="AV134" s="550"/>
      <c r="AW134" s="550"/>
      <c r="AX134" s="550"/>
      <c r="AY134" s="550"/>
      <c r="AZ134" s="550"/>
      <c r="BA134" s="550"/>
      <c r="BB134" s="550"/>
      <c r="BC134" s="550"/>
      <c r="BD134" s="550"/>
      <c r="BE134" s="550"/>
      <c r="BF134" s="550"/>
      <c r="BG134" s="550"/>
      <c r="BH134" s="550"/>
      <c r="BI134" s="550"/>
      <c r="BJ134" s="550"/>
      <c r="BK134" s="550"/>
      <c r="BL134" s="550"/>
      <c r="BM134" s="550"/>
      <c r="BN134" s="550"/>
      <c r="BO134" s="550"/>
      <c r="BP134" s="550"/>
      <c r="BQ134" s="550"/>
      <c r="BR134" s="550"/>
      <c r="BS134" s="550"/>
      <c r="BT134" s="550"/>
      <c r="BU134" s="550"/>
      <c r="BV134" s="550"/>
      <c r="BW134" s="550"/>
      <c r="BX134" s="550"/>
      <c r="BY134" s="550"/>
      <c r="BZ134" s="550"/>
      <c r="CA134" s="550"/>
      <c r="CB134" s="550"/>
      <c r="CC134" s="550"/>
      <c r="CD134" s="550"/>
      <c r="CE134" s="550"/>
      <c r="CF134" s="550"/>
      <c r="CG134" s="550"/>
      <c r="CH134" s="550"/>
      <c r="CI134" s="550"/>
      <c r="CJ134" s="550"/>
      <c r="CK134" s="550"/>
      <c r="CL134" s="550"/>
      <c r="CM134" s="550"/>
      <c r="CN134" s="550"/>
      <c r="CO134" s="550"/>
      <c r="CP134" s="550"/>
      <c r="CQ134" s="550"/>
      <c r="CR134" s="550"/>
      <c r="CS134" s="550"/>
      <c r="CT134" s="550"/>
      <c r="CU134" s="550"/>
      <c r="CV134" s="550"/>
      <c r="CW134" s="550"/>
    </row>
    <row r="135" spans="1:101" x14ac:dyDescent="0.2">
      <c r="A135" s="344">
        <f>+SUBTOTAL(3,$E$8:$E135)</f>
        <v>128</v>
      </c>
      <c r="B135" s="555">
        <v>45383</v>
      </c>
      <c r="C135" s="346" t="s">
        <v>692</v>
      </c>
      <c r="D135" s="344" t="str">
        <f>+VLOOKUP(C135,'Visual chart Edit'!$B$7:$C$491,2,FALSE)</f>
        <v>DA+0</v>
      </c>
      <c r="E135" s="344" t="s">
        <v>143</v>
      </c>
      <c r="F135" s="551">
        <v>45399</v>
      </c>
      <c r="G135" s="551">
        <v>45402</v>
      </c>
      <c r="H135" s="560" t="s">
        <v>877</v>
      </c>
      <c r="I135" s="553" t="s">
        <v>1024</v>
      </c>
      <c r="J135" s="554">
        <f t="shared" si="1"/>
        <v>3</v>
      </c>
      <c r="K135" s="550"/>
      <c r="L135" s="550"/>
      <c r="M135" s="550"/>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50"/>
      <c r="AQ135" s="550"/>
      <c r="AR135" s="550"/>
      <c r="AS135" s="550"/>
      <c r="AT135" s="550"/>
      <c r="AU135" s="550"/>
      <c r="AV135" s="550"/>
      <c r="AW135" s="550"/>
      <c r="AX135" s="550"/>
      <c r="AY135" s="550"/>
      <c r="AZ135" s="550"/>
      <c r="BA135" s="550"/>
      <c r="BB135" s="550"/>
      <c r="BC135" s="550"/>
      <c r="BD135" s="550"/>
      <c r="BE135" s="550"/>
      <c r="BF135" s="550"/>
      <c r="BG135" s="550"/>
      <c r="BH135" s="550"/>
      <c r="BI135" s="550"/>
      <c r="BJ135" s="550"/>
      <c r="BK135" s="550"/>
      <c r="BL135" s="550"/>
      <c r="BM135" s="550"/>
      <c r="BN135" s="550"/>
      <c r="BO135" s="550"/>
      <c r="BP135" s="550"/>
      <c r="BQ135" s="550"/>
      <c r="BR135" s="550"/>
      <c r="BS135" s="550"/>
      <c r="BT135" s="550"/>
      <c r="BU135" s="550"/>
      <c r="BV135" s="550"/>
      <c r="BW135" s="550"/>
      <c r="BX135" s="550"/>
      <c r="BY135" s="550"/>
      <c r="BZ135" s="550"/>
      <c r="CA135" s="550"/>
      <c r="CB135" s="550"/>
      <c r="CC135" s="550"/>
      <c r="CD135" s="550"/>
      <c r="CE135" s="550"/>
      <c r="CF135" s="550"/>
      <c r="CG135" s="550"/>
      <c r="CH135" s="550"/>
      <c r="CI135" s="550"/>
      <c r="CJ135" s="550"/>
      <c r="CK135" s="550"/>
      <c r="CL135" s="550"/>
      <c r="CM135" s="550"/>
      <c r="CN135" s="550"/>
      <c r="CO135" s="550"/>
      <c r="CP135" s="550"/>
      <c r="CQ135" s="550"/>
      <c r="CR135" s="550"/>
      <c r="CS135" s="550"/>
      <c r="CT135" s="550"/>
      <c r="CU135" s="550"/>
      <c r="CV135" s="550"/>
      <c r="CW135" s="550"/>
    </row>
    <row r="136" spans="1:101" x14ac:dyDescent="0.2">
      <c r="A136" s="344">
        <f>+SUBTOTAL(3,$E$8:$E136)</f>
        <v>129</v>
      </c>
      <c r="B136" s="555">
        <v>45413</v>
      </c>
      <c r="C136" s="346" t="s">
        <v>91</v>
      </c>
      <c r="D136" s="344" t="str">
        <f>+VLOOKUP(C136,'Visual chart Edit'!$B$7:$C$491,2,FALSE)</f>
        <v>DD45+0</v>
      </c>
      <c r="E136" s="344" t="s">
        <v>143</v>
      </c>
      <c r="F136" s="551">
        <v>45404</v>
      </c>
      <c r="G136" s="551">
        <v>45415</v>
      </c>
      <c r="H136" s="552" t="s">
        <v>877</v>
      </c>
      <c r="I136" s="553" t="s">
        <v>1024</v>
      </c>
      <c r="J136" s="554">
        <f t="shared" si="1"/>
        <v>11</v>
      </c>
      <c r="K136" s="550"/>
      <c r="L136" s="550"/>
      <c r="M136" s="550"/>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50"/>
      <c r="AQ136" s="550"/>
      <c r="AR136" s="550"/>
      <c r="AS136" s="550"/>
      <c r="AT136" s="550"/>
      <c r="AU136" s="550"/>
      <c r="AV136" s="550"/>
      <c r="AW136" s="550"/>
      <c r="AX136" s="550"/>
      <c r="AY136" s="550"/>
      <c r="AZ136" s="550"/>
      <c r="BA136" s="550"/>
      <c r="BB136" s="550"/>
      <c r="BC136" s="550"/>
      <c r="BD136" s="550"/>
      <c r="BE136" s="550"/>
      <c r="BF136" s="550"/>
      <c r="BG136" s="550"/>
      <c r="BH136" s="550"/>
      <c r="BI136" s="550"/>
      <c r="BJ136" s="550"/>
      <c r="BK136" s="550"/>
      <c r="BL136" s="550"/>
      <c r="BM136" s="550"/>
      <c r="BN136" s="550"/>
      <c r="BO136" s="550"/>
      <c r="BP136" s="550"/>
      <c r="BQ136" s="550"/>
      <c r="BR136" s="550"/>
      <c r="BS136" s="550"/>
      <c r="BT136" s="550"/>
      <c r="BU136" s="550"/>
      <c r="BV136" s="550"/>
      <c r="BW136" s="550"/>
      <c r="BX136" s="550"/>
      <c r="BY136" s="550"/>
      <c r="BZ136" s="550"/>
      <c r="CA136" s="550"/>
      <c r="CB136" s="550"/>
      <c r="CC136" s="550"/>
      <c r="CD136" s="550"/>
      <c r="CE136" s="550"/>
      <c r="CF136" s="550"/>
      <c r="CG136" s="550"/>
      <c r="CH136" s="550"/>
      <c r="CI136" s="550"/>
      <c r="CJ136" s="550"/>
      <c r="CK136" s="550"/>
      <c r="CL136" s="550"/>
      <c r="CM136" s="550"/>
      <c r="CN136" s="550"/>
      <c r="CO136" s="550"/>
      <c r="CP136" s="550"/>
      <c r="CQ136" s="550"/>
      <c r="CR136" s="550"/>
      <c r="CS136" s="550"/>
      <c r="CT136" s="550"/>
      <c r="CU136" s="550"/>
      <c r="CV136" s="550"/>
      <c r="CW136" s="550"/>
    </row>
    <row r="137" spans="1:101" x14ac:dyDescent="0.2">
      <c r="A137" s="344">
        <f>+SUBTOTAL(3,$E$8:$E137)</f>
        <v>130</v>
      </c>
      <c r="B137" s="555">
        <v>45413</v>
      </c>
      <c r="C137" s="346" t="s">
        <v>217</v>
      </c>
      <c r="D137" s="344" t="str">
        <f>+VLOOKUP(C137,'Visual chart Edit'!$B$7:$C$491,2,FALSE)</f>
        <v>DA+3</v>
      </c>
      <c r="E137" s="344" t="s">
        <v>143</v>
      </c>
      <c r="F137" s="551">
        <v>45414</v>
      </c>
      <c r="G137" s="551">
        <v>45420</v>
      </c>
      <c r="H137" s="552" t="s">
        <v>252</v>
      </c>
      <c r="I137" s="553" t="s">
        <v>222</v>
      </c>
      <c r="J137" s="554">
        <f t="shared" ref="J137:J200" si="2">G137-F137</f>
        <v>6</v>
      </c>
      <c r="K137" s="550"/>
      <c r="L137" s="550"/>
      <c r="M137" s="550"/>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50"/>
      <c r="AQ137" s="550"/>
      <c r="AR137" s="550"/>
      <c r="AS137" s="550"/>
      <c r="AT137" s="550"/>
      <c r="AU137" s="550"/>
      <c r="AV137" s="550"/>
      <c r="AW137" s="550"/>
      <c r="AX137" s="550"/>
      <c r="AY137" s="550"/>
      <c r="AZ137" s="550"/>
      <c r="BA137" s="550"/>
      <c r="BB137" s="550"/>
      <c r="BC137" s="550"/>
      <c r="BD137" s="550"/>
      <c r="BE137" s="550"/>
      <c r="BF137" s="550"/>
      <c r="BG137" s="550"/>
      <c r="BH137" s="550"/>
      <c r="BI137" s="550"/>
      <c r="BJ137" s="550"/>
      <c r="BK137" s="550"/>
      <c r="BL137" s="550"/>
      <c r="BM137" s="550"/>
      <c r="BN137" s="550"/>
      <c r="BO137" s="550"/>
      <c r="BP137" s="550"/>
      <c r="BQ137" s="550"/>
      <c r="BR137" s="550"/>
      <c r="BS137" s="550"/>
      <c r="BT137" s="550"/>
      <c r="BU137" s="550"/>
      <c r="BV137" s="550"/>
      <c r="BW137" s="550"/>
      <c r="BX137" s="550"/>
      <c r="BY137" s="550"/>
      <c r="BZ137" s="550"/>
      <c r="CA137" s="550"/>
      <c r="CB137" s="550"/>
      <c r="CC137" s="550"/>
      <c r="CD137" s="550"/>
      <c r="CE137" s="550"/>
      <c r="CF137" s="550"/>
      <c r="CG137" s="550"/>
      <c r="CH137" s="550"/>
      <c r="CI137" s="550"/>
      <c r="CJ137" s="550"/>
      <c r="CK137" s="550"/>
      <c r="CL137" s="550"/>
      <c r="CM137" s="550"/>
      <c r="CN137" s="550"/>
      <c r="CO137" s="550"/>
      <c r="CP137" s="550"/>
      <c r="CQ137" s="550"/>
      <c r="CR137" s="550"/>
      <c r="CS137" s="550"/>
      <c r="CT137" s="550"/>
      <c r="CU137" s="550"/>
      <c r="CV137" s="550"/>
      <c r="CW137" s="550"/>
    </row>
    <row r="138" spans="1:101" x14ac:dyDescent="0.2">
      <c r="A138" s="344">
        <f>+SUBTOTAL(3,$E$8:$E138)</f>
        <v>131</v>
      </c>
      <c r="B138" s="555">
        <v>45413</v>
      </c>
      <c r="C138" s="346" t="s">
        <v>152</v>
      </c>
      <c r="D138" s="344" t="str">
        <f>+VLOOKUP(C138,'Visual chart Edit'!$B$7:$C$491,2,FALSE)</f>
        <v>DB1+0</v>
      </c>
      <c r="E138" s="344" t="s">
        <v>276</v>
      </c>
      <c r="F138" s="551">
        <v>45417</v>
      </c>
      <c r="G138" s="551">
        <v>45422</v>
      </c>
      <c r="H138" s="552" t="s">
        <v>359</v>
      </c>
      <c r="I138" s="553" t="s">
        <v>388</v>
      </c>
      <c r="J138" s="554">
        <f t="shared" si="2"/>
        <v>5</v>
      </c>
      <c r="K138" s="550"/>
      <c r="L138" s="550"/>
      <c r="M138" s="550"/>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50"/>
      <c r="AQ138" s="550"/>
      <c r="AR138" s="550"/>
      <c r="AS138" s="550"/>
      <c r="AT138" s="550"/>
      <c r="AU138" s="550"/>
      <c r="AV138" s="550"/>
      <c r="AW138" s="550"/>
      <c r="AX138" s="550"/>
      <c r="AY138" s="550"/>
      <c r="AZ138" s="550"/>
      <c r="BA138" s="550"/>
      <c r="BB138" s="550"/>
      <c r="BC138" s="550"/>
      <c r="BD138" s="550"/>
      <c r="BE138" s="550"/>
      <c r="BF138" s="550"/>
      <c r="BG138" s="550"/>
      <c r="BH138" s="550"/>
      <c r="BI138" s="550"/>
      <c r="BJ138" s="550"/>
      <c r="BK138" s="550"/>
      <c r="BL138" s="550"/>
      <c r="BM138" s="550"/>
      <c r="BN138" s="550"/>
      <c r="BO138" s="550"/>
      <c r="BP138" s="550"/>
      <c r="BQ138" s="550"/>
      <c r="BR138" s="550"/>
      <c r="BS138" s="550"/>
      <c r="BT138" s="550"/>
      <c r="BU138" s="550"/>
      <c r="BV138" s="550"/>
      <c r="BW138" s="550"/>
      <c r="BX138" s="550"/>
      <c r="BY138" s="550"/>
      <c r="BZ138" s="550"/>
      <c r="CA138" s="550"/>
      <c r="CB138" s="550"/>
      <c r="CC138" s="550"/>
      <c r="CD138" s="550"/>
      <c r="CE138" s="550"/>
      <c r="CF138" s="550"/>
      <c r="CG138" s="550"/>
      <c r="CH138" s="550"/>
      <c r="CI138" s="550"/>
      <c r="CJ138" s="550"/>
      <c r="CK138" s="550"/>
      <c r="CL138" s="550"/>
      <c r="CM138" s="550"/>
      <c r="CN138" s="550"/>
      <c r="CO138" s="550"/>
      <c r="CP138" s="550"/>
      <c r="CQ138" s="550"/>
      <c r="CR138" s="550"/>
      <c r="CS138" s="550"/>
      <c r="CT138" s="550"/>
      <c r="CU138" s="550"/>
      <c r="CV138" s="550"/>
      <c r="CW138" s="550"/>
    </row>
    <row r="139" spans="1:101" x14ac:dyDescent="0.2">
      <c r="A139" s="344">
        <f>+SUBTOTAL(3,$E$8:$E139)</f>
        <v>132</v>
      </c>
      <c r="B139" s="555">
        <v>45413</v>
      </c>
      <c r="C139" s="346" t="s">
        <v>705</v>
      </c>
      <c r="D139" s="344" t="str">
        <f>+VLOOKUP(C139,'Visual chart Edit'!$B$7:$C$491,2,FALSE)</f>
        <v>DA+0</v>
      </c>
      <c r="E139" s="344" t="s">
        <v>143</v>
      </c>
      <c r="F139" s="551">
        <v>45417</v>
      </c>
      <c r="G139" s="551">
        <v>45422</v>
      </c>
      <c r="H139" s="552" t="s">
        <v>877</v>
      </c>
      <c r="I139" s="553" t="s">
        <v>1024</v>
      </c>
      <c r="J139" s="554">
        <f t="shared" si="2"/>
        <v>5</v>
      </c>
      <c r="K139" s="550"/>
      <c r="L139" s="550"/>
      <c r="M139" s="550"/>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50"/>
      <c r="AQ139" s="550"/>
      <c r="AR139" s="550"/>
      <c r="AS139" s="550"/>
      <c r="AT139" s="550"/>
      <c r="AU139" s="550"/>
      <c r="AV139" s="550"/>
      <c r="AW139" s="550"/>
      <c r="AX139" s="550"/>
      <c r="AY139" s="550"/>
      <c r="AZ139" s="550"/>
      <c r="BA139" s="550"/>
      <c r="BB139" s="550"/>
      <c r="BC139" s="550"/>
      <c r="BD139" s="550"/>
      <c r="BE139" s="550"/>
      <c r="BF139" s="550"/>
      <c r="BG139" s="550"/>
      <c r="BH139" s="550"/>
      <c r="BI139" s="550"/>
      <c r="BJ139" s="550"/>
      <c r="BK139" s="550"/>
      <c r="BL139" s="550"/>
      <c r="BM139" s="550"/>
      <c r="BN139" s="550"/>
      <c r="BO139" s="550"/>
      <c r="BP139" s="550"/>
      <c r="BQ139" s="550"/>
      <c r="BR139" s="550"/>
      <c r="BS139" s="550"/>
      <c r="BT139" s="550"/>
      <c r="BU139" s="550"/>
      <c r="BV139" s="550"/>
      <c r="BW139" s="550"/>
      <c r="BX139" s="550"/>
      <c r="BY139" s="550"/>
      <c r="BZ139" s="550"/>
      <c r="CA139" s="550"/>
      <c r="CB139" s="550"/>
      <c r="CC139" s="550"/>
      <c r="CD139" s="550"/>
      <c r="CE139" s="550"/>
      <c r="CF139" s="550"/>
      <c r="CG139" s="550"/>
      <c r="CH139" s="550"/>
      <c r="CI139" s="550"/>
      <c r="CJ139" s="550"/>
      <c r="CK139" s="550"/>
      <c r="CL139" s="550"/>
      <c r="CM139" s="550"/>
      <c r="CN139" s="550"/>
      <c r="CO139" s="550"/>
      <c r="CP139" s="550"/>
      <c r="CQ139" s="550"/>
      <c r="CR139" s="550"/>
      <c r="CS139" s="550"/>
      <c r="CT139" s="550"/>
      <c r="CU139" s="550"/>
      <c r="CV139" s="550"/>
      <c r="CW139" s="550"/>
    </row>
    <row r="140" spans="1:101" x14ac:dyDescent="0.2">
      <c r="A140" s="344">
        <f>+SUBTOTAL(3,$E$8:$E140)</f>
        <v>133</v>
      </c>
      <c r="B140" s="555">
        <v>45413</v>
      </c>
      <c r="C140" s="346" t="s">
        <v>154</v>
      </c>
      <c r="D140" s="344" t="str">
        <f>+VLOOKUP(C140,'Visual chart Edit'!$B$7:$C$491,2,FALSE)</f>
        <v>DA+3</v>
      </c>
      <c r="E140" s="344" t="s">
        <v>32</v>
      </c>
      <c r="F140" s="551">
        <v>45426</v>
      </c>
      <c r="G140" s="551">
        <v>45430</v>
      </c>
      <c r="H140" s="552" t="s">
        <v>359</v>
      </c>
      <c r="I140" s="553" t="s">
        <v>388</v>
      </c>
      <c r="J140" s="554">
        <f t="shared" si="2"/>
        <v>4</v>
      </c>
      <c r="K140" s="550"/>
      <c r="L140" s="550"/>
      <c r="M140" s="550"/>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50"/>
      <c r="AQ140" s="550"/>
      <c r="AR140" s="550"/>
      <c r="AS140" s="550"/>
      <c r="AT140" s="550"/>
      <c r="AU140" s="550"/>
      <c r="AV140" s="550"/>
      <c r="AW140" s="550"/>
      <c r="AX140" s="550"/>
      <c r="AY140" s="550"/>
      <c r="AZ140" s="550"/>
      <c r="BA140" s="550"/>
      <c r="BB140" s="550"/>
      <c r="BC140" s="550"/>
      <c r="BD140" s="550"/>
      <c r="BE140" s="550"/>
      <c r="BF140" s="550"/>
      <c r="BG140" s="550"/>
      <c r="BH140" s="550"/>
      <c r="BI140" s="550"/>
      <c r="BJ140" s="550"/>
      <c r="BK140" s="550"/>
      <c r="BL140" s="550"/>
      <c r="BM140" s="550"/>
      <c r="BN140" s="550"/>
      <c r="BO140" s="550"/>
      <c r="BP140" s="550"/>
      <c r="BQ140" s="550"/>
      <c r="BR140" s="550"/>
      <c r="BS140" s="550"/>
      <c r="BT140" s="550"/>
      <c r="BU140" s="550"/>
      <c r="BV140" s="550"/>
      <c r="BW140" s="550"/>
      <c r="BX140" s="550"/>
      <c r="BY140" s="550"/>
      <c r="BZ140" s="550"/>
      <c r="CA140" s="550"/>
      <c r="CB140" s="550"/>
      <c r="CC140" s="550"/>
      <c r="CD140" s="550"/>
      <c r="CE140" s="550"/>
      <c r="CF140" s="550"/>
      <c r="CG140" s="550"/>
      <c r="CH140" s="550"/>
      <c r="CI140" s="550"/>
      <c r="CJ140" s="550"/>
      <c r="CK140" s="550"/>
      <c r="CL140" s="550"/>
      <c r="CM140" s="550"/>
      <c r="CN140" s="550"/>
      <c r="CO140" s="550"/>
      <c r="CP140" s="550"/>
      <c r="CQ140" s="550"/>
      <c r="CR140" s="550"/>
      <c r="CS140" s="550"/>
      <c r="CT140" s="550"/>
      <c r="CU140" s="550"/>
      <c r="CV140" s="550"/>
      <c r="CW140" s="550"/>
    </row>
    <row r="141" spans="1:101" x14ac:dyDescent="0.2">
      <c r="A141" s="344">
        <f>+SUBTOTAL(3,$E$8:$E141)</f>
        <v>134</v>
      </c>
      <c r="B141" s="555">
        <v>45413</v>
      </c>
      <c r="C141" s="346" t="s">
        <v>699</v>
      </c>
      <c r="D141" s="344" t="str">
        <f>+VLOOKUP(C141,'Visual chart Edit'!$B$7:$C$491,2,FALSE)</f>
        <v>DA+6</v>
      </c>
      <c r="E141" s="344" t="s">
        <v>143</v>
      </c>
      <c r="F141" s="551">
        <v>45426</v>
      </c>
      <c r="G141" s="551">
        <v>45430</v>
      </c>
      <c r="H141" s="552" t="s">
        <v>877</v>
      </c>
      <c r="I141" s="553" t="s">
        <v>1024</v>
      </c>
      <c r="J141" s="554">
        <f t="shared" si="2"/>
        <v>4</v>
      </c>
      <c r="K141" s="550"/>
      <c r="L141" s="550"/>
      <c r="M141" s="550"/>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50"/>
      <c r="AQ141" s="550"/>
      <c r="AR141" s="550"/>
      <c r="AS141" s="550"/>
      <c r="AT141" s="550"/>
      <c r="AU141" s="550"/>
      <c r="AV141" s="550"/>
      <c r="AW141" s="550"/>
      <c r="AX141" s="550"/>
      <c r="AY141" s="550"/>
      <c r="AZ141" s="550"/>
      <c r="BA141" s="550"/>
      <c r="BB141" s="550"/>
      <c r="BC141" s="550"/>
      <c r="BD141" s="550"/>
      <c r="BE141" s="550"/>
      <c r="BF141" s="550"/>
      <c r="BG141" s="550"/>
      <c r="BH141" s="550"/>
      <c r="BI141" s="550"/>
      <c r="BJ141" s="550"/>
      <c r="BK141" s="550"/>
      <c r="BL141" s="550"/>
      <c r="BM141" s="550"/>
      <c r="BN141" s="550"/>
      <c r="BO141" s="550"/>
      <c r="BP141" s="550"/>
      <c r="BQ141" s="550"/>
      <c r="BR141" s="550"/>
      <c r="BS141" s="550"/>
      <c r="BT141" s="550"/>
      <c r="BU141" s="550"/>
      <c r="BV141" s="550"/>
      <c r="BW141" s="550"/>
      <c r="BX141" s="550"/>
      <c r="BY141" s="550"/>
      <c r="BZ141" s="550"/>
      <c r="CA141" s="550"/>
      <c r="CB141" s="550"/>
      <c r="CC141" s="550"/>
      <c r="CD141" s="550"/>
      <c r="CE141" s="550"/>
      <c r="CF141" s="550"/>
      <c r="CG141" s="550"/>
      <c r="CH141" s="550"/>
      <c r="CI141" s="550"/>
      <c r="CJ141" s="550"/>
      <c r="CK141" s="550"/>
      <c r="CL141" s="550"/>
      <c r="CM141" s="550"/>
      <c r="CN141" s="550"/>
      <c r="CO141" s="550"/>
      <c r="CP141" s="550"/>
      <c r="CQ141" s="550"/>
      <c r="CR141" s="550"/>
      <c r="CS141" s="550"/>
      <c r="CT141" s="550"/>
      <c r="CU141" s="550"/>
      <c r="CV141" s="550"/>
      <c r="CW141" s="550"/>
    </row>
    <row r="142" spans="1:101" x14ac:dyDescent="0.2">
      <c r="A142" s="344">
        <f>+SUBTOTAL(3,$E$8:$E142)</f>
        <v>135</v>
      </c>
      <c r="B142" s="555">
        <v>45413</v>
      </c>
      <c r="C142" s="346" t="s">
        <v>685</v>
      </c>
      <c r="D142" s="344" t="str">
        <f>+VLOOKUP(C142,'Visual chart Edit'!$B$7:$C$491,2,FALSE)</f>
        <v>DA+3</v>
      </c>
      <c r="E142" s="344" t="s">
        <v>143</v>
      </c>
      <c r="F142" s="551">
        <v>45427</v>
      </c>
      <c r="G142" s="551">
        <v>45430</v>
      </c>
      <c r="H142" s="552" t="s">
        <v>878</v>
      </c>
      <c r="I142" s="553" t="s">
        <v>1024</v>
      </c>
      <c r="J142" s="554">
        <f t="shared" si="2"/>
        <v>3</v>
      </c>
      <c r="K142" s="550"/>
      <c r="L142" s="550"/>
      <c r="M142" s="550"/>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50"/>
      <c r="AQ142" s="550"/>
      <c r="AR142" s="550"/>
      <c r="AS142" s="550"/>
      <c r="AT142" s="550"/>
      <c r="AU142" s="550"/>
      <c r="AV142" s="550"/>
      <c r="AW142" s="550"/>
      <c r="AX142" s="550"/>
      <c r="AY142" s="550"/>
      <c r="AZ142" s="550"/>
      <c r="BA142" s="550"/>
      <c r="BB142" s="550"/>
      <c r="BC142" s="550"/>
      <c r="BD142" s="550"/>
      <c r="BE142" s="550"/>
      <c r="BF142" s="550"/>
      <c r="BG142" s="550"/>
      <c r="BH142" s="550"/>
      <c r="BI142" s="550"/>
      <c r="BJ142" s="550"/>
      <c r="BK142" s="550"/>
      <c r="BL142" s="550"/>
      <c r="BM142" s="550"/>
      <c r="BN142" s="550"/>
      <c r="BO142" s="550"/>
      <c r="BP142" s="550"/>
      <c r="BQ142" s="550"/>
      <c r="BR142" s="550"/>
      <c r="BS142" s="550"/>
      <c r="BT142" s="550"/>
      <c r="BU142" s="550"/>
      <c r="BV142" s="550"/>
      <c r="BW142" s="550"/>
      <c r="BX142" s="550"/>
      <c r="BY142" s="550"/>
      <c r="BZ142" s="550"/>
      <c r="CA142" s="550"/>
      <c r="CB142" s="550"/>
      <c r="CC142" s="550"/>
      <c r="CD142" s="550"/>
      <c r="CE142" s="550"/>
      <c r="CF142" s="550"/>
      <c r="CG142" s="550"/>
      <c r="CH142" s="550"/>
      <c r="CI142" s="550"/>
      <c r="CJ142" s="550"/>
      <c r="CK142" s="550"/>
      <c r="CL142" s="550"/>
      <c r="CM142" s="550"/>
      <c r="CN142" s="550"/>
      <c r="CO142" s="550"/>
      <c r="CP142" s="550"/>
      <c r="CQ142" s="550"/>
      <c r="CR142" s="550"/>
      <c r="CS142" s="550"/>
      <c r="CT142" s="550"/>
      <c r="CU142" s="550"/>
      <c r="CV142" s="550"/>
      <c r="CW142" s="550"/>
    </row>
    <row r="143" spans="1:101" x14ac:dyDescent="0.2">
      <c r="A143" s="344">
        <f>+SUBTOTAL(3,$E$8:$E143)</f>
        <v>136</v>
      </c>
      <c r="B143" s="555">
        <v>45413</v>
      </c>
      <c r="C143" s="346" t="s">
        <v>715</v>
      </c>
      <c r="D143" s="344" t="str">
        <f>+VLOOKUP(C143,'Visual chart Edit'!$B$7:$C$491,2,FALSE)</f>
        <v>DA+9</v>
      </c>
      <c r="E143" s="344" t="s">
        <v>143</v>
      </c>
      <c r="F143" s="551">
        <v>45426</v>
      </c>
      <c r="G143" s="551">
        <v>45437</v>
      </c>
      <c r="H143" s="552" t="s">
        <v>1010</v>
      </c>
      <c r="I143" s="553" t="s">
        <v>1024</v>
      </c>
      <c r="J143" s="554">
        <f t="shared" si="2"/>
        <v>11</v>
      </c>
      <c r="K143" s="550"/>
      <c r="L143" s="550"/>
      <c r="M143" s="550"/>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50"/>
      <c r="AQ143" s="550"/>
      <c r="AR143" s="550"/>
      <c r="AS143" s="550"/>
      <c r="AT143" s="550"/>
      <c r="AU143" s="550"/>
      <c r="AV143" s="550"/>
      <c r="AW143" s="550"/>
      <c r="AX143" s="550"/>
      <c r="AY143" s="550"/>
      <c r="AZ143" s="550"/>
      <c r="BA143" s="550"/>
      <c r="BB143" s="550"/>
      <c r="BC143" s="550"/>
      <c r="BD143" s="550"/>
      <c r="BE143" s="550"/>
      <c r="BF143" s="550"/>
      <c r="BG143" s="550"/>
      <c r="BH143" s="550"/>
      <c r="BI143" s="550"/>
      <c r="BJ143" s="550"/>
      <c r="BK143" s="550"/>
      <c r="BL143" s="550"/>
      <c r="BM143" s="550"/>
      <c r="BN143" s="550"/>
      <c r="BO143" s="550"/>
      <c r="BP143" s="550"/>
      <c r="BQ143" s="550"/>
      <c r="BR143" s="550"/>
      <c r="BS143" s="550"/>
      <c r="BT143" s="550"/>
      <c r="BU143" s="550"/>
      <c r="BV143" s="550"/>
      <c r="BW143" s="550"/>
      <c r="BX143" s="550"/>
      <c r="BY143" s="550"/>
      <c r="BZ143" s="550"/>
      <c r="CA143" s="550"/>
      <c r="CB143" s="550"/>
      <c r="CC143" s="550"/>
      <c r="CD143" s="550"/>
      <c r="CE143" s="550"/>
      <c r="CF143" s="550"/>
      <c r="CG143" s="550"/>
      <c r="CH143" s="550"/>
      <c r="CI143" s="550"/>
      <c r="CJ143" s="550"/>
      <c r="CK143" s="550"/>
      <c r="CL143" s="550"/>
      <c r="CM143" s="550"/>
      <c r="CN143" s="550"/>
      <c r="CO143" s="550"/>
      <c r="CP143" s="550"/>
      <c r="CQ143" s="550"/>
      <c r="CR143" s="550"/>
      <c r="CS143" s="550"/>
      <c r="CT143" s="550"/>
      <c r="CU143" s="550"/>
      <c r="CV143" s="550"/>
      <c r="CW143" s="550"/>
    </row>
    <row r="144" spans="1:101" x14ac:dyDescent="0.2">
      <c r="A144" s="344">
        <f>+SUBTOTAL(3,$E$8:$E144)</f>
        <v>137</v>
      </c>
      <c r="B144" s="555">
        <v>45413</v>
      </c>
      <c r="C144" s="346" t="s">
        <v>681</v>
      </c>
      <c r="D144" s="344" t="str">
        <f>+VLOOKUP(C144,'Visual chart Edit'!$B$7:$C$491,2,FALSE)</f>
        <v>DA+9</v>
      </c>
      <c r="E144" s="344" t="s">
        <v>143</v>
      </c>
      <c r="F144" s="551">
        <v>45435</v>
      </c>
      <c r="G144" s="551">
        <v>45438</v>
      </c>
      <c r="H144" s="552" t="s">
        <v>878</v>
      </c>
      <c r="I144" s="553" t="s">
        <v>1024</v>
      </c>
      <c r="J144" s="554">
        <f t="shared" si="2"/>
        <v>3</v>
      </c>
      <c r="K144" s="550"/>
      <c r="L144" s="550"/>
      <c r="M144" s="550"/>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50"/>
      <c r="AQ144" s="550"/>
      <c r="AR144" s="550"/>
      <c r="AS144" s="550"/>
      <c r="AT144" s="550"/>
      <c r="AU144" s="550"/>
      <c r="AV144" s="550"/>
      <c r="AW144" s="550"/>
      <c r="AX144" s="550"/>
      <c r="AY144" s="550"/>
      <c r="AZ144" s="550"/>
      <c r="BA144" s="550"/>
      <c r="BB144" s="550"/>
      <c r="BC144" s="550"/>
      <c r="BD144" s="550"/>
      <c r="BE144" s="550"/>
      <c r="BF144" s="550"/>
      <c r="BG144" s="550"/>
      <c r="BH144" s="550"/>
      <c r="BI144" s="550"/>
      <c r="BJ144" s="550"/>
      <c r="BK144" s="550"/>
      <c r="BL144" s="550"/>
      <c r="BM144" s="550"/>
      <c r="BN144" s="550"/>
      <c r="BO144" s="550"/>
      <c r="BP144" s="550"/>
      <c r="BQ144" s="550"/>
      <c r="BR144" s="550"/>
      <c r="BS144" s="550"/>
      <c r="BT144" s="550"/>
      <c r="BU144" s="550"/>
      <c r="BV144" s="550"/>
      <c r="BW144" s="550"/>
      <c r="BX144" s="550"/>
      <c r="BY144" s="550"/>
      <c r="BZ144" s="550"/>
      <c r="CA144" s="550"/>
      <c r="CB144" s="550"/>
      <c r="CC144" s="550"/>
      <c r="CD144" s="550"/>
      <c r="CE144" s="550"/>
      <c r="CF144" s="550"/>
      <c r="CG144" s="550"/>
      <c r="CH144" s="550"/>
      <c r="CI144" s="550"/>
      <c r="CJ144" s="550"/>
      <c r="CK144" s="550"/>
      <c r="CL144" s="550"/>
      <c r="CM144" s="550"/>
      <c r="CN144" s="550"/>
      <c r="CO144" s="550"/>
      <c r="CP144" s="550"/>
      <c r="CQ144" s="550"/>
      <c r="CR144" s="550"/>
      <c r="CS144" s="550"/>
      <c r="CT144" s="550"/>
      <c r="CU144" s="550"/>
      <c r="CV144" s="550"/>
      <c r="CW144" s="550"/>
    </row>
    <row r="145" spans="1:101" x14ac:dyDescent="0.2">
      <c r="A145" s="344">
        <f>+SUBTOTAL(3,$E$8:$E145)</f>
        <v>138</v>
      </c>
      <c r="B145" s="555">
        <v>45413</v>
      </c>
      <c r="C145" s="346" t="s">
        <v>166</v>
      </c>
      <c r="D145" s="344" t="str">
        <f>+VLOOKUP(C145,'Visual chart Edit'!$B$7:$C$491,2,FALSE)</f>
        <v>DA+3</v>
      </c>
      <c r="E145" s="344" t="s">
        <v>276</v>
      </c>
      <c r="F145" s="551">
        <v>45431</v>
      </c>
      <c r="G145" s="551">
        <v>45439</v>
      </c>
      <c r="H145" s="552" t="s">
        <v>359</v>
      </c>
      <c r="I145" s="553" t="s">
        <v>388</v>
      </c>
      <c r="J145" s="554">
        <f t="shared" si="2"/>
        <v>8</v>
      </c>
      <c r="K145" s="550"/>
      <c r="L145" s="550"/>
      <c r="M145" s="550"/>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50"/>
      <c r="AQ145" s="550"/>
      <c r="AR145" s="550"/>
      <c r="AS145" s="550"/>
      <c r="AT145" s="550"/>
      <c r="AU145" s="550"/>
      <c r="AV145" s="550"/>
      <c r="AW145" s="550"/>
      <c r="AX145" s="550"/>
      <c r="AY145" s="550"/>
      <c r="AZ145" s="550"/>
      <c r="BA145" s="550"/>
      <c r="BB145" s="550"/>
      <c r="BC145" s="550"/>
      <c r="BD145" s="550"/>
      <c r="BE145" s="550"/>
      <c r="BF145" s="550"/>
      <c r="BG145" s="550"/>
      <c r="BH145" s="550"/>
      <c r="BI145" s="550"/>
      <c r="BJ145" s="550"/>
      <c r="BK145" s="550"/>
      <c r="BL145" s="550"/>
      <c r="BM145" s="550"/>
      <c r="BN145" s="550"/>
      <c r="BO145" s="550"/>
      <c r="BP145" s="550"/>
      <c r="BQ145" s="550"/>
      <c r="BR145" s="550"/>
      <c r="BS145" s="550"/>
      <c r="BT145" s="550"/>
      <c r="BU145" s="550"/>
      <c r="BV145" s="550"/>
      <c r="BW145" s="550"/>
      <c r="BX145" s="550"/>
      <c r="BY145" s="550"/>
      <c r="BZ145" s="550"/>
      <c r="CA145" s="550"/>
      <c r="CB145" s="550"/>
      <c r="CC145" s="550"/>
      <c r="CD145" s="550"/>
      <c r="CE145" s="550"/>
      <c r="CF145" s="550"/>
      <c r="CG145" s="550"/>
      <c r="CH145" s="550"/>
      <c r="CI145" s="550"/>
      <c r="CJ145" s="550"/>
      <c r="CK145" s="550"/>
      <c r="CL145" s="550"/>
      <c r="CM145" s="550"/>
      <c r="CN145" s="550"/>
      <c r="CO145" s="550"/>
      <c r="CP145" s="550"/>
      <c r="CQ145" s="550"/>
      <c r="CR145" s="550"/>
      <c r="CS145" s="550"/>
      <c r="CT145" s="550"/>
      <c r="CU145" s="550"/>
      <c r="CV145" s="550"/>
      <c r="CW145" s="550"/>
    </row>
    <row r="146" spans="1:101" x14ac:dyDescent="0.2">
      <c r="A146" s="344">
        <f>+SUBTOTAL(3,$E$8:$E146)</f>
        <v>139</v>
      </c>
      <c r="B146" s="555">
        <v>45413</v>
      </c>
      <c r="C146" s="346" t="s">
        <v>169</v>
      </c>
      <c r="D146" s="344" t="str">
        <f>+VLOOKUP(C146,'Visual chart Edit'!$B$7:$C$491,2,FALSE)</f>
        <v>DA+0</v>
      </c>
      <c r="E146" s="344" t="s">
        <v>276</v>
      </c>
      <c r="F146" s="551">
        <v>45430</v>
      </c>
      <c r="G146" s="551">
        <v>45440</v>
      </c>
      <c r="H146" s="552" t="s">
        <v>364</v>
      </c>
      <c r="I146" s="553" t="s">
        <v>388</v>
      </c>
      <c r="J146" s="554">
        <f t="shared" si="2"/>
        <v>10</v>
      </c>
      <c r="K146" s="550"/>
      <c r="L146" s="550"/>
      <c r="M146" s="550"/>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50"/>
      <c r="AQ146" s="550"/>
      <c r="AR146" s="550"/>
      <c r="AS146" s="550"/>
      <c r="AT146" s="550"/>
      <c r="AU146" s="550"/>
      <c r="AV146" s="550"/>
      <c r="AW146" s="550"/>
      <c r="AX146" s="550"/>
      <c r="AY146" s="550"/>
      <c r="AZ146" s="550"/>
      <c r="BA146" s="550"/>
      <c r="BB146" s="550"/>
      <c r="BC146" s="550"/>
      <c r="BD146" s="550"/>
      <c r="BE146" s="550"/>
      <c r="BF146" s="550"/>
      <c r="BG146" s="550"/>
      <c r="BH146" s="550"/>
      <c r="BI146" s="550"/>
      <c r="BJ146" s="550"/>
      <c r="BK146" s="550"/>
      <c r="BL146" s="550"/>
      <c r="BM146" s="550"/>
      <c r="BN146" s="550"/>
      <c r="BO146" s="550"/>
      <c r="BP146" s="550"/>
      <c r="BQ146" s="550"/>
      <c r="BR146" s="550"/>
      <c r="BS146" s="550"/>
      <c r="BT146" s="550"/>
      <c r="BU146" s="550"/>
      <c r="BV146" s="550"/>
      <c r="BW146" s="550"/>
      <c r="BX146" s="550"/>
      <c r="BY146" s="550"/>
      <c r="BZ146" s="550"/>
      <c r="CA146" s="550"/>
      <c r="CB146" s="550"/>
      <c r="CC146" s="550"/>
      <c r="CD146" s="550"/>
      <c r="CE146" s="550"/>
      <c r="CF146" s="550"/>
      <c r="CG146" s="550"/>
      <c r="CH146" s="550"/>
      <c r="CI146" s="550"/>
      <c r="CJ146" s="550"/>
      <c r="CK146" s="550"/>
      <c r="CL146" s="550"/>
      <c r="CM146" s="550"/>
      <c r="CN146" s="550"/>
      <c r="CO146" s="550"/>
      <c r="CP146" s="550"/>
      <c r="CQ146" s="550"/>
      <c r="CR146" s="550"/>
      <c r="CS146" s="550"/>
      <c r="CT146" s="550"/>
      <c r="CU146" s="550"/>
      <c r="CV146" s="550"/>
      <c r="CW146" s="550"/>
    </row>
    <row r="147" spans="1:101" x14ac:dyDescent="0.2">
      <c r="A147" s="344">
        <f>+SUBTOTAL(3,$E$8:$E147)</f>
        <v>140</v>
      </c>
      <c r="B147" s="555">
        <v>45413</v>
      </c>
      <c r="C147" s="347" t="s">
        <v>702</v>
      </c>
      <c r="D147" s="344" t="str">
        <f>+VLOOKUP(C147,'Visual chart Edit'!$B$7:$C$491,2,FALSE)</f>
        <v>DA+9</v>
      </c>
      <c r="E147" s="344" t="s">
        <v>143</v>
      </c>
      <c r="F147" s="551">
        <v>45432</v>
      </c>
      <c r="G147" s="551">
        <v>45440</v>
      </c>
      <c r="H147" s="552" t="s">
        <v>877</v>
      </c>
      <c r="I147" s="553" t="s">
        <v>1024</v>
      </c>
      <c r="J147" s="554">
        <f t="shared" si="2"/>
        <v>8</v>
      </c>
      <c r="K147" s="550"/>
      <c r="L147" s="550"/>
      <c r="M147" s="550"/>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50"/>
      <c r="AQ147" s="550"/>
      <c r="AR147" s="550"/>
      <c r="AS147" s="550"/>
      <c r="AT147" s="550"/>
      <c r="AU147" s="550"/>
      <c r="AV147" s="550"/>
      <c r="AW147" s="550"/>
      <c r="AX147" s="550"/>
      <c r="AY147" s="550"/>
      <c r="AZ147" s="550"/>
      <c r="BA147" s="550"/>
      <c r="BB147" s="550"/>
      <c r="BC147" s="550"/>
      <c r="BD147" s="550"/>
      <c r="BE147" s="550"/>
      <c r="BF147" s="550"/>
      <c r="BG147" s="550"/>
      <c r="BH147" s="550"/>
      <c r="BI147" s="550"/>
      <c r="BJ147" s="550"/>
      <c r="BK147" s="550"/>
      <c r="BL147" s="550"/>
      <c r="BM147" s="550"/>
      <c r="BN147" s="550"/>
      <c r="BO147" s="550"/>
      <c r="BP147" s="550"/>
      <c r="BQ147" s="550"/>
      <c r="BR147" s="550"/>
      <c r="BS147" s="550"/>
      <c r="BT147" s="550"/>
      <c r="BU147" s="550"/>
      <c r="BV147" s="550"/>
      <c r="BW147" s="550"/>
      <c r="BX147" s="550"/>
      <c r="BY147" s="550"/>
      <c r="BZ147" s="550"/>
      <c r="CA147" s="550"/>
      <c r="CB147" s="550"/>
      <c r="CC147" s="550"/>
      <c r="CD147" s="550"/>
      <c r="CE147" s="550"/>
      <c r="CF147" s="550"/>
      <c r="CG147" s="550"/>
      <c r="CH147" s="550"/>
      <c r="CI147" s="550"/>
      <c r="CJ147" s="550"/>
      <c r="CK147" s="550"/>
      <c r="CL147" s="550"/>
      <c r="CM147" s="550"/>
      <c r="CN147" s="550"/>
      <c r="CO147" s="550"/>
      <c r="CP147" s="550"/>
      <c r="CQ147" s="550"/>
      <c r="CR147" s="550"/>
      <c r="CS147" s="550"/>
      <c r="CT147" s="550"/>
      <c r="CU147" s="550"/>
      <c r="CV147" s="550"/>
      <c r="CW147" s="550"/>
    </row>
    <row r="148" spans="1:101" x14ac:dyDescent="0.2">
      <c r="A148" s="344">
        <f>+SUBTOTAL(3,$E$8:$E148)</f>
        <v>141</v>
      </c>
      <c r="B148" s="555">
        <v>45413</v>
      </c>
      <c r="C148" s="344" t="s">
        <v>711</v>
      </c>
      <c r="D148" s="344" t="str">
        <f>+VLOOKUP(C148,'Visual chart Edit'!$B$7:$C$491,2,FALSE)</f>
        <v>DA+0</v>
      </c>
      <c r="E148" s="344" t="s">
        <v>143</v>
      </c>
      <c r="F148" s="551">
        <v>45437</v>
      </c>
      <c r="G148" s="551">
        <v>45443</v>
      </c>
      <c r="H148" s="552" t="s">
        <v>1010</v>
      </c>
      <c r="I148" s="553" t="s">
        <v>1024</v>
      </c>
      <c r="J148" s="554">
        <f t="shared" si="2"/>
        <v>6</v>
      </c>
      <c r="K148" s="550"/>
      <c r="L148" s="550"/>
      <c r="M148" s="550"/>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50"/>
      <c r="AQ148" s="550"/>
      <c r="AR148" s="550"/>
      <c r="AS148" s="550"/>
      <c r="AT148" s="550"/>
      <c r="AU148" s="550"/>
      <c r="AV148" s="550"/>
      <c r="AW148" s="550"/>
      <c r="AX148" s="550"/>
      <c r="AY148" s="550"/>
      <c r="AZ148" s="550"/>
      <c r="BA148" s="550"/>
      <c r="BB148" s="550"/>
      <c r="BC148" s="550"/>
      <c r="BD148" s="550"/>
      <c r="BE148" s="550"/>
      <c r="BF148" s="550"/>
      <c r="BG148" s="550"/>
      <c r="BH148" s="550"/>
      <c r="BI148" s="550"/>
      <c r="BJ148" s="550"/>
      <c r="BK148" s="550"/>
      <c r="BL148" s="550"/>
      <c r="BM148" s="550"/>
      <c r="BN148" s="550"/>
      <c r="BO148" s="550"/>
      <c r="BP148" s="550"/>
      <c r="BQ148" s="550"/>
      <c r="BR148" s="550"/>
      <c r="BS148" s="550"/>
      <c r="BT148" s="550"/>
      <c r="BU148" s="550"/>
      <c r="BV148" s="550"/>
      <c r="BW148" s="550"/>
      <c r="BX148" s="550"/>
      <c r="BY148" s="550"/>
      <c r="BZ148" s="550"/>
      <c r="CA148" s="550"/>
      <c r="CB148" s="550"/>
      <c r="CC148" s="550"/>
      <c r="CD148" s="550"/>
      <c r="CE148" s="550"/>
      <c r="CF148" s="550"/>
      <c r="CG148" s="550"/>
      <c r="CH148" s="550"/>
      <c r="CI148" s="550"/>
      <c r="CJ148" s="550"/>
      <c r="CK148" s="550"/>
      <c r="CL148" s="550"/>
      <c r="CM148" s="550"/>
      <c r="CN148" s="550"/>
      <c r="CO148" s="550"/>
      <c r="CP148" s="550"/>
      <c r="CQ148" s="550"/>
      <c r="CR148" s="550"/>
      <c r="CS148" s="550"/>
      <c r="CT148" s="550"/>
      <c r="CU148" s="550"/>
      <c r="CV148" s="550"/>
      <c r="CW148" s="550"/>
    </row>
    <row r="149" spans="1:101" x14ac:dyDescent="0.2">
      <c r="A149" s="344">
        <f>+SUBTOTAL(3,$E$8:$E149)</f>
        <v>142</v>
      </c>
      <c r="B149" s="555">
        <v>45413</v>
      </c>
      <c r="C149" s="347" t="s">
        <v>684</v>
      </c>
      <c r="D149" s="344" t="str">
        <f>+VLOOKUP(C149,'Visual chart Edit'!$B$7:$C$491,2,FALSE)</f>
        <v>DA+0</v>
      </c>
      <c r="E149" s="344" t="s">
        <v>143</v>
      </c>
      <c r="F149" s="551">
        <v>45441</v>
      </c>
      <c r="G149" s="551">
        <v>45443</v>
      </c>
      <c r="H149" s="552" t="s">
        <v>878</v>
      </c>
      <c r="I149" s="553" t="s">
        <v>1024</v>
      </c>
      <c r="J149" s="554">
        <f t="shared" si="2"/>
        <v>2</v>
      </c>
      <c r="K149" s="550"/>
      <c r="L149" s="550"/>
      <c r="M149" s="550"/>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50"/>
      <c r="AQ149" s="550"/>
      <c r="AR149" s="550"/>
      <c r="AS149" s="550"/>
      <c r="AT149" s="550"/>
      <c r="AU149" s="550"/>
      <c r="AV149" s="550"/>
      <c r="AW149" s="550"/>
      <c r="AX149" s="550"/>
      <c r="AY149" s="550"/>
      <c r="AZ149" s="550"/>
      <c r="BA149" s="550"/>
      <c r="BB149" s="550"/>
      <c r="BC149" s="550"/>
      <c r="BD149" s="550"/>
      <c r="BE149" s="550"/>
      <c r="BF149" s="550"/>
      <c r="BG149" s="550"/>
      <c r="BH149" s="550"/>
      <c r="BI149" s="550"/>
      <c r="BJ149" s="550"/>
      <c r="BK149" s="550"/>
      <c r="BL149" s="550"/>
      <c r="BM149" s="550"/>
      <c r="BN149" s="550"/>
      <c r="BO149" s="550"/>
      <c r="BP149" s="550"/>
      <c r="BQ149" s="550"/>
      <c r="BR149" s="550"/>
      <c r="BS149" s="550"/>
      <c r="BT149" s="550"/>
      <c r="BU149" s="550"/>
      <c r="BV149" s="550"/>
      <c r="BW149" s="550"/>
      <c r="BX149" s="550"/>
      <c r="BY149" s="550"/>
      <c r="BZ149" s="550"/>
      <c r="CA149" s="550"/>
      <c r="CB149" s="550"/>
      <c r="CC149" s="550"/>
      <c r="CD149" s="550"/>
      <c r="CE149" s="550"/>
      <c r="CF149" s="550"/>
      <c r="CG149" s="550"/>
      <c r="CH149" s="550"/>
      <c r="CI149" s="550"/>
      <c r="CJ149" s="550"/>
      <c r="CK149" s="550"/>
      <c r="CL149" s="550"/>
      <c r="CM149" s="550"/>
      <c r="CN149" s="550"/>
      <c r="CO149" s="550"/>
      <c r="CP149" s="550"/>
      <c r="CQ149" s="550"/>
      <c r="CR149" s="550"/>
      <c r="CS149" s="550"/>
      <c r="CT149" s="550"/>
      <c r="CU149" s="550"/>
      <c r="CV149" s="550"/>
      <c r="CW149" s="550"/>
    </row>
    <row r="150" spans="1:101" x14ac:dyDescent="0.2">
      <c r="A150" s="344">
        <f>+SUBTOTAL(3,$E$8:$E150)</f>
        <v>143</v>
      </c>
      <c r="B150" s="555">
        <v>45413</v>
      </c>
      <c r="C150" s="347" t="s">
        <v>700</v>
      </c>
      <c r="D150" s="344" t="str">
        <f>+VLOOKUP(C150,'Visual chart Edit'!$B$7:$C$491,2,FALSE)</f>
        <v>DA+9</v>
      </c>
      <c r="E150" s="344" t="s">
        <v>143</v>
      </c>
      <c r="F150" s="551">
        <v>45438</v>
      </c>
      <c r="G150" s="551">
        <v>45443</v>
      </c>
      <c r="H150" s="552" t="s">
        <v>877</v>
      </c>
      <c r="I150" s="553" t="s">
        <v>1024</v>
      </c>
      <c r="J150" s="554">
        <f t="shared" si="2"/>
        <v>5</v>
      </c>
      <c r="K150" s="550"/>
      <c r="L150" s="550"/>
      <c r="M150" s="550"/>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50"/>
      <c r="AQ150" s="550"/>
      <c r="AR150" s="550"/>
      <c r="AS150" s="550"/>
      <c r="AT150" s="550"/>
      <c r="AU150" s="550"/>
      <c r="AV150" s="550"/>
      <c r="AW150" s="550"/>
      <c r="AX150" s="550"/>
      <c r="AY150" s="550"/>
      <c r="AZ150" s="550"/>
      <c r="BA150" s="550"/>
      <c r="BB150" s="550"/>
      <c r="BC150" s="550"/>
      <c r="BD150" s="550"/>
      <c r="BE150" s="550"/>
      <c r="BF150" s="550"/>
      <c r="BG150" s="550"/>
      <c r="BH150" s="550"/>
      <c r="BI150" s="550"/>
      <c r="BJ150" s="550"/>
      <c r="BK150" s="550"/>
      <c r="BL150" s="550"/>
      <c r="BM150" s="550"/>
      <c r="BN150" s="550"/>
      <c r="BO150" s="550"/>
      <c r="BP150" s="550"/>
      <c r="BQ150" s="550"/>
      <c r="BR150" s="550"/>
      <c r="BS150" s="550"/>
      <c r="BT150" s="550"/>
      <c r="BU150" s="550"/>
      <c r="BV150" s="550"/>
      <c r="BW150" s="550"/>
      <c r="BX150" s="550"/>
      <c r="BY150" s="550"/>
      <c r="BZ150" s="550"/>
      <c r="CA150" s="550"/>
      <c r="CB150" s="550"/>
      <c r="CC150" s="550"/>
      <c r="CD150" s="550"/>
      <c r="CE150" s="550"/>
      <c r="CF150" s="550"/>
      <c r="CG150" s="550"/>
      <c r="CH150" s="550"/>
      <c r="CI150" s="550"/>
      <c r="CJ150" s="550"/>
      <c r="CK150" s="550"/>
      <c r="CL150" s="550"/>
      <c r="CM150" s="550"/>
      <c r="CN150" s="550"/>
      <c r="CO150" s="550"/>
      <c r="CP150" s="550"/>
      <c r="CQ150" s="550"/>
      <c r="CR150" s="550"/>
      <c r="CS150" s="550"/>
      <c r="CT150" s="550"/>
      <c r="CU150" s="550"/>
      <c r="CV150" s="550"/>
      <c r="CW150" s="550"/>
    </row>
    <row r="151" spans="1:101" x14ac:dyDescent="0.2">
      <c r="A151" s="344">
        <f>+SUBTOTAL(3,$E$8:$E151)</f>
        <v>144</v>
      </c>
      <c r="B151" s="561">
        <v>45444</v>
      </c>
      <c r="C151" s="346" t="s">
        <v>163</v>
      </c>
      <c r="D151" s="344" t="str">
        <f>+VLOOKUP(C151,'Visual chart Edit'!$B$7:$C$491,2,FALSE)</f>
        <v>DA+3</v>
      </c>
      <c r="E151" s="344" t="s">
        <v>276</v>
      </c>
      <c r="F151" s="551">
        <v>45441</v>
      </c>
      <c r="G151" s="551">
        <v>45445</v>
      </c>
      <c r="H151" s="552" t="s">
        <v>359</v>
      </c>
      <c r="I151" s="553" t="s">
        <v>388</v>
      </c>
      <c r="J151" s="554">
        <f t="shared" si="2"/>
        <v>4</v>
      </c>
      <c r="K151" s="550"/>
      <c r="L151" s="550"/>
      <c r="M151" s="550"/>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50"/>
      <c r="AQ151" s="550"/>
      <c r="AR151" s="550"/>
      <c r="AS151" s="550"/>
      <c r="AT151" s="550"/>
      <c r="AU151" s="550"/>
      <c r="AV151" s="550"/>
      <c r="AW151" s="550"/>
      <c r="AX151" s="550"/>
      <c r="AY151" s="550"/>
      <c r="AZ151" s="550"/>
      <c r="BA151" s="550"/>
      <c r="BB151" s="550"/>
      <c r="BC151" s="550"/>
      <c r="BD151" s="550"/>
      <c r="BE151" s="550"/>
      <c r="BF151" s="550"/>
      <c r="BG151" s="550"/>
      <c r="BH151" s="550"/>
      <c r="BI151" s="550"/>
      <c r="BJ151" s="550"/>
      <c r="BK151" s="550"/>
      <c r="BL151" s="550"/>
      <c r="BM151" s="550"/>
      <c r="BN151" s="550"/>
      <c r="BO151" s="550"/>
      <c r="BP151" s="550"/>
      <c r="BQ151" s="550"/>
      <c r="BR151" s="550"/>
      <c r="BS151" s="550"/>
      <c r="BT151" s="550"/>
      <c r="BU151" s="550"/>
      <c r="BV151" s="550"/>
      <c r="BW151" s="550"/>
      <c r="BX151" s="550"/>
      <c r="BY151" s="550"/>
      <c r="BZ151" s="550"/>
      <c r="CA151" s="550"/>
      <c r="CB151" s="550"/>
      <c r="CC151" s="550"/>
      <c r="CD151" s="550"/>
      <c r="CE151" s="550"/>
      <c r="CF151" s="550"/>
      <c r="CG151" s="550"/>
      <c r="CH151" s="550"/>
      <c r="CI151" s="550"/>
      <c r="CJ151" s="550"/>
      <c r="CK151" s="550"/>
      <c r="CL151" s="550"/>
      <c r="CM151" s="550"/>
      <c r="CN151" s="550"/>
      <c r="CO151" s="550"/>
      <c r="CP151" s="550"/>
      <c r="CQ151" s="550"/>
      <c r="CR151" s="550"/>
      <c r="CS151" s="550"/>
      <c r="CT151" s="550"/>
      <c r="CU151" s="550"/>
      <c r="CV151" s="550"/>
      <c r="CW151" s="550"/>
    </row>
    <row r="152" spans="1:101" x14ac:dyDescent="0.2">
      <c r="A152" s="344">
        <f>+SUBTOTAL(3,$E$8:$E152)</f>
        <v>145</v>
      </c>
      <c r="B152" s="561">
        <v>45444</v>
      </c>
      <c r="C152" s="346" t="s">
        <v>168</v>
      </c>
      <c r="D152" s="344" t="str">
        <f>+VLOOKUP(C152,'Visual chart Edit'!$B$7:$C$491,2,FALSE)</f>
        <v>DA+3</v>
      </c>
      <c r="E152" s="344" t="s">
        <v>32</v>
      </c>
      <c r="F152" s="551">
        <v>45441</v>
      </c>
      <c r="G152" s="551">
        <v>45448</v>
      </c>
      <c r="H152" s="552" t="s">
        <v>364</v>
      </c>
      <c r="I152" s="553" t="s">
        <v>388</v>
      </c>
      <c r="J152" s="554">
        <f t="shared" si="2"/>
        <v>7</v>
      </c>
      <c r="K152" s="550"/>
      <c r="L152" s="550"/>
      <c r="M152" s="550"/>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50"/>
      <c r="AQ152" s="550"/>
      <c r="AR152" s="550"/>
      <c r="AS152" s="550"/>
      <c r="AT152" s="550"/>
      <c r="AU152" s="550"/>
      <c r="AV152" s="550"/>
      <c r="AW152" s="550"/>
      <c r="AX152" s="550"/>
      <c r="AY152" s="550"/>
      <c r="AZ152" s="550"/>
      <c r="BA152" s="550"/>
      <c r="BB152" s="550"/>
      <c r="BC152" s="550"/>
      <c r="BD152" s="550"/>
      <c r="BE152" s="550"/>
      <c r="BF152" s="550"/>
      <c r="BG152" s="550"/>
      <c r="BH152" s="550"/>
      <c r="BI152" s="550"/>
      <c r="BJ152" s="550"/>
      <c r="BK152" s="550"/>
      <c r="BL152" s="550"/>
      <c r="BM152" s="550"/>
      <c r="BN152" s="550"/>
      <c r="BO152" s="550"/>
      <c r="BP152" s="550"/>
      <c r="BQ152" s="550"/>
      <c r="BR152" s="550"/>
      <c r="BS152" s="550"/>
      <c r="BT152" s="550"/>
      <c r="BU152" s="550"/>
      <c r="BV152" s="550"/>
      <c r="BW152" s="550"/>
      <c r="BX152" s="550"/>
      <c r="BY152" s="550"/>
      <c r="BZ152" s="550"/>
      <c r="CA152" s="550"/>
      <c r="CB152" s="550"/>
      <c r="CC152" s="550"/>
      <c r="CD152" s="550"/>
      <c r="CE152" s="550"/>
      <c r="CF152" s="550"/>
      <c r="CG152" s="550"/>
      <c r="CH152" s="550"/>
      <c r="CI152" s="550"/>
      <c r="CJ152" s="550"/>
      <c r="CK152" s="550"/>
      <c r="CL152" s="550"/>
      <c r="CM152" s="550"/>
      <c r="CN152" s="550"/>
      <c r="CO152" s="550"/>
      <c r="CP152" s="550"/>
      <c r="CQ152" s="550"/>
      <c r="CR152" s="550"/>
      <c r="CS152" s="550"/>
      <c r="CT152" s="550"/>
      <c r="CU152" s="550"/>
      <c r="CV152" s="550"/>
      <c r="CW152" s="550"/>
    </row>
    <row r="153" spans="1:101" x14ac:dyDescent="0.2">
      <c r="A153" s="344">
        <f>+SUBTOTAL(3,$E$8:$E153)</f>
        <v>146</v>
      </c>
      <c r="B153" s="561">
        <v>45444</v>
      </c>
      <c r="C153" s="346" t="s">
        <v>165</v>
      </c>
      <c r="D153" s="344" t="str">
        <f>+VLOOKUP(C153,'Visual chart Edit'!$B$7:$C$491,2,FALSE)</f>
        <v>DA+3</v>
      </c>
      <c r="E153" s="344" t="s">
        <v>276</v>
      </c>
      <c r="F153" s="551">
        <v>45442</v>
      </c>
      <c r="G153" s="551">
        <v>45449</v>
      </c>
      <c r="H153" s="552" t="s">
        <v>359</v>
      </c>
      <c r="I153" s="553" t="s">
        <v>388</v>
      </c>
      <c r="J153" s="554">
        <f t="shared" si="2"/>
        <v>7</v>
      </c>
      <c r="K153" s="550"/>
      <c r="L153" s="550"/>
      <c r="M153" s="550"/>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50"/>
      <c r="AQ153" s="550"/>
      <c r="AR153" s="550"/>
      <c r="AS153" s="550"/>
      <c r="AT153" s="550"/>
      <c r="AU153" s="550"/>
      <c r="AV153" s="550"/>
      <c r="AW153" s="550"/>
      <c r="AX153" s="550"/>
      <c r="AY153" s="550"/>
      <c r="AZ153" s="550"/>
      <c r="BA153" s="550"/>
      <c r="BB153" s="550"/>
      <c r="BC153" s="550"/>
      <c r="BD153" s="550"/>
      <c r="BE153" s="550"/>
      <c r="BF153" s="550"/>
      <c r="BG153" s="550"/>
      <c r="BH153" s="550"/>
      <c r="BI153" s="550"/>
      <c r="BJ153" s="550"/>
      <c r="BK153" s="550"/>
      <c r="BL153" s="550"/>
      <c r="BM153" s="550"/>
      <c r="BN153" s="550"/>
      <c r="BO153" s="550"/>
      <c r="BP153" s="550"/>
      <c r="BQ153" s="550"/>
      <c r="BR153" s="550"/>
      <c r="BS153" s="550"/>
      <c r="BT153" s="550"/>
      <c r="BU153" s="550"/>
      <c r="BV153" s="550"/>
      <c r="BW153" s="550"/>
      <c r="BX153" s="550"/>
      <c r="BY153" s="550"/>
      <c r="BZ153" s="550"/>
      <c r="CA153" s="550"/>
      <c r="CB153" s="550"/>
      <c r="CC153" s="550"/>
      <c r="CD153" s="550"/>
      <c r="CE153" s="550"/>
      <c r="CF153" s="550"/>
      <c r="CG153" s="550"/>
      <c r="CH153" s="550"/>
      <c r="CI153" s="550"/>
      <c r="CJ153" s="550"/>
      <c r="CK153" s="550"/>
      <c r="CL153" s="550"/>
      <c r="CM153" s="550"/>
      <c r="CN153" s="550"/>
      <c r="CO153" s="550"/>
      <c r="CP153" s="550"/>
      <c r="CQ153" s="550"/>
      <c r="CR153" s="550"/>
      <c r="CS153" s="550"/>
      <c r="CT153" s="550"/>
      <c r="CU153" s="550"/>
      <c r="CV153" s="550"/>
      <c r="CW153" s="550"/>
    </row>
    <row r="154" spans="1:101" x14ac:dyDescent="0.2">
      <c r="A154" s="344">
        <f>+SUBTOTAL(3,$E$8:$E154)</f>
        <v>147</v>
      </c>
      <c r="B154" s="561">
        <v>45444</v>
      </c>
      <c r="C154" s="346" t="s">
        <v>682</v>
      </c>
      <c r="D154" s="344" t="str">
        <f>+VLOOKUP(C154,'Visual chart Edit'!$B$7:$C$491,2,FALSE)</f>
        <v>DA+9</v>
      </c>
      <c r="E154" s="344" t="s">
        <v>143</v>
      </c>
      <c r="F154" s="551">
        <v>45446</v>
      </c>
      <c r="G154" s="551">
        <v>45451</v>
      </c>
      <c r="H154" s="552" t="s">
        <v>878</v>
      </c>
      <c r="I154" s="553" t="s">
        <v>1024</v>
      </c>
      <c r="J154" s="554">
        <f t="shared" si="2"/>
        <v>5</v>
      </c>
      <c r="K154" s="550"/>
      <c r="L154" s="550"/>
      <c r="M154" s="550"/>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50"/>
      <c r="AQ154" s="550"/>
      <c r="AR154" s="550"/>
      <c r="AS154" s="550"/>
      <c r="AT154" s="550"/>
      <c r="AU154" s="550"/>
      <c r="AV154" s="550"/>
      <c r="AW154" s="550"/>
      <c r="AX154" s="550"/>
      <c r="AY154" s="550"/>
      <c r="AZ154" s="550"/>
      <c r="BA154" s="550"/>
      <c r="BB154" s="550"/>
      <c r="BC154" s="550"/>
      <c r="BD154" s="550"/>
      <c r="BE154" s="550"/>
      <c r="BF154" s="550"/>
      <c r="BG154" s="550"/>
      <c r="BH154" s="550"/>
      <c r="BI154" s="550"/>
      <c r="BJ154" s="550"/>
      <c r="BK154" s="550"/>
      <c r="BL154" s="550"/>
      <c r="BM154" s="550"/>
      <c r="BN154" s="550"/>
      <c r="BO154" s="550"/>
      <c r="BP154" s="550"/>
      <c r="BQ154" s="550"/>
      <c r="BR154" s="550"/>
      <c r="BS154" s="550"/>
      <c r="BT154" s="550"/>
      <c r="BU154" s="550"/>
      <c r="BV154" s="550"/>
      <c r="BW154" s="550"/>
      <c r="BX154" s="550"/>
      <c r="BY154" s="550"/>
      <c r="BZ154" s="550"/>
      <c r="CA154" s="550"/>
      <c r="CB154" s="550"/>
      <c r="CC154" s="550"/>
      <c r="CD154" s="550"/>
      <c r="CE154" s="550"/>
      <c r="CF154" s="550"/>
      <c r="CG154" s="550"/>
      <c r="CH154" s="550"/>
      <c r="CI154" s="550"/>
      <c r="CJ154" s="550"/>
      <c r="CK154" s="550"/>
      <c r="CL154" s="550"/>
      <c r="CM154" s="550"/>
      <c r="CN154" s="550"/>
      <c r="CO154" s="550"/>
      <c r="CP154" s="550"/>
      <c r="CQ154" s="550"/>
      <c r="CR154" s="550"/>
      <c r="CS154" s="550"/>
      <c r="CT154" s="550"/>
      <c r="CU154" s="550"/>
      <c r="CV154" s="550"/>
      <c r="CW154" s="550"/>
    </row>
    <row r="155" spans="1:101" x14ac:dyDescent="0.2">
      <c r="A155" s="344">
        <f>+SUBTOTAL(3,$E$8:$E155)</f>
        <v>148</v>
      </c>
      <c r="B155" s="561">
        <v>45444</v>
      </c>
      <c r="C155" s="346" t="s">
        <v>709</v>
      </c>
      <c r="D155" s="344" t="str">
        <f>+VLOOKUP(C155,'Visual chart Edit'!$B$7:$C$491,2,FALSE)</f>
        <v>DC2+0</v>
      </c>
      <c r="E155" s="344" t="s">
        <v>143</v>
      </c>
      <c r="F155" s="551">
        <v>45446</v>
      </c>
      <c r="G155" s="551">
        <v>45453</v>
      </c>
      <c r="H155" s="552" t="s">
        <v>1010</v>
      </c>
      <c r="I155" s="553" t="s">
        <v>1024</v>
      </c>
      <c r="J155" s="554">
        <f t="shared" si="2"/>
        <v>7</v>
      </c>
      <c r="K155" s="550"/>
      <c r="L155" s="550"/>
      <c r="M155" s="550"/>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50"/>
      <c r="AQ155" s="550"/>
      <c r="AR155" s="550"/>
      <c r="AS155" s="550"/>
      <c r="AT155" s="550"/>
      <c r="AU155" s="550"/>
      <c r="AV155" s="550"/>
      <c r="AW155" s="550"/>
      <c r="AX155" s="550"/>
      <c r="AY155" s="550"/>
      <c r="AZ155" s="550"/>
      <c r="BA155" s="550"/>
      <c r="BB155" s="550"/>
      <c r="BC155" s="550"/>
      <c r="BD155" s="550"/>
      <c r="BE155" s="550"/>
      <c r="BF155" s="550"/>
      <c r="BG155" s="550"/>
      <c r="BH155" s="550"/>
      <c r="BI155" s="550"/>
      <c r="BJ155" s="550"/>
      <c r="BK155" s="550"/>
      <c r="BL155" s="550"/>
      <c r="BM155" s="550"/>
      <c r="BN155" s="550"/>
      <c r="BO155" s="550"/>
      <c r="BP155" s="550"/>
      <c r="BQ155" s="550"/>
      <c r="BR155" s="550"/>
      <c r="BS155" s="550"/>
      <c r="BT155" s="550"/>
      <c r="BU155" s="550"/>
      <c r="BV155" s="550"/>
      <c r="BW155" s="550"/>
      <c r="BX155" s="550"/>
      <c r="BY155" s="550"/>
      <c r="BZ155" s="550"/>
      <c r="CA155" s="550"/>
      <c r="CB155" s="550"/>
      <c r="CC155" s="550"/>
      <c r="CD155" s="550"/>
      <c r="CE155" s="550"/>
      <c r="CF155" s="550"/>
      <c r="CG155" s="550"/>
      <c r="CH155" s="550"/>
      <c r="CI155" s="550"/>
      <c r="CJ155" s="550"/>
      <c r="CK155" s="550"/>
      <c r="CL155" s="550"/>
      <c r="CM155" s="550"/>
      <c r="CN155" s="550"/>
      <c r="CO155" s="550"/>
      <c r="CP155" s="550"/>
      <c r="CQ155" s="550"/>
      <c r="CR155" s="550"/>
      <c r="CS155" s="550"/>
      <c r="CT155" s="550"/>
      <c r="CU155" s="550"/>
      <c r="CV155" s="550"/>
      <c r="CW155" s="550"/>
    </row>
    <row r="156" spans="1:101" x14ac:dyDescent="0.2">
      <c r="A156" s="344">
        <f>+SUBTOTAL(3,$E$8:$E156)</f>
        <v>149</v>
      </c>
      <c r="B156" s="561">
        <v>45444</v>
      </c>
      <c r="C156" s="346" t="s">
        <v>167</v>
      </c>
      <c r="D156" s="344" t="str">
        <f>+VLOOKUP(C156,'Visual chart Edit'!$B$7:$C$491,2,FALSE)</f>
        <v>DA+3</v>
      </c>
      <c r="E156" s="344" t="s">
        <v>32</v>
      </c>
      <c r="F156" s="551">
        <v>45446</v>
      </c>
      <c r="G156" s="551">
        <v>45458</v>
      </c>
      <c r="H156" s="552" t="s">
        <v>364</v>
      </c>
      <c r="I156" s="553" t="s">
        <v>388</v>
      </c>
      <c r="J156" s="554">
        <f t="shared" si="2"/>
        <v>12</v>
      </c>
      <c r="K156" s="550"/>
      <c r="L156" s="550"/>
      <c r="M156" s="550"/>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50"/>
      <c r="AQ156" s="550"/>
      <c r="AR156" s="550"/>
      <c r="AS156" s="550"/>
      <c r="AT156" s="550"/>
      <c r="AU156" s="550"/>
      <c r="AV156" s="550"/>
      <c r="AW156" s="550"/>
      <c r="AX156" s="550"/>
      <c r="AY156" s="550"/>
      <c r="AZ156" s="550"/>
      <c r="BA156" s="550"/>
      <c r="BB156" s="550"/>
      <c r="BC156" s="550"/>
      <c r="BD156" s="550"/>
      <c r="BE156" s="550"/>
      <c r="BF156" s="550"/>
      <c r="BG156" s="550"/>
      <c r="BH156" s="550"/>
      <c r="BI156" s="550"/>
      <c r="BJ156" s="550"/>
      <c r="BK156" s="550"/>
      <c r="BL156" s="550"/>
      <c r="BM156" s="550"/>
      <c r="BN156" s="550"/>
      <c r="BO156" s="550"/>
      <c r="BP156" s="550"/>
      <c r="BQ156" s="550"/>
      <c r="BR156" s="550"/>
      <c r="BS156" s="550"/>
      <c r="BT156" s="550"/>
      <c r="BU156" s="550"/>
      <c r="BV156" s="550"/>
      <c r="BW156" s="550"/>
      <c r="BX156" s="550"/>
      <c r="BY156" s="550"/>
      <c r="BZ156" s="550"/>
      <c r="CA156" s="550"/>
      <c r="CB156" s="550"/>
      <c r="CC156" s="550"/>
      <c r="CD156" s="550"/>
      <c r="CE156" s="550"/>
      <c r="CF156" s="550"/>
      <c r="CG156" s="550"/>
      <c r="CH156" s="550"/>
      <c r="CI156" s="550"/>
      <c r="CJ156" s="550"/>
      <c r="CK156" s="550"/>
      <c r="CL156" s="550"/>
      <c r="CM156" s="550"/>
      <c r="CN156" s="550"/>
      <c r="CO156" s="550"/>
      <c r="CP156" s="550"/>
      <c r="CQ156" s="550"/>
      <c r="CR156" s="550"/>
      <c r="CS156" s="550"/>
      <c r="CT156" s="550"/>
      <c r="CU156" s="550"/>
      <c r="CV156" s="550"/>
      <c r="CW156" s="550"/>
    </row>
    <row r="157" spans="1:101" x14ac:dyDescent="0.2">
      <c r="A157" s="344">
        <f>+SUBTOTAL(3,$E$8:$E157)</f>
        <v>150</v>
      </c>
      <c r="B157" s="561">
        <v>45444</v>
      </c>
      <c r="C157" s="346" t="s">
        <v>730</v>
      </c>
      <c r="D157" s="344" t="str">
        <f>+VLOOKUP(C157,'Visual chart Edit'!$B$7:$C$491,2,FALSE)</f>
        <v>DA+3</v>
      </c>
      <c r="E157" s="344" t="s">
        <v>143</v>
      </c>
      <c r="F157" s="551">
        <v>45455</v>
      </c>
      <c r="G157" s="551">
        <v>45458</v>
      </c>
      <c r="H157" s="552" t="s">
        <v>878</v>
      </c>
      <c r="I157" s="553" t="s">
        <v>1024</v>
      </c>
      <c r="J157" s="554">
        <f t="shared" si="2"/>
        <v>3</v>
      </c>
      <c r="K157" s="550"/>
      <c r="L157" s="550"/>
      <c r="M157" s="550"/>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50"/>
      <c r="AQ157" s="550"/>
      <c r="AR157" s="550"/>
      <c r="AS157" s="550"/>
      <c r="AT157" s="550"/>
      <c r="AU157" s="550"/>
      <c r="AV157" s="550"/>
      <c r="AW157" s="550"/>
      <c r="AX157" s="550"/>
      <c r="AY157" s="550"/>
      <c r="AZ157" s="550"/>
      <c r="BA157" s="550"/>
      <c r="BB157" s="550"/>
      <c r="BC157" s="550"/>
      <c r="BD157" s="550"/>
      <c r="BE157" s="550"/>
      <c r="BF157" s="550"/>
      <c r="BG157" s="550"/>
      <c r="BH157" s="550"/>
      <c r="BI157" s="550"/>
      <c r="BJ157" s="550"/>
      <c r="BK157" s="550"/>
      <c r="BL157" s="550"/>
      <c r="BM157" s="550"/>
      <c r="BN157" s="550"/>
      <c r="BO157" s="550"/>
      <c r="BP157" s="550"/>
      <c r="BQ157" s="550"/>
      <c r="BR157" s="550"/>
      <c r="BS157" s="550"/>
      <c r="BT157" s="550"/>
      <c r="BU157" s="550"/>
      <c r="BV157" s="550"/>
      <c r="BW157" s="550"/>
      <c r="BX157" s="550"/>
      <c r="BY157" s="550"/>
      <c r="BZ157" s="550"/>
      <c r="CA157" s="550"/>
      <c r="CB157" s="550"/>
      <c r="CC157" s="550"/>
      <c r="CD157" s="550"/>
      <c r="CE157" s="550"/>
      <c r="CF157" s="550"/>
      <c r="CG157" s="550"/>
      <c r="CH157" s="550"/>
      <c r="CI157" s="550"/>
      <c r="CJ157" s="550"/>
      <c r="CK157" s="550"/>
      <c r="CL157" s="550"/>
      <c r="CM157" s="550"/>
      <c r="CN157" s="550"/>
      <c r="CO157" s="550"/>
      <c r="CP157" s="550"/>
      <c r="CQ157" s="550"/>
      <c r="CR157" s="550"/>
      <c r="CS157" s="550"/>
      <c r="CT157" s="550"/>
      <c r="CU157" s="550"/>
      <c r="CV157" s="550"/>
      <c r="CW157" s="550"/>
    </row>
    <row r="158" spans="1:101" x14ac:dyDescent="0.2">
      <c r="A158" s="344">
        <f>+SUBTOTAL(3,$E$8:$E158)</f>
        <v>151</v>
      </c>
      <c r="B158" s="561">
        <v>45444</v>
      </c>
      <c r="C158" s="346" t="s">
        <v>160</v>
      </c>
      <c r="D158" s="344" t="str">
        <f>+VLOOKUP(C158,'Visual chart Edit'!$B$7:$C$491,2,FALSE)</f>
        <v>DA+3</v>
      </c>
      <c r="E158" s="344" t="s">
        <v>32</v>
      </c>
      <c r="F158" s="551">
        <v>45451</v>
      </c>
      <c r="G158" s="551">
        <v>45462</v>
      </c>
      <c r="H158" s="552" t="s">
        <v>359</v>
      </c>
      <c r="I158" s="553" t="s">
        <v>388</v>
      </c>
      <c r="J158" s="554">
        <f t="shared" si="2"/>
        <v>11</v>
      </c>
      <c r="K158" s="550"/>
      <c r="L158" s="550"/>
      <c r="M158" s="550"/>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50"/>
      <c r="AQ158" s="550"/>
      <c r="AR158" s="550"/>
      <c r="AS158" s="550"/>
      <c r="AT158" s="550"/>
      <c r="AU158" s="550"/>
      <c r="AV158" s="550"/>
      <c r="AW158" s="550"/>
      <c r="AX158" s="550"/>
      <c r="AY158" s="550"/>
      <c r="AZ158" s="550"/>
      <c r="BA158" s="550"/>
      <c r="BB158" s="550"/>
      <c r="BC158" s="550"/>
      <c r="BD158" s="550"/>
      <c r="BE158" s="550"/>
      <c r="BF158" s="550"/>
      <c r="BG158" s="550"/>
      <c r="BH158" s="550"/>
      <c r="BI158" s="550"/>
      <c r="BJ158" s="550"/>
      <c r="BK158" s="550"/>
      <c r="BL158" s="550"/>
      <c r="BM158" s="550"/>
      <c r="BN158" s="550"/>
      <c r="BO158" s="550"/>
      <c r="BP158" s="550"/>
      <c r="BQ158" s="550"/>
      <c r="BR158" s="550"/>
      <c r="BS158" s="550"/>
      <c r="BT158" s="550"/>
      <c r="BU158" s="550"/>
      <c r="BV158" s="550"/>
      <c r="BW158" s="550"/>
      <c r="BX158" s="550"/>
      <c r="BY158" s="550"/>
      <c r="BZ158" s="550"/>
      <c r="CA158" s="550"/>
      <c r="CB158" s="550"/>
      <c r="CC158" s="550"/>
      <c r="CD158" s="550"/>
      <c r="CE158" s="550"/>
      <c r="CF158" s="550"/>
      <c r="CG158" s="550"/>
      <c r="CH158" s="550"/>
      <c r="CI158" s="550"/>
      <c r="CJ158" s="550"/>
      <c r="CK158" s="550"/>
      <c r="CL158" s="550"/>
      <c r="CM158" s="550"/>
      <c r="CN158" s="550"/>
      <c r="CO158" s="550"/>
      <c r="CP158" s="550"/>
      <c r="CQ158" s="550"/>
      <c r="CR158" s="550"/>
      <c r="CS158" s="550"/>
      <c r="CT158" s="550"/>
      <c r="CU158" s="550"/>
      <c r="CV158" s="550"/>
      <c r="CW158" s="550"/>
    </row>
    <row r="159" spans="1:101" x14ac:dyDescent="0.2">
      <c r="A159" s="344">
        <f>+SUBTOTAL(3,$E$8:$E159)</f>
        <v>152</v>
      </c>
      <c r="B159" s="561">
        <v>45444</v>
      </c>
      <c r="C159" s="346" t="s">
        <v>164</v>
      </c>
      <c r="D159" s="344" t="str">
        <f>+VLOOKUP(C159,'Visual chart Edit'!$B$7:$C$491,2,FALSE)</f>
        <v>DB1+0</v>
      </c>
      <c r="E159" s="344" t="s">
        <v>276</v>
      </c>
      <c r="F159" s="551">
        <v>45453</v>
      </c>
      <c r="G159" s="551">
        <v>45470</v>
      </c>
      <c r="H159" s="552" t="s">
        <v>359</v>
      </c>
      <c r="I159" s="553" t="s">
        <v>388</v>
      </c>
      <c r="J159" s="554">
        <f t="shared" si="2"/>
        <v>17</v>
      </c>
      <c r="K159" s="550"/>
      <c r="L159" s="550"/>
      <c r="M159" s="550"/>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50"/>
      <c r="AQ159" s="550"/>
      <c r="AR159" s="550"/>
      <c r="AS159" s="550"/>
      <c r="AT159" s="550"/>
      <c r="AU159" s="550"/>
      <c r="AV159" s="550"/>
      <c r="AW159" s="550"/>
      <c r="AX159" s="550"/>
      <c r="AY159" s="550"/>
      <c r="AZ159" s="550"/>
      <c r="BA159" s="550"/>
      <c r="BB159" s="550"/>
      <c r="BC159" s="550"/>
      <c r="BD159" s="550"/>
      <c r="BE159" s="550"/>
      <c r="BF159" s="550"/>
      <c r="BG159" s="550"/>
      <c r="BH159" s="550"/>
      <c r="BI159" s="550"/>
      <c r="BJ159" s="550"/>
      <c r="BK159" s="550"/>
      <c r="BL159" s="550"/>
      <c r="BM159" s="550"/>
      <c r="BN159" s="550"/>
      <c r="BO159" s="550"/>
      <c r="BP159" s="550"/>
      <c r="BQ159" s="550"/>
      <c r="BR159" s="550"/>
      <c r="BS159" s="550"/>
      <c r="BT159" s="550"/>
      <c r="BU159" s="550"/>
      <c r="BV159" s="550"/>
      <c r="BW159" s="550"/>
      <c r="BX159" s="550"/>
      <c r="BY159" s="550"/>
      <c r="BZ159" s="550"/>
      <c r="CA159" s="550"/>
      <c r="CB159" s="550"/>
      <c r="CC159" s="550"/>
      <c r="CD159" s="550"/>
      <c r="CE159" s="550"/>
      <c r="CF159" s="550"/>
      <c r="CG159" s="550"/>
      <c r="CH159" s="550"/>
      <c r="CI159" s="550"/>
      <c r="CJ159" s="550"/>
      <c r="CK159" s="550"/>
      <c r="CL159" s="550"/>
      <c r="CM159" s="550"/>
      <c r="CN159" s="550"/>
      <c r="CO159" s="550"/>
      <c r="CP159" s="550"/>
      <c r="CQ159" s="550"/>
      <c r="CR159" s="550"/>
      <c r="CS159" s="550"/>
      <c r="CT159" s="550"/>
      <c r="CU159" s="550"/>
      <c r="CV159" s="550"/>
      <c r="CW159" s="550"/>
    </row>
    <row r="160" spans="1:101" x14ac:dyDescent="0.2">
      <c r="A160" s="344">
        <f>+SUBTOTAL(3,$E$8:$E160)</f>
        <v>153</v>
      </c>
      <c r="B160" s="561">
        <v>45474</v>
      </c>
      <c r="C160" s="346" t="s">
        <v>498</v>
      </c>
      <c r="D160" s="344" t="str">
        <f>+VLOOKUP(C160,'Visual chart Edit'!$B$7:$C$491,2,FALSE)</f>
        <v>DA+3</v>
      </c>
      <c r="E160" s="344" t="s">
        <v>276</v>
      </c>
      <c r="F160" s="551">
        <v>45472</v>
      </c>
      <c r="G160" s="551">
        <v>45479</v>
      </c>
      <c r="H160" s="552" t="s">
        <v>591</v>
      </c>
      <c r="I160" s="553" t="s">
        <v>237</v>
      </c>
      <c r="J160" s="554">
        <f t="shared" si="2"/>
        <v>7</v>
      </c>
      <c r="K160" s="550"/>
      <c r="L160" s="550"/>
      <c r="M160" s="550"/>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50"/>
      <c r="AQ160" s="550"/>
      <c r="AR160" s="550"/>
      <c r="AS160" s="550"/>
      <c r="AT160" s="550"/>
      <c r="AU160" s="550"/>
      <c r="AV160" s="550"/>
      <c r="AW160" s="550"/>
      <c r="AX160" s="550"/>
      <c r="AY160" s="550"/>
      <c r="AZ160" s="550"/>
      <c r="BA160" s="550"/>
      <c r="BB160" s="550"/>
      <c r="BC160" s="550"/>
      <c r="BD160" s="550"/>
      <c r="BE160" s="550"/>
      <c r="BF160" s="550"/>
      <c r="BG160" s="550"/>
      <c r="BH160" s="550"/>
      <c r="BI160" s="550"/>
      <c r="BJ160" s="550"/>
      <c r="BK160" s="550"/>
      <c r="BL160" s="550"/>
      <c r="BM160" s="550"/>
      <c r="BN160" s="550"/>
      <c r="BO160" s="550"/>
      <c r="BP160" s="550"/>
      <c r="BQ160" s="550"/>
      <c r="BR160" s="550"/>
      <c r="BS160" s="550"/>
      <c r="BT160" s="550"/>
      <c r="BU160" s="550"/>
      <c r="BV160" s="550"/>
      <c r="BW160" s="550"/>
      <c r="BX160" s="550"/>
      <c r="BY160" s="550"/>
      <c r="BZ160" s="550"/>
      <c r="CA160" s="550"/>
      <c r="CB160" s="550"/>
      <c r="CC160" s="550"/>
      <c r="CD160" s="550"/>
      <c r="CE160" s="550"/>
      <c r="CF160" s="550"/>
      <c r="CG160" s="550"/>
      <c r="CH160" s="550"/>
      <c r="CI160" s="550"/>
      <c r="CJ160" s="550"/>
      <c r="CK160" s="550"/>
      <c r="CL160" s="550"/>
      <c r="CM160" s="550"/>
      <c r="CN160" s="550"/>
      <c r="CO160" s="550"/>
      <c r="CP160" s="550"/>
      <c r="CQ160" s="550"/>
      <c r="CR160" s="550"/>
      <c r="CS160" s="550"/>
      <c r="CT160" s="550"/>
      <c r="CU160" s="550"/>
      <c r="CV160" s="550"/>
      <c r="CW160" s="550"/>
    </row>
    <row r="161" spans="1:103" x14ac:dyDescent="0.2">
      <c r="A161" s="344">
        <f>+SUBTOTAL(3,$E$8:$E161)</f>
        <v>154</v>
      </c>
      <c r="B161" s="561">
        <v>45474</v>
      </c>
      <c r="C161" s="346" t="s">
        <v>472</v>
      </c>
      <c r="D161" s="344" t="str">
        <f>+VLOOKUP(C161,'Visual chart Edit'!$B$7:$C$491,2,FALSE)</f>
        <v>DA+3</v>
      </c>
      <c r="E161" s="344" t="s">
        <v>32</v>
      </c>
      <c r="F161" s="551">
        <v>45463</v>
      </c>
      <c r="G161" s="551">
        <v>45480</v>
      </c>
      <c r="H161" s="552" t="s">
        <v>364</v>
      </c>
      <c r="I161" s="553" t="s">
        <v>388</v>
      </c>
      <c r="J161" s="554">
        <f t="shared" si="2"/>
        <v>17</v>
      </c>
      <c r="K161" s="550"/>
      <c r="L161" s="550"/>
      <c r="M161" s="550"/>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50"/>
      <c r="AQ161" s="550"/>
      <c r="AR161" s="550"/>
      <c r="AS161" s="550"/>
      <c r="AT161" s="550"/>
      <c r="AU161" s="550"/>
      <c r="AV161" s="550"/>
      <c r="AW161" s="550"/>
      <c r="AX161" s="550"/>
      <c r="AY161" s="550"/>
      <c r="AZ161" s="550"/>
      <c r="BA161" s="550"/>
      <c r="BB161" s="550"/>
      <c r="BC161" s="550"/>
      <c r="BD161" s="550"/>
      <c r="BE161" s="550"/>
      <c r="BF161" s="550"/>
      <c r="BG161" s="550"/>
      <c r="BH161" s="550"/>
      <c r="BI161" s="550"/>
      <c r="BJ161" s="550"/>
      <c r="BK161" s="550"/>
      <c r="BL161" s="550"/>
      <c r="BM161" s="550"/>
      <c r="BN161" s="550"/>
      <c r="BO161" s="550"/>
      <c r="BP161" s="550"/>
      <c r="BQ161" s="550"/>
      <c r="BR161" s="550"/>
      <c r="BS161" s="550"/>
      <c r="BT161" s="550"/>
      <c r="BU161" s="550"/>
      <c r="BV161" s="550"/>
      <c r="BW161" s="550"/>
      <c r="BX161" s="550"/>
      <c r="BY161" s="550"/>
      <c r="BZ161" s="550"/>
      <c r="CA161" s="550"/>
      <c r="CB161" s="550"/>
      <c r="CC161" s="550"/>
      <c r="CD161" s="550"/>
      <c r="CE161" s="550"/>
      <c r="CF161" s="550"/>
      <c r="CG161" s="550"/>
      <c r="CH161" s="550"/>
      <c r="CI161" s="550"/>
      <c r="CJ161" s="550"/>
      <c r="CK161" s="550"/>
      <c r="CL161" s="550"/>
      <c r="CM161" s="550"/>
      <c r="CN161" s="550"/>
      <c r="CO161" s="550"/>
      <c r="CP161" s="550"/>
      <c r="CQ161" s="550"/>
      <c r="CR161" s="550"/>
      <c r="CS161" s="550"/>
      <c r="CT161" s="550"/>
      <c r="CU161" s="550"/>
      <c r="CV161" s="550"/>
      <c r="CW161" s="550"/>
    </row>
    <row r="162" spans="1:103" x14ac:dyDescent="0.2">
      <c r="A162" s="344">
        <f>+SUBTOTAL(3,$E$8:$E162)</f>
        <v>155</v>
      </c>
      <c r="B162" s="561">
        <v>45474</v>
      </c>
      <c r="C162" s="346" t="s">
        <v>485</v>
      </c>
      <c r="D162" s="344" t="str">
        <f>+VLOOKUP(C162,'Visual chart Edit'!$B$7:$C$491,2,FALSE)</f>
        <v>DA+3</v>
      </c>
      <c r="E162" s="344" t="s">
        <v>276</v>
      </c>
      <c r="F162" s="551">
        <v>45477</v>
      </c>
      <c r="G162" s="551">
        <v>45485</v>
      </c>
      <c r="H162" s="552" t="s">
        <v>548</v>
      </c>
      <c r="I162" s="553" t="s">
        <v>388</v>
      </c>
      <c r="J162" s="554">
        <f t="shared" si="2"/>
        <v>8</v>
      </c>
      <c r="K162" s="550"/>
      <c r="L162" s="550"/>
      <c r="M162" s="550"/>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50"/>
      <c r="AQ162" s="550"/>
      <c r="AR162" s="550"/>
      <c r="AS162" s="550"/>
      <c r="AT162" s="550"/>
      <c r="AU162" s="550"/>
      <c r="AV162" s="550"/>
      <c r="AW162" s="550"/>
      <c r="AX162" s="550"/>
      <c r="AY162" s="550"/>
      <c r="AZ162" s="550"/>
      <c r="BA162" s="550"/>
      <c r="BB162" s="550"/>
      <c r="BC162" s="550"/>
      <c r="BD162" s="550"/>
      <c r="BE162" s="550"/>
      <c r="BF162" s="550"/>
      <c r="BG162" s="550"/>
      <c r="BH162" s="550"/>
      <c r="BI162" s="550"/>
      <c r="BJ162" s="550"/>
      <c r="BK162" s="550"/>
      <c r="BL162" s="550"/>
      <c r="BM162" s="550"/>
      <c r="BN162" s="550"/>
      <c r="BO162" s="550"/>
      <c r="BP162" s="550"/>
      <c r="BQ162" s="550"/>
      <c r="BR162" s="550"/>
      <c r="BS162" s="550"/>
      <c r="BT162" s="550"/>
      <c r="BU162" s="550"/>
      <c r="BV162" s="550"/>
      <c r="BW162" s="550"/>
      <c r="BX162" s="550"/>
      <c r="BY162" s="550"/>
      <c r="BZ162" s="550"/>
      <c r="CA162" s="550"/>
      <c r="CB162" s="550"/>
      <c r="CC162" s="550"/>
      <c r="CD162" s="550"/>
      <c r="CE162" s="550"/>
      <c r="CF162" s="550"/>
      <c r="CG162" s="550"/>
      <c r="CH162" s="550"/>
      <c r="CI162" s="550"/>
      <c r="CJ162" s="550"/>
      <c r="CK162" s="550"/>
      <c r="CL162" s="550"/>
      <c r="CM162" s="550"/>
      <c r="CN162" s="550"/>
      <c r="CO162" s="550"/>
      <c r="CP162" s="550"/>
      <c r="CQ162" s="550"/>
      <c r="CR162" s="550"/>
      <c r="CS162" s="550"/>
      <c r="CT162" s="550"/>
      <c r="CU162" s="550"/>
      <c r="CV162" s="550"/>
      <c r="CW162" s="550"/>
    </row>
    <row r="163" spans="1:103" x14ac:dyDescent="0.2">
      <c r="A163" s="344">
        <f>+SUBTOTAL(3,$E$8:$E163)</f>
        <v>156</v>
      </c>
      <c r="B163" s="561">
        <v>45474</v>
      </c>
      <c r="C163" s="346" t="s">
        <v>473</v>
      </c>
      <c r="D163" s="344" t="str">
        <f>+VLOOKUP(C163,'Visual chart Edit'!$B$7:$C$491,2,FALSE)</f>
        <v>DA+3</v>
      </c>
      <c r="E163" s="344" t="s">
        <v>32</v>
      </c>
      <c r="F163" s="551">
        <v>45471</v>
      </c>
      <c r="G163" s="551">
        <v>45487</v>
      </c>
      <c r="H163" s="552" t="s">
        <v>364</v>
      </c>
      <c r="I163" s="553" t="s">
        <v>388</v>
      </c>
      <c r="J163" s="554">
        <f t="shared" si="2"/>
        <v>16</v>
      </c>
      <c r="K163" s="550"/>
      <c r="L163" s="550"/>
      <c r="M163" s="550"/>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50"/>
      <c r="AQ163" s="550"/>
      <c r="AR163" s="550"/>
      <c r="AS163" s="550"/>
      <c r="AT163" s="550"/>
      <c r="AU163" s="550"/>
      <c r="AV163" s="550"/>
      <c r="AW163" s="550"/>
      <c r="AX163" s="550"/>
      <c r="AY163" s="550"/>
      <c r="AZ163" s="550"/>
      <c r="BA163" s="550"/>
      <c r="BB163" s="550"/>
      <c r="BC163" s="550"/>
      <c r="BD163" s="550"/>
      <c r="BE163" s="550"/>
      <c r="BF163" s="550"/>
      <c r="BG163" s="550"/>
      <c r="BH163" s="550"/>
      <c r="BI163" s="550"/>
      <c r="BJ163" s="550"/>
      <c r="BK163" s="550"/>
      <c r="BL163" s="550"/>
      <c r="BM163" s="550"/>
      <c r="BN163" s="550"/>
      <c r="BO163" s="550"/>
      <c r="BP163" s="550"/>
      <c r="BQ163" s="550"/>
      <c r="BR163" s="550"/>
      <c r="BS163" s="550"/>
      <c r="BT163" s="550"/>
      <c r="BU163" s="550"/>
      <c r="BV163" s="550"/>
      <c r="BW163" s="550"/>
      <c r="BX163" s="550"/>
      <c r="BY163" s="550"/>
      <c r="BZ163" s="550"/>
      <c r="CA163" s="550"/>
      <c r="CB163" s="550"/>
      <c r="CC163" s="550"/>
      <c r="CD163" s="550"/>
      <c r="CE163" s="550"/>
      <c r="CF163" s="550"/>
      <c r="CG163" s="550"/>
      <c r="CH163" s="550"/>
      <c r="CI163" s="550"/>
      <c r="CJ163" s="550"/>
      <c r="CK163" s="550"/>
      <c r="CL163" s="550"/>
      <c r="CM163" s="550"/>
      <c r="CN163" s="550"/>
      <c r="CO163" s="550"/>
      <c r="CP163" s="550"/>
      <c r="CQ163" s="550"/>
      <c r="CR163" s="550"/>
      <c r="CS163" s="550"/>
      <c r="CT163" s="550"/>
      <c r="CU163" s="550"/>
      <c r="CV163" s="550"/>
      <c r="CW163" s="550"/>
    </row>
    <row r="164" spans="1:103" x14ac:dyDescent="0.2">
      <c r="A164" s="344">
        <f>+SUBTOTAL(3,$E$8:$E164)</f>
        <v>157</v>
      </c>
      <c r="B164" s="561">
        <v>45474</v>
      </c>
      <c r="C164" s="346" t="s">
        <v>510</v>
      </c>
      <c r="D164" s="344" t="str">
        <f>+VLOOKUP(C164,'Visual chart Edit'!$B$7:$C$491,2,FALSE)</f>
        <v>DA+0</v>
      </c>
      <c r="E164" s="344" t="s">
        <v>276</v>
      </c>
      <c r="F164" s="551">
        <v>45480</v>
      </c>
      <c r="G164" s="551">
        <v>45487</v>
      </c>
      <c r="H164" s="552" t="s">
        <v>582</v>
      </c>
      <c r="I164" s="553" t="s">
        <v>388</v>
      </c>
      <c r="J164" s="554">
        <f t="shared" si="2"/>
        <v>7</v>
      </c>
      <c r="K164" s="550"/>
      <c r="L164" s="550"/>
      <c r="M164" s="550"/>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50"/>
      <c r="AQ164" s="550"/>
      <c r="AR164" s="550"/>
      <c r="AS164" s="550"/>
      <c r="AT164" s="550"/>
      <c r="AU164" s="550"/>
      <c r="AV164" s="550"/>
      <c r="AW164" s="550"/>
      <c r="AX164" s="550"/>
      <c r="AY164" s="550"/>
      <c r="AZ164" s="550"/>
      <c r="BA164" s="550"/>
      <c r="BB164" s="550"/>
      <c r="BC164" s="550"/>
      <c r="BD164" s="550"/>
      <c r="BE164" s="550"/>
      <c r="BF164" s="550"/>
      <c r="BG164" s="550"/>
      <c r="BH164" s="550"/>
      <c r="BI164" s="550"/>
      <c r="BJ164" s="550"/>
      <c r="BK164" s="550"/>
      <c r="BL164" s="550"/>
      <c r="BM164" s="550"/>
      <c r="BN164" s="550"/>
      <c r="BO164" s="550"/>
      <c r="BP164" s="550"/>
      <c r="BQ164" s="550"/>
      <c r="BR164" s="550"/>
      <c r="BS164" s="550"/>
      <c r="BT164" s="550"/>
      <c r="BU164" s="550"/>
      <c r="BV164" s="550"/>
      <c r="BW164" s="550"/>
      <c r="BX164" s="550"/>
      <c r="BY164" s="550"/>
      <c r="BZ164" s="550"/>
      <c r="CA164" s="550"/>
      <c r="CB164" s="550"/>
      <c r="CC164" s="550"/>
      <c r="CD164" s="550"/>
      <c r="CE164" s="550"/>
      <c r="CF164" s="550"/>
      <c r="CG164" s="550"/>
      <c r="CH164" s="550"/>
      <c r="CI164" s="550"/>
      <c r="CJ164" s="550"/>
      <c r="CK164" s="550"/>
      <c r="CL164" s="550"/>
      <c r="CM164" s="550"/>
      <c r="CN164" s="550"/>
      <c r="CO164" s="550"/>
      <c r="CP164" s="550"/>
      <c r="CQ164" s="550"/>
      <c r="CR164" s="550"/>
      <c r="CS164" s="550"/>
      <c r="CT164" s="550"/>
      <c r="CU164" s="550"/>
      <c r="CV164" s="550"/>
      <c r="CW164" s="550"/>
    </row>
    <row r="165" spans="1:103" x14ac:dyDescent="0.2">
      <c r="A165" s="344">
        <f>+SUBTOTAL(3,$E$8:$E165)</f>
        <v>158</v>
      </c>
      <c r="B165" s="561">
        <v>45474</v>
      </c>
      <c r="C165" s="346" t="s">
        <v>497</v>
      </c>
      <c r="D165" s="344" t="str">
        <f>+VLOOKUP(C165,'Visual chart Edit'!$B$7:$C$491,2,FALSE)</f>
        <v>DC1+0</v>
      </c>
      <c r="E165" s="344" t="s">
        <v>276</v>
      </c>
      <c r="F165" s="551">
        <v>45480</v>
      </c>
      <c r="G165" s="551">
        <v>45488</v>
      </c>
      <c r="H165" s="552" t="s">
        <v>591</v>
      </c>
      <c r="I165" s="553" t="s">
        <v>237</v>
      </c>
      <c r="J165" s="554">
        <f t="shared" si="2"/>
        <v>8</v>
      </c>
      <c r="K165" s="550"/>
      <c r="L165" s="550"/>
      <c r="M165" s="550"/>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50"/>
      <c r="AQ165" s="550"/>
      <c r="AR165" s="550"/>
      <c r="AS165" s="550"/>
      <c r="AT165" s="550"/>
      <c r="AU165" s="550"/>
      <c r="AV165" s="550"/>
      <c r="AW165" s="550"/>
      <c r="AX165" s="550"/>
      <c r="AY165" s="550"/>
      <c r="AZ165" s="550"/>
      <c r="BA165" s="550"/>
      <c r="BB165" s="550"/>
      <c r="BC165" s="550"/>
      <c r="BD165" s="550"/>
      <c r="BE165" s="550"/>
      <c r="BF165" s="550"/>
      <c r="BG165" s="550"/>
      <c r="BH165" s="550"/>
      <c r="BI165" s="550"/>
      <c r="BJ165" s="550"/>
      <c r="BK165" s="550"/>
      <c r="BL165" s="550"/>
      <c r="BM165" s="550"/>
      <c r="BN165" s="550"/>
      <c r="BO165" s="550"/>
      <c r="BP165" s="550"/>
      <c r="BQ165" s="550"/>
      <c r="BR165" s="550"/>
      <c r="BS165" s="550"/>
      <c r="BT165" s="550"/>
      <c r="BU165" s="550"/>
      <c r="BV165" s="550"/>
      <c r="BW165" s="550"/>
      <c r="BX165" s="550"/>
      <c r="BY165" s="550"/>
      <c r="BZ165" s="550"/>
      <c r="CA165" s="550"/>
      <c r="CB165" s="550"/>
      <c r="CC165" s="550"/>
      <c r="CD165" s="550"/>
      <c r="CE165" s="550"/>
      <c r="CF165" s="550"/>
      <c r="CG165" s="550"/>
      <c r="CH165" s="550"/>
      <c r="CI165" s="550"/>
      <c r="CJ165" s="550"/>
      <c r="CK165" s="550"/>
      <c r="CL165" s="550"/>
      <c r="CM165" s="550"/>
      <c r="CN165" s="550"/>
      <c r="CO165" s="550"/>
      <c r="CP165" s="550"/>
      <c r="CQ165" s="550"/>
      <c r="CR165" s="550"/>
      <c r="CS165" s="550"/>
      <c r="CT165" s="550"/>
      <c r="CU165" s="550"/>
      <c r="CV165" s="550"/>
      <c r="CW165" s="550"/>
    </row>
    <row r="166" spans="1:103" x14ac:dyDescent="0.2">
      <c r="A166" s="344">
        <f>+SUBTOTAL(3,$E$8:$E166)</f>
        <v>159</v>
      </c>
      <c r="B166" s="561">
        <v>45474</v>
      </c>
      <c r="C166" s="347" t="s">
        <v>495</v>
      </c>
      <c r="D166" s="344" t="str">
        <f>+VLOOKUP(C166,'Visual chart Edit'!$B$7:$C$491,2,FALSE)</f>
        <v>DA+3</v>
      </c>
      <c r="E166" s="344" t="s">
        <v>276</v>
      </c>
      <c r="F166" s="551">
        <v>45487</v>
      </c>
      <c r="G166" s="551">
        <v>45495</v>
      </c>
      <c r="H166" s="552" t="s">
        <v>360</v>
      </c>
      <c r="I166" s="553" t="s">
        <v>237</v>
      </c>
      <c r="J166" s="554">
        <f t="shared" si="2"/>
        <v>8</v>
      </c>
      <c r="K166" s="550"/>
      <c r="L166" s="550"/>
      <c r="M166" s="550"/>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50"/>
      <c r="AQ166" s="550"/>
      <c r="AR166" s="550"/>
      <c r="AS166" s="550"/>
      <c r="AT166" s="550"/>
      <c r="AU166" s="550"/>
      <c r="AV166" s="550"/>
      <c r="AW166" s="550"/>
      <c r="AX166" s="550"/>
      <c r="AY166" s="550"/>
      <c r="AZ166" s="550"/>
      <c r="BA166" s="550"/>
      <c r="BB166" s="550"/>
      <c r="BC166" s="550"/>
      <c r="BD166" s="550"/>
      <c r="BE166" s="550"/>
      <c r="BF166" s="550"/>
      <c r="BG166" s="550"/>
      <c r="BH166" s="550"/>
      <c r="BI166" s="550"/>
      <c r="BJ166" s="550"/>
      <c r="BK166" s="550"/>
      <c r="BL166" s="550"/>
      <c r="BM166" s="550"/>
      <c r="BN166" s="550"/>
      <c r="BO166" s="550"/>
      <c r="BP166" s="550"/>
      <c r="BQ166" s="550"/>
      <c r="BR166" s="550"/>
      <c r="BS166" s="550"/>
      <c r="BT166" s="550"/>
      <c r="BU166" s="550"/>
      <c r="BV166" s="550"/>
      <c r="BW166" s="550"/>
      <c r="BX166" s="550"/>
      <c r="BY166" s="550"/>
      <c r="BZ166" s="550"/>
      <c r="CA166" s="550"/>
      <c r="CB166" s="550"/>
      <c r="CC166" s="550"/>
      <c r="CD166" s="550"/>
      <c r="CE166" s="550"/>
      <c r="CF166" s="550"/>
      <c r="CG166" s="550"/>
      <c r="CH166" s="550"/>
      <c r="CI166" s="550"/>
      <c r="CJ166" s="550"/>
      <c r="CK166" s="550"/>
      <c r="CL166" s="550"/>
      <c r="CM166" s="550"/>
      <c r="CN166" s="550"/>
      <c r="CO166" s="550"/>
      <c r="CP166" s="550"/>
      <c r="CQ166" s="550"/>
      <c r="CR166" s="550"/>
      <c r="CS166" s="550"/>
      <c r="CT166" s="550"/>
      <c r="CU166" s="550"/>
      <c r="CV166" s="550"/>
      <c r="CW166" s="550"/>
    </row>
    <row r="167" spans="1:103" x14ac:dyDescent="0.2">
      <c r="A167" s="344">
        <f>+SUBTOTAL(3,$E$8:$E167)</f>
        <v>160</v>
      </c>
      <c r="B167" s="561">
        <v>45474</v>
      </c>
      <c r="C167" s="347" t="s">
        <v>92</v>
      </c>
      <c r="D167" s="344" t="str">
        <f>+VLOOKUP(C167,'Visual chart Edit'!$B$7:$C$491,2,FALSE)</f>
        <v>DB2+0</v>
      </c>
      <c r="E167" s="344" t="s">
        <v>143</v>
      </c>
      <c r="F167" s="551">
        <v>45483</v>
      </c>
      <c r="G167" s="551">
        <v>45495</v>
      </c>
      <c r="H167" s="552" t="s">
        <v>877</v>
      </c>
      <c r="I167" s="553" t="s">
        <v>1024</v>
      </c>
      <c r="J167" s="554">
        <f t="shared" si="2"/>
        <v>12</v>
      </c>
      <c r="K167" s="550"/>
      <c r="L167" s="550"/>
      <c r="M167" s="550"/>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50"/>
      <c r="AQ167" s="550"/>
      <c r="AR167" s="550"/>
      <c r="AS167" s="550"/>
      <c r="AT167" s="550"/>
      <c r="AU167" s="550"/>
      <c r="AV167" s="550"/>
      <c r="AW167" s="550"/>
      <c r="AX167" s="550"/>
      <c r="AY167" s="550"/>
      <c r="AZ167" s="550"/>
      <c r="BA167" s="550"/>
      <c r="BB167" s="550"/>
      <c r="BC167" s="550"/>
      <c r="BD167" s="550"/>
      <c r="BE167" s="550"/>
      <c r="BF167" s="550"/>
      <c r="BG167" s="550"/>
      <c r="BH167" s="550"/>
      <c r="BI167" s="550"/>
      <c r="BJ167" s="550"/>
      <c r="BK167" s="550"/>
      <c r="BL167" s="550"/>
      <c r="BM167" s="550"/>
      <c r="BN167" s="550"/>
      <c r="BO167" s="550"/>
      <c r="BP167" s="550"/>
      <c r="BQ167" s="550"/>
      <c r="BR167" s="550"/>
      <c r="BS167" s="550"/>
      <c r="BT167" s="550"/>
      <c r="BU167" s="550"/>
      <c r="BV167" s="550"/>
      <c r="BW167" s="550"/>
      <c r="BX167" s="550"/>
      <c r="BY167" s="550"/>
      <c r="BZ167" s="550"/>
      <c r="CA167" s="550"/>
      <c r="CB167" s="550"/>
      <c r="CC167" s="550"/>
      <c r="CD167" s="550"/>
      <c r="CE167" s="550"/>
      <c r="CF167" s="550"/>
      <c r="CG167" s="550"/>
      <c r="CH167" s="550"/>
      <c r="CI167" s="550"/>
      <c r="CJ167" s="550"/>
      <c r="CK167" s="550"/>
      <c r="CL167" s="550"/>
      <c r="CM167" s="550"/>
      <c r="CN167" s="550"/>
      <c r="CO167" s="550"/>
      <c r="CP167" s="550"/>
      <c r="CQ167" s="550"/>
      <c r="CR167" s="550"/>
      <c r="CS167" s="550"/>
      <c r="CT167" s="550"/>
      <c r="CU167" s="550"/>
      <c r="CV167" s="550"/>
      <c r="CW167" s="550"/>
      <c r="CY167" s="559"/>
    </row>
    <row r="168" spans="1:103" x14ac:dyDescent="0.2">
      <c r="A168" s="344">
        <f>+SUBTOTAL(3,$E$8:$E168)</f>
        <v>161</v>
      </c>
      <c r="B168" s="561">
        <v>45474</v>
      </c>
      <c r="C168" s="346" t="s">
        <v>486</v>
      </c>
      <c r="D168" s="344" t="str">
        <f>+VLOOKUP(C168,'Visual chart Edit'!$B$7:$C$491,2,FALSE)</f>
        <v>DA+6</v>
      </c>
      <c r="E168" s="344" t="s">
        <v>276</v>
      </c>
      <c r="F168" s="551">
        <v>45483</v>
      </c>
      <c r="G168" s="551">
        <v>45499</v>
      </c>
      <c r="H168" s="552" t="s">
        <v>548</v>
      </c>
      <c r="I168" s="553" t="s">
        <v>583</v>
      </c>
      <c r="J168" s="554">
        <f t="shared" si="2"/>
        <v>16</v>
      </c>
      <c r="K168" s="550"/>
      <c r="L168" s="550"/>
      <c r="M168" s="550"/>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50"/>
      <c r="AQ168" s="550"/>
      <c r="AR168" s="550"/>
      <c r="AS168" s="550"/>
      <c r="AT168" s="550"/>
      <c r="AU168" s="550"/>
      <c r="AV168" s="550"/>
      <c r="AW168" s="550"/>
      <c r="AX168" s="550"/>
      <c r="AY168" s="550"/>
      <c r="AZ168" s="550"/>
      <c r="BA168" s="550"/>
      <c r="BB168" s="550"/>
      <c r="BC168" s="550"/>
      <c r="BD168" s="550"/>
      <c r="BE168" s="550"/>
      <c r="BF168" s="550"/>
      <c r="BG168" s="550"/>
      <c r="BH168" s="550"/>
      <c r="BI168" s="550"/>
      <c r="BJ168" s="550"/>
      <c r="BK168" s="550"/>
      <c r="BL168" s="550"/>
      <c r="BM168" s="550"/>
      <c r="BN168" s="550"/>
      <c r="BO168" s="550"/>
      <c r="BP168" s="550"/>
      <c r="BQ168" s="550"/>
      <c r="BR168" s="550"/>
      <c r="BS168" s="550"/>
      <c r="BT168" s="550"/>
      <c r="BU168" s="550"/>
      <c r="BV168" s="550"/>
      <c r="BW168" s="550"/>
      <c r="BX168" s="550"/>
      <c r="BY168" s="550"/>
      <c r="BZ168" s="550"/>
      <c r="CA168" s="550"/>
      <c r="CB168" s="550"/>
      <c r="CC168" s="550"/>
      <c r="CD168" s="550"/>
      <c r="CE168" s="550"/>
      <c r="CF168" s="550"/>
      <c r="CG168" s="550"/>
      <c r="CH168" s="550"/>
      <c r="CI168" s="550"/>
      <c r="CJ168" s="550"/>
      <c r="CK168" s="550"/>
      <c r="CL168" s="550"/>
      <c r="CM168" s="550"/>
      <c r="CN168" s="550"/>
      <c r="CO168" s="550"/>
      <c r="CP168" s="550"/>
      <c r="CQ168" s="550"/>
      <c r="CR168" s="550"/>
      <c r="CS168" s="550"/>
      <c r="CT168" s="550"/>
      <c r="CU168" s="550"/>
      <c r="CV168" s="550"/>
      <c r="CW168" s="550"/>
    </row>
    <row r="169" spans="1:103" x14ac:dyDescent="0.2">
      <c r="A169" s="344">
        <f>+SUBTOTAL(3,$E$8:$E169)</f>
        <v>162</v>
      </c>
      <c r="B169" s="561">
        <v>45474</v>
      </c>
      <c r="C169" s="346" t="s">
        <v>158</v>
      </c>
      <c r="D169" s="344" t="str">
        <f>+VLOOKUP(C169,'Visual chart Edit'!$B$7:$C$491,2,FALSE)</f>
        <v>DA+0</v>
      </c>
      <c r="E169" s="344" t="s">
        <v>32</v>
      </c>
      <c r="F169" s="551">
        <v>45489</v>
      </c>
      <c r="G169" s="551">
        <v>45499</v>
      </c>
      <c r="H169" s="552" t="s">
        <v>364</v>
      </c>
      <c r="I169" s="553" t="s">
        <v>583</v>
      </c>
      <c r="J169" s="554">
        <f t="shared" si="2"/>
        <v>10</v>
      </c>
      <c r="K169" s="550"/>
      <c r="L169" s="550"/>
      <c r="M169" s="550"/>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50"/>
      <c r="AQ169" s="550"/>
      <c r="AR169" s="550"/>
      <c r="AS169" s="550"/>
      <c r="AT169" s="550"/>
      <c r="AU169" s="550"/>
      <c r="AV169" s="550"/>
      <c r="AW169" s="550"/>
      <c r="AX169" s="550"/>
      <c r="AY169" s="550"/>
      <c r="AZ169" s="550"/>
      <c r="BA169" s="550"/>
      <c r="BB169" s="550"/>
      <c r="BC169" s="550"/>
      <c r="BD169" s="550"/>
      <c r="BE169" s="550"/>
      <c r="BF169" s="550"/>
      <c r="BG169" s="550"/>
      <c r="BH169" s="550"/>
      <c r="BI169" s="550"/>
      <c r="BJ169" s="550"/>
      <c r="BK169" s="550"/>
      <c r="BL169" s="550"/>
      <c r="BM169" s="550"/>
      <c r="BN169" s="550"/>
      <c r="BO169" s="550"/>
      <c r="BP169" s="550"/>
      <c r="BQ169" s="550"/>
      <c r="BR169" s="550"/>
      <c r="BS169" s="550"/>
      <c r="BT169" s="550"/>
      <c r="BU169" s="550"/>
      <c r="BV169" s="550"/>
      <c r="BW169" s="550"/>
      <c r="BX169" s="550"/>
      <c r="BY169" s="550"/>
      <c r="BZ169" s="550"/>
      <c r="CA169" s="550"/>
      <c r="CB169" s="550"/>
      <c r="CC169" s="550"/>
      <c r="CD169" s="550"/>
      <c r="CE169" s="550"/>
      <c r="CF169" s="550"/>
      <c r="CG169" s="550"/>
      <c r="CH169" s="550"/>
      <c r="CI169" s="550"/>
      <c r="CJ169" s="550"/>
      <c r="CK169" s="550"/>
      <c r="CL169" s="550"/>
      <c r="CM169" s="550"/>
      <c r="CN169" s="550"/>
      <c r="CO169" s="550"/>
      <c r="CP169" s="550"/>
      <c r="CQ169" s="550"/>
      <c r="CR169" s="550"/>
      <c r="CS169" s="550"/>
      <c r="CT169" s="550"/>
      <c r="CU169" s="550"/>
      <c r="CV169" s="550"/>
      <c r="CW169" s="550"/>
    </row>
    <row r="170" spans="1:103" x14ac:dyDescent="0.2">
      <c r="A170" s="344">
        <f>+SUBTOTAL(3,$E$8:$E170)</f>
        <v>163</v>
      </c>
      <c r="B170" s="561">
        <v>45474</v>
      </c>
      <c r="C170" s="346" t="s">
        <v>499</v>
      </c>
      <c r="D170" s="344" t="str">
        <f>+VLOOKUP(C170,'Visual chart Edit'!$B$7:$C$491,2,FALSE)</f>
        <v>DC1+0</v>
      </c>
      <c r="E170" s="344" t="s">
        <v>276</v>
      </c>
      <c r="F170" s="551">
        <v>45476</v>
      </c>
      <c r="G170" s="551">
        <v>45499</v>
      </c>
      <c r="H170" s="552" t="s">
        <v>360</v>
      </c>
      <c r="I170" s="553" t="s">
        <v>237</v>
      </c>
      <c r="J170" s="554">
        <f t="shared" si="2"/>
        <v>23</v>
      </c>
      <c r="K170" s="550"/>
      <c r="L170" s="550"/>
      <c r="M170" s="550"/>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50"/>
      <c r="AQ170" s="550"/>
      <c r="AR170" s="550"/>
      <c r="AS170" s="550"/>
      <c r="AT170" s="550"/>
      <c r="AU170" s="550"/>
      <c r="AV170" s="550"/>
      <c r="AW170" s="550"/>
      <c r="AX170" s="550"/>
      <c r="AY170" s="550"/>
      <c r="AZ170" s="550"/>
      <c r="BA170" s="550"/>
      <c r="BB170" s="550"/>
      <c r="BC170" s="550"/>
      <c r="BD170" s="550"/>
      <c r="BE170" s="550"/>
      <c r="BF170" s="550"/>
      <c r="BG170" s="550"/>
      <c r="BH170" s="550"/>
      <c r="BI170" s="550"/>
      <c r="BJ170" s="550"/>
      <c r="BK170" s="550"/>
      <c r="BL170" s="550"/>
      <c r="BM170" s="550"/>
      <c r="BN170" s="550"/>
      <c r="BO170" s="550"/>
      <c r="BP170" s="550"/>
      <c r="BQ170" s="550"/>
      <c r="BR170" s="550"/>
      <c r="BS170" s="550"/>
      <c r="BT170" s="550"/>
      <c r="BU170" s="550"/>
      <c r="BV170" s="550"/>
      <c r="BW170" s="550"/>
      <c r="BX170" s="550"/>
      <c r="BY170" s="550"/>
      <c r="BZ170" s="550"/>
      <c r="CA170" s="550"/>
      <c r="CB170" s="550"/>
      <c r="CC170" s="550"/>
      <c r="CD170" s="550"/>
      <c r="CE170" s="550"/>
      <c r="CF170" s="550"/>
      <c r="CG170" s="550"/>
      <c r="CH170" s="550"/>
      <c r="CI170" s="550"/>
      <c r="CJ170" s="550"/>
      <c r="CK170" s="550"/>
      <c r="CL170" s="550"/>
      <c r="CM170" s="550"/>
      <c r="CN170" s="550"/>
      <c r="CO170" s="550"/>
      <c r="CP170" s="550"/>
      <c r="CQ170" s="550"/>
      <c r="CR170" s="550"/>
      <c r="CS170" s="550"/>
      <c r="CT170" s="550"/>
      <c r="CU170" s="550"/>
      <c r="CV170" s="550"/>
      <c r="CW170" s="550"/>
    </row>
    <row r="171" spans="1:103" x14ac:dyDescent="0.2">
      <c r="A171" s="344">
        <f>+SUBTOTAL(3,$E$8:$E171)</f>
        <v>164</v>
      </c>
      <c r="B171" s="561">
        <v>45474</v>
      </c>
      <c r="C171" s="346" t="s">
        <v>95</v>
      </c>
      <c r="D171" s="344" t="str">
        <f>+VLOOKUP(C171,'Visual chart Edit'!$B$7:$C$491,2,FALSE)</f>
        <v>DC1+3</v>
      </c>
      <c r="E171" s="344" t="s">
        <v>32</v>
      </c>
      <c r="F171" s="551">
        <v>45496</v>
      </c>
      <c r="G171" s="551">
        <v>45502</v>
      </c>
      <c r="H171" s="552" t="s">
        <v>878</v>
      </c>
      <c r="I171" s="553" t="s">
        <v>1024</v>
      </c>
      <c r="J171" s="554">
        <f t="shared" si="2"/>
        <v>6</v>
      </c>
      <c r="K171" s="550"/>
      <c r="L171" s="550"/>
      <c r="M171" s="550"/>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50"/>
      <c r="AQ171" s="550"/>
      <c r="AR171" s="550"/>
      <c r="AS171" s="550"/>
      <c r="AT171" s="550"/>
      <c r="AU171" s="550"/>
      <c r="AV171" s="550"/>
      <c r="AW171" s="550"/>
      <c r="AX171" s="550"/>
      <c r="AY171" s="550"/>
      <c r="AZ171" s="550"/>
      <c r="BA171" s="550"/>
      <c r="BB171" s="550"/>
      <c r="BC171" s="550"/>
      <c r="BD171" s="550"/>
      <c r="BE171" s="550"/>
      <c r="BF171" s="550"/>
      <c r="BG171" s="550"/>
      <c r="BH171" s="550"/>
      <c r="BI171" s="550"/>
      <c r="BJ171" s="550"/>
      <c r="BK171" s="550"/>
      <c r="BL171" s="550"/>
      <c r="BM171" s="550"/>
      <c r="BN171" s="550"/>
      <c r="BO171" s="550"/>
      <c r="BP171" s="550"/>
      <c r="BQ171" s="550"/>
      <c r="BR171" s="550"/>
      <c r="BS171" s="550"/>
      <c r="BT171" s="550"/>
      <c r="BU171" s="550"/>
      <c r="BV171" s="550"/>
      <c r="BW171" s="550"/>
      <c r="BX171" s="550"/>
      <c r="BY171" s="550"/>
      <c r="BZ171" s="550"/>
      <c r="CA171" s="550"/>
      <c r="CB171" s="550"/>
      <c r="CC171" s="550"/>
      <c r="CD171" s="550"/>
      <c r="CE171" s="550"/>
      <c r="CF171" s="550"/>
      <c r="CG171" s="550"/>
      <c r="CH171" s="550"/>
      <c r="CI171" s="550"/>
      <c r="CJ171" s="550"/>
      <c r="CK171" s="550"/>
      <c r="CL171" s="550"/>
      <c r="CM171" s="550"/>
      <c r="CN171" s="550"/>
      <c r="CO171" s="550"/>
      <c r="CP171" s="550"/>
      <c r="CQ171" s="550"/>
      <c r="CR171" s="550"/>
      <c r="CS171" s="550"/>
      <c r="CT171" s="550"/>
      <c r="CU171" s="550"/>
      <c r="CV171" s="550"/>
      <c r="CW171" s="550"/>
      <c r="CY171" s="559"/>
    </row>
    <row r="172" spans="1:103" x14ac:dyDescent="0.2">
      <c r="A172" s="344">
        <f>+SUBTOTAL(3,$E$8:$E172)</f>
        <v>165</v>
      </c>
      <c r="B172" s="561">
        <v>45474</v>
      </c>
      <c r="C172" s="346" t="s">
        <v>509</v>
      </c>
      <c r="D172" s="344" t="str">
        <f>+VLOOKUP(C172,'Visual chart Edit'!$B$7:$C$491,2,FALSE)</f>
        <v>DC2+0</v>
      </c>
      <c r="E172" s="344" t="s">
        <v>276</v>
      </c>
      <c r="F172" s="551">
        <v>45493</v>
      </c>
      <c r="G172" s="551">
        <v>45504</v>
      </c>
      <c r="H172" s="552" t="s">
        <v>582</v>
      </c>
      <c r="I172" s="553" t="s">
        <v>237</v>
      </c>
      <c r="J172" s="554">
        <f t="shared" si="2"/>
        <v>11</v>
      </c>
      <c r="K172" s="550"/>
      <c r="L172" s="550"/>
      <c r="M172" s="550"/>
      <c r="N172" s="550"/>
      <c r="O172" s="550"/>
      <c r="P172" s="550"/>
      <c r="Q172" s="550"/>
      <c r="R172" s="550"/>
      <c r="S172" s="550"/>
      <c r="T172" s="550"/>
      <c r="U172" s="550"/>
      <c r="V172" s="550"/>
      <c r="W172" s="550"/>
      <c r="X172" s="550"/>
      <c r="Y172" s="550"/>
      <c r="Z172" s="550"/>
      <c r="AA172" s="550"/>
      <c r="AB172" s="550"/>
      <c r="AC172" s="550"/>
      <c r="AD172" s="550"/>
      <c r="AE172" s="550"/>
      <c r="AF172" s="550"/>
      <c r="AG172" s="550"/>
      <c r="AH172" s="550"/>
      <c r="AI172" s="550"/>
      <c r="AJ172" s="550"/>
      <c r="AK172" s="550"/>
      <c r="AL172" s="550"/>
      <c r="AM172" s="550"/>
      <c r="AN172" s="550"/>
      <c r="AO172" s="550"/>
      <c r="AP172" s="550"/>
      <c r="AQ172" s="550"/>
      <c r="AR172" s="550"/>
      <c r="AS172" s="550"/>
      <c r="AT172" s="550"/>
      <c r="AU172" s="550"/>
      <c r="AV172" s="550"/>
      <c r="AW172" s="550"/>
      <c r="AX172" s="550"/>
      <c r="AY172" s="550"/>
      <c r="AZ172" s="550"/>
      <c r="BA172" s="550"/>
      <c r="BB172" s="550"/>
      <c r="BC172" s="550"/>
      <c r="BD172" s="550"/>
      <c r="BE172" s="550"/>
      <c r="BF172" s="550"/>
      <c r="BG172" s="550"/>
      <c r="BH172" s="550"/>
      <c r="BI172" s="550"/>
      <c r="BJ172" s="550"/>
      <c r="BK172" s="550"/>
      <c r="BL172" s="550"/>
      <c r="BM172" s="550"/>
      <c r="BN172" s="550"/>
      <c r="BO172" s="550"/>
      <c r="BP172" s="550"/>
      <c r="BQ172" s="550"/>
      <c r="BR172" s="550"/>
      <c r="BS172" s="550"/>
      <c r="BT172" s="550"/>
      <c r="BU172" s="550"/>
      <c r="BV172" s="550"/>
      <c r="BW172" s="550"/>
      <c r="BX172" s="550"/>
      <c r="BY172" s="550"/>
      <c r="BZ172" s="550"/>
      <c r="CA172" s="550"/>
      <c r="CB172" s="550"/>
      <c r="CC172" s="550"/>
      <c r="CD172" s="550"/>
      <c r="CE172" s="550"/>
      <c r="CF172" s="550"/>
      <c r="CG172" s="550"/>
      <c r="CH172" s="550"/>
      <c r="CI172" s="550"/>
      <c r="CJ172" s="550"/>
      <c r="CK172" s="550"/>
      <c r="CL172" s="550"/>
      <c r="CM172" s="550"/>
      <c r="CN172" s="550"/>
      <c r="CO172" s="550"/>
      <c r="CP172" s="550"/>
      <c r="CQ172" s="550"/>
      <c r="CR172" s="550"/>
      <c r="CS172" s="550"/>
      <c r="CT172" s="550"/>
      <c r="CU172" s="550"/>
      <c r="CV172" s="550"/>
      <c r="CW172" s="550"/>
      <c r="CY172" s="559"/>
    </row>
    <row r="173" spans="1:103" x14ac:dyDescent="0.2">
      <c r="A173" s="344">
        <f>+SUBTOTAL(3,$E$8:$E173)</f>
        <v>166</v>
      </c>
      <c r="B173" s="561">
        <v>45474</v>
      </c>
      <c r="C173" s="346" t="s">
        <v>170</v>
      </c>
      <c r="D173" s="344" t="str">
        <f>+VLOOKUP(C173,'Visual chart Edit'!$B$7:$C$491,2,FALSE)</f>
        <v>DA+0</v>
      </c>
      <c r="E173" s="344" t="s">
        <v>32</v>
      </c>
      <c r="F173" s="551">
        <v>45491</v>
      </c>
      <c r="G173" s="551">
        <v>45504</v>
      </c>
      <c r="H173" s="552" t="s">
        <v>1011</v>
      </c>
      <c r="I173" s="553" t="s">
        <v>583</v>
      </c>
      <c r="J173" s="554">
        <f t="shared" si="2"/>
        <v>13</v>
      </c>
      <c r="K173" s="550"/>
      <c r="L173" s="550"/>
      <c r="M173" s="550"/>
      <c r="N173" s="550"/>
      <c r="O173" s="550"/>
      <c r="P173" s="550"/>
      <c r="Q173" s="550"/>
      <c r="R173" s="550"/>
      <c r="S173" s="550"/>
      <c r="T173" s="550"/>
      <c r="U173" s="550"/>
      <c r="V173" s="550"/>
      <c r="W173" s="550"/>
      <c r="X173" s="550"/>
      <c r="Y173" s="550"/>
      <c r="Z173" s="550"/>
      <c r="AA173" s="550"/>
      <c r="AB173" s="550"/>
      <c r="AC173" s="550"/>
      <c r="AD173" s="550"/>
      <c r="AE173" s="550"/>
      <c r="AF173" s="550"/>
      <c r="AG173" s="550"/>
      <c r="AH173" s="550"/>
      <c r="AI173" s="550"/>
      <c r="AJ173" s="550"/>
      <c r="AK173" s="550"/>
      <c r="AL173" s="550"/>
      <c r="AM173" s="550"/>
      <c r="AN173" s="550"/>
      <c r="AO173" s="550"/>
      <c r="AP173" s="550"/>
      <c r="AQ173" s="550"/>
      <c r="AR173" s="550"/>
      <c r="AS173" s="550"/>
      <c r="AT173" s="550"/>
      <c r="AU173" s="550"/>
      <c r="AV173" s="550"/>
      <c r="AW173" s="550"/>
      <c r="AX173" s="550"/>
      <c r="AY173" s="550"/>
      <c r="AZ173" s="550"/>
      <c r="BA173" s="550"/>
      <c r="BB173" s="550"/>
      <c r="BC173" s="550"/>
      <c r="BD173" s="550"/>
      <c r="BE173" s="550"/>
      <c r="BF173" s="550"/>
      <c r="BG173" s="550"/>
      <c r="BH173" s="550"/>
      <c r="BI173" s="550"/>
      <c r="BJ173" s="550"/>
      <c r="BK173" s="550"/>
      <c r="BL173" s="550"/>
      <c r="BM173" s="550"/>
      <c r="BN173" s="550"/>
      <c r="BO173" s="550"/>
      <c r="BP173" s="550"/>
      <c r="BQ173" s="550"/>
      <c r="BR173" s="550"/>
      <c r="BS173" s="550"/>
      <c r="BT173" s="550"/>
      <c r="BU173" s="550"/>
      <c r="BV173" s="550"/>
      <c r="BW173" s="550"/>
      <c r="BX173" s="550"/>
      <c r="BY173" s="550"/>
      <c r="BZ173" s="550"/>
      <c r="CA173" s="550"/>
      <c r="CB173" s="550"/>
      <c r="CC173" s="550"/>
      <c r="CD173" s="550"/>
      <c r="CE173" s="550"/>
      <c r="CF173" s="550"/>
      <c r="CG173" s="550"/>
      <c r="CH173" s="550"/>
      <c r="CI173" s="550"/>
      <c r="CJ173" s="550"/>
      <c r="CK173" s="550"/>
      <c r="CL173" s="550"/>
      <c r="CM173" s="550"/>
      <c r="CN173" s="550"/>
      <c r="CO173" s="550"/>
      <c r="CP173" s="550"/>
      <c r="CQ173" s="550"/>
      <c r="CR173" s="550"/>
      <c r="CS173" s="550"/>
      <c r="CT173" s="550"/>
      <c r="CU173" s="550"/>
      <c r="CV173" s="550"/>
      <c r="CW173" s="550"/>
      <c r="CY173" s="559"/>
    </row>
    <row r="174" spans="1:103" x14ac:dyDescent="0.2">
      <c r="A174" s="344">
        <f>+SUBTOTAL(3,$E$8:$E174)</f>
        <v>167</v>
      </c>
      <c r="B174" s="555">
        <v>45505</v>
      </c>
      <c r="C174" s="346" t="s">
        <v>156</v>
      </c>
      <c r="D174" s="344" t="str">
        <f>+VLOOKUP(C174,'Visual chart Edit'!$B$7:$C$491,2,FALSE)</f>
        <v>DA+0</v>
      </c>
      <c r="E174" s="344" t="s">
        <v>32</v>
      </c>
      <c r="F174" s="551">
        <v>45495</v>
      </c>
      <c r="G174" s="551">
        <v>45507</v>
      </c>
      <c r="H174" s="552" t="s">
        <v>364</v>
      </c>
      <c r="I174" s="553" t="s">
        <v>583</v>
      </c>
      <c r="J174" s="554">
        <f t="shared" si="2"/>
        <v>12</v>
      </c>
      <c r="K174" s="550"/>
      <c r="L174" s="550"/>
      <c r="M174" s="550"/>
      <c r="N174" s="550"/>
      <c r="O174" s="550"/>
      <c r="P174" s="550"/>
      <c r="Q174" s="550"/>
      <c r="R174" s="550"/>
      <c r="S174" s="550"/>
      <c r="T174" s="550"/>
      <c r="U174" s="550"/>
      <c r="V174" s="550"/>
      <c r="W174" s="550"/>
      <c r="X174" s="550"/>
      <c r="Y174" s="550"/>
      <c r="Z174" s="550"/>
      <c r="AA174" s="550"/>
      <c r="AB174" s="550"/>
      <c r="AC174" s="550"/>
      <c r="AD174" s="550"/>
      <c r="AE174" s="550"/>
      <c r="AF174" s="550"/>
      <c r="AG174" s="550"/>
      <c r="AH174" s="550"/>
      <c r="AI174" s="550"/>
      <c r="AJ174" s="550"/>
      <c r="AK174" s="550"/>
      <c r="AL174" s="550"/>
      <c r="AM174" s="550"/>
      <c r="AN174" s="550"/>
      <c r="AO174" s="550"/>
      <c r="AP174" s="550"/>
      <c r="AQ174" s="550"/>
      <c r="AR174" s="550"/>
      <c r="AS174" s="550"/>
      <c r="AT174" s="550"/>
      <c r="AU174" s="550"/>
      <c r="AV174" s="550"/>
      <c r="AW174" s="550"/>
      <c r="AX174" s="550"/>
      <c r="AY174" s="550"/>
      <c r="AZ174" s="550"/>
      <c r="BA174" s="550"/>
      <c r="BB174" s="550"/>
      <c r="BC174" s="550"/>
      <c r="BD174" s="550"/>
      <c r="BE174" s="550"/>
      <c r="BF174" s="550"/>
      <c r="BG174" s="550"/>
      <c r="BH174" s="550"/>
      <c r="BI174" s="550"/>
      <c r="BJ174" s="550"/>
      <c r="BK174" s="550"/>
      <c r="BL174" s="550"/>
      <c r="BM174" s="550"/>
      <c r="BN174" s="550"/>
      <c r="BO174" s="550"/>
      <c r="BP174" s="550"/>
      <c r="BQ174" s="550"/>
      <c r="BR174" s="550"/>
      <c r="BS174" s="550"/>
      <c r="BT174" s="550"/>
      <c r="BU174" s="550"/>
      <c r="BV174" s="550"/>
      <c r="BW174" s="550"/>
      <c r="BX174" s="550"/>
      <c r="BY174" s="550"/>
      <c r="BZ174" s="550"/>
      <c r="CA174" s="550"/>
      <c r="CB174" s="550"/>
      <c r="CC174" s="550"/>
      <c r="CD174" s="550"/>
      <c r="CE174" s="550"/>
      <c r="CF174" s="550"/>
      <c r="CG174" s="550"/>
      <c r="CH174" s="550"/>
      <c r="CI174" s="550"/>
      <c r="CJ174" s="550"/>
      <c r="CK174" s="550"/>
      <c r="CL174" s="550"/>
      <c r="CM174" s="550"/>
      <c r="CN174" s="550"/>
      <c r="CO174" s="550"/>
      <c r="CP174" s="550"/>
      <c r="CQ174" s="550"/>
      <c r="CR174" s="550"/>
      <c r="CS174" s="550"/>
      <c r="CT174" s="550"/>
      <c r="CU174" s="550"/>
      <c r="CV174" s="550"/>
      <c r="CW174" s="550"/>
    </row>
    <row r="175" spans="1:103" x14ac:dyDescent="0.2">
      <c r="A175" s="344">
        <f>+SUBTOTAL(3,$E$8:$E175)</f>
        <v>168</v>
      </c>
      <c r="B175" s="555">
        <v>45505</v>
      </c>
      <c r="C175" s="346" t="s">
        <v>487</v>
      </c>
      <c r="D175" s="344" t="str">
        <f>+VLOOKUP(C175,'Visual chart Edit'!$B$7:$C$491,2,FALSE)</f>
        <v>DA+9</v>
      </c>
      <c r="E175" s="344" t="s">
        <v>143</v>
      </c>
      <c r="F175" s="551">
        <v>45500</v>
      </c>
      <c r="G175" s="551">
        <v>45511</v>
      </c>
      <c r="H175" s="552" t="s">
        <v>548</v>
      </c>
      <c r="I175" s="553" t="s">
        <v>583</v>
      </c>
      <c r="J175" s="554">
        <f t="shared" si="2"/>
        <v>11</v>
      </c>
      <c r="K175" s="550"/>
      <c r="L175" s="550"/>
      <c r="M175" s="550"/>
      <c r="N175" s="550"/>
      <c r="O175" s="550"/>
      <c r="P175" s="550"/>
      <c r="Q175" s="550"/>
      <c r="R175" s="550"/>
      <c r="S175" s="550"/>
      <c r="T175" s="550"/>
      <c r="U175" s="550"/>
      <c r="V175" s="550"/>
      <c r="W175" s="550"/>
      <c r="X175" s="550"/>
      <c r="Y175" s="550"/>
      <c r="Z175" s="550"/>
      <c r="AA175" s="550"/>
      <c r="AB175" s="550"/>
      <c r="AC175" s="550"/>
      <c r="AD175" s="550"/>
      <c r="AE175" s="550"/>
      <c r="AF175" s="550"/>
      <c r="AG175" s="550"/>
      <c r="AH175" s="550"/>
      <c r="AI175" s="550"/>
      <c r="AJ175" s="550"/>
      <c r="AK175" s="550"/>
      <c r="AL175" s="550"/>
      <c r="AM175" s="550"/>
      <c r="AN175" s="550"/>
      <c r="AO175" s="550"/>
      <c r="AP175" s="550"/>
      <c r="AQ175" s="550"/>
      <c r="AR175" s="550"/>
      <c r="AS175" s="550"/>
      <c r="AT175" s="550"/>
      <c r="AU175" s="550"/>
      <c r="AV175" s="550"/>
      <c r="AW175" s="550"/>
      <c r="AX175" s="550"/>
      <c r="AY175" s="550"/>
      <c r="AZ175" s="550"/>
      <c r="BA175" s="550"/>
      <c r="BB175" s="550"/>
      <c r="BC175" s="550"/>
      <c r="BD175" s="550"/>
      <c r="BE175" s="550"/>
      <c r="BF175" s="550"/>
      <c r="BG175" s="550"/>
      <c r="BH175" s="550"/>
      <c r="BI175" s="550"/>
      <c r="BJ175" s="550"/>
      <c r="BK175" s="550"/>
      <c r="BL175" s="550"/>
      <c r="BM175" s="550"/>
      <c r="BN175" s="550"/>
      <c r="BO175" s="550"/>
      <c r="BP175" s="550"/>
      <c r="BQ175" s="550"/>
      <c r="BR175" s="550"/>
      <c r="BS175" s="550"/>
      <c r="BT175" s="550"/>
      <c r="BU175" s="550"/>
      <c r="BV175" s="550"/>
      <c r="BW175" s="550"/>
      <c r="BX175" s="550"/>
      <c r="BY175" s="550"/>
      <c r="BZ175" s="550"/>
      <c r="CA175" s="550"/>
      <c r="CB175" s="550"/>
      <c r="CC175" s="550"/>
      <c r="CD175" s="550"/>
      <c r="CE175" s="550"/>
      <c r="CF175" s="550"/>
      <c r="CG175" s="550"/>
      <c r="CH175" s="550"/>
      <c r="CI175" s="550"/>
      <c r="CJ175" s="550"/>
      <c r="CK175" s="550"/>
      <c r="CL175" s="550"/>
      <c r="CM175" s="550"/>
      <c r="CN175" s="550"/>
      <c r="CO175" s="550"/>
      <c r="CP175" s="550"/>
      <c r="CQ175" s="550"/>
      <c r="CR175" s="550"/>
      <c r="CS175" s="550"/>
      <c r="CT175" s="550"/>
      <c r="CU175" s="550"/>
      <c r="CV175" s="550"/>
      <c r="CW175" s="550"/>
    </row>
    <row r="176" spans="1:103" x14ac:dyDescent="0.2">
      <c r="A176" s="344">
        <f>+SUBTOTAL(3,$E$8:$E176)</f>
        <v>169</v>
      </c>
      <c r="B176" s="555">
        <v>45505</v>
      </c>
      <c r="C176" s="346" t="s">
        <v>511</v>
      </c>
      <c r="D176" s="344" t="str">
        <f>+VLOOKUP(C176,'Visual chart Edit'!$B$7:$C$491,2,FALSE)</f>
        <v>DA+0</v>
      </c>
      <c r="E176" s="344" t="s">
        <v>276</v>
      </c>
      <c r="F176" s="551">
        <v>45503</v>
      </c>
      <c r="G176" s="551">
        <v>45513</v>
      </c>
      <c r="H176" s="552" t="s">
        <v>394</v>
      </c>
      <c r="I176" s="553" t="s">
        <v>237</v>
      </c>
      <c r="J176" s="554">
        <f t="shared" si="2"/>
        <v>10</v>
      </c>
      <c r="K176" s="550"/>
      <c r="L176" s="550"/>
      <c r="M176" s="550"/>
      <c r="N176" s="550"/>
      <c r="O176" s="550"/>
      <c r="P176" s="550"/>
      <c r="Q176" s="550"/>
      <c r="R176" s="550"/>
      <c r="S176" s="550"/>
      <c r="T176" s="550"/>
      <c r="U176" s="550"/>
      <c r="V176" s="550"/>
      <c r="W176" s="550"/>
      <c r="X176" s="550"/>
      <c r="Y176" s="550"/>
      <c r="Z176" s="550"/>
      <c r="AA176" s="550"/>
      <c r="AB176" s="550"/>
      <c r="AC176" s="550"/>
      <c r="AD176" s="550"/>
      <c r="AE176" s="550"/>
      <c r="AF176" s="550"/>
      <c r="AG176" s="550"/>
      <c r="AH176" s="550"/>
      <c r="AI176" s="550"/>
      <c r="AJ176" s="550"/>
      <c r="AK176" s="550"/>
      <c r="AL176" s="550"/>
      <c r="AM176" s="550"/>
      <c r="AN176" s="550"/>
      <c r="AO176" s="550"/>
      <c r="AP176" s="550"/>
      <c r="AQ176" s="550"/>
      <c r="AR176" s="550"/>
      <c r="AS176" s="550"/>
      <c r="AT176" s="550"/>
      <c r="AU176" s="550"/>
      <c r="AV176" s="550"/>
      <c r="AW176" s="550"/>
      <c r="AX176" s="550"/>
      <c r="AY176" s="550"/>
      <c r="AZ176" s="550"/>
      <c r="BA176" s="550"/>
      <c r="BB176" s="550"/>
      <c r="BC176" s="550"/>
      <c r="BD176" s="550"/>
      <c r="BE176" s="550"/>
      <c r="BF176" s="550"/>
      <c r="BG176" s="550"/>
      <c r="BH176" s="550"/>
      <c r="BI176" s="550"/>
      <c r="BJ176" s="550"/>
      <c r="BK176" s="550"/>
      <c r="BL176" s="550"/>
      <c r="BM176" s="550"/>
      <c r="BN176" s="550"/>
      <c r="BO176" s="550"/>
      <c r="BP176" s="550"/>
      <c r="BQ176" s="550"/>
      <c r="BR176" s="550"/>
      <c r="BS176" s="550"/>
      <c r="BT176" s="550"/>
      <c r="BU176" s="550"/>
      <c r="BV176" s="550"/>
      <c r="BW176" s="550"/>
      <c r="BX176" s="550"/>
      <c r="BY176" s="550"/>
      <c r="BZ176" s="550"/>
      <c r="CA176" s="550"/>
      <c r="CB176" s="550"/>
      <c r="CC176" s="550"/>
      <c r="CD176" s="550"/>
      <c r="CE176" s="550"/>
      <c r="CF176" s="550"/>
      <c r="CG176" s="550"/>
      <c r="CH176" s="550"/>
      <c r="CI176" s="550"/>
      <c r="CJ176" s="550"/>
      <c r="CK176" s="550"/>
      <c r="CL176" s="550"/>
      <c r="CM176" s="550"/>
      <c r="CN176" s="550"/>
      <c r="CO176" s="550"/>
      <c r="CP176" s="550"/>
      <c r="CQ176" s="550"/>
      <c r="CR176" s="550"/>
      <c r="CS176" s="550"/>
      <c r="CT176" s="550"/>
      <c r="CU176" s="550"/>
      <c r="CV176" s="550"/>
      <c r="CW176" s="550"/>
    </row>
    <row r="177" spans="1:101" x14ac:dyDescent="0.2">
      <c r="A177" s="344">
        <f>+SUBTOTAL(3,$E$8:$E177)</f>
        <v>170</v>
      </c>
      <c r="B177" s="555">
        <v>45505</v>
      </c>
      <c r="C177" s="346" t="s">
        <v>506</v>
      </c>
      <c r="D177" s="344" t="str">
        <f>+VLOOKUP(C177,'Visual chart Edit'!$B$7:$C$491,2,FALSE)</f>
        <v>DA+0</v>
      </c>
      <c r="E177" s="344" t="s">
        <v>276</v>
      </c>
      <c r="F177" s="551">
        <v>45503</v>
      </c>
      <c r="G177" s="551">
        <v>45514</v>
      </c>
      <c r="H177" s="552" t="s">
        <v>582</v>
      </c>
      <c r="I177" s="553" t="s">
        <v>237</v>
      </c>
      <c r="J177" s="554">
        <f t="shared" si="2"/>
        <v>11</v>
      </c>
      <c r="K177" s="550"/>
      <c r="L177" s="550"/>
      <c r="M177" s="550"/>
      <c r="N177" s="550"/>
      <c r="O177" s="550"/>
      <c r="P177" s="550"/>
      <c r="Q177" s="550"/>
      <c r="R177" s="550"/>
      <c r="S177" s="550"/>
      <c r="T177" s="550"/>
      <c r="U177" s="550"/>
      <c r="V177" s="550"/>
      <c r="W177" s="550"/>
      <c r="X177" s="550"/>
      <c r="Y177" s="550"/>
      <c r="Z177" s="550"/>
      <c r="AA177" s="550"/>
      <c r="AB177" s="550"/>
      <c r="AC177" s="550"/>
      <c r="AD177" s="550"/>
      <c r="AE177" s="550"/>
      <c r="AF177" s="550"/>
      <c r="AG177" s="550"/>
      <c r="AH177" s="550"/>
      <c r="AI177" s="550"/>
      <c r="AJ177" s="550"/>
      <c r="AK177" s="550"/>
      <c r="AL177" s="550"/>
      <c r="AM177" s="550"/>
      <c r="AN177" s="550"/>
      <c r="AO177" s="550"/>
      <c r="AP177" s="550"/>
      <c r="AQ177" s="550"/>
      <c r="AR177" s="550"/>
      <c r="AS177" s="550"/>
      <c r="AT177" s="550"/>
      <c r="AU177" s="550"/>
      <c r="AV177" s="550"/>
      <c r="AW177" s="550"/>
      <c r="AX177" s="550"/>
      <c r="AY177" s="550"/>
      <c r="AZ177" s="550"/>
      <c r="BA177" s="550"/>
      <c r="BB177" s="550"/>
      <c r="BC177" s="550"/>
      <c r="BD177" s="550"/>
      <c r="BE177" s="550"/>
      <c r="BF177" s="550"/>
      <c r="BG177" s="550"/>
      <c r="BH177" s="550"/>
      <c r="BI177" s="550"/>
      <c r="BJ177" s="550"/>
      <c r="BK177" s="550"/>
      <c r="BL177" s="550"/>
      <c r="BM177" s="550"/>
      <c r="BN177" s="550"/>
      <c r="BO177" s="550"/>
      <c r="BP177" s="550"/>
      <c r="BQ177" s="550"/>
      <c r="BR177" s="550"/>
      <c r="BS177" s="550"/>
      <c r="BT177" s="550"/>
      <c r="BU177" s="550"/>
      <c r="BV177" s="550"/>
      <c r="BW177" s="550"/>
      <c r="BX177" s="550"/>
      <c r="BY177" s="550"/>
      <c r="BZ177" s="550"/>
      <c r="CA177" s="550"/>
      <c r="CB177" s="550"/>
      <c r="CC177" s="550"/>
      <c r="CD177" s="550"/>
      <c r="CE177" s="550"/>
      <c r="CF177" s="550"/>
      <c r="CG177" s="550"/>
      <c r="CH177" s="550"/>
      <c r="CI177" s="550"/>
      <c r="CJ177" s="550"/>
      <c r="CK177" s="550"/>
      <c r="CL177" s="550"/>
      <c r="CM177" s="550"/>
      <c r="CN177" s="550"/>
      <c r="CO177" s="550"/>
      <c r="CP177" s="550"/>
      <c r="CQ177" s="550"/>
      <c r="CR177" s="550"/>
      <c r="CS177" s="550"/>
      <c r="CT177" s="550"/>
      <c r="CU177" s="550"/>
      <c r="CV177" s="550"/>
      <c r="CW177" s="550"/>
    </row>
    <row r="178" spans="1:101" x14ac:dyDescent="0.2">
      <c r="A178" s="344">
        <f>+SUBTOTAL(3,$E$8:$E178)</f>
        <v>171</v>
      </c>
      <c r="B178" s="555">
        <v>45505</v>
      </c>
      <c r="C178" s="346" t="s">
        <v>753</v>
      </c>
      <c r="D178" s="344" t="str">
        <f>+VLOOKUP(C178,'Visual chart Edit'!$B$7:$C$491,2,FALSE)</f>
        <v>DA+3</v>
      </c>
      <c r="E178" s="344" t="s">
        <v>32</v>
      </c>
      <c r="F178" s="551">
        <v>45511</v>
      </c>
      <c r="G178" s="551">
        <v>45514</v>
      </c>
      <c r="H178" s="552" t="s">
        <v>878</v>
      </c>
      <c r="I178" s="553" t="s">
        <v>1024</v>
      </c>
      <c r="J178" s="554">
        <f t="shared" si="2"/>
        <v>3</v>
      </c>
      <c r="K178" s="550"/>
      <c r="L178" s="550"/>
      <c r="M178" s="550"/>
      <c r="N178" s="550"/>
      <c r="O178" s="550"/>
      <c r="P178" s="550"/>
      <c r="Q178" s="550"/>
      <c r="R178" s="550"/>
      <c r="S178" s="550"/>
      <c r="T178" s="550"/>
      <c r="U178" s="550"/>
      <c r="V178" s="550"/>
      <c r="W178" s="550"/>
      <c r="X178" s="550"/>
      <c r="Y178" s="550"/>
      <c r="Z178" s="550"/>
      <c r="AA178" s="550"/>
      <c r="AB178" s="550"/>
      <c r="AC178" s="550"/>
      <c r="AD178" s="550"/>
      <c r="AE178" s="550"/>
      <c r="AF178" s="550"/>
      <c r="AG178" s="550"/>
      <c r="AH178" s="550"/>
      <c r="AI178" s="550"/>
      <c r="AJ178" s="550"/>
      <c r="AK178" s="550"/>
      <c r="AL178" s="550"/>
      <c r="AM178" s="550"/>
      <c r="AN178" s="550"/>
      <c r="AO178" s="550"/>
      <c r="AP178" s="550"/>
      <c r="AQ178" s="550"/>
      <c r="AR178" s="550"/>
      <c r="AS178" s="550"/>
      <c r="AT178" s="550"/>
      <c r="AU178" s="550"/>
      <c r="AV178" s="550"/>
      <c r="AW178" s="550"/>
      <c r="AX178" s="550"/>
      <c r="AY178" s="550"/>
      <c r="AZ178" s="550"/>
      <c r="BA178" s="550"/>
      <c r="BB178" s="550"/>
      <c r="BC178" s="550"/>
      <c r="BD178" s="550"/>
      <c r="BE178" s="550"/>
      <c r="BF178" s="550"/>
      <c r="BG178" s="550"/>
      <c r="BH178" s="550"/>
      <c r="BI178" s="550"/>
      <c r="BJ178" s="550"/>
      <c r="BK178" s="550"/>
      <c r="BL178" s="550"/>
      <c r="BM178" s="550"/>
      <c r="BN178" s="550"/>
      <c r="BO178" s="550"/>
      <c r="BP178" s="550"/>
      <c r="BQ178" s="550"/>
      <c r="BR178" s="550"/>
      <c r="BS178" s="550"/>
      <c r="BT178" s="550"/>
      <c r="BU178" s="550"/>
      <c r="BV178" s="550"/>
      <c r="BW178" s="550"/>
      <c r="BX178" s="550"/>
      <c r="BY178" s="550"/>
      <c r="BZ178" s="550"/>
      <c r="CA178" s="550"/>
      <c r="CB178" s="550"/>
      <c r="CC178" s="550"/>
      <c r="CD178" s="550"/>
      <c r="CE178" s="550"/>
      <c r="CF178" s="550"/>
      <c r="CG178" s="550"/>
      <c r="CH178" s="550"/>
      <c r="CI178" s="550"/>
      <c r="CJ178" s="550"/>
      <c r="CK178" s="550"/>
      <c r="CL178" s="550"/>
      <c r="CM178" s="550"/>
      <c r="CN178" s="550"/>
      <c r="CO178" s="550"/>
      <c r="CP178" s="550"/>
      <c r="CQ178" s="550"/>
      <c r="CR178" s="550"/>
      <c r="CS178" s="550"/>
      <c r="CT178" s="550"/>
      <c r="CU178" s="550"/>
      <c r="CV178" s="550"/>
      <c r="CW178" s="550"/>
    </row>
    <row r="179" spans="1:101" x14ac:dyDescent="0.2">
      <c r="A179" s="344">
        <f>+SUBTOTAL(3,$E$8:$E179)</f>
        <v>172</v>
      </c>
      <c r="B179" s="555">
        <v>45505</v>
      </c>
      <c r="C179" s="346" t="s">
        <v>173</v>
      </c>
      <c r="D179" s="344" t="str">
        <f>+VLOOKUP(C179,'Visual chart Edit'!$B$7:$C$491,2,FALSE)</f>
        <v>DA+3</v>
      </c>
      <c r="E179" s="344" t="s">
        <v>276</v>
      </c>
      <c r="F179" s="551">
        <v>45507</v>
      </c>
      <c r="G179" s="551">
        <v>45516</v>
      </c>
      <c r="H179" s="552" t="s">
        <v>360</v>
      </c>
      <c r="I179" s="553" t="s">
        <v>237</v>
      </c>
      <c r="J179" s="554">
        <f t="shared" si="2"/>
        <v>9</v>
      </c>
      <c r="K179" s="550"/>
      <c r="L179" s="550"/>
      <c r="M179" s="550"/>
      <c r="N179" s="550"/>
      <c r="O179" s="550"/>
      <c r="P179" s="550"/>
      <c r="Q179" s="550"/>
      <c r="R179" s="550"/>
      <c r="S179" s="550"/>
      <c r="T179" s="550"/>
      <c r="U179" s="550"/>
      <c r="V179" s="550"/>
      <c r="W179" s="550"/>
      <c r="X179" s="550"/>
      <c r="Y179" s="550"/>
      <c r="Z179" s="550"/>
      <c r="AA179" s="550"/>
      <c r="AB179" s="550"/>
      <c r="AC179" s="550"/>
      <c r="AD179" s="550"/>
      <c r="AE179" s="550"/>
      <c r="AF179" s="550"/>
      <c r="AG179" s="550"/>
      <c r="AH179" s="550"/>
      <c r="AI179" s="550"/>
      <c r="AJ179" s="550"/>
      <c r="AK179" s="550"/>
      <c r="AL179" s="550"/>
      <c r="AM179" s="550"/>
      <c r="AN179" s="550"/>
      <c r="AO179" s="550"/>
      <c r="AP179" s="550"/>
      <c r="AQ179" s="550"/>
      <c r="AR179" s="550"/>
      <c r="AS179" s="550"/>
      <c r="AT179" s="550"/>
      <c r="AU179" s="550"/>
      <c r="AV179" s="550"/>
      <c r="AW179" s="550"/>
      <c r="AX179" s="550"/>
      <c r="AY179" s="550"/>
      <c r="AZ179" s="550"/>
      <c r="BA179" s="550"/>
      <c r="BB179" s="550"/>
      <c r="BC179" s="550"/>
      <c r="BD179" s="550"/>
      <c r="BE179" s="550"/>
      <c r="BF179" s="550"/>
      <c r="BG179" s="550"/>
      <c r="BH179" s="550"/>
      <c r="BI179" s="550"/>
      <c r="BJ179" s="550"/>
      <c r="BK179" s="550"/>
      <c r="BL179" s="550"/>
      <c r="BM179" s="550"/>
      <c r="BN179" s="550"/>
      <c r="BO179" s="550"/>
      <c r="BP179" s="550"/>
      <c r="BQ179" s="550"/>
      <c r="BR179" s="550"/>
      <c r="BS179" s="550"/>
      <c r="BT179" s="550"/>
      <c r="BU179" s="550"/>
      <c r="BV179" s="550"/>
      <c r="BW179" s="550"/>
      <c r="BX179" s="550"/>
      <c r="BY179" s="550"/>
      <c r="BZ179" s="550"/>
      <c r="CA179" s="550"/>
      <c r="CB179" s="550"/>
      <c r="CC179" s="550"/>
      <c r="CD179" s="550"/>
      <c r="CE179" s="550"/>
      <c r="CF179" s="550"/>
      <c r="CG179" s="550"/>
      <c r="CH179" s="550"/>
      <c r="CI179" s="550"/>
      <c r="CJ179" s="550"/>
      <c r="CK179" s="550"/>
      <c r="CL179" s="550"/>
      <c r="CM179" s="550"/>
      <c r="CN179" s="550"/>
      <c r="CO179" s="550"/>
      <c r="CP179" s="550"/>
      <c r="CQ179" s="550"/>
      <c r="CR179" s="550"/>
      <c r="CS179" s="550"/>
      <c r="CT179" s="550"/>
      <c r="CU179" s="550"/>
      <c r="CV179" s="550"/>
      <c r="CW179" s="550"/>
    </row>
    <row r="180" spans="1:101" x14ac:dyDescent="0.2">
      <c r="A180" s="344">
        <f>+SUBTOTAL(3,$E$8:$E180)</f>
        <v>173</v>
      </c>
      <c r="B180" s="555">
        <v>45505</v>
      </c>
      <c r="C180" s="344" t="s">
        <v>573</v>
      </c>
      <c r="D180" s="344" t="str">
        <f>+VLOOKUP(C180,'Visual chart Edit'!$B$7:$C$491,2,FALSE)</f>
        <v>DA+9</v>
      </c>
      <c r="E180" s="344" t="s">
        <v>143</v>
      </c>
      <c r="F180" s="551">
        <v>45511</v>
      </c>
      <c r="G180" s="551">
        <v>45517</v>
      </c>
      <c r="H180" s="552" t="s">
        <v>251</v>
      </c>
      <c r="I180" s="553" t="s">
        <v>222</v>
      </c>
      <c r="J180" s="554">
        <f t="shared" si="2"/>
        <v>6</v>
      </c>
      <c r="K180" s="550"/>
      <c r="L180" s="550"/>
      <c r="M180" s="550"/>
      <c r="N180" s="550"/>
      <c r="O180" s="550"/>
      <c r="P180" s="550"/>
      <c r="Q180" s="550"/>
      <c r="R180" s="550"/>
      <c r="S180" s="550"/>
      <c r="T180" s="550"/>
      <c r="U180" s="550"/>
      <c r="V180" s="550"/>
      <c r="W180" s="550"/>
      <c r="X180" s="550"/>
      <c r="Y180" s="550"/>
      <c r="Z180" s="550"/>
      <c r="AA180" s="550"/>
      <c r="AB180" s="550"/>
      <c r="AC180" s="550"/>
      <c r="AD180" s="550"/>
      <c r="AE180" s="550"/>
      <c r="AF180" s="550"/>
      <c r="AG180" s="550"/>
      <c r="AH180" s="550"/>
      <c r="AI180" s="550"/>
      <c r="AJ180" s="550"/>
      <c r="AK180" s="550"/>
      <c r="AL180" s="550"/>
      <c r="AM180" s="550"/>
      <c r="AN180" s="550"/>
      <c r="AO180" s="550"/>
      <c r="AP180" s="550"/>
      <c r="AQ180" s="550"/>
      <c r="AR180" s="550"/>
      <c r="AS180" s="550"/>
      <c r="AT180" s="550"/>
      <c r="AU180" s="550"/>
      <c r="AV180" s="550"/>
      <c r="AW180" s="550"/>
      <c r="AX180" s="550"/>
      <c r="AY180" s="550"/>
      <c r="AZ180" s="550"/>
      <c r="BA180" s="550"/>
      <c r="BB180" s="550"/>
      <c r="BC180" s="550"/>
      <c r="BD180" s="550"/>
      <c r="BE180" s="550"/>
      <c r="BF180" s="550"/>
      <c r="BG180" s="550"/>
      <c r="BH180" s="550"/>
      <c r="BI180" s="550"/>
      <c r="BJ180" s="550"/>
      <c r="BK180" s="550"/>
      <c r="BL180" s="550"/>
      <c r="BM180" s="550"/>
      <c r="BN180" s="550"/>
      <c r="BO180" s="550"/>
      <c r="BP180" s="550"/>
      <c r="BQ180" s="550"/>
      <c r="BR180" s="550"/>
      <c r="BS180" s="550"/>
      <c r="BT180" s="550"/>
      <c r="BU180" s="550"/>
      <c r="BV180" s="550"/>
      <c r="BW180" s="550"/>
      <c r="BX180" s="550"/>
      <c r="BY180" s="550"/>
      <c r="BZ180" s="550"/>
      <c r="CA180" s="550"/>
      <c r="CB180" s="550"/>
      <c r="CC180" s="550"/>
      <c r="CD180" s="550"/>
      <c r="CE180" s="550"/>
      <c r="CF180" s="550"/>
      <c r="CG180" s="550"/>
      <c r="CH180" s="550"/>
      <c r="CI180" s="550"/>
      <c r="CJ180" s="550"/>
      <c r="CK180" s="550"/>
      <c r="CL180" s="550"/>
      <c r="CM180" s="550"/>
      <c r="CN180" s="550"/>
      <c r="CO180" s="550"/>
      <c r="CP180" s="550"/>
      <c r="CQ180" s="550"/>
      <c r="CR180" s="550"/>
      <c r="CS180" s="550"/>
      <c r="CT180" s="550"/>
      <c r="CU180" s="550"/>
      <c r="CV180" s="550"/>
      <c r="CW180" s="550"/>
    </row>
    <row r="181" spans="1:101" x14ac:dyDescent="0.2">
      <c r="A181" s="344">
        <f>+SUBTOTAL(3,$E$8:$E181)</f>
        <v>174</v>
      </c>
      <c r="B181" s="555">
        <v>45505</v>
      </c>
      <c r="C181" s="346" t="s">
        <v>508</v>
      </c>
      <c r="D181" s="344" t="str">
        <f>+VLOOKUP(C181,'Visual chart Edit'!$B$7:$C$491,2,FALSE)</f>
        <v>DA+3</v>
      </c>
      <c r="E181" s="344" t="s">
        <v>276</v>
      </c>
      <c r="F181" s="551">
        <v>45511</v>
      </c>
      <c r="G181" s="551">
        <v>45518</v>
      </c>
      <c r="H181" s="552" t="s">
        <v>582</v>
      </c>
      <c r="I181" s="553" t="s">
        <v>237</v>
      </c>
      <c r="J181" s="554">
        <f t="shared" si="2"/>
        <v>7</v>
      </c>
      <c r="K181" s="550"/>
      <c r="L181" s="550"/>
      <c r="M181" s="550"/>
      <c r="N181" s="550"/>
      <c r="O181" s="550"/>
      <c r="P181" s="550"/>
      <c r="Q181" s="550"/>
      <c r="R181" s="550"/>
      <c r="S181" s="550"/>
      <c r="T181" s="550"/>
      <c r="U181" s="550"/>
      <c r="V181" s="550"/>
      <c r="W181" s="550"/>
      <c r="X181" s="550"/>
      <c r="Y181" s="550"/>
      <c r="Z181" s="550"/>
      <c r="AA181" s="550"/>
      <c r="AB181" s="550"/>
      <c r="AC181" s="550"/>
      <c r="AD181" s="550"/>
      <c r="AE181" s="550"/>
      <c r="AF181" s="550"/>
      <c r="AG181" s="550"/>
      <c r="AH181" s="550"/>
      <c r="AI181" s="550"/>
      <c r="AJ181" s="550"/>
      <c r="AK181" s="550"/>
      <c r="AL181" s="550"/>
      <c r="AM181" s="550"/>
      <c r="AN181" s="550"/>
      <c r="AO181" s="550"/>
      <c r="AP181" s="550"/>
      <c r="AQ181" s="550"/>
      <c r="AR181" s="550"/>
      <c r="AS181" s="550"/>
      <c r="AT181" s="550"/>
      <c r="AU181" s="550"/>
      <c r="AV181" s="550"/>
      <c r="AW181" s="550"/>
      <c r="AX181" s="550"/>
      <c r="AY181" s="550"/>
      <c r="AZ181" s="550"/>
      <c r="BA181" s="550"/>
      <c r="BB181" s="550"/>
      <c r="BC181" s="550"/>
      <c r="BD181" s="550"/>
      <c r="BE181" s="550"/>
      <c r="BF181" s="550"/>
      <c r="BG181" s="550"/>
      <c r="BH181" s="550"/>
      <c r="BI181" s="550"/>
      <c r="BJ181" s="550"/>
      <c r="BK181" s="550"/>
      <c r="BL181" s="550"/>
      <c r="BM181" s="550"/>
      <c r="BN181" s="550"/>
      <c r="BO181" s="550"/>
      <c r="BP181" s="550"/>
      <c r="BQ181" s="550"/>
      <c r="BR181" s="550"/>
      <c r="BS181" s="550"/>
      <c r="BT181" s="550"/>
      <c r="BU181" s="550"/>
      <c r="BV181" s="550"/>
      <c r="BW181" s="550"/>
      <c r="BX181" s="550"/>
      <c r="BY181" s="550"/>
      <c r="BZ181" s="550"/>
      <c r="CA181" s="550"/>
      <c r="CB181" s="550"/>
      <c r="CC181" s="550"/>
      <c r="CD181" s="550"/>
      <c r="CE181" s="550"/>
      <c r="CF181" s="550"/>
      <c r="CG181" s="550"/>
      <c r="CH181" s="550"/>
      <c r="CI181" s="550"/>
      <c r="CJ181" s="550"/>
      <c r="CK181" s="550"/>
      <c r="CL181" s="550"/>
      <c r="CM181" s="550"/>
      <c r="CN181" s="550"/>
      <c r="CO181" s="550"/>
      <c r="CP181" s="550"/>
      <c r="CQ181" s="550"/>
      <c r="CR181" s="550"/>
      <c r="CS181" s="550"/>
      <c r="CT181" s="550"/>
      <c r="CU181" s="550"/>
      <c r="CV181" s="550"/>
      <c r="CW181" s="550"/>
    </row>
    <row r="182" spans="1:101" x14ac:dyDescent="0.2">
      <c r="A182" s="344">
        <f>+SUBTOTAL(3,$E$8:$E182)</f>
        <v>175</v>
      </c>
      <c r="B182" s="555">
        <v>45505</v>
      </c>
      <c r="C182" s="344" t="s">
        <v>482</v>
      </c>
      <c r="D182" s="344" t="str">
        <f>+VLOOKUP(C182,'Visual chart Edit'!$B$7:$C$491,2,FALSE)</f>
        <v>DA+0</v>
      </c>
      <c r="E182" s="344" t="s">
        <v>276</v>
      </c>
      <c r="F182" s="551">
        <v>45516</v>
      </c>
      <c r="G182" s="551">
        <v>45520</v>
      </c>
      <c r="H182" s="552" t="s">
        <v>584</v>
      </c>
      <c r="I182" s="553" t="s">
        <v>583</v>
      </c>
      <c r="J182" s="554">
        <f t="shared" si="2"/>
        <v>4</v>
      </c>
      <c r="K182" s="550"/>
      <c r="L182" s="550"/>
      <c r="M182" s="550"/>
      <c r="N182" s="550"/>
      <c r="O182" s="550"/>
      <c r="P182" s="550"/>
      <c r="Q182" s="550"/>
      <c r="R182" s="550"/>
      <c r="S182" s="550"/>
      <c r="T182" s="550"/>
      <c r="U182" s="550"/>
      <c r="V182" s="550"/>
      <c r="W182" s="550"/>
      <c r="X182" s="550"/>
      <c r="Y182" s="550"/>
      <c r="Z182" s="550"/>
      <c r="AA182" s="550"/>
      <c r="AB182" s="550"/>
      <c r="AC182" s="550"/>
      <c r="AD182" s="550"/>
      <c r="AE182" s="550"/>
      <c r="AF182" s="550"/>
      <c r="AG182" s="550"/>
      <c r="AH182" s="550"/>
      <c r="AI182" s="550"/>
      <c r="AJ182" s="550"/>
      <c r="AK182" s="550"/>
      <c r="AL182" s="550"/>
      <c r="AM182" s="550"/>
      <c r="AN182" s="550"/>
      <c r="AO182" s="550"/>
      <c r="AP182" s="550"/>
      <c r="AQ182" s="550"/>
      <c r="AR182" s="550"/>
      <c r="AS182" s="550"/>
      <c r="AT182" s="550"/>
      <c r="AU182" s="550"/>
      <c r="AV182" s="550"/>
      <c r="AW182" s="550"/>
      <c r="AX182" s="550"/>
      <c r="AY182" s="550"/>
      <c r="AZ182" s="550"/>
      <c r="BA182" s="550"/>
      <c r="BB182" s="550"/>
      <c r="BC182" s="550"/>
      <c r="BD182" s="550"/>
      <c r="BE182" s="550"/>
      <c r="BF182" s="550"/>
      <c r="BG182" s="550"/>
      <c r="BH182" s="550"/>
      <c r="BI182" s="550"/>
      <c r="BJ182" s="550"/>
      <c r="BK182" s="550"/>
      <c r="BL182" s="550"/>
      <c r="BM182" s="550"/>
      <c r="BN182" s="550"/>
      <c r="BO182" s="550"/>
      <c r="BP182" s="550"/>
      <c r="BQ182" s="550"/>
      <c r="BR182" s="550"/>
      <c r="BS182" s="550"/>
      <c r="BT182" s="550"/>
      <c r="BU182" s="550"/>
      <c r="BV182" s="550"/>
      <c r="BW182" s="550"/>
      <c r="BX182" s="550"/>
      <c r="BY182" s="550"/>
      <c r="BZ182" s="550"/>
      <c r="CA182" s="550"/>
      <c r="CB182" s="550"/>
      <c r="CC182" s="550"/>
      <c r="CD182" s="550"/>
      <c r="CE182" s="550"/>
      <c r="CF182" s="550"/>
      <c r="CG182" s="550"/>
      <c r="CH182" s="550"/>
      <c r="CI182" s="550"/>
      <c r="CJ182" s="550"/>
      <c r="CK182" s="550"/>
      <c r="CL182" s="550"/>
      <c r="CM182" s="550"/>
      <c r="CN182" s="550"/>
      <c r="CO182" s="550"/>
      <c r="CP182" s="550"/>
      <c r="CQ182" s="550"/>
      <c r="CR182" s="550"/>
      <c r="CS182" s="550"/>
      <c r="CT182" s="550"/>
      <c r="CU182" s="550"/>
      <c r="CV182" s="550"/>
      <c r="CW182" s="550"/>
    </row>
    <row r="183" spans="1:101" x14ac:dyDescent="0.2">
      <c r="A183" s="344">
        <f>+SUBTOTAL(3,$E$8:$E183)</f>
        <v>176</v>
      </c>
      <c r="B183" s="555">
        <v>45505</v>
      </c>
      <c r="C183" s="344" t="s">
        <v>174</v>
      </c>
      <c r="D183" s="344" t="str">
        <f>+VLOOKUP(C183,'Visual chart Edit'!$B$7:$C$491,2,FALSE)</f>
        <v>DA+0</v>
      </c>
      <c r="E183" s="344" t="s">
        <v>276</v>
      </c>
      <c r="F183" s="551">
        <v>45514</v>
      </c>
      <c r="G183" s="551">
        <v>45522</v>
      </c>
      <c r="H183" s="552" t="s">
        <v>591</v>
      </c>
      <c r="I183" s="553" t="s">
        <v>237</v>
      </c>
      <c r="J183" s="554">
        <f t="shared" si="2"/>
        <v>8</v>
      </c>
      <c r="K183" s="550"/>
      <c r="L183" s="550"/>
      <c r="M183" s="550"/>
      <c r="N183" s="550"/>
      <c r="O183" s="550"/>
      <c r="P183" s="550"/>
      <c r="Q183" s="550"/>
      <c r="R183" s="550"/>
      <c r="S183" s="550"/>
      <c r="T183" s="550"/>
      <c r="U183" s="550"/>
      <c r="V183" s="550"/>
      <c r="W183" s="550"/>
      <c r="X183" s="550"/>
      <c r="Y183" s="550"/>
      <c r="Z183" s="550"/>
      <c r="AA183" s="550"/>
      <c r="AB183" s="550"/>
      <c r="AC183" s="550"/>
      <c r="AD183" s="550"/>
      <c r="AE183" s="550"/>
      <c r="AF183" s="550"/>
      <c r="AG183" s="550"/>
      <c r="AH183" s="550"/>
      <c r="AI183" s="550"/>
      <c r="AJ183" s="550"/>
      <c r="AK183" s="550"/>
      <c r="AL183" s="550"/>
      <c r="AM183" s="550"/>
      <c r="AN183" s="550"/>
      <c r="AO183" s="550"/>
      <c r="AP183" s="550"/>
      <c r="AQ183" s="550"/>
      <c r="AR183" s="550"/>
      <c r="AS183" s="550"/>
      <c r="AT183" s="550"/>
      <c r="AU183" s="550"/>
      <c r="AV183" s="550"/>
      <c r="AW183" s="550"/>
      <c r="AX183" s="550"/>
      <c r="AY183" s="550"/>
      <c r="AZ183" s="550"/>
      <c r="BA183" s="550"/>
      <c r="BB183" s="550"/>
      <c r="BC183" s="550"/>
      <c r="BD183" s="550"/>
      <c r="BE183" s="550"/>
      <c r="BF183" s="550"/>
      <c r="BG183" s="550"/>
      <c r="BH183" s="550"/>
      <c r="BI183" s="550"/>
      <c r="BJ183" s="550"/>
      <c r="BK183" s="550"/>
      <c r="BL183" s="550"/>
      <c r="BM183" s="550"/>
      <c r="BN183" s="550"/>
      <c r="BO183" s="550"/>
      <c r="BP183" s="550"/>
      <c r="BQ183" s="550"/>
      <c r="BR183" s="550"/>
      <c r="BS183" s="550"/>
      <c r="BT183" s="550"/>
      <c r="BU183" s="550"/>
      <c r="BV183" s="550"/>
      <c r="BW183" s="550"/>
      <c r="BX183" s="550"/>
      <c r="BY183" s="550"/>
      <c r="BZ183" s="550"/>
      <c r="CA183" s="550"/>
      <c r="CB183" s="550"/>
      <c r="CC183" s="550"/>
      <c r="CD183" s="550"/>
      <c r="CE183" s="550"/>
      <c r="CF183" s="550"/>
      <c r="CG183" s="550"/>
      <c r="CH183" s="550"/>
      <c r="CI183" s="550"/>
      <c r="CJ183" s="550"/>
      <c r="CK183" s="550"/>
      <c r="CL183" s="550"/>
      <c r="CM183" s="550"/>
      <c r="CN183" s="550"/>
      <c r="CO183" s="550"/>
      <c r="CP183" s="550"/>
      <c r="CQ183" s="550"/>
      <c r="CR183" s="550"/>
      <c r="CS183" s="550"/>
      <c r="CT183" s="550"/>
      <c r="CU183" s="550"/>
      <c r="CV183" s="550"/>
      <c r="CW183" s="550"/>
    </row>
    <row r="184" spans="1:101" x14ac:dyDescent="0.2">
      <c r="A184" s="344">
        <f>+SUBTOTAL(3,$E$8:$E184)</f>
        <v>177</v>
      </c>
      <c r="B184" s="555">
        <v>45505</v>
      </c>
      <c r="C184" s="344" t="s">
        <v>512</v>
      </c>
      <c r="D184" s="344" t="str">
        <f>+VLOOKUP(C184,'Visual chart Edit'!$B$7:$C$491,2,FALSE)</f>
        <v>DA+0</v>
      </c>
      <c r="E184" s="344" t="s">
        <v>276</v>
      </c>
      <c r="F184" s="551">
        <v>45514</v>
      </c>
      <c r="G184" s="551">
        <v>45522</v>
      </c>
      <c r="H184" s="552" t="s">
        <v>394</v>
      </c>
      <c r="I184" s="553" t="s">
        <v>237</v>
      </c>
      <c r="J184" s="554">
        <f t="shared" si="2"/>
        <v>8</v>
      </c>
      <c r="K184" s="550"/>
      <c r="L184" s="550"/>
      <c r="M184" s="550"/>
      <c r="N184" s="550"/>
      <c r="O184" s="550"/>
      <c r="P184" s="550"/>
      <c r="Q184" s="550"/>
      <c r="R184" s="550"/>
      <c r="S184" s="550"/>
      <c r="T184" s="550"/>
      <c r="U184" s="550"/>
      <c r="V184" s="550"/>
      <c r="W184" s="550"/>
      <c r="X184" s="550"/>
      <c r="Y184" s="550"/>
      <c r="Z184" s="550"/>
      <c r="AA184" s="550"/>
      <c r="AB184" s="550"/>
      <c r="AC184" s="550"/>
      <c r="AD184" s="550"/>
      <c r="AE184" s="550"/>
      <c r="AF184" s="550"/>
      <c r="AG184" s="550"/>
      <c r="AH184" s="550"/>
      <c r="AI184" s="550"/>
      <c r="AJ184" s="550"/>
      <c r="AK184" s="550"/>
      <c r="AL184" s="550"/>
      <c r="AM184" s="550"/>
      <c r="AN184" s="550"/>
      <c r="AO184" s="550"/>
      <c r="AP184" s="550"/>
      <c r="AQ184" s="550"/>
      <c r="AR184" s="550"/>
      <c r="AS184" s="550"/>
      <c r="AT184" s="550"/>
      <c r="AU184" s="550"/>
      <c r="AV184" s="550"/>
      <c r="AW184" s="550"/>
      <c r="AX184" s="550"/>
      <c r="AY184" s="550"/>
      <c r="AZ184" s="550"/>
      <c r="BA184" s="550"/>
      <c r="BB184" s="550"/>
      <c r="BC184" s="550"/>
      <c r="BD184" s="550"/>
      <c r="BE184" s="550"/>
      <c r="BF184" s="550"/>
      <c r="BG184" s="550"/>
      <c r="BH184" s="550"/>
      <c r="BI184" s="550"/>
      <c r="BJ184" s="550"/>
      <c r="BK184" s="550"/>
      <c r="BL184" s="550"/>
      <c r="BM184" s="550"/>
      <c r="BN184" s="550"/>
      <c r="BO184" s="550"/>
      <c r="BP184" s="550"/>
      <c r="BQ184" s="550"/>
      <c r="BR184" s="550"/>
      <c r="BS184" s="550"/>
      <c r="BT184" s="550"/>
      <c r="BU184" s="550"/>
      <c r="BV184" s="550"/>
      <c r="BW184" s="550"/>
      <c r="BX184" s="550"/>
      <c r="BY184" s="550"/>
      <c r="BZ184" s="550"/>
      <c r="CA184" s="550"/>
      <c r="CB184" s="550"/>
      <c r="CC184" s="550"/>
      <c r="CD184" s="550"/>
      <c r="CE184" s="550"/>
      <c r="CF184" s="550"/>
      <c r="CG184" s="550"/>
      <c r="CH184" s="550"/>
      <c r="CI184" s="550"/>
      <c r="CJ184" s="550"/>
      <c r="CK184" s="550"/>
      <c r="CL184" s="550"/>
      <c r="CM184" s="550"/>
      <c r="CN184" s="550"/>
      <c r="CO184" s="550"/>
      <c r="CP184" s="550"/>
      <c r="CQ184" s="550"/>
      <c r="CR184" s="550"/>
      <c r="CS184" s="550"/>
      <c r="CT184" s="550"/>
      <c r="CU184" s="550"/>
      <c r="CV184" s="550"/>
      <c r="CW184" s="550"/>
    </row>
    <row r="185" spans="1:101" x14ac:dyDescent="0.2">
      <c r="A185" s="344">
        <f>+SUBTOTAL(3,$E$8:$E185)</f>
        <v>178</v>
      </c>
      <c r="B185" s="555">
        <v>45505</v>
      </c>
      <c r="C185" s="344" t="s">
        <v>507</v>
      </c>
      <c r="D185" s="344" t="str">
        <f>+VLOOKUP(C185,'Visual chart Edit'!$B$7:$C$491,2,FALSE)</f>
        <v>DA+3</v>
      </c>
      <c r="E185" s="344" t="s">
        <v>276</v>
      </c>
      <c r="F185" s="551">
        <v>45519</v>
      </c>
      <c r="G185" s="551">
        <v>45523</v>
      </c>
      <c r="H185" s="552" t="s">
        <v>582</v>
      </c>
      <c r="I185" s="553" t="s">
        <v>237</v>
      </c>
      <c r="J185" s="554">
        <f t="shared" si="2"/>
        <v>4</v>
      </c>
      <c r="K185" s="550"/>
      <c r="L185" s="550"/>
      <c r="M185" s="550"/>
      <c r="N185" s="550"/>
      <c r="O185" s="550"/>
      <c r="P185" s="550"/>
      <c r="Q185" s="550"/>
      <c r="R185" s="550"/>
      <c r="S185" s="550"/>
      <c r="T185" s="550"/>
      <c r="U185" s="550"/>
      <c r="V185" s="550"/>
      <c r="W185" s="550"/>
      <c r="X185" s="550"/>
      <c r="Y185" s="550"/>
      <c r="Z185" s="550"/>
      <c r="AA185" s="550"/>
      <c r="AB185" s="550"/>
      <c r="AC185" s="550"/>
      <c r="AD185" s="550"/>
      <c r="AE185" s="550"/>
      <c r="AF185" s="550"/>
      <c r="AG185" s="550"/>
      <c r="AH185" s="550"/>
      <c r="AI185" s="550"/>
      <c r="AJ185" s="550"/>
      <c r="AK185" s="550"/>
      <c r="AL185" s="550"/>
      <c r="AM185" s="550"/>
      <c r="AN185" s="550"/>
      <c r="AO185" s="550"/>
      <c r="AP185" s="550"/>
      <c r="AQ185" s="550"/>
      <c r="AR185" s="550"/>
      <c r="AS185" s="550"/>
      <c r="AT185" s="550"/>
      <c r="AU185" s="550"/>
      <c r="AV185" s="550"/>
      <c r="AW185" s="550"/>
      <c r="AX185" s="550"/>
      <c r="AY185" s="550"/>
      <c r="AZ185" s="550"/>
      <c r="BA185" s="550"/>
      <c r="BB185" s="550"/>
      <c r="BC185" s="550"/>
      <c r="BD185" s="550"/>
      <c r="BE185" s="550"/>
      <c r="BF185" s="550"/>
      <c r="BG185" s="550"/>
      <c r="BH185" s="550"/>
      <c r="BI185" s="550"/>
      <c r="BJ185" s="550"/>
      <c r="BK185" s="550"/>
      <c r="BL185" s="550"/>
      <c r="BM185" s="550"/>
      <c r="BN185" s="550"/>
      <c r="BO185" s="550"/>
      <c r="BP185" s="550"/>
      <c r="BQ185" s="550"/>
      <c r="BR185" s="550"/>
      <c r="BS185" s="550"/>
      <c r="BT185" s="550"/>
      <c r="BU185" s="550"/>
      <c r="BV185" s="550"/>
      <c r="BW185" s="550"/>
      <c r="BX185" s="550"/>
      <c r="BY185" s="550"/>
      <c r="BZ185" s="550"/>
      <c r="CA185" s="550"/>
      <c r="CB185" s="550"/>
      <c r="CC185" s="550"/>
      <c r="CD185" s="550"/>
      <c r="CE185" s="550"/>
      <c r="CF185" s="550"/>
      <c r="CG185" s="550"/>
      <c r="CH185" s="550"/>
      <c r="CI185" s="550"/>
      <c r="CJ185" s="550"/>
      <c r="CK185" s="550"/>
      <c r="CL185" s="550"/>
      <c r="CM185" s="550"/>
      <c r="CN185" s="550"/>
      <c r="CO185" s="550"/>
      <c r="CP185" s="550"/>
      <c r="CQ185" s="550"/>
      <c r="CR185" s="550"/>
      <c r="CS185" s="550"/>
      <c r="CT185" s="550"/>
      <c r="CU185" s="550"/>
      <c r="CV185" s="550"/>
      <c r="CW185" s="550"/>
    </row>
    <row r="186" spans="1:101" x14ac:dyDescent="0.2">
      <c r="A186" s="344">
        <f>+SUBTOTAL(3,$E$8:$E186)</f>
        <v>179</v>
      </c>
      <c r="B186" s="555">
        <v>45505</v>
      </c>
      <c r="C186" s="344" t="s">
        <v>161</v>
      </c>
      <c r="D186" s="344" t="str">
        <f>+VLOOKUP(C186,'Visual chart Edit'!$B$7:$C$491,2,FALSE)</f>
        <v>DA+0</v>
      </c>
      <c r="E186" s="344" t="s">
        <v>276</v>
      </c>
      <c r="F186" s="551">
        <v>45516</v>
      </c>
      <c r="G186" s="551">
        <v>45523</v>
      </c>
      <c r="H186" s="552" t="s">
        <v>253</v>
      </c>
      <c r="I186" s="553" t="s">
        <v>583</v>
      </c>
      <c r="J186" s="554">
        <f t="shared" si="2"/>
        <v>7</v>
      </c>
      <c r="K186" s="550"/>
      <c r="L186" s="550"/>
      <c r="M186" s="550"/>
      <c r="N186" s="550"/>
      <c r="O186" s="550"/>
      <c r="P186" s="550"/>
      <c r="Q186" s="550"/>
      <c r="R186" s="550"/>
      <c r="S186" s="550"/>
      <c r="T186" s="550"/>
      <c r="U186" s="550"/>
      <c r="V186" s="550"/>
      <c r="W186" s="550"/>
      <c r="X186" s="550"/>
      <c r="Y186" s="550"/>
      <c r="Z186" s="550"/>
      <c r="AA186" s="550"/>
      <c r="AB186" s="550"/>
      <c r="AC186" s="550"/>
      <c r="AD186" s="550"/>
      <c r="AE186" s="550"/>
      <c r="AF186" s="550"/>
      <c r="AG186" s="550"/>
      <c r="AH186" s="550"/>
      <c r="AI186" s="550"/>
      <c r="AJ186" s="550"/>
      <c r="AK186" s="550"/>
      <c r="AL186" s="550"/>
      <c r="AM186" s="550"/>
      <c r="AN186" s="550"/>
      <c r="AO186" s="550"/>
      <c r="AP186" s="550"/>
      <c r="AQ186" s="550"/>
      <c r="AR186" s="550"/>
      <c r="AS186" s="550"/>
      <c r="AT186" s="550"/>
      <c r="AU186" s="550"/>
      <c r="AV186" s="550"/>
      <c r="AW186" s="550"/>
      <c r="AX186" s="550"/>
      <c r="AY186" s="550"/>
      <c r="AZ186" s="550"/>
      <c r="BA186" s="550"/>
      <c r="BB186" s="550"/>
      <c r="BC186" s="550"/>
      <c r="BD186" s="550"/>
      <c r="BE186" s="550"/>
      <c r="BF186" s="550"/>
      <c r="BG186" s="550"/>
      <c r="BH186" s="550"/>
      <c r="BI186" s="550"/>
      <c r="BJ186" s="550"/>
      <c r="BK186" s="550"/>
      <c r="BL186" s="550"/>
      <c r="BM186" s="550"/>
      <c r="BN186" s="550"/>
      <c r="BO186" s="550"/>
      <c r="BP186" s="550"/>
      <c r="BQ186" s="550"/>
      <c r="BR186" s="550"/>
      <c r="BS186" s="550"/>
      <c r="BT186" s="550"/>
      <c r="BU186" s="550"/>
      <c r="BV186" s="550"/>
      <c r="BW186" s="550"/>
      <c r="BX186" s="550"/>
      <c r="BY186" s="550"/>
      <c r="BZ186" s="550"/>
      <c r="CA186" s="550"/>
      <c r="CB186" s="550"/>
      <c r="CC186" s="550"/>
      <c r="CD186" s="550"/>
      <c r="CE186" s="550"/>
      <c r="CF186" s="550"/>
      <c r="CG186" s="550"/>
      <c r="CH186" s="550"/>
      <c r="CI186" s="550"/>
      <c r="CJ186" s="550"/>
      <c r="CK186" s="550"/>
      <c r="CL186" s="550"/>
      <c r="CM186" s="550"/>
      <c r="CN186" s="550"/>
      <c r="CO186" s="550"/>
      <c r="CP186" s="550"/>
      <c r="CQ186" s="550"/>
      <c r="CR186" s="550"/>
      <c r="CS186" s="550"/>
      <c r="CT186" s="550"/>
      <c r="CU186" s="550"/>
      <c r="CV186" s="550"/>
      <c r="CW186" s="550"/>
    </row>
    <row r="187" spans="1:101" x14ac:dyDescent="0.2">
      <c r="A187" s="344">
        <f>+SUBTOTAL(3,$E$8:$E187)</f>
        <v>180</v>
      </c>
      <c r="B187" s="555">
        <v>45505</v>
      </c>
      <c r="C187" s="555" t="s">
        <v>488</v>
      </c>
      <c r="D187" s="344" t="str">
        <f>+VLOOKUP(C187,'Visual chart Edit'!$B$7:$C$491,2,FALSE)</f>
        <v>DA+6</v>
      </c>
      <c r="E187" s="344" t="s">
        <v>143</v>
      </c>
      <c r="F187" s="551">
        <v>45511</v>
      </c>
      <c r="G187" s="551">
        <v>45524</v>
      </c>
      <c r="H187" s="552" t="s">
        <v>548</v>
      </c>
      <c r="I187" s="553" t="s">
        <v>583</v>
      </c>
      <c r="J187" s="554">
        <f t="shared" si="2"/>
        <v>13</v>
      </c>
      <c r="K187" s="550"/>
      <c r="L187" s="550"/>
      <c r="M187" s="550"/>
      <c r="N187" s="550"/>
      <c r="O187" s="550"/>
      <c r="P187" s="550"/>
      <c r="Q187" s="550"/>
      <c r="R187" s="550"/>
      <c r="S187" s="550"/>
      <c r="T187" s="550"/>
      <c r="U187" s="550"/>
      <c r="V187" s="550"/>
      <c r="W187" s="550"/>
      <c r="X187" s="550"/>
      <c r="Y187" s="550"/>
      <c r="Z187" s="550"/>
      <c r="AA187" s="550"/>
      <c r="AB187" s="550"/>
      <c r="AC187" s="550"/>
      <c r="AD187" s="550"/>
      <c r="AE187" s="550"/>
      <c r="AF187" s="550"/>
      <c r="AG187" s="550"/>
      <c r="AH187" s="550"/>
      <c r="AI187" s="550"/>
      <c r="AJ187" s="550"/>
      <c r="AK187" s="550"/>
      <c r="AL187" s="550"/>
      <c r="AM187" s="550"/>
      <c r="AN187" s="550"/>
      <c r="AO187" s="550"/>
      <c r="AP187" s="550"/>
      <c r="AQ187" s="550"/>
      <c r="AR187" s="550"/>
      <c r="AS187" s="550"/>
      <c r="AT187" s="550"/>
      <c r="AU187" s="550"/>
      <c r="AV187" s="550"/>
      <c r="AW187" s="550"/>
      <c r="AX187" s="550"/>
      <c r="AY187" s="550"/>
      <c r="AZ187" s="550"/>
      <c r="BA187" s="550"/>
      <c r="BB187" s="550"/>
      <c r="BC187" s="550"/>
      <c r="BD187" s="550"/>
      <c r="BE187" s="550"/>
      <c r="BF187" s="550"/>
      <c r="BG187" s="550"/>
      <c r="BH187" s="550"/>
      <c r="BI187" s="550"/>
      <c r="BJ187" s="550"/>
      <c r="BK187" s="550"/>
      <c r="BL187" s="550"/>
      <c r="BM187" s="550"/>
      <c r="BN187" s="550"/>
      <c r="BO187" s="550"/>
      <c r="BP187" s="550"/>
      <c r="BQ187" s="550"/>
      <c r="BR187" s="550"/>
      <c r="BS187" s="550"/>
      <c r="BT187" s="550"/>
      <c r="BU187" s="550"/>
      <c r="BV187" s="550"/>
      <c r="BW187" s="550"/>
      <c r="BX187" s="550"/>
      <c r="BY187" s="550"/>
      <c r="BZ187" s="550"/>
      <c r="CA187" s="550"/>
      <c r="CB187" s="550"/>
      <c r="CC187" s="550"/>
      <c r="CD187" s="550"/>
      <c r="CE187" s="550"/>
      <c r="CF187" s="550"/>
      <c r="CG187" s="550"/>
      <c r="CH187" s="550"/>
      <c r="CI187" s="550"/>
      <c r="CJ187" s="550"/>
      <c r="CK187" s="550"/>
      <c r="CL187" s="550"/>
      <c r="CM187" s="550"/>
      <c r="CN187" s="550"/>
      <c r="CO187" s="550"/>
      <c r="CP187" s="550"/>
      <c r="CQ187" s="550"/>
      <c r="CR187" s="550"/>
      <c r="CS187" s="550"/>
      <c r="CT187" s="550"/>
      <c r="CU187" s="550"/>
      <c r="CV187" s="550"/>
      <c r="CW187" s="550"/>
    </row>
    <row r="188" spans="1:101" x14ac:dyDescent="0.2">
      <c r="A188" s="344">
        <f>+SUBTOTAL(3,$E$8:$E188)</f>
        <v>181</v>
      </c>
      <c r="B188" s="555">
        <v>45505</v>
      </c>
      <c r="C188" s="344" t="s">
        <v>489</v>
      </c>
      <c r="D188" s="344" t="str">
        <f>+VLOOKUP(C188,'Visual chart Edit'!$B$7:$C$491,2,FALSE)</f>
        <v>DA+3</v>
      </c>
      <c r="E188" s="344" t="s">
        <v>276</v>
      </c>
      <c r="F188" s="551">
        <v>45520</v>
      </c>
      <c r="G188" s="551">
        <v>45526</v>
      </c>
      <c r="H188" s="552" t="s">
        <v>548</v>
      </c>
      <c r="I188" s="553" t="s">
        <v>583</v>
      </c>
      <c r="J188" s="554">
        <f t="shared" si="2"/>
        <v>6</v>
      </c>
      <c r="K188" s="550"/>
      <c r="L188" s="550"/>
      <c r="M188" s="550"/>
      <c r="N188" s="550"/>
      <c r="O188" s="550"/>
      <c r="P188" s="550"/>
      <c r="Q188" s="550"/>
      <c r="R188" s="550"/>
      <c r="S188" s="550"/>
      <c r="T188" s="550"/>
      <c r="U188" s="550"/>
      <c r="V188" s="550"/>
      <c r="W188" s="550"/>
      <c r="X188" s="550"/>
      <c r="Y188" s="550"/>
      <c r="Z188" s="550"/>
      <c r="AA188" s="550"/>
      <c r="AB188" s="550"/>
      <c r="AC188" s="550"/>
      <c r="AD188" s="550"/>
      <c r="AE188" s="550"/>
      <c r="AF188" s="550"/>
      <c r="AG188" s="550"/>
      <c r="AH188" s="550"/>
      <c r="AI188" s="550"/>
      <c r="AJ188" s="550"/>
      <c r="AK188" s="550"/>
      <c r="AL188" s="550"/>
      <c r="AM188" s="550"/>
      <c r="AN188" s="550"/>
      <c r="AO188" s="550"/>
      <c r="AP188" s="550"/>
      <c r="AQ188" s="550"/>
      <c r="AR188" s="550"/>
      <c r="AS188" s="550"/>
      <c r="AT188" s="550"/>
      <c r="AU188" s="550"/>
      <c r="AV188" s="550"/>
      <c r="AW188" s="550"/>
      <c r="AX188" s="550"/>
      <c r="AY188" s="550"/>
      <c r="AZ188" s="550"/>
      <c r="BA188" s="550"/>
      <c r="BB188" s="550"/>
      <c r="BC188" s="550"/>
      <c r="BD188" s="550"/>
      <c r="BE188" s="550"/>
      <c r="BF188" s="550"/>
      <c r="BG188" s="550"/>
      <c r="BH188" s="550"/>
      <c r="BI188" s="550"/>
      <c r="BJ188" s="550"/>
      <c r="BK188" s="550"/>
      <c r="BL188" s="550"/>
      <c r="BM188" s="550"/>
      <c r="BN188" s="550"/>
      <c r="BO188" s="550"/>
      <c r="BP188" s="550"/>
      <c r="BQ188" s="550"/>
      <c r="BR188" s="550"/>
      <c r="BS188" s="550"/>
      <c r="BT188" s="550"/>
      <c r="BU188" s="550"/>
      <c r="BV188" s="550"/>
      <c r="BW188" s="550"/>
      <c r="BX188" s="550"/>
      <c r="BY188" s="550"/>
      <c r="BZ188" s="550"/>
      <c r="CA188" s="550"/>
      <c r="CB188" s="550"/>
      <c r="CC188" s="550"/>
      <c r="CD188" s="550"/>
      <c r="CE188" s="550"/>
      <c r="CF188" s="550"/>
      <c r="CG188" s="550"/>
      <c r="CH188" s="550"/>
      <c r="CI188" s="550"/>
      <c r="CJ188" s="550"/>
      <c r="CK188" s="550"/>
      <c r="CL188" s="550"/>
      <c r="CM188" s="550"/>
      <c r="CN188" s="550"/>
      <c r="CO188" s="550"/>
      <c r="CP188" s="550"/>
      <c r="CQ188" s="550"/>
      <c r="CR188" s="550"/>
      <c r="CS188" s="550"/>
      <c r="CT188" s="550"/>
      <c r="CU188" s="550"/>
      <c r="CV188" s="550"/>
      <c r="CW188" s="550"/>
    </row>
    <row r="189" spans="1:101" x14ac:dyDescent="0.2">
      <c r="A189" s="344">
        <f>+SUBTOTAL(3,$E$8:$E189)</f>
        <v>182</v>
      </c>
      <c r="B189" s="555">
        <v>45505</v>
      </c>
      <c r="C189" s="344" t="s">
        <v>572</v>
      </c>
      <c r="D189" s="344" t="str">
        <f>+VLOOKUP(C189,'Visual chart Edit'!$B$7:$C$491,2,FALSE)</f>
        <v>DA+9</v>
      </c>
      <c r="E189" s="344" t="s">
        <v>143</v>
      </c>
      <c r="F189" s="551">
        <v>45518</v>
      </c>
      <c r="G189" s="551">
        <v>45526</v>
      </c>
      <c r="H189" s="552" t="s">
        <v>251</v>
      </c>
      <c r="I189" s="553" t="s">
        <v>222</v>
      </c>
      <c r="J189" s="554">
        <f t="shared" si="2"/>
        <v>8</v>
      </c>
      <c r="K189" s="550"/>
      <c r="L189" s="550"/>
      <c r="M189" s="550"/>
      <c r="N189" s="550"/>
      <c r="O189" s="550"/>
      <c r="P189" s="550"/>
      <c r="Q189" s="550"/>
      <c r="R189" s="550"/>
      <c r="S189" s="550"/>
      <c r="T189" s="550"/>
      <c r="U189" s="550"/>
      <c r="V189" s="550"/>
      <c r="W189" s="550"/>
      <c r="X189" s="550"/>
      <c r="Y189" s="550"/>
      <c r="Z189" s="550"/>
      <c r="AA189" s="550"/>
      <c r="AB189" s="550"/>
      <c r="AC189" s="550"/>
      <c r="AD189" s="550"/>
      <c r="AE189" s="550"/>
      <c r="AF189" s="550"/>
      <c r="AG189" s="550"/>
      <c r="AH189" s="550"/>
      <c r="AI189" s="550"/>
      <c r="AJ189" s="550"/>
      <c r="AK189" s="550"/>
      <c r="AL189" s="550"/>
      <c r="AM189" s="550"/>
      <c r="AN189" s="550"/>
      <c r="AO189" s="550"/>
      <c r="AP189" s="550"/>
      <c r="AQ189" s="550"/>
      <c r="AR189" s="550"/>
      <c r="AS189" s="550"/>
      <c r="AT189" s="550"/>
      <c r="AU189" s="550"/>
      <c r="AV189" s="550"/>
      <c r="AW189" s="550"/>
      <c r="AX189" s="550"/>
      <c r="AY189" s="550"/>
      <c r="AZ189" s="550"/>
      <c r="BA189" s="550"/>
      <c r="BB189" s="550"/>
      <c r="BC189" s="550"/>
      <c r="BD189" s="550"/>
      <c r="BE189" s="550"/>
      <c r="BF189" s="550"/>
      <c r="BG189" s="550"/>
      <c r="BH189" s="550"/>
      <c r="BI189" s="550"/>
      <c r="BJ189" s="550"/>
      <c r="BK189" s="550"/>
      <c r="BL189" s="550"/>
      <c r="BM189" s="550"/>
      <c r="BN189" s="550"/>
      <c r="BO189" s="550"/>
      <c r="BP189" s="550"/>
      <c r="BQ189" s="550"/>
      <c r="BR189" s="550"/>
      <c r="BS189" s="550"/>
      <c r="BT189" s="550"/>
      <c r="BU189" s="550"/>
      <c r="BV189" s="550"/>
      <c r="BW189" s="550"/>
      <c r="BX189" s="550"/>
      <c r="BY189" s="550"/>
      <c r="BZ189" s="550"/>
      <c r="CA189" s="550"/>
      <c r="CB189" s="550"/>
      <c r="CC189" s="550"/>
      <c r="CD189" s="550"/>
      <c r="CE189" s="550"/>
      <c r="CF189" s="550"/>
      <c r="CG189" s="550"/>
      <c r="CH189" s="550"/>
      <c r="CI189" s="550"/>
      <c r="CJ189" s="550"/>
      <c r="CK189" s="550"/>
      <c r="CL189" s="550"/>
      <c r="CM189" s="550"/>
      <c r="CN189" s="550"/>
      <c r="CO189" s="550"/>
      <c r="CP189" s="550"/>
      <c r="CQ189" s="550"/>
      <c r="CR189" s="550"/>
      <c r="CS189" s="550"/>
      <c r="CT189" s="550"/>
      <c r="CU189" s="550"/>
      <c r="CV189" s="550"/>
      <c r="CW189" s="550"/>
    </row>
    <row r="190" spans="1:101" x14ac:dyDescent="0.2">
      <c r="A190" s="344">
        <f>+SUBTOTAL(3,$E$8:$E190)</f>
        <v>183</v>
      </c>
      <c r="B190" s="555">
        <v>45505</v>
      </c>
      <c r="C190" s="344" t="s">
        <v>513</v>
      </c>
      <c r="D190" s="344" t="str">
        <f>+VLOOKUP(C190,'Visual chart Edit'!$B$7:$C$491,2,FALSE)</f>
        <v>DA+0</v>
      </c>
      <c r="E190" s="344" t="s">
        <v>276</v>
      </c>
      <c r="F190" s="551">
        <v>45517</v>
      </c>
      <c r="G190" s="551">
        <v>45527</v>
      </c>
      <c r="H190" s="552" t="s">
        <v>394</v>
      </c>
      <c r="I190" s="553" t="s">
        <v>237</v>
      </c>
      <c r="J190" s="554">
        <f t="shared" si="2"/>
        <v>10</v>
      </c>
      <c r="K190" s="550"/>
      <c r="L190" s="550"/>
      <c r="M190" s="550"/>
      <c r="N190" s="550"/>
      <c r="O190" s="550"/>
      <c r="P190" s="550"/>
      <c r="Q190" s="550"/>
      <c r="R190" s="550"/>
      <c r="S190" s="550"/>
      <c r="T190" s="550"/>
      <c r="U190" s="550"/>
      <c r="V190" s="550"/>
      <c r="W190" s="550"/>
      <c r="X190" s="550"/>
      <c r="Y190" s="550"/>
      <c r="Z190" s="550"/>
      <c r="AA190" s="550"/>
      <c r="AB190" s="550"/>
      <c r="AC190" s="550"/>
      <c r="AD190" s="550"/>
      <c r="AE190" s="550"/>
      <c r="AF190" s="550"/>
      <c r="AG190" s="550"/>
      <c r="AH190" s="550"/>
      <c r="AI190" s="550"/>
      <c r="AJ190" s="550"/>
      <c r="AK190" s="550"/>
      <c r="AL190" s="550"/>
      <c r="AM190" s="550"/>
      <c r="AN190" s="550"/>
      <c r="AO190" s="550"/>
      <c r="AP190" s="550"/>
      <c r="AQ190" s="550"/>
      <c r="AR190" s="550"/>
      <c r="AS190" s="550"/>
      <c r="AT190" s="550"/>
      <c r="AU190" s="550"/>
      <c r="AV190" s="550"/>
      <c r="AW190" s="550"/>
      <c r="AX190" s="550"/>
      <c r="AY190" s="550"/>
      <c r="AZ190" s="550"/>
      <c r="BA190" s="550"/>
      <c r="BB190" s="550"/>
      <c r="BC190" s="550"/>
      <c r="BD190" s="550"/>
      <c r="BE190" s="550"/>
      <c r="BF190" s="550"/>
      <c r="BG190" s="550"/>
      <c r="BH190" s="550"/>
      <c r="BI190" s="550"/>
      <c r="BJ190" s="550"/>
      <c r="BK190" s="550"/>
      <c r="BL190" s="550"/>
      <c r="BM190" s="550"/>
      <c r="BN190" s="550"/>
      <c r="BO190" s="550"/>
      <c r="BP190" s="550"/>
      <c r="BQ190" s="550"/>
      <c r="BR190" s="550"/>
      <c r="BS190" s="550"/>
      <c r="BT190" s="550"/>
      <c r="BU190" s="550"/>
      <c r="BV190" s="550"/>
      <c r="BW190" s="550"/>
      <c r="BX190" s="550"/>
      <c r="BY190" s="550"/>
      <c r="BZ190" s="550"/>
      <c r="CA190" s="550"/>
      <c r="CB190" s="550"/>
      <c r="CC190" s="550"/>
      <c r="CD190" s="550"/>
      <c r="CE190" s="550"/>
      <c r="CF190" s="550"/>
      <c r="CG190" s="550"/>
      <c r="CH190" s="550"/>
      <c r="CI190" s="550"/>
      <c r="CJ190" s="550"/>
      <c r="CK190" s="550"/>
      <c r="CL190" s="550"/>
      <c r="CM190" s="550"/>
      <c r="CN190" s="550"/>
      <c r="CO190" s="550"/>
      <c r="CP190" s="550"/>
      <c r="CQ190" s="550"/>
      <c r="CR190" s="550"/>
      <c r="CS190" s="550"/>
      <c r="CT190" s="550"/>
      <c r="CU190" s="550"/>
      <c r="CV190" s="550"/>
      <c r="CW190" s="550"/>
    </row>
    <row r="191" spans="1:101" x14ac:dyDescent="0.2">
      <c r="A191" s="344">
        <f>+SUBTOTAL(3,$E$8:$E191)</f>
        <v>184</v>
      </c>
      <c r="B191" s="555">
        <v>45505</v>
      </c>
      <c r="C191" s="344" t="s">
        <v>96</v>
      </c>
      <c r="D191" s="344" t="str">
        <f>+VLOOKUP(C191,'Visual chart Edit'!$B$7:$C$491,2,FALSE)</f>
        <v>DA+3</v>
      </c>
      <c r="E191" s="344" t="s">
        <v>32</v>
      </c>
      <c r="F191" s="551">
        <v>45523</v>
      </c>
      <c r="G191" s="551">
        <v>45527</v>
      </c>
      <c r="H191" s="552" t="s">
        <v>878</v>
      </c>
      <c r="I191" s="553" t="s">
        <v>1024</v>
      </c>
      <c r="J191" s="554">
        <f t="shared" si="2"/>
        <v>4</v>
      </c>
      <c r="K191" s="550"/>
      <c r="L191" s="550"/>
      <c r="M191" s="550"/>
      <c r="N191" s="550"/>
      <c r="O191" s="550"/>
      <c r="P191" s="550"/>
      <c r="Q191" s="550"/>
      <c r="R191" s="550"/>
      <c r="S191" s="550"/>
      <c r="T191" s="550"/>
      <c r="U191" s="550"/>
      <c r="V191" s="550"/>
      <c r="W191" s="550"/>
      <c r="X191" s="550"/>
      <c r="Y191" s="550"/>
      <c r="Z191" s="550"/>
      <c r="AA191" s="550"/>
      <c r="AB191" s="550"/>
      <c r="AC191" s="550"/>
      <c r="AD191" s="550"/>
      <c r="AE191" s="550"/>
      <c r="AF191" s="550"/>
      <c r="AG191" s="550"/>
      <c r="AH191" s="550"/>
      <c r="AI191" s="550"/>
      <c r="AJ191" s="550"/>
      <c r="AK191" s="550"/>
      <c r="AL191" s="550"/>
      <c r="AM191" s="550"/>
      <c r="AN191" s="550"/>
      <c r="AO191" s="550"/>
      <c r="AP191" s="550"/>
      <c r="AQ191" s="550"/>
      <c r="AR191" s="550"/>
      <c r="AS191" s="550"/>
      <c r="AT191" s="550"/>
      <c r="AU191" s="550"/>
      <c r="AV191" s="550"/>
      <c r="AW191" s="550"/>
      <c r="AX191" s="550"/>
      <c r="AY191" s="550"/>
      <c r="AZ191" s="550"/>
      <c r="BA191" s="550"/>
      <c r="BB191" s="550"/>
      <c r="BC191" s="550"/>
      <c r="BD191" s="550"/>
      <c r="BE191" s="550"/>
      <c r="BF191" s="550"/>
      <c r="BG191" s="550"/>
      <c r="BH191" s="550"/>
      <c r="BI191" s="550"/>
      <c r="BJ191" s="550"/>
      <c r="BK191" s="550"/>
      <c r="BL191" s="550"/>
      <c r="BM191" s="550"/>
      <c r="BN191" s="550"/>
      <c r="BO191" s="550"/>
      <c r="BP191" s="550"/>
      <c r="BQ191" s="550"/>
      <c r="BR191" s="550"/>
      <c r="BS191" s="550"/>
      <c r="BT191" s="550"/>
      <c r="BU191" s="550"/>
      <c r="BV191" s="550"/>
      <c r="BW191" s="550"/>
      <c r="BX191" s="550"/>
      <c r="BY191" s="550"/>
      <c r="BZ191" s="550"/>
      <c r="CA191" s="550"/>
      <c r="CB191" s="550"/>
      <c r="CC191" s="550"/>
      <c r="CD191" s="550"/>
      <c r="CE191" s="550"/>
      <c r="CF191" s="550"/>
      <c r="CG191" s="550"/>
      <c r="CH191" s="550"/>
      <c r="CI191" s="550"/>
      <c r="CJ191" s="550"/>
      <c r="CK191" s="550"/>
      <c r="CL191" s="550"/>
      <c r="CM191" s="550"/>
      <c r="CN191" s="550"/>
      <c r="CO191" s="550"/>
      <c r="CP191" s="550"/>
      <c r="CQ191" s="550"/>
      <c r="CR191" s="550"/>
      <c r="CS191" s="550"/>
      <c r="CT191" s="550"/>
      <c r="CU191" s="550"/>
      <c r="CV191" s="550"/>
      <c r="CW191" s="550"/>
    </row>
    <row r="192" spans="1:101" x14ac:dyDescent="0.2">
      <c r="A192" s="344">
        <f>+SUBTOTAL(3,$E$8:$E192)</f>
        <v>185</v>
      </c>
      <c r="B192" s="555">
        <v>45505</v>
      </c>
      <c r="C192" s="344" t="s">
        <v>501</v>
      </c>
      <c r="D192" s="344" t="str">
        <f>+VLOOKUP(C192,'Visual chart Edit'!$B$7:$C$491,2,FALSE)</f>
        <v>DA+0</v>
      </c>
      <c r="E192" s="344" t="s">
        <v>276</v>
      </c>
      <c r="F192" s="551">
        <v>45518</v>
      </c>
      <c r="G192" s="551">
        <v>45528</v>
      </c>
      <c r="H192" s="552" t="s">
        <v>591</v>
      </c>
      <c r="I192" s="553" t="s">
        <v>237</v>
      </c>
      <c r="J192" s="554">
        <f t="shared" si="2"/>
        <v>10</v>
      </c>
      <c r="K192" s="550"/>
      <c r="L192" s="550"/>
      <c r="M192" s="550"/>
      <c r="N192" s="550"/>
      <c r="O192" s="550"/>
      <c r="P192" s="550"/>
      <c r="Q192" s="550"/>
      <c r="R192" s="550"/>
      <c r="S192" s="550"/>
      <c r="T192" s="550"/>
      <c r="U192" s="550"/>
      <c r="V192" s="550"/>
      <c r="W192" s="550"/>
      <c r="X192" s="550"/>
      <c r="Y192" s="550"/>
      <c r="Z192" s="550"/>
      <c r="AA192" s="550"/>
      <c r="AB192" s="550"/>
      <c r="AC192" s="550"/>
      <c r="AD192" s="550"/>
      <c r="AE192" s="550"/>
      <c r="AF192" s="550"/>
      <c r="AG192" s="550"/>
      <c r="AH192" s="550"/>
      <c r="AI192" s="550"/>
      <c r="AJ192" s="550"/>
      <c r="AK192" s="550"/>
      <c r="AL192" s="550"/>
      <c r="AM192" s="550"/>
      <c r="AN192" s="550"/>
      <c r="AO192" s="550"/>
      <c r="AP192" s="550"/>
      <c r="AQ192" s="550"/>
      <c r="AR192" s="550"/>
      <c r="AS192" s="550"/>
      <c r="AT192" s="550"/>
      <c r="AU192" s="550"/>
      <c r="AV192" s="550"/>
      <c r="AW192" s="550"/>
      <c r="AX192" s="550"/>
      <c r="AY192" s="550"/>
      <c r="AZ192" s="550"/>
      <c r="BA192" s="550"/>
      <c r="BB192" s="550"/>
      <c r="BC192" s="550"/>
      <c r="BD192" s="550"/>
      <c r="BE192" s="550"/>
      <c r="BF192" s="550"/>
      <c r="BG192" s="550"/>
      <c r="BH192" s="550"/>
      <c r="BI192" s="550"/>
      <c r="BJ192" s="550"/>
      <c r="BK192" s="550"/>
      <c r="BL192" s="550"/>
      <c r="BM192" s="550"/>
      <c r="BN192" s="550"/>
      <c r="BO192" s="550"/>
      <c r="BP192" s="550"/>
      <c r="BQ192" s="550"/>
      <c r="BR192" s="550"/>
      <c r="BS192" s="550"/>
      <c r="BT192" s="550"/>
      <c r="BU192" s="550"/>
      <c r="BV192" s="550"/>
      <c r="BW192" s="550"/>
      <c r="BX192" s="550"/>
      <c r="BY192" s="550"/>
      <c r="BZ192" s="550"/>
      <c r="CA192" s="550"/>
      <c r="CB192" s="550"/>
      <c r="CC192" s="550"/>
      <c r="CD192" s="550"/>
      <c r="CE192" s="550"/>
      <c r="CF192" s="550"/>
      <c r="CG192" s="550"/>
      <c r="CH192" s="550"/>
      <c r="CI192" s="550"/>
      <c r="CJ192" s="550"/>
      <c r="CK192" s="550"/>
      <c r="CL192" s="550"/>
      <c r="CM192" s="550"/>
      <c r="CN192" s="550"/>
      <c r="CO192" s="550"/>
      <c r="CP192" s="550"/>
      <c r="CQ192" s="550"/>
      <c r="CR192" s="550"/>
      <c r="CS192" s="550"/>
      <c r="CT192" s="550"/>
      <c r="CU192" s="550"/>
      <c r="CV192" s="550"/>
      <c r="CW192" s="550"/>
    </row>
    <row r="193" spans="1:101" x14ac:dyDescent="0.2">
      <c r="A193" s="344">
        <f>+SUBTOTAL(3,$E$8:$E193)</f>
        <v>186</v>
      </c>
      <c r="B193" s="555">
        <v>45505</v>
      </c>
      <c r="C193" s="344" t="s">
        <v>171</v>
      </c>
      <c r="D193" s="344" t="str">
        <f>+VLOOKUP(C193,'Visual chart Edit'!$B$7:$C$491,2,FALSE)</f>
        <v>DB1+0</v>
      </c>
      <c r="E193" s="344" t="s">
        <v>276</v>
      </c>
      <c r="F193" s="551">
        <v>45516</v>
      </c>
      <c r="G193" s="551">
        <v>45529</v>
      </c>
      <c r="H193" s="552" t="s">
        <v>1011</v>
      </c>
      <c r="I193" s="553" t="s">
        <v>388</v>
      </c>
      <c r="J193" s="554">
        <f t="shared" si="2"/>
        <v>13</v>
      </c>
      <c r="K193" s="550"/>
      <c r="L193" s="550"/>
      <c r="M193" s="550"/>
      <c r="N193" s="550"/>
      <c r="O193" s="550"/>
      <c r="P193" s="550"/>
      <c r="Q193" s="550"/>
      <c r="R193" s="550"/>
      <c r="S193" s="550"/>
      <c r="T193" s="550"/>
      <c r="U193" s="550"/>
      <c r="V193" s="550"/>
      <c r="W193" s="550"/>
      <c r="X193" s="550"/>
      <c r="Y193" s="550"/>
      <c r="Z193" s="550"/>
      <c r="AA193" s="550"/>
      <c r="AB193" s="550"/>
      <c r="AC193" s="550"/>
      <c r="AD193" s="550"/>
      <c r="AE193" s="550"/>
      <c r="AF193" s="550"/>
      <c r="AG193" s="550"/>
      <c r="AH193" s="550"/>
      <c r="AI193" s="550"/>
      <c r="AJ193" s="550"/>
      <c r="AK193" s="550"/>
      <c r="AL193" s="550"/>
      <c r="AM193" s="550"/>
      <c r="AN193" s="550"/>
      <c r="AO193" s="550"/>
      <c r="AP193" s="550"/>
      <c r="AQ193" s="550"/>
      <c r="AR193" s="550"/>
      <c r="AS193" s="550"/>
      <c r="AT193" s="550"/>
      <c r="AU193" s="550"/>
      <c r="AV193" s="550"/>
      <c r="AW193" s="550"/>
      <c r="AX193" s="550"/>
      <c r="AY193" s="550"/>
      <c r="AZ193" s="550"/>
      <c r="BA193" s="550"/>
      <c r="BB193" s="550"/>
      <c r="BC193" s="550"/>
      <c r="BD193" s="550"/>
      <c r="BE193" s="550"/>
      <c r="BF193" s="550"/>
      <c r="BG193" s="550"/>
      <c r="BH193" s="550"/>
      <c r="BI193" s="550"/>
      <c r="BJ193" s="550"/>
      <c r="BK193" s="550"/>
      <c r="BL193" s="550"/>
      <c r="BM193" s="550"/>
      <c r="BN193" s="550"/>
      <c r="BO193" s="550"/>
      <c r="BP193" s="550"/>
      <c r="BQ193" s="550"/>
      <c r="BR193" s="550"/>
      <c r="BS193" s="550"/>
      <c r="BT193" s="550"/>
      <c r="BU193" s="550"/>
      <c r="BV193" s="550"/>
      <c r="BW193" s="550"/>
      <c r="BX193" s="550"/>
      <c r="BY193" s="550"/>
      <c r="BZ193" s="550"/>
      <c r="CA193" s="550"/>
      <c r="CB193" s="550"/>
      <c r="CC193" s="550"/>
      <c r="CD193" s="550"/>
      <c r="CE193" s="550"/>
      <c r="CF193" s="550"/>
      <c r="CG193" s="550"/>
      <c r="CH193" s="550"/>
      <c r="CI193" s="550"/>
      <c r="CJ193" s="550"/>
      <c r="CK193" s="550"/>
      <c r="CL193" s="550"/>
      <c r="CM193" s="550"/>
      <c r="CN193" s="550"/>
      <c r="CO193" s="550"/>
      <c r="CP193" s="550"/>
      <c r="CQ193" s="550"/>
      <c r="CR193" s="550"/>
      <c r="CS193" s="550"/>
      <c r="CT193" s="550"/>
      <c r="CU193" s="550"/>
      <c r="CV193" s="550"/>
      <c r="CW193" s="550"/>
    </row>
    <row r="194" spans="1:101" x14ac:dyDescent="0.2">
      <c r="A194" s="344">
        <f>+SUBTOTAL(3,$E$8:$E194)</f>
        <v>187</v>
      </c>
      <c r="B194" s="555">
        <v>45505</v>
      </c>
      <c r="C194" s="344" t="s">
        <v>704</v>
      </c>
      <c r="D194" s="344" t="str">
        <f>+VLOOKUP(C194,'Visual chart Edit'!$B$7:$C$491,2,FALSE)</f>
        <v>DA+9</v>
      </c>
      <c r="E194" s="344" t="s">
        <v>143</v>
      </c>
      <c r="F194" s="551">
        <v>45518</v>
      </c>
      <c r="G194" s="551">
        <v>45532</v>
      </c>
      <c r="H194" s="552" t="s">
        <v>879</v>
      </c>
      <c r="I194" s="553" t="s">
        <v>1024</v>
      </c>
      <c r="J194" s="554">
        <f t="shared" si="2"/>
        <v>14</v>
      </c>
      <c r="K194" s="550"/>
      <c r="L194" s="550"/>
      <c r="M194" s="550"/>
      <c r="N194" s="550"/>
      <c r="O194" s="550"/>
      <c r="P194" s="550"/>
      <c r="Q194" s="550"/>
      <c r="R194" s="550"/>
      <c r="S194" s="550"/>
      <c r="T194" s="550"/>
      <c r="U194" s="550"/>
      <c r="V194" s="550"/>
      <c r="W194" s="550"/>
      <c r="X194" s="550"/>
      <c r="Y194" s="550"/>
      <c r="Z194" s="550"/>
      <c r="AA194" s="550"/>
      <c r="AB194" s="550"/>
      <c r="AC194" s="550"/>
      <c r="AD194" s="550"/>
      <c r="AE194" s="550"/>
      <c r="AF194" s="550"/>
      <c r="AG194" s="550"/>
      <c r="AH194" s="550"/>
      <c r="AI194" s="550"/>
      <c r="AJ194" s="550"/>
      <c r="AK194" s="550"/>
      <c r="AL194" s="550"/>
      <c r="AM194" s="550"/>
      <c r="AN194" s="550"/>
      <c r="AO194" s="550"/>
      <c r="AP194" s="550"/>
      <c r="AQ194" s="550"/>
      <c r="AR194" s="550"/>
      <c r="AS194" s="550"/>
      <c r="AT194" s="550"/>
      <c r="AU194" s="550"/>
      <c r="AV194" s="550"/>
      <c r="AW194" s="550"/>
      <c r="AX194" s="550"/>
      <c r="AY194" s="550"/>
      <c r="AZ194" s="550"/>
      <c r="BA194" s="550"/>
      <c r="BB194" s="550"/>
      <c r="BC194" s="550"/>
      <c r="BD194" s="550"/>
      <c r="BE194" s="550"/>
      <c r="BF194" s="550"/>
      <c r="BG194" s="550"/>
      <c r="BH194" s="550"/>
      <c r="BI194" s="550"/>
      <c r="BJ194" s="550"/>
      <c r="BK194" s="550"/>
      <c r="BL194" s="550"/>
      <c r="BM194" s="550"/>
      <c r="BN194" s="550"/>
      <c r="BO194" s="550"/>
      <c r="BP194" s="550"/>
      <c r="BQ194" s="550"/>
      <c r="BR194" s="550"/>
      <c r="BS194" s="550"/>
      <c r="BT194" s="550"/>
      <c r="BU194" s="550"/>
      <c r="BV194" s="550"/>
      <c r="BW194" s="550"/>
      <c r="BX194" s="550"/>
      <c r="BY194" s="550"/>
      <c r="BZ194" s="550"/>
      <c r="CA194" s="550"/>
      <c r="CB194" s="550"/>
      <c r="CC194" s="550"/>
      <c r="CD194" s="550"/>
      <c r="CE194" s="550"/>
      <c r="CF194" s="550"/>
      <c r="CG194" s="550"/>
      <c r="CH194" s="550"/>
      <c r="CI194" s="550"/>
      <c r="CJ194" s="550"/>
      <c r="CK194" s="550"/>
      <c r="CL194" s="550"/>
      <c r="CM194" s="550"/>
      <c r="CN194" s="550"/>
      <c r="CO194" s="550"/>
      <c r="CP194" s="550"/>
      <c r="CQ194" s="550"/>
      <c r="CR194" s="550"/>
      <c r="CS194" s="550"/>
      <c r="CT194" s="550"/>
      <c r="CU194" s="550"/>
      <c r="CV194" s="550"/>
      <c r="CW194" s="550"/>
    </row>
    <row r="195" spans="1:101" x14ac:dyDescent="0.2">
      <c r="A195" s="344">
        <f>+SUBTOTAL(3,$E$8:$E195)</f>
        <v>188</v>
      </c>
      <c r="B195" s="555">
        <v>45505</v>
      </c>
      <c r="C195" s="344" t="s">
        <v>731</v>
      </c>
      <c r="D195" s="344" t="str">
        <f>+VLOOKUP(C195,'Visual chart Edit'!$B$7:$C$491,2,FALSE)</f>
        <v>DA+3</v>
      </c>
      <c r="E195" s="344" t="s">
        <v>143</v>
      </c>
      <c r="F195" s="551">
        <v>45530</v>
      </c>
      <c r="G195" s="551">
        <v>45533</v>
      </c>
      <c r="H195" s="552" t="s">
        <v>878</v>
      </c>
      <c r="I195" s="553" t="s">
        <v>1024</v>
      </c>
      <c r="J195" s="554">
        <f t="shared" si="2"/>
        <v>3</v>
      </c>
      <c r="K195" s="550"/>
      <c r="L195" s="550"/>
      <c r="M195" s="550"/>
      <c r="N195" s="550"/>
      <c r="O195" s="550"/>
      <c r="P195" s="550"/>
      <c r="Q195" s="550"/>
      <c r="R195" s="550"/>
      <c r="S195" s="550"/>
      <c r="T195" s="550"/>
      <c r="U195" s="550"/>
      <c r="V195" s="550"/>
      <c r="W195" s="550"/>
      <c r="X195" s="550"/>
      <c r="Y195" s="550"/>
      <c r="Z195" s="550"/>
      <c r="AA195" s="550"/>
      <c r="AB195" s="550"/>
      <c r="AC195" s="550"/>
      <c r="AD195" s="550"/>
      <c r="AE195" s="550"/>
      <c r="AF195" s="550"/>
      <c r="AG195" s="550"/>
      <c r="AH195" s="550"/>
      <c r="AI195" s="550"/>
      <c r="AJ195" s="550"/>
      <c r="AK195" s="550"/>
      <c r="AL195" s="550"/>
      <c r="AM195" s="550"/>
      <c r="AN195" s="550"/>
      <c r="AO195" s="550"/>
      <c r="AP195" s="550"/>
      <c r="AQ195" s="550"/>
      <c r="AR195" s="550"/>
      <c r="AS195" s="550"/>
      <c r="AT195" s="550"/>
      <c r="AU195" s="550"/>
      <c r="AV195" s="550"/>
      <c r="AW195" s="550"/>
      <c r="AX195" s="550"/>
      <c r="AY195" s="550"/>
      <c r="AZ195" s="550"/>
      <c r="BA195" s="550"/>
      <c r="BB195" s="550"/>
      <c r="BC195" s="550"/>
      <c r="BD195" s="550"/>
      <c r="BE195" s="550"/>
      <c r="BF195" s="550"/>
      <c r="BG195" s="550"/>
      <c r="BH195" s="550"/>
      <c r="BI195" s="550"/>
      <c r="BJ195" s="550"/>
      <c r="BK195" s="550"/>
      <c r="BL195" s="550"/>
      <c r="BM195" s="550"/>
      <c r="BN195" s="550"/>
      <c r="BO195" s="550"/>
      <c r="BP195" s="550"/>
      <c r="BQ195" s="550"/>
      <c r="BR195" s="550"/>
      <c r="BS195" s="550"/>
      <c r="BT195" s="550"/>
      <c r="BU195" s="550"/>
      <c r="BV195" s="550"/>
      <c r="BW195" s="550"/>
      <c r="BX195" s="550"/>
      <c r="BY195" s="550"/>
      <c r="BZ195" s="550"/>
      <c r="CA195" s="550"/>
      <c r="CB195" s="550"/>
      <c r="CC195" s="550"/>
      <c r="CD195" s="550"/>
      <c r="CE195" s="550"/>
      <c r="CF195" s="550"/>
      <c r="CG195" s="550"/>
      <c r="CH195" s="550"/>
      <c r="CI195" s="550"/>
      <c r="CJ195" s="550"/>
      <c r="CK195" s="550"/>
      <c r="CL195" s="550"/>
      <c r="CM195" s="550"/>
      <c r="CN195" s="550"/>
      <c r="CO195" s="550"/>
      <c r="CP195" s="550"/>
      <c r="CQ195" s="550"/>
      <c r="CR195" s="550"/>
      <c r="CS195" s="550"/>
      <c r="CT195" s="550"/>
      <c r="CU195" s="550"/>
      <c r="CV195" s="550"/>
      <c r="CW195" s="550"/>
    </row>
    <row r="196" spans="1:101" x14ac:dyDescent="0.2">
      <c r="A196" s="344">
        <f>+SUBTOTAL(3,$E$8:$E196)</f>
        <v>189</v>
      </c>
      <c r="B196" s="555">
        <v>45505</v>
      </c>
      <c r="C196" s="344" t="s">
        <v>504</v>
      </c>
      <c r="D196" s="344" t="str">
        <f>+VLOOKUP(C196,'Visual chart Edit'!$B$7:$C$491,2,FALSE)</f>
        <v>DA+3</v>
      </c>
      <c r="E196" s="344" t="s">
        <v>276</v>
      </c>
      <c r="F196" s="551">
        <v>45528</v>
      </c>
      <c r="G196" s="551">
        <v>45534</v>
      </c>
      <c r="H196" s="552" t="s">
        <v>582</v>
      </c>
      <c r="I196" s="553" t="s">
        <v>237</v>
      </c>
      <c r="J196" s="554">
        <f t="shared" si="2"/>
        <v>6</v>
      </c>
      <c r="K196" s="550"/>
      <c r="L196" s="550"/>
      <c r="M196" s="550"/>
      <c r="N196" s="550"/>
      <c r="O196" s="550"/>
      <c r="P196" s="550"/>
      <c r="Q196" s="550"/>
      <c r="R196" s="550"/>
      <c r="S196" s="550"/>
      <c r="T196" s="550"/>
      <c r="U196" s="550"/>
      <c r="V196" s="550"/>
      <c r="W196" s="550"/>
      <c r="X196" s="550"/>
      <c r="Y196" s="550"/>
      <c r="Z196" s="550"/>
      <c r="AA196" s="550"/>
      <c r="AB196" s="550"/>
      <c r="AC196" s="550"/>
      <c r="AD196" s="550"/>
      <c r="AE196" s="550"/>
      <c r="AF196" s="550"/>
      <c r="AG196" s="550"/>
      <c r="AH196" s="550"/>
      <c r="AI196" s="550"/>
      <c r="AJ196" s="550"/>
      <c r="AK196" s="550"/>
      <c r="AL196" s="550"/>
      <c r="AM196" s="550"/>
      <c r="AN196" s="550"/>
      <c r="AO196" s="550"/>
      <c r="AP196" s="550"/>
      <c r="AQ196" s="550"/>
      <c r="AR196" s="550"/>
      <c r="AS196" s="550"/>
      <c r="AT196" s="550"/>
      <c r="AU196" s="550"/>
      <c r="AV196" s="550"/>
      <c r="AW196" s="550"/>
      <c r="AX196" s="550"/>
      <c r="AY196" s="550"/>
      <c r="AZ196" s="550"/>
      <c r="BA196" s="550"/>
      <c r="BB196" s="550"/>
      <c r="BC196" s="550"/>
      <c r="BD196" s="550"/>
      <c r="BE196" s="550"/>
      <c r="BF196" s="550"/>
      <c r="BG196" s="550"/>
      <c r="BH196" s="550"/>
      <c r="BI196" s="550"/>
      <c r="BJ196" s="550"/>
      <c r="BK196" s="550"/>
      <c r="BL196" s="550"/>
      <c r="BM196" s="550"/>
      <c r="BN196" s="550"/>
      <c r="BO196" s="550"/>
      <c r="BP196" s="550"/>
      <c r="BQ196" s="550"/>
      <c r="BR196" s="550"/>
      <c r="BS196" s="550"/>
      <c r="BT196" s="550"/>
      <c r="BU196" s="550"/>
      <c r="BV196" s="550"/>
      <c r="BW196" s="550"/>
      <c r="BX196" s="550"/>
      <c r="BY196" s="550"/>
      <c r="BZ196" s="550"/>
      <c r="CA196" s="550"/>
      <c r="CB196" s="550"/>
      <c r="CC196" s="550"/>
      <c r="CD196" s="550"/>
      <c r="CE196" s="550"/>
      <c r="CF196" s="550"/>
      <c r="CG196" s="550"/>
      <c r="CH196" s="550"/>
      <c r="CI196" s="550"/>
      <c r="CJ196" s="550"/>
      <c r="CK196" s="550"/>
      <c r="CL196" s="550"/>
      <c r="CM196" s="550"/>
      <c r="CN196" s="550"/>
      <c r="CO196" s="550"/>
      <c r="CP196" s="550"/>
      <c r="CQ196" s="550"/>
      <c r="CR196" s="550"/>
      <c r="CS196" s="550"/>
      <c r="CT196" s="550"/>
      <c r="CU196" s="550"/>
      <c r="CV196" s="550"/>
      <c r="CW196" s="550"/>
    </row>
    <row r="197" spans="1:101" x14ac:dyDescent="0.2">
      <c r="A197" s="344">
        <f>+SUBTOTAL(3,$E$8:$E197)</f>
        <v>190</v>
      </c>
      <c r="B197" s="555">
        <v>45505</v>
      </c>
      <c r="C197" s="344" t="s">
        <v>571</v>
      </c>
      <c r="D197" s="344" t="str">
        <f>+VLOOKUP(C197,'Visual chart Edit'!$B$7:$C$491,2,FALSE)</f>
        <v>DA+3</v>
      </c>
      <c r="E197" s="344" t="s">
        <v>143</v>
      </c>
      <c r="F197" s="551">
        <v>45528</v>
      </c>
      <c r="G197" s="551">
        <v>45534</v>
      </c>
      <c r="H197" s="552" t="s">
        <v>251</v>
      </c>
      <c r="I197" s="553" t="s">
        <v>222</v>
      </c>
      <c r="J197" s="554">
        <f t="shared" si="2"/>
        <v>6</v>
      </c>
      <c r="K197" s="550"/>
      <c r="L197" s="550"/>
      <c r="M197" s="550"/>
      <c r="N197" s="550"/>
      <c r="O197" s="550"/>
      <c r="P197" s="550"/>
      <c r="Q197" s="550"/>
      <c r="R197" s="550"/>
      <c r="S197" s="550"/>
      <c r="T197" s="550"/>
      <c r="U197" s="550"/>
      <c r="V197" s="550"/>
      <c r="W197" s="550"/>
      <c r="X197" s="550"/>
      <c r="Y197" s="550"/>
      <c r="Z197" s="550"/>
      <c r="AA197" s="550"/>
      <c r="AB197" s="550"/>
      <c r="AC197" s="550"/>
      <c r="AD197" s="550"/>
      <c r="AE197" s="550"/>
      <c r="AF197" s="550"/>
      <c r="AG197" s="550"/>
      <c r="AH197" s="550"/>
      <c r="AI197" s="550"/>
      <c r="AJ197" s="550"/>
      <c r="AK197" s="550"/>
      <c r="AL197" s="550"/>
      <c r="AM197" s="550"/>
      <c r="AN197" s="550"/>
      <c r="AO197" s="550"/>
      <c r="AP197" s="550"/>
      <c r="AQ197" s="550"/>
      <c r="AR197" s="550"/>
      <c r="AS197" s="550"/>
      <c r="AT197" s="550"/>
      <c r="AU197" s="550"/>
      <c r="AV197" s="550"/>
      <c r="AW197" s="550"/>
      <c r="AX197" s="550"/>
      <c r="AY197" s="550"/>
      <c r="AZ197" s="550"/>
      <c r="BA197" s="550"/>
      <c r="BB197" s="550"/>
      <c r="BC197" s="550"/>
      <c r="BD197" s="550"/>
      <c r="BE197" s="550"/>
      <c r="BF197" s="550"/>
      <c r="BG197" s="550"/>
      <c r="BH197" s="550"/>
      <c r="BI197" s="550"/>
      <c r="BJ197" s="550"/>
      <c r="BK197" s="550"/>
      <c r="BL197" s="550"/>
      <c r="BM197" s="550"/>
      <c r="BN197" s="550"/>
      <c r="BO197" s="550"/>
      <c r="BP197" s="550"/>
      <c r="BQ197" s="550"/>
      <c r="BR197" s="550"/>
      <c r="BS197" s="550"/>
      <c r="BT197" s="550"/>
      <c r="BU197" s="550"/>
      <c r="BV197" s="550"/>
      <c r="BW197" s="550"/>
      <c r="BX197" s="550"/>
      <c r="BY197" s="550"/>
      <c r="BZ197" s="550"/>
      <c r="CA197" s="550"/>
      <c r="CB197" s="550"/>
      <c r="CC197" s="550"/>
      <c r="CD197" s="550"/>
      <c r="CE197" s="550"/>
      <c r="CF197" s="550"/>
      <c r="CG197" s="550"/>
      <c r="CH197" s="550"/>
      <c r="CI197" s="550"/>
      <c r="CJ197" s="550"/>
      <c r="CK197" s="550"/>
      <c r="CL197" s="550"/>
      <c r="CM197" s="550"/>
      <c r="CN197" s="550"/>
      <c r="CO197" s="550"/>
      <c r="CP197" s="550"/>
      <c r="CQ197" s="550"/>
      <c r="CR197" s="550"/>
      <c r="CS197" s="550"/>
      <c r="CT197" s="550"/>
      <c r="CU197" s="550"/>
      <c r="CV197" s="550"/>
      <c r="CW197" s="550"/>
    </row>
    <row r="198" spans="1:101" x14ac:dyDescent="0.2">
      <c r="A198" s="344">
        <f>+SUBTOTAL(3,$E$8:$E198)</f>
        <v>191</v>
      </c>
      <c r="B198" s="555">
        <v>45505</v>
      </c>
      <c r="C198" s="344" t="s">
        <v>502</v>
      </c>
      <c r="D198" s="344" t="str">
        <f>+VLOOKUP(C198,'Visual chart Edit'!$B$7:$C$491,2,FALSE)</f>
        <v>DA+3</v>
      </c>
      <c r="E198" s="344" t="s">
        <v>276</v>
      </c>
      <c r="F198" s="551">
        <v>45532</v>
      </c>
      <c r="G198" s="551">
        <v>45535</v>
      </c>
      <c r="H198" s="552" t="s">
        <v>360</v>
      </c>
      <c r="I198" s="553" t="s">
        <v>237</v>
      </c>
      <c r="J198" s="554">
        <f t="shared" si="2"/>
        <v>3</v>
      </c>
      <c r="K198" s="550"/>
      <c r="L198" s="550"/>
      <c r="M198" s="550"/>
      <c r="N198" s="550"/>
      <c r="O198" s="550"/>
      <c r="P198" s="550"/>
      <c r="Q198" s="550"/>
      <c r="R198" s="550"/>
      <c r="S198" s="550"/>
      <c r="T198" s="550"/>
      <c r="U198" s="550"/>
      <c r="V198" s="550"/>
      <c r="W198" s="550"/>
      <c r="X198" s="550"/>
      <c r="Y198" s="550"/>
      <c r="Z198" s="550"/>
      <c r="AA198" s="550"/>
      <c r="AB198" s="550"/>
      <c r="AC198" s="550"/>
      <c r="AD198" s="550"/>
      <c r="AE198" s="550"/>
      <c r="AF198" s="550"/>
      <c r="AG198" s="550"/>
      <c r="AH198" s="550"/>
      <c r="AI198" s="550"/>
      <c r="AJ198" s="550"/>
      <c r="AK198" s="550"/>
      <c r="AL198" s="550"/>
      <c r="AM198" s="550"/>
      <c r="AN198" s="550"/>
      <c r="AO198" s="550"/>
      <c r="AP198" s="550"/>
      <c r="AQ198" s="550"/>
      <c r="AR198" s="550"/>
      <c r="AS198" s="550"/>
      <c r="AT198" s="550"/>
      <c r="AU198" s="550"/>
      <c r="AV198" s="550"/>
      <c r="AW198" s="550"/>
      <c r="AX198" s="550"/>
      <c r="AY198" s="550"/>
      <c r="AZ198" s="550"/>
      <c r="BA198" s="550"/>
      <c r="BB198" s="550"/>
      <c r="BC198" s="550"/>
      <c r="BD198" s="550"/>
      <c r="BE198" s="550"/>
      <c r="BF198" s="550"/>
      <c r="BG198" s="550"/>
      <c r="BH198" s="550"/>
      <c r="BI198" s="550"/>
      <c r="BJ198" s="550"/>
      <c r="BK198" s="550"/>
      <c r="BL198" s="550"/>
      <c r="BM198" s="550"/>
      <c r="BN198" s="550"/>
      <c r="BO198" s="550"/>
      <c r="BP198" s="550"/>
      <c r="BQ198" s="550"/>
      <c r="BR198" s="550"/>
      <c r="BS198" s="550"/>
      <c r="BT198" s="550"/>
      <c r="BU198" s="550"/>
      <c r="BV198" s="550"/>
      <c r="BW198" s="550"/>
      <c r="BX198" s="550"/>
      <c r="BY198" s="550"/>
      <c r="BZ198" s="550"/>
      <c r="CA198" s="550"/>
      <c r="CB198" s="550"/>
      <c r="CC198" s="550"/>
      <c r="CD198" s="550"/>
      <c r="CE198" s="550"/>
      <c r="CF198" s="550"/>
      <c r="CG198" s="550"/>
      <c r="CH198" s="550"/>
      <c r="CI198" s="550"/>
      <c r="CJ198" s="550"/>
      <c r="CK198" s="550"/>
      <c r="CL198" s="550"/>
      <c r="CM198" s="550"/>
      <c r="CN198" s="550"/>
      <c r="CO198" s="550"/>
      <c r="CP198" s="550"/>
      <c r="CQ198" s="550"/>
      <c r="CR198" s="550"/>
      <c r="CS198" s="550"/>
      <c r="CT198" s="550"/>
      <c r="CU198" s="550"/>
      <c r="CV198" s="550"/>
      <c r="CW198" s="550"/>
    </row>
    <row r="199" spans="1:101" x14ac:dyDescent="0.2">
      <c r="A199" s="344">
        <f>+SUBTOTAL(3,$E$8:$E199)</f>
        <v>192</v>
      </c>
      <c r="B199" s="555">
        <v>45505</v>
      </c>
      <c r="C199" s="344" t="s">
        <v>514</v>
      </c>
      <c r="D199" s="344" t="str">
        <f>+VLOOKUP(C199,'Visual chart Edit'!$B$7:$C$491,2,FALSE)</f>
        <v>DC2+0</v>
      </c>
      <c r="E199" s="344" t="s">
        <v>276</v>
      </c>
      <c r="F199" s="551">
        <v>45526</v>
      </c>
      <c r="G199" s="551">
        <v>45535</v>
      </c>
      <c r="H199" s="552" t="s">
        <v>394</v>
      </c>
      <c r="I199" s="553" t="s">
        <v>237</v>
      </c>
      <c r="J199" s="554">
        <f t="shared" si="2"/>
        <v>9</v>
      </c>
      <c r="K199" s="550"/>
      <c r="L199" s="550"/>
      <c r="M199" s="550"/>
      <c r="N199" s="550"/>
      <c r="O199" s="550"/>
      <c r="P199" s="550"/>
      <c r="Q199" s="550"/>
      <c r="R199" s="550"/>
      <c r="S199" s="550"/>
      <c r="T199" s="550"/>
      <c r="U199" s="550"/>
      <c r="V199" s="550"/>
      <c r="W199" s="550"/>
      <c r="X199" s="550"/>
      <c r="Y199" s="550"/>
      <c r="Z199" s="550"/>
      <c r="AA199" s="550"/>
      <c r="AB199" s="550"/>
      <c r="AC199" s="550"/>
      <c r="AD199" s="550"/>
      <c r="AE199" s="550"/>
      <c r="AF199" s="550"/>
      <c r="AG199" s="550"/>
      <c r="AH199" s="550"/>
      <c r="AI199" s="550"/>
      <c r="AJ199" s="550"/>
      <c r="AK199" s="550"/>
      <c r="AL199" s="550"/>
      <c r="AM199" s="550"/>
      <c r="AN199" s="550"/>
      <c r="AO199" s="550"/>
      <c r="AP199" s="550"/>
      <c r="AQ199" s="550"/>
      <c r="AR199" s="550"/>
      <c r="AS199" s="550"/>
      <c r="AT199" s="550"/>
      <c r="AU199" s="550"/>
      <c r="AV199" s="550"/>
      <c r="AW199" s="550"/>
      <c r="AX199" s="550"/>
      <c r="AY199" s="550"/>
      <c r="AZ199" s="550"/>
      <c r="BA199" s="550"/>
      <c r="BB199" s="550"/>
      <c r="BC199" s="550"/>
      <c r="BD199" s="550"/>
      <c r="BE199" s="550"/>
      <c r="BF199" s="550"/>
      <c r="BG199" s="550"/>
      <c r="BH199" s="550"/>
      <c r="BI199" s="550"/>
      <c r="BJ199" s="550"/>
      <c r="BK199" s="550"/>
      <c r="BL199" s="550"/>
      <c r="BM199" s="550"/>
      <c r="BN199" s="550"/>
      <c r="BO199" s="550"/>
      <c r="BP199" s="550"/>
      <c r="BQ199" s="550"/>
      <c r="BR199" s="550"/>
      <c r="BS199" s="550"/>
      <c r="BT199" s="550"/>
      <c r="BU199" s="550"/>
      <c r="BV199" s="550"/>
      <c r="BW199" s="550"/>
      <c r="BX199" s="550"/>
      <c r="BY199" s="550"/>
      <c r="BZ199" s="550"/>
      <c r="CA199" s="550"/>
      <c r="CB199" s="550"/>
      <c r="CC199" s="550"/>
      <c r="CD199" s="550"/>
      <c r="CE199" s="550"/>
      <c r="CF199" s="550"/>
      <c r="CG199" s="550"/>
      <c r="CH199" s="550"/>
      <c r="CI199" s="550"/>
      <c r="CJ199" s="550"/>
      <c r="CK199" s="550"/>
      <c r="CL199" s="550"/>
      <c r="CM199" s="550"/>
      <c r="CN199" s="550"/>
      <c r="CO199" s="550"/>
      <c r="CP199" s="550"/>
      <c r="CQ199" s="550"/>
      <c r="CR199" s="550"/>
      <c r="CS199" s="550"/>
      <c r="CT199" s="550"/>
      <c r="CU199" s="550"/>
      <c r="CV199" s="550"/>
      <c r="CW199" s="550"/>
    </row>
    <row r="200" spans="1:101" x14ac:dyDescent="0.2">
      <c r="A200" s="344">
        <f>+SUBTOTAL(3,$E$8:$E200)</f>
        <v>193</v>
      </c>
      <c r="B200" s="555">
        <v>45536</v>
      </c>
      <c r="C200" s="555" t="s">
        <v>481</v>
      </c>
      <c r="D200" s="344" t="str">
        <f>+VLOOKUP(C200,'Visual chart Edit'!$B$7:$C$491,2,FALSE)</f>
        <v>DA+3</v>
      </c>
      <c r="E200" s="344" t="s">
        <v>276</v>
      </c>
      <c r="F200" s="551">
        <v>45526</v>
      </c>
      <c r="G200" s="551">
        <v>45536</v>
      </c>
      <c r="H200" s="552" t="s">
        <v>1011</v>
      </c>
      <c r="I200" s="553" t="s">
        <v>388</v>
      </c>
      <c r="J200" s="554">
        <f t="shared" si="2"/>
        <v>10</v>
      </c>
      <c r="K200" s="550"/>
      <c r="L200" s="550"/>
      <c r="M200" s="550"/>
      <c r="N200" s="550"/>
      <c r="O200" s="550"/>
      <c r="P200" s="550"/>
      <c r="Q200" s="550"/>
      <c r="R200" s="550"/>
      <c r="S200" s="550"/>
      <c r="T200" s="550"/>
      <c r="U200" s="550"/>
      <c r="V200" s="550"/>
      <c r="W200" s="550"/>
      <c r="X200" s="550"/>
      <c r="Y200" s="550"/>
      <c r="Z200" s="550"/>
      <c r="AA200" s="550"/>
      <c r="AB200" s="550"/>
      <c r="AC200" s="550"/>
      <c r="AD200" s="550"/>
      <c r="AE200" s="550"/>
      <c r="AF200" s="550"/>
      <c r="AG200" s="550"/>
      <c r="AH200" s="550"/>
      <c r="AI200" s="550"/>
      <c r="AJ200" s="550"/>
      <c r="AK200" s="550"/>
      <c r="AL200" s="550"/>
      <c r="AM200" s="550"/>
      <c r="AN200" s="550"/>
      <c r="AO200" s="550"/>
      <c r="AP200" s="550"/>
      <c r="AQ200" s="550"/>
      <c r="AR200" s="550"/>
      <c r="AS200" s="550"/>
      <c r="AT200" s="550"/>
      <c r="AU200" s="550"/>
      <c r="AV200" s="550"/>
      <c r="AW200" s="550"/>
      <c r="AX200" s="550"/>
      <c r="AY200" s="550"/>
      <c r="AZ200" s="550"/>
      <c r="BA200" s="550"/>
      <c r="BB200" s="550"/>
      <c r="BC200" s="550"/>
      <c r="BD200" s="550"/>
      <c r="BE200" s="550"/>
      <c r="BF200" s="550"/>
      <c r="BG200" s="550"/>
      <c r="BH200" s="550"/>
      <c r="BI200" s="550"/>
      <c r="BJ200" s="550"/>
      <c r="BK200" s="550"/>
      <c r="BL200" s="550"/>
      <c r="BM200" s="550"/>
      <c r="BN200" s="550"/>
      <c r="BO200" s="550"/>
      <c r="BP200" s="550"/>
      <c r="BQ200" s="550"/>
      <c r="BR200" s="550"/>
      <c r="BS200" s="550"/>
      <c r="BT200" s="550"/>
      <c r="BU200" s="550"/>
      <c r="BV200" s="550"/>
      <c r="BW200" s="550"/>
      <c r="BX200" s="550"/>
      <c r="BY200" s="550"/>
      <c r="BZ200" s="550"/>
      <c r="CA200" s="550"/>
      <c r="CB200" s="550"/>
      <c r="CC200" s="550"/>
      <c r="CD200" s="550"/>
      <c r="CE200" s="550"/>
      <c r="CF200" s="550"/>
      <c r="CG200" s="550"/>
      <c r="CH200" s="550"/>
      <c r="CI200" s="550"/>
      <c r="CJ200" s="550"/>
      <c r="CK200" s="550"/>
      <c r="CL200" s="550"/>
      <c r="CM200" s="550"/>
      <c r="CN200" s="550"/>
      <c r="CO200" s="550"/>
      <c r="CP200" s="550"/>
      <c r="CQ200" s="550"/>
      <c r="CR200" s="550"/>
      <c r="CS200" s="550"/>
      <c r="CT200" s="550"/>
      <c r="CU200" s="550"/>
      <c r="CV200" s="550"/>
      <c r="CW200" s="550"/>
    </row>
    <row r="201" spans="1:101" x14ac:dyDescent="0.2">
      <c r="A201" s="344">
        <f>+SUBTOTAL(3,$E$8:$E201)</f>
        <v>194</v>
      </c>
      <c r="B201" s="555">
        <v>45536</v>
      </c>
      <c r="C201" s="344" t="s">
        <v>515</v>
      </c>
      <c r="D201" s="344" t="str">
        <f>+VLOOKUP(C201,'Visual chart Edit'!$B$7:$C$491,2,FALSE)</f>
        <v>DA+0</v>
      </c>
      <c r="E201" s="344" t="s">
        <v>276</v>
      </c>
      <c r="F201" s="551">
        <v>45533</v>
      </c>
      <c r="G201" s="551">
        <v>45538</v>
      </c>
      <c r="H201" s="552" t="s">
        <v>394</v>
      </c>
      <c r="I201" s="553" t="s">
        <v>237</v>
      </c>
      <c r="J201" s="554">
        <f t="shared" ref="J201:J264" si="3">G201-F201</f>
        <v>5</v>
      </c>
      <c r="K201" s="550"/>
      <c r="L201" s="550"/>
      <c r="M201" s="550"/>
      <c r="N201" s="550"/>
      <c r="O201" s="550"/>
      <c r="P201" s="550"/>
      <c r="Q201" s="550"/>
      <c r="R201" s="550"/>
      <c r="S201" s="550"/>
      <c r="T201" s="550"/>
      <c r="U201" s="550"/>
      <c r="V201" s="550"/>
      <c r="W201" s="550"/>
      <c r="X201" s="550"/>
      <c r="Y201" s="550"/>
      <c r="Z201" s="550"/>
      <c r="AA201" s="550"/>
      <c r="AB201" s="550"/>
      <c r="AC201" s="550"/>
      <c r="AD201" s="550"/>
      <c r="AE201" s="550"/>
      <c r="AF201" s="550"/>
      <c r="AG201" s="550"/>
      <c r="AH201" s="550"/>
      <c r="AI201" s="550"/>
      <c r="AJ201" s="550"/>
      <c r="AK201" s="550"/>
      <c r="AL201" s="550"/>
      <c r="AM201" s="550"/>
      <c r="AN201" s="550"/>
      <c r="AO201" s="550"/>
      <c r="AP201" s="550"/>
      <c r="AQ201" s="550"/>
      <c r="AR201" s="550"/>
      <c r="AS201" s="550"/>
      <c r="AT201" s="550"/>
      <c r="AU201" s="550"/>
      <c r="AV201" s="550"/>
      <c r="AW201" s="550"/>
      <c r="AX201" s="550"/>
      <c r="AY201" s="550"/>
      <c r="AZ201" s="550"/>
      <c r="BA201" s="550"/>
      <c r="BB201" s="550"/>
      <c r="BC201" s="550"/>
      <c r="BD201" s="550"/>
      <c r="BE201" s="550"/>
      <c r="BF201" s="550"/>
      <c r="BG201" s="550"/>
      <c r="BH201" s="550"/>
      <c r="BI201" s="550"/>
      <c r="BJ201" s="550"/>
      <c r="BK201" s="550"/>
      <c r="BL201" s="550"/>
      <c r="BM201" s="550"/>
      <c r="BN201" s="550"/>
      <c r="BO201" s="550"/>
      <c r="BP201" s="550"/>
      <c r="BQ201" s="550"/>
      <c r="BR201" s="550"/>
      <c r="BS201" s="550"/>
      <c r="BT201" s="550"/>
      <c r="BU201" s="550"/>
      <c r="BV201" s="550"/>
      <c r="BW201" s="550"/>
      <c r="BX201" s="550"/>
      <c r="BY201" s="550"/>
      <c r="BZ201" s="550"/>
      <c r="CA201" s="550"/>
      <c r="CB201" s="550"/>
      <c r="CC201" s="550"/>
      <c r="CD201" s="550"/>
      <c r="CE201" s="550"/>
      <c r="CF201" s="550"/>
      <c r="CG201" s="550"/>
      <c r="CH201" s="550"/>
      <c r="CI201" s="550"/>
      <c r="CJ201" s="550"/>
      <c r="CK201" s="550"/>
      <c r="CL201" s="550"/>
      <c r="CM201" s="550"/>
      <c r="CN201" s="550"/>
      <c r="CO201" s="550"/>
      <c r="CP201" s="550"/>
      <c r="CQ201" s="550"/>
      <c r="CR201" s="550"/>
      <c r="CS201" s="550"/>
      <c r="CT201" s="550"/>
      <c r="CU201" s="550"/>
      <c r="CV201" s="550"/>
      <c r="CW201" s="550"/>
    </row>
    <row r="202" spans="1:101" x14ac:dyDescent="0.2">
      <c r="A202" s="344">
        <f>+SUBTOTAL(3,$E$8:$E202)</f>
        <v>195</v>
      </c>
      <c r="B202" s="555">
        <v>45536</v>
      </c>
      <c r="C202" s="344" t="s">
        <v>505</v>
      </c>
      <c r="D202" s="344" t="str">
        <f>+VLOOKUP(C202,'Visual chart Edit'!$B$7:$C$491,2,FALSE)</f>
        <v>DA+6</v>
      </c>
      <c r="E202" s="344" t="s">
        <v>276</v>
      </c>
      <c r="F202" s="551">
        <v>45531</v>
      </c>
      <c r="G202" s="551">
        <v>45538</v>
      </c>
      <c r="H202" s="552" t="s">
        <v>582</v>
      </c>
      <c r="I202" s="553" t="s">
        <v>237</v>
      </c>
      <c r="J202" s="554">
        <f t="shared" si="3"/>
        <v>7</v>
      </c>
      <c r="K202" s="550"/>
      <c r="L202" s="550"/>
      <c r="M202" s="550"/>
      <c r="N202" s="550"/>
      <c r="O202" s="550"/>
      <c r="P202" s="550"/>
      <c r="Q202" s="550"/>
      <c r="R202" s="550"/>
      <c r="S202" s="550"/>
      <c r="T202" s="550"/>
      <c r="U202" s="550"/>
      <c r="V202" s="550"/>
      <c r="W202" s="550"/>
      <c r="X202" s="550"/>
      <c r="Y202" s="550"/>
      <c r="Z202" s="550"/>
      <c r="AA202" s="550"/>
      <c r="AB202" s="550"/>
      <c r="AC202" s="550"/>
      <c r="AD202" s="550"/>
      <c r="AE202" s="550"/>
      <c r="AF202" s="550"/>
      <c r="AG202" s="550"/>
      <c r="AH202" s="550"/>
      <c r="AI202" s="550"/>
      <c r="AJ202" s="550"/>
      <c r="AK202" s="550"/>
      <c r="AL202" s="550"/>
      <c r="AM202" s="550"/>
      <c r="AN202" s="550"/>
      <c r="AO202" s="550"/>
      <c r="AP202" s="550"/>
      <c r="AQ202" s="550"/>
      <c r="AR202" s="550"/>
      <c r="AS202" s="550"/>
      <c r="AT202" s="550"/>
      <c r="AU202" s="550"/>
      <c r="AV202" s="550"/>
      <c r="AW202" s="550"/>
      <c r="AX202" s="550"/>
      <c r="AY202" s="550"/>
      <c r="AZ202" s="550"/>
      <c r="BA202" s="550"/>
      <c r="BB202" s="550"/>
      <c r="BC202" s="550"/>
      <c r="BD202" s="550"/>
      <c r="BE202" s="550"/>
      <c r="BF202" s="550"/>
      <c r="BG202" s="550"/>
      <c r="BH202" s="550"/>
      <c r="BI202" s="550"/>
      <c r="BJ202" s="550"/>
      <c r="BK202" s="550"/>
      <c r="BL202" s="550"/>
      <c r="BM202" s="550"/>
      <c r="BN202" s="550"/>
      <c r="BO202" s="550"/>
      <c r="BP202" s="550"/>
      <c r="BQ202" s="550"/>
      <c r="BR202" s="550"/>
      <c r="BS202" s="550"/>
      <c r="BT202" s="550"/>
      <c r="BU202" s="550"/>
      <c r="BV202" s="550"/>
      <c r="BW202" s="550"/>
      <c r="BX202" s="550"/>
      <c r="BY202" s="550"/>
      <c r="BZ202" s="550"/>
      <c r="CA202" s="550"/>
      <c r="CB202" s="550"/>
      <c r="CC202" s="550"/>
      <c r="CD202" s="550"/>
      <c r="CE202" s="550"/>
      <c r="CF202" s="550"/>
      <c r="CG202" s="550"/>
      <c r="CH202" s="550"/>
      <c r="CI202" s="550"/>
      <c r="CJ202" s="550"/>
      <c r="CK202" s="550"/>
      <c r="CL202" s="550"/>
      <c r="CM202" s="550"/>
      <c r="CN202" s="550"/>
      <c r="CO202" s="550"/>
      <c r="CP202" s="550"/>
      <c r="CQ202" s="550"/>
      <c r="CR202" s="550"/>
      <c r="CS202" s="550"/>
      <c r="CT202" s="550"/>
      <c r="CU202" s="550"/>
      <c r="CV202" s="550"/>
      <c r="CW202" s="550"/>
    </row>
    <row r="203" spans="1:101" x14ac:dyDescent="0.2">
      <c r="A203" s="344">
        <f>+SUBTOTAL(3,$E$8:$E203)</f>
        <v>196</v>
      </c>
      <c r="B203" s="555">
        <v>45536</v>
      </c>
      <c r="C203" s="344" t="s">
        <v>491</v>
      </c>
      <c r="D203" s="344" t="str">
        <f>+VLOOKUP(C203,'Visual chart Edit'!$B$7:$C$491,2,FALSE)</f>
        <v>DA+3</v>
      </c>
      <c r="E203" s="344" t="s">
        <v>276</v>
      </c>
      <c r="F203" s="551">
        <v>45532</v>
      </c>
      <c r="G203" s="551">
        <v>45538</v>
      </c>
      <c r="H203" s="552" t="s">
        <v>548</v>
      </c>
      <c r="I203" s="553" t="s">
        <v>388</v>
      </c>
      <c r="J203" s="554">
        <f t="shared" si="3"/>
        <v>6</v>
      </c>
      <c r="K203" s="550"/>
      <c r="L203" s="550"/>
      <c r="M203" s="550"/>
      <c r="N203" s="550"/>
      <c r="O203" s="550"/>
      <c r="P203" s="550"/>
      <c r="Q203" s="550"/>
      <c r="R203" s="550"/>
      <c r="S203" s="550"/>
      <c r="T203" s="550"/>
      <c r="U203" s="550"/>
      <c r="V203" s="550"/>
      <c r="W203" s="550"/>
      <c r="X203" s="550"/>
      <c r="Y203" s="550"/>
      <c r="Z203" s="550"/>
      <c r="AA203" s="550"/>
      <c r="AB203" s="550"/>
      <c r="AC203" s="550"/>
      <c r="AD203" s="550"/>
      <c r="AE203" s="550"/>
      <c r="AF203" s="550"/>
      <c r="AG203" s="550"/>
      <c r="AH203" s="550"/>
      <c r="AI203" s="550"/>
      <c r="AJ203" s="550"/>
      <c r="AK203" s="550"/>
      <c r="AL203" s="550"/>
      <c r="AM203" s="550"/>
      <c r="AN203" s="550"/>
      <c r="AO203" s="550"/>
      <c r="AP203" s="550"/>
      <c r="AQ203" s="550"/>
      <c r="AR203" s="550"/>
      <c r="AS203" s="550"/>
      <c r="AT203" s="550"/>
      <c r="AU203" s="550"/>
      <c r="AV203" s="550"/>
      <c r="AW203" s="550"/>
      <c r="AX203" s="550"/>
      <c r="AY203" s="550"/>
      <c r="AZ203" s="550"/>
      <c r="BA203" s="550"/>
      <c r="BB203" s="550"/>
      <c r="BC203" s="550"/>
      <c r="BD203" s="550"/>
      <c r="BE203" s="550"/>
      <c r="BF203" s="550"/>
      <c r="BG203" s="550"/>
      <c r="BH203" s="550"/>
      <c r="BI203" s="550"/>
      <c r="BJ203" s="550"/>
      <c r="BK203" s="550"/>
      <c r="BL203" s="550"/>
      <c r="BM203" s="550"/>
      <c r="BN203" s="550"/>
      <c r="BO203" s="550"/>
      <c r="BP203" s="550"/>
      <c r="BQ203" s="550"/>
      <c r="BR203" s="550"/>
      <c r="BS203" s="550"/>
      <c r="BT203" s="550"/>
      <c r="BU203" s="550"/>
      <c r="BV203" s="550"/>
      <c r="BW203" s="550"/>
      <c r="BX203" s="550"/>
      <c r="BY203" s="550"/>
      <c r="BZ203" s="550"/>
      <c r="CA203" s="550"/>
      <c r="CB203" s="550"/>
      <c r="CC203" s="550"/>
      <c r="CD203" s="550"/>
      <c r="CE203" s="550"/>
      <c r="CF203" s="550"/>
      <c r="CG203" s="550"/>
      <c r="CH203" s="550"/>
      <c r="CI203" s="550"/>
      <c r="CJ203" s="550"/>
      <c r="CK203" s="550"/>
      <c r="CL203" s="550"/>
      <c r="CM203" s="550"/>
      <c r="CN203" s="550"/>
      <c r="CO203" s="550"/>
      <c r="CP203" s="550"/>
      <c r="CQ203" s="550"/>
      <c r="CR203" s="550"/>
      <c r="CS203" s="550"/>
      <c r="CT203" s="550"/>
      <c r="CU203" s="550"/>
      <c r="CV203" s="550"/>
      <c r="CW203" s="550"/>
    </row>
    <row r="204" spans="1:101" x14ac:dyDescent="0.2">
      <c r="A204" s="344">
        <f>+SUBTOTAL(3,$E$8:$E204)</f>
        <v>197</v>
      </c>
      <c r="B204" s="555">
        <v>45536</v>
      </c>
      <c r="C204" s="344" t="s">
        <v>570</v>
      </c>
      <c r="D204" s="344" t="str">
        <f>+VLOOKUP(C204,'Visual chart Edit'!$B$7:$C$491,2,FALSE)</f>
        <v>DA+3</v>
      </c>
      <c r="E204" s="344" t="s">
        <v>276</v>
      </c>
      <c r="F204" s="551">
        <v>45529</v>
      </c>
      <c r="G204" s="551">
        <v>45540</v>
      </c>
      <c r="H204" s="552" t="s">
        <v>251</v>
      </c>
      <c r="I204" s="553" t="s">
        <v>222</v>
      </c>
      <c r="J204" s="554">
        <f t="shared" si="3"/>
        <v>11</v>
      </c>
      <c r="K204" s="550"/>
      <c r="L204" s="550"/>
      <c r="M204" s="550"/>
      <c r="N204" s="550"/>
      <c r="O204" s="550"/>
      <c r="P204" s="550"/>
      <c r="Q204" s="550"/>
      <c r="R204" s="550"/>
      <c r="S204" s="550"/>
      <c r="T204" s="550"/>
      <c r="U204" s="550"/>
      <c r="V204" s="550"/>
      <c r="W204" s="550"/>
      <c r="X204" s="550"/>
      <c r="Y204" s="550"/>
      <c r="Z204" s="550"/>
      <c r="AA204" s="550"/>
      <c r="AB204" s="550"/>
      <c r="AC204" s="550"/>
      <c r="AD204" s="550"/>
      <c r="AE204" s="550"/>
      <c r="AF204" s="550"/>
      <c r="AG204" s="550"/>
      <c r="AH204" s="550"/>
      <c r="AI204" s="550"/>
      <c r="AJ204" s="550"/>
      <c r="AK204" s="550"/>
      <c r="AL204" s="550"/>
      <c r="AM204" s="550"/>
      <c r="AN204" s="550"/>
      <c r="AO204" s="550"/>
      <c r="AP204" s="550"/>
      <c r="AQ204" s="550"/>
      <c r="AR204" s="550"/>
      <c r="AS204" s="550"/>
      <c r="AT204" s="550"/>
      <c r="AU204" s="550"/>
      <c r="AV204" s="550"/>
      <c r="AW204" s="550"/>
      <c r="AX204" s="550"/>
      <c r="AY204" s="550"/>
      <c r="AZ204" s="550"/>
      <c r="BA204" s="550"/>
      <c r="BB204" s="550"/>
      <c r="BC204" s="550"/>
      <c r="BD204" s="550"/>
      <c r="BE204" s="550"/>
      <c r="BF204" s="550"/>
      <c r="BG204" s="550"/>
      <c r="BH204" s="550"/>
      <c r="BI204" s="550"/>
      <c r="BJ204" s="550"/>
      <c r="BK204" s="550"/>
      <c r="BL204" s="550"/>
      <c r="BM204" s="550"/>
      <c r="BN204" s="550"/>
      <c r="BO204" s="550"/>
      <c r="BP204" s="550"/>
      <c r="BQ204" s="550"/>
      <c r="BR204" s="550"/>
      <c r="BS204" s="550"/>
      <c r="BT204" s="550"/>
      <c r="BU204" s="550"/>
      <c r="BV204" s="550"/>
      <c r="BW204" s="550"/>
      <c r="BX204" s="550"/>
      <c r="BY204" s="550"/>
      <c r="BZ204" s="550"/>
      <c r="CA204" s="550"/>
      <c r="CB204" s="550"/>
      <c r="CC204" s="550"/>
      <c r="CD204" s="550"/>
      <c r="CE204" s="550"/>
      <c r="CF204" s="550"/>
      <c r="CG204" s="550"/>
      <c r="CH204" s="550"/>
      <c r="CI204" s="550"/>
      <c r="CJ204" s="550"/>
      <c r="CK204" s="550"/>
      <c r="CL204" s="550"/>
      <c r="CM204" s="550"/>
      <c r="CN204" s="550"/>
      <c r="CO204" s="550"/>
      <c r="CP204" s="550"/>
      <c r="CQ204" s="550"/>
      <c r="CR204" s="550"/>
      <c r="CS204" s="550"/>
      <c r="CT204" s="550"/>
      <c r="CU204" s="550"/>
      <c r="CV204" s="550"/>
      <c r="CW204" s="550"/>
    </row>
    <row r="205" spans="1:101" x14ac:dyDescent="0.2">
      <c r="A205" s="344">
        <f>+SUBTOTAL(3,$E$8:$E205)</f>
        <v>198</v>
      </c>
      <c r="B205" s="555">
        <v>45536</v>
      </c>
      <c r="C205" s="344" t="s">
        <v>729</v>
      </c>
      <c r="D205" s="344" t="str">
        <f>+VLOOKUP(C205,'Visual chart Edit'!$B$7:$C$491,2,FALSE)</f>
        <v>DA+6</v>
      </c>
      <c r="E205" s="344" t="s">
        <v>143</v>
      </c>
      <c r="F205" s="551">
        <v>45534</v>
      </c>
      <c r="G205" s="551">
        <v>45540</v>
      </c>
      <c r="H205" s="552" t="s">
        <v>878</v>
      </c>
      <c r="I205" s="553" t="s">
        <v>1024</v>
      </c>
      <c r="J205" s="554">
        <f t="shared" si="3"/>
        <v>6</v>
      </c>
      <c r="K205" s="550"/>
      <c r="L205" s="550"/>
      <c r="M205" s="550"/>
      <c r="N205" s="550"/>
      <c r="O205" s="550"/>
      <c r="P205" s="550"/>
      <c r="Q205" s="550"/>
      <c r="R205" s="550"/>
      <c r="S205" s="550"/>
      <c r="T205" s="550"/>
      <c r="U205" s="550"/>
      <c r="V205" s="550"/>
      <c r="W205" s="550"/>
      <c r="X205" s="550"/>
      <c r="Y205" s="550"/>
      <c r="Z205" s="550"/>
      <c r="AA205" s="550"/>
      <c r="AB205" s="550"/>
      <c r="AC205" s="550"/>
      <c r="AD205" s="550"/>
      <c r="AE205" s="550"/>
      <c r="AF205" s="550"/>
      <c r="AG205" s="550"/>
      <c r="AH205" s="550"/>
      <c r="AI205" s="550"/>
      <c r="AJ205" s="550"/>
      <c r="AK205" s="550"/>
      <c r="AL205" s="550"/>
      <c r="AM205" s="550"/>
      <c r="AN205" s="550"/>
      <c r="AO205" s="550"/>
      <c r="AP205" s="550"/>
      <c r="AQ205" s="550"/>
      <c r="AR205" s="550"/>
      <c r="AS205" s="550"/>
      <c r="AT205" s="550"/>
      <c r="AU205" s="550"/>
      <c r="AV205" s="550"/>
      <c r="AW205" s="550"/>
      <c r="AX205" s="550"/>
      <c r="AY205" s="550"/>
      <c r="AZ205" s="550"/>
      <c r="BA205" s="550"/>
      <c r="BB205" s="550"/>
      <c r="BC205" s="550"/>
      <c r="BD205" s="550"/>
      <c r="BE205" s="550"/>
      <c r="BF205" s="550"/>
      <c r="BG205" s="550"/>
      <c r="BH205" s="550"/>
      <c r="BI205" s="550"/>
      <c r="BJ205" s="550"/>
      <c r="BK205" s="550"/>
      <c r="BL205" s="550"/>
      <c r="BM205" s="550"/>
      <c r="BN205" s="550"/>
      <c r="BO205" s="550"/>
      <c r="BP205" s="550"/>
      <c r="BQ205" s="550"/>
      <c r="BR205" s="550"/>
      <c r="BS205" s="550"/>
      <c r="BT205" s="550"/>
      <c r="BU205" s="550"/>
      <c r="BV205" s="550"/>
      <c r="BW205" s="550"/>
      <c r="BX205" s="550"/>
      <c r="BY205" s="550"/>
      <c r="BZ205" s="550"/>
      <c r="CA205" s="550"/>
      <c r="CB205" s="550"/>
      <c r="CC205" s="550"/>
      <c r="CD205" s="550"/>
      <c r="CE205" s="550"/>
      <c r="CF205" s="550"/>
      <c r="CG205" s="550"/>
      <c r="CH205" s="550"/>
      <c r="CI205" s="550"/>
      <c r="CJ205" s="550"/>
      <c r="CK205" s="550"/>
      <c r="CL205" s="550"/>
      <c r="CM205" s="550"/>
      <c r="CN205" s="550"/>
      <c r="CO205" s="550"/>
      <c r="CP205" s="550"/>
      <c r="CQ205" s="550"/>
      <c r="CR205" s="550"/>
      <c r="CS205" s="550"/>
      <c r="CT205" s="550"/>
      <c r="CU205" s="550"/>
      <c r="CV205" s="550"/>
      <c r="CW205" s="550"/>
    </row>
    <row r="206" spans="1:101" x14ac:dyDescent="0.2">
      <c r="A206" s="344">
        <f>+SUBTOTAL(3,$E$8:$E206)</f>
        <v>199</v>
      </c>
      <c r="B206" s="555">
        <v>45536</v>
      </c>
      <c r="C206" s="344" t="s">
        <v>500</v>
      </c>
      <c r="D206" s="344" t="str">
        <f>+VLOOKUP(C206,'Visual chart Edit'!$B$7:$C$491,2,FALSE)</f>
        <v>DA+0</v>
      </c>
      <c r="E206" s="344" t="s">
        <v>276</v>
      </c>
      <c r="F206" s="551">
        <v>45531</v>
      </c>
      <c r="G206" s="551">
        <v>45541</v>
      </c>
      <c r="H206" s="552" t="s">
        <v>594</v>
      </c>
      <c r="I206" s="553" t="s">
        <v>237</v>
      </c>
      <c r="J206" s="554">
        <f t="shared" si="3"/>
        <v>10</v>
      </c>
      <c r="K206" s="550"/>
      <c r="L206" s="550"/>
      <c r="M206" s="550"/>
      <c r="N206" s="550"/>
      <c r="O206" s="550"/>
      <c r="P206" s="550"/>
      <c r="Q206" s="550"/>
      <c r="R206" s="550"/>
      <c r="S206" s="550"/>
      <c r="T206" s="550"/>
      <c r="U206" s="550"/>
      <c r="V206" s="550"/>
      <c r="W206" s="550"/>
      <c r="X206" s="550"/>
      <c r="Y206" s="550"/>
      <c r="Z206" s="550"/>
      <c r="AA206" s="550"/>
      <c r="AB206" s="550"/>
      <c r="AC206" s="550"/>
      <c r="AD206" s="550"/>
      <c r="AE206" s="550"/>
      <c r="AF206" s="550"/>
      <c r="AG206" s="550"/>
      <c r="AH206" s="550"/>
      <c r="AI206" s="550"/>
      <c r="AJ206" s="550"/>
      <c r="AK206" s="550"/>
      <c r="AL206" s="550"/>
      <c r="AM206" s="550"/>
      <c r="AN206" s="550"/>
      <c r="AO206" s="550"/>
      <c r="AP206" s="550"/>
      <c r="AQ206" s="550"/>
      <c r="AR206" s="550"/>
      <c r="AS206" s="550"/>
      <c r="AT206" s="550"/>
      <c r="AU206" s="550"/>
      <c r="AV206" s="550"/>
      <c r="AW206" s="550"/>
      <c r="AX206" s="550"/>
      <c r="AY206" s="550"/>
      <c r="AZ206" s="550"/>
      <c r="BA206" s="550"/>
      <c r="BB206" s="550"/>
      <c r="BC206" s="550"/>
      <c r="BD206" s="550"/>
      <c r="BE206" s="550"/>
      <c r="BF206" s="550"/>
      <c r="BG206" s="550"/>
      <c r="BH206" s="550"/>
      <c r="BI206" s="550"/>
      <c r="BJ206" s="550"/>
      <c r="BK206" s="550"/>
      <c r="BL206" s="550"/>
      <c r="BM206" s="550"/>
      <c r="BN206" s="550"/>
      <c r="BO206" s="550"/>
      <c r="BP206" s="550"/>
      <c r="BQ206" s="550"/>
      <c r="BR206" s="550"/>
      <c r="BS206" s="550"/>
      <c r="BT206" s="550"/>
      <c r="BU206" s="550"/>
      <c r="BV206" s="550"/>
      <c r="BW206" s="550"/>
      <c r="BX206" s="550"/>
      <c r="BY206" s="550"/>
      <c r="BZ206" s="550"/>
      <c r="CA206" s="550"/>
      <c r="CB206" s="550"/>
      <c r="CC206" s="550"/>
      <c r="CD206" s="550"/>
      <c r="CE206" s="550"/>
      <c r="CF206" s="550"/>
      <c r="CG206" s="550"/>
      <c r="CH206" s="550"/>
      <c r="CI206" s="550"/>
      <c r="CJ206" s="550"/>
      <c r="CK206" s="550"/>
      <c r="CL206" s="550"/>
      <c r="CM206" s="550"/>
      <c r="CN206" s="550"/>
      <c r="CO206" s="550"/>
      <c r="CP206" s="550"/>
      <c r="CQ206" s="550"/>
      <c r="CR206" s="550"/>
      <c r="CS206" s="550"/>
      <c r="CT206" s="550"/>
      <c r="CU206" s="550"/>
      <c r="CV206" s="550"/>
      <c r="CW206" s="550"/>
    </row>
    <row r="207" spans="1:101" x14ac:dyDescent="0.2">
      <c r="A207" s="344">
        <f>+SUBTOTAL(3,$E$8:$E207)</f>
        <v>200</v>
      </c>
      <c r="B207" s="555">
        <v>45536</v>
      </c>
      <c r="C207" s="344" t="s">
        <v>484</v>
      </c>
      <c r="D207" s="344" t="str">
        <f>+VLOOKUP(C207,'Visual chart Edit'!$B$7:$C$491,2,FALSE)</f>
        <v>DA+3</v>
      </c>
      <c r="E207" s="344" t="s">
        <v>276</v>
      </c>
      <c r="F207" s="551">
        <v>45537</v>
      </c>
      <c r="G207" s="551">
        <v>45542</v>
      </c>
      <c r="H207" s="552" t="s">
        <v>548</v>
      </c>
      <c r="I207" s="553" t="s">
        <v>237</v>
      </c>
      <c r="J207" s="554">
        <f t="shared" si="3"/>
        <v>5</v>
      </c>
      <c r="K207" s="550"/>
      <c r="L207" s="550"/>
      <c r="M207" s="550"/>
      <c r="N207" s="550"/>
      <c r="O207" s="550"/>
      <c r="P207" s="550"/>
      <c r="Q207" s="550"/>
      <c r="R207" s="550"/>
      <c r="S207" s="550"/>
      <c r="T207" s="550"/>
      <c r="U207" s="550"/>
      <c r="V207" s="550"/>
      <c r="W207" s="550"/>
      <c r="X207" s="550"/>
      <c r="Y207" s="550"/>
      <c r="Z207" s="550"/>
      <c r="AA207" s="550"/>
      <c r="AB207" s="550"/>
      <c r="AC207" s="550"/>
      <c r="AD207" s="550"/>
      <c r="AE207" s="550"/>
      <c r="AF207" s="550"/>
      <c r="AG207" s="550"/>
      <c r="AH207" s="550"/>
      <c r="AI207" s="550"/>
      <c r="AJ207" s="550"/>
      <c r="AK207" s="550"/>
      <c r="AL207" s="550"/>
      <c r="AM207" s="550"/>
      <c r="AN207" s="550"/>
      <c r="AO207" s="550"/>
      <c r="AP207" s="550"/>
      <c r="AQ207" s="550"/>
      <c r="AR207" s="550"/>
      <c r="AS207" s="550"/>
      <c r="AT207" s="550"/>
      <c r="AU207" s="550"/>
      <c r="AV207" s="550"/>
      <c r="AW207" s="550"/>
      <c r="AX207" s="550"/>
      <c r="AY207" s="550"/>
      <c r="AZ207" s="550"/>
      <c r="BA207" s="550"/>
      <c r="BB207" s="550"/>
      <c r="BC207" s="550"/>
      <c r="BD207" s="550"/>
      <c r="BE207" s="550"/>
      <c r="BF207" s="550"/>
      <c r="BG207" s="550"/>
      <c r="BH207" s="550"/>
      <c r="BI207" s="550"/>
      <c r="BJ207" s="550"/>
      <c r="BK207" s="550"/>
      <c r="BL207" s="550"/>
      <c r="BM207" s="550"/>
      <c r="BN207" s="550"/>
      <c r="BO207" s="550"/>
      <c r="BP207" s="550"/>
      <c r="BQ207" s="550"/>
      <c r="BR207" s="550"/>
      <c r="BS207" s="550"/>
      <c r="BT207" s="550"/>
      <c r="BU207" s="550"/>
      <c r="BV207" s="550"/>
      <c r="BW207" s="550"/>
      <c r="BX207" s="550"/>
      <c r="BY207" s="550"/>
      <c r="BZ207" s="550"/>
      <c r="CA207" s="550"/>
      <c r="CB207" s="550"/>
      <c r="CC207" s="550"/>
      <c r="CD207" s="550"/>
      <c r="CE207" s="550"/>
      <c r="CF207" s="550"/>
      <c r="CG207" s="550"/>
      <c r="CH207" s="550"/>
      <c r="CI207" s="550"/>
      <c r="CJ207" s="550"/>
      <c r="CK207" s="550"/>
      <c r="CL207" s="550"/>
      <c r="CM207" s="550"/>
      <c r="CN207" s="550"/>
      <c r="CO207" s="550"/>
      <c r="CP207" s="550"/>
      <c r="CQ207" s="550"/>
      <c r="CR207" s="550"/>
      <c r="CS207" s="550"/>
      <c r="CT207" s="550"/>
      <c r="CU207" s="550"/>
      <c r="CV207" s="550"/>
      <c r="CW207" s="550"/>
    </row>
    <row r="208" spans="1:101" x14ac:dyDescent="0.2">
      <c r="A208" s="344">
        <f>+SUBTOTAL(3,$E$8:$E208)</f>
        <v>201</v>
      </c>
      <c r="B208" s="555">
        <v>45536</v>
      </c>
      <c r="C208" s="344" t="s">
        <v>733</v>
      </c>
      <c r="D208" s="344" t="str">
        <f>+VLOOKUP(C208,'Visual chart Edit'!$B$7:$C$491,2,FALSE)</f>
        <v>DA+3</v>
      </c>
      <c r="E208" s="344" t="s">
        <v>143</v>
      </c>
      <c r="F208" s="551">
        <v>45540</v>
      </c>
      <c r="G208" s="551">
        <v>45544</v>
      </c>
      <c r="H208" s="552" t="s">
        <v>878</v>
      </c>
      <c r="I208" s="553" t="s">
        <v>1024</v>
      </c>
      <c r="J208" s="554">
        <f t="shared" si="3"/>
        <v>4</v>
      </c>
      <c r="K208" s="550"/>
      <c r="L208" s="550"/>
      <c r="M208" s="550"/>
      <c r="N208" s="550"/>
      <c r="O208" s="550"/>
      <c r="P208" s="550"/>
      <c r="Q208" s="550"/>
      <c r="R208" s="550"/>
      <c r="S208" s="550"/>
      <c r="T208" s="550"/>
      <c r="U208" s="550"/>
      <c r="V208" s="550"/>
      <c r="W208" s="550"/>
      <c r="X208" s="550"/>
      <c r="Y208" s="550"/>
      <c r="Z208" s="550"/>
      <c r="AA208" s="550"/>
      <c r="AB208" s="550"/>
      <c r="AC208" s="550"/>
      <c r="AD208" s="550"/>
      <c r="AE208" s="550"/>
      <c r="AF208" s="550"/>
      <c r="AG208" s="550"/>
      <c r="AH208" s="550"/>
      <c r="AI208" s="550"/>
      <c r="AJ208" s="550"/>
      <c r="AK208" s="550"/>
      <c r="AL208" s="550"/>
      <c r="AM208" s="550"/>
      <c r="AN208" s="550"/>
      <c r="AO208" s="550"/>
      <c r="AP208" s="550"/>
      <c r="AQ208" s="550"/>
      <c r="AR208" s="550"/>
      <c r="AS208" s="550"/>
      <c r="AT208" s="550"/>
      <c r="AU208" s="550"/>
      <c r="AV208" s="550"/>
      <c r="AW208" s="550"/>
      <c r="AX208" s="550"/>
      <c r="AY208" s="550"/>
      <c r="AZ208" s="550"/>
      <c r="BA208" s="550"/>
      <c r="BB208" s="550"/>
      <c r="BC208" s="550"/>
      <c r="BD208" s="550"/>
      <c r="BE208" s="550"/>
      <c r="BF208" s="550"/>
      <c r="BG208" s="550"/>
      <c r="BH208" s="550"/>
      <c r="BI208" s="550"/>
      <c r="BJ208" s="550"/>
      <c r="BK208" s="550"/>
      <c r="BL208" s="550"/>
      <c r="BM208" s="550"/>
      <c r="BN208" s="550"/>
      <c r="BO208" s="550"/>
      <c r="BP208" s="550"/>
      <c r="BQ208" s="550"/>
      <c r="BR208" s="550"/>
      <c r="BS208" s="550"/>
      <c r="BT208" s="550"/>
      <c r="BU208" s="550"/>
      <c r="BV208" s="550"/>
      <c r="BW208" s="550"/>
      <c r="BX208" s="550"/>
      <c r="BY208" s="550"/>
      <c r="BZ208" s="550"/>
      <c r="CA208" s="550"/>
      <c r="CB208" s="550"/>
      <c r="CC208" s="550"/>
      <c r="CD208" s="550"/>
      <c r="CE208" s="550"/>
      <c r="CF208" s="550"/>
      <c r="CG208" s="550"/>
      <c r="CH208" s="550"/>
      <c r="CI208" s="550"/>
      <c r="CJ208" s="550"/>
      <c r="CK208" s="550"/>
      <c r="CL208" s="550"/>
      <c r="CM208" s="550"/>
      <c r="CN208" s="550"/>
      <c r="CO208" s="550"/>
      <c r="CP208" s="550"/>
      <c r="CQ208" s="550"/>
      <c r="CR208" s="550"/>
      <c r="CS208" s="550"/>
      <c r="CT208" s="550"/>
      <c r="CU208" s="550"/>
      <c r="CV208" s="550"/>
      <c r="CW208" s="550"/>
    </row>
    <row r="209" spans="1:101" x14ac:dyDescent="0.2">
      <c r="A209" s="344">
        <f>+SUBTOTAL(3,$E$8:$E209)</f>
        <v>202</v>
      </c>
      <c r="B209" s="555">
        <v>45536</v>
      </c>
      <c r="C209" s="344" t="s">
        <v>701</v>
      </c>
      <c r="D209" s="344" t="str">
        <f>+VLOOKUP(C209,'Visual chart Edit'!$B$7:$C$491,2,FALSE)</f>
        <v>DA+6</v>
      </c>
      <c r="E209" s="344" t="s">
        <v>143</v>
      </c>
      <c r="F209" s="551">
        <v>45536</v>
      </c>
      <c r="G209" s="551">
        <v>45545</v>
      </c>
      <c r="H209" s="552" t="s">
        <v>879</v>
      </c>
      <c r="I209" s="553" t="s">
        <v>1024</v>
      </c>
      <c r="J209" s="554">
        <f t="shared" si="3"/>
        <v>9</v>
      </c>
      <c r="K209" s="550"/>
      <c r="L209" s="550"/>
      <c r="M209" s="550"/>
      <c r="N209" s="550"/>
      <c r="O209" s="550"/>
      <c r="P209" s="550"/>
      <c r="Q209" s="550"/>
      <c r="R209" s="550"/>
      <c r="S209" s="550"/>
      <c r="T209" s="550"/>
      <c r="U209" s="550"/>
      <c r="V209" s="550"/>
      <c r="W209" s="550"/>
      <c r="X209" s="550"/>
      <c r="Y209" s="550"/>
      <c r="Z209" s="550"/>
      <c r="AA209" s="550"/>
      <c r="AB209" s="550"/>
      <c r="AC209" s="550"/>
      <c r="AD209" s="550"/>
      <c r="AE209" s="550"/>
      <c r="AF209" s="550"/>
      <c r="AG209" s="550"/>
      <c r="AH209" s="550"/>
      <c r="AI209" s="550"/>
      <c r="AJ209" s="550"/>
      <c r="AK209" s="550"/>
      <c r="AL209" s="550"/>
      <c r="AM209" s="550"/>
      <c r="AN209" s="550"/>
      <c r="AO209" s="550"/>
      <c r="AP209" s="550"/>
      <c r="AQ209" s="550"/>
      <c r="AR209" s="550"/>
      <c r="AS209" s="550"/>
      <c r="AT209" s="550"/>
      <c r="AU209" s="550"/>
      <c r="AV209" s="550"/>
      <c r="AW209" s="550"/>
      <c r="AX209" s="550"/>
      <c r="AY209" s="550"/>
      <c r="AZ209" s="550"/>
      <c r="BA209" s="550"/>
      <c r="BB209" s="550"/>
      <c r="BC209" s="550"/>
      <c r="BD209" s="550"/>
      <c r="BE209" s="550"/>
      <c r="BF209" s="550"/>
      <c r="BG209" s="550"/>
      <c r="BH209" s="550"/>
      <c r="BI209" s="550"/>
      <c r="BJ209" s="550"/>
      <c r="BK209" s="550"/>
      <c r="BL209" s="550"/>
      <c r="BM209" s="550"/>
      <c r="BN209" s="550"/>
      <c r="BO209" s="550"/>
      <c r="BP209" s="550"/>
      <c r="BQ209" s="550"/>
      <c r="BR209" s="550"/>
      <c r="BS209" s="550"/>
      <c r="BT209" s="550"/>
      <c r="BU209" s="550"/>
      <c r="BV209" s="550"/>
      <c r="BW209" s="550"/>
      <c r="BX209" s="550"/>
      <c r="BY209" s="550"/>
      <c r="BZ209" s="550"/>
      <c r="CA209" s="550"/>
      <c r="CB209" s="550"/>
      <c r="CC209" s="550"/>
      <c r="CD209" s="550"/>
      <c r="CE209" s="550"/>
      <c r="CF209" s="550"/>
      <c r="CG209" s="550"/>
      <c r="CH209" s="550"/>
      <c r="CI209" s="550"/>
      <c r="CJ209" s="550"/>
      <c r="CK209" s="550"/>
      <c r="CL209" s="550"/>
      <c r="CM209" s="550"/>
      <c r="CN209" s="550"/>
      <c r="CO209" s="550"/>
      <c r="CP209" s="550"/>
      <c r="CQ209" s="550"/>
      <c r="CR209" s="550"/>
      <c r="CS209" s="550"/>
      <c r="CT209" s="550"/>
      <c r="CU209" s="550"/>
      <c r="CV209" s="550"/>
      <c r="CW209" s="550"/>
    </row>
    <row r="210" spans="1:101" x14ac:dyDescent="0.2">
      <c r="A210" s="344">
        <f>+SUBTOTAL(3,$E$8:$E210)</f>
        <v>203</v>
      </c>
      <c r="B210" s="555">
        <v>45536</v>
      </c>
      <c r="C210" s="344" t="s">
        <v>855</v>
      </c>
      <c r="D210" s="344" t="str">
        <f>+VLOOKUP(C210,'Visual chart Edit'!$B$7:$C$491,2,FALSE)</f>
        <v>DB2+0</v>
      </c>
      <c r="E210" s="344" t="s">
        <v>276</v>
      </c>
      <c r="F210" s="551">
        <v>45544</v>
      </c>
      <c r="G210" s="551">
        <v>45545</v>
      </c>
      <c r="H210" s="552" t="s">
        <v>880</v>
      </c>
      <c r="I210" s="553" t="s">
        <v>1020</v>
      </c>
      <c r="J210" s="554">
        <f t="shared" si="3"/>
        <v>1</v>
      </c>
      <c r="K210" s="550"/>
      <c r="L210" s="550"/>
      <c r="M210" s="550"/>
      <c r="N210" s="550"/>
      <c r="O210" s="550"/>
      <c r="P210" s="550"/>
      <c r="Q210" s="550"/>
      <c r="R210" s="550"/>
      <c r="S210" s="550"/>
      <c r="T210" s="550"/>
      <c r="U210" s="550"/>
      <c r="V210" s="550"/>
      <c r="W210" s="550"/>
      <c r="X210" s="550"/>
      <c r="Y210" s="550"/>
      <c r="Z210" s="550"/>
      <c r="AA210" s="550"/>
      <c r="AB210" s="550"/>
      <c r="AC210" s="550"/>
      <c r="AD210" s="550"/>
      <c r="AE210" s="550"/>
      <c r="AF210" s="550"/>
      <c r="AG210" s="550"/>
      <c r="AH210" s="550"/>
      <c r="AI210" s="550"/>
      <c r="AJ210" s="550"/>
      <c r="AK210" s="550"/>
      <c r="AL210" s="550"/>
      <c r="AM210" s="550"/>
      <c r="AN210" s="550"/>
      <c r="AO210" s="550"/>
      <c r="AP210" s="550"/>
      <c r="AQ210" s="550"/>
      <c r="AR210" s="550"/>
      <c r="AS210" s="550"/>
      <c r="AT210" s="550"/>
      <c r="AU210" s="550"/>
      <c r="AV210" s="550"/>
      <c r="AW210" s="550"/>
      <c r="AX210" s="550"/>
      <c r="AY210" s="550"/>
      <c r="AZ210" s="550"/>
      <c r="BA210" s="550"/>
      <c r="BB210" s="550"/>
      <c r="BC210" s="550"/>
      <c r="BD210" s="550"/>
      <c r="BE210" s="550"/>
      <c r="BF210" s="550"/>
      <c r="BG210" s="550"/>
      <c r="BH210" s="550"/>
      <c r="BI210" s="550"/>
      <c r="BJ210" s="550"/>
      <c r="BK210" s="550"/>
      <c r="BL210" s="550"/>
      <c r="BM210" s="550"/>
      <c r="BN210" s="550"/>
      <c r="BO210" s="550"/>
      <c r="BP210" s="550"/>
      <c r="BQ210" s="550"/>
      <c r="BR210" s="550"/>
      <c r="BS210" s="550"/>
      <c r="BT210" s="550"/>
      <c r="BU210" s="550"/>
      <c r="BV210" s="550"/>
      <c r="BW210" s="550"/>
      <c r="BX210" s="550"/>
      <c r="BY210" s="550"/>
      <c r="BZ210" s="550"/>
      <c r="CA210" s="550"/>
      <c r="CB210" s="550"/>
      <c r="CC210" s="550"/>
      <c r="CD210" s="550"/>
      <c r="CE210" s="550"/>
      <c r="CF210" s="550"/>
      <c r="CG210" s="550"/>
      <c r="CH210" s="550"/>
      <c r="CI210" s="550"/>
      <c r="CJ210" s="550"/>
      <c r="CK210" s="550"/>
      <c r="CL210" s="550"/>
      <c r="CM210" s="550"/>
      <c r="CN210" s="550"/>
      <c r="CO210" s="550"/>
      <c r="CP210" s="550"/>
      <c r="CQ210" s="550"/>
      <c r="CR210" s="550"/>
      <c r="CS210" s="550"/>
      <c r="CT210" s="550"/>
      <c r="CU210" s="550"/>
      <c r="CV210" s="550"/>
      <c r="CW210" s="550"/>
    </row>
    <row r="211" spans="1:101" x14ac:dyDescent="0.2">
      <c r="A211" s="344">
        <f>+SUBTOTAL(3,$E$8:$E211)</f>
        <v>204</v>
      </c>
      <c r="B211" s="555">
        <v>45536</v>
      </c>
      <c r="C211" s="344" t="s">
        <v>864</v>
      </c>
      <c r="D211" s="344" t="str">
        <f>+VLOOKUP(C211,'Visual chart Edit'!$B$7:$C$491,2,FALSE)</f>
        <v>DA+0</v>
      </c>
      <c r="E211" s="344" t="s">
        <v>276</v>
      </c>
      <c r="F211" s="551">
        <v>45543</v>
      </c>
      <c r="G211" s="551">
        <v>45546</v>
      </c>
      <c r="H211" s="552" t="s">
        <v>236</v>
      </c>
      <c r="I211" s="553" t="s">
        <v>1020</v>
      </c>
      <c r="J211" s="554">
        <f t="shared" si="3"/>
        <v>3</v>
      </c>
      <c r="K211" s="550"/>
      <c r="L211" s="550"/>
      <c r="M211" s="550"/>
      <c r="N211" s="550"/>
      <c r="O211" s="550"/>
      <c r="P211" s="550"/>
      <c r="Q211" s="550"/>
      <c r="R211" s="550"/>
      <c r="S211" s="550"/>
      <c r="T211" s="550"/>
      <c r="U211" s="550"/>
      <c r="V211" s="550"/>
      <c r="W211" s="550"/>
      <c r="X211" s="550"/>
      <c r="Y211" s="550"/>
      <c r="Z211" s="550"/>
      <c r="AA211" s="550"/>
      <c r="AB211" s="550"/>
      <c r="AC211" s="550"/>
      <c r="AD211" s="550"/>
      <c r="AE211" s="550"/>
      <c r="AF211" s="550"/>
      <c r="AG211" s="550"/>
      <c r="AH211" s="550"/>
      <c r="AI211" s="550"/>
      <c r="AJ211" s="550"/>
      <c r="AK211" s="550"/>
      <c r="AL211" s="550"/>
      <c r="AM211" s="550"/>
      <c r="AN211" s="550"/>
      <c r="AO211" s="550"/>
      <c r="AP211" s="550"/>
      <c r="AQ211" s="550"/>
      <c r="AR211" s="550"/>
      <c r="AS211" s="550"/>
      <c r="AT211" s="550"/>
      <c r="AU211" s="550"/>
      <c r="AV211" s="550"/>
      <c r="AW211" s="550"/>
      <c r="AX211" s="550"/>
      <c r="AY211" s="550"/>
      <c r="AZ211" s="550"/>
      <c r="BA211" s="550"/>
      <c r="BB211" s="550"/>
      <c r="BC211" s="550"/>
      <c r="BD211" s="550"/>
      <c r="BE211" s="550"/>
      <c r="BF211" s="550"/>
      <c r="BG211" s="550"/>
      <c r="BH211" s="550"/>
      <c r="BI211" s="550"/>
      <c r="BJ211" s="550"/>
      <c r="BK211" s="550"/>
      <c r="BL211" s="550"/>
      <c r="BM211" s="550"/>
      <c r="BN211" s="550"/>
      <c r="BO211" s="550"/>
      <c r="BP211" s="550"/>
      <c r="BQ211" s="550"/>
      <c r="BR211" s="550"/>
      <c r="BS211" s="550"/>
      <c r="BT211" s="550"/>
      <c r="BU211" s="550"/>
      <c r="BV211" s="550"/>
      <c r="BW211" s="550"/>
      <c r="BX211" s="550"/>
      <c r="BY211" s="550"/>
      <c r="BZ211" s="550"/>
      <c r="CA211" s="550"/>
      <c r="CB211" s="550"/>
      <c r="CC211" s="550"/>
      <c r="CD211" s="550"/>
      <c r="CE211" s="550"/>
      <c r="CF211" s="550"/>
      <c r="CG211" s="550"/>
      <c r="CH211" s="550"/>
      <c r="CI211" s="550"/>
      <c r="CJ211" s="550"/>
      <c r="CK211" s="550"/>
      <c r="CL211" s="550"/>
      <c r="CM211" s="550"/>
      <c r="CN211" s="550"/>
      <c r="CO211" s="550"/>
      <c r="CP211" s="550"/>
      <c r="CQ211" s="550"/>
      <c r="CR211" s="550"/>
      <c r="CS211" s="550"/>
      <c r="CT211" s="550"/>
      <c r="CU211" s="550"/>
      <c r="CV211" s="550"/>
      <c r="CW211" s="550"/>
    </row>
    <row r="212" spans="1:101" x14ac:dyDescent="0.2">
      <c r="A212" s="344">
        <f>+SUBTOTAL(3,$E$8:$E212)</f>
        <v>205</v>
      </c>
      <c r="B212" s="555">
        <v>45536</v>
      </c>
      <c r="C212" s="344" t="s">
        <v>857</v>
      </c>
      <c r="D212" s="344" t="str">
        <f>+VLOOKUP(C212,'Visual chart Edit'!$B$7:$C$491,2,FALSE)</f>
        <v>DA+0</v>
      </c>
      <c r="E212" s="344" t="s">
        <v>276</v>
      </c>
      <c r="F212" s="551">
        <v>45547</v>
      </c>
      <c r="G212" s="551">
        <v>45548</v>
      </c>
      <c r="H212" s="552" t="s">
        <v>880</v>
      </c>
      <c r="I212" s="553" t="s">
        <v>1020</v>
      </c>
      <c r="J212" s="554">
        <f t="shared" si="3"/>
        <v>1</v>
      </c>
      <c r="K212" s="550"/>
      <c r="L212" s="550"/>
      <c r="M212" s="550"/>
      <c r="N212" s="550"/>
      <c r="O212" s="550"/>
      <c r="P212" s="550"/>
      <c r="Q212" s="550"/>
      <c r="R212" s="550"/>
      <c r="S212" s="550"/>
      <c r="T212" s="550"/>
      <c r="U212" s="550"/>
      <c r="V212" s="550"/>
      <c r="W212" s="550"/>
      <c r="X212" s="550"/>
      <c r="Y212" s="550"/>
      <c r="Z212" s="550"/>
      <c r="AA212" s="550"/>
      <c r="AB212" s="550"/>
      <c r="AC212" s="550"/>
      <c r="AD212" s="550"/>
      <c r="AE212" s="550"/>
      <c r="AF212" s="550"/>
      <c r="AG212" s="550"/>
      <c r="AH212" s="550"/>
      <c r="AI212" s="550"/>
      <c r="AJ212" s="550"/>
      <c r="AK212" s="550"/>
      <c r="AL212" s="550"/>
      <c r="AM212" s="550"/>
      <c r="AN212" s="550"/>
      <c r="AO212" s="550"/>
      <c r="AP212" s="550"/>
      <c r="AQ212" s="550"/>
      <c r="AR212" s="550"/>
      <c r="AS212" s="550"/>
      <c r="AT212" s="550"/>
      <c r="AU212" s="550"/>
      <c r="AV212" s="550"/>
      <c r="AW212" s="550"/>
      <c r="AX212" s="550"/>
      <c r="AY212" s="550"/>
      <c r="AZ212" s="550"/>
      <c r="BA212" s="550"/>
      <c r="BB212" s="550"/>
      <c r="BC212" s="550"/>
      <c r="BD212" s="550"/>
      <c r="BE212" s="550"/>
      <c r="BF212" s="550"/>
      <c r="BG212" s="550"/>
      <c r="BH212" s="550"/>
      <c r="BI212" s="550"/>
      <c r="BJ212" s="550"/>
      <c r="BK212" s="550"/>
      <c r="BL212" s="550"/>
      <c r="BM212" s="550"/>
      <c r="BN212" s="550"/>
      <c r="BO212" s="550"/>
      <c r="BP212" s="550"/>
      <c r="BQ212" s="550"/>
      <c r="BR212" s="550"/>
      <c r="BS212" s="550"/>
      <c r="BT212" s="550"/>
      <c r="BU212" s="550"/>
      <c r="BV212" s="550"/>
      <c r="BW212" s="550"/>
      <c r="BX212" s="550"/>
      <c r="BY212" s="550"/>
      <c r="BZ212" s="550"/>
      <c r="CA212" s="550"/>
      <c r="CB212" s="550"/>
      <c r="CC212" s="550"/>
      <c r="CD212" s="550"/>
      <c r="CE212" s="550"/>
      <c r="CF212" s="550"/>
      <c r="CG212" s="550"/>
      <c r="CH212" s="550"/>
      <c r="CI212" s="550"/>
      <c r="CJ212" s="550"/>
      <c r="CK212" s="550"/>
      <c r="CL212" s="550"/>
      <c r="CM212" s="550"/>
      <c r="CN212" s="550"/>
      <c r="CO212" s="550"/>
      <c r="CP212" s="550"/>
      <c r="CQ212" s="550"/>
      <c r="CR212" s="550"/>
      <c r="CS212" s="550"/>
      <c r="CT212" s="550"/>
      <c r="CU212" s="550"/>
      <c r="CV212" s="550"/>
      <c r="CW212" s="550"/>
    </row>
    <row r="213" spans="1:101" x14ac:dyDescent="0.2">
      <c r="A213" s="344">
        <f>+SUBTOTAL(3,$E$8:$E213)</f>
        <v>206</v>
      </c>
      <c r="B213" s="555">
        <v>45536</v>
      </c>
      <c r="C213" s="344" t="s">
        <v>34</v>
      </c>
      <c r="D213" s="344" t="str">
        <f>+VLOOKUP(C213,'Visual chart Edit'!$B$7:$C$491,2,FALSE)</f>
        <v>DC1+6</v>
      </c>
      <c r="E213" s="344" t="s">
        <v>276</v>
      </c>
      <c r="F213" s="551">
        <v>45540</v>
      </c>
      <c r="G213" s="551">
        <v>45549</v>
      </c>
      <c r="H213" s="552" t="s">
        <v>582</v>
      </c>
      <c r="I213" s="553" t="s">
        <v>237</v>
      </c>
      <c r="J213" s="554">
        <f t="shared" si="3"/>
        <v>9</v>
      </c>
      <c r="K213" s="550"/>
      <c r="L213" s="550"/>
      <c r="M213" s="550"/>
      <c r="N213" s="550"/>
      <c r="O213" s="550"/>
      <c r="P213" s="550"/>
      <c r="Q213" s="550"/>
      <c r="R213" s="550"/>
      <c r="S213" s="550"/>
      <c r="T213" s="550"/>
      <c r="U213" s="550"/>
      <c r="V213" s="550"/>
      <c r="W213" s="550"/>
      <c r="X213" s="550"/>
      <c r="Y213" s="550"/>
      <c r="Z213" s="550"/>
      <c r="AA213" s="550"/>
      <c r="AB213" s="550"/>
      <c r="AC213" s="550"/>
      <c r="AD213" s="550"/>
      <c r="AE213" s="550"/>
      <c r="AF213" s="550"/>
      <c r="AG213" s="550"/>
      <c r="AH213" s="550"/>
      <c r="AI213" s="550"/>
      <c r="AJ213" s="550"/>
      <c r="AK213" s="550"/>
      <c r="AL213" s="550"/>
      <c r="AM213" s="550"/>
      <c r="AN213" s="550"/>
      <c r="AO213" s="550"/>
      <c r="AP213" s="550"/>
      <c r="AQ213" s="550"/>
      <c r="AR213" s="550"/>
      <c r="AS213" s="550"/>
      <c r="AT213" s="550"/>
      <c r="AU213" s="550"/>
      <c r="AV213" s="550"/>
      <c r="AW213" s="550"/>
      <c r="AX213" s="550"/>
      <c r="AY213" s="550"/>
      <c r="AZ213" s="550"/>
      <c r="BA213" s="550"/>
      <c r="BB213" s="550"/>
      <c r="BC213" s="550"/>
      <c r="BD213" s="550"/>
      <c r="BE213" s="550"/>
      <c r="BF213" s="550"/>
      <c r="BG213" s="550"/>
      <c r="BH213" s="550"/>
      <c r="BI213" s="550"/>
      <c r="BJ213" s="550"/>
      <c r="BK213" s="550"/>
      <c r="BL213" s="550"/>
      <c r="BM213" s="550"/>
      <c r="BN213" s="550"/>
      <c r="BO213" s="550"/>
      <c r="BP213" s="550"/>
      <c r="BQ213" s="550"/>
      <c r="BR213" s="550"/>
      <c r="BS213" s="550"/>
      <c r="BT213" s="550"/>
      <c r="BU213" s="550"/>
      <c r="BV213" s="550"/>
      <c r="BW213" s="550"/>
      <c r="BX213" s="550"/>
      <c r="BY213" s="550"/>
      <c r="BZ213" s="550"/>
      <c r="CA213" s="550"/>
      <c r="CB213" s="550"/>
      <c r="CC213" s="550"/>
      <c r="CD213" s="550"/>
      <c r="CE213" s="550"/>
      <c r="CF213" s="550"/>
      <c r="CG213" s="550"/>
      <c r="CH213" s="550"/>
      <c r="CI213" s="550"/>
      <c r="CJ213" s="550"/>
      <c r="CK213" s="550"/>
      <c r="CL213" s="550"/>
      <c r="CM213" s="550"/>
      <c r="CN213" s="550"/>
      <c r="CO213" s="550"/>
      <c r="CP213" s="550"/>
      <c r="CQ213" s="550"/>
      <c r="CR213" s="550"/>
      <c r="CS213" s="550"/>
      <c r="CT213" s="550"/>
      <c r="CU213" s="550"/>
      <c r="CV213" s="550"/>
      <c r="CW213" s="550"/>
    </row>
    <row r="214" spans="1:101" x14ac:dyDescent="0.2">
      <c r="A214" s="344">
        <f>+SUBTOTAL(3,$E$8:$E214)</f>
        <v>207</v>
      </c>
      <c r="B214" s="555">
        <v>45536</v>
      </c>
      <c r="C214" s="344" t="s">
        <v>734</v>
      </c>
      <c r="D214" s="344" t="str">
        <f>+VLOOKUP(C214,'Visual chart Edit'!$B$7:$C$491,2,FALSE)</f>
        <v>DA+3</v>
      </c>
      <c r="E214" s="344" t="s">
        <v>143</v>
      </c>
      <c r="F214" s="551">
        <v>45546</v>
      </c>
      <c r="G214" s="551">
        <v>45549</v>
      </c>
      <c r="H214" s="552" t="s">
        <v>878</v>
      </c>
      <c r="I214" s="553" t="s">
        <v>1024</v>
      </c>
      <c r="J214" s="554">
        <f t="shared" si="3"/>
        <v>3</v>
      </c>
      <c r="K214" s="550"/>
      <c r="L214" s="550"/>
      <c r="M214" s="550"/>
      <c r="N214" s="550"/>
      <c r="O214" s="550"/>
      <c r="P214" s="550"/>
      <c r="Q214" s="550"/>
      <c r="R214" s="550"/>
      <c r="S214" s="550"/>
      <c r="T214" s="550"/>
      <c r="U214" s="550"/>
      <c r="V214" s="550"/>
      <c r="W214" s="550"/>
      <c r="X214" s="550"/>
      <c r="Y214" s="550"/>
      <c r="Z214" s="550"/>
      <c r="AA214" s="550"/>
      <c r="AB214" s="550"/>
      <c r="AC214" s="550"/>
      <c r="AD214" s="550"/>
      <c r="AE214" s="550"/>
      <c r="AF214" s="550"/>
      <c r="AG214" s="550"/>
      <c r="AH214" s="550"/>
      <c r="AI214" s="550"/>
      <c r="AJ214" s="550"/>
      <c r="AK214" s="550"/>
      <c r="AL214" s="550"/>
      <c r="AM214" s="550"/>
      <c r="AN214" s="550"/>
      <c r="AO214" s="550"/>
      <c r="AP214" s="550"/>
      <c r="AQ214" s="550"/>
      <c r="AR214" s="550"/>
      <c r="AS214" s="550"/>
      <c r="AT214" s="550"/>
      <c r="AU214" s="550"/>
      <c r="AV214" s="550"/>
      <c r="AW214" s="550"/>
      <c r="AX214" s="550"/>
      <c r="AY214" s="550"/>
      <c r="AZ214" s="550"/>
      <c r="BA214" s="550"/>
      <c r="BB214" s="550"/>
      <c r="BC214" s="550"/>
      <c r="BD214" s="550"/>
      <c r="BE214" s="550"/>
      <c r="BF214" s="550"/>
      <c r="BG214" s="550"/>
      <c r="BH214" s="550"/>
      <c r="BI214" s="550"/>
      <c r="BJ214" s="550"/>
      <c r="BK214" s="550"/>
      <c r="BL214" s="550"/>
      <c r="BM214" s="550"/>
      <c r="BN214" s="550"/>
      <c r="BO214" s="550"/>
      <c r="BP214" s="550"/>
      <c r="BQ214" s="550"/>
      <c r="BR214" s="550"/>
      <c r="BS214" s="550"/>
      <c r="BT214" s="550"/>
      <c r="BU214" s="550"/>
      <c r="BV214" s="550"/>
      <c r="BW214" s="550"/>
      <c r="BX214" s="550"/>
      <c r="BY214" s="550"/>
      <c r="BZ214" s="550"/>
      <c r="CA214" s="550"/>
      <c r="CB214" s="550"/>
      <c r="CC214" s="550"/>
      <c r="CD214" s="550"/>
      <c r="CE214" s="550"/>
      <c r="CF214" s="550"/>
      <c r="CG214" s="550"/>
      <c r="CH214" s="550"/>
      <c r="CI214" s="550"/>
      <c r="CJ214" s="550"/>
      <c r="CK214" s="550"/>
      <c r="CL214" s="550"/>
      <c r="CM214" s="550"/>
      <c r="CN214" s="550"/>
      <c r="CO214" s="550"/>
      <c r="CP214" s="550"/>
      <c r="CQ214" s="550"/>
      <c r="CR214" s="550"/>
      <c r="CS214" s="550"/>
      <c r="CT214" s="550"/>
      <c r="CU214" s="550"/>
      <c r="CV214" s="550"/>
      <c r="CW214" s="550"/>
    </row>
    <row r="215" spans="1:101" x14ac:dyDescent="0.2">
      <c r="A215" s="344">
        <f>+SUBTOTAL(3,$E$8:$E215)</f>
        <v>208</v>
      </c>
      <c r="B215" s="555">
        <v>45536</v>
      </c>
      <c r="C215" s="344" t="s">
        <v>496</v>
      </c>
      <c r="D215" s="344" t="str">
        <f>+VLOOKUP(C215,'Visual chart Edit'!$B$7:$C$491,2,FALSE)</f>
        <v>DA+0</v>
      </c>
      <c r="E215" s="344" t="s">
        <v>276</v>
      </c>
      <c r="F215" s="551">
        <v>45543</v>
      </c>
      <c r="G215" s="551">
        <v>45551</v>
      </c>
      <c r="H215" s="552" t="s">
        <v>594</v>
      </c>
      <c r="I215" s="553" t="s">
        <v>237</v>
      </c>
      <c r="J215" s="554">
        <f t="shared" si="3"/>
        <v>8</v>
      </c>
      <c r="K215" s="550"/>
      <c r="L215" s="550"/>
      <c r="M215" s="550"/>
      <c r="N215" s="550"/>
      <c r="O215" s="550"/>
      <c r="P215" s="550"/>
      <c r="Q215" s="550"/>
      <c r="R215" s="550"/>
      <c r="S215" s="550"/>
      <c r="T215" s="550"/>
      <c r="U215" s="550"/>
      <c r="V215" s="550"/>
      <c r="W215" s="550"/>
      <c r="X215" s="550"/>
      <c r="Y215" s="550"/>
      <c r="Z215" s="550"/>
      <c r="AA215" s="550"/>
      <c r="AB215" s="550"/>
      <c r="AC215" s="550"/>
      <c r="AD215" s="550"/>
      <c r="AE215" s="550"/>
      <c r="AF215" s="550"/>
      <c r="AG215" s="550"/>
      <c r="AH215" s="550"/>
      <c r="AI215" s="550"/>
      <c r="AJ215" s="550"/>
      <c r="AK215" s="550"/>
      <c r="AL215" s="550"/>
      <c r="AM215" s="550"/>
      <c r="AN215" s="550"/>
      <c r="AO215" s="550"/>
      <c r="AP215" s="550"/>
      <c r="AQ215" s="550"/>
      <c r="AR215" s="550"/>
      <c r="AS215" s="550"/>
      <c r="AT215" s="550"/>
      <c r="AU215" s="550"/>
      <c r="AV215" s="550"/>
      <c r="AW215" s="550"/>
      <c r="AX215" s="550"/>
      <c r="AY215" s="550"/>
      <c r="AZ215" s="550"/>
      <c r="BA215" s="550"/>
      <c r="BB215" s="550"/>
      <c r="BC215" s="550"/>
      <c r="BD215" s="550"/>
      <c r="BE215" s="550"/>
      <c r="BF215" s="550"/>
      <c r="BG215" s="550"/>
      <c r="BH215" s="550"/>
      <c r="BI215" s="550"/>
      <c r="BJ215" s="550"/>
      <c r="BK215" s="550"/>
      <c r="BL215" s="550"/>
      <c r="BM215" s="550"/>
      <c r="BN215" s="550"/>
      <c r="BO215" s="550"/>
      <c r="BP215" s="550"/>
      <c r="BQ215" s="550"/>
      <c r="BR215" s="550"/>
      <c r="BS215" s="550"/>
      <c r="BT215" s="550"/>
      <c r="BU215" s="550"/>
      <c r="BV215" s="550"/>
      <c r="BW215" s="550"/>
      <c r="BX215" s="550"/>
      <c r="BY215" s="550"/>
      <c r="BZ215" s="550"/>
      <c r="CA215" s="550"/>
      <c r="CB215" s="550"/>
      <c r="CC215" s="550"/>
      <c r="CD215" s="550"/>
      <c r="CE215" s="550"/>
      <c r="CF215" s="550"/>
      <c r="CG215" s="550"/>
      <c r="CH215" s="550"/>
      <c r="CI215" s="550"/>
      <c r="CJ215" s="550"/>
      <c r="CK215" s="550"/>
      <c r="CL215" s="550"/>
      <c r="CM215" s="550"/>
      <c r="CN215" s="550"/>
      <c r="CO215" s="550"/>
      <c r="CP215" s="550"/>
      <c r="CQ215" s="550"/>
      <c r="CR215" s="550"/>
      <c r="CS215" s="550"/>
      <c r="CT215" s="550"/>
      <c r="CU215" s="550"/>
      <c r="CV215" s="550"/>
      <c r="CW215" s="550"/>
    </row>
    <row r="216" spans="1:101" x14ac:dyDescent="0.2">
      <c r="A216" s="344">
        <f>+SUBTOTAL(3,$E$8:$E216)</f>
        <v>209</v>
      </c>
      <c r="B216" s="555">
        <v>45536</v>
      </c>
      <c r="C216" s="344" t="s">
        <v>469</v>
      </c>
      <c r="D216" s="344" t="str">
        <f>+VLOOKUP(C216,'Visual chart Edit'!$B$7:$C$491,2,FALSE)</f>
        <v>DA+3</v>
      </c>
      <c r="E216" s="344" t="s">
        <v>32</v>
      </c>
      <c r="F216" s="551">
        <v>45531</v>
      </c>
      <c r="G216" s="551">
        <v>45551</v>
      </c>
      <c r="H216" s="552" t="s">
        <v>253</v>
      </c>
      <c r="I216" s="553" t="s">
        <v>388</v>
      </c>
      <c r="J216" s="554">
        <f t="shared" si="3"/>
        <v>20</v>
      </c>
      <c r="K216" s="550"/>
      <c r="L216" s="550"/>
      <c r="M216" s="550"/>
      <c r="N216" s="550"/>
      <c r="O216" s="550"/>
      <c r="P216" s="550"/>
      <c r="Q216" s="550"/>
      <c r="R216" s="550"/>
      <c r="S216" s="550"/>
      <c r="T216" s="550"/>
      <c r="U216" s="550"/>
      <c r="V216" s="550"/>
      <c r="W216" s="550"/>
      <c r="X216" s="550"/>
      <c r="Y216" s="550"/>
      <c r="Z216" s="550"/>
      <c r="AA216" s="550"/>
      <c r="AB216" s="550"/>
      <c r="AC216" s="550"/>
      <c r="AD216" s="550"/>
      <c r="AE216" s="550"/>
      <c r="AF216" s="550"/>
      <c r="AG216" s="550"/>
      <c r="AH216" s="550"/>
      <c r="AI216" s="550"/>
      <c r="AJ216" s="550"/>
      <c r="AK216" s="550"/>
      <c r="AL216" s="550"/>
      <c r="AM216" s="550"/>
      <c r="AN216" s="550"/>
      <c r="AO216" s="550"/>
      <c r="AP216" s="550"/>
      <c r="AQ216" s="550"/>
      <c r="AR216" s="550"/>
      <c r="AS216" s="550"/>
      <c r="AT216" s="550"/>
      <c r="AU216" s="550"/>
      <c r="AV216" s="550"/>
      <c r="AW216" s="550"/>
      <c r="AX216" s="550"/>
      <c r="AY216" s="550"/>
      <c r="AZ216" s="550"/>
      <c r="BA216" s="550"/>
      <c r="BB216" s="550"/>
      <c r="BC216" s="550"/>
      <c r="BD216" s="550"/>
      <c r="BE216" s="550"/>
      <c r="BF216" s="550"/>
      <c r="BG216" s="550"/>
      <c r="BH216" s="550"/>
      <c r="BI216" s="550"/>
      <c r="BJ216" s="550"/>
      <c r="BK216" s="550"/>
      <c r="BL216" s="550"/>
      <c r="BM216" s="550"/>
      <c r="BN216" s="550"/>
      <c r="BO216" s="550"/>
      <c r="BP216" s="550"/>
      <c r="BQ216" s="550"/>
      <c r="BR216" s="550"/>
      <c r="BS216" s="550"/>
      <c r="BT216" s="550"/>
      <c r="BU216" s="550"/>
      <c r="BV216" s="550"/>
      <c r="BW216" s="550"/>
      <c r="BX216" s="550"/>
      <c r="BY216" s="550"/>
      <c r="BZ216" s="550"/>
      <c r="CA216" s="550"/>
      <c r="CB216" s="550"/>
      <c r="CC216" s="550"/>
      <c r="CD216" s="550"/>
      <c r="CE216" s="550"/>
      <c r="CF216" s="550"/>
      <c r="CG216" s="550"/>
      <c r="CH216" s="550"/>
      <c r="CI216" s="550"/>
      <c r="CJ216" s="550"/>
      <c r="CK216" s="550"/>
      <c r="CL216" s="550"/>
      <c r="CM216" s="550"/>
      <c r="CN216" s="550"/>
      <c r="CO216" s="550"/>
      <c r="CP216" s="550"/>
      <c r="CQ216" s="550"/>
      <c r="CR216" s="550"/>
      <c r="CS216" s="550"/>
      <c r="CT216" s="550"/>
      <c r="CU216" s="550"/>
      <c r="CV216" s="550"/>
      <c r="CW216" s="550"/>
    </row>
    <row r="217" spans="1:101" x14ac:dyDescent="0.2">
      <c r="A217" s="344">
        <f>+SUBTOTAL(3,$E$8:$E217)</f>
        <v>210</v>
      </c>
      <c r="B217" s="555">
        <v>45536</v>
      </c>
      <c r="C217" s="555" t="s">
        <v>856</v>
      </c>
      <c r="D217" s="344" t="str">
        <f>+VLOOKUP(C217,'Visual chart Edit'!$B$7:$C$491,2,FALSE)</f>
        <v>DA+0</v>
      </c>
      <c r="E217" s="344" t="s">
        <v>276</v>
      </c>
      <c r="F217" s="551">
        <v>45550</v>
      </c>
      <c r="G217" s="551">
        <v>45551</v>
      </c>
      <c r="H217" s="552" t="s">
        <v>880</v>
      </c>
      <c r="I217" s="553" t="s">
        <v>1021</v>
      </c>
      <c r="J217" s="554">
        <f t="shared" si="3"/>
        <v>1</v>
      </c>
      <c r="K217" s="550"/>
      <c r="L217" s="550"/>
      <c r="M217" s="550"/>
      <c r="N217" s="550"/>
      <c r="O217" s="550"/>
      <c r="P217" s="550"/>
      <c r="Q217" s="550"/>
      <c r="R217" s="550"/>
      <c r="S217" s="550"/>
      <c r="T217" s="550"/>
      <c r="U217" s="550"/>
      <c r="V217" s="550"/>
      <c r="W217" s="550"/>
      <c r="X217" s="550"/>
      <c r="Y217" s="550"/>
      <c r="Z217" s="550"/>
      <c r="AA217" s="550"/>
      <c r="AB217" s="550"/>
      <c r="AC217" s="550"/>
      <c r="AD217" s="550"/>
      <c r="AE217" s="550"/>
      <c r="AF217" s="550"/>
      <c r="AG217" s="550"/>
      <c r="AH217" s="550"/>
      <c r="AI217" s="550"/>
      <c r="AJ217" s="550"/>
      <c r="AK217" s="550"/>
      <c r="AL217" s="550"/>
      <c r="AM217" s="550"/>
      <c r="AN217" s="550"/>
      <c r="AO217" s="550"/>
      <c r="AP217" s="550"/>
      <c r="AQ217" s="550"/>
      <c r="AR217" s="550"/>
      <c r="AS217" s="550"/>
      <c r="AT217" s="550"/>
      <c r="AU217" s="550"/>
      <c r="AV217" s="550"/>
      <c r="AW217" s="550"/>
      <c r="AX217" s="550"/>
      <c r="AY217" s="550"/>
      <c r="AZ217" s="550"/>
      <c r="BA217" s="550"/>
      <c r="BB217" s="550"/>
      <c r="BC217" s="550"/>
      <c r="BD217" s="550"/>
      <c r="BE217" s="550"/>
      <c r="BF217" s="550"/>
      <c r="BG217" s="550"/>
      <c r="BH217" s="550"/>
      <c r="BI217" s="550"/>
      <c r="BJ217" s="550"/>
      <c r="BK217" s="550"/>
      <c r="BL217" s="550"/>
      <c r="BM217" s="550"/>
      <c r="BN217" s="550"/>
      <c r="BO217" s="550"/>
      <c r="BP217" s="550"/>
      <c r="BQ217" s="550"/>
      <c r="BR217" s="550"/>
      <c r="BS217" s="550"/>
      <c r="BT217" s="550"/>
      <c r="BU217" s="550"/>
      <c r="BV217" s="550"/>
      <c r="BW217" s="550"/>
      <c r="BX217" s="550"/>
      <c r="BY217" s="550"/>
      <c r="BZ217" s="550"/>
      <c r="CA217" s="550"/>
      <c r="CB217" s="550"/>
      <c r="CC217" s="550"/>
      <c r="CD217" s="550"/>
      <c r="CE217" s="550"/>
      <c r="CF217" s="550"/>
      <c r="CG217" s="550"/>
      <c r="CH217" s="550"/>
      <c r="CI217" s="550"/>
      <c r="CJ217" s="550"/>
      <c r="CK217" s="550"/>
      <c r="CL217" s="550"/>
      <c r="CM217" s="550"/>
      <c r="CN217" s="550"/>
      <c r="CO217" s="550"/>
      <c r="CP217" s="550"/>
      <c r="CQ217" s="550"/>
      <c r="CR217" s="550"/>
      <c r="CS217" s="550"/>
      <c r="CT217" s="550"/>
      <c r="CU217" s="550"/>
      <c r="CV217" s="550"/>
      <c r="CW217" s="550"/>
    </row>
    <row r="218" spans="1:101" x14ac:dyDescent="0.2">
      <c r="A218" s="344">
        <f>+SUBTOTAL(3,$E$8:$E218)</f>
        <v>211</v>
      </c>
      <c r="B218" s="555">
        <v>45536</v>
      </c>
      <c r="C218" s="344" t="s">
        <v>493</v>
      </c>
      <c r="D218" s="344" t="str">
        <f>+VLOOKUP(C218,'Visual chart Edit'!$B$7:$C$491,2,FALSE)</f>
        <v>DC2+0</v>
      </c>
      <c r="E218" s="344" t="s">
        <v>143</v>
      </c>
      <c r="F218" s="551">
        <v>45540</v>
      </c>
      <c r="G218" s="551">
        <v>45553</v>
      </c>
      <c r="H218" s="552" t="s">
        <v>591</v>
      </c>
      <c r="I218" s="553" t="s">
        <v>237</v>
      </c>
      <c r="J218" s="554">
        <f t="shared" si="3"/>
        <v>13</v>
      </c>
      <c r="K218" s="550"/>
      <c r="L218" s="550"/>
      <c r="M218" s="550"/>
      <c r="N218" s="550"/>
      <c r="O218" s="550"/>
      <c r="P218" s="550"/>
      <c r="Q218" s="550"/>
      <c r="R218" s="550"/>
      <c r="S218" s="550"/>
      <c r="T218" s="550"/>
      <c r="U218" s="550"/>
      <c r="V218" s="550"/>
      <c r="W218" s="550"/>
      <c r="X218" s="550"/>
      <c r="Y218" s="550"/>
      <c r="Z218" s="550"/>
      <c r="AA218" s="550"/>
      <c r="AB218" s="550"/>
      <c r="AC218" s="550"/>
      <c r="AD218" s="550"/>
      <c r="AE218" s="550"/>
      <c r="AF218" s="550"/>
      <c r="AG218" s="550"/>
      <c r="AH218" s="550"/>
      <c r="AI218" s="550"/>
      <c r="AJ218" s="550"/>
      <c r="AK218" s="550"/>
      <c r="AL218" s="550"/>
      <c r="AM218" s="550"/>
      <c r="AN218" s="550"/>
      <c r="AO218" s="550"/>
      <c r="AP218" s="550"/>
      <c r="AQ218" s="550"/>
      <c r="AR218" s="550"/>
      <c r="AS218" s="550"/>
      <c r="AT218" s="550"/>
      <c r="AU218" s="550"/>
      <c r="AV218" s="550"/>
      <c r="AW218" s="550"/>
      <c r="AX218" s="550"/>
      <c r="AY218" s="550"/>
      <c r="AZ218" s="550"/>
      <c r="BA218" s="550"/>
      <c r="BB218" s="550"/>
      <c r="BC218" s="550"/>
      <c r="BD218" s="550"/>
      <c r="BE218" s="550"/>
      <c r="BF218" s="550"/>
      <c r="BG218" s="550"/>
      <c r="BH218" s="550"/>
      <c r="BI218" s="550"/>
      <c r="BJ218" s="550"/>
      <c r="BK218" s="550"/>
      <c r="BL218" s="550"/>
      <c r="BM218" s="550"/>
      <c r="BN218" s="550"/>
      <c r="BO218" s="550"/>
      <c r="BP218" s="550"/>
      <c r="BQ218" s="550"/>
      <c r="BR218" s="550"/>
      <c r="BS218" s="550"/>
      <c r="BT218" s="550"/>
      <c r="BU218" s="550"/>
      <c r="BV218" s="550"/>
      <c r="BW218" s="550"/>
      <c r="BX218" s="550"/>
      <c r="BY218" s="550"/>
      <c r="BZ218" s="550"/>
      <c r="CA218" s="550"/>
      <c r="CB218" s="550"/>
      <c r="CC218" s="550"/>
      <c r="CD218" s="550"/>
      <c r="CE218" s="550"/>
      <c r="CF218" s="550"/>
      <c r="CG218" s="550"/>
      <c r="CH218" s="550"/>
      <c r="CI218" s="550"/>
      <c r="CJ218" s="550"/>
      <c r="CK218" s="550"/>
      <c r="CL218" s="550"/>
      <c r="CM218" s="550"/>
      <c r="CN218" s="550"/>
      <c r="CO218" s="550"/>
      <c r="CP218" s="550"/>
      <c r="CQ218" s="550"/>
      <c r="CR218" s="550"/>
      <c r="CS218" s="550"/>
      <c r="CT218" s="550"/>
      <c r="CU218" s="550"/>
      <c r="CV218" s="550"/>
      <c r="CW218" s="550"/>
    </row>
    <row r="219" spans="1:101" x14ac:dyDescent="0.2">
      <c r="A219" s="344">
        <f>+SUBTOTAL(3,$E$8:$E219)</f>
        <v>212</v>
      </c>
      <c r="B219" s="555">
        <v>45536</v>
      </c>
      <c r="C219" s="344" t="s">
        <v>483</v>
      </c>
      <c r="D219" s="344" t="str">
        <f>+VLOOKUP(C219,'Visual chart Edit'!$B$7:$C$491,2,FALSE)</f>
        <v>DA+3</v>
      </c>
      <c r="E219" s="344" t="s">
        <v>276</v>
      </c>
      <c r="F219" s="551">
        <v>45540</v>
      </c>
      <c r="G219" s="551">
        <v>45554</v>
      </c>
      <c r="H219" s="552" t="s">
        <v>584</v>
      </c>
      <c r="I219" s="553" t="s">
        <v>388</v>
      </c>
      <c r="J219" s="554">
        <f t="shared" si="3"/>
        <v>14</v>
      </c>
      <c r="K219" s="550"/>
      <c r="L219" s="550"/>
      <c r="M219" s="550"/>
      <c r="N219" s="550"/>
      <c r="O219" s="550"/>
      <c r="P219" s="550"/>
      <c r="Q219" s="550"/>
      <c r="R219" s="550"/>
      <c r="S219" s="550"/>
      <c r="T219" s="550"/>
      <c r="U219" s="550"/>
      <c r="V219" s="550"/>
      <c r="W219" s="550"/>
      <c r="X219" s="550"/>
      <c r="Y219" s="550"/>
      <c r="Z219" s="550"/>
      <c r="AA219" s="550"/>
      <c r="AB219" s="550"/>
      <c r="AC219" s="550"/>
      <c r="AD219" s="550"/>
      <c r="AE219" s="550"/>
      <c r="AF219" s="550"/>
      <c r="AG219" s="550"/>
      <c r="AH219" s="550"/>
      <c r="AI219" s="550"/>
      <c r="AJ219" s="550"/>
      <c r="AK219" s="550"/>
      <c r="AL219" s="550"/>
      <c r="AM219" s="550"/>
      <c r="AN219" s="550"/>
      <c r="AO219" s="550"/>
      <c r="AP219" s="550"/>
      <c r="AQ219" s="550"/>
      <c r="AR219" s="550"/>
      <c r="AS219" s="550"/>
      <c r="AT219" s="550"/>
      <c r="AU219" s="550"/>
      <c r="AV219" s="550"/>
      <c r="AW219" s="550"/>
      <c r="AX219" s="550"/>
      <c r="AY219" s="550"/>
      <c r="AZ219" s="550"/>
      <c r="BA219" s="550"/>
      <c r="BB219" s="550"/>
      <c r="BC219" s="550"/>
      <c r="BD219" s="550"/>
      <c r="BE219" s="550"/>
      <c r="BF219" s="550"/>
      <c r="BG219" s="550"/>
      <c r="BH219" s="550"/>
      <c r="BI219" s="550"/>
      <c r="BJ219" s="550"/>
      <c r="BK219" s="550"/>
      <c r="BL219" s="550"/>
      <c r="BM219" s="550"/>
      <c r="BN219" s="550"/>
      <c r="BO219" s="550"/>
      <c r="BP219" s="550"/>
      <c r="BQ219" s="550"/>
      <c r="BR219" s="550"/>
      <c r="BS219" s="550"/>
      <c r="BT219" s="550"/>
      <c r="BU219" s="550"/>
      <c r="BV219" s="550"/>
      <c r="BW219" s="550"/>
      <c r="BX219" s="550"/>
      <c r="BY219" s="550"/>
      <c r="BZ219" s="550"/>
      <c r="CA219" s="550"/>
      <c r="CB219" s="550"/>
      <c r="CC219" s="550"/>
      <c r="CD219" s="550"/>
      <c r="CE219" s="550"/>
      <c r="CF219" s="550"/>
      <c r="CG219" s="550"/>
      <c r="CH219" s="550"/>
      <c r="CI219" s="550"/>
      <c r="CJ219" s="550"/>
      <c r="CK219" s="550"/>
      <c r="CL219" s="550"/>
      <c r="CM219" s="550"/>
      <c r="CN219" s="550"/>
      <c r="CO219" s="550"/>
      <c r="CP219" s="550"/>
      <c r="CQ219" s="550"/>
      <c r="CR219" s="550"/>
      <c r="CS219" s="550"/>
      <c r="CT219" s="550"/>
      <c r="CU219" s="550"/>
      <c r="CV219" s="550"/>
      <c r="CW219" s="550"/>
    </row>
    <row r="220" spans="1:101" x14ac:dyDescent="0.2">
      <c r="A220" s="344">
        <f>+SUBTOTAL(3,$E$8:$E220)</f>
        <v>213</v>
      </c>
      <c r="B220" s="555">
        <v>45536</v>
      </c>
      <c r="C220" s="344" t="s">
        <v>861</v>
      </c>
      <c r="D220" s="344" t="str">
        <f>+VLOOKUP(C220,'Visual chart Edit'!$B$7:$C$491,2,FALSE)</f>
        <v>DA+0</v>
      </c>
      <c r="E220" s="344" t="s">
        <v>276</v>
      </c>
      <c r="F220" s="551">
        <v>45553</v>
      </c>
      <c r="G220" s="551">
        <v>45554</v>
      </c>
      <c r="H220" s="552" t="s">
        <v>880</v>
      </c>
      <c r="I220" s="553" t="s">
        <v>1021</v>
      </c>
      <c r="J220" s="554">
        <f t="shared" si="3"/>
        <v>1</v>
      </c>
      <c r="K220" s="550"/>
      <c r="L220" s="550"/>
      <c r="M220" s="550"/>
      <c r="N220" s="550"/>
      <c r="O220" s="550"/>
      <c r="P220" s="550"/>
      <c r="Q220" s="550"/>
      <c r="R220" s="550"/>
      <c r="S220" s="550"/>
      <c r="T220" s="550"/>
      <c r="U220" s="550"/>
      <c r="V220" s="550"/>
      <c r="W220" s="550"/>
      <c r="X220" s="550"/>
      <c r="Y220" s="550"/>
      <c r="Z220" s="550"/>
      <c r="AA220" s="550"/>
      <c r="AB220" s="550"/>
      <c r="AC220" s="550"/>
      <c r="AD220" s="550"/>
      <c r="AE220" s="550"/>
      <c r="AF220" s="550"/>
      <c r="AG220" s="550"/>
      <c r="AH220" s="550"/>
      <c r="AI220" s="550"/>
      <c r="AJ220" s="550"/>
      <c r="AK220" s="550"/>
      <c r="AL220" s="550"/>
      <c r="AM220" s="550"/>
      <c r="AN220" s="550"/>
      <c r="AO220" s="550"/>
      <c r="AP220" s="550"/>
      <c r="AQ220" s="550"/>
      <c r="AR220" s="550"/>
      <c r="AS220" s="550"/>
      <c r="AT220" s="550"/>
      <c r="AU220" s="550"/>
      <c r="AV220" s="550"/>
      <c r="AW220" s="550"/>
      <c r="AX220" s="550"/>
      <c r="AY220" s="550"/>
      <c r="AZ220" s="550"/>
      <c r="BA220" s="550"/>
      <c r="BB220" s="550"/>
      <c r="BC220" s="550"/>
      <c r="BD220" s="550"/>
      <c r="BE220" s="550"/>
      <c r="BF220" s="550"/>
      <c r="BG220" s="550"/>
      <c r="BH220" s="550"/>
      <c r="BI220" s="550"/>
      <c r="BJ220" s="550"/>
      <c r="BK220" s="550"/>
      <c r="BL220" s="550"/>
      <c r="BM220" s="550"/>
      <c r="BN220" s="550"/>
      <c r="BO220" s="550"/>
      <c r="BP220" s="550"/>
      <c r="BQ220" s="550"/>
      <c r="BR220" s="550"/>
      <c r="BS220" s="550"/>
      <c r="BT220" s="550"/>
      <c r="BU220" s="550"/>
      <c r="BV220" s="550"/>
      <c r="BW220" s="550"/>
      <c r="BX220" s="550"/>
      <c r="BY220" s="550"/>
      <c r="BZ220" s="550"/>
      <c r="CA220" s="550"/>
      <c r="CB220" s="550"/>
      <c r="CC220" s="550"/>
      <c r="CD220" s="550"/>
      <c r="CE220" s="550"/>
      <c r="CF220" s="550"/>
      <c r="CG220" s="550"/>
      <c r="CH220" s="550"/>
      <c r="CI220" s="550"/>
      <c r="CJ220" s="550"/>
      <c r="CK220" s="550"/>
      <c r="CL220" s="550"/>
      <c r="CM220" s="550"/>
      <c r="CN220" s="550"/>
      <c r="CO220" s="550"/>
      <c r="CP220" s="550"/>
      <c r="CQ220" s="550"/>
      <c r="CR220" s="550"/>
      <c r="CS220" s="550"/>
      <c r="CT220" s="550"/>
      <c r="CU220" s="550"/>
      <c r="CV220" s="550"/>
      <c r="CW220" s="550"/>
    </row>
    <row r="221" spans="1:101" x14ac:dyDescent="0.2">
      <c r="A221" s="344">
        <f>+SUBTOTAL(3,$E$8:$E221)</f>
        <v>214</v>
      </c>
      <c r="B221" s="555">
        <v>45536</v>
      </c>
      <c r="C221" s="344" t="s">
        <v>561</v>
      </c>
      <c r="D221" s="344" t="str">
        <f>+VLOOKUP(C221,'Visual chart Edit'!$B$7:$C$491,2,FALSE)</f>
        <v>DA+0</v>
      </c>
      <c r="E221" s="344" t="s">
        <v>143</v>
      </c>
      <c r="F221" s="551">
        <v>45540</v>
      </c>
      <c r="G221" s="551">
        <v>45555</v>
      </c>
      <c r="H221" s="552" t="s">
        <v>597</v>
      </c>
      <c r="I221" s="553" t="s">
        <v>222</v>
      </c>
      <c r="J221" s="554">
        <f t="shared" si="3"/>
        <v>15</v>
      </c>
      <c r="K221" s="550"/>
      <c r="L221" s="550"/>
      <c r="M221" s="550"/>
      <c r="N221" s="550"/>
      <c r="O221" s="550"/>
      <c r="P221" s="550"/>
      <c r="Q221" s="550"/>
      <c r="R221" s="550"/>
      <c r="S221" s="550"/>
      <c r="T221" s="550"/>
      <c r="U221" s="550"/>
      <c r="V221" s="550"/>
      <c r="W221" s="550"/>
      <c r="X221" s="550"/>
      <c r="Y221" s="550"/>
      <c r="Z221" s="550"/>
      <c r="AA221" s="550"/>
      <c r="AB221" s="550"/>
      <c r="AC221" s="550"/>
      <c r="AD221" s="550"/>
      <c r="AE221" s="550"/>
      <c r="AF221" s="550"/>
      <c r="AG221" s="550"/>
      <c r="AH221" s="550"/>
      <c r="AI221" s="550"/>
      <c r="AJ221" s="550"/>
      <c r="AK221" s="550"/>
      <c r="AL221" s="550"/>
      <c r="AM221" s="550"/>
      <c r="AN221" s="550"/>
      <c r="AO221" s="550"/>
      <c r="AP221" s="550"/>
      <c r="AQ221" s="550"/>
      <c r="AR221" s="550"/>
      <c r="AS221" s="550"/>
      <c r="AT221" s="550"/>
      <c r="AU221" s="550"/>
      <c r="AV221" s="550"/>
      <c r="AW221" s="550"/>
      <c r="AX221" s="550"/>
      <c r="AY221" s="550"/>
      <c r="AZ221" s="550"/>
      <c r="BA221" s="550"/>
      <c r="BB221" s="550"/>
      <c r="BC221" s="550"/>
      <c r="BD221" s="550"/>
      <c r="BE221" s="550"/>
      <c r="BF221" s="550"/>
      <c r="BG221" s="550"/>
      <c r="BH221" s="550"/>
      <c r="BI221" s="550"/>
      <c r="BJ221" s="550"/>
      <c r="BK221" s="550"/>
      <c r="BL221" s="550"/>
      <c r="BM221" s="550"/>
      <c r="BN221" s="550"/>
      <c r="BO221" s="550"/>
      <c r="BP221" s="550"/>
      <c r="BQ221" s="550"/>
      <c r="BR221" s="550"/>
      <c r="BS221" s="550"/>
      <c r="BT221" s="550"/>
      <c r="BU221" s="550"/>
      <c r="BV221" s="550"/>
      <c r="BW221" s="550"/>
      <c r="BX221" s="550"/>
      <c r="BY221" s="550"/>
      <c r="BZ221" s="550"/>
      <c r="CA221" s="550"/>
      <c r="CB221" s="550"/>
      <c r="CC221" s="550"/>
      <c r="CD221" s="550"/>
      <c r="CE221" s="550"/>
      <c r="CF221" s="550"/>
      <c r="CG221" s="550"/>
      <c r="CH221" s="550"/>
      <c r="CI221" s="550"/>
      <c r="CJ221" s="550"/>
      <c r="CK221" s="550"/>
      <c r="CL221" s="550"/>
      <c r="CM221" s="550"/>
      <c r="CN221" s="550"/>
      <c r="CO221" s="550"/>
      <c r="CP221" s="550"/>
      <c r="CQ221" s="550"/>
      <c r="CR221" s="550"/>
      <c r="CS221" s="550"/>
      <c r="CT221" s="550"/>
      <c r="CU221" s="550"/>
      <c r="CV221" s="550"/>
      <c r="CW221" s="550"/>
    </row>
    <row r="222" spans="1:101" x14ac:dyDescent="0.2">
      <c r="A222" s="344">
        <f>+SUBTOTAL(3,$E$8:$E222)</f>
        <v>215</v>
      </c>
      <c r="B222" s="555">
        <v>45536</v>
      </c>
      <c r="C222" s="344" t="s">
        <v>832</v>
      </c>
      <c r="D222" s="344" t="str">
        <f>+VLOOKUP(C222,'Visual chart Edit'!$B$7:$C$491,2,FALSE)</f>
        <v>DA+3</v>
      </c>
      <c r="E222" s="344" t="s">
        <v>276</v>
      </c>
      <c r="F222" s="551">
        <v>45554</v>
      </c>
      <c r="G222" s="551">
        <v>45555</v>
      </c>
      <c r="H222" s="552" t="s">
        <v>878</v>
      </c>
      <c r="I222" s="553" t="s">
        <v>1021</v>
      </c>
      <c r="J222" s="554">
        <f t="shared" si="3"/>
        <v>1</v>
      </c>
      <c r="K222" s="550"/>
      <c r="L222" s="550"/>
      <c r="M222" s="550"/>
      <c r="N222" s="550"/>
      <c r="O222" s="550"/>
      <c r="P222" s="550"/>
      <c r="Q222" s="550"/>
      <c r="R222" s="550"/>
      <c r="S222" s="550"/>
      <c r="T222" s="550"/>
      <c r="U222" s="550"/>
      <c r="V222" s="550"/>
      <c r="W222" s="550"/>
      <c r="X222" s="550"/>
      <c r="Y222" s="550"/>
      <c r="Z222" s="550"/>
      <c r="AA222" s="550"/>
      <c r="AB222" s="550"/>
      <c r="AC222" s="550"/>
      <c r="AD222" s="550"/>
      <c r="AE222" s="550"/>
      <c r="AF222" s="550"/>
      <c r="AG222" s="550"/>
      <c r="AH222" s="550"/>
      <c r="AI222" s="550"/>
      <c r="AJ222" s="550"/>
      <c r="AK222" s="550"/>
      <c r="AL222" s="550"/>
      <c r="AM222" s="550"/>
      <c r="AN222" s="550"/>
      <c r="AO222" s="550"/>
      <c r="AP222" s="550"/>
      <c r="AQ222" s="550"/>
      <c r="AR222" s="550"/>
      <c r="AS222" s="550"/>
      <c r="AT222" s="550"/>
      <c r="AU222" s="550"/>
      <c r="AV222" s="550"/>
      <c r="AW222" s="550"/>
      <c r="AX222" s="550"/>
      <c r="AY222" s="550"/>
      <c r="AZ222" s="550"/>
      <c r="BA222" s="550"/>
      <c r="BB222" s="550"/>
      <c r="BC222" s="550"/>
      <c r="BD222" s="550"/>
      <c r="BE222" s="550"/>
      <c r="BF222" s="550"/>
      <c r="BG222" s="550"/>
      <c r="BH222" s="550"/>
      <c r="BI222" s="550"/>
      <c r="BJ222" s="550"/>
      <c r="BK222" s="550"/>
      <c r="BL222" s="550"/>
      <c r="BM222" s="550"/>
      <c r="BN222" s="550"/>
      <c r="BO222" s="550"/>
      <c r="BP222" s="550"/>
      <c r="BQ222" s="550"/>
      <c r="BR222" s="550"/>
      <c r="BS222" s="550"/>
      <c r="BT222" s="550"/>
      <c r="BU222" s="550"/>
      <c r="BV222" s="550"/>
      <c r="BW222" s="550"/>
      <c r="BX222" s="550"/>
      <c r="BY222" s="550"/>
      <c r="BZ222" s="550"/>
      <c r="CA222" s="550"/>
      <c r="CB222" s="550"/>
      <c r="CC222" s="550"/>
      <c r="CD222" s="550"/>
      <c r="CE222" s="550"/>
      <c r="CF222" s="550"/>
      <c r="CG222" s="550"/>
      <c r="CH222" s="550"/>
      <c r="CI222" s="550"/>
      <c r="CJ222" s="550"/>
      <c r="CK222" s="550"/>
      <c r="CL222" s="550"/>
      <c r="CM222" s="550"/>
      <c r="CN222" s="550"/>
      <c r="CO222" s="550"/>
      <c r="CP222" s="550"/>
      <c r="CQ222" s="550"/>
      <c r="CR222" s="550"/>
      <c r="CS222" s="550"/>
      <c r="CT222" s="550"/>
      <c r="CU222" s="550"/>
      <c r="CV222" s="550"/>
      <c r="CW222" s="550"/>
    </row>
    <row r="223" spans="1:101" x14ac:dyDescent="0.2">
      <c r="A223" s="344">
        <f>+SUBTOTAL(3,$E$8:$E223)</f>
        <v>216</v>
      </c>
      <c r="B223" s="555">
        <v>45536</v>
      </c>
      <c r="C223" s="344" t="s">
        <v>182</v>
      </c>
      <c r="D223" s="344" t="str">
        <f>+VLOOKUP(C223,'Visual chart Edit'!$B$7:$C$491,2,FALSE)</f>
        <v>DA+0</v>
      </c>
      <c r="E223" s="344" t="s">
        <v>143</v>
      </c>
      <c r="F223" s="551">
        <v>45548</v>
      </c>
      <c r="G223" s="551">
        <v>45558</v>
      </c>
      <c r="H223" s="552" t="s">
        <v>582</v>
      </c>
      <c r="I223" s="553" t="s">
        <v>237</v>
      </c>
      <c r="J223" s="554">
        <f t="shared" si="3"/>
        <v>10</v>
      </c>
      <c r="K223" s="550"/>
      <c r="L223" s="550"/>
      <c r="M223" s="550"/>
      <c r="N223" s="550"/>
      <c r="O223" s="550"/>
      <c r="P223" s="550"/>
      <c r="Q223" s="550"/>
      <c r="R223" s="550"/>
      <c r="S223" s="550"/>
      <c r="T223" s="550"/>
      <c r="U223" s="550"/>
      <c r="V223" s="550"/>
      <c r="W223" s="550"/>
      <c r="X223" s="550"/>
      <c r="Y223" s="550"/>
      <c r="Z223" s="550"/>
      <c r="AA223" s="550"/>
      <c r="AB223" s="550"/>
      <c r="AC223" s="550"/>
      <c r="AD223" s="550"/>
      <c r="AE223" s="550"/>
      <c r="AF223" s="550"/>
      <c r="AG223" s="550"/>
      <c r="AH223" s="550"/>
      <c r="AI223" s="550"/>
      <c r="AJ223" s="550"/>
      <c r="AK223" s="550"/>
      <c r="AL223" s="550"/>
      <c r="AM223" s="550"/>
      <c r="AN223" s="550"/>
      <c r="AO223" s="550"/>
      <c r="AP223" s="550"/>
      <c r="AQ223" s="550"/>
      <c r="AR223" s="550"/>
      <c r="AS223" s="550"/>
      <c r="AT223" s="550"/>
      <c r="AU223" s="550"/>
      <c r="AV223" s="550"/>
      <c r="AW223" s="550"/>
      <c r="AX223" s="550"/>
      <c r="AY223" s="550"/>
      <c r="AZ223" s="550"/>
      <c r="BA223" s="550"/>
      <c r="BB223" s="550"/>
      <c r="BC223" s="550"/>
      <c r="BD223" s="550"/>
      <c r="BE223" s="550"/>
      <c r="BF223" s="550"/>
      <c r="BG223" s="550"/>
      <c r="BH223" s="550"/>
      <c r="BI223" s="550"/>
      <c r="BJ223" s="550"/>
      <c r="BK223" s="550"/>
      <c r="BL223" s="550"/>
      <c r="BM223" s="550"/>
      <c r="BN223" s="550"/>
      <c r="BO223" s="550"/>
      <c r="BP223" s="550"/>
      <c r="BQ223" s="550"/>
      <c r="BR223" s="550"/>
      <c r="BS223" s="550"/>
      <c r="BT223" s="550"/>
      <c r="BU223" s="550"/>
      <c r="BV223" s="550"/>
      <c r="BW223" s="550"/>
      <c r="BX223" s="550"/>
      <c r="BY223" s="550"/>
      <c r="BZ223" s="550"/>
      <c r="CA223" s="550"/>
      <c r="CB223" s="550"/>
      <c r="CC223" s="550"/>
      <c r="CD223" s="550"/>
      <c r="CE223" s="550"/>
      <c r="CF223" s="550"/>
      <c r="CG223" s="550"/>
      <c r="CH223" s="550"/>
      <c r="CI223" s="550"/>
      <c r="CJ223" s="550"/>
      <c r="CK223" s="550"/>
      <c r="CL223" s="550"/>
      <c r="CM223" s="550"/>
      <c r="CN223" s="550"/>
      <c r="CO223" s="550"/>
      <c r="CP223" s="550"/>
      <c r="CQ223" s="550"/>
      <c r="CR223" s="550"/>
      <c r="CS223" s="550"/>
      <c r="CT223" s="550"/>
      <c r="CU223" s="550"/>
      <c r="CV223" s="550"/>
      <c r="CW223" s="550"/>
    </row>
    <row r="224" spans="1:101" x14ac:dyDescent="0.2">
      <c r="A224" s="344">
        <f>+SUBTOTAL(3,$E$8:$E224)</f>
        <v>217</v>
      </c>
      <c r="B224" s="555">
        <v>45536</v>
      </c>
      <c r="C224" s="344" t="s">
        <v>860</v>
      </c>
      <c r="D224" s="344" t="str">
        <f>+VLOOKUP(C224,'Visual chart Edit'!$B$7:$C$491,2,FALSE)</f>
        <v>DA+0</v>
      </c>
      <c r="E224" s="344" t="s">
        <v>276</v>
      </c>
      <c r="F224" s="551">
        <v>45557</v>
      </c>
      <c r="G224" s="551">
        <v>45558</v>
      </c>
      <c r="H224" s="552" t="s">
        <v>880</v>
      </c>
      <c r="I224" s="553" t="s">
        <v>1020</v>
      </c>
      <c r="J224" s="554">
        <f t="shared" si="3"/>
        <v>1</v>
      </c>
      <c r="K224" s="550"/>
      <c r="L224" s="550"/>
      <c r="M224" s="550"/>
      <c r="N224" s="550"/>
      <c r="O224" s="550"/>
      <c r="P224" s="550"/>
      <c r="Q224" s="550"/>
      <c r="R224" s="550"/>
      <c r="S224" s="550"/>
      <c r="T224" s="550"/>
      <c r="U224" s="550"/>
      <c r="V224" s="550"/>
      <c r="W224" s="550"/>
      <c r="X224" s="550"/>
      <c r="Y224" s="550"/>
      <c r="Z224" s="550"/>
      <c r="AA224" s="550"/>
      <c r="AB224" s="550"/>
      <c r="AC224" s="550"/>
      <c r="AD224" s="550"/>
      <c r="AE224" s="550"/>
      <c r="AF224" s="550"/>
      <c r="AG224" s="550"/>
      <c r="AH224" s="550"/>
      <c r="AI224" s="550"/>
      <c r="AJ224" s="550"/>
      <c r="AK224" s="550"/>
      <c r="AL224" s="550"/>
      <c r="AM224" s="550"/>
      <c r="AN224" s="550"/>
      <c r="AO224" s="550"/>
      <c r="AP224" s="550"/>
      <c r="AQ224" s="550"/>
      <c r="AR224" s="550"/>
      <c r="AS224" s="550"/>
      <c r="AT224" s="550"/>
      <c r="AU224" s="550"/>
      <c r="AV224" s="550"/>
      <c r="AW224" s="550"/>
      <c r="AX224" s="550"/>
      <c r="AY224" s="550"/>
      <c r="AZ224" s="550"/>
      <c r="BA224" s="550"/>
      <c r="BB224" s="550"/>
      <c r="BC224" s="550"/>
      <c r="BD224" s="550"/>
      <c r="BE224" s="550"/>
      <c r="BF224" s="550"/>
      <c r="BG224" s="550"/>
      <c r="BH224" s="550"/>
      <c r="BI224" s="550"/>
      <c r="BJ224" s="550"/>
      <c r="BK224" s="550"/>
      <c r="BL224" s="550"/>
      <c r="BM224" s="550"/>
      <c r="BN224" s="550"/>
      <c r="BO224" s="550"/>
      <c r="BP224" s="550"/>
      <c r="BQ224" s="550"/>
      <c r="BR224" s="550"/>
      <c r="BS224" s="550"/>
      <c r="BT224" s="550"/>
      <c r="BU224" s="550"/>
      <c r="BV224" s="550"/>
      <c r="BW224" s="550"/>
      <c r="BX224" s="550"/>
      <c r="BY224" s="550"/>
      <c r="BZ224" s="550"/>
      <c r="CA224" s="550"/>
      <c r="CB224" s="550"/>
      <c r="CC224" s="550"/>
      <c r="CD224" s="550"/>
      <c r="CE224" s="550"/>
      <c r="CF224" s="550"/>
      <c r="CG224" s="550"/>
      <c r="CH224" s="550"/>
      <c r="CI224" s="550"/>
      <c r="CJ224" s="550"/>
      <c r="CK224" s="550"/>
      <c r="CL224" s="550"/>
      <c r="CM224" s="550"/>
      <c r="CN224" s="550"/>
      <c r="CO224" s="550"/>
      <c r="CP224" s="550"/>
      <c r="CQ224" s="550"/>
      <c r="CR224" s="550"/>
      <c r="CS224" s="550"/>
      <c r="CT224" s="550"/>
      <c r="CU224" s="550"/>
      <c r="CV224" s="550"/>
      <c r="CW224" s="550"/>
    </row>
    <row r="225" spans="1:101" x14ac:dyDescent="0.2">
      <c r="A225" s="344">
        <f>+SUBTOTAL(3,$E$8:$E225)</f>
        <v>218</v>
      </c>
      <c r="B225" s="555">
        <v>45536</v>
      </c>
      <c r="C225" s="344" t="s">
        <v>569</v>
      </c>
      <c r="D225" s="344" t="str">
        <f>+VLOOKUP(C225,'Visual chart Edit'!$B$7:$C$491,2,FALSE)</f>
        <v>DA+3</v>
      </c>
      <c r="E225" s="344" t="s">
        <v>143</v>
      </c>
      <c r="F225" s="551">
        <v>45545</v>
      </c>
      <c r="G225" s="551">
        <v>45560</v>
      </c>
      <c r="H225" s="552" t="s">
        <v>251</v>
      </c>
      <c r="I225" s="553" t="s">
        <v>222</v>
      </c>
      <c r="J225" s="554">
        <f t="shared" si="3"/>
        <v>15</v>
      </c>
      <c r="K225" s="550"/>
      <c r="L225" s="550"/>
      <c r="M225" s="550"/>
      <c r="N225" s="550"/>
      <c r="O225" s="550"/>
      <c r="P225" s="550"/>
      <c r="Q225" s="550"/>
      <c r="R225" s="550"/>
      <c r="S225" s="550"/>
      <c r="T225" s="550"/>
      <c r="U225" s="550"/>
      <c r="V225" s="550"/>
      <c r="W225" s="550"/>
      <c r="X225" s="550"/>
      <c r="Y225" s="550"/>
      <c r="Z225" s="550"/>
      <c r="AA225" s="550"/>
      <c r="AB225" s="550"/>
      <c r="AC225" s="550"/>
      <c r="AD225" s="550"/>
      <c r="AE225" s="550"/>
      <c r="AF225" s="550"/>
      <c r="AG225" s="550"/>
      <c r="AH225" s="550"/>
      <c r="AI225" s="550"/>
      <c r="AJ225" s="550"/>
      <c r="AK225" s="550"/>
      <c r="AL225" s="550"/>
      <c r="AM225" s="550"/>
      <c r="AN225" s="550"/>
      <c r="AO225" s="550"/>
      <c r="AP225" s="550"/>
      <c r="AQ225" s="550"/>
      <c r="AR225" s="550"/>
      <c r="AS225" s="550"/>
      <c r="AT225" s="550"/>
      <c r="AU225" s="550"/>
      <c r="AV225" s="550"/>
      <c r="AW225" s="550"/>
      <c r="AX225" s="550"/>
      <c r="AY225" s="550"/>
      <c r="AZ225" s="550"/>
      <c r="BA225" s="550"/>
      <c r="BB225" s="550"/>
      <c r="BC225" s="550"/>
      <c r="BD225" s="550"/>
      <c r="BE225" s="550"/>
      <c r="BF225" s="550"/>
      <c r="BG225" s="550"/>
      <c r="BH225" s="550"/>
      <c r="BI225" s="550"/>
      <c r="BJ225" s="550"/>
      <c r="BK225" s="550"/>
      <c r="BL225" s="550"/>
      <c r="BM225" s="550"/>
      <c r="BN225" s="550"/>
      <c r="BO225" s="550"/>
      <c r="BP225" s="550"/>
      <c r="BQ225" s="550"/>
      <c r="BR225" s="550"/>
      <c r="BS225" s="550"/>
      <c r="BT225" s="550"/>
      <c r="BU225" s="550"/>
      <c r="BV225" s="550"/>
      <c r="BW225" s="550"/>
      <c r="BX225" s="550"/>
      <c r="BY225" s="550"/>
      <c r="BZ225" s="550"/>
      <c r="CA225" s="550"/>
      <c r="CB225" s="550"/>
      <c r="CC225" s="550"/>
      <c r="CD225" s="550"/>
      <c r="CE225" s="550"/>
      <c r="CF225" s="550"/>
      <c r="CG225" s="550"/>
      <c r="CH225" s="550"/>
      <c r="CI225" s="550"/>
      <c r="CJ225" s="550"/>
      <c r="CK225" s="550"/>
      <c r="CL225" s="550"/>
      <c r="CM225" s="550"/>
      <c r="CN225" s="550"/>
      <c r="CO225" s="550"/>
      <c r="CP225" s="550"/>
      <c r="CQ225" s="550"/>
      <c r="CR225" s="550"/>
      <c r="CS225" s="550"/>
      <c r="CT225" s="550"/>
      <c r="CU225" s="550"/>
      <c r="CV225" s="550"/>
      <c r="CW225" s="550"/>
    </row>
    <row r="226" spans="1:101" x14ac:dyDescent="0.2">
      <c r="A226" s="344">
        <f>+SUBTOTAL(3,$E$8:$E226)</f>
        <v>219</v>
      </c>
      <c r="B226" s="555">
        <v>45536</v>
      </c>
      <c r="C226" s="344" t="s">
        <v>490</v>
      </c>
      <c r="D226" s="344" t="str">
        <f>+VLOOKUP(C226,'Visual chart Edit'!$B$7:$C$491,2,FALSE)</f>
        <v>DA+9</v>
      </c>
      <c r="E226" s="344" t="s">
        <v>276</v>
      </c>
      <c r="F226" s="551">
        <v>45554</v>
      </c>
      <c r="G226" s="551">
        <v>45560</v>
      </c>
      <c r="H226" s="552" t="s">
        <v>548</v>
      </c>
      <c r="I226" s="553" t="s">
        <v>388</v>
      </c>
      <c r="J226" s="554">
        <f t="shared" si="3"/>
        <v>6</v>
      </c>
      <c r="K226" s="550"/>
      <c r="L226" s="550"/>
      <c r="M226" s="550"/>
      <c r="N226" s="550"/>
      <c r="O226" s="550"/>
      <c r="P226" s="550"/>
      <c r="Q226" s="550"/>
      <c r="R226" s="550"/>
      <c r="S226" s="550"/>
      <c r="T226" s="550"/>
      <c r="U226" s="550"/>
      <c r="V226" s="550"/>
      <c r="W226" s="550"/>
      <c r="X226" s="550"/>
      <c r="Y226" s="550"/>
      <c r="Z226" s="550"/>
      <c r="AA226" s="550"/>
      <c r="AB226" s="550"/>
      <c r="AC226" s="550"/>
      <c r="AD226" s="550"/>
      <c r="AE226" s="550"/>
      <c r="AF226" s="550"/>
      <c r="AG226" s="550"/>
      <c r="AH226" s="550"/>
      <c r="AI226" s="550"/>
      <c r="AJ226" s="550"/>
      <c r="AK226" s="550"/>
      <c r="AL226" s="550"/>
      <c r="AM226" s="550"/>
      <c r="AN226" s="550"/>
      <c r="AO226" s="550"/>
      <c r="AP226" s="550"/>
      <c r="AQ226" s="550"/>
      <c r="AR226" s="550"/>
      <c r="AS226" s="550"/>
      <c r="AT226" s="550"/>
      <c r="AU226" s="550"/>
      <c r="AV226" s="550"/>
      <c r="AW226" s="550"/>
      <c r="AX226" s="550"/>
      <c r="AY226" s="550"/>
      <c r="AZ226" s="550"/>
      <c r="BA226" s="550"/>
      <c r="BB226" s="550"/>
      <c r="BC226" s="550"/>
      <c r="BD226" s="550"/>
      <c r="BE226" s="550"/>
      <c r="BF226" s="550"/>
      <c r="BG226" s="550"/>
      <c r="BH226" s="550"/>
      <c r="BI226" s="550"/>
      <c r="BJ226" s="550"/>
      <c r="BK226" s="550"/>
      <c r="BL226" s="550"/>
      <c r="BM226" s="550"/>
      <c r="BN226" s="550"/>
      <c r="BO226" s="550"/>
      <c r="BP226" s="550"/>
      <c r="BQ226" s="550"/>
      <c r="BR226" s="550"/>
      <c r="BS226" s="550"/>
      <c r="BT226" s="550"/>
      <c r="BU226" s="550"/>
      <c r="BV226" s="550"/>
      <c r="BW226" s="550"/>
      <c r="BX226" s="550"/>
      <c r="BY226" s="550"/>
      <c r="BZ226" s="550"/>
      <c r="CA226" s="550"/>
      <c r="CB226" s="550"/>
      <c r="CC226" s="550"/>
      <c r="CD226" s="550"/>
      <c r="CE226" s="550"/>
      <c r="CF226" s="550"/>
      <c r="CG226" s="550"/>
      <c r="CH226" s="550"/>
      <c r="CI226" s="550"/>
      <c r="CJ226" s="550"/>
      <c r="CK226" s="550"/>
      <c r="CL226" s="550"/>
      <c r="CM226" s="550"/>
      <c r="CN226" s="550"/>
      <c r="CO226" s="550"/>
      <c r="CP226" s="550"/>
      <c r="CQ226" s="550"/>
      <c r="CR226" s="550"/>
      <c r="CS226" s="550"/>
      <c r="CT226" s="550"/>
      <c r="CU226" s="550"/>
      <c r="CV226" s="550"/>
      <c r="CW226" s="550"/>
    </row>
    <row r="227" spans="1:101" x14ac:dyDescent="0.2">
      <c r="A227" s="344">
        <f>+SUBTOTAL(3,$E$8:$E227)</f>
        <v>220</v>
      </c>
      <c r="B227" s="555">
        <v>45536</v>
      </c>
      <c r="C227" s="344" t="s">
        <v>553</v>
      </c>
      <c r="D227" s="344" t="str">
        <f>+VLOOKUP(C227,'Visual chart Edit'!$B$7:$C$491,2,FALSE)</f>
        <v>DA+3</v>
      </c>
      <c r="E227" s="344" t="s">
        <v>143</v>
      </c>
      <c r="F227" s="551">
        <v>45554</v>
      </c>
      <c r="G227" s="551">
        <v>45560</v>
      </c>
      <c r="H227" s="552" t="s">
        <v>604</v>
      </c>
      <c r="I227" s="553" t="s">
        <v>222</v>
      </c>
      <c r="J227" s="554">
        <f t="shared" si="3"/>
        <v>6</v>
      </c>
      <c r="K227" s="550"/>
      <c r="L227" s="550"/>
      <c r="M227" s="550"/>
      <c r="N227" s="550"/>
      <c r="O227" s="550"/>
      <c r="P227" s="550"/>
      <c r="Q227" s="550"/>
      <c r="R227" s="550"/>
      <c r="S227" s="550"/>
      <c r="T227" s="550"/>
      <c r="U227" s="550"/>
      <c r="V227" s="550"/>
      <c r="W227" s="550"/>
      <c r="X227" s="550"/>
      <c r="Y227" s="550"/>
      <c r="Z227" s="550"/>
      <c r="AA227" s="550"/>
      <c r="AB227" s="550"/>
      <c r="AC227" s="550"/>
      <c r="AD227" s="550"/>
      <c r="AE227" s="550"/>
      <c r="AF227" s="550"/>
      <c r="AG227" s="550"/>
      <c r="AH227" s="550"/>
      <c r="AI227" s="550"/>
      <c r="AJ227" s="550"/>
      <c r="AK227" s="550"/>
      <c r="AL227" s="550"/>
      <c r="AM227" s="550"/>
      <c r="AN227" s="550"/>
      <c r="AO227" s="550"/>
      <c r="AP227" s="550"/>
      <c r="AQ227" s="550"/>
      <c r="AR227" s="550"/>
      <c r="AS227" s="550"/>
      <c r="AT227" s="550"/>
      <c r="AU227" s="550"/>
      <c r="AV227" s="550"/>
      <c r="AW227" s="550"/>
      <c r="AX227" s="550"/>
      <c r="AY227" s="550"/>
      <c r="AZ227" s="550"/>
      <c r="BA227" s="550"/>
      <c r="BB227" s="550"/>
      <c r="BC227" s="550"/>
      <c r="BD227" s="550"/>
      <c r="BE227" s="550"/>
      <c r="BF227" s="550"/>
      <c r="BG227" s="550"/>
      <c r="BH227" s="550"/>
      <c r="BI227" s="550"/>
      <c r="BJ227" s="550"/>
      <c r="BK227" s="550"/>
      <c r="BL227" s="550"/>
      <c r="BM227" s="550"/>
      <c r="BN227" s="550"/>
      <c r="BO227" s="550"/>
      <c r="BP227" s="550"/>
      <c r="BQ227" s="550"/>
      <c r="BR227" s="550"/>
      <c r="BS227" s="550"/>
      <c r="BT227" s="550"/>
      <c r="BU227" s="550"/>
      <c r="BV227" s="550"/>
      <c r="BW227" s="550"/>
      <c r="BX227" s="550"/>
      <c r="BY227" s="550"/>
      <c r="BZ227" s="550"/>
      <c r="CA227" s="550"/>
      <c r="CB227" s="550"/>
      <c r="CC227" s="550"/>
      <c r="CD227" s="550"/>
      <c r="CE227" s="550"/>
      <c r="CF227" s="550"/>
      <c r="CG227" s="550"/>
      <c r="CH227" s="550"/>
      <c r="CI227" s="550"/>
      <c r="CJ227" s="550"/>
      <c r="CK227" s="550"/>
      <c r="CL227" s="550"/>
      <c r="CM227" s="550"/>
      <c r="CN227" s="550"/>
      <c r="CO227" s="550"/>
      <c r="CP227" s="550"/>
      <c r="CQ227" s="550"/>
      <c r="CR227" s="550"/>
      <c r="CS227" s="550"/>
      <c r="CT227" s="550"/>
      <c r="CU227" s="550"/>
      <c r="CV227" s="550"/>
      <c r="CW227" s="550"/>
    </row>
    <row r="228" spans="1:101" x14ac:dyDescent="0.2">
      <c r="A228" s="344">
        <f>+SUBTOTAL(3,$E$8:$E228)</f>
        <v>221</v>
      </c>
      <c r="B228" s="555">
        <v>45536</v>
      </c>
      <c r="C228" s="344" t="s">
        <v>863</v>
      </c>
      <c r="D228" s="344" t="str">
        <f>+VLOOKUP(C228,'Visual chart Edit'!$B$7:$C$491,2,FALSE)</f>
        <v>DA+3</v>
      </c>
      <c r="E228" s="344" t="s">
        <v>276</v>
      </c>
      <c r="F228" s="551">
        <v>45558</v>
      </c>
      <c r="G228" s="551">
        <v>45560</v>
      </c>
      <c r="H228" s="552" t="s">
        <v>236</v>
      </c>
      <c r="I228" s="553" t="s">
        <v>1020</v>
      </c>
      <c r="J228" s="554">
        <f t="shared" si="3"/>
        <v>2</v>
      </c>
      <c r="K228" s="550"/>
      <c r="L228" s="550"/>
      <c r="M228" s="550"/>
      <c r="N228" s="550"/>
      <c r="O228" s="550"/>
      <c r="P228" s="550"/>
      <c r="Q228" s="550"/>
      <c r="R228" s="550"/>
      <c r="S228" s="550"/>
      <c r="T228" s="550"/>
      <c r="U228" s="550"/>
      <c r="V228" s="550"/>
      <c r="W228" s="550"/>
      <c r="X228" s="550"/>
      <c r="Y228" s="550"/>
      <c r="Z228" s="550"/>
      <c r="AA228" s="550"/>
      <c r="AB228" s="550"/>
      <c r="AC228" s="550"/>
      <c r="AD228" s="550"/>
      <c r="AE228" s="550"/>
      <c r="AF228" s="550"/>
      <c r="AG228" s="550"/>
      <c r="AH228" s="550"/>
      <c r="AI228" s="550"/>
      <c r="AJ228" s="550"/>
      <c r="AK228" s="550"/>
      <c r="AL228" s="550"/>
      <c r="AM228" s="550"/>
      <c r="AN228" s="550"/>
      <c r="AO228" s="550"/>
      <c r="AP228" s="550"/>
      <c r="AQ228" s="550"/>
      <c r="AR228" s="550"/>
      <c r="AS228" s="550"/>
      <c r="AT228" s="550"/>
      <c r="AU228" s="550"/>
      <c r="AV228" s="550"/>
      <c r="AW228" s="550"/>
      <c r="AX228" s="550"/>
      <c r="AY228" s="550"/>
      <c r="AZ228" s="550"/>
      <c r="BA228" s="550"/>
      <c r="BB228" s="550"/>
      <c r="BC228" s="550"/>
      <c r="BD228" s="550"/>
      <c r="BE228" s="550"/>
      <c r="BF228" s="550"/>
      <c r="BG228" s="550"/>
      <c r="BH228" s="550"/>
      <c r="BI228" s="550"/>
      <c r="BJ228" s="550"/>
      <c r="BK228" s="550"/>
      <c r="BL228" s="550"/>
      <c r="BM228" s="550"/>
      <c r="BN228" s="550"/>
      <c r="BO228" s="550"/>
      <c r="BP228" s="550"/>
      <c r="BQ228" s="550"/>
      <c r="BR228" s="550"/>
      <c r="BS228" s="550"/>
      <c r="BT228" s="550"/>
      <c r="BU228" s="550"/>
      <c r="BV228" s="550"/>
      <c r="BW228" s="550"/>
      <c r="BX228" s="550"/>
      <c r="BY228" s="550"/>
      <c r="BZ228" s="550"/>
      <c r="CA228" s="550"/>
      <c r="CB228" s="550"/>
      <c r="CC228" s="550"/>
      <c r="CD228" s="550"/>
      <c r="CE228" s="550"/>
      <c r="CF228" s="550"/>
      <c r="CG228" s="550"/>
      <c r="CH228" s="550"/>
      <c r="CI228" s="550"/>
      <c r="CJ228" s="550"/>
      <c r="CK228" s="550"/>
      <c r="CL228" s="550"/>
      <c r="CM228" s="550"/>
      <c r="CN228" s="550"/>
      <c r="CO228" s="550"/>
      <c r="CP228" s="550"/>
      <c r="CQ228" s="550"/>
      <c r="CR228" s="550"/>
      <c r="CS228" s="550"/>
      <c r="CT228" s="550"/>
      <c r="CU228" s="550"/>
      <c r="CV228" s="550"/>
      <c r="CW228" s="550"/>
    </row>
    <row r="229" spans="1:101" x14ac:dyDescent="0.2">
      <c r="A229" s="344">
        <f>+SUBTOTAL(3,$E$8:$E229)</f>
        <v>222</v>
      </c>
      <c r="B229" s="555">
        <v>45536</v>
      </c>
      <c r="C229" s="344" t="s">
        <v>754</v>
      </c>
      <c r="D229" s="344" t="str">
        <f>+VLOOKUP(C229,'Visual chart Edit'!$B$7:$C$491,2,FALSE)</f>
        <v>DA+3</v>
      </c>
      <c r="E229" s="344" t="s">
        <v>276</v>
      </c>
      <c r="F229" s="551">
        <v>45555</v>
      </c>
      <c r="G229" s="551">
        <v>45560</v>
      </c>
      <c r="H229" s="552" t="s">
        <v>878</v>
      </c>
      <c r="I229" s="553" t="s">
        <v>1024</v>
      </c>
      <c r="J229" s="554">
        <f t="shared" si="3"/>
        <v>5</v>
      </c>
      <c r="K229" s="550"/>
      <c r="L229" s="550"/>
      <c r="M229" s="550"/>
      <c r="N229" s="550"/>
      <c r="O229" s="550"/>
      <c r="P229" s="550"/>
      <c r="Q229" s="550"/>
      <c r="R229" s="550"/>
      <c r="S229" s="550"/>
      <c r="T229" s="550"/>
      <c r="U229" s="550"/>
      <c r="V229" s="550"/>
      <c r="W229" s="550"/>
      <c r="X229" s="550"/>
      <c r="Y229" s="550"/>
      <c r="Z229" s="550"/>
      <c r="AA229" s="550"/>
      <c r="AB229" s="550"/>
      <c r="AC229" s="550"/>
      <c r="AD229" s="550"/>
      <c r="AE229" s="550"/>
      <c r="AF229" s="550"/>
      <c r="AG229" s="550"/>
      <c r="AH229" s="550"/>
      <c r="AI229" s="550"/>
      <c r="AJ229" s="550"/>
      <c r="AK229" s="550"/>
      <c r="AL229" s="550"/>
      <c r="AM229" s="550"/>
      <c r="AN229" s="550"/>
      <c r="AO229" s="550"/>
      <c r="AP229" s="550"/>
      <c r="AQ229" s="550"/>
      <c r="AR229" s="550"/>
      <c r="AS229" s="550"/>
      <c r="AT229" s="550"/>
      <c r="AU229" s="550"/>
      <c r="AV229" s="550"/>
      <c r="AW229" s="550"/>
      <c r="AX229" s="550"/>
      <c r="AY229" s="550"/>
      <c r="AZ229" s="550"/>
      <c r="BA229" s="550"/>
      <c r="BB229" s="550"/>
      <c r="BC229" s="550"/>
      <c r="BD229" s="550"/>
      <c r="BE229" s="550"/>
      <c r="BF229" s="550"/>
      <c r="BG229" s="550"/>
      <c r="BH229" s="550"/>
      <c r="BI229" s="550"/>
      <c r="BJ229" s="550"/>
      <c r="BK229" s="550"/>
      <c r="BL229" s="550"/>
      <c r="BM229" s="550"/>
      <c r="BN229" s="550"/>
      <c r="BO229" s="550"/>
      <c r="BP229" s="550"/>
      <c r="BQ229" s="550"/>
      <c r="BR229" s="550"/>
      <c r="BS229" s="550"/>
      <c r="BT229" s="550"/>
      <c r="BU229" s="550"/>
      <c r="BV229" s="550"/>
      <c r="BW229" s="550"/>
      <c r="BX229" s="550"/>
      <c r="BY229" s="550"/>
      <c r="BZ229" s="550"/>
      <c r="CA229" s="550"/>
      <c r="CB229" s="550"/>
      <c r="CC229" s="550"/>
      <c r="CD229" s="550"/>
      <c r="CE229" s="550"/>
      <c r="CF229" s="550"/>
      <c r="CG229" s="550"/>
      <c r="CH229" s="550"/>
      <c r="CI229" s="550"/>
      <c r="CJ229" s="550"/>
      <c r="CK229" s="550"/>
      <c r="CL229" s="550"/>
      <c r="CM229" s="550"/>
      <c r="CN229" s="550"/>
      <c r="CO229" s="550"/>
      <c r="CP229" s="550"/>
      <c r="CQ229" s="550"/>
      <c r="CR229" s="550"/>
      <c r="CS229" s="550"/>
      <c r="CT229" s="550"/>
      <c r="CU229" s="550"/>
      <c r="CV229" s="550"/>
      <c r="CW229" s="550"/>
    </row>
    <row r="230" spans="1:101" x14ac:dyDescent="0.2">
      <c r="A230" s="344">
        <f>+SUBTOTAL(3,$E$8:$E230)</f>
        <v>223</v>
      </c>
      <c r="B230" s="555">
        <v>45536</v>
      </c>
      <c r="C230" s="555" t="s">
        <v>516</v>
      </c>
      <c r="D230" s="344" t="str">
        <f>+VLOOKUP(C230,'Visual chart Edit'!$B$7:$C$491,2,FALSE)</f>
        <v>DA+0</v>
      </c>
      <c r="E230" s="344" t="s">
        <v>276</v>
      </c>
      <c r="F230" s="551">
        <v>45555</v>
      </c>
      <c r="G230" s="551">
        <v>45561</v>
      </c>
      <c r="H230" s="552" t="s">
        <v>394</v>
      </c>
      <c r="I230" s="553" t="s">
        <v>237</v>
      </c>
      <c r="J230" s="554">
        <f t="shared" si="3"/>
        <v>6</v>
      </c>
      <c r="K230" s="550"/>
      <c r="L230" s="550"/>
      <c r="M230" s="550"/>
      <c r="N230" s="550"/>
      <c r="O230" s="550"/>
      <c r="P230" s="550"/>
      <c r="Q230" s="550"/>
      <c r="R230" s="550"/>
      <c r="S230" s="550"/>
      <c r="T230" s="550"/>
      <c r="U230" s="550"/>
      <c r="V230" s="550"/>
      <c r="W230" s="550"/>
      <c r="X230" s="550"/>
      <c r="Y230" s="550"/>
      <c r="Z230" s="550"/>
      <c r="AA230" s="550"/>
      <c r="AB230" s="550"/>
      <c r="AC230" s="550"/>
      <c r="AD230" s="550"/>
      <c r="AE230" s="550"/>
      <c r="AF230" s="550"/>
      <c r="AG230" s="550"/>
      <c r="AH230" s="550"/>
      <c r="AI230" s="550"/>
      <c r="AJ230" s="550"/>
      <c r="AK230" s="550"/>
      <c r="AL230" s="550"/>
      <c r="AM230" s="550"/>
      <c r="AN230" s="550"/>
      <c r="AO230" s="550"/>
      <c r="AP230" s="550"/>
      <c r="AQ230" s="550"/>
      <c r="AR230" s="550"/>
      <c r="AS230" s="550"/>
      <c r="AT230" s="550"/>
      <c r="AU230" s="550"/>
      <c r="AV230" s="550"/>
      <c r="AW230" s="550"/>
      <c r="AX230" s="550"/>
      <c r="AY230" s="550"/>
      <c r="AZ230" s="550"/>
      <c r="BA230" s="550"/>
      <c r="BB230" s="550"/>
      <c r="BC230" s="550"/>
      <c r="BD230" s="550"/>
      <c r="BE230" s="550"/>
      <c r="BF230" s="550"/>
      <c r="BG230" s="550"/>
      <c r="BH230" s="550"/>
      <c r="BI230" s="550"/>
      <c r="BJ230" s="550"/>
      <c r="BK230" s="550"/>
      <c r="BL230" s="550"/>
      <c r="BM230" s="550"/>
      <c r="BN230" s="550"/>
      <c r="BO230" s="550"/>
      <c r="BP230" s="550"/>
      <c r="BQ230" s="550"/>
      <c r="BR230" s="550"/>
      <c r="BS230" s="550"/>
      <c r="BT230" s="550"/>
      <c r="BU230" s="550"/>
      <c r="BV230" s="550"/>
      <c r="BW230" s="550"/>
      <c r="BX230" s="550"/>
      <c r="BY230" s="550"/>
      <c r="BZ230" s="550"/>
      <c r="CA230" s="550"/>
      <c r="CB230" s="550"/>
      <c r="CC230" s="550"/>
      <c r="CD230" s="550"/>
      <c r="CE230" s="550"/>
      <c r="CF230" s="550"/>
      <c r="CG230" s="550"/>
      <c r="CH230" s="550"/>
      <c r="CI230" s="550"/>
      <c r="CJ230" s="550"/>
      <c r="CK230" s="550"/>
      <c r="CL230" s="550"/>
      <c r="CM230" s="550"/>
      <c r="CN230" s="550"/>
      <c r="CO230" s="550"/>
      <c r="CP230" s="550"/>
      <c r="CQ230" s="550"/>
      <c r="CR230" s="550"/>
      <c r="CS230" s="550"/>
      <c r="CT230" s="550"/>
      <c r="CU230" s="550"/>
      <c r="CV230" s="550"/>
      <c r="CW230" s="550"/>
    </row>
    <row r="231" spans="1:101" x14ac:dyDescent="0.2">
      <c r="A231" s="344">
        <f>+SUBTOTAL(3,$E$8:$E231)</f>
        <v>224</v>
      </c>
      <c r="B231" s="555">
        <v>45536</v>
      </c>
      <c r="C231" s="344" t="s">
        <v>854</v>
      </c>
      <c r="D231" s="344" t="str">
        <f>+VLOOKUP(C231,'Visual chart Edit'!$B$7:$C$491,2,FALSE)</f>
        <v>DA+0</v>
      </c>
      <c r="E231" s="344" t="s">
        <v>276</v>
      </c>
      <c r="F231" s="551">
        <v>45560</v>
      </c>
      <c r="G231" s="551">
        <v>45561</v>
      </c>
      <c r="H231" s="552" t="s">
        <v>880</v>
      </c>
      <c r="I231" s="553" t="s">
        <v>1020</v>
      </c>
      <c r="J231" s="554">
        <f t="shared" si="3"/>
        <v>1</v>
      </c>
      <c r="K231" s="550"/>
      <c r="L231" s="550"/>
      <c r="M231" s="550"/>
      <c r="N231" s="550"/>
      <c r="O231" s="550"/>
      <c r="P231" s="550"/>
      <c r="Q231" s="550"/>
      <c r="R231" s="550"/>
      <c r="S231" s="550"/>
      <c r="T231" s="550"/>
      <c r="U231" s="550"/>
      <c r="V231" s="550"/>
      <c r="W231" s="550"/>
      <c r="X231" s="550"/>
      <c r="Y231" s="550"/>
      <c r="Z231" s="550"/>
      <c r="AA231" s="550"/>
      <c r="AB231" s="550"/>
      <c r="AC231" s="550"/>
      <c r="AD231" s="550"/>
      <c r="AE231" s="550"/>
      <c r="AF231" s="550"/>
      <c r="AG231" s="550"/>
      <c r="AH231" s="550"/>
      <c r="AI231" s="550"/>
      <c r="AJ231" s="550"/>
      <c r="AK231" s="550"/>
      <c r="AL231" s="550"/>
      <c r="AM231" s="550"/>
      <c r="AN231" s="550"/>
      <c r="AO231" s="550"/>
      <c r="AP231" s="550"/>
      <c r="AQ231" s="550"/>
      <c r="AR231" s="550"/>
      <c r="AS231" s="550"/>
      <c r="AT231" s="550"/>
      <c r="AU231" s="550"/>
      <c r="AV231" s="550"/>
      <c r="AW231" s="550"/>
      <c r="AX231" s="550"/>
      <c r="AY231" s="550"/>
      <c r="AZ231" s="550"/>
      <c r="BA231" s="550"/>
      <c r="BB231" s="550"/>
      <c r="BC231" s="550"/>
      <c r="BD231" s="550"/>
      <c r="BE231" s="550"/>
      <c r="BF231" s="550"/>
      <c r="BG231" s="550"/>
      <c r="BH231" s="550"/>
      <c r="BI231" s="550"/>
      <c r="BJ231" s="550"/>
      <c r="BK231" s="550"/>
      <c r="BL231" s="550"/>
      <c r="BM231" s="550"/>
      <c r="BN231" s="550"/>
      <c r="BO231" s="550"/>
      <c r="BP231" s="550"/>
      <c r="BQ231" s="550"/>
      <c r="BR231" s="550"/>
      <c r="BS231" s="550"/>
      <c r="BT231" s="550"/>
      <c r="BU231" s="550"/>
      <c r="BV231" s="550"/>
      <c r="BW231" s="550"/>
      <c r="BX231" s="550"/>
      <c r="BY231" s="550"/>
      <c r="BZ231" s="550"/>
      <c r="CA231" s="550"/>
      <c r="CB231" s="550"/>
      <c r="CC231" s="550"/>
      <c r="CD231" s="550"/>
      <c r="CE231" s="550"/>
      <c r="CF231" s="550"/>
      <c r="CG231" s="550"/>
      <c r="CH231" s="550"/>
      <c r="CI231" s="550"/>
      <c r="CJ231" s="550"/>
      <c r="CK231" s="550"/>
      <c r="CL231" s="550"/>
      <c r="CM231" s="550"/>
      <c r="CN231" s="550"/>
      <c r="CO231" s="550"/>
      <c r="CP231" s="550"/>
      <c r="CQ231" s="550"/>
      <c r="CR231" s="550"/>
      <c r="CS231" s="550"/>
      <c r="CT231" s="550"/>
      <c r="CU231" s="550"/>
      <c r="CV231" s="550"/>
      <c r="CW231" s="550"/>
    </row>
    <row r="232" spans="1:101" x14ac:dyDescent="0.2">
      <c r="A232" s="344">
        <f>+SUBTOTAL(3,$E$8:$E232)</f>
        <v>225</v>
      </c>
      <c r="B232" s="555">
        <v>45536</v>
      </c>
      <c r="C232" s="344" t="s">
        <v>503</v>
      </c>
      <c r="D232" s="344" t="str">
        <f>+VLOOKUP(C232,'Visual chart Edit'!$B$7:$C$491,2,FALSE)</f>
        <v>DB2+3</v>
      </c>
      <c r="E232" s="344" t="s">
        <v>276</v>
      </c>
      <c r="F232" s="551">
        <v>45554</v>
      </c>
      <c r="G232" s="551">
        <v>45562</v>
      </c>
      <c r="H232" s="552" t="s">
        <v>591</v>
      </c>
      <c r="I232" s="553" t="s">
        <v>237</v>
      </c>
      <c r="J232" s="554">
        <f t="shared" si="3"/>
        <v>8</v>
      </c>
      <c r="K232" s="550"/>
      <c r="L232" s="550"/>
      <c r="M232" s="550"/>
      <c r="N232" s="550"/>
      <c r="O232" s="550"/>
      <c r="P232" s="550"/>
      <c r="Q232" s="550"/>
      <c r="R232" s="550"/>
      <c r="S232" s="550"/>
      <c r="T232" s="550"/>
      <c r="U232" s="550"/>
      <c r="V232" s="550"/>
      <c r="W232" s="550"/>
      <c r="X232" s="550"/>
      <c r="Y232" s="550"/>
      <c r="Z232" s="550"/>
      <c r="AA232" s="550"/>
      <c r="AB232" s="550"/>
      <c r="AC232" s="550"/>
      <c r="AD232" s="550"/>
      <c r="AE232" s="550"/>
      <c r="AF232" s="550"/>
      <c r="AG232" s="550"/>
      <c r="AH232" s="550"/>
      <c r="AI232" s="550"/>
      <c r="AJ232" s="550"/>
      <c r="AK232" s="550"/>
      <c r="AL232" s="550"/>
      <c r="AM232" s="550"/>
      <c r="AN232" s="550"/>
      <c r="AO232" s="550"/>
      <c r="AP232" s="550"/>
      <c r="AQ232" s="550"/>
      <c r="AR232" s="550"/>
      <c r="AS232" s="550"/>
      <c r="AT232" s="550"/>
      <c r="AU232" s="550"/>
      <c r="AV232" s="550"/>
      <c r="AW232" s="550"/>
      <c r="AX232" s="550"/>
      <c r="AY232" s="550"/>
      <c r="AZ232" s="550"/>
      <c r="BA232" s="550"/>
      <c r="BB232" s="550"/>
      <c r="BC232" s="550"/>
      <c r="BD232" s="550"/>
      <c r="BE232" s="550"/>
      <c r="BF232" s="550"/>
      <c r="BG232" s="550"/>
      <c r="BH232" s="550"/>
      <c r="BI232" s="550"/>
      <c r="BJ232" s="550"/>
      <c r="BK232" s="550"/>
      <c r="BL232" s="550"/>
      <c r="BM232" s="550"/>
      <c r="BN232" s="550"/>
      <c r="BO232" s="550"/>
      <c r="BP232" s="550"/>
      <c r="BQ232" s="550"/>
      <c r="BR232" s="550"/>
      <c r="BS232" s="550"/>
      <c r="BT232" s="550"/>
      <c r="BU232" s="550"/>
      <c r="BV232" s="550"/>
      <c r="BW232" s="550"/>
      <c r="BX232" s="550"/>
      <c r="BY232" s="550"/>
      <c r="BZ232" s="550"/>
      <c r="CA232" s="550"/>
      <c r="CB232" s="550"/>
      <c r="CC232" s="550"/>
      <c r="CD232" s="550"/>
      <c r="CE232" s="550"/>
      <c r="CF232" s="550"/>
      <c r="CG232" s="550"/>
      <c r="CH232" s="550"/>
      <c r="CI232" s="550"/>
      <c r="CJ232" s="550"/>
      <c r="CK232" s="550"/>
      <c r="CL232" s="550"/>
      <c r="CM232" s="550"/>
      <c r="CN232" s="550"/>
      <c r="CO232" s="550"/>
      <c r="CP232" s="550"/>
      <c r="CQ232" s="550"/>
      <c r="CR232" s="550"/>
      <c r="CS232" s="550"/>
      <c r="CT232" s="550"/>
      <c r="CU232" s="550"/>
      <c r="CV232" s="550"/>
      <c r="CW232" s="550"/>
    </row>
    <row r="233" spans="1:101" x14ac:dyDescent="0.2">
      <c r="A233" s="344">
        <f>+SUBTOTAL(3,$E$8:$E233)</f>
        <v>226</v>
      </c>
      <c r="B233" s="555">
        <v>45536</v>
      </c>
      <c r="C233" s="344" t="s">
        <v>101</v>
      </c>
      <c r="D233" s="344" t="str">
        <f>+VLOOKUP(C233,'Visual chart Edit'!$B$7:$C$491,2,FALSE)</f>
        <v>DC2+6</v>
      </c>
      <c r="E233" s="344" t="s">
        <v>276</v>
      </c>
      <c r="F233" s="551">
        <v>45558</v>
      </c>
      <c r="G233" s="551">
        <v>45562</v>
      </c>
      <c r="H233" s="552" t="s">
        <v>878</v>
      </c>
      <c r="I233" s="553" t="s">
        <v>1021</v>
      </c>
      <c r="J233" s="554">
        <f t="shared" si="3"/>
        <v>4</v>
      </c>
      <c r="K233" s="550"/>
      <c r="L233" s="550"/>
      <c r="M233" s="550"/>
      <c r="N233" s="550"/>
      <c r="O233" s="550"/>
      <c r="P233" s="550"/>
      <c r="Q233" s="550"/>
      <c r="R233" s="550"/>
      <c r="S233" s="550"/>
      <c r="T233" s="550"/>
      <c r="U233" s="550"/>
      <c r="V233" s="550"/>
      <c r="W233" s="550"/>
      <c r="X233" s="550"/>
      <c r="Y233" s="550"/>
      <c r="Z233" s="550"/>
      <c r="AA233" s="550"/>
      <c r="AB233" s="550"/>
      <c r="AC233" s="550"/>
      <c r="AD233" s="550"/>
      <c r="AE233" s="550"/>
      <c r="AF233" s="550"/>
      <c r="AG233" s="550"/>
      <c r="AH233" s="550"/>
      <c r="AI233" s="550"/>
      <c r="AJ233" s="550"/>
      <c r="AK233" s="550"/>
      <c r="AL233" s="550"/>
      <c r="AM233" s="550"/>
      <c r="AN233" s="550"/>
      <c r="AO233" s="550"/>
      <c r="AP233" s="550"/>
      <c r="AQ233" s="550"/>
      <c r="AR233" s="550"/>
      <c r="AS233" s="550"/>
      <c r="AT233" s="550"/>
      <c r="AU233" s="550"/>
      <c r="AV233" s="550"/>
      <c r="AW233" s="550"/>
      <c r="AX233" s="550"/>
      <c r="AY233" s="550"/>
      <c r="AZ233" s="550"/>
      <c r="BA233" s="550"/>
      <c r="BB233" s="550"/>
      <c r="BC233" s="550"/>
      <c r="BD233" s="550"/>
      <c r="BE233" s="550"/>
      <c r="BF233" s="550"/>
      <c r="BG233" s="550"/>
      <c r="BH233" s="550"/>
      <c r="BI233" s="550"/>
      <c r="BJ233" s="550"/>
      <c r="BK233" s="550"/>
      <c r="BL233" s="550"/>
      <c r="BM233" s="550"/>
      <c r="BN233" s="550"/>
      <c r="BO233" s="550"/>
      <c r="BP233" s="550"/>
      <c r="BQ233" s="550"/>
      <c r="BR233" s="550"/>
      <c r="BS233" s="550"/>
      <c r="BT233" s="550"/>
      <c r="BU233" s="550"/>
      <c r="BV233" s="550"/>
      <c r="BW233" s="550"/>
      <c r="BX233" s="550"/>
      <c r="BY233" s="550"/>
      <c r="BZ233" s="550"/>
      <c r="CA233" s="550"/>
      <c r="CB233" s="550"/>
      <c r="CC233" s="550"/>
      <c r="CD233" s="550"/>
      <c r="CE233" s="550"/>
      <c r="CF233" s="550"/>
      <c r="CG233" s="550"/>
      <c r="CH233" s="550"/>
      <c r="CI233" s="550"/>
      <c r="CJ233" s="550"/>
      <c r="CK233" s="550"/>
      <c r="CL233" s="550"/>
      <c r="CM233" s="550"/>
      <c r="CN233" s="550"/>
      <c r="CO233" s="550"/>
      <c r="CP233" s="550"/>
      <c r="CQ233" s="550"/>
      <c r="CR233" s="550"/>
      <c r="CS233" s="550"/>
      <c r="CT233" s="550"/>
      <c r="CU233" s="550"/>
      <c r="CV233" s="550"/>
      <c r="CW233" s="550"/>
    </row>
    <row r="234" spans="1:101" x14ac:dyDescent="0.2">
      <c r="A234" s="344">
        <f>+SUBTOTAL(3,$E$8:$E234)</f>
        <v>227</v>
      </c>
      <c r="B234" s="555">
        <v>45536</v>
      </c>
      <c r="C234" s="344" t="s">
        <v>762</v>
      </c>
      <c r="D234" s="344" t="str">
        <f>+VLOOKUP(C234,'Visual chart Edit'!$B$7:$C$491,2,FALSE)</f>
        <v>DA+6</v>
      </c>
      <c r="E234" s="344" t="s">
        <v>32</v>
      </c>
      <c r="F234" s="551">
        <v>45560</v>
      </c>
      <c r="G234" s="551">
        <v>45562</v>
      </c>
      <c r="H234" s="552" t="s">
        <v>875</v>
      </c>
      <c r="I234" s="553" t="s">
        <v>1024</v>
      </c>
      <c r="J234" s="554">
        <f t="shared" si="3"/>
        <v>2</v>
      </c>
      <c r="K234" s="550"/>
      <c r="L234" s="550"/>
      <c r="M234" s="550"/>
      <c r="N234" s="550"/>
      <c r="O234" s="550"/>
      <c r="P234" s="550"/>
      <c r="Q234" s="550"/>
      <c r="R234" s="550"/>
      <c r="S234" s="550"/>
      <c r="T234" s="550"/>
      <c r="U234" s="550"/>
      <c r="V234" s="550"/>
      <c r="W234" s="550"/>
      <c r="X234" s="550"/>
      <c r="Y234" s="550"/>
      <c r="Z234" s="550"/>
      <c r="AA234" s="550"/>
      <c r="AB234" s="550"/>
      <c r="AC234" s="550"/>
      <c r="AD234" s="550"/>
      <c r="AE234" s="550"/>
      <c r="AF234" s="550"/>
      <c r="AG234" s="550"/>
      <c r="AH234" s="550"/>
      <c r="AI234" s="550"/>
      <c r="AJ234" s="550"/>
      <c r="AK234" s="550"/>
      <c r="AL234" s="550"/>
      <c r="AM234" s="550"/>
      <c r="AN234" s="550"/>
      <c r="AO234" s="550"/>
      <c r="AP234" s="550"/>
      <c r="AQ234" s="550"/>
      <c r="AR234" s="550"/>
      <c r="AS234" s="550"/>
      <c r="AT234" s="550"/>
      <c r="AU234" s="550"/>
      <c r="AV234" s="550"/>
      <c r="AW234" s="550"/>
      <c r="AX234" s="550"/>
      <c r="AY234" s="550"/>
      <c r="AZ234" s="550"/>
      <c r="BA234" s="550"/>
      <c r="BB234" s="550"/>
      <c r="BC234" s="550"/>
      <c r="BD234" s="550"/>
      <c r="BE234" s="550"/>
      <c r="BF234" s="550"/>
      <c r="BG234" s="550"/>
      <c r="BH234" s="550"/>
      <c r="BI234" s="550"/>
      <c r="BJ234" s="550"/>
      <c r="BK234" s="550"/>
      <c r="BL234" s="550"/>
      <c r="BM234" s="550"/>
      <c r="BN234" s="550"/>
      <c r="BO234" s="550"/>
      <c r="BP234" s="550"/>
      <c r="BQ234" s="550"/>
      <c r="BR234" s="550"/>
      <c r="BS234" s="550"/>
      <c r="BT234" s="550"/>
      <c r="BU234" s="550"/>
      <c r="BV234" s="550"/>
      <c r="BW234" s="550"/>
      <c r="BX234" s="550"/>
      <c r="BY234" s="550"/>
      <c r="BZ234" s="550"/>
      <c r="CA234" s="550"/>
      <c r="CB234" s="550"/>
      <c r="CC234" s="550"/>
      <c r="CD234" s="550"/>
      <c r="CE234" s="550"/>
      <c r="CF234" s="550"/>
      <c r="CG234" s="550"/>
      <c r="CH234" s="550"/>
      <c r="CI234" s="550"/>
      <c r="CJ234" s="550"/>
      <c r="CK234" s="550"/>
      <c r="CL234" s="550"/>
      <c r="CM234" s="550"/>
      <c r="CN234" s="550"/>
      <c r="CO234" s="550"/>
      <c r="CP234" s="550"/>
      <c r="CQ234" s="550"/>
      <c r="CR234" s="550"/>
      <c r="CS234" s="550"/>
      <c r="CT234" s="550"/>
      <c r="CU234" s="550"/>
      <c r="CV234" s="550"/>
      <c r="CW234" s="550"/>
    </row>
    <row r="235" spans="1:101" x14ac:dyDescent="0.2">
      <c r="A235" s="344">
        <f>+SUBTOTAL(3,$E$8:$E235)</f>
        <v>228</v>
      </c>
      <c r="B235" s="555">
        <v>45536</v>
      </c>
      <c r="C235" s="555" t="s">
        <v>517</v>
      </c>
      <c r="D235" s="344" t="str">
        <f>+VLOOKUP(C235,'Visual chart Edit'!$B$7:$C$491,2,FALSE)</f>
        <v>DA+0</v>
      </c>
      <c r="E235" s="344" t="s">
        <v>276</v>
      </c>
      <c r="F235" s="551">
        <v>45563</v>
      </c>
      <c r="G235" s="551">
        <v>45565</v>
      </c>
      <c r="H235" s="552" t="s">
        <v>394</v>
      </c>
      <c r="I235" s="553" t="s">
        <v>237</v>
      </c>
      <c r="J235" s="554">
        <f t="shared" si="3"/>
        <v>2</v>
      </c>
      <c r="K235" s="550"/>
      <c r="L235" s="550"/>
      <c r="M235" s="550"/>
      <c r="N235" s="550"/>
      <c r="O235" s="550"/>
      <c r="P235" s="550"/>
      <c r="Q235" s="550"/>
      <c r="R235" s="550"/>
      <c r="S235" s="550"/>
      <c r="T235" s="550"/>
      <c r="U235" s="550"/>
      <c r="V235" s="550"/>
      <c r="W235" s="550"/>
      <c r="X235" s="550"/>
      <c r="Y235" s="550"/>
      <c r="Z235" s="550"/>
      <c r="AA235" s="550"/>
      <c r="AB235" s="550"/>
      <c r="AC235" s="550"/>
      <c r="AD235" s="550"/>
      <c r="AE235" s="550"/>
      <c r="AF235" s="550"/>
      <c r="AG235" s="550"/>
      <c r="AH235" s="550"/>
      <c r="AI235" s="550"/>
      <c r="AJ235" s="550"/>
      <c r="AK235" s="550"/>
      <c r="AL235" s="550"/>
      <c r="AM235" s="550"/>
      <c r="AN235" s="550"/>
      <c r="AO235" s="550"/>
      <c r="AP235" s="550"/>
      <c r="AQ235" s="550"/>
      <c r="AR235" s="550"/>
      <c r="AS235" s="550"/>
      <c r="AT235" s="550"/>
      <c r="AU235" s="550"/>
      <c r="AV235" s="550"/>
      <c r="AW235" s="550"/>
      <c r="AX235" s="550"/>
      <c r="AY235" s="550"/>
      <c r="AZ235" s="550"/>
      <c r="BA235" s="550"/>
      <c r="BB235" s="550"/>
      <c r="BC235" s="550"/>
      <c r="BD235" s="550"/>
      <c r="BE235" s="550"/>
      <c r="BF235" s="550"/>
      <c r="BG235" s="550"/>
      <c r="BH235" s="550"/>
      <c r="BI235" s="550"/>
      <c r="BJ235" s="550"/>
      <c r="BK235" s="550"/>
      <c r="BL235" s="550"/>
      <c r="BM235" s="550"/>
      <c r="BN235" s="550"/>
      <c r="BO235" s="550"/>
      <c r="BP235" s="550"/>
      <c r="BQ235" s="550"/>
      <c r="BR235" s="550"/>
      <c r="BS235" s="550"/>
      <c r="BT235" s="550"/>
      <c r="BU235" s="550"/>
      <c r="BV235" s="550"/>
      <c r="BW235" s="550"/>
      <c r="BX235" s="550"/>
      <c r="BY235" s="550"/>
      <c r="BZ235" s="550"/>
      <c r="CA235" s="550"/>
      <c r="CB235" s="550"/>
      <c r="CC235" s="550"/>
      <c r="CD235" s="550"/>
      <c r="CE235" s="550"/>
      <c r="CF235" s="550"/>
      <c r="CG235" s="550"/>
      <c r="CH235" s="550"/>
      <c r="CI235" s="550"/>
      <c r="CJ235" s="550"/>
      <c r="CK235" s="550"/>
      <c r="CL235" s="550"/>
      <c r="CM235" s="550"/>
      <c r="CN235" s="550"/>
      <c r="CO235" s="550"/>
      <c r="CP235" s="550"/>
      <c r="CQ235" s="550"/>
      <c r="CR235" s="550"/>
      <c r="CS235" s="550"/>
      <c r="CT235" s="550"/>
      <c r="CU235" s="550"/>
      <c r="CV235" s="550"/>
      <c r="CW235" s="550"/>
    </row>
    <row r="236" spans="1:101" x14ac:dyDescent="0.2">
      <c r="A236" s="344">
        <f>+SUBTOTAL(3,$E$8:$E236)</f>
        <v>229</v>
      </c>
      <c r="B236" s="555">
        <v>45536</v>
      </c>
      <c r="C236" s="344" t="s">
        <v>568</v>
      </c>
      <c r="D236" s="344" t="str">
        <f>+VLOOKUP(C236,'Visual chart Edit'!$B$7:$C$491,2,FALSE)</f>
        <v>DA+0</v>
      </c>
      <c r="E236" s="344" t="s">
        <v>276</v>
      </c>
      <c r="F236" s="551">
        <v>45550</v>
      </c>
      <c r="G236" s="551">
        <v>45565</v>
      </c>
      <c r="H236" s="552" t="s">
        <v>601</v>
      </c>
      <c r="I236" s="553" t="s">
        <v>222</v>
      </c>
      <c r="J236" s="554">
        <f t="shared" si="3"/>
        <v>15</v>
      </c>
      <c r="K236" s="550"/>
      <c r="L236" s="550"/>
      <c r="M236" s="550"/>
      <c r="N236" s="550"/>
      <c r="O236" s="550"/>
      <c r="P236" s="550"/>
      <c r="Q236" s="550"/>
      <c r="R236" s="550"/>
      <c r="S236" s="550"/>
      <c r="T236" s="550"/>
      <c r="U236" s="550"/>
      <c r="V236" s="550"/>
      <c r="W236" s="550"/>
      <c r="X236" s="550"/>
      <c r="Y236" s="550"/>
      <c r="Z236" s="550"/>
      <c r="AA236" s="550"/>
      <c r="AB236" s="550"/>
      <c r="AC236" s="550"/>
      <c r="AD236" s="550"/>
      <c r="AE236" s="550"/>
      <c r="AF236" s="550"/>
      <c r="AG236" s="550"/>
      <c r="AH236" s="550"/>
      <c r="AI236" s="550"/>
      <c r="AJ236" s="550"/>
      <c r="AK236" s="550"/>
      <c r="AL236" s="550"/>
      <c r="AM236" s="550"/>
      <c r="AN236" s="550"/>
      <c r="AO236" s="550"/>
      <c r="AP236" s="550"/>
      <c r="AQ236" s="550"/>
      <c r="AR236" s="550"/>
      <c r="AS236" s="550"/>
      <c r="AT236" s="550"/>
      <c r="AU236" s="550"/>
      <c r="AV236" s="550"/>
      <c r="AW236" s="550"/>
      <c r="AX236" s="550"/>
      <c r="AY236" s="550"/>
      <c r="AZ236" s="550"/>
      <c r="BA236" s="550"/>
      <c r="BB236" s="550"/>
      <c r="BC236" s="550"/>
      <c r="BD236" s="550"/>
      <c r="BE236" s="550"/>
      <c r="BF236" s="550"/>
      <c r="BG236" s="550"/>
      <c r="BH236" s="550"/>
      <c r="BI236" s="550"/>
      <c r="BJ236" s="550"/>
      <c r="BK236" s="550"/>
      <c r="BL236" s="550"/>
      <c r="BM236" s="550"/>
      <c r="BN236" s="550"/>
      <c r="BO236" s="550"/>
      <c r="BP236" s="550"/>
      <c r="BQ236" s="550"/>
      <c r="BR236" s="550"/>
      <c r="BS236" s="550"/>
      <c r="BT236" s="550"/>
      <c r="BU236" s="550"/>
      <c r="BV236" s="550"/>
      <c r="BW236" s="550"/>
      <c r="BX236" s="550"/>
      <c r="BY236" s="550"/>
      <c r="BZ236" s="550"/>
      <c r="CA236" s="550"/>
      <c r="CB236" s="550"/>
      <c r="CC236" s="550"/>
      <c r="CD236" s="550"/>
      <c r="CE236" s="550"/>
      <c r="CF236" s="550"/>
      <c r="CG236" s="550"/>
      <c r="CH236" s="550"/>
      <c r="CI236" s="550"/>
      <c r="CJ236" s="550"/>
      <c r="CK236" s="550"/>
      <c r="CL236" s="550"/>
      <c r="CM236" s="550"/>
      <c r="CN236" s="550"/>
      <c r="CO236" s="550"/>
      <c r="CP236" s="550"/>
      <c r="CQ236" s="550"/>
      <c r="CR236" s="550"/>
      <c r="CS236" s="550"/>
      <c r="CT236" s="550"/>
      <c r="CU236" s="550"/>
      <c r="CV236" s="550"/>
      <c r="CW236" s="550"/>
    </row>
    <row r="237" spans="1:101" x14ac:dyDescent="0.2">
      <c r="A237" s="344">
        <f>+SUBTOTAL(3,$E$8:$E237)</f>
        <v>230</v>
      </c>
      <c r="B237" s="555">
        <v>45536</v>
      </c>
      <c r="C237" s="344" t="s">
        <v>858</v>
      </c>
      <c r="D237" s="344" t="str">
        <f>+VLOOKUP(C237,'Visual chart Edit'!$B$7:$C$491,2,FALSE)</f>
        <v>DA+0</v>
      </c>
      <c r="E237" s="344" t="s">
        <v>276</v>
      </c>
      <c r="F237" s="551">
        <v>45560</v>
      </c>
      <c r="G237" s="551">
        <v>45565</v>
      </c>
      <c r="H237" s="552" t="s">
        <v>881</v>
      </c>
      <c r="I237" s="553" t="s">
        <v>1020</v>
      </c>
      <c r="J237" s="554">
        <f t="shared" si="3"/>
        <v>5</v>
      </c>
      <c r="K237" s="550"/>
      <c r="L237" s="550"/>
      <c r="M237" s="550"/>
      <c r="N237" s="550"/>
      <c r="O237" s="550"/>
      <c r="P237" s="550"/>
      <c r="Q237" s="550"/>
      <c r="R237" s="550"/>
      <c r="S237" s="550"/>
      <c r="T237" s="550"/>
      <c r="U237" s="550"/>
      <c r="V237" s="550"/>
      <c r="W237" s="550"/>
      <c r="X237" s="550"/>
      <c r="Y237" s="550"/>
      <c r="Z237" s="550"/>
      <c r="AA237" s="550"/>
      <c r="AB237" s="550"/>
      <c r="AC237" s="550"/>
      <c r="AD237" s="550"/>
      <c r="AE237" s="550"/>
      <c r="AF237" s="550"/>
      <c r="AG237" s="550"/>
      <c r="AH237" s="550"/>
      <c r="AI237" s="550"/>
      <c r="AJ237" s="550"/>
      <c r="AK237" s="550"/>
      <c r="AL237" s="550"/>
      <c r="AM237" s="550"/>
      <c r="AN237" s="550"/>
      <c r="AO237" s="550"/>
      <c r="AP237" s="550"/>
      <c r="AQ237" s="550"/>
      <c r="AR237" s="550"/>
      <c r="AS237" s="550"/>
      <c r="AT237" s="550"/>
      <c r="AU237" s="550"/>
      <c r="AV237" s="550"/>
      <c r="AW237" s="550"/>
      <c r="AX237" s="550"/>
      <c r="AY237" s="550"/>
      <c r="AZ237" s="550"/>
      <c r="BA237" s="550"/>
      <c r="BB237" s="550"/>
      <c r="BC237" s="550"/>
      <c r="BD237" s="550"/>
      <c r="BE237" s="550"/>
      <c r="BF237" s="550"/>
      <c r="BG237" s="550"/>
      <c r="BH237" s="550"/>
      <c r="BI237" s="550"/>
      <c r="BJ237" s="550"/>
      <c r="BK237" s="550"/>
      <c r="BL237" s="550"/>
      <c r="BM237" s="550"/>
      <c r="BN237" s="550"/>
      <c r="BO237" s="550"/>
      <c r="BP237" s="550"/>
      <c r="BQ237" s="550"/>
      <c r="BR237" s="550"/>
      <c r="BS237" s="550"/>
      <c r="BT237" s="550"/>
      <c r="BU237" s="550"/>
      <c r="BV237" s="550"/>
      <c r="BW237" s="550"/>
      <c r="BX237" s="550"/>
      <c r="BY237" s="550"/>
      <c r="BZ237" s="550"/>
      <c r="CA237" s="550"/>
      <c r="CB237" s="550"/>
      <c r="CC237" s="550"/>
      <c r="CD237" s="550"/>
      <c r="CE237" s="550"/>
      <c r="CF237" s="550"/>
      <c r="CG237" s="550"/>
      <c r="CH237" s="550"/>
      <c r="CI237" s="550"/>
      <c r="CJ237" s="550"/>
      <c r="CK237" s="550"/>
      <c r="CL237" s="550"/>
      <c r="CM237" s="550"/>
      <c r="CN237" s="550"/>
      <c r="CO237" s="550"/>
      <c r="CP237" s="550"/>
      <c r="CQ237" s="550"/>
      <c r="CR237" s="550"/>
      <c r="CS237" s="550"/>
      <c r="CT237" s="550"/>
      <c r="CU237" s="550"/>
      <c r="CV237" s="550"/>
      <c r="CW237" s="550"/>
    </row>
    <row r="238" spans="1:101" x14ac:dyDescent="0.2">
      <c r="A238" s="344">
        <f>+SUBTOTAL(3,$E$8:$E238)</f>
        <v>231</v>
      </c>
      <c r="B238" s="555">
        <v>45566</v>
      </c>
      <c r="C238" s="344" t="s">
        <v>862</v>
      </c>
      <c r="D238" s="344" t="str">
        <f>+VLOOKUP(C238,'Visual chart Edit'!$B$7:$C$491,2,FALSE)</f>
        <v>DA+0</v>
      </c>
      <c r="E238" s="344" t="s">
        <v>276</v>
      </c>
      <c r="F238" s="551">
        <v>45564</v>
      </c>
      <c r="G238" s="551">
        <v>45566</v>
      </c>
      <c r="H238" s="552" t="s">
        <v>236</v>
      </c>
      <c r="I238" s="553" t="s">
        <v>1020</v>
      </c>
      <c r="J238" s="554">
        <f t="shared" si="3"/>
        <v>2</v>
      </c>
      <c r="K238" s="550"/>
      <c r="L238" s="550"/>
      <c r="M238" s="550"/>
      <c r="N238" s="550"/>
      <c r="O238" s="550"/>
      <c r="P238" s="550"/>
      <c r="Q238" s="550"/>
      <c r="R238" s="550"/>
      <c r="S238" s="550"/>
      <c r="T238" s="550"/>
      <c r="U238" s="550"/>
      <c r="V238" s="550"/>
      <c r="W238" s="550"/>
      <c r="X238" s="550"/>
      <c r="Y238" s="550"/>
      <c r="Z238" s="550"/>
      <c r="AA238" s="550"/>
      <c r="AB238" s="550"/>
      <c r="AC238" s="550"/>
      <c r="AD238" s="550"/>
      <c r="AE238" s="550"/>
      <c r="AF238" s="550"/>
      <c r="AG238" s="550"/>
      <c r="AH238" s="550"/>
      <c r="AI238" s="550"/>
      <c r="AJ238" s="550"/>
      <c r="AK238" s="550"/>
      <c r="AL238" s="550"/>
      <c r="AM238" s="550"/>
      <c r="AN238" s="550"/>
      <c r="AO238" s="550"/>
      <c r="AP238" s="550"/>
      <c r="AQ238" s="550"/>
      <c r="AR238" s="550"/>
      <c r="AS238" s="550"/>
      <c r="AT238" s="550"/>
      <c r="AU238" s="550"/>
      <c r="AV238" s="550"/>
      <c r="AW238" s="550"/>
      <c r="AX238" s="550"/>
      <c r="AY238" s="550"/>
      <c r="AZ238" s="550"/>
      <c r="BA238" s="550"/>
      <c r="BB238" s="550"/>
      <c r="BC238" s="550"/>
      <c r="BD238" s="550"/>
      <c r="BE238" s="550"/>
      <c r="BF238" s="550"/>
      <c r="BG238" s="550"/>
      <c r="BH238" s="550"/>
      <c r="BI238" s="550"/>
      <c r="BJ238" s="550"/>
      <c r="BK238" s="550"/>
      <c r="BL238" s="550"/>
      <c r="BM238" s="550"/>
      <c r="BN238" s="550"/>
      <c r="BO238" s="550"/>
      <c r="BP238" s="550"/>
      <c r="BQ238" s="550"/>
      <c r="BR238" s="550"/>
      <c r="BS238" s="550"/>
      <c r="BT238" s="550"/>
      <c r="BU238" s="550"/>
      <c r="BV238" s="550"/>
      <c r="BW238" s="550"/>
      <c r="BX238" s="550"/>
      <c r="BY238" s="550"/>
      <c r="BZ238" s="550"/>
      <c r="CA238" s="550"/>
      <c r="CB238" s="550"/>
      <c r="CC238" s="550"/>
      <c r="CD238" s="550"/>
      <c r="CE238" s="550"/>
      <c r="CF238" s="550"/>
      <c r="CG238" s="550"/>
      <c r="CH238" s="550"/>
      <c r="CI238" s="550"/>
      <c r="CJ238" s="550"/>
      <c r="CK238" s="550"/>
      <c r="CL238" s="550"/>
      <c r="CM238" s="550"/>
      <c r="CN238" s="550"/>
      <c r="CO238" s="550"/>
      <c r="CP238" s="550"/>
      <c r="CQ238" s="550"/>
      <c r="CR238" s="550"/>
      <c r="CS238" s="550"/>
      <c r="CT238" s="550"/>
      <c r="CU238" s="550"/>
      <c r="CV238" s="550"/>
      <c r="CW238" s="550"/>
    </row>
    <row r="239" spans="1:101" x14ac:dyDescent="0.2">
      <c r="A239" s="344">
        <f>+SUBTOTAL(3,$E$8:$E239)</f>
        <v>232</v>
      </c>
      <c r="B239" s="555">
        <v>45566</v>
      </c>
      <c r="C239" s="344" t="s">
        <v>35</v>
      </c>
      <c r="D239" s="344" t="str">
        <f>+VLOOKUP(C239,'Visual chart Edit'!$B$7:$C$491,2,FALSE)</f>
        <v>DC2+0</v>
      </c>
      <c r="E239" s="344" t="s">
        <v>276</v>
      </c>
      <c r="F239" s="551">
        <v>45564</v>
      </c>
      <c r="G239" s="551">
        <v>45569</v>
      </c>
      <c r="H239" s="552" t="s">
        <v>878</v>
      </c>
      <c r="I239" s="553" t="s">
        <v>1024</v>
      </c>
      <c r="J239" s="554">
        <f t="shared" si="3"/>
        <v>5</v>
      </c>
      <c r="K239" s="550"/>
      <c r="L239" s="550"/>
      <c r="M239" s="550"/>
      <c r="N239" s="550"/>
      <c r="O239" s="550"/>
      <c r="P239" s="550"/>
      <c r="Q239" s="550"/>
      <c r="R239" s="550"/>
      <c r="S239" s="550"/>
      <c r="T239" s="550"/>
      <c r="U239" s="550"/>
      <c r="V239" s="550"/>
      <c r="W239" s="550"/>
      <c r="X239" s="550"/>
      <c r="Y239" s="550"/>
      <c r="Z239" s="550"/>
      <c r="AA239" s="550"/>
      <c r="AB239" s="550"/>
      <c r="AC239" s="550"/>
      <c r="AD239" s="550"/>
      <c r="AE239" s="550"/>
      <c r="AF239" s="550"/>
      <c r="AG239" s="550"/>
      <c r="AH239" s="550"/>
      <c r="AI239" s="550"/>
      <c r="AJ239" s="550"/>
      <c r="AK239" s="550"/>
      <c r="AL239" s="550"/>
      <c r="AM239" s="550"/>
      <c r="AN239" s="550"/>
      <c r="AO239" s="550"/>
      <c r="AP239" s="550"/>
      <c r="AQ239" s="550"/>
      <c r="AR239" s="550"/>
      <c r="AS239" s="550"/>
      <c r="AT239" s="550"/>
      <c r="AU239" s="550"/>
      <c r="AV239" s="550"/>
      <c r="AW239" s="550"/>
      <c r="AX239" s="550"/>
      <c r="AY239" s="550"/>
      <c r="AZ239" s="550"/>
      <c r="BA239" s="550"/>
      <c r="BB239" s="550"/>
      <c r="BC239" s="550"/>
      <c r="BD239" s="550"/>
      <c r="BE239" s="550"/>
      <c r="BF239" s="550"/>
      <c r="BG239" s="550"/>
      <c r="BH239" s="550"/>
      <c r="BI239" s="550"/>
      <c r="BJ239" s="550"/>
      <c r="BK239" s="550"/>
      <c r="BL239" s="550"/>
      <c r="BM239" s="550"/>
      <c r="BN239" s="550"/>
      <c r="BO239" s="550"/>
      <c r="BP239" s="550"/>
      <c r="BQ239" s="550"/>
      <c r="BR239" s="550"/>
      <c r="BS239" s="550"/>
      <c r="BT239" s="550"/>
      <c r="BU239" s="550"/>
      <c r="BV239" s="550"/>
      <c r="BW239" s="550"/>
      <c r="BX239" s="550"/>
      <c r="BY239" s="550"/>
      <c r="BZ239" s="550"/>
      <c r="CA239" s="550"/>
      <c r="CB239" s="550"/>
      <c r="CC239" s="550"/>
      <c r="CD239" s="550"/>
      <c r="CE239" s="550"/>
      <c r="CF239" s="550"/>
      <c r="CG239" s="550"/>
      <c r="CH239" s="550"/>
      <c r="CI239" s="550"/>
      <c r="CJ239" s="550"/>
      <c r="CK239" s="550"/>
      <c r="CL239" s="550"/>
      <c r="CM239" s="550"/>
      <c r="CN239" s="550"/>
      <c r="CO239" s="550"/>
      <c r="CP239" s="550"/>
      <c r="CQ239" s="550"/>
      <c r="CR239" s="550"/>
      <c r="CS239" s="550"/>
      <c r="CT239" s="550"/>
      <c r="CU239" s="550"/>
      <c r="CV239" s="550"/>
      <c r="CW239" s="550"/>
    </row>
    <row r="240" spans="1:101" x14ac:dyDescent="0.2">
      <c r="A240" s="344">
        <f>+SUBTOTAL(3,$E$8:$E240)</f>
        <v>233</v>
      </c>
      <c r="B240" s="555">
        <v>45566</v>
      </c>
      <c r="C240" s="344" t="s">
        <v>102</v>
      </c>
      <c r="D240" s="344" t="str">
        <f>+VLOOKUP(C240,'Visual chart Edit'!$B$7:$C$491,2,FALSE)</f>
        <v>DC1+9</v>
      </c>
      <c r="E240" s="344" t="s">
        <v>276</v>
      </c>
      <c r="F240" s="551">
        <v>45569</v>
      </c>
      <c r="G240" s="551">
        <v>45570</v>
      </c>
      <c r="H240" s="552" t="s">
        <v>878</v>
      </c>
      <c r="I240" s="553" t="s">
        <v>1020</v>
      </c>
      <c r="J240" s="554">
        <f t="shared" si="3"/>
        <v>1</v>
      </c>
      <c r="K240" s="550"/>
      <c r="L240" s="550"/>
      <c r="M240" s="550"/>
      <c r="N240" s="550"/>
      <c r="O240" s="550"/>
      <c r="P240" s="550"/>
      <c r="Q240" s="550"/>
      <c r="R240" s="550"/>
      <c r="S240" s="550"/>
      <c r="T240" s="550"/>
      <c r="U240" s="550"/>
      <c r="V240" s="550"/>
      <c r="W240" s="550"/>
      <c r="X240" s="550"/>
      <c r="Y240" s="550"/>
      <c r="Z240" s="550"/>
      <c r="AA240" s="550"/>
      <c r="AB240" s="550"/>
      <c r="AC240" s="550"/>
      <c r="AD240" s="550"/>
      <c r="AE240" s="550"/>
      <c r="AF240" s="550"/>
      <c r="AG240" s="550"/>
      <c r="AH240" s="550"/>
      <c r="AI240" s="550"/>
      <c r="AJ240" s="550"/>
      <c r="AK240" s="550"/>
      <c r="AL240" s="550"/>
      <c r="AM240" s="550"/>
      <c r="AN240" s="550"/>
      <c r="AO240" s="550"/>
      <c r="AP240" s="550"/>
      <c r="AQ240" s="550"/>
      <c r="AR240" s="550"/>
      <c r="AS240" s="550"/>
      <c r="AT240" s="550"/>
      <c r="AU240" s="550"/>
      <c r="AV240" s="550"/>
      <c r="AW240" s="550"/>
      <c r="AX240" s="550"/>
      <c r="AY240" s="550"/>
      <c r="AZ240" s="550"/>
      <c r="BA240" s="550"/>
      <c r="BB240" s="550"/>
      <c r="BC240" s="550"/>
      <c r="BD240" s="550"/>
      <c r="BE240" s="550"/>
      <c r="BF240" s="550"/>
      <c r="BG240" s="550"/>
      <c r="BH240" s="550"/>
      <c r="BI240" s="550"/>
      <c r="BJ240" s="550"/>
      <c r="BK240" s="550"/>
      <c r="BL240" s="550"/>
      <c r="BM240" s="550"/>
      <c r="BN240" s="550"/>
      <c r="BO240" s="550"/>
      <c r="BP240" s="550"/>
      <c r="BQ240" s="550"/>
      <c r="BR240" s="550"/>
      <c r="BS240" s="550"/>
      <c r="BT240" s="550"/>
      <c r="BU240" s="550"/>
      <c r="BV240" s="550"/>
      <c r="BW240" s="550"/>
      <c r="BX240" s="550"/>
      <c r="BY240" s="550"/>
      <c r="BZ240" s="550"/>
      <c r="CA240" s="550"/>
      <c r="CB240" s="550"/>
      <c r="CC240" s="550"/>
      <c r="CD240" s="550"/>
      <c r="CE240" s="550"/>
      <c r="CF240" s="550"/>
      <c r="CG240" s="550"/>
      <c r="CH240" s="550"/>
      <c r="CI240" s="550"/>
      <c r="CJ240" s="550"/>
      <c r="CK240" s="550"/>
      <c r="CL240" s="550"/>
      <c r="CM240" s="550"/>
      <c r="CN240" s="550"/>
      <c r="CO240" s="550"/>
      <c r="CP240" s="550"/>
      <c r="CQ240" s="550"/>
      <c r="CR240" s="550"/>
      <c r="CS240" s="550"/>
      <c r="CT240" s="550"/>
      <c r="CU240" s="550"/>
      <c r="CV240" s="550"/>
      <c r="CW240" s="550"/>
    </row>
    <row r="241" spans="1:101" x14ac:dyDescent="0.2">
      <c r="A241" s="344">
        <f>+SUBTOTAL(3,$E$8:$E241)</f>
        <v>234</v>
      </c>
      <c r="B241" s="555">
        <v>45566</v>
      </c>
      <c r="C241" s="344" t="s">
        <v>563</v>
      </c>
      <c r="D241" s="344" t="str">
        <f>+VLOOKUP(C241,'Visual chart Edit'!$B$7:$C$491,2,FALSE)</f>
        <v>DA+9</v>
      </c>
      <c r="E241" s="344" t="s">
        <v>143</v>
      </c>
      <c r="F241" s="551">
        <v>45558</v>
      </c>
      <c r="G241" s="551">
        <v>45572</v>
      </c>
      <c r="H241" s="552" t="s">
        <v>597</v>
      </c>
      <c r="I241" s="553" t="s">
        <v>222</v>
      </c>
      <c r="J241" s="554">
        <f t="shared" si="3"/>
        <v>14</v>
      </c>
      <c r="K241" s="550"/>
      <c r="L241" s="550"/>
      <c r="M241" s="550"/>
      <c r="N241" s="550"/>
      <c r="O241" s="550"/>
      <c r="P241" s="550"/>
      <c r="Q241" s="550"/>
      <c r="R241" s="550"/>
      <c r="S241" s="550"/>
      <c r="T241" s="550"/>
      <c r="U241" s="550"/>
      <c r="V241" s="550"/>
      <c r="W241" s="550"/>
      <c r="X241" s="550"/>
      <c r="Y241" s="550"/>
      <c r="Z241" s="550"/>
      <c r="AA241" s="550"/>
      <c r="AB241" s="550"/>
      <c r="AC241" s="550"/>
      <c r="AD241" s="550"/>
      <c r="AE241" s="550"/>
      <c r="AF241" s="550"/>
      <c r="AG241" s="550"/>
      <c r="AH241" s="550"/>
      <c r="AI241" s="550"/>
      <c r="AJ241" s="550"/>
      <c r="AK241" s="550"/>
      <c r="AL241" s="550"/>
      <c r="AM241" s="550"/>
      <c r="AN241" s="550"/>
      <c r="AO241" s="550"/>
      <c r="AP241" s="550"/>
      <c r="AQ241" s="550"/>
      <c r="AR241" s="550"/>
      <c r="AS241" s="550"/>
      <c r="AT241" s="550"/>
      <c r="AU241" s="550"/>
      <c r="AV241" s="550"/>
      <c r="AW241" s="550"/>
      <c r="AX241" s="550"/>
      <c r="AY241" s="550"/>
      <c r="AZ241" s="550"/>
      <c r="BA241" s="550"/>
      <c r="BB241" s="550"/>
      <c r="BC241" s="550"/>
      <c r="BD241" s="550"/>
      <c r="BE241" s="550"/>
      <c r="BF241" s="550"/>
      <c r="BG241" s="550"/>
      <c r="BH241" s="550"/>
      <c r="BI241" s="550"/>
      <c r="BJ241" s="550"/>
      <c r="BK241" s="550"/>
      <c r="BL241" s="550"/>
      <c r="BM241" s="550"/>
      <c r="BN241" s="550"/>
      <c r="BO241" s="550"/>
      <c r="BP241" s="550"/>
      <c r="BQ241" s="550"/>
      <c r="BR241" s="550"/>
      <c r="BS241" s="550"/>
      <c r="BT241" s="550"/>
      <c r="BU241" s="550"/>
      <c r="BV241" s="550"/>
      <c r="BW241" s="550"/>
      <c r="BX241" s="550"/>
      <c r="BY241" s="550"/>
      <c r="BZ241" s="550"/>
      <c r="CA241" s="550"/>
      <c r="CB241" s="550"/>
      <c r="CC241" s="550"/>
      <c r="CD241" s="550"/>
      <c r="CE241" s="550"/>
      <c r="CF241" s="550"/>
      <c r="CG241" s="550"/>
      <c r="CH241" s="550"/>
      <c r="CI241" s="550"/>
      <c r="CJ241" s="550"/>
      <c r="CK241" s="550"/>
      <c r="CL241" s="550"/>
      <c r="CM241" s="550"/>
      <c r="CN241" s="550"/>
      <c r="CO241" s="550"/>
      <c r="CP241" s="550"/>
      <c r="CQ241" s="550"/>
      <c r="CR241" s="550"/>
      <c r="CS241" s="550"/>
      <c r="CT241" s="550"/>
      <c r="CU241" s="550"/>
      <c r="CV241" s="550"/>
      <c r="CW241" s="550"/>
    </row>
    <row r="242" spans="1:101" x14ac:dyDescent="0.2">
      <c r="A242" s="344">
        <f>+SUBTOTAL(3,$E$8:$E242)</f>
        <v>235</v>
      </c>
      <c r="B242" s="555">
        <v>45566</v>
      </c>
      <c r="C242" s="344" t="s">
        <v>565</v>
      </c>
      <c r="D242" s="344" t="str">
        <f>+VLOOKUP(C242,'Visual chart Edit'!$B$7:$C$491,2,FALSE)</f>
        <v>DB1+0</v>
      </c>
      <c r="E242" s="344" t="s">
        <v>143</v>
      </c>
      <c r="F242" s="551">
        <v>45563</v>
      </c>
      <c r="G242" s="551">
        <v>45572</v>
      </c>
      <c r="H242" s="552" t="s">
        <v>251</v>
      </c>
      <c r="I242" s="553" t="s">
        <v>222</v>
      </c>
      <c r="J242" s="554">
        <f t="shared" si="3"/>
        <v>9</v>
      </c>
      <c r="K242" s="550"/>
      <c r="L242" s="550"/>
      <c r="M242" s="550"/>
      <c r="N242" s="550"/>
      <c r="O242" s="550"/>
      <c r="P242" s="550"/>
      <c r="Q242" s="550"/>
      <c r="R242" s="550"/>
      <c r="S242" s="550"/>
      <c r="T242" s="550"/>
      <c r="U242" s="550"/>
      <c r="V242" s="550"/>
      <c r="W242" s="550"/>
      <c r="X242" s="550"/>
      <c r="Y242" s="550"/>
      <c r="Z242" s="550"/>
      <c r="AA242" s="550"/>
      <c r="AB242" s="550"/>
      <c r="AC242" s="550"/>
      <c r="AD242" s="550"/>
      <c r="AE242" s="550"/>
      <c r="AF242" s="550"/>
      <c r="AG242" s="550"/>
      <c r="AH242" s="550"/>
      <c r="AI242" s="550"/>
      <c r="AJ242" s="550"/>
      <c r="AK242" s="550"/>
      <c r="AL242" s="550"/>
      <c r="AM242" s="550"/>
      <c r="AN242" s="550"/>
      <c r="AO242" s="550"/>
      <c r="AP242" s="550"/>
      <c r="AQ242" s="550"/>
      <c r="AR242" s="550"/>
      <c r="AS242" s="550"/>
      <c r="AT242" s="550"/>
      <c r="AU242" s="550"/>
      <c r="AV242" s="550"/>
      <c r="AW242" s="550"/>
      <c r="AX242" s="550"/>
      <c r="AY242" s="550"/>
      <c r="AZ242" s="550"/>
      <c r="BA242" s="550"/>
      <c r="BB242" s="550"/>
      <c r="BC242" s="550"/>
      <c r="BD242" s="550"/>
      <c r="BE242" s="550"/>
      <c r="BF242" s="550"/>
      <c r="BG242" s="550"/>
      <c r="BH242" s="550"/>
      <c r="BI242" s="550"/>
      <c r="BJ242" s="550"/>
      <c r="BK242" s="550"/>
      <c r="BL242" s="550"/>
      <c r="BM242" s="550"/>
      <c r="BN242" s="550"/>
      <c r="BO242" s="550"/>
      <c r="BP242" s="550"/>
      <c r="BQ242" s="550"/>
      <c r="BR242" s="550"/>
      <c r="BS242" s="550"/>
      <c r="BT242" s="550"/>
      <c r="BU242" s="550"/>
      <c r="BV242" s="550"/>
      <c r="BW242" s="550"/>
      <c r="BX242" s="550"/>
      <c r="BY242" s="550"/>
      <c r="BZ242" s="550"/>
      <c r="CA242" s="550"/>
      <c r="CB242" s="550"/>
      <c r="CC242" s="550"/>
      <c r="CD242" s="550"/>
      <c r="CE242" s="550"/>
      <c r="CF242" s="550"/>
      <c r="CG242" s="550"/>
      <c r="CH242" s="550"/>
      <c r="CI242" s="550"/>
      <c r="CJ242" s="550"/>
      <c r="CK242" s="550"/>
      <c r="CL242" s="550"/>
      <c r="CM242" s="550"/>
      <c r="CN242" s="550"/>
      <c r="CO242" s="550"/>
      <c r="CP242" s="550"/>
      <c r="CQ242" s="550"/>
      <c r="CR242" s="550"/>
      <c r="CS242" s="550"/>
      <c r="CT242" s="550"/>
      <c r="CU242" s="550"/>
      <c r="CV242" s="550"/>
      <c r="CW242" s="550"/>
    </row>
    <row r="243" spans="1:101" x14ac:dyDescent="0.2">
      <c r="A243" s="344">
        <f>+SUBTOTAL(3,$E$8:$E243)</f>
        <v>236</v>
      </c>
      <c r="B243" s="555">
        <v>45566</v>
      </c>
      <c r="C243" s="344" t="s">
        <v>181</v>
      </c>
      <c r="D243" s="344" t="str">
        <f>+VLOOKUP(C243,'Visual chart Edit'!$B$7:$C$491,2,FALSE)</f>
        <v>DA+0</v>
      </c>
      <c r="E243" s="344" t="s">
        <v>143</v>
      </c>
      <c r="F243" s="551">
        <v>45550</v>
      </c>
      <c r="G243" s="551">
        <v>45573</v>
      </c>
      <c r="H243" s="552" t="s">
        <v>582</v>
      </c>
      <c r="I243" s="553" t="s">
        <v>583</v>
      </c>
      <c r="J243" s="554">
        <f t="shared" si="3"/>
        <v>23</v>
      </c>
      <c r="K243" s="550"/>
      <c r="L243" s="550"/>
      <c r="M243" s="550"/>
      <c r="N243" s="550"/>
      <c r="O243" s="550"/>
      <c r="P243" s="550"/>
      <c r="Q243" s="550"/>
      <c r="R243" s="550"/>
      <c r="S243" s="550"/>
      <c r="T243" s="550"/>
      <c r="U243" s="550"/>
      <c r="V243" s="550"/>
      <c r="W243" s="550"/>
      <c r="X243" s="550"/>
      <c r="Y243" s="550"/>
      <c r="Z243" s="550"/>
      <c r="AA243" s="550"/>
      <c r="AB243" s="550"/>
      <c r="AC243" s="550"/>
      <c r="AD243" s="550"/>
      <c r="AE243" s="550"/>
      <c r="AF243" s="550"/>
      <c r="AG243" s="550"/>
      <c r="AH243" s="550"/>
      <c r="AI243" s="550"/>
      <c r="AJ243" s="550"/>
      <c r="AK243" s="550"/>
      <c r="AL243" s="550"/>
      <c r="AM243" s="550"/>
      <c r="AN243" s="550"/>
      <c r="AO243" s="550"/>
      <c r="AP243" s="550"/>
      <c r="AQ243" s="550"/>
      <c r="AR243" s="550"/>
      <c r="AS243" s="550"/>
      <c r="AT243" s="550"/>
      <c r="AU243" s="550"/>
      <c r="AV243" s="550"/>
      <c r="AW243" s="550"/>
      <c r="AX243" s="550"/>
      <c r="AY243" s="550"/>
      <c r="AZ243" s="550"/>
      <c r="BA243" s="550"/>
      <c r="BB243" s="550"/>
      <c r="BC243" s="550"/>
      <c r="BD243" s="550"/>
      <c r="BE243" s="550"/>
      <c r="BF243" s="550"/>
      <c r="BG243" s="550"/>
      <c r="BH243" s="550"/>
      <c r="BI243" s="550"/>
      <c r="BJ243" s="550"/>
      <c r="BK243" s="550"/>
      <c r="BL243" s="550"/>
      <c r="BM243" s="550"/>
      <c r="BN243" s="550"/>
      <c r="BO243" s="550"/>
      <c r="BP243" s="550"/>
      <c r="BQ243" s="550"/>
      <c r="BR243" s="550"/>
      <c r="BS243" s="550"/>
      <c r="BT243" s="550"/>
      <c r="BU243" s="550"/>
      <c r="BV243" s="550"/>
      <c r="BW243" s="550"/>
      <c r="BX243" s="550"/>
      <c r="BY243" s="550"/>
      <c r="BZ243" s="550"/>
      <c r="CA243" s="550"/>
      <c r="CB243" s="550"/>
      <c r="CC243" s="550"/>
      <c r="CD243" s="550"/>
      <c r="CE243" s="550"/>
      <c r="CF243" s="550"/>
      <c r="CG243" s="550"/>
      <c r="CH243" s="550"/>
      <c r="CI243" s="550"/>
      <c r="CJ243" s="550"/>
      <c r="CK243" s="550"/>
      <c r="CL243" s="550"/>
      <c r="CM243" s="550"/>
      <c r="CN243" s="550"/>
      <c r="CO243" s="550"/>
      <c r="CP243" s="550"/>
      <c r="CQ243" s="550"/>
      <c r="CR243" s="550"/>
      <c r="CS243" s="550"/>
      <c r="CT243" s="550"/>
      <c r="CU243" s="550"/>
      <c r="CV243" s="550"/>
      <c r="CW243" s="550"/>
    </row>
    <row r="244" spans="1:101" x14ac:dyDescent="0.2">
      <c r="A244" s="344">
        <f>+SUBTOTAL(3,$E$8:$E244)</f>
        <v>237</v>
      </c>
      <c r="B244" s="555">
        <v>45566</v>
      </c>
      <c r="C244" s="344" t="s">
        <v>104</v>
      </c>
      <c r="D244" s="344" t="str">
        <f>+VLOOKUP(C244,'Visual chart Edit'!$B$7:$C$491,2,FALSE)</f>
        <v>DB2+0</v>
      </c>
      <c r="E244" s="344" t="s">
        <v>32</v>
      </c>
      <c r="F244" s="551">
        <v>45563</v>
      </c>
      <c r="G244" s="551">
        <v>45574</v>
      </c>
      <c r="H244" s="552" t="s">
        <v>878</v>
      </c>
      <c r="I244" s="553" t="s">
        <v>1021</v>
      </c>
      <c r="J244" s="554">
        <f t="shared" si="3"/>
        <v>11</v>
      </c>
      <c r="K244" s="550"/>
      <c r="L244" s="550"/>
      <c r="M244" s="550"/>
      <c r="N244" s="550"/>
      <c r="O244" s="550"/>
      <c r="P244" s="550"/>
      <c r="Q244" s="550"/>
      <c r="R244" s="550"/>
      <c r="S244" s="550"/>
      <c r="T244" s="550"/>
      <c r="U244" s="550"/>
      <c r="V244" s="550"/>
      <c r="W244" s="550"/>
      <c r="X244" s="550"/>
      <c r="Y244" s="550"/>
      <c r="Z244" s="550"/>
      <c r="AA244" s="550"/>
      <c r="AB244" s="550"/>
      <c r="AC244" s="550"/>
      <c r="AD244" s="550"/>
      <c r="AE244" s="550"/>
      <c r="AF244" s="550"/>
      <c r="AG244" s="550"/>
      <c r="AH244" s="550"/>
      <c r="AI244" s="550"/>
      <c r="AJ244" s="550"/>
      <c r="AK244" s="550"/>
      <c r="AL244" s="550"/>
      <c r="AM244" s="550"/>
      <c r="AN244" s="550"/>
      <c r="AO244" s="550"/>
      <c r="AP244" s="550"/>
      <c r="AQ244" s="550"/>
      <c r="AR244" s="550"/>
      <c r="AS244" s="550"/>
      <c r="AT244" s="550"/>
      <c r="AU244" s="550"/>
      <c r="AV244" s="550"/>
      <c r="AW244" s="550"/>
      <c r="AX244" s="550"/>
      <c r="AY244" s="550"/>
      <c r="AZ244" s="550"/>
      <c r="BA244" s="550"/>
      <c r="BB244" s="550"/>
      <c r="BC244" s="550"/>
      <c r="BD244" s="550"/>
      <c r="BE244" s="550"/>
      <c r="BF244" s="550"/>
      <c r="BG244" s="550"/>
      <c r="BH244" s="550"/>
      <c r="BI244" s="550"/>
      <c r="BJ244" s="550"/>
      <c r="BK244" s="550"/>
      <c r="BL244" s="550"/>
      <c r="BM244" s="550"/>
      <c r="BN244" s="550"/>
      <c r="BO244" s="550"/>
      <c r="BP244" s="550"/>
      <c r="BQ244" s="550"/>
      <c r="BR244" s="550"/>
      <c r="BS244" s="550"/>
      <c r="BT244" s="550"/>
      <c r="BU244" s="550"/>
      <c r="BV244" s="550"/>
      <c r="BW244" s="550"/>
      <c r="BX244" s="550"/>
      <c r="BY244" s="550"/>
      <c r="BZ244" s="550"/>
      <c r="CA244" s="550"/>
      <c r="CB244" s="550"/>
      <c r="CC244" s="550"/>
      <c r="CD244" s="550"/>
      <c r="CE244" s="550"/>
      <c r="CF244" s="550"/>
      <c r="CG244" s="550"/>
      <c r="CH244" s="550"/>
      <c r="CI244" s="550"/>
      <c r="CJ244" s="550"/>
      <c r="CK244" s="550"/>
      <c r="CL244" s="550"/>
      <c r="CM244" s="550"/>
      <c r="CN244" s="550"/>
      <c r="CO244" s="550"/>
      <c r="CP244" s="550"/>
      <c r="CQ244" s="550"/>
      <c r="CR244" s="550"/>
      <c r="CS244" s="550"/>
      <c r="CT244" s="550"/>
      <c r="CU244" s="550"/>
      <c r="CV244" s="550"/>
      <c r="CW244" s="550"/>
    </row>
    <row r="245" spans="1:101" x14ac:dyDescent="0.2">
      <c r="A245" s="344">
        <f>+SUBTOTAL(3,$E$8:$E245)</f>
        <v>238</v>
      </c>
      <c r="B245" s="555">
        <v>45566</v>
      </c>
      <c r="C245" s="344" t="s">
        <v>859</v>
      </c>
      <c r="D245" s="344" t="str">
        <f>+VLOOKUP(C245,'Visual chart Edit'!$B$7:$C$491,2,FALSE)</f>
        <v>DA+0</v>
      </c>
      <c r="E245" s="344" t="s">
        <v>276</v>
      </c>
      <c r="F245" s="551">
        <v>45573</v>
      </c>
      <c r="G245" s="551">
        <v>45574</v>
      </c>
      <c r="H245" s="552" t="s">
        <v>880</v>
      </c>
      <c r="I245" s="553" t="s">
        <v>1021</v>
      </c>
      <c r="J245" s="554">
        <f t="shared" si="3"/>
        <v>1</v>
      </c>
      <c r="K245" s="550"/>
      <c r="L245" s="550"/>
      <c r="M245" s="550"/>
      <c r="N245" s="550"/>
      <c r="O245" s="550"/>
      <c r="P245" s="550"/>
      <c r="Q245" s="550"/>
      <c r="R245" s="550"/>
      <c r="S245" s="550"/>
      <c r="T245" s="550"/>
      <c r="U245" s="550"/>
      <c r="V245" s="550"/>
      <c r="W245" s="550"/>
      <c r="X245" s="550"/>
      <c r="Y245" s="550"/>
      <c r="Z245" s="550"/>
      <c r="AA245" s="550"/>
      <c r="AB245" s="550"/>
      <c r="AC245" s="550"/>
      <c r="AD245" s="550"/>
      <c r="AE245" s="550"/>
      <c r="AF245" s="550"/>
      <c r="AG245" s="550"/>
      <c r="AH245" s="550"/>
      <c r="AI245" s="550"/>
      <c r="AJ245" s="550"/>
      <c r="AK245" s="550"/>
      <c r="AL245" s="550"/>
      <c r="AM245" s="550"/>
      <c r="AN245" s="550"/>
      <c r="AO245" s="550"/>
      <c r="AP245" s="550"/>
      <c r="AQ245" s="550"/>
      <c r="AR245" s="550"/>
      <c r="AS245" s="550"/>
      <c r="AT245" s="550"/>
      <c r="AU245" s="550"/>
      <c r="AV245" s="550"/>
      <c r="AW245" s="550"/>
      <c r="AX245" s="550"/>
      <c r="AY245" s="550"/>
      <c r="AZ245" s="550"/>
      <c r="BA245" s="550"/>
      <c r="BB245" s="550"/>
      <c r="BC245" s="550"/>
      <c r="BD245" s="550"/>
      <c r="BE245" s="550"/>
      <c r="BF245" s="550"/>
      <c r="BG245" s="550"/>
      <c r="BH245" s="550"/>
      <c r="BI245" s="550"/>
      <c r="BJ245" s="550"/>
      <c r="BK245" s="550"/>
      <c r="BL245" s="550"/>
      <c r="BM245" s="550"/>
      <c r="BN245" s="550"/>
      <c r="BO245" s="550"/>
      <c r="BP245" s="550"/>
      <c r="BQ245" s="550"/>
      <c r="BR245" s="550"/>
      <c r="BS245" s="550"/>
      <c r="BT245" s="550"/>
      <c r="BU245" s="550"/>
      <c r="BV245" s="550"/>
      <c r="BW245" s="550"/>
      <c r="BX245" s="550"/>
      <c r="BY245" s="550"/>
      <c r="BZ245" s="550"/>
      <c r="CA245" s="550"/>
      <c r="CB245" s="550"/>
      <c r="CC245" s="550"/>
      <c r="CD245" s="550"/>
      <c r="CE245" s="550"/>
      <c r="CF245" s="550"/>
      <c r="CG245" s="550"/>
      <c r="CH245" s="550"/>
      <c r="CI245" s="550"/>
      <c r="CJ245" s="550"/>
      <c r="CK245" s="550"/>
      <c r="CL245" s="550"/>
      <c r="CM245" s="550"/>
      <c r="CN245" s="550"/>
      <c r="CO245" s="550"/>
      <c r="CP245" s="550"/>
      <c r="CQ245" s="550"/>
      <c r="CR245" s="550"/>
      <c r="CS245" s="550"/>
      <c r="CT245" s="550"/>
      <c r="CU245" s="550"/>
      <c r="CV245" s="550"/>
      <c r="CW245" s="550"/>
    </row>
    <row r="246" spans="1:101" x14ac:dyDescent="0.2">
      <c r="A246" s="344">
        <f>+SUBTOTAL(3,$E$8:$E246)</f>
        <v>239</v>
      </c>
      <c r="B246" s="555">
        <v>45566</v>
      </c>
      <c r="C246" s="344" t="s">
        <v>533</v>
      </c>
      <c r="D246" s="344" t="str">
        <f>+VLOOKUP(C246,'Visual chart Edit'!$B$7:$C$491,2,FALSE)</f>
        <v>DA+6</v>
      </c>
      <c r="E246" s="344" t="s">
        <v>143</v>
      </c>
      <c r="F246" s="551">
        <v>45560</v>
      </c>
      <c r="G246" s="551">
        <v>45575</v>
      </c>
      <c r="H246" s="552" t="s">
        <v>1012</v>
      </c>
      <c r="I246" s="553" t="s">
        <v>583</v>
      </c>
      <c r="J246" s="554">
        <f t="shared" si="3"/>
        <v>15</v>
      </c>
      <c r="K246" s="550"/>
      <c r="L246" s="550"/>
      <c r="M246" s="550"/>
      <c r="N246" s="550"/>
      <c r="O246" s="550"/>
      <c r="P246" s="550"/>
      <c r="Q246" s="550"/>
      <c r="R246" s="550"/>
      <c r="S246" s="550"/>
      <c r="T246" s="550"/>
      <c r="U246" s="550"/>
      <c r="V246" s="550"/>
      <c r="W246" s="550"/>
      <c r="X246" s="550"/>
      <c r="Y246" s="550"/>
      <c r="Z246" s="550"/>
      <c r="AA246" s="550"/>
      <c r="AB246" s="550"/>
      <c r="AC246" s="550"/>
      <c r="AD246" s="550"/>
      <c r="AE246" s="550"/>
      <c r="AF246" s="550"/>
      <c r="AG246" s="550"/>
      <c r="AH246" s="550"/>
      <c r="AI246" s="550"/>
      <c r="AJ246" s="550"/>
      <c r="AK246" s="550"/>
      <c r="AL246" s="550"/>
      <c r="AM246" s="550"/>
      <c r="AN246" s="550"/>
      <c r="AO246" s="550"/>
      <c r="AP246" s="550"/>
      <c r="AQ246" s="550"/>
      <c r="AR246" s="550"/>
      <c r="AS246" s="550"/>
      <c r="AT246" s="550"/>
      <c r="AU246" s="550"/>
      <c r="AV246" s="550"/>
      <c r="AW246" s="550"/>
      <c r="AX246" s="550"/>
      <c r="AY246" s="550"/>
      <c r="AZ246" s="550"/>
      <c r="BA246" s="550"/>
      <c r="BB246" s="550"/>
      <c r="BC246" s="550"/>
      <c r="BD246" s="550"/>
      <c r="BE246" s="550"/>
      <c r="BF246" s="550"/>
      <c r="BG246" s="550"/>
      <c r="BH246" s="550"/>
      <c r="BI246" s="550"/>
      <c r="BJ246" s="550"/>
      <c r="BK246" s="550"/>
      <c r="BL246" s="550"/>
      <c r="BM246" s="550"/>
      <c r="BN246" s="550"/>
      <c r="BO246" s="550"/>
      <c r="BP246" s="550"/>
      <c r="BQ246" s="550"/>
      <c r="BR246" s="550"/>
      <c r="BS246" s="550"/>
      <c r="BT246" s="550"/>
      <c r="BU246" s="550"/>
      <c r="BV246" s="550"/>
      <c r="BW246" s="550"/>
      <c r="BX246" s="550"/>
      <c r="BY246" s="550"/>
      <c r="BZ246" s="550"/>
      <c r="CA246" s="550"/>
      <c r="CB246" s="550"/>
      <c r="CC246" s="550"/>
      <c r="CD246" s="550"/>
      <c r="CE246" s="550"/>
      <c r="CF246" s="550"/>
      <c r="CG246" s="550"/>
      <c r="CH246" s="550"/>
      <c r="CI246" s="550"/>
      <c r="CJ246" s="550"/>
      <c r="CK246" s="550"/>
      <c r="CL246" s="550"/>
      <c r="CM246" s="550"/>
      <c r="CN246" s="550"/>
      <c r="CO246" s="550"/>
      <c r="CP246" s="550"/>
      <c r="CQ246" s="550"/>
      <c r="CR246" s="550"/>
      <c r="CS246" s="550"/>
      <c r="CT246" s="550"/>
      <c r="CU246" s="550"/>
      <c r="CV246" s="550"/>
      <c r="CW246" s="550"/>
    </row>
    <row r="247" spans="1:101" x14ac:dyDescent="0.2">
      <c r="A247" s="344">
        <f>+SUBTOTAL(3,$E$8:$E247)</f>
        <v>240</v>
      </c>
      <c r="B247" s="555">
        <v>45566</v>
      </c>
      <c r="C247" s="344" t="s">
        <v>865</v>
      </c>
      <c r="D247" s="344" t="str">
        <f>+VLOOKUP(C247,'Visual chart Edit'!$B$7:$C$491,2,FALSE)</f>
        <v>DB2+0</v>
      </c>
      <c r="E247" s="344" t="s">
        <v>143</v>
      </c>
      <c r="F247" s="551">
        <v>45572</v>
      </c>
      <c r="G247" s="551">
        <v>45575</v>
      </c>
      <c r="H247" s="552" t="s">
        <v>236</v>
      </c>
      <c r="I247" s="553" t="s">
        <v>1021</v>
      </c>
      <c r="J247" s="554">
        <f t="shared" si="3"/>
        <v>3</v>
      </c>
      <c r="K247" s="550"/>
      <c r="L247" s="550"/>
      <c r="M247" s="550"/>
      <c r="N247" s="550"/>
      <c r="O247" s="550"/>
      <c r="P247" s="550"/>
      <c r="Q247" s="550"/>
      <c r="R247" s="550"/>
      <c r="S247" s="550"/>
      <c r="T247" s="550"/>
      <c r="U247" s="550"/>
      <c r="V247" s="550"/>
      <c r="W247" s="550"/>
      <c r="X247" s="550"/>
      <c r="Y247" s="550"/>
      <c r="Z247" s="550"/>
      <c r="AA247" s="550"/>
      <c r="AB247" s="550"/>
      <c r="AC247" s="550"/>
      <c r="AD247" s="550"/>
      <c r="AE247" s="550"/>
      <c r="AF247" s="550"/>
      <c r="AG247" s="550"/>
      <c r="AH247" s="550"/>
      <c r="AI247" s="550"/>
      <c r="AJ247" s="550"/>
      <c r="AK247" s="550"/>
      <c r="AL247" s="550"/>
      <c r="AM247" s="550"/>
      <c r="AN247" s="550"/>
      <c r="AO247" s="550"/>
      <c r="AP247" s="550"/>
      <c r="AQ247" s="550"/>
      <c r="AR247" s="550"/>
      <c r="AS247" s="550"/>
      <c r="AT247" s="550"/>
      <c r="AU247" s="550"/>
      <c r="AV247" s="550"/>
      <c r="AW247" s="550"/>
      <c r="AX247" s="550"/>
      <c r="AY247" s="550"/>
      <c r="AZ247" s="550"/>
      <c r="BA247" s="550"/>
      <c r="BB247" s="550"/>
      <c r="BC247" s="550"/>
      <c r="BD247" s="550"/>
      <c r="BE247" s="550"/>
      <c r="BF247" s="550"/>
      <c r="BG247" s="550"/>
      <c r="BH247" s="550"/>
      <c r="BI247" s="550"/>
      <c r="BJ247" s="550"/>
      <c r="BK247" s="550"/>
      <c r="BL247" s="550"/>
      <c r="BM247" s="550"/>
      <c r="BN247" s="550"/>
      <c r="BO247" s="550"/>
      <c r="BP247" s="550"/>
      <c r="BQ247" s="550"/>
      <c r="BR247" s="550"/>
      <c r="BS247" s="550"/>
      <c r="BT247" s="550"/>
      <c r="BU247" s="550"/>
      <c r="BV247" s="550"/>
      <c r="BW247" s="550"/>
      <c r="BX247" s="550"/>
      <c r="BY247" s="550"/>
      <c r="BZ247" s="550"/>
      <c r="CA247" s="550"/>
      <c r="CB247" s="550"/>
      <c r="CC247" s="550"/>
      <c r="CD247" s="550"/>
      <c r="CE247" s="550"/>
      <c r="CF247" s="550"/>
      <c r="CG247" s="550"/>
      <c r="CH247" s="550"/>
      <c r="CI247" s="550"/>
      <c r="CJ247" s="550"/>
      <c r="CK247" s="550"/>
      <c r="CL247" s="550"/>
      <c r="CM247" s="550"/>
      <c r="CN247" s="550"/>
      <c r="CO247" s="550"/>
      <c r="CP247" s="550"/>
      <c r="CQ247" s="550"/>
      <c r="CR247" s="550"/>
      <c r="CS247" s="550"/>
      <c r="CT247" s="550"/>
      <c r="CU247" s="550"/>
      <c r="CV247" s="550"/>
      <c r="CW247" s="550"/>
    </row>
    <row r="248" spans="1:101" x14ac:dyDescent="0.2">
      <c r="A248" s="344">
        <f>+SUBTOTAL(3,$E$8:$E248)</f>
        <v>241</v>
      </c>
      <c r="B248" s="555">
        <v>45566</v>
      </c>
      <c r="C248" s="344" t="s">
        <v>179</v>
      </c>
      <c r="D248" s="344" t="str">
        <f>+VLOOKUP(C248,'Visual chart Edit'!$B$7:$C$491,2,FALSE)</f>
        <v>DA+3</v>
      </c>
      <c r="E248" s="344" t="s">
        <v>276</v>
      </c>
      <c r="F248" s="551">
        <v>45563</v>
      </c>
      <c r="G248" s="551">
        <v>45577</v>
      </c>
      <c r="H248" s="552" t="s">
        <v>582</v>
      </c>
      <c r="I248" s="553" t="s">
        <v>583</v>
      </c>
      <c r="J248" s="554">
        <f t="shared" si="3"/>
        <v>14</v>
      </c>
      <c r="K248" s="550"/>
      <c r="L248" s="550"/>
      <c r="M248" s="550"/>
      <c r="N248" s="550"/>
      <c r="O248" s="550"/>
      <c r="P248" s="550"/>
      <c r="Q248" s="550"/>
      <c r="R248" s="550"/>
      <c r="S248" s="550"/>
      <c r="T248" s="550"/>
      <c r="U248" s="550"/>
      <c r="V248" s="550"/>
      <c r="W248" s="550"/>
      <c r="X248" s="550"/>
      <c r="Y248" s="550"/>
      <c r="Z248" s="550"/>
      <c r="AA248" s="550"/>
      <c r="AB248" s="550"/>
      <c r="AC248" s="550"/>
      <c r="AD248" s="550"/>
      <c r="AE248" s="550"/>
      <c r="AF248" s="550"/>
      <c r="AG248" s="550"/>
      <c r="AH248" s="550"/>
      <c r="AI248" s="550"/>
      <c r="AJ248" s="550"/>
      <c r="AK248" s="550"/>
      <c r="AL248" s="550"/>
      <c r="AM248" s="550"/>
      <c r="AN248" s="550"/>
      <c r="AO248" s="550"/>
      <c r="AP248" s="550"/>
      <c r="AQ248" s="550"/>
      <c r="AR248" s="550"/>
      <c r="AS248" s="550"/>
      <c r="AT248" s="550"/>
      <c r="AU248" s="550"/>
      <c r="AV248" s="550"/>
      <c r="AW248" s="550"/>
      <c r="AX248" s="550"/>
      <c r="AY248" s="550"/>
      <c r="AZ248" s="550"/>
      <c r="BA248" s="550"/>
      <c r="BB248" s="550"/>
      <c r="BC248" s="550"/>
      <c r="BD248" s="550"/>
      <c r="BE248" s="550"/>
      <c r="BF248" s="550"/>
      <c r="BG248" s="550"/>
      <c r="BH248" s="550"/>
      <c r="BI248" s="550"/>
      <c r="BJ248" s="550"/>
      <c r="BK248" s="550"/>
      <c r="BL248" s="550"/>
      <c r="BM248" s="550"/>
      <c r="BN248" s="550"/>
      <c r="BO248" s="550"/>
      <c r="BP248" s="550"/>
      <c r="BQ248" s="550"/>
      <c r="BR248" s="550"/>
      <c r="BS248" s="550"/>
      <c r="BT248" s="550"/>
      <c r="BU248" s="550"/>
      <c r="BV248" s="550"/>
      <c r="BW248" s="550"/>
      <c r="BX248" s="550"/>
      <c r="BY248" s="550"/>
      <c r="BZ248" s="550"/>
      <c r="CA248" s="550"/>
      <c r="CB248" s="550"/>
      <c r="CC248" s="550"/>
      <c r="CD248" s="550"/>
      <c r="CE248" s="550"/>
      <c r="CF248" s="550"/>
      <c r="CG248" s="550"/>
      <c r="CH248" s="550"/>
      <c r="CI248" s="550"/>
      <c r="CJ248" s="550"/>
      <c r="CK248" s="550"/>
      <c r="CL248" s="550"/>
      <c r="CM248" s="550"/>
      <c r="CN248" s="550"/>
      <c r="CO248" s="550"/>
      <c r="CP248" s="550"/>
      <c r="CQ248" s="550"/>
      <c r="CR248" s="550"/>
      <c r="CS248" s="550"/>
      <c r="CT248" s="550"/>
      <c r="CU248" s="550"/>
      <c r="CV248" s="550"/>
      <c r="CW248" s="550"/>
    </row>
    <row r="249" spans="1:101" x14ac:dyDescent="0.2">
      <c r="A249" s="344">
        <f>+SUBTOTAL(3,$E$8:$E249)</f>
        <v>242</v>
      </c>
      <c r="B249" s="555">
        <v>45566</v>
      </c>
      <c r="C249" s="344" t="s">
        <v>567</v>
      </c>
      <c r="D249" s="344" t="str">
        <f>+VLOOKUP(C249,'Visual chart Edit'!$B$7:$C$491,2,FALSE)</f>
        <v>DA+0</v>
      </c>
      <c r="E249" s="344" t="s">
        <v>143</v>
      </c>
      <c r="F249" s="551">
        <v>45563</v>
      </c>
      <c r="G249" s="551">
        <v>45577</v>
      </c>
      <c r="H249" s="552" t="s">
        <v>601</v>
      </c>
      <c r="I249" s="553" t="s">
        <v>222</v>
      </c>
      <c r="J249" s="554">
        <f t="shared" si="3"/>
        <v>14</v>
      </c>
      <c r="K249" s="550"/>
      <c r="L249" s="550"/>
      <c r="M249" s="550"/>
      <c r="N249" s="550"/>
      <c r="O249" s="550"/>
      <c r="P249" s="550"/>
      <c r="Q249" s="550"/>
      <c r="R249" s="550"/>
      <c r="S249" s="550"/>
      <c r="T249" s="550"/>
      <c r="U249" s="550"/>
      <c r="V249" s="550"/>
      <c r="W249" s="550"/>
      <c r="X249" s="550"/>
      <c r="Y249" s="550"/>
      <c r="Z249" s="550"/>
      <c r="AA249" s="550"/>
      <c r="AB249" s="550"/>
      <c r="AC249" s="550"/>
      <c r="AD249" s="550"/>
      <c r="AE249" s="550"/>
      <c r="AF249" s="550"/>
      <c r="AG249" s="550"/>
      <c r="AH249" s="550"/>
      <c r="AI249" s="550"/>
      <c r="AJ249" s="550"/>
      <c r="AK249" s="550"/>
      <c r="AL249" s="550"/>
      <c r="AM249" s="550"/>
      <c r="AN249" s="550"/>
      <c r="AO249" s="550"/>
      <c r="AP249" s="550"/>
      <c r="AQ249" s="550"/>
      <c r="AR249" s="550"/>
      <c r="AS249" s="550"/>
      <c r="AT249" s="550"/>
      <c r="AU249" s="550"/>
      <c r="AV249" s="550"/>
      <c r="AW249" s="550"/>
      <c r="AX249" s="550"/>
      <c r="AY249" s="550"/>
      <c r="AZ249" s="550"/>
      <c r="BA249" s="550"/>
      <c r="BB249" s="550"/>
      <c r="BC249" s="550"/>
      <c r="BD249" s="550"/>
      <c r="BE249" s="550"/>
      <c r="BF249" s="550"/>
      <c r="BG249" s="550"/>
      <c r="BH249" s="550"/>
      <c r="BI249" s="550"/>
      <c r="BJ249" s="550"/>
      <c r="BK249" s="550"/>
      <c r="BL249" s="550"/>
      <c r="BM249" s="550"/>
      <c r="BN249" s="550"/>
      <c r="BO249" s="550"/>
      <c r="BP249" s="550"/>
      <c r="BQ249" s="550"/>
      <c r="BR249" s="550"/>
      <c r="BS249" s="550"/>
      <c r="BT249" s="550"/>
      <c r="BU249" s="550"/>
      <c r="BV249" s="550"/>
      <c r="BW249" s="550"/>
      <c r="BX249" s="550"/>
      <c r="BY249" s="550"/>
      <c r="BZ249" s="550"/>
      <c r="CA249" s="550"/>
      <c r="CB249" s="550"/>
      <c r="CC249" s="550"/>
      <c r="CD249" s="550"/>
      <c r="CE249" s="550"/>
      <c r="CF249" s="550"/>
      <c r="CG249" s="550"/>
      <c r="CH249" s="550"/>
      <c r="CI249" s="550"/>
      <c r="CJ249" s="550"/>
      <c r="CK249" s="550"/>
      <c r="CL249" s="550"/>
      <c r="CM249" s="550"/>
      <c r="CN249" s="550"/>
      <c r="CO249" s="550"/>
      <c r="CP249" s="550"/>
      <c r="CQ249" s="550"/>
      <c r="CR249" s="550"/>
      <c r="CS249" s="550"/>
      <c r="CT249" s="550"/>
      <c r="CU249" s="550"/>
      <c r="CV249" s="550"/>
      <c r="CW249" s="550"/>
    </row>
    <row r="250" spans="1:101" x14ac:dyDescent="0.2">
      <c r="A250" s="344">
        <f>+SUBTOTAL(3,$E$8:$E250)</f>
        <v>243</v>
      </c>
      <c r="B250" s="555">
        <v>45566</v>
      </c>
      <c r="C250" s="344" t="s">
        <v>221</v>
      </c>
      <c r="D250" s="344" t="str">
        <f>+VLOOKUP(C250,'Visual chart Edit'!$B$7:$C$491,2,FALSE)</f>
        <v>DA+3</v>
      </c>
      <c r="E250" s="344" t="s">
        <v>276</v>
      </c>
      <c r="F250" s="551">
        <v>45579</v>
      </c>
      <c r="G250" s="551">
        <v>45580</v>
      </c>
      <c r="H250" s="552" t="s">
        <v>880</v>
      </c>
      <c r="I250" s="553" t="s">
        <v>1021</v>
      </c>
      <c r="J250" s="554">
        <f t="shared" si="3"/>
        <v>1</v>
      </c>
      <c r="K250" s="550"/>
      <c r="L250" s="550"/>
      <c r="M250" s="550"/>
      <c r="N250" s="550"/>
      <c r="O250" s="550"/>
      <c r="P250" s="550"/>
      <c r="Q250" s="550"/>
      <c r="R250" s="550"/>
      <c r="S250" s="550"/>
      <c r="T250" s="550"/>
      <c r="U250" s="550"/>
      <c r="V250" s="550"/>
      <c r="W250" s="550"/>
      <c r="X250" s="550"/>
      <c r="Y250" s="550"/>
      <c r="Z250" s="550"/>
      <c r="AA250" s="550"/>
      <c r="AB250" s="550"/>
      <c r="AC250" s="550"/>
      <c r="AD250" s="550"/>
      <c r="AE250" s="550"/>
      <c r="AF250" s="550"/>
      <c r="AG250" s="550"/>
      <c r="AH250" s="550"/>
      <c r="AI250" s="550"/>
      <c r="AJ250" s="550"/>
      <c r="AK250" s="550"/>
      <c r="AL250" s="550"/>
      <c r="AM250" s="550"/>
      <c r="AN250" s="550"/>
      <c r="AO250" s="550"/>
      <c r="AP250" s="550"/>
      <c r="AQ250" s="550"/>
      <c r="AR250" s="550"/>
      <c r="AS250" s="550"/>
      <c r="AT250" s="550"/>
      <c r="AU250" s="550"/>
      <c r="AV250" s="550"/>
      <c r="AW250" s="550"/>
      <c r="AX250" s="550"/>
      <c r="AY250" s="550"/>
      <c r="AZ250" s="550"/>
      <c r="BA250" s="550"/>
      <c r="BB250" s="550"/>
      <c r="BC250" s="550"/>
      <c r="BD250" s="550"/>
      <c r="BE250" s="550"/>
      <c r="BF250" s="550"/>
      <c r="BG250" s="550"/>
      <c r="BH250" s="550"/>
      <c r="BI250" s="550"/>
      <c r="BJ250" s="550"/>
      <c r="BK250" s="550"/>
      <c r="BL250" s="550"/>
      <c r="BM250" s="550"/>
      <c r="BN250" s="550"/>
      <c r="BO250" s="550"/>
      <c r="BP250" s="550"/>
      <c r="BQ250" s="550"/>
      <c r="BR250" s="550"/>
      <c r="BS250" s="550"/>
      <c r="BT250" s="550"/>
      <c r="BU250" s="550"/>
      <c r="BV250" s="550"/>
      <c r="BW250" s="550"/>
      <c r="BX250" s="550"/>
      <c r="BY250" s="550"/>
      <c r="BZ250" s="550"/>
      <c r="CA250" s="550"/>
      <c r="CB250" s="550"/>
      <c r="CC250" s="550"/>
      <c r="CD250" s="550"/>
      <c r="CE250" s="550"/>
      <c r="CF250" s="550"/>
      <c r="CG250" s="550"/>
      <c r="CH250" s="550"/>
      <c r="CI250" s="550"/>
      <c r="CJ250" s="550"/>
      <c r="CK250" s="550"/>
      <c r="CL250" s="550"/>
      <c r="CM250" s="550"/>
      <c r="CN250" s="550"/>
      <c r="CO250" s="550"/>
      <c r="CP250" s="550"/>
      <c r="CQ250" s="550"/>
      <c r="CR250" s="550"/>
      <c r="CS250" s="550"/>
      <c r="CT250" s="550"/>
      <c r="CU250" s="550"/>
      <c r="CV250" s="550"/>
      <c r="CW250" s="550"/>
    </row>
    <row r="251" spans="1:101" x14ac:dyDescent="0.2">
      <c r="A251" s="344">
        <f>+SUBTOTAL(3,$E$8:$E251)</f>
        <v>244</v>
      </c>
      <c r="B251" s="555">
        <v>45566</v>
      </c>
      <c r="C251" s="344" t="s">
        <v>575</v>
      </c>
      <c r="D251" s="344" t="str">
        <f>+VLOOKUP(C251,'Visual chart Edit'!$B$7:$C$491,2,FALSE)</f>
        <v>DA+3</v>
      </c>
      <c r="E251" s="344" t="s">
        <v>143</v>
      </c>
      <c r="F251" s="551">
        <v>45560</v>
      </c>
      <c r="G251" s="551">
        <v>45583</v>
      </c>
      <c r="H251" s="552" t="s">
        <v>607</v>
      </c>
      <c r="I251" s="553" t="s">
        <v>222</v>
      </c>
      <c r="J251" s="554">
        <f t="shared" si="3"/>
        <v>23</v>
      </c>
      <c r="K251" s="550"/>
      <c r="L251" s="550"/>
      <c r="M251" s="550"/>
      <c r="N251" s="550"/>
      <c r="O251" s="550"/>
      <c r="P251" s="550"/>
      <c r="Q251" s="550"/>
      <c r="R251" s="550"/>
      <c r="S251" s="550"/>
      <c r="T251" s="550"/>
      <c r="U251" s="550"/>
      <c r="V251" s="550"/>
      <c r="W251" s="550"/>
      <c r="X251" s="550"/>
      <c r="Y251" s="550"/>
      <c r="Z251" s="550"/>
      <c r="AA251" s="550"/>
      <c r="AB251" s="550"/>
      <c r="AC251" s="550"/>
      <c r="AD251" s="550"/>
      <c r="AE251" s="550"/>
      <c r="AF251" s="550"/>
      <c r="AG251" s="550"/>
      <c r="AH251" s="550"/>
      <c r="AI251" s="550"/>
      <c r="AJ251" s="550"/>
      <c r="AK251" s="550"/>
      <c r="AL251" s="550"/>
      <c r="AM251" s="550"/>
      <c r="AN251" s="550"/>
      <c r="AO251" s="550"/>
      <c r="AP251" s="550"/>
      <c r="AQ251" s="550"/>
      <c r="AR251" s="550"/>
      <c r="AS251" s="550"/>
      <c r="AT251" s="550"/>
      <c r="AU251" s="550"/>
      <c r="AV251" s="550"/>
      <c r="AW251" s="550"/>
      <c r="AX251" s="550"/>
      <c r="AY251" s="550"/>
      <c r="AZ251" s="550"/>
      <c r="BA251" s="550"/>
      <c r="BB251" s="550"/>
      <c r="BC251" s="550"/>
      <c r="BD251" s="550"/>
      <c r="BE251" s="550"/>
      <c r="BF251" s="550"/>
      <c r="BG251" s="550"/>
      <c r="BH251" s="550"/>
      <c r="BI251" s="550"/>
      <c r="BJ251" s="550"/>
      <c r="BK251" s="550"/>
      <c r="BL251" s="550"/>
      <c r="BM251" s="550"/>
      <c r="BN251" s="550"/>
      <c r="BO251" s="550"/>
      <c r="BP251" s="550"/>
      <c r="BQ251" s="550"/>
      <c r="BR251" s="550"/>
      <c r="BS251" s="550"/>
      <c r="BT251" s="550"/>
      <c r="BU251" s="550"/>
      <c r="BV251" s="550"/>
      <c r="BW251" s="550"/>
      <c r="BX251" s="550"/>
      <c r="BY251" s="550"/>
      <c r="BZ251" s="550"/>
      <c r="CA251" s="550"/>
      <c r="CB251" s="550"/>
      <c r="CC251" s="550"/>
      <c r="CD251" s="550"/>
      <c r="CE251" s="550"/>
      <c r="CF251" s="550"/>
      <c r="CG251" s="550"/>
      <c r="CH251" s="550"/>
      <c r="CI251" s="550"/>
      <c r="CJ251" s="550"/>
      <c r="CK251" s="550"/>
      <c r="CL251" s="550"/>
      <c r="CM251" s="550"/>
      <c r="CN251" s="550"/>
      <c r="CO251" s="550"/>
      <c r="CP251" s="550"/>
      <c r="CQ251" s="550"/>
      <c r="CR251" s="550"/>
      <c r="CS251" s="550"/>
      <c r="CT251" s="550"/>
      <c r="CU251" s="550"/>
      <c r="CV251" s="550"/>
      <c r="CW251" s="550"/>
    </row>
    <row r="252" spans="1:101" x14ac:dyDescent="0.2">
      <c r="A252" s="344">
        <f>+SUBTOTAL(3,$E$8:$E252)</f>
        <v>245</v>
      </c>
      <c r="B252" s="555">
        <v>45566</v>
      </c>
      <c r="C252" s="344" t="s">
        <v>48</v>
      </c>
      <c r="D252" s="344" t="str">
        <f>+VLOOKUP(C252,'Visual chart Edit'!$B$7:$C$491,2,FALSE)</f>
        <v>DD60+3</v>
      </c>
      <c r="E252" s="344" t="s">
        <v>276</v>
      </c>
      <c r="F252" s="551">
        <v>45569</v>
      </c>
      <c r="G252" s="551">
        <v>45583</v>
      </c>
      <c r="H252" s="552" t="s">
        <v>584</v>
      </c>
      <c r="I252" s="553" t="s">
        <v>237</v>
      </c>
      <c r="J252" s="554">
        <f t="shared" si="3"/>
        <v>14</v>
      </c>
      <c r="K252" s="550"/>
      <c r="L252" s="550"/>
      <c r="M252" s="550"/>
      <c r="N252" s="550"/>
      <c r="O252" s="550"/>
      <c r="P252" s="550"/>
      <c r="Q252" s="550"/>
      <c r="R252" s="550"/>
      <c r="S252" s="550"/>
      <c r="T252" s="550"/>
      <c r="U252" s="550"/>
      <c r="V252" s="550"/>
      <c r="W252" s="550"/>
      <c r="X252" s="550"/>
      <c r="Y252" s="550"/>
      <c r="Z252" s="550"/>
      <c r="AA252" s="550"/>
      <c r="AB252" s="550"/>
      <c r="AC252" s="550"/>
      <c r="AD252" s="550"/>
      <c r="AE252" s="550"/>
      <c r="AF252" s="550"/>
      <c r="AG252" s="550"/>
      <c r="AH252" s="550"/>
      <c r="AI252" s="550"/>
      <c r="AJ252" s="550"/>
      <c r="AK252" s="550"/>
      <c r="AL252" s="550"/>
      <c r="AM252" s="550"/>
      <c r="AN252" s="550"/>
      <c r="AO252" s="550"/>
      <c r="AP252" s="550"/>
      <c r="AQ252" s="550"/>
      <c r="AR252" s="550"/>
      <c r="AS252" s="550"/>
      <c r="AT252" s="550"/>
      <c r="AU252" s="550"/>
      <c r="AV252" s="550"/>
      <c r="AW252" s="550"/>
      <c r="AX252" s="550"/>
      <c r="AY252" s="550"/>
      <c r="AZ252" s="550"/>
      <c r="BA252" s="550"/>
      <c r="BB252" s="550"/>
      <c r="BC252" s="550"/>
      <c r="BD252" s="550"/>
      <c r="BE252" s="550"/>
      <c r="BF252" s="550"/>
      <c r="BG252" s="550"/>
      <c r="BH252" s="550"/>
      <c r="BI252" s="550"/>
      <c r="BJ252" s="550"/>
      <c r="BK252" s="550"/>
      <c r="BL252" s="550"/>
      <c r="BM252" s="550"/>
      <c r="BN252" s="550"/>
      <c r="BO252" s="550"/>
      <c r="BP252" s="550"/>
      <c r="BQ252" s="550"/>
      <c r="BR252" s="550"/>
      <c r="BS252" s="550"/>
      <c r="BT252" s="550"/>
      <c r="BU252" s="550"/>
      <c r="BV252" s="550"/>
      <c r="BW252" s="550"/>
      <c r="BX252" s="550"/>
      <c r="BY252" s="550"/>
      <c r="BZ252" s="550"/>
      <c r="CA252" s="550"/>
      <c r="CB252" s="550"/>
      <c r="CC252" s="550"/>
      <c r="CD252" s="550"/>
      <c r="CE252" s="550"/>
      <c r="CF252" s="550"/>
      <c r="CG252" s="550"/>
      <c r="CH252" s="550"/>
      <c r="CI252" s="550"/>
      <c r="CJ252" s="550"/>
      <c r="CK252" s="550"/>
      <c r="CL252" s="550"/>
      <c r="CM252" s="550"/>
      <c r="CN252" s="550"/>
      <c r="CO252" s="550"/>
      <c r="CP252" s="550"/>
      <c r="CQ252" s="550"/>
      <c r="CR252" s="550"/>
      <c r="CS252" s="550"/>
      <c r="CT252" s="550"/>
      <c r="CU252" s="550"/>
      <c r="CV252" s="550"/>
      <c r="CW252" s="550"/>
    </row>
    <row r="253" spans="1:101" x14ac:dyDescent="0.2">
      <c r="A253" s="344">
        <f>+SUBTOTAL(3,$E$8:$E253)</f>
        <v>246</v>
      </c>
      <c r="B253" s="555">
        <v>45566</v>
      </c>
      <c r="C253" s="344" t="s">
        <v>850</v>
      </c>
      <c r="D253" s="344" t="str">
        <f>+VLOOKUP(C253,'Visual chart Edit'!$B$7:$C$491,2,FALSE)</f>
        <v>DA+3</v>
      </c>
      <c r="E253" s="344" t="s">
        <v>276</v>
      </c>
      <c r="F253" s="551">
        <v>45582</v>
      </c>
      <c r="G253" s="551">
        <v>45583</v>
      </c>
      <c r="H253" s="552" t="s">
        <v>880</v>
      </c>
      <c r="I253" s="553" t="s">
        <v>1021</v>
      </c>
      <c r="J253" s="554">
        <f t="shared" si="3"/>
        <v>1</v>
      </c>
      <c r="K253" s="550"/>
      <c r="L253" s="550"/>
      <c r="M253" s="550"/>
      <c r="N253" s="550"/>
      <c r="O253" s="550"/>
      <c r="P253" s="550"/>
      <c r="Q253" s="550"/>
      <c r="R253" s="550"/>
      <c r="S253" s="550"/>
      <c r="T253" s="550"/>
      <c r="U253" s="550"/>
      <c r="V253" s="550"/>
      <c r="W253" s="550"/>
      <c r="X253" s="550"/>
      <c r="Y253" s="550"/>
      <c r="Z253" s="550"/>
      <c r="AA253" s="550"/>
      <c r="AB253" s="550"/>
      <c r="AC253" s="550"/>
      <c r="AD253" s="550"/>
      <c r="AE253" s="550"/>
      <c r="AF253" s="550"/>
      <c r="AG253" s="550"/>
      <c r="AH253" s="550"/>
      <c r="AI253" s="550"/>
      <c r="AJ253" s="550"/>
      <c r="AK253" s="550"/>
      <c r="AL253" s="550"/>
      <c r="AM253" s="550"/>
      <c r="AN253" s="550"/>
      <c r="AO253" s="550"/>
      <c r="AP253" s="550"/>
      <c r="AQ253" s="550"/>
      <c r="AR253" s="550"/>
      <c r="AS253" s="550"/>
      <c r="AT253" s="550"/>
      <c r="AU253" s="550"/>
      <c r="AV253" s="550"/>
      <c r="AW253" s="550"/>
      <c r="AX253" s="550"/>
      <c r="AY253" s="550"/>
      <c r="AZ253" s="550"/>
      <c r="BA253" s="550"/>
      <c r="BB253" s="550"/>
      <c r="BC253" s="550"/>
      <c r="BD253" s="550"/>
      <c r="BE253" s="550"/>
      <c r="BF253" s="550"/>
      <c r="BG253" s="550"/>
      <c r="BH253" s="550"/>
      <c r="BI253" s="550"/>
      <c r="BJ253" s="550"/>
      <c r="BK253" s="550"/>
      <c r="BL253" s="550"/>
      <c r="BM253" s="550"/>
      <c r="BN253" s="550"/>
      <c r="BO253" s="550"/>
      <c r="BP253" s="550"/>
      <c r="BQ253" s="550"/>
      <c r="BR253" s="550"/>
      <c r="BS253" s="550"/>
      <c r="BT253" s="550"/>
      <c r="BU253" s="550"/>
      <c r="BV253" s="550"/>
      <c r="BW253" s="550"/>
      <c r="BX253" s="550"/>
      <c r="BY253" s="550"/>
      <c r="BZ253" s="550"/>
      <c r="CA253" s="550"/>
      <c r="CB253" s="550"/>
      <c r="CC253" s="550"/>
      <c r="CD253" s="550"/>
      <c r="CE253" s="550"/>
      <c r="CF253" s="550"/>
      <c r="CG253" s="550"/>
      <c r="CH253" s="550"/>
      <c r="CI253" s="550"/>
      <c r="CJ253" s="550"/>
      <c r="CK253" s="550"/>
      <c r="CL253" s="550"/>
      <c r="CM253" s="550"/>
      <c r="CN253" s="550"/>
      <c r="CO253" s="550"/>
      <c r="CP253" s="550"/>
      <c r="CQ253" s="550"/>
      <c r="CR253" s="550"/>
      <c r="CS253" s="550"/>
      <c r="CT253" s="550"/>
      <c r="CU253" s="550"/>
      <c r="CV253" s="550"/>
      <c r="CW253" s="550"/>
    </row>
    <row r="254" spans="1:101" x14ac:dyDescent="0.2">
      <c r="A254" s="344">
        <f>+SUBTOTAL(3,$E$8:$E254)</f>
        <v>247</v>
      </c>
      <c r="B254" s="555">
        <v>45566</v>
      </c>
      <c r="C254" s="344" t="s">
        <v>755</v>
      </c>
      <c r="D254" s="344" t="str">
        <f>+VLOOKUP(C254,'Visual chart Edit'!$B$7:$C$491,2,FALSE)</f>
        <v>DA+3</v>
      </c>
      <c r="E254" s="344" t="s">
        <v>32</v>
      </c>
      <c r="F254" s="551">
        <v>45579</v>
      </c>
      <c r="G254" s="551">
        <v>45584</v>
      </c>
      <c r="H254" s="552" t="s">
        <v>878</v>
      </c>
      <c r="I254" s="553" t="s">
        <v>1024</v>
      </c>
      <c r="J254" s="554">
        <f t="shared" si="3"/>
        <v>5</v>
      </c>
      <c r="K254" s="550"/>
      <c r="L254" s="550"/>
      <c r="M254" s="550"/>
      <c r="N254" s="550"/>
      <c r="O254" s="550"/>
      <c r="P254" s="550"/>
      <c r="Q254" s="550"/>
      <c r="R254" s="550"/>
      <c r="S254" s="550"/>
      <c r="T254" s="550"/>
      <c r="U254" s="550"/>
      <c r="V254" s="550"/>
      <c r="W254" s="550"/>
      <c r="X254" s="550"/>
      <c r="Y254" s="550"/>
      <c r="Z254" s="550"/>
      <c r="AA254" s="550"/>
      <c r="AB254" s="550"/>
      <c r="AC254" s="550"/>
      <c r="AD254" s="550"/>
      <c r="AE254" s="550"/>
      <c r="AF254" s="550"/>
      <c r="AG254" s="550"/>
      <c r="AH254" s="550"/>
      <c r="AI254" s="550"/>
      <c r="AJ254" s="550"/>
      <c r="AK254" s="550"/>
      <c r="AL254" s="550"/>
      <c r="AM254" s="550"/>
      <c r="AN254" s="550"/>
      <c r="AO254" s="550"/>
      <c r="AP254" s="550"/>
      <c r="AQ254" s="550"/>
      <c r="AR254" s="550"/>
      <c r="AS254" s="550"/>
      <c r="AT254" s="550"/>
      <c r="AU254" s="550"/>
      <c r="AV254" s="550"/>
      <c r="AW254" s="550"/>
      <c r="AX254" s="550"/>
      <c r="AY254" s="550"/>
      <c r="AZ254" s="550"/>
      <c r="BA254" s="550"/>
      <c r="BB254" s="550"/>
      <c r="BC254" s="550"/>
      <c r="BD254" s="550"/>
      <c r="BE254" s="550"/>
      <c r="BF254" s="550"/>
      <c r="BG254" s="550"/>
      <c r="BH254" s="550"/>
      <c r="BI254" s="550"/>
      <c r="BJ254" s="550"/>
      <c r="BK254" s="550"/>
      <c r="BL254" s="550"/>
      <c r="BM254" s="550"/>
      <c r="BN254" s="550"/>
      <c r="BO254" s="550"/>
      <c r="BP254" s="550"/>
      <c r="BQ254" s="550"/>
      <c r="BR254" s="550"/>
      <c r="BS254" s="550"/>
      <c r="BT254" s="550"/>
      <c r="BU254" s="550"/>
      <c r="BV254" s="550"/>
      <c r="BW254" s="550"/>
      <c r="BX254" s="550"/>
      <c r="BY254" s="550"/>
      <c r="BZ254" s="550"/>
      <c r="CA254" s="550"/>
      <c r="CB254" s="550"/>
      <c r="CC254" s="550"/>
      <c r="CD254" s="550"/>
      <c r="CE254" s="550"/>
      <c r="CF254" s="550"/>
      <c r="CG254" s="550"/>
      <c r="CH254" s="550"/>
      <c r="CI254" s="550"/>
      <c r="CJ254" s="550"/>
      <c r="CK254" s="550"/>
      <c r="CL254" s="550"/>
      <c r="CM254" s="550"/>
      <c r="CN254" s="550"/>
      <c r="CO254" s="550"/>
      <c r="CP254" s="550"/>
      <c r="CQ254" s="550"/>
      <c r="CR254" s="550"/>
      <c r="CS254" s="550"/>
      <c r="CT254" s="550"/>
      <c r="CU254" s="550"/>
      <c r="CV254" s="550"/>
      <c r="CW254" s="550"/>
    </row>
    <row r="255" spans="1:101" x14ac:dyDescent="0.2">
      <c r="A255" s="344">
        <f>+SUBTOTAL(3,$E$8:$E255)</f>
        <v>248</v>
      </c>
      <c r="B255" s="555">
        <v>45566</v>
      </c>
      <c r="C255" s="344" t="s">
        <v>532</v>
      </c>
      <c r="D255" s="344" t="str">
        <f>+VLOOKUP(C255,'Visual chart Edit'!$B$7:$C$491,2,FALSE)</f>
        <v>DA+3</v>
      </c>
      <c r="E255" s="344" t="s">
        <v>143</v>
      </c>
      <c r="F255" s="551">
        <v>45576</v>
      </c>
      <c r="G255" s="551">
        <v>45586</v>
      </c>
      <c r="H255" s="552" t="s">
        <v>1012</v>
      </c>
      <c r="I255" s="553" t="s">
        <v>583</v>
      </c>
      <c r="J255" s="554">
        <f t="shared" si="3"/>
        <v>10</v>
      </c>
      <c r="K255" s="550"/>
      <c r="L255" s="550"/>
      <c r="M255" s="550"/>
      <c r="N255" s="550"/>
      <c r="O255" s="550"/>
      <c r="P255" s="550"/>
      <c r="Q255" s="550"/>
      <c r="R255" s="550"/>
      <c r="S255" s="550"/>
      <c r="T255" s="550"/>
      <c r="U255" s="550"/>
      <c r="V255" s="550"/>
      <c r="W255" s="550"/>
      <c r="X255" s="550"/>
      <c r="Y255" s="550"/>
      <c r="Z255" s="550"/>
      <c r="AA255" s="550"/>
      <c r="AB255" s="550"/>
      <c r="AC255" s="550"/>
      <c r="AD255" s="550"/>
      <c r="AE255" s="550"/>
      <c r="AF255" s="550"/>
      <c r="AG255" s="550"/>
      <c r="AH255" s="550"/>
      <c r="AI255" s="550"/>
      <c r="AJ255" s="550"/>
      <c r="AK255" s="550"/>
      <c r="AL255" s="550"/>
      <c r="AM255" s="550"/>
      <c r="AN255" s="550"/>
      <c r="AO255" s="550"/>
      <c r="AP255" s="550"/>
      <c r="AQ255" s="550"/>
      <c r="AR255" s="550"/>
      <c r="AS255" s="550"/>
      <c r="AT255" s="550"/>
      <c r="AU255" s="550"/>
      <c r="AV255" s="550"/>
      <c r="AW255" s="550"/>
      <c r="AX255" s="550"/>
      <c r="AY255" s="550"/>
      <c r="AZ255" s="550"/>
      <c r="BA255" s="550"/>
      <c r="BB255" s="550"/>
      <c r="BC255" s="550"/>
      <c r="BD255" s="550"/>
      <c r="BE255" s="550"/>
      <c r="BF255" s="550"/>
      <c r="BG255" s="550"/>
      <c r="BH255" s="550"/>
      <c r="BI255" s="550"/>
      <c r="BJ255" s="550"/>
      <c r="BK255" s="550"/>
      <c r="BL255" s="550"/>
      <c r="BM255" s="550"/>
      <c r="BN255" s="550"/>
      <c r="BO255" s="550"/>
      <c r="BP255" s="550"/>
      <c r="BQ255" s="550"/>
      <c r="BR255" s="550"/>
      <c r="BS255" s="550"/>
      <c r="BT255" s="550"/>
      <c r="BU255" s="550"/>
      <c r="BV255" s="550"/>
      <c r="BW255" s="550"/>
      <c r="BX255" s="550"/>
      <c r="BY255" s="550"/>
      <c r="BZ255" s="550"/>
      <c r="CA255" s="550"/>
      <c r="CB255" s="550"/>
      <c r="CC255" s="550"/>
      <c r="CD255" s="550"/>
      <c r="CE255" s="550"/>
      <c r="CF255" s="550"/>
      <c r="CG255" s="550"/>
      <c r="CH255" s="550"/>
      <c r="CI255" s="550"/>
      <c r="CJ255" s="550"/>
      <c r="CK255" s="550"/>
      <c r="CL255" s="550"/>
      <c r="CM255" s="550"/>
      <c r="CN255" s="550"/>
      <c r="CO255" s="550"/>
      <c r="CP255" s="550"/>
      <c r="CQ255" s="550"/>
      <c r="CR255" s="550"/>
      <c r="CS255" s="550"/>
      <c r="CT255" s="550"/>
      <c r="CU255" s="550"/>
      <c r="CV255" s="550"/>
      <c r="CW255" s="550"/>
    </row>
    <row r="256" spans="1:101" x14ac:dyDescent="0.2">
      <c r="A256" s="344">
        <f>+SUBTOTAL(3,$E$8:$E256)</f>
        <v>249</v>
      </c>
      <c r="B256" s="555">
        <v>45566</v>
      </c>
      <c r="C256" s="344" t="s">
        <v>559</v>
      </c>
      <c r="D256" s="344" t="str">
        <f>+VLOOKUP(C256,'Visual chart Edit'!$B$7:$C$491,2,FALSE)</f>
        <v>DA+6</v>
      </c>
      <c r="E256" s="344" t="s">
        <v>143</v>
      </c>
      <c r="F256" s="551">
        <v>45575</v>
      </c>
      <c r="G256" s="551">
        <v>45586</v>
      </c>
      <c r="H256" s="552" t="s">
        <v>251</v>
      </c>
      <c r="I256" s="553" t="s">
        <v>222</v>
      </c>
      <c r="J256" s="554">
        <f t="shared" si="3"/>
        <v>11</v>
      </c>
      <c r="K256" s="550"/>
      <c r="L256" s="550"/>
      <c r="M256" s="550"/>
      <c r="N256" s="550"/>
      <c r="O256" s="550"/>
      <c r="P256" s="550"/>
      <c r="Q256" s="550"/>
      <c r="R256" s="550"/>
      <c r="S256" s="550"/>
      <c r="T256" s="550"/>
      <c r="U256" s="550"/>
      <c r="V256" s="550"/>
      <c r="W256" s="550"/>
      <c r="X256" s="550"/>
      <c r="Y256" s="550"/>
      <c r="Z256" s="550"/>
      <c r="AA256" s="550"/>
      <c r="AB256" s="550"/>
      <c r="AC256" s="550"/>
      <c r="AD256" s="550"/>
      <c r="AE256" s="550"/>
      <c r="AF256" s="550"/>
      <c r="AG256" s="550"/>
      <c r="AH256" s="550"/>
      <c r="AI256" s="550"/>
      <c r="AJ256" s="550"/>
      <c r="AK256" s="550"/>
      <c r="AL256" s="550"/>
      <c r="AM256" s="550"/>
      <c r="AN256" s="550"/>
      <c r="AO256" s="550"/>
      <c r="AP256" s="550"/>
      <c r="AQ256" s="550"/>
      <c r="AR256" s="550"/>
      <c r="AS256" s="550"/>
      <c r="AT256" s="550"/>
      <c r="AU256" s="550"/>
      <c r="AV256" s="550"/>
      <c r="AW256" s="550"/>
      <c r="AX256" s="550"/>
      <c r="AY256" s="550"/>
      <c r="AZ256" s="550"/>
      <c r="BA256" s="550"/>
      <c r="BB256" s="550"/>
      <c r="BC256" s="550"/>
      <c r="BD256" s="550"/>
      <c r="BE256" s="550"/>
      <c r="BF256" s="550"/>
      <c r="BG256" s="550"/>
      <c r="BH256" s="550"/>
      <c r="BI256" s="550"/>
      <c r="BJ256" s="550"/>
      <c r="BK256" s="550"/>
      <c r="BL256" s="550"/>
      <c r="BM256" s="550"/>
      <c r="BN256" s="550"/>
      <c r="BO256" s="550"/>
      <c r="BP256" s="550"/>
      <c r="BQ256" s="550"/>
      <c r="BR256" s="550"/>
      <c r="BS256" s="550"/>
      <c r="BT256" s="550"/>
      <c r="BU256" s="550"/>
      <c r="BV256" s="550"/>
      <c r="BW256" s="550"/>
      <c r="BX256" s="550"/>
      <c r="BY256" s="550"/>
      <c r="BZ256" s="550"/>
      <c r="CA256" s="550"/>
      <c r="CB256" s="550"/>
      <c r="CC256" s="550"/>
      <c r="CD256" s="550"/>
      <c r="CE256" s="550"/>
      <c r="CF256" s="550"/>
      <c r="CG256" s="550"/>
      <c r="CH256" s="550"/>
      <c r="CI256" s="550"/>
      <c r="CJ256" s="550"/>
      <c r="CK256" s="550"/>
      <c r="CL256" s="550"/>
      <c r="CM256" s="550"/>
      <c r="CN256" s="550"/>
      <c r="CO256" s="550"/>
      <c r="CP256" s="550"/>
      <c r="CQ256" s="550"/>
      <c r="CR256" s="550"/>
      <c r="CS256" s="550"/>
      <c r="CT256" s="550"/>
      <c r="CU256" s="550"/>
      <c r="CV256" s="550"/>
      <c r="CW256" s="550"/>
    </row>
    <row r="257" spans="1:101" x14ac:dyDescent="0.2">
      <c r="A257" s="344">
        <f>+SUBTOTAL(3,$E$8:$E257)</f>
        <v>250</v>
      </c>
      <c r="B257" s="555">
        <v>45566</v>
      </c>
      <c r="C257" s="344" t="s">
        <v>849</v>
      </c>
      <c r="D257" s="344" t="str">
        <f>+VLOOKUP(C257,'Visual chart Edit'!$B$7:$C$491,2,FALSE)</f>
        <v>DA+0</v>
      </c>
      <c r="E257" s="344" t="s">
        <v>276</v>
      </c>
      <c r="F257" s="551">
        <v>45585</v>
      </c>
      <c r="G257" s="551">
        <v>45586</v>
      </c>
      <c r="H257" s="552" t="s">
        <v>880</v>
      </c>
      <c r="I257" s="553" t="s">
        <v>1021</v>
      </c>
      <c r="J257" s="554">
        <f t="shared" si="3"/>
        <v>1</v>
      </c>
      <c r="K257" s="550"/>
      <c r="L257" s="550"/>
      <c r="M257" s="550"/>
      <c r="N257" s="550"/>
      <c r="O257" s="550"/>
      <c r="P257" s="550"/>
      <c r="Q257" s="550"/>
      <c r="R257" s="550"/>
      <c r="S257" s="550"/>
      <c r="T257" s="550"/>
      <c r="U257" s="550"/>
      <c r="V257" s="550"/>
      <c r="W257" s="550"/>
      <c r="X257" s="550"/>
      <c r="Y257" s="550"/>
      <c r="Z257" s="550"/>
      <c r="AA257" s="550"/>
      <c r="AB257" s="550"/>
      <c r="AC257" s="550"/>
      <c r="AD257" s="550"/>
      <c r="AE257" s="550"/>
      <c r="AF257" s="550"/>
      <c r="AG257" s="550"/>
      <c r="AH257" s="550"/>
      <c r="AI257" s="550"/>
      <c r="AJ257" s="550"/>
      <c r="AK257" s="550"/>
      <c r="AL257" s="550"/>
      <c r="AM257" s="550"/>
      <c r="AN257" s="550"/>
      <c r="AO257" s="550"/>
      <c r="AP257" s="550"/>
      <c r="AQ257" s="550"/>
      <c r="AR257" s="550"/>
      <c r="AS257" s="550"/>
      <c r="AT257" s="550"/>
      <c r="AU257" s="550"/>
      <c r="AV257" s="550"/>
      <c r="AW257" s="550"/>
      <c r="AX257" s="550"/>
      <c r="AY257" s="550"/>
      <c r="AZ257" s="550"/>
      <c r="BA257" s="550"/>
      <c r="BB257" s="550"/>
      <c r="BC257" s="550"/>
      <c r="BD257" s="550"/>
      <c r="BE257" s="550"/>
      <c r="BF257" s="550"/>
      <c r="BG257" s="550"/>
      <c r="BH257" s="550"/>
      <c r="BI257" s="550"/>
      <c r="BJ257" s="550"/>
      <c r="BK257" s="550"/>
      <c r="BL257" s="550"/>
      <c r="BM257" s="550"/>
      <c r="BN257" s="550"/>
      <c r="BO257" s="550"/>
      <c r="BP257" s="550"/>
      <c r="BQ257" s="550"/>
      <c r="BR257" s="550"/>
      <c r="BS257" s="550"/>
      <c r="BT257" s="550"/>
      <c r="BU257" s="550"/>
      <c r="BV257" s="550"/>
      <c r="BW257" s="550"/>
      <c r="BX257" s="550"/>
      <c r="BY257" s="550"/>
      <c r="BZ257" s="550"/>
      <c r="CA257" s="550"/>
      <c r="CB257" s="550"/>
      <c r="CC257" s="550"/>
      <c r="CD257" s="550"/>
      <c r="CE257" s="550"/>
      <c r="CF257" s="550"/>
      <c r="CG257" s="550"/>
      <c r="CH257" s="550"/>
      <c r="CI257" s="550"/>
      <c r="CJ257" s="550"/>
      <c r="CK257" s="550"/>
      <c r="CL257" s="550"/>
      <c r="CM257" s="550"/>
      <c r="CN257" s="550"/>
      <c r="CO257" s="550"/>
      <c r="CP257" s="550"/>
      <c r="CQ257" s="550"/>
      <c r="CR257" s="550"/>
      <c r="CS257" s="550"/>
      <c r="CT257" s="550"/>
      <c r="CU257" s="550"/>
      <c r="CV257" s="550"/>
      <c r="CW257" s="550"/>
    </row>
    <row r="258" spans="1:101" x14ac:dyDescent="0.2">
      <c r="A258" s="344">
        <f>+SUBTOTAL(3,$E$8:$E258)</f>
        <v>251</v>
      </c>
      <c r="B258" s="555">
        <v>45566</v>
      </c>
      <c r="C258" s="344" t="s">
        <v>698</v>
      </c>
      <c r="D258" s="344" t="str">
        <f>+VLOOKUP(C258,'Visual chart Edit'!$B$7:$C$491,2,FALSE)</f>
        <v>DA+0</v>
      </c>
      <c r="E258" s="344" t="s">
        <v>143</v>
      </c>
      <c r="F258" s="551">
        <v>45547</v>
      </c>
      <c r="G258" s="551">
        <v>45586</v>
      </c>
      <c r="H258" s="552" t="s">
        <v>879</v>
      </c>
      <c r="I258" s="553" t="s">
        <v>1024</v>
      </c>
      <c r="J258" s="554">
        <f t="shared" si="3"/>
        <v>39</v>
      </c>
      <c r="K258" s="550"/>
      <c r="L258" s="550"/>
      <c r="M258" s="550"/>
      <c r="N258" s="550"/>
      <c r="O258" s="550"/>
      <c r="P258" s="550"/>
      <c r="Q258" s="550"/>
      <c r="R258" s="550"/>
      <c r="S258" s="550"/>
      <c r="T258" s="550"/>
      <c r="U258" s="550"/>
      <c r="V258" s="550"/>
      <c r="W258" s="550"/>
      <c r="X258" s="550"/>
      <c r="Y258" s="550"/>
      <c r="Z258" s="550"/>
      <c r="AA258" s="550"/>
      <c r="AB258" s="550"/>
      <c r="AC258" s="550"/>
      <c r="AD258" s="550"/>
      <c r="AE258" s="550"/>
      <c r="AF258" s="550"/>
      <c r="AG258" s="550"/>
      <c r="AH258" s="550"/>
      <c r="AI258" s="550"/>
      <c r="AJ258" s="550"/>
      <c r="AK258" s="550"/>
      <c r="AL258" s="550"/>
      <c r="AM258" s="550"/>
      <c r="AN258" s="550"/>
      <c r="AO258" s="550"/>
      <c r="AP258" s="550"/>
      <c r="AQ258" s="550"/>
      <c r="AR258" s="550"/>
      <c r="AS258" s="550"/>
      <c r="AT258" s="550"/>
      <c r="AU258" s="550"/>
      <c r="AV258" s="550"/>
      <c r="AW258" s="550"/>
      <c r="AX258" s="550"/>
      <c r="AY258" s="550"/>
      <c r="AZ258" s="550"/>
      <c r="BA258" s="550"/>
      <c r="BB258" s="550"/>
      <c r="BC258" s="550"/>
      <c r="BD258" s="550"/>
      <c r="BE258" s="550"/>
      <c r="BF258" s="550"/>
      <c r="BG258" s="550"/>
      <c r="BH258" s="550"/>
      <c r="BI258" s="550"/>
      <c r="BJ258" s="550"/>
      <c r="BK258" s="550"/>
      <c r="BL258" s="550"/>
      <c r="BM258" s="550"/>
      <c r="BN258" s="550"/>
      <c r="BO258" s="550"/>
      <c r="BP258" s="550"/>
      <c r="BQ258" s="550"/>
      <c r="BR258" s="550"/>
      <c r="BS258" s="550"/>
      <c r="BT258" s="550"/>
      <c r="BU258" s="550"/>
      <c r="BV258" s="550"/>
      <c r="BW258" s="550"/>
      <c r="BX258" s="550"/>
      <c r="BY258" s="550"/>
      <c r="BZ258" s="550"/>
      <c r="CA258" s="550"/>
      <c r="CB258" s="550"/>
      <c r="CC258" s="550"/>
      <c r="CD258" s="550"/>
      <c r="CE258" s="550"/>
      <c r="CF258" s="550"/>
      <c r="CG258" s="550"/>
      <c r="CH258" s="550"/>
      <c r="CI258" s="550"/>
      <c r="CJ258" s="550"/>
      <c r="CK258" s="550"/>
      <c r="CL258" s="550"/>
      <c r="CM258" s="550"/>
      <c r="CN258" s="550"/>
      <c r="CO258" s="550"/>
      <c r="CP258" s="550"/>
      <c r="CQ258" s="550"/>
      <c r="CR258" s="550"/>
      <c r="CS258" s="550"/>
      <c r="CT258" s="550"/>
      <c r="CU258" s="550"/>
      <c r="CV258" s="550"/>
      <c r="CW258" s="550"/>
    </row>
    <row r="259" spans="1:101" x14ac:dyDescent="0.2">
      <c r="A259" s="344">
        <f>+SUBTOTAL(3,$E$8:$E259)</f>
        <v>252</v>
      </c>
      <c r="B259" s="555">
        <v>45566</v>
      </c>
      <c r="C259" s="344" t="s">
        <v>180</v>
      </c>
      <c r="D259" s="344" t="str">
        <f>+VLOOKUP(C259,'Visual chart Edit'!$B$7:$C$491,2,FALSE)</f>
        <v>DA+0</v>
      </c>
      <c r="E259" s="344" t="s">
        <v>276</v>
      </c>
      <c r="F259" s="551">
        <v>45577</v>
      </c>
      <c r="G259" s="551">
        <v>45587</v>
      </c>
      <c r="H259" s="552" t="s">
        <v>582</v>
      </c>
      <c r="I259" s="553" t="s">
        <v>583</v>
      </c>
      <c r="J259" s="554">
        <f t="shared" si="3"/>
        <v>10</v>
      </c>
      <c r="K259" s="550"/>
      <c r="L259" s="550"/>
      <c r="M259" s="550"/>
      <c r="N259" s="550"/>
      <c r="O259" s="550"/>
      <c r="P259" s="550"/>
      <c r="Q259" s="550"/>
      <c r="R259" s="550"/>
      <c r="S259" s="550"/>
      <c r="T259" s="550"/>
      <c r="U259" s="550"/>
      <c r="V259" s="550"/>
      <c r="W259" s="550"/>
      <c r="X259" s="550"/>
      <c r="Y259" s="550"/>
      <c r="Z259" s="550"/>
      <c r="AA259" s="550"/>
      <c r="AB259" s="550"/>
      <c r="AC259" s="550"/>
      <c r="AD259" s="550"/>
      <c r="AE259" s="550"/>
      <c r="AF259" s="550"/>
      <c r="AG259" s="550"/>
      <c r="AH259" s="550"/>
      <c r="AI259" s="550"/>
      <c r="AJ259" s="550"/>
      <c r="AK259" s="550"/>
      <c r="AL259" s="550"/>
      <c r="AM259" s="550"/>
      <c r="AN259" s="550"/>
      <c r="AO259" s="550"/>
      <c r="AP259" s="550"/>
      <c r="AQ259" s="550"/>
      <c r="AR259" s="550"/>
      <c r="AS259" s="550"/>
      <c r="AT259" s="550"/>
      <c r="AU259" s="550"/>
      <c r="AV259" s="550"/>
      <c r="AW259" s="550"/>
      <c r="AX259" s="550"/>
      <c r="AY259" s="550"/>
      <c r="AZ259" s="550"/>
      <c r="BA259" s="550"/>
      <c r="BB259" s="550"/>
      <c r="BC259" s="550"/>
      <c r="BD259" s="550"/>
      <c r="BE259" s="550"/>
      <c r="BF259" s="550"/>
      <c r="BG259" s="550"/>
      <c r="BH259" s="550"/>
      <c r="BI259" s="550"/>
      <c r="BJ259" s="550"/>
      <c r="BK259" s="550"/>
      <c r="BL259" s="550"/>
      <c r="BM259" s="550"/>
      <c r="BN259" s="550"/>
      <c r="BO259" s="550"/>
      <c r="BP259" s="550"/>
      <c r="BQ259" s="550"/>
      <c r="BR259" s="550"/>
      <c r="BS259" s="550"/>
      <c r="BT259" s="550"/>
      <c r="BU259" s="550"/>
      <c r="BV259" s="550"/>
      <c r="BW259" s="550"/>
      <c r="BX259" s="550"/>
      <c r="BY259" s="550"/>
      <c r="BZ259" s="550"/>
      <c r="CA259" s="550"/>
      <c r="CB259" s="550"/>
      <c r="CC259" s="550"/>
      <c r="CD259" s="550"/>
      <c r="CE259" s="550"/>
      <c r="CF259" s="550"/>
      <c r="CG259" s="550"/>
      <c r="CH259" s="550"/>
      <c r="CI259" s="550"/>
      <c r="CJ259" s="550"/>
      <c r="CK259" s="550"/>
      <c r="CL259" s="550"/>
      <c r="CM259" s="550"/>
      <c r="CN259" s="550"/>
      <c r="CO259" s="550"/>
      <c r="CP259" s="550"/>
      <c r="CQ259" s="550"/>
      <c r="CR259" s="550"/>
      <c r="CS259" s="550"/>
      <c r="CT259" s="550"/>
      <c r="CU259" s="550"/>
      <c r="CV259" s="550"/>
      <c r="CW259" s="550"/>
    </row>
    <row r="260" spans="1:101" x14ac:dyDescent="0.2">
      <c r="A260" s="344">
        <f>+SUBTOTAL(3,$E$8:$E260)</f>
        <v>253</v>
      </c>
      <c r="B260" s="555">
        <v>45566</v>
      </c>
      <c r="C260" s="344" t="s">
        <v>492</v>
      </c>
      <c r="D260" s="344" t="str">
        <f>+VLOOKUP(C260,'Visual chart Edit'!$B$7:$C$491,2,FALSE)</f>
        <v>DA+3</v>
      </c>
      <c r="E260" s="344" t="s">
        <v>143</v>
      </c>
      <c r="F260" s="551">
        <v>45563</v>
      </c>
      <c r="G260" s="551">
        <v>45590</v>
      </c>
      <c r="H260" s="552" t="s">
        <v>548</v>
      </c>
      <c r="I260" s="553" t="s">
        <v>614</v>
      </c>
      <c r="J260" s="554">
        <f t="shared" si="3"/>
        <v>27</v>
      </c>
      <c r="K260" s="550"/>
      <c r="L260" s="550"/>
      <c r="M260" s="550"/>
      <c r="N260" s="550"/>
      <c r="O260" s="550"/>
      <c r="P260" s="550"/>
      <c r="Q260" s="550"/>
      <c r="R260" s="550"/>
      <c r="S260" s="550"/>
      <c r="T260" s="550"/>
      <c r="U260" s="550"/>
      <c r="V260" s="550"/>
      <c r="W260" s="550"/>
      <c r="X260" s="550"/>
      <c r="Y260" s="550"/>
      <c r="Z260" s="550"/>
      <c r="AA260" s="550"/>
      <c r="AB260" s="550"/>
      <c r="AC260" s="550"/>
      <c r="AD260" s="550"/>
      <c r="AE260" s="550"/>
      <c r="AF260" s="550"/>
      <c r="AG260" s="550"/>
      <c r="AH260" s="550"/>
      <c r="AI260" s="550"/>
      <c r="AJ260" s="550"/>
      <c r="AK260" s="550"/>
      <c r="AL260" s="550"/>
      <c r="AM260" s="550"/>
      <c r="AN260" s="550"/>
      <c r="AO260" s="550"/>
      <c r="AP260" s="550"/>
      <c r="AQ260" s="550"/>
      <c r="AR260" s="550"/>
      <c r="AS260" s="550"/>
      <c r="AT260" s="550"/>
      <c r="AU260" s="550"/>
      <c r="AV260" s="550"/>
      <c r="AW260" s="550"/>
      <c r="AX260" s="550"/>
      <c r="AY260" s="550"/>
      <c r="AZ260" s="550"/>
      <c r="BA260" s="550"/>
      <c r="BB260" s="550"/>
      <c r="BC260" s="550"/>
      <c r="BD260" s="550"/>
      <c r="BE260" s="550"/>
      <c r="BF260" s="550"/>
      <c r="BG260" s="550"/>
      <c r="BH260" s="550"/>
      <c r="BI260" s="550"/>
      <c r="BJ260" s="550"/>
      <c r="BK260" s="550"/>
      <c r="BL260" s="550"/>
      <c r="BM260" s="550"/>
      <c r="BN260" s="550"/>
      <c r="BO260" s="550"/>
      <c r="BP260" s="550"/>
      <c r="BQ260" s="550"/>
      <c r="BR260" s="550"/>
      <c r="BS260" s="550"/>
      <c r="BT260" s="550"/>
      <c r="BU260" s="550"/>
      <c r="BV260" s="550"/>
      <c r="BW260" s="550"/>
      <c r="BX260" s="550"/>
      <c r="BY260" s="550"/>
      <c r="BZ260" s="550"/>
      <c r="CA260" s="550"/>
      <c r="CB260" s="550"/>
      <c r="CC260" s="550"/>
      <c r="CD260" s="550"/>
      <c r="CE260" s="550"/>
      <c r="CF260" s="550"/>
      <c r="CG260" s="550"/>
      <c r="CH260" s="550"/>
      <c r="CI260" s="550"/>
      <c r="CJ260" s="550"/>
      <c r="CK260" s="550"/>
      <c r="CL260" s="550"/>
      <c r="CM260" s="550"/>
      <c r="CN260" s="550"/>
      <c r="CO260" s="550"/>
      <c r="CP260" s="550"/>
      <c r="CQ260" s="550"/>
      <c r="CR260" s="550"/>
      <c r="CS260" s="550"/>
      <c r="CT260" s="550"/>
      <c r="CU260" s="550"/>
      <c r="CV260" s="550"/>
      <c r="CW260" s="550"/>
    </row>
    <row r="261" spans="1:101" x14ac:dyDescent="0.2">
      <c r="A261" s="344">
        <f>+SUBTOTAL(3,$E$8:$E261)</f>
        <v>254</v>
      </c>
      <c r="B261" s="555">
        <v>45566</v>
      </c>
      <c r="C261" s="555" t="s">
        <v>55</v>
      </c>
      <c r="D261" s="344" t="str">
        <f>+VLOOKUP(C261,'Visual chart Edit'!$B$7:$C$491,2,FALSE)</f>
        <v>DA+0</v>
      </c>
      <c r="E261" s="344" t="s">
        <v>143</v>
      </c>
      <c r="F261" s="551">
        <v>45589</v>
      </c>
      <c r="G261" s="551">
        <v>45592</v>
      </c>
      <c r="H261" s="552" t="s">
        <v>1012</v>
      </c>
      <c r="I261" s="553" t="s">
        <v>583</v>
      </c>
      <c r="J261" s="554">
        <f t="shared" si="3"/>
        <v>3</v>
      </c>
      <c r="K261" s="550"/>
      <c r="L261" s="550"/>
      <c r="M261" s="550"/>
      <c r="N261" s="550"/>
      <c r="O261" s="550"/>
      <c r="P261" s="550"/>
      <c r="Q261" s="550"/>
      <c r="R261" s="550"/>
      <c r="S261" s="550"/>
      <c r="T261" s="550"/>
      <c r="U261" s="550"/>
      <c r="V261" s="550"/>
      <c r="W261" s="550"/>
      <c r="X261" s="550"/>
      <c r="Y261" s="550"/>
      <c r="Z261" s="550"/>
      <c r="AA261" s="550"/>
      <c r="AB261" s="550"/>
      <c r="AC261" s="550"/>
      <c r="AD261" s="550"/>
      <c r="AE261" s="550"/>
      <c r="AF261" s="550"/>
      <c r="AG261" s="550"/>
      <c r="AH261" s="550"/>
      <c r="AI261" s="550"/>
      <c r="AJ261" s="550"/>
      <c r="AK261" s="550"/>
      <c r="AL261" s="550"/>
      <c r="AM261" s="550"/>
      <c r="AN261" s="550"/>
      <c r="AO261" s="550"/>
      <c r="AP261" s="550"/>
      <c r="AQ261" s="550"/>
      <c r="AR261" s="550"/>
      <c r="AS261" s="550"/>
      <c r="AT261" s="550"/>
      <c r="AU261" s="550"/>
      <c r="AV261" s="550"/>
      <c r="AW261" s="550"/>
      <c r="AX261" s="550"/>
      <c r="AY261" s="550"/>
      <c r="AZ261" s="550"/>
      <c r="BA261" s="550"/>
      <c r="BB261" s="550"/>
      <c r="BC261" s="550"/>
      <c r="BD261" s="550"/>
      <c r="BE261" s="550"/>
      <c r="BF261" s="550"/>
      <c r="BG261" s="550"/>
      <c r="BH261" s="550"/>
      <c r="BI261" s="550"/>
      <c r="BJ261" s="550"/>
      <c r="BK261" s="550"/>
      <c r="BL261" s="550"/>
      <c r="BM261" s="550"/>
      <c r="BN261" s="550"/>
      <c r="BO261" s="550"/>
      <c r="BP261" s="550"/>
      <c r="BQ261" s="550"/>
      <c r="BR261" s="550"/>
      <c r="BS261" s="550"/>
      <c r="BT261" s="550"/>
      <c r="BU261" s="550"/>
      <c r="BV261" s="550"/>
      <c r="BW261" s="550"/>
      <c r="BX261" s="550"/>
      <c r="BY261" s="550"/>
      <c r="BZ261" s="550"/>
      <c r="CA261" s="550"/>
      <c r="CB261" s="550"/>
      <c r="CC261" s="550"/>
      <c r="CD261" s="550"/>
      <c r="CE261" s="550"/>
      <c r="CF261" s="550"/>
      <c r="CG261" s="550"/>
      <c r="CH261" s="550"/>
      <c r="CI261" s="550"/>
      <c r="CJ261" s="550"/>
      <c r="CK261" s="550"/>
      <c r="CL261" s="550"/>
      <c r="CM261" s="550"/>
      <c r="CN261" s="550"/>
      <c r="CO261" s="550"/>
      <c r="CP261" s="550"/>
      <c r="CQ261" s="550"/>
      <c r="CR261" s="550"/>
      <c r="CS261" s="550"/>
      <c r="CT261" s="550"/>
      <c r="CU261" s="550"/>
      <c r="CV261" s="550"/>
      <c r="CW261" s="550"/>
    </row>
    <row r="262" spans="1:101" x14ac:dyDescent="0.2">
      <c r="A262" s="344">
        <f>+SUBTOTAL(3,$E$8:$E262)</f>
        <v>255</v>
      </c>
      <c r="B262" s="555">
        <v>45566</v>
      </c>
      <c r="C262" s="344" t="s">
        <v>52</v>
      </c>
      <c r="D262" s="344" t="str">
        <f>+VLOOKUP(C262,'Visual chart Edit'!$B$7:$C$491,2,FALSE)</f>
        <v>DA+9</v>
      </c>
      <c r="E262" s="344" t="s">
        <v>143</v>
      </c>
      <c r="F262" s="551">
        <v>45589</v>
      </c>
      <c r="G262" s="551">
        <v>45592</v>
      </c>
      <c r="H262" s="552" t="s">
        <v>582</v>
      </c>
      <c r="I262" s="553" t="s">
        <v>583</v>
      </c>
      <c r="J262" s="554">
        <f t="shared" si="3"/>
        <v>3</v>
      </c>
      <c r="K262" s="550"/>
      <c r="L262" s="550"/>
      <c r="M262" s="550"/>
      <c r="N262" s="550"/>
      <c r="O262" s="550"/>
      <c r="P262" s="550"/>
      <c r="Q262" s="550"/>
      <c r="R262" s="550"/>
      <c r="S262" s="550"/>
      <c r="T262" s="550"/>
      <c r="U262" s="550"/>
      <c r="V262" s="550"/>
      <c r="W262" s="550"/>
      <c r="X262" s="550"/>
      <c r="Y262" s="550"/>
      <c r="Z262" s="550"/>
      <c r="AA262" s="550"/>
      <c r="AB262" s="550"/>
      <c r="AC262" s="550"/>
      <c r="AD262" s="550"/>
      <c r="AE262" s="550"/>
      <c r="AF262" s="550"/>
      <c r="AG262" s="550"/>
      <c r="AH262" s="550"/>
      <c r="AI262" s="550"/>
      <c r="AJ262" s="550"/>
      <c r="AK262" s="550"/>
      <c r="AL262" s="550"/>
      <c r="AM262" s="550"/>
      <c r="AN262" s="550"/>
      <c r="AO262" s="550"/>
      <c r="AP262" s="550"/>
      <c r="AQ262" s="550"/>
      <c r="AR262" s="550"/>
      <c r="AS262" s="550"/>
      <c r="AT262" s="550"/>
      <c r="AU262" s="550"/>
      <c r="AV262" s="550"/>
      <c r="AW262" s="550"/>
      <c r="AX262" s="550"/>
      <c r="AY262" s="550"/>
      <c r="AZ262" s="550"/>
      <c r="BA262" s="550"/>
      <c r="BB262" s="550"/>
      <c r="BC262" s="550"/>
      <c r="BD262" s="550"/>
      <c r="BE262" s="550"/>
      <c r="BF262" s="550"/>
      <c r="BG262" s="550"/>
      <c r="BH262" s="550"/>
      <c r="BI262" s="550"/>
      <c r="BJ262" s="550"/>
      <c r="BK262" s="550"/>
      <c r="BL262" s="550"/>
      <c r="BM262" s="550"/>
      <c r="BN262" s="550"/>
      <c r="BO262" s="550"/>
      <c r="BP262" s="550"/>
      <c r="BQ262" s="550"/>
      <c r="BR262" s="550"/>
      <c r="BS262" s="550"/>
      <c r="BT262" s="550"/>
      <c r="BU262" s="550"/>
      <c r="BV262" s="550"/>
      <c r="BW262" s="550"/>
      <c r="BX262" s="550"/>
      <c r="BY262" s="550"/>
      <c r="BZ262" s="550"/>
      <c r="CA262" s="550"/>
      <c r="CB262" s="550"/>
      <c r="CC262" s="550"/>
      <c r="CD262" s="550"/>
      <c r="CE262" s="550"/>
      <c r="CF262" s="550"/>
      <c r="CG262" s="550"/>
      <c r="CH262" s="550"/>
      <c r="CI262" s="550"/>
      <c r="CJ262" s="550"/>
      <c r="CK262" s="550"/>
      <c r="CL262" s="550"/>
      <c r="CM262" s="550"/>
      <c r="CN262" s="550"/>
      <c r="CO262" s="550"/>
      <c r="CP262" s="550"/>
      <c r="CQ262" s="550"/>
      <c r="CR262" s="550"/>
      <c r="CS262" s="550"/>
      <c r="CT262" s="550"/>
      <c r="CU262" s="550"/>
      <c r="CV262" s="550"/>
      <c r="CW262" s="550"/>
    </row>
    <row r="263" spans="1:101" x14ac:dyDescent="0.2">
      <c r="A263" s="344">
        <f>+SUBTOTAL(3,$E$8:$E263)</f>
        <v>256</v>
      </c>
      <c r="B263" s="555">
        <v>45566</v>
      </c>
      <c r="C263" s="344" t="s">
        <v>566</v>
      </c>
      <c r="D263" s="344" t="str">
        <f>+VLOOKUP(C263,'Visual chart Edit'!$B$7:$C$491,2,FALSE)</f>
        <v>DA+3</v>
      </c>
      <c r="E263" s="344" t="s">
        <v>143</v>
      </c>
      <c r="F263" s="551">
        <v>45581</v>
      </c>
      <c r="G263" s="551">
        <v>45595</v>
      </c>
      <c r="H263" s="552" t="s">
        <v>601</v>
      </c>
      <c r="I263" s="553" t="s">
        <v>222</v>
      </c>
      <c r="J263" s="554">
        <f t="shared" si="3"/>
        <v>14</v>
      </c>
      <c r="K263" s="550"/>
      <c r="L263" s="550"/>
      <c r="M263" s="550"/>
      <c r="N263" s="550"/>
      <c r="O263" s="550"/>
      <c r="P263" s="550"/>
      <c r="Q263" s="550"/>
      <c r="R263" s="550"/>
      <c r="S263" s="550"/>
      <c r="T263" s="550"/>
      <c r="U263" s="550"/>
      <c r="V263" s="550"/>
      <c r="W263" s="550"/>
      <c r="X263" s="550"/>
      <c r="Y263" s="550"/>
      <c r="Z263" s="550"/>
      <c r="AA263" s="550"/>
      <c r="AB263" s="550"/>
      <c r="AC263" s="550"/>
      <c r="AD263" s="550"/>
      <c r="AE263" s="550"/>
      <c r="AF263" s="550"/>
      <c r="AG263" s="550"/>
      <c r="AH263" s="550"/>
      <c r="AI263" s="550"/>
      <c r="AJ263" s="550"/>
      <c r="AK263" s="550"/>
      <c r="AL263" s="550"/>
      <c r="AM263" s="550"/>
      <c r="AN263" s="550"/>
      <c r="AO263" s="550"/>
      <c r="AP263" s="550"/>
      <c r="AQ263" s="550"/>
      <c r="AR263" s="550"/>
      <c r="AS263" s="550"/>
      <c r="AT263" s="550"/>
      <c r="AU263" s="550"/>
      <c r="AV263" s="550"/>
      <c r="AW263" s="550"/>
      <c r="AX263" s="550"/>
      <c r="AY263" s="550"/>
      <c r="AZ263" s="550"/>
      <c r="BA263" s="550"/>
      <c r="BB263" s="550"/>
      <c r="BC263" s="550"/>
      <c r="BD263" s="550"/>
      <c r="BE263" s="550"/>
      <c r="BF263" s="550"/>
      <c r="BG263" s="550"/>
      <c r="BH263" s="550"/>
      <c r="BI263" s="550"/>
      <c r="BJ263" s="550"/>
      <c r="BK263" s="550"/>
      <c r="BL263" s="550"/>
      <c r="BM263" s="550"/>
      <c r="BN263" s="550"/>
      <c r="BO263" s="550"/>
      <c r="BP263" s="550"/>
      <c r="BQ263" s="550"/>
      <c r="BR263" s="550"/>
      <c r="BS263" s="550"/>
      <c r="BT263" s="550"/>
      <c r="BU263" s="550"/>
      <c r="BV263" s="550"/>
      <c r="BW263" s="550"/>
      <c r="BX263" s="550"/>
      <c r="BY263" s="550"/>
      <c r="BZ263" s="550"/>
      <c r="CA263" s="550"/>
      <c r="CB263" s="550"/>
      <c r="CC263" s="550"/>
      <c r="CD263" s="550"/>
      <c r="CE263" s="550"/>
      <c r="CF263" s="550"/>
      <c r="CG263" s="550"/>
      <c r="CH263" s="550"/>
      <c r="CI263" s="550"/>
      <c r="CJ263" s="550"/>
      <c r="CK263" s="550"/>
      <c r="CL263" s="550"/>
      <c r="CM263" s="550"/>
      <c r="CN263" s="550"/>
      <c r="CO263" s="550"/>
      <c r="CP263" s="550"/>
      <c r="CQ263" s="550"/>
      <c r="CR263" s="550"/>
      <c r="CS263" s="550"/>
      <c r="CT263" s="550"/>
      <c r="CU263" s="550"/>
      <c r="CV263" s="550"/>
      <c r="CW263" s="550"/>
    </row>
    <row r="264" spans="1:101" x14ac:dyDescent="0.2">
      <c r="A264" s="344">
        <f>+SUBTOTAL(3,$E$8:$E264)</f>
        <v>257</v>
      </c>
      <c r="B264" s="555">
        <v>45597</v>
      </c>
      <c r="C264" s="344" t="s">
        <v>564</v>
      </c>
      <c r="D264" s="344" t="str">
        <f>+VLOOKUP(C264,'Visual chart Edit'!$B$7:$C$491,2,FALSE)</f>
        <v>DA+0</v>
      </c>
      <c r="E264" s="344" t="s">
        <v>143</v>
      </c>
      <c r="F264" s="551">
        <v>45587</v>
      </c>
      <c r="G264" s="551">
        <v>45603</v>
      </c>
      <c r="H264" s="552" t="s">
        <v>604</v>
      </c>
      <c r="I264" s="553" t="s">
        <v>222</v>
      </c>
      <c r="J264" s="554">
        <f t="shared" si="3"/>
        <v>16</v>
      </c>
      <c r="K264" s="550"/>
      <c r="L264" s="550"/>
      <c r="M264" s="550"/>
      <c r="N264" s="550"/>
      <c r="O264" s="550"/>
      <c r="P264" s="550"/>
      <c r="Q264" s="550"/>
      <c r="R264" s="550"/>
      <c r="S264" s="550"/>
      <c r="T264" s="550"/>
      <c r="U264" s="550"/>
      <c r="V264" s="550"/>
      <c r="W264" s="550"/>
      <c r="X264" s="550"/>
      <c r="Y264" s="550"/>
      <c r="Z264" s="550"/>
      <c r="AA264" s="550"/>
      <c r="AB264" s="550"/>
      <c r="AC264" s="550"/>
      <c r="AD264" s="550"/>
      <c r="AE264" s="550"/>
      <c r="AF264" s="550"/>
      <c r="AG264" s="550"/>
      <c r="AH264" s="550"/>
      <c r="AI264" s="550"/>
      <c r="AJ264" s="550"/>
      <c r="AK264" s="550"/>
      <c r="AL264" s="550"/>
      <c r="AM264" s="550"/>
      <c r="AN264" s="550"/>
      <c r="AO264" s="550"/>
      <c r="AP264" s="550"/>
      <c r="AQ264" s="550"/>
      <c r="AR264" s="550"/>
      <c r="AS264" s="550"/>
      <c r="AT264" s="550"/>
      <c r="AU264" s="550"/>
      <c r="AV264" s="550"/>
      <c r="AW264" s="550"/>
      <c r="AX264" s="550"/>
      <c r="AY264" s="550"/>
      <c r="AZ264" s="550"/>
      <c r="BA264" s="550"/>
      <c r="BB264" s="550"/>
      <c r="BC264" s="550"/>
      <c r="BD264" s="550"/>
      <c r="BE264" s="550"/>
      <c r="BF264" s="550"/>
      <c r="BG264" s="550"/>
      <c r="BH264" s="550"/>
      <c r="BI264" s="550"/>
      <c r="BJ264" s="550"/>
      <c r="BK264" s="550"/>
      <c r="BL264" s="550"/>
      <c r="BM264" s="550"/>
      <c r="BN264" s="550"/>
      <c r="BO264" s="550"/>
      <c r="BP264" s="550"/>
      <c r="BQ264" s="550"/>
      <c r="BR264" s="550"/>
      <c r="BS264" s="550"/>
      <c r="BT264" s="550"/>
      <c r="BU264" s="550"/>
      <c r="BV264" s="550"/>
      <c r="BW264" s="550"/>
      <c r="BX264" s="550"/>
      <c r="BY264" s="550"/>
      <c r="BZ264" s="550"/>
      <c r="CA264" s="550"/>
      <c r="CB264" s="550"/>
      <c r="CC264" s="550"/>
      <c r="CD264" s="550"/>
      <c r="CE264" s="550"/>
      <c r="CF264" s="550"/>
      <c r="CG264" s="550"/>
      <c r="CH264" s="550"/>
      <c r="CI264" s="550"/>
      <c r="CJ264" s="550"/>
      <c r="CK264" s="550"/>
      <c r="CL264" s="550"/>
      <c r="CM264" s="550"/>
      <c r="CN264" s="550"/>
      <c r="CO264" s="550"/>
      <c r="CP264" s="550"/>
      <c r="CQ264" s="550"/>
      <c r="CR264" s="550"/>
      <c r="CS264" s="550"/>
      <c r="CT264" s="550"/>
      <c r="CU264" s="550"/>
      <c r="CV264" s="550"/>
      <c r="CW264" s="550"/>
    </row>
    <row r="265" spans="1:101" x14ac:dyDescent="0.2">
      <c r="A265" s="344">
        <f>+SUBTOTAL(3,$E$8:$E265)</f>
        <v>258</v>
      </c>
      <c r="B265" s="555">
        <v>45597</v>
      </c>
      <c r="C265" s="344" t="s">
        <v>450</v>
      </c>
      <c r="D265" s="344" t="str">
        <f>+VLOOKUP(C265,'Visual chart Edit'!$B$7:$C$491,2,FALSE)</f>
        <v>DA+3</v>
      </c>
      <c r="E265" s="344" t="s">
        <v>143</v>
      </c>
      <c r="F265" s="551">
        <v>45608</v>
      </c>
      <c r="G265" s="551">
        <v>45612</v>
      </c>
      <c r="H265" s="552" t="s">
        <v>619</v>
      </c>
      <c r="I265" s="553" t="s">
        <v>620</v>
      </c>
      <c r="J265" s="554">
        <f t="shared" ref="J265:J328" si="4">G265-F265</f>
        <v>4</v>
      </c>
      <c r="K265" s="550"/>
      <c r="L265" s="550"/>
      <c r="M265" s="550"/>
      <c r="N265" s="550"/>
      <c r="O265" s="550"/>
      <c r="P265" s="550"/>
      <c r="Q265" s="550"/>
      <c r="R265" s="550"/>
      <c r="S265" s="550"/>
      <c r="T265" s="550"/>
      <c r="U265" s="550"/>
      <c r="V265" s="550"/>
      <c r="W265" s="550"/>
      <c r="X265" s="550"/>
      <c r="Y265" s="550"/>
      <c r="Z265" s="550"/>
      <c r="AA265" s="550"/>
      <c r="AB265" s="550"/>
      <c r="AC265" s="550"/>
      <c r="AD265" s="550"/>
      <c r="AE265" s="550"/>
      <c r="AF265" s="550"/>
      <c r="AG265" s="550"/>
      <c r="AH265" s="550"/>
      <c r="AI265" s="550"/>
      <c r="AJ265" s="550"/>
      <c r="AK265" s="550"/>
      <c r="AL265" s="550"/>
      <c r="AM265" s="550"/>
      <c r="AN265" s="550"/>
      <c r="AO265" s="550"/>
      <c r="AP265" s="550"/>
      <c r="AQ265" s="550"/>
      <c r="AR265" s="550"/>
      <c r="AS265" s="550"/>
      <c r="AT265" s="550"/>
      <c r="AU265" s="550"/>
      <c r="AV265" s="550"/>
      <c r="AW265" s="550"/>
      <c r="AX265" s="550"/>
      <c r="AY265" s="550"/>
      <c r="AZ265" s="550"/>
      <c r="BA265" s="550"/>
      <c r="BB265" s="550"/>
      <c r="BC265" s="550"/>
      <c r="BD265" s="550"/>
      <c r="BE265" s="550"/>
      <c r="BF265" s="550"/>
      <c r="BG265" s="550"/>
      <c r="BH265" s="550"/>
      <c r="BI265" s="550"/>
      <c r="BJ265" s="550"/>
      <c r="BK265" s="550"/>
      <c r="BL265" s="550"/>
      <c r="BM265" s="550"/>
      <c r="BN265" s="550"/>
      <c r="BO265" s="550"/>
      <c r="BP265" s="550"/>
      <c r="BQ265" s="550"/>
      <c r="BR265" s="550"/>
      <c r="BS265" s="550"/>
      <c r="BT265" s="550"/>
      <c r="BU265" s="550"/>
      <c r="BV265" s="550"/>
      <c r="BW265" s="550"/>
      <c r="BX265" s="550"/>
      <c r="BY265" s="550"/>
      <c r="BZ265" s="550"/>
      <c r="CA265" s="550"/>
      <c r="CB265" s="550"/>
      <c r="CC265" s="550"/>
      <c r="CD265" s="550"/>
      <c r="CE265" s="550"/>
      <c r="CF265" s="550"/>
      <c r="CG265" s="550"/>
      <c r="CH265" s="550"/>
      <c r="CI265" s="550"/>
      <c r="CJ265" s="550"/>
      <c r="CK265" s="550"/>
      <c r="CL265" s="550"/>
      <c r="CM265" s="550"/>
      <c r="CN265" s="550"/>
      <c r="CO265" s="550"/>
      <c r="CP265" s="550"/>
      <c r="CQ265" s="550"/>
      <c r="CR265" s="550"/>
      <c r="CS265" s="550"/>
      <c r="CT265" s="550"/>
      <c r="CU265" s="550"/>
      <c r="CV265" s="550"/>
      <c r="CW265" s="550"/>
    </row>
    <row r="266" spans="1:101" x14ac:dyDescent="0.2">
      <c r="A266" s="344">
        <f>+SUBTOTAL(3,$E$8:$E266)</f>
        <v>259</v>
      </c>
      <c r="B266" s="555">
        <v>45597</v>
      </c>
      <c r="C266" s="344" t="s">
        <v>560</v>
      </c>
      <c r="D266" s="344" t="str">
        <f>+VLOOKUP(C266,'Visual chart Edit'!$B$7:$C$491,2,FALSE)</f>
        <v>DA+6</v>
      </c>
      <c r="E266" s="344" t="s">
        <v>143</v>
      </c>
      <c r="F266" s="551">
        <v>45604</v>
      </c>
      <c r="G266" s="551">
        <v>45613</v>
      </c>
      <c r="H266" s="552" t="s">
        <v>604</v>
      </c>
      <c r="I266" s="553" t="s">
        <v>222</v>
      </c>
      <c r="J266" s="554">
        <f t="shared" si="4"/>
        <v>9</v>
      </c>
      <c r="K266" s="550"/>
      <c r="L266" s="550"/>
      <c r="M266" s="550"/>
      <c r="N266" s="550"/>
      <c r="O266" s="550"/>
      <c r="P266" s="550"/>
      <c r="Q266" s="550"/>
      <c r="R266" s="550"/>
      <c r="S266" s="550"/>
      <c r="T266" s="550"/>
      <c r="U266" s="550"/>
      <c r="V266" s="550"/>
      <c r="W266" s="550"/>
      <c r="X266" s="550"/>
      <c r="Y266" s="550"/>
      <c r="Z266" s="550"/>
      <c r="AA266" s="550"/>
      <c r="AB266" s="550"/>
      <c r="AC266" s="550"/>
      <c r="AD266" s="550"/>
      <c r="AE266" s="550"/>
      <c r="AF266" s="550"/>
      <c r="AG266" s="550"/>
      <c r="AH266" s="550"/>
      <c r="AI266" s="550"/>
      <c r="AJ266" s="550"/>
      <c r="AK266" s="550"/>
      <c r="AL266" s="550"/>
      <c r="AM266" s="550"/>
      <c r="AN266" s="550"/>
      <c r="AO266" s="550"/>
      <c r="AP266" s="550"/>
      <c r="AQ266" s="550"/>
      <c r="AR266" s="550"/>
      <c r="AS266" s="550"/>
      <c r="AT266" s="550"/>
      <c r="AU266" s="550"/>
      <c r="AV266" s="550"/>
      <c r="AW266" s="550"/>
      <c r="AX266" s="550"/>
      <c r="AY266" s="550"/>
      <c r="AZ266" s="550"/>
      <c r="BA266" s="550"/>
      <c r="BB266" s="550"/>
      <c r="BC266" s="550"/>
      <c r="BD266" s="550"/>
      <c r="BE266" s="550"/>
      <c r="BF266" s="550"/>
      <c r="BG266" s="550"/>
      <c r="BH266" s="550"/>
      <c r="BI266" s="550"/>
      <c r="BJ266" s="550"/>
      <c r="BK266" s="550"/>
      <c r="BL266" s="550"/>
      <c r="BM266" s="550"/>
      <c r="BN266" s="550"/>
      <c r="BO266" s="550"/>
      <c r="BP266" s="550"/>
      <c r="BQ266" s="550"/>
      <c r="BR266" s="550"/>
      <c r="BS266" s="550"/>
      <c r="BT266" s="550"/>
      <c r="BU266" s="550"/>
      <c r="BV266" s="550"/>
      <c r="BW266" s="550"/>
      <c r="BX266" s="550"/>
      <c r="BY266" s="550"/>
      <c r="BZ266" s="550"/>
      <c r="CA266" s="550"/>
      <c r="CB266" s="550"/>
      <c r="CC266" s="550"/>
      <c r="CD266" s="550"/>
      <c r="CE266" s="550"/>
      <c r="CF266" s="550"/>
      <c r="CG266" s="550"/>
      <c r="CH266" s="550"/>
      <c r="CI266" s="550"/>
      <c r="CJ266" s="550"/>
      <c r="CK266" s="550"/>
      <c r="CL266" s="550"/>
      <c r="CM266" s="550"/>
      <c r="CN266" s="550"/>
      <c r="CO266" s="550"/>
      <c r="CP266" s="550"/>
      <c r="CQ266" s="550"/>
      <c r="CR266" s="550"/>
      <c r="CS266" s="550"/>
      <c r="CT266" s="550"/>
      <c r="CU266" s="550"/>
      <c r="CV266" s="550"/>
      <c r="CW266" s="550"/>
    </row>
    <row r="267" spans="1:101" x14ac:dyDescent="0.2">
      <c r="A267" s="344">
        <f>+SUBTOTAL(3,$E$8:$E267)</f>
        <v>260</v>
      </c>
      <c r="B267" s="555">
        <v>45597</v>
      </c>
      <c r="C267" s="344" t="s">
        <v>56</v>
      </c>
      <c r="D267" s="344" t="str">
        <f>+VLOOKUP(C267,'Visual chart Edit'!$B$7:$C$491,2,FALSE)</f>
        <v>DB1+0</v>
      </c>
      <c r="E267" s="344" t="s">
        <v>143</v>
      </c>
      <c r="F267" s="551">
        <v>45602</v>
      </c>
      <c r="G267" s="551">
        <v>45615</v>
      </c>
      <c r="H267" s="552" t="s">
        <v>1012</v>
      </c>
      <c r="I267" s="553" t="s">
        <v>583</v>
      </c>
      <c r="J267" s="554">
        <f t="shared" si="4"/>
        <v>13</v>
      </c>
      <c r="K267" s="550"/>
      <c r="L267" s="550"/>
      <c r="M267" s="550"/>
      <c r="N267" s="550"/>
      <c r="O267" s="550"/>
      <c r="P267" s="550"/>
      <c r="Q267" s="550"/>
      <c r="R267" s="550"/>
      <c r="S267" s="550"/>
      <c r="T267" s="550"/>
      <c r="U267" s="550"/>
      <c r="V267" s="550"/>
      <c r="W267" s="550"/>
      <c r="X267" s="550"/>
      <c r="Y267" s="550"/>
      <c r="Z267" s="550"/>
      <c r="AA267" s="550"/>
      <c r="AB267" s="550"/>
      <c r="AC267" s="550"/>
      <c r="AD267" s="550"/>
      <c r="AE267" s="550"/>
      <c r="AF267" s="550"/>
      <c r="AG267" s="550"/>
      <c r="AH267" s="550"/>
      <c r="AI267" s="550"/>
      <c r="AJ267" s="550"/>
      <c r="AK267" s="550"/>
      <c r="AL267" s="550"/>
      <c r="AM267" s="550"/>
      <c r="AN267" s="550"/>
      <c r="AO267" s="550"/>
      <c r="AP267" s="550"/>
      <c r="AQ267" s="550"/>
      <c r="AR267" s="550"/>
      <c r="AS267" s="550"/>
      <c r="AT267" s="550"/>
      <c r="AU267" s="550"/>
      <c r="AV267" s="550"/>
      <c r="AW267" s="550"/>
      <c r="AX267" s="550"/>
      <c r="AY267" s="550"/>
      <c r="AZ267" s="550"/>
      <c r="BA267" s="550"/>
      <c r="BB267" s="550"/>
      <c r="BC267" s="550"/>
      <c r="BD267" s="550"/>
      <c r="BE267" s="550"/>
      <c r="BF267" s="550"/>
      <c r="BG267" s="550"/>
      <c r="BH267" s="550"/>
      <c r="BI267" s="550"/>
      <c r="BJ267" s="550"/>
      <c r="BK267" s="550"/>
      <c r="BL267" s="550"/>
      <c r="BM267" s="550"/>
      <c r="BN267" s="550"/>
      <c r="BO267" s="550"/>
      <c r="BP267" s="550"/>
      <c r="BQ267" s="550"/>
      <c r="BR267" s="550"/>
      <c r="BS267" s="550"/>
      <c r="BT267" s="550"/>
      <c r="BU267" s="550"/>
      <c r="BV267" s="550"/>
      <c r="BW267" s="550"/>
      <c r="BX267" s="550"/>
      <c r="BY267" s="550"/>
      <c r="BZ267" s="550"/>
      <c r="CA267" s="550"/>
      <c r="CB267" s="550"/>
      <c r="CC267" s="550"/>
      <c r="CD267" s="550"/>
      <c r="CE267" s="550"/>
      <c r="CF267" s="550"/>
      <c r="CG267" s="550"/>
      <c r="CH267" s="550"/>
      <c r="CI267" s="550"/>
      <c r="CJ267" s="550"/>
      <c r="CK267" s="550"/>
      <c r="CL267" s="550"/>
      <c r="CM267" s="550"/>
      <c r="CN267" s="550"/>
      <c r="CO267" s="550"/>
      <c r="CP267" s="550"/>
      <c r="CQ267" s="550"/>
      <c r="CR267" s="550"/>
      <c r="CS267" s="550"/>
      <c r="CT267" s="550"/>
      <c r="CU267" s="550"/>
      <c r="CV267" s="550"/>
      <c r="CW267" s="550"/>
    </row>
    <row r="268" spans="1:101" x14ac:dyDescent="0.2">
      <c r="A268" s="344">
        <f>+SUBTOTAL(3,$E$8:$E268)</f>
        <v>261</v>
      </c>
      <c r="B268" s="555">
        <v>45597</v>
      </c>
      <c r="C268" s="344" t="s">
        <v>28</v>
      </c>
      <c r="D268" s="344" t="str">
        <f>+VLOOKUP(C268,'Visual chart Edit'!$B$7:$C$491,2,FALSE)</f>
        <v>DA+6</v>
      </c>
      <c r="E268" s="344" t="s">
        <v>143</v>
      </c>
      <c r="F268" s="551">
        <v>45607</v>
      </c>
      <c r="G268" s="551">
        <v>45616</v>
      </c>
      <c r="H268" s="552" t="s">
        <v>582</v>
      </c>
      <c r="I268" s="553" t="s">
        <v>583</v>
      </c>
      <c r="J268" s="554">
        <f t="shared" si="4"/>
        <v>9</v>
      </c>
      <c r="K268" s="550"/>
      <c r="L268" s="550"/>
      <c r="M268" s="550"/>
      <c r="N268" s="550"/>
      <c r="O268" s="550"/>
      <c r="P268" s="550"/>
      <c r="Q268" s="550"/>
      <c r="R268" s="550"/>
      <c r="S268" s="550"/>
      <c r="T268" s="550"/>
      <c r="U268" s="550"/>
      <c r="V268" s="550"/>
      <c r="W268" s="550"/>
      <c r="X268" s="550"/>
      <c r="Y268" s="550"/>
      <c r="Z268" s="550"/>
      <c r="AA268" s="550"/>
      <c r="AB268" s="550"/>
      <c r="AC268" s="550"/>
      <c r="AD268" s="550"/>
      <c r="AE268" s="550"/>
      <c r="AF268" s="550"/>
      <c r="AG268" s="550"/>
      <c r="AH268" s="550"/>
      <c r="AI268" s="550"/>
      <c r="AJ268" s="550"/>
      <c r="AK268" s="550"/>
      <c r="AL268" s="550"/>
      <c r="AM268" s="550"/>
      <c r="AN268" s="550"/>
      <c r="AO268" s="550"/>
      <c r="AP268" s="550"/>
      <c r="AQ268" s="550"/>
      <c r="AR268" s="550"/>
      <c r="AS268" s="550"/>
      <c r="AT268" s="550"/>
      <c r="AU268" s="550"/>
      <c r="AV268" s="550"/>
      <c r="AW268" s="550"/>
      <c r="AX268" s="550"/>
      <c r="AY268" s="550"/>
      <c r="AZ268" s="550"/>
      <c r="BA268" s="550"/>
      <c r="BB268" s="550"/>
      <c r="BC268" s="550"/>
      <c r="BD268" s="550"/>
      <c r="BE268" s="550"/>
      <c r="BF268" s="550"/>
      <c r="BG268" s="550"/>
      <c r="BH268" s="550"/>
      <c r="BI268" s="550"/>
      <c r="BJ268" s="550"/>
      <c r="BK268" s="550"/>
      <c r="BL268" s="550"/>
      <c r="BM268" s="550"/>
      <c r="BN268" s="550"/>
      <c r="BO268" s="550"/>
      <c r="BP268" s="550"/>
      <c r="BQ268" s="550"/>
      <c r="BR268" s="550"/>
      <c r="BS268" s="550"/>
      <c r="BT268" s="550"/>
      <c r="BU268" s="550"/>
      <c r="BV268" s="550"/>
      <c r="BW268" s="550"/>
      <c r="BX268" s="550"/>
      <c r="BY268" s="550"/>
      <c r="BZ268" s="550"/>
      <c r="CA268" s="550"/>
      <c r="CB268" s="550"/>
      <c r="CC268" s="550"/>
      <c r="CD268" s="550"/>
      <c r="CE268" s="550"/>
      <c r="CF268" s="550"/>
      <c r="CG268" s="550"/>
      <c r="CH268" s="550"/>
      <c r="CI268" s="550"/>
      <c r="CJ268" s="550"/>
      <c r="CK268" s="550"/>
      <c r="CL268" s="550"/>
      <c r="CM268" s="550"/>
      <c r="CN268" s="550"/>
      <c r="CO268" s="550"/>
      <c r="CP268" s="550"/>
      <c r="CQ268" s="550"/>
      <c r="CR268" s="550"/>
      <c r="CS268" s="550"/>
      <c r="CT268" s="550"/>
      <c r="CU268" s="550"/>
      <c r="CV268" s="550"/>
      <c r="CW268" s="550"/>
    </row>
    <row r="269" spans="1:101" x14ac:dyDescent="0.2">
      <c r="A269" s="344">
        <f>+SUBTOTAL(3,$E$8:$E269)</f>
        <v>262</v>
      </c>
      <c r="B269" s="555">
        <v>45597</v>
      </c>
      <c r="C269" s="344" t="s">
        <v>732</v>
      </c>
      <c r="D269" s="344" t="str">
        <f>+VLOOKUP(C269,'Visual chart Edit'!$B$7:$C$491,2,FALSE)</f>
        <v>DB1+6</v>
      </c>
      <c r="E269" s="344" t="s">
        <v>143</v>
      </c>
      <c r="F269" s="551">
        <v>45611</v>
      </c>
      <c r="G269" s="551">
        <v>45617</v>
      </c>
      <c r="H269" s="552" t="s">
        <v>878</v>
      </c>
      <c r="I269" s="553" t="s">
        <v>1024</v>
      </c>
      <c r="J269" s="554">
        <f t="shared" si="4"/>
        <v>6</v>
      </c>
      <c r="K269" s="550"/>
      <c r="L269" s="550"/>
      <c r="M269" s="550"/>
      <c r="N269" s="550"/>
      <c r="O269" s="550"/>
      <c r="P269" s="550"/>
      <c r="Q269" s="550"/>
      <c r="R269" s="550"/>
      <c r="S269" s="550"/>
      <c r="T269" s="550"/>
      <c r="U269" s="550"/>
      <c r="V269" s="550"/>
      <c r="W269" s="550"/>
      <c r="X269" s="550"/>
      <c r="Y269" s="550"/>
      <c r="Z269" s="550"/>
      <c r="AA269" s="550"/>
      <c r="AB269" s="550"/>
      <c r="AC269" s="550"/>
      <c r="AD269" s="550"/>
      <c r="AE269" s="550"/>
      <c r="AF269" s="550"/>
      <c r="AG269" s="550"/>
      <c r="AH269" s="550"/>
      <c r="AI269" s="550"/>
      <c r="AJ269" s="550"/>
      <c r="AK269" s="550"/>
      <c r="AL269" s="550"/>
      <c r="AM269" s="550"/>
      <c r="AN269" s="550"/>
      <c r="AO269" s="550"/>
      <c r="AP269" s="550"/>
      <c r="AQ269" s="550"/>
      <c r="AR269" s="550"/>
      <c r="AS269" s="550"/>
      <c r="AT269" s="550"/>
      <c r="AU269" s="550"/>
      <c r="AV269" s="550"/>
      <c r="AW269" s="550"/>
      <c r="AX269" s="550"/>
      <c r="AY269" s="550"/>
      <c r="AZ269" s="550"/>
      <c r="BA269" s="550"/>
      <c r="BB269" s="550"/>
      <c r="BC269" s="550"/>
      <c r="BD269" s="550"/>
      <c r="BE269" s="550"/>
      <c r="BF269" s="550"/>
      <c r="BG269" s="550"/>
      <c r="BH269" s="550"/>
      <c r="BI269" s="550"/>
      <c r="BJ269" s="550"/>
      <c r="BK269" s="550"/>
      <c r="BL269" s="550"/>
      <c r="BM269" s="550"/>
      <c r="BN269" s="550"/>
      <c r="BO269" s="550"/>
      <c r="BP269" s="550"/>
      <c r="BQ269" s="550"/>
      <c r="BR269" s="550"/>
      <c r="BS269" s="550"/>
      <c r="BT269" s="550"/>
      <c r="BU269" s="550"/>
      <c r="BV269" s="550"/>
      <c r="BW269" s="550"/>
      <c r="BX269" s="550"/>
      <c r="BY269" s="550"/>
      <c r="BZ269" s="550"/>
      <c r="CA269" s="550"/>
      <c r="CB269" s="550"/>
      <c r="CC269" s="550"/>
      <c r="CD269" s="550"/>
      <c r="CE269" s="550"/>
      <c r="CF269" s="550"/>
      <c r="CG269" s="550"/>
      <c r="CH269" s="550"/>
      <c r="CI269" s="550"/>
      <c r="CJ269" s="550"/>
      <c r="CK269" s="550"/>
      <c r="CL269" s="550"/>
      <c r="CM269" s="550"/>
      <c r="CN269" s="550"/>
      <c r="CO269" s="550"/>
      <c r="CP269" s="550"/>
      <c r="CQ269" s="550"/>
      <c r="CR269" s="550"/>
      <c r="CS269" s="550"/>
      <c r="CT269" s="550"/>
      <c r="CU269" s="550"/>
      <c r="CV269" s="550"/>
      <c r="CW269" s="550"/>
    </row>
    <row r="270" spans="1:101" x14ac:dyDescent="0.2">
      <c r="A270" s="344">
        <f>+SUBTOTAL(3,$E$8:$E270)</f>
        <v>263</v>
      </c>
      <c r="B270" s="555">
        <v>45597</v>
      </c>
      <c r="C270" s="344" t="s">
        <v>220</v>
      </c>
      <c r="D270" s="344" t="str">
        <f>+VLOOKUP(C270,'Visual chart Edit'!$B$7:$C$491,2,FALSE)</f>
        <v>DA+0</v>
      </c>
      <c r="E270" s="344" t="s">
        <v>276</v>
      </c>
      <c r="F270" s="551">
        <v>45623</v>
      </c>
      <c r="G270" s="551">
        <v>45624</v>
      </c>
      <c r="H270" s="552" t="s">
        <v>878</v>
      </c>
      <c r="I270" s="553" t="s">
        <v>1021</v>
      </c>
      <c r="J270" s="554">
        <f t="shared" si="4"/>
        <v>1</v>
      </c>
      <c r="K270" s="550"/>
      <c r="L270" s="550"/>
      <c r="M270" s="550"/>
      <c r="N270" s="550"/>
      <c r="O270" s="550"/>
      <c r="P270" s="550"/>
      <c r="Q270" s="550"/>
      <c r="R270" s="550"/>
      <c r="S270" s="550"/>
      <c r="T270" s="550"/>
      <c r="U270" s="550"/>
      <c r="V270" s="550"/>
      <c r="W270" s="550"/>
      <c r="X270" s="550"/>
      <c r="Y270" s="550"/>
      <c r="Z270" s="550"/>
      <c r="AA270" s="550"/>
      <c r="AB270" s="550"/>
      <c r="AC270" s="550"/>
      <c r="AD270" s="550"/>
      <c r="AE270" s="550"/>
      <c r="AF270" s="550"/>
      <c r="AG270" s="550"/>
      <c r="AH270" s="550"/>
      <c r="AI270" s="550"/>
      <c r="AJ270" s="550"/>
      <c r="AK270" s="550"/>
      <c r="AL270" s="550"/>
      <c r="AM270" s="550"/>
      <c r="AN270" s="550"/>
      <c r="AO270" s="550"/>
      <c r="AP270" s="550"/>
      <c r="AQ270" s="550"/>
      <c r="AR270" s="550"/>
      <c r="AS270" s="550"/>
      <c r="AT270" s="550"/>
      <c r="AU270" s="550"/>
      <c r="AV270" s="550"/>
      <c r="AW270" s="550"/>
      <c r="AX270" s="550"/>
      <c r="AY270" s="550"/>
      <c r="AZ270" s="550"/>
      <c r="BA270" s="550"/>
      <c r="BB270" s="550"/>
      <c r="BC270" s="550"/>
      <c r="BD270" s="550"/>
      <c r="BE270" s="550"/>
      <c r="BF270" s="550"/>
      <c r="BG270" s="550"/>
      <c r="BH270" s="550"/>
      <c r="BI270" s="550"/>
      <c r="BJ270" s="550"/>
      <c r="BK270" s="550"/>
      <c r="BL270" s="550"/>
      <c r="BM270" s="550"/>
      <c r="BN270" s="550"/>
      <c r="BO270" s="550"/>
      <c r="BP270" s="550"/>
      <c r="BQ270" s="550"/>
      <c r="BR270" s="550"/>
      <c r="BS270" s="550"/>
      <c r="BT270" s="550"/>
      <c r="BU270" s="550"/>
      <c r="BV270" s="550"/>
      <c r="BW270" s="550"/>
      <c r="BX270" s="550"/>
      <c r="BY270" s="550"/>
      <c r="BZ270" s="550"/>
      <c r="CA270" s="550"/>
      <c r="CB270" s="550"/>
      <c r="CC270" s="550"/>
      <c r="CD270" s="550"/>
      <c r="CE270" s="550"/>
      <c r="CF270" s="550"/>
      <c r="CG270" s="550"/>
      <c r="CH270" s="550"/>
      <c r="CI270" s="550"/>
      <c r="CJ270" s="550"/>
      <c r="CK270" s="550"/>
      <c r="CL270" s="550"/>
      <c r="CM270" s="550"/>
      <c r="CN270" s="550"/>
      <c r="CO270" s="550"/>
      <c r="CP270" s="550"/>
      <c r="CQ270" s="550"/>
      <c r="CR270" s="550"/>
      <c r="CS270" s="550"/>
      <c r="CT270" s="550"/>
      <c r="CU270" s="550"/>
      <c r="CV270" s="550"/>
      <c r="CW270" s="550"/>
    </row>
    <row r="271" spans="1:101" x14ac:dyDescent="0.2">
      <c r="A271" s="344">
        <f>+SUBTOTAL(3,$E$8:$E271)</f>
        <v>264</v>
      </c>
      <c r="B271" s="555">
        <v>45597</v>
      </c>
      <c r="C271" s="344" t="s">
        <v>558</v>
      </c>
      <c r="D271" s="344" t="str">
        <f>+VLOOKUP(C271,'Visual chart Edit'!$B$7:$C$491,2,FALSE)</f>
        <v>DC1+0</v>
      </c>
      <c r="E271" s="344" t="s">
        <v>143</v>
      </c>
      <c r="F271" s="551">
        <v>45616</v>
      </c>
      <c r="G271" s="551">
        <v>45626</v>
      </c>
      <c r="H271" s="552" t="s">
        <v>604</v>
      </c>
      <c r="I271" s="553" t="s">
        <v>222</v>
      </c>
      <c r="J271" s="554">
        <f t="shared" si="4"/>
        <v>10</v>
      </c>
      <c r="K271" s="550"/>
      <c r="L271" s="550"/>
      <c r="M271" s="550"/>
      <c r="N271" s="550"/>
      <c r="O271" s="550"/>
      <c r="P271" s="550"/>
      <c r="Q271" s="550"/>
      <c r="R271" s="550"/>
      <c r="S271" s="550"/>
      <c r="T271" s="550"/>
      <c r="U271" s="550"/>
      <c r="V271" s="550"/>
      <c r="W271" s="550"/>
      <c r="X271" s="550"/>
      <c r="Y271" s="550"/>
      <c r="Z271" s="550"/>
      <c r="AA271" s="550"/>
      <c r="AB271" s="550"/>
      <c r="AC271" s="550"/>
      <c r="AD271" s="550"/>
      <c r="AE271" s="550"/>
      <c r="AF271" s="550"/>
      <c r="AG271" s="550"/>
      <c r="AH271" s="550"/>
      <c r="AI271" s="550"/>
      <c r="AJ271" s="550"/>
      <c r="AK271" s="550"/>
      <c r="AL271" s="550"/>
      <c r="AM271" s="550"/>
      <c r="AN271" s="550"/>
      <c r="AO271" s="550"/>
      <c r="AP271" s="550"/>
      <c r="AQ271" s="550"/>
      <c r="AR271" s="550"/>
      <c r="AS271" s="550"/>
      <c r="AT271" s="550"/>
      <c r="AU271" s="550"/>
      <c r="AV271" s="550"/>
      <c r="AW271" s="550"/>
      <c r="AX271" s="550"/>
      <c r="AY271" s="550"/>
      <c r="AZ271" s="550"/>
      <c r="BA271" s="550"/>
      <c r="BB271" s="550"/>
      <c r="BC271" s="550"/>
      <c r="BD271" s="550"/>
      <c r="BE271" s="550"/>
      <c r="BF271" s="550"/>
      <c r="BG271" s="550"/>
      <c r="BH271" s="550"/>
      <c r="BI271" s="550"/>
      <c r="BJ271" s="550"/>
      <c r="BK271" s="550"/>
      <c r="BL271" s="550"/>
      <c r="BM271" s="550"/>
      <c r="BN271" s="550"/>
      <c r="BO271" s="550"/>
      <c r="BP271" s="550"/>
      <c r="BQ271" s="550"/>
      <c r="BR271" s="550"/>
      <c r="BS271" s="550"/>
      <c r="BT271" s="550"/>
      <c r="BU271" s="550"/>
      <c r="BV271" s="550"/>
      <c r="BW271" s="550"/>
      <c r="BX271" s="550"/>
      <c r="BY271" s="550"/>
      <c r="BZ271" s="550"/>
      <c r="CA271" s="550"/>
      <c r="CB271" s="550"/>
      <c r="CC271" s="550"/>
      <c r="CD271" s="550"/>
      <c r="CE271" s="550"/>
      <c r="CF271" s="550"/>
      <c r="CG271" s="550"/>
      <c r="CH271" s="550"/>
      <c r="CI271" s="550"/>
      <c r="CJ271" s="550"/>
      <c r="CK271" s="550"/>
      <c r="CL271" s="550"/>
      <c r="CM271" s="550"/>
      <c r="CN271" s="550"/>
      <c r="CO271" s="550"/>
      <c r="CP271" s="550"/>
      <c r="CQ271" s="550"/>
      <c r="CR271" s="550"/>
      <c r="CS271" s="550"/>
      <c r="CT271" s="550"/>
      <c r="CU271" s="550"/>
      <c r="CV271" s="550"/>
      <c r="CW271" s="550"/>
    </row>
    <row r="272" spans="1:101" x14ac:dyDescent="0.2">
      <c r="A272" s="344">
        <f>+SUBTOTAL(3,$E$8:$E272)</f>
        <v>265</v>
      </c>
      <c r="B272" s="555">
        <v>45597</v>
      </c>
      <c r="C272" s="344" t="s">
        <v>219</v>
      </c>
      <c r="D272" s="344" t="str">
        <f>+VLOOKUP(C272,'Visual chart Edit'!$B$7:$C$491,2,FALSE)</f>
        <v>DA+0</v>
      </c>
      <c r="E272" s="344" t="s">
        <v>276</v>
      </c>
      <c r="F272" s="551">
        <v>45625</v>
      </c>
      <c r="G272" s="551">
        <v>45626</v>
      </c>
      <c r="H272" s="552" t="s">
        <v>878</v>
      </c>
      <c r="I272" s="553" t="s">
        <v>1021</v>
      </c>
      <c r="J272" s="554">
        <f t="shared" si="4"/>
        <v>1</v>
      </c>
      <c r="K272" s="550"/>
      <c r="L272" s="550"/>
      <c r="M272" s="550"/>
      <c r="N272" s="550"/>
      <c r="O272" s="550"/>
      <c r="P272" s="550"/>
      <c r="Q272" s="550"/>
      <c r="R272" s="550"/>
      <c r="S272" s="550"/>
      <c r="T272" s="550"/>
      <c r="U272" s="550"/>
      <c r="V272" s="550"/>
      <c r="W272" s="550"/>
      <c r="X272" s="550"/>
      <c r="Y272" s="550"/>
      <c r="Z272" s="550"/>
      <c r="AA272" s="550"/>
      <c r="AB272" s="550"/>
      <c r="AC272" s="550"/>
      <c r="AD272" s="550"/>
      <c r="AE272" s="550"/>
      <c r="AF272" s="550"/>
      <c r="AG272" s="550"/>
      <c r="AH272" s="550"/>
      <c r="AI272" s="550"/>
      <c r="AJ272" s="550"/>
      <c r="AK272" s="550"/>
      <c r="AL272" s="550"/>
      <c r="AM272" s="550"/>
      <c r="AN272" s="550"/>
      <c r="AO272" s="550"/>
      <c r="AP272" s="550"/>
      <c r="AQ272" s="550"/>
      <c r="AR272" s="550"/>
      <c r="AS272" s="550"/>
      <c r="AT272" s="550"/>
      <c r="AU272" s="550"/>
      <c r="AV272" s="550"/>
      <c r="AW272" s="550"/>
      <c r="AX272" s="550"/>
      <c r="AY272" s="550"/>
      <c r="AZ272" s="550"/>
      <c r="BA272" s="550"/>
      <c r="BB272" s="550"/>
      <c r="BC272" s="550"/>
      <c r="BD272" s="550"/>
      <c r="BE272" s="550"/>
      <c r="BF272" s="550"/>
      <c r="BG272" s="550"/>
      <c r="BH272" s="550"/>
      <c r="BI272" s="550"/>
      <c r="BJ272" s="550"/>
      <c r="BK272" s="550"/>
      <c r="BL272" s="550"/>
      <c r="BM272" s="550"/>
      <c r="BN272" s="550"/>
      <c r="BO272" s="550"/>
      <c r="BP272" s="550"/>
      <c r="BQ272" s="550"/>
      <c r="BR272" s="550"/>
      <c r="BS272" s="550"/>
      <c r="BT272" s="550"/>
      <c r="BU272" s="550"/>
      <c r="BV272" s="550"/>
      <c r="BW272" s="550"/>
      <c r="BX272" s="550"/>
      <c r="BY272" s="550"/>
      <c r="BZ272" s="550"/>
      <c r="CA272" s="550"/>
      <c r="CB272" s="550"/>
      <c r="CC272" s="550"/>
      <c r="CD272" s="550"/>
      <c r="CE272" s="550"/>
      <c r="CF272" s="550"/>
      <c r="CG272" s="550"/>
      <c r="CH272" s="550"/>
      <c r="CI272" s="550"/>
      <c r="CJ272" s="550"/>
      <c r="CK272" s="550"/>
      <c r="CL272" s="550"/>
      <c r="CM272" s="550"/>
      <c r="CN272" s="550"/>
      <c r="CO272" s="550"/>
      <c r="CP272" s="550"/>
      <c r="CQ272" s="550"/>
      <c r="CR272" s="550"/>
      <c r="CS272" s="550"/>
      <c r="CT272" s="550"/>
      <c r="CU272" s="550"/>
      <c r="CV272" s="550"/>
      <c r="CW272" s="550"/>
    </row>
    <row r="273" spans="1:101" x14ac:dyDescent="0.2">
      <c r="A273" s="344">
        <f>+SUBTOTAL(3,$E$8:$E273)</f>
        <v>266</v>
      </c>
      <c r="B273" s="555">
        <v>45627</v>
      </c>
      <c r="C273" s="344" t="s">
        <v>449</v>
      </c>
      <c r="D273" s="344" t="str">
        <f>+VLOOKUP(C273,'Visual chart Edit'!$B$7:$C$491,2,FALSE)</f>
        <v>DA+3</v>
      </c>
      <c r="E273" s="344" t="s">
        <v>143</v>
      </c>
      <c r="F273" s="551">
        <v>45625</v>
      </c>
      <c r="G273" s="551">
        <v>45629</v>
      </c>
      <c r="H273" s="552" t="s">
        <v>616</v>
      </c>
      <c r="I273" s="553" t="s">
        <v>639</v>
      </c>
      <c r="J273" s="554">
        <f t="shared" si="4"/>
        <v>4</v>
      </c>
      <c r="K273" s="550"/>
      <c r="L273" s="550"/>
      <c r="M273" s="550"/>
      <c r="N273" s="550"/>
      <c r="O273" s="550"/>
      <c r="P273" s="550"/>
      <c r="Q273" s="550"/>
      <c r="R273" s="550"/>
      <c r="S273" s="550"/>
      <c r="T273" s="550"/>
      <c r="U273" s="550"/>
      <c r="V273" s="550"/>
      <c r="W273" s="550"/>
      <c r="X273" s="550"/>
      <c r="Y273" s="550"/>
      <c r="Z273" s="550"/>
      <c r="AA273" s="550"/>
      <c r="AB273" s="550"/>
      <c r="AC273" s="550"/>
      <c r="AD273" s="550"/>
      <c r="AE273" s="550"/>
      <c r="AF273" s="550"/>
      <c r="AG273" s="550"/>
      <c r="AH273" s="550"/>
      <c r="AI273" s="550"/>
      <c r="AJ273" s="550"/>
      <c r="AK273" s="550"/>
      <c r="AL273" s="550"/>
      <c r="AM273" s="550"/>
      <c r="AN273" s="550"/>
      <c r="AO273" s="550"/>
      <c r="AP273" s="550"/>
      <c r="AQ273" s="550"/>
      <c r="AR273" s="550"/>
      <c r="AS273" s="550"/>
      <c r="AT273" s="550"/>
      <c r="AU273" s="550"/>
      <c r="AV273" s="550"/>
      <c r="AW273" s="550"/>
      <c r="AX273" s="550"/>
      <c r="AY273" s="550"/>
      <c r="AZ273" s="550"/>
      <c r="BA273" s="550"/>
      <c r="BB273" s="550"/>
      <c r="BC273" s="550"/>
      <c r="BD273" s="550"/>
      <c r="BE273" s="550"/>
      <c r="BF273" s="550"/>
      <c r="BG273" s="550"/>
      <c r="BH273" s="550"/>
      <c r="BI273" s="550"/>
      <c r="BJ273" s="550"/>
      <c r="BK273" s="550"/>
      <c r="BL273" s="550"/>
      <c r="BM273" s="550"/>
      <c r="BN273" s="550"/>
      <c r="BO273" s="550"/>
      <c r="BP273" s="550"/>
      <c r="BQ273" s="550"/>
      <c r="BR273" s="550"/>
      <c r="BS273" s="550"/>
      <c r="BT273" s="550"/>
      <c r="BU273" s="550"/>
      <c r="BV273" s="550"/>
      <c r="BW273" s="550"/>
      <c r="BX273" s="550"/>
      <c r="BY273" s="550"/>
      <c r="BZ273" s="550"/>
      <c r="CA273" s="550"/>
      <c r="CB273" s="550"/>
      <c r="CC273" s="550"/>
      <c r="CD273" s="550"/>
      <c r="CE273" s="550"/>
      <c r="CF273" s="550"/>
      <c r="CG273" s="550"/>
      <c r="CH273" s="550"/>
      <c r="CI273" s="550"/>
      <c r="CJ273" s="550"/>
      <c r="CK273" s="550"/>
      <c r="CL273" s="550"/>
      <c r="CM273" s="550"/>
      <c r="CN273" s="550"/>
      <c r="CO273" s="550"/>
      <c r="CP273" s="550"/>
      <c r="CQ273" s="550"/>
      <c r="CR273" s="550"/>
      <c r="CS273" s="550"/>
      <c r="CT273" s="550"/>
      <c r="CU273" s="550"/>
      <c r="CV273" s="550"/>
      <c r="CW273" s="550"/>
    </row>
    <row r="274" spans="1:101" x14ac:dyDescent="0.2">
      <c r="A274" s="344">
        <f>+SUBTOTAL(3,$E$8:$E274)</f>
        <v>267</v>
      </c>
      <c r="B274" s="555">
        <v>45627</v>
      </c>
      <c r="C274" s="555" t="s">
        <v>53</v>
      </c>
      <c r="D274" s="344" t="str">
        <f>+VLOOKUP(C274,'Visual chart Edit'!$B$7:$C$491,2,FALSE)</f>
        <v>DA+9</v>
      </c>
      <c r="E274" s="344" t="s">
        <v>143</v>
      </c>
      <c r="F274" s="551">
        <v>45627</v>
      </c>
      <c r="G274" s="551">
        <v>45631</v>
      </c>
      <c r="H274" s="552" t="s">
        <v>1013</v>
      </c>
      <c r="I274" s="553" t="s">
        <v>641</v>
      </c>
      <c r="J274" s="554">
        <f t="shared" si="4"/>
        <v>4</v>
      </c>
      <c r="K274" s="550"/>
      <c r="L274" s="550"/>
      <c r="M274" s="550"/>
      <c r="N274" s="550"/>
      <c r="O274" s="550"/>
      <c r="P274" s="550"/>
      <c r="Q274" s="550"/>
      <c r="R274" s="550"/>
      <c r="S274" s="550"/>
      <c r="T274" s="550"/>
      <c r="U274" s="550"/>
      <c r="V274" s="550"/>
      <c r="W274" s="550"/>
      <c r="X274" s="550"/>
      <c r="Y274" s="550"/>
      <c r="Z274" s="550"/>
      <c r="AA274" s="550"/>
      <c r="AB274" s="550"/>
      <c r="AC274" s="550"/>
      <c r="AD274" s="550"/>
      <c r="AE274" s="550"/>
      <c r="AF274" s="550"/>
      <c r="AG274" s="550"/>
      <c r="AH274" s="550"/>
      <c r="AI274" s="550"/>
      <c r="AJ274" s="550"/>
      <c r="AK274" s="550"/>
      <c r="AL274" s="550"/>
      <c r="AM274" s="550"/>
      <c r="AN274" s="550"/>
      <c r="AO274" s="550"/>
      <c r="AP274" s="550"/>
      <c r="AQ274" s="550"/>
      <c r="AR274" s="550"/>
      <c r="AS274" s="550"/>
      <c r="AT274" s="550"/>
      <c r="AU274" s="550"/>
      <c r="AV274" s="550"/>
      <c r="AW274" s="550"/>
      <c r="AX274" s="550"/>
      <c r="AY274" s="550"/>
      <c r="AZ274" s="550"/>
      <c r="BA274" s="550"/>
      <c r="BB274" s="550"/>
      <c r="BC274" s="550"/>
      <c r="BD274" s="550"/>
      <c r="BE274" s="550"/>
      <c r="BF274" s="550"/>
      <c r="BG274" s="550"/>
      <c r="BH274" s="550"/>
      <c r="BI274" s="550"/>
      <c r="BJ274" s="550"/>
      <c r="BK274" s="550"/>
      <c r="BL274" s="550"/>
      <c r="BM274" s="550"/>
      <c r="BN274" s="550"/>
      <c r="BO274" s="550"/>
      <c r="BP274" s="550"/>
      <c r="BQ274" s="550"/>
      <c r="BR274" s="550"/>
      <c r="BS274" s="550"/>
      <c r="BT274" s="550"/>
      <c r="BU274" s="550"/>
      <c r="BV274" s="550"/>
      <c r="BW274" s="550"/>
      <c r="BX274" s="550"/>
      <c r="BY274" s="550"/>
      <c r="BZ274" s="550"/>
      <c r="CA274" s="550"/>
      <c r="CB274" s="550"/>
      <c r="CC274" s="550"/>
      <c r="CD274" s="550"/>
      <c r="CE274" s="550"/>
      <c r="CF274" s="550"/>
      <c r="CG274" s="550"/>
      <c r="CH274" s="550"/>
      <c r="CI274" s="550"/>
      <c r="CJ274" s="550"/>
      <c r="CK274" s="550"/>
      <c r="CL274" s="550"/>
      <c r="CM274" s="550"/>
      <c r="CN274" s="550"/>
      <c r="CO274" s="550"/>
      <c r="CP274" s="550"/>
      <c r="CQ274" s="550"/>
      <c r="CR274" s="550"/>
      <c r="CS274" s="550"/>
      <c r="CT274" s="550"/>
      <c r="CU274" s="550"/>
      <c r="CV274" s="550"/>
      <c r="CW274" s="550"/>
    </row>
    <row r="275" spans="1:101" x14ac:dyDescent="0.2">
      <c r="A275" s="344">
        <f>+SUBTOTAL(3,$E$8:$E275)</f>
        <v>268</v>
      </c>
      <c r="B275" s="555">
        <v>45627</v>
      </c>
      <c r="C275" s="344" t="s">
        <v>460</v>
      </c>
      <c r="D275" s="344" t="str">
        <f>+VLOOKUP(C275,'Visual chart Edit'!$B$7:$C$491,2,FALSE)</f>
        <v>DA+0</v>
      </c>
      <c r="E275" s="344" t="s">
        <v>32</v>
      </c>
      <c r="F275" s="551">
        <v>45627</v>
      </c>
      <c r="G275" s="551">
        <v>45636</v>
      </c>
      <c r="H275" s="552" t="s">
        <v>617</v>
      </c>
      <c r="I275" s="553" t="s">
        <v>642</v>
      </c>
      <c r="J275" s="554">
        <f t="shared" si="4"/>
        <v>9</v>
      </c>
      <c r="K275" s="550"/>
      <c r="L275" s="550"/>
      <c r="M275" s="550"/>
      <c r="N275" s="550"/>
      <c r="O275" s="550"/>
      <c r="P275" s="550"/>
      <c r="Q275" s="550"/>
      <c r="R275" s="550"/>
      <c r="S275" s="550"/>
      <c r="T275" s="550"/>
      <c r="U275" s="550"/>
      <c r="V275" s="550"/>
      <c r="W275" s="550"/>
      <c r="X275" s="550"/>
      <c r="Y275" s="550"/>
      <c r="Z275" s="550"/>
      <c r="AA275" s="550"/>
      <c r="AB275" s="550"/>
      <c r="AC275" s="550"/>
      <c r="AD275" s="550"/>
      <c r="AE275" s="550"/>
      <c r="AF275" s="550"/>
      <c r="AG275" s="550"/>
      <c r="AH275" s="550"/>
      <c r="AI275" s="550"/>
      <c r="AJ275" s="550"/>
      <c r="AK275" s="550"/>
      <c r="AL275" s="550"/>
      <c r="AM275" s="550"/>
      <c r="AN275" s="550"/>
      <c r="AO275" s="550"/>
      <c r="AP275" s="550"/>
      <c r="AQ275" s="550"/>
      <c r="AR275" s="550"/>
      <c r="AS275" s="550"/>
      <c r="AT275" s="550"/>
      <c r="AU275" s="550"/>
      <c r="AV275" s="550"/>
      <c r="AW275" s="550"/>
      <c r="AX275" s="550"/>
      <c r="AY275" s="550"/>
      <c r="AZ275" s="550"/>
      <c r="BA275" s="550"/>
      <c r="BB275" s="550"/>
      <c r="BC275" s="550"/>
      <c r="BD275" s="550"/>
      <c r="BE275" s="550"/>
      <c r="BF275" s="550"/>
      <c r="BG275" s="550"/>
      <c r="BH275" s="550"/>
      <c r="BI275" s="550"/>
      <c r="BJ275" s="550"/>
      <c r="BK275" s="550"/>
      <c r="BL275" s="550"/>
      <c r="BM275" s="550"/>
      <c r="BN275" s="550"/>
      <c r="BO275" s="550"/>
      <c r="BP275" s="550"/>
      <c r="BQ275" s="550"/>
      <c r="BR275" s="550"/>
      <c r="BS275" s="550"/>
      <c r="BT275" s="550"/>
      <c r="BU275" s="550"/>
      <c r="BV275" s="550"/>
      <c r="BW275" s="550"/>
      <c r="BX275" s="550"/>
      <c r="BY275" s="550"/>
      <c r="BZ275" s="550"/>
      <c r="CA275" s="550"/>
      <c r="CB275" s="550"/>
      <c r="CC275" s="550"/>
      <c r="CD275" s="550"/>
      <c r="CE275" s="550"/>
      <c r="CF275" s="550"/>
      <c r="CG275" s="550"/>
      <c r="CH275" s="550"/>
      <c r="CI275" s="550"/>
      <c r="CJ275" s="550"/>
      <c r="CK275" s="550"/>
      <c r="CL275" s="550"/>
      <c r="CM275" s="550"/>
      <c r="CN275" s="550"/>
      <c r="CO275" s="550"/>
      <c r="CP275" s="550"/>
      <c r="CQ275" s="550"/>
      <c r="CR275" s="550"/>
      <c r="CS275" s="550"/>
      <c r="CT275" s="550"/>
      <c r="CU275" s="550"/>
      <c r="CV275" s="550"/>
      <c r="CW275" s="550"/>
    </row>
    <row r="276" spans="1:101" x14ac:dyDescent="0.2">
      <c r="A276" s="344">
        <f>+SUBTOTAL(3,$E$8:$E276)</f>
        <v>269</v>
      </c>
      <c r="B276" s="555">
        <v>45627</v>
      </c>
      <c r="C276" s="344" t="s">
        <v>47</v>
      </c>
      <c r="D276" s="344" t="str">
        <f>+VLOOKUP(C276,'Visual chart Edit'!$B$7:$C$491,2,FALSE)</f>
        <v>DD60+0</v>
      </c>
      <c r="E276" s="344" t="s">
        <v>276</v>
      </c>
      <c r="F276" s="551">
        <v>45633</v>
      </c>
      <c r="G276" s="551">
        <v>45640</v>
      </c>
      <c r="H276" s="552" t="s">
        <v>646</v>
      </c>
      <c r="I276" s="553" t="s">
        <v>642</v>
      </c>
      <c r="J276" s="554">
        <f t="shared" si="4"/>
        <v>7</v>
      </c>
      <c r="K276" s="550"/>
      <c r="L276" s="550"/>
      <c r="M276" s="550"/>
      <c r="N276" s="550"/>
      <c r="O276" s="550"/>
      <c r="P276" s="550"/>
      <c r="Q276" s="550"/>
      <c r="R276" s="550"/>
      <c r="S276" s="550"/>
      <c r="T276" s="550"/>
      <c r="U276" s="550"/>
      <c r="V276" s="550"/>
      <c r="W276" s="550"/>
      <c r="X276" s="550"/>
      <c r="Y276" s="550"/>
      <c r="Z276" s="550"/>
      <c r="AA276" s="550"/>
      <c r="AB276" s="550"/>
      <c r="AC276" s="550"/>
      <c r="AD276" s="550"/>
      <c r="AE276" s="550"/>
      <c r="AF276" s="550"/>
      <c r="AG276" s="550"/>
      <c r="AH276" s="550"/>
      <c r="AI276" s="550"/>
      <c r="AJ276" s="550"/>
      <c r="AK276" s="550"/>
      <c r="AL276" s="550"/>
      <c r="AM276" s="550"/>
      <c r="AN276" s="550"/>
      <c r="AO276" s="550"/>
      <c r="AP276" s="550"/>
      <c r="AQ276" s="550"/>
      <c r="AR276" s="550"/>
      <c r="AS276" s="550"/>
      <c r="AT276" s="550"/>
      <c r="AU276" s="550"/>
      <c r="AV276" s="550"/>
      <c r="AW276" s="550"/>
      <c r="AX276" s="550"/>
      <c r="AY276" s="550"/>
      <c r="AZ276" s="550"/>
      <c r="BA276" s="550"/>
      <c r="BB276" s="550"/>
      <c r="BC276" s="550"/>
      <c r="BD276" s="550"/>
      <c r="BE276" s="550"/>
      <c r="BF276" s="550"/>
      <c r="BG276" s="550"/>
      <c r="BH276" s="550"/>
      <c r="BI276" s="550"/>
      <c r="BJ276" s="550"/>
      <c r="BK276" s="550"/>
      <c r="BL276" s="550"/>
      <c r="BM276" s="550"/>
      <c r="BN276" s="550"/>
      <c r="BO276" s="550"/>
      <c r="BP276" s="550"/>
      <c r="BQ276" s="550"/>
      <c r="BR276" s="550"/>
      <c r="BS276" s="550"/>
      <c r="BT276" s="550"/>
      <c r="BU276" s="550"/>
      <c r="BV276" s="550"/>
      <c r="BW276" s="550"/>
      <c r="BX276" s="550"/>
      <c r="BY276" s="550"/>
      <c r="BZ276" s="550"/>
      <c r="CA276" s="550"/>
      <c r="CB276" s="550"/>
      <c r="CC276" s="550"/>
      <c r="CD276" s="550"/>
      <c r="CE276" s="550"/>
      <c r="CF276" s="550"/>
      <c r="CG276" s="550"/>
      <c r="CH276" s="550"/>
      <c r="CI276" s="550"/>
      <c r="CJ276" s="550"/>
      <c r="CK276" s="550"/>
      <c r="CL276" s="550"/>
      <c r="CM276" s="550"/>
      <c r="CN276" s="550"/>
      <c r="CO276" s="550"/>
      <c r="CP276" s="550"/>
      <c r="CQ276" s="550"/>
      <c r="CR276" s="550"/>
      <c r="CS276" s="550"/>
      <c r="CT276" s="550"/>
      <c r="CU276" s="550"/>
      <c r="CV276" s="550"/>
      <c r="CW276" s="550"/>
    </row>
    <row r="277" spans="1:101" ht="15" customHeight="1" x14ac:dyDescent="0.2">
      <c r="A277" s="344">
        <f>+SUBTOTAL(3,$E$8:$E277)</f>
        <v>270</v>
      </c>
      <c r="B277" s="555">
        <v>45627</v>
      </c>
      <c r="C277" s="344" t="s">
        <v>54</v>
      </c>
      <c r="D277" s="344" t="str">
        <f>+VLOOKUP(C277,'Visual chart Edit'!$B$7:$C$491,2,FALSE)</f>
        <v>DA+9</v>
      </c>
      <c r="E277" s="344" t="s">
        <v>276</v>
      </c>
      <c r="F277" s="551">
        <v>45635</v>
      </c>
      <c r="G277" s="551">
        <v>45640</v>
      </c>
      <c r="H277" s="552" t="s">
        <v>645</v>
      </c>
      <c r="I277" s="553" t="s">
        <v>641</v>
      </c>
      <c r="J277" s="554">
        <f t="shared" si="4"/>
        <v>5</v>
      </c>
      <c r="K277" s="550"/>
      <c r="L277" s="550"/>
      <c r="M277" s="550"/>
      <c r="N277" s="550"/>
      <c r="O277" s="550"/>
      <c r="P277" s="550"/>
      <c r="Q277" s="550"/>
      <c r="R277" s="550"/>
      <c r="S277" s="550"/>
      <c r="T277" s="550"/>
      <c r="U277" s="550"/>
      <c r="V277" s="550"/>
      <c r="W277" s="550"/>
      <c r="X277" s="550"/>
      <c r="Y277" s="550"/>
      <c r="Z277" s="550"/>
      <c r="AA277" s="550"/>
      <c r="AB277" s="550"/>
      <c r="AC277" s="550"/>
      <c r="AD277" s="550"/>
      <c r="AE277" s="550"/>
      <c r="AF277" s="550"/>
      <c r="AG277" s="550"/>
      <c r="AH277" s="550"/>
      <c r="AI277" s="550"/>
      <c r="AJ277" s="550"/>
      <c r="AK277" s="550"/>
      <c r="AL277" s="550"/>
      <c r="AM277" s="550"/>
      <c r="AN277" s="550"/>
      <c r="AO277" s="550"/>
      <c r="AP277" s="550"/>
      <c r="AQ277" s="550"/>
      <c r="AR277" s="550"/>
      <c r="AS277" s="550"/>
      <c r="AT277" s="550"/>
      <c r="AU277" s="550"/>
      <c r="AV277" s="550"/>
      <c r="AW277" s="550"/>
      <c r="AX277" s="550"/>
      <c r="AY277" s="550"/>
      <c r="AZ277" s="550"/>
      <c r="BA277" s="550"/>
      <c r="BB277" s="550"/>
      <c r="BC277" s="550"/>
      <c r="BD277" s="550"/>
      <c r="BE277" s="550"/>
      <c r="BF277" s="550"/>
      <c r="BG277" s="550"/>
      <c r="BH277" s="550"/>
      <c r="BI277" s="550"/>
      <c r="BJ277" s="550"/>
      <c r="BK277" s="550"/>
      <c r="BL277" s="550"/>
      <c r="BM277" s="550"/>
      <c r="BN277" s="550"/>
      <c r="BO277" s="550"/>
      <c r="BP277" s="550"/>
      <c r="BQ277" s="550"/>
      <c r="BR277" s="550"/>
      <c r="BS277" s="550"/>
      <c r="BT277" s="550"/>
      <c r="BU277" s="550"/>
      <c r="BV277" s="550"/>
      <c r="BW277" s="550"/>
      <c r="BX277" s="550"/>
      <c r="BY277" s="550"/>
      <c r="BZ277" s="550"/>
      <c r="CA277" s="550"/>
      <c r="CB277" s="550"/>
      <c r="CC277" s="550"/>
      <c r="CD277" s="550"/>
      <c r="CE277" s="550"/>
      <c r="CF277" s="550"/>
      <c r="CG277" s="550"/>
      <c r="CH277" s="550"/>
      <c r="CI277" s="550"/>
      <c r="CJ277" s="550"/>
      <c r="CK277" s="550"/>
      <c r="CL277" s="550"/>
      <c r="CM277" s="550"/>
      <c r="CN277" s="550"/>
      <c r="CO277" s="550"/>
      <c r="CP277" s="550"/>
      <c r="CQ277" s="550"/>
      <c r="CR277" s="550"/>
      <c r="CS277" s="550"/>
      <c r="CT277" s="550"/>
      <c r="CU277" s="550"/>
      <c r="CV277" s="550"/>
      <c r="CW277" s="550"/>
    </row>
    <row r="278" spans="1:101" ht="15" customHeight="1" x14ac:dyDescent="0.2">
      <c r="A278" s="344">
        <f>+SUBTOTAL(3,$E$8:$E278)</f>
        <v>271</v>
      </c>
      <c r="B278" s="555">
        <v>45627</v>
      </c>
      <c r="C278" s="344" t="s">
        <v>557</v>
      </c>
      <c r="D278" s="344" t="str">
        <f>+VLOOKUP(C278,'Visual chart Edit'!$B$7:$C$491,2,FALSE)</f>
        <v>DA+0</v>
      </c>
      <c r="E278" s="344" t="s">
        <v>143</v>
      </c>
      <c r="F278" s="551">
        <v>45591</v>
      </c>
      <c r="G278" s="551">
        <v>45641</v>
      </c>
      <c r="H278" s="552" t="s">
        <v>604</v>
      </c>
      <c r="I278" s="553" t="s">
        <v>222</v>
      </c>
      <c r="J278" s="554">
        <f t="shared" si="4"/>
        <v>50</v>
      </c>
      <c r="K278" s="550"/>
      <c r="L278" s="550"/>
      <c r="M278" s="550"/>
      <c r="N278" s="550"/>
      <c r="O278" s="550"/>
      <c r="P278" s="550"/>
      <c r="Q278" s="550"/>
      <c r="R278" s="550"/>
      <c r="S278" s="550"/>
      <c r="T278" s="550"/>
      <c r="U278" s="550"/>
      <c r="V278" s="550"/>
      <c r="W278" s="550"/>
      <c r="X278" s="550"/>
      <c r="Y278" s="550"/>
      <c r="Z278" s="550"/>
      <c r="AA278" s="550"/>
      <c r="AB278" s="550"/>
      <c r="AC278" s="550"/>
      <c r="AD278" s="550"/>
      <c r="AE278" s="550"/>
      <c r="AF278" s="550"/>
      <c r="AG278" s="550"/>
      <c r="AH278" s="550"/>
      <c r="AI278" s="550"/>
      <c r="AJ278" s="550"/>
      <c r="AK278" s="550"/>
      <c r="AL278" s="550"/>
      <c r="AM278" s="550"/>
      <c r="AN278" s="550"/>
      <c r="AO278" s="550"/>
      <c r="AP278" s="550"/>
      <c r="AQ278" s="550"/>
      <c r="AR278" s="550"/>
      <c r="AS278" s="550"/>
      <c r="AT278" s="550"/>
      <c r="AU278" s="550"/>
      <c r="AV278" s="550"/>
      <c r="AW278" s="550"/>
      <c r="AX278" s="550"/>
      <c r="AY278" s="550"/>
      <c r="AZ278" s="550"/>
      <c r="BA278" s="550"/>
      <c r="BB278" s="550"/>
      <c r="BC278" s="550"/>
      <c r="BD278" s="550"/>
      <c r="BE278" s="550"/>
      <c r="BF278" s="550"/>
      <c r="BG278" s="550"/>
      <c r="BH278" s="550"/>
      <c r="BI278" s="550"/>
      <c r="BJ278" s="550"/>
      <c r="BK278" s="550"/>
      <c r="BL278" s="550"/>
      <c r="BM278" s="550"/>
      <c r="BN278" s="550"/>
      <c r="BO278" s="550"/>
      <c r="BP278" s="550"/>
      <c r="BQ278" s="550"/>
      <c r="BR278" s="550"/>
      <c r="BS278" s="550"/>
      <c r="BT278" s="550"/>
      <c r="BU278" s="550"/>
      <c r="BV278" s="550"/>
      <c r="BW278" s="550"/>
      <c r="BX278" s="550"/>
      <c r="BY278" s="550"/>
      <c r="BZ278" s="550"/>
      <c r="CA278" s="550"/>
      <c r="CB278" s="550"/>
      <c r="CC278" s="550"/>
      <c r="CD278" s="550"/>
      <c r="CE278" s="550"/>
      <c r="CF278" s="550"/>
      <c r="CG278" s="550"/>
      <c r="CH278" s="550"/>
      <c r="CI278" s="550"/>
      <c r="CJ278" s="550"/>
      <c r="CK278" s="550"/>
      <c r="CL278" s="550"/>
      <c r="CM278" s="550"/>
      <c r="CN278" s="550"/>
      <c r="CO278" s="550"/>
      <c r="CP278" s="550"/>
      <c r="CQ278" s="550"/>
      <c r="CR278" s="550"/>
      <c r="CS278" s="550"/>
      <c r="CT278" s="550"/>
      <c r="CU278" s="550"/>
      <c r="CV278" s="550"/>
      <c r="CW278" s="550"/>
    </row>
    <row r="279" spans="1:101" x14ac:dyDescent="0.2">
      <c r="A279" s="344">
        <f>+SUBTOTAL(3,$E$8:$E279)</f>
        <v>272</v>
      </c>
      <c r="B279" s="555">
        <v>45627</v>
      </c>
      <c r="C279" s="344" t="s">
        <v>451</v>
      </c>
      <c r="D279" s="344" t="str">
        <f>+VLOOKUP(C279,'Visual chart Edit'!$B$7:$C$491,2,FALSE)</f>
        <v>DA+3</v>
      </c>
      <c r="E279" s="344" t="s">
        <v>143</v>
      </c>
      <c r="F279" s="551">
        <v>45636</v>
      </c>
      <c r="G279" s="551">
        <v>45641</v>
      </c>
      <c r="H279" s="552" t="s">
        <v>1014</v>
      </c>
      <c r="I279" s="553" t="s">
        <v>642</v>
      </c>
      <c r="J279" s="554">
        <f t="shared" si="4"/>
        <v>5</v>
      </c>
      <c r="K279" s="550"/>
      <c r="L279" s="550"/>
      <c r="M279" s="550"/>
      <c r="N279" s="550"/>
      <c r="O279" s="550"/>
      <c r="P279" s="550"/>
      <c r="Q279" s="550"/>
      <c r="R279" s="550"/>
      <c r="S279" s="550"/>
      <c r="T279" s="550"/>
      <c r="U279" s="550"/>
      <c r="V279" s="550"/>
      <c r="W279" s="550"/>
      <c r="X279" s="550"/>
      <c r="Y279" s="550"/>
      <c r="Z279" s="550"/>
      <c r="AA279" s="550"/>
      <c r="AB279" s="550"/>
      <c r="AC279" s="550"/>
      <c r="AD279" s="550"/>
      <c r="AE279" s="550"/>
      <c r="AF279" s="550"/>
      <c r="AG279" s="550"/>
      <c r="AH279" s="550"/>
      <c r="AI279" s="550"/>
      <c r="AJ279" s="550"/>
      <c r="AK279" s="550"/>
      <c r="AL279" s="550"/>
      <c r="AM279" s="550"/>
      <c r="AN279" s="550"/>
      <c r="AO279" s="550"/>
      <c r="AP279" s="550"/>
      <c r="AQ279" s="550"/>
      <c r="AR279" s="550"/>
      <c r="AS279" s="550"/>
      <c r="AT279" s="550"/>
      <c r="AU279" s="550"/>
      <c r="AV279" s="550"/>
      <c r="AW279" s="550"/>
      <c r="AX279" s="550"/>
      <c r="AY279" s="550"/>
      <c r="AZ279" s="550"/>
      <c r="BA279" s="550"/>
      <c r="BB279" s="550"/>
      <c r="BC279" s="550"/>
      <c r="BD279" s="550"/>
      <c r="BE279" s="550"/>
      <c r="BF279" s="550"/>
      <c r="BG279" s="550"/>
      <c r="BH279" s="550"/>
      <c r="BI279" s="550"/>
      <c r="BJ279" s="550"/>
      <c r="BK279" s="550"/>
      <c r="BL279" s="550"/>
      <c r="BM279" s="550"/>
      <c r="BN279" s="550"/>
      <c r="BO279" s="550"/>
      <c r="BP279" s="550"/>
      <c r="BQ279" s="550"/>
      <c r="BR279" s="550"/>
      <c r="BS279" s="550"/>
      <c r="BT279" s="550"/>
      <c r="BU279" s="550"/>
      <c r="BV279" s="550"/>
      <c r="BW279" s="550"/>
      <c r="BX279" s="550"/>
      <c r="BY279" s="550"/>
      <c r="BZ279" s="550"/>
      <c r="CA279" s="550"/>
      <c r="CB279" s="550"/>
      <c r="CC279" s="550"/>
      <c r="CD279" s="550"/>
      <c r="CE279" s="550"/>
      <c r="CF279" s="550"/>
      <c r="CG279" s="550"/>
      <c r="CH279" s="550"/>
      <c r="CI279" s="550"/>
      <c r="CJ279" s="550"/>
      <c r="CK279" s="550"/>
      <c r="CL279" s="550"/>
      <c r="CM279" s="550"/>
      <c r="CN279" s="550"/>
      <c r="CO279" s="550"/>
      <c r="CP279" s="550"/>
      <c r="CQ279" s="550"/>
      <c r="CR279" s="550"/>
      <c r="CS279" s="550"/>
      <c r="CT279" s="550"/>
      <c r="CU279" s="550"/>
      <c r="CV279" s="550"/>
      <c r="CW279" s="550"/>
    </row>
    <row r="280" spans="1:101" x14ac:dyDescent="0.2">
      <c r="A280" s="344">
        <f>+SUBTOTAL(3,$E$8:$E280)</f>
        <v>273</v>
      </c>
      <c r="B280" s="555">
        <v>45627</v>
      </c>
      <c r="C280" s="344" t="s">
        <v>178</v>
      </c>
      <c r="D280" s="344" t="str">
        <f>+VLOOKUP(C280,'Visual chart Edit'!$B$7:$C$491,2,FALSE)</f>
        <v>DA+6</v>
      </c>
      <c r="E280" s="344" t="s">
        <v>143</v>
      </c>
      <c r="F280" s="551">
        <v>45639</v>
      </c>
      <c r="G280" s="551">
        <v>45642</v>
      </c>
      <c r="H280" s="552" t="s">
        <v>1012</v>
      </c>
      <c r="I280" s="553" t="s">
        <v>641</v>
      </c>
      <c r="J280" s="554">
        <f t="shared" si="4"/>
        <v>3</v>
      </c>
      <c r="K280" s="550"/>
      <c r="L280" s="550"/>
      <c r="M280" s="550"/>
      <c r="N280" s="550"/>
      <c r="O280" s="550"/>
      <c r="P280" s="550"/>
      <c r="Q280" s="550"/>
      <c r="R280" s="550"/>
      <c r="S280" s="550"/>
      <c r="T280" s="550"/>
      <c r="U280" s="550"/>
      <c r="V280" s="550"/>
      <c r="W280" s="550"/>
      <c r="X280" s="550"/>
      <c r="Y280" s="550"/>
      <c r="Z280" s="550"/>
      <c r="AA280" s="550"/>
      <c r="AB280" s="550"/>
      <c r="AC280" s="550"/>
      <c r="AD280" s="550"/>
      <c r="AE280" s="550"/>
      <c r="AF280" s="550"/>
      <c r="AG280" s="550"/>
      <c r="AH280" s="550"/>
      <c r="AI280" s="550"/>
      <c r="AJ280" s="550"/>
      <c r="AK280" s="550"/>
      <c r="AL280" s="550"/>
      <c r="AM280" s="550"/>
      <c r="AN280" s="550"/>
      <c r="AO280" s="550"/>
      <c r="AP280" s="550"/>
      <c r="AQ280" s="550"/>
      <c r="AR280" s="550"/>
      <c r="AS280" s="550"/>
      <c r="AT280" s="550"/>
      <c r="AU280" s="550"/>
      <c r="AV280" s="550"/>
      <c r="AW280" s="550"/>
      <c r="AX280" s="550"/>
      <c r="AY280" s="550"/>
      <c r="AZ280" s="550"/>
      <c r="BA280" s="550"/>
      <c r="BB280" s="550"/>
      <c r="BC280" s="550"/>
      <c r="BD280" s="550"/>
      <c r="BE280" s="550"/>
      <c r="BF280" s="550"/>
      <c r="BG280" s="550"/>
      <c r="BH280" s="550"/>
      <c r="BI280" s="550"/>
      <c r="BJ280" s="550"/>
      <c r="BK280" s="550"/>
      <c r="BL280" s="550"/>
      <c r="BM280" s="550"/>
      <c r="BN280" s="550"/>
      <c r="BO280" s="550"/>
      <c r="BP280" s="550"/>
      <c r="BQ280" s="550"/>
      <c r="BR280" s="550"/>
      <c r="BS280" s="550"/>
      <c r="BT280" s="550"/>
      <c r="BU280" s="550"/>
      <c r="BV280" s="550"/>
      <c r="BW280" s="550"/>
      <c r="BX280" s="550"/>
      <c r="BY280" s="550"/>
      <c r="BZ280" s="550"/>
      <c r="CA280" s="550"/>
      <c r="CB280" s="550"/>
      <c r="CC280" s="550"/>
      <c r="CD280" s="550"/>
      <c r="CE280" s="550"/>
      <c r="CF280" s="550"/>
      <c r="CG280" s="550"/>
      <c r="CH280" s="550"/>
      <c r="CI280" s="550"/>
      <c r="CJ280" s="550"/>
      <c r="CK280" s="550"/>
      <c r="CL280" s="550"/>
      <c r="CM280" s="550"/>
      <c r="CN280" s="550"/>
      <c r="CO280" s="550"/>
      <c r="CP280" s="550"/>
      <c r="CQ280" s="550"/>
      <c r="CR280" s="550"/>
      <c r="CS280" s="550"/>
      <c r="CT280" s="550"/>
      <c r="CU280" s="550"/>
      <c r="CV280" s="550"/>
      <c r="CW280" s="550"/>
    </row>
    <row r="281" spans="1:101" x14ac:dyDescent="0.2">
      <c r="A281" s="344">
        <f>+SUBTOTAL(3,$E$8:$E281)</f>
        <v>274</v>
      </c>
      <c r="B281" s="555">
        <v>45627</v>
      </c>
      <c r="C281" s="344" t="s">
        <v>840</v>
      </c>
      <c r="D281" s="344" t="str">
        <f>+VLOOKUP(C281,'Visual chart Edit'!$B$7:$C$491,2,FALSE)</f>
        <v>DA+3</v>
      </c>
      <c r="E281" s="344" t="s">
        <v>276</v>
      </c>
      <c r="F281" s="551">
        <v>45642</v>
      </c>
      <c r="G281" s="551">
        <v>45643</v>
      </c>
      <c r="H281" s="552" t="s">
        <v>882</v>
      </c>
      <c r="I281" s="553" t="s">
        <v>1021</v>
      </c>
      <c r="J281" s="554">
        <f t="shared" si="4"/>
        <v>1</v>
      </c>
      <c r="K281" s="550"/>
      <c r="L281" s="550"/>
      <c r="M281" s="550"/>
      <c r="N281" s="550"/>
      <c r="O281" s="550"/>
      <c r="P281" s="550"/>
      <c r="Q281" s="550"/>
      <c r="R281" s="550"/>
      <c r="S281" s="550"/>
      <c r="T281" s="550"/>
      <c r="U281" s="550"/>
      <c r="V281" s="550"/>
      <c r="W281" s="550"/>
      <c r="X281" s="550"/>
      <c r="Y281" s="550"/>
      <c r="Z281" s="550"/>
      <c r="AA281" s="550"/>
      <c r="AB281" s="550"/>
      <c r="AC281" s="550"/>
      <c r="AD281" s="550"/>
      <c r="AE281" s="550"/>
      <c r="AF281" s="550"/>
      <c r="AG281" s="550"/>
      <c r="AH281" s="550"/>
      <c r="AI281" s="550"/>
      <c r="AJ281" s="550"/>
      <c r="AK281" s="550"/>
      <c r="AL281" s="550"/>
      <c r="AM281" s="550"/>
      <c r="AN281" s="550"/>
      <c r="AO281" s="550"/>
      <c r="AP281" s="550"/>
      <c r="AQ281" s="550"/>
      <c r="AR281" s="550"/>
      <c r="AS281" s="550"/>
      <c r="AT281" s="550"/>
      <c r="AU281" s="550"/>
      <c r="AV281" s="550"/>
      <c r="AW281" s="550"/>
      <c r="AX281" s="550"/>
      <c r="AY281" s="550"/>
      <c r="AZ281" s="550"/>
      <c r="BA281" s="550"/>
      <c r="BB281" s="550"/>
      <c r="BC281" s="550"/>
      <c r="BD281" s="550"/>
      <c r="BE281" s="550"/>
      <c r="BF281" s="550"/>
      <c r="BG281" s="550"/>
      <c r="BH281" s="550"/>
      <c r="BI281" s="550"/>
      <c r="BJ281" s="550"/>
      <c r="BK281" s="550"/>
      <c r="BL281" s="550"/>
      <c r="BM281" s="550"/>
      <c r="BN281" s="550"/>
      <c r="BO281" s="550"/>
      <c r="BP281" s="550"/>
      <c r="BQ281" s="550"/>
      <c r="BR281" s="550"/>
      <c r="BS281" s="550"/>
      <c r="BT281" s="550"/>
      <c r="BU281" s="550"/>
      <c r="BV281" s="550"/>
      <c r="BW281" s="550"/>
      <c r="BX281" s="550"/>
      <c r="BY281" s="550"/>
      <c r="BZ281" s="550"/>
      <c r="CA281" s="550"/>
      <c r="CB281" s="550"/>
      <c r="CC281" s="550"/>
      <c r="CD281" s="550"/>
      <c r="CE281" s="550"/>
      <c r="CF281" s="550"/>
      <c r="CG281" s="550"/>
      <c r="CH281" s="550"/>
      <c r="CI281" s="550"/>
      <c r="CJ281" s="550"/>
      <c r="CK281" s="550"/>
      <c r="CL281" s="550"/>
      <c r="CM281" s="550"/>
      <c r="CN281" s="550"/>
      <c r="CO281" s="550"/>
      <c r="CP281" s="550"/>
      <c r="CQ281" s="550"/>
      <c r="CR281" s="550"/>
      <c r="CS281" s="550"/>
      <c r="CT281" s="550"/>
      <c r="CU281" s="550"/>
      <c r="CV281" s="550"/>
      <c r="CW281" s="550"/>
    </row>
    <row r="282" spans="1:101" x14ac:dyDescent="0.2">
      <c r="A282" s="344">
        <f>+SUBTOTAL(3,$E$8:$E282)</f>
        <v>275</v>
      </c>
      <c r="B282" s="555">
        <v>45627</v>
      </c>
      <c r="C282" s="344" t="s">
        <v>853</v>
      </c>
      <c r="D282" s="344" t="str">
        <f>+VLOOKUP(C282,'Visual chart Edit'!$B$7:$C$491,2,FALSE)</f>
        <v>DA+3</v>
      </c>
      <c r="E282" s="344" t="s">
        <v>276</v>
      </c>
      <c r="F282" s="551">
        <v>45642</v>
      </c>
      <c r="G282" s="551">
        <v>45644</v>
      </c>
      <c r="H282" s="552" t="s">
        <v>1015</v>
      </c>
      <c r="I282" s="553" t="s">
        <v>1021</v>
      </c>
      <c r="J282" s="554">
        <f t="shared" si="4"/>
        <v>2</v>
      </c>
      <c r="K282" s="550"/>
      <c r="L282" s="550"/>
      <c r="M282" s="550"/>
      <c r="N282" s="550"/>
      <c r="O282" s="550"/>
      <c r="P282" s="550"/>
      <c r="Q282" s="550"/>
      <c r="R282" s="550"/>
      <c r="S282" s="550"/>
      <c r="T282" s="550"/>
      <c r="U282" s="550"/>
      <c r="V282" s="550"/>
      <c r="W282" s="550"/>
      <c r="X282" s="550"/>
      <c r="Y282" s="550"/>
      <c r="Z282" s="550"/>
      <c r="AA282" s="550"/>
      <c r="AB282" s="550"/>
      <c r="AC282" s="550"/>
      <c r="AD282" s="550"/>
      <c r="AE282" s="550"/>
      <c r="AF282" s="550"/>
      <c r="AG282" s="550"/>
      <c r="AH282" s="550"/>
      <c r="AI282" s="550"/>
      <c r="AJ282" s="550"/>
      <c r="AK282" s="550"/>
      <c r="AL282" s="550"/>
      <c r="AM282" s="550"/>
      <c r="AN282" s="550"/>
      <c r="AO282" s="550"/>
      <c r="AP282" s="550"/>
      <c r="AQ282" s="550"/>
      <c r="AR282" s="550"/>
      <c r="AS282" s="550"/>
      <c r="AT282" s="550"/>
      <c r="AU282" s="550"/>
      <c r="AV282" s="550"/>
      <c r="AW282" s="550"/>
      <c r="AX282" s="550"/>
      <c r="AY282" s="550"/>
      <c r="AZ282" s="550"/>
      <c r="BA282" s="550"/>
      <c r="BB282" s="550"/>
      <c r="BC282" s="550"/>
      <c r="BD282" s="550"/>
      <c r="BE282" s="550"/>
      <c r="BF282" s="550"/>
      <c r="BG282" s="550"/>
      <c r="BH282" s="550"/>
      <c r="BI282" s="550"/>
      <c r="BJ282" s="550"/>
      <c r="BK282" s="550"/>
      <c r="BL282" s="550"/>
      <c r="BM282" s="550"/>
      <c r="BN282" s="550"/>
      <c r="BO282" s="550"/>
      <c r="BP282" s="550"/>
      <c r="BQ282" s="550"/>
      <c r="BR282" s="550"/>
      <c r="BS282" s="550"/>
      <c r="BT282" s="550"/>
      <c r="BU282" s="550"/>
      <c r="BV282" s="550"/>
      <c r="BW282" s="550"/>
      <c r="BX282" s="550"/>
      <c r="BY282" s="550"/>
      <c r="BZ282" s="550"/>
      <c r="CA282" s="550"/>
      <c r="CB282" s="550"/>
      <c r="CC282" s="550"/>
      <c r="CD282" s="550"/>
      <c r="CE282" s="550"/>
      <c r="CF282" s="550"/>
      <c r="CG282" s="550"/>
      <c r="CH282" s="550"/>
      <c r="CI282" s="550"/>
      <c r="CJ282" s="550"/>
      <c r="CK282" s="550"/>
      <c r="CL282" s="550"/>
      <c r="CM282" s="550"/>
      <c r="CN282" s="550"/>
      <c r="CO282" s="550"/>
      <c r="CP282" s="550"/>
      <c r="CQ282" s="550"/>
      <c r="CR282" s="550"/>
      <c r="CS282" s="550"/>
      <c r="CT282" s="550"/>
      <c r="CU282" s="550"/>
      <c r="CV282" s="550"/>
      <c r="CW282" s="550"/>
    </row>
    <row r="283" spans="1:101" x14ac:dyDescent="0.2">
      <c r="A283" s="344">
        <f>+SUBTOTAL(3,$E$8:$E283)</f>
        <v>276</v>
      </c>
      <c r="B283" s="555">
        <v>45627</v>
      </c>
      <c r="C283" s="344" t="s">
        <v>839</v>
      </c>
      <c r="D283" s="344" t="str">
        <f>+VLOOKUP(C283,'Visual chart Edit'!$B$7:$C$491,2,FALSE)</f>
        <v>DA+3</v>
      </c>
      <c r="E283" s="344" t="s">
        <v>276</v>
      </c>
      <c r="F283" s="551">
        <v>45643</v>
      </c>
      <c r="G283" s="551">
        <v>45645</v>
      </c>
      <c r="H283" s="560" t="s">
        <v>882</v>
      </c>
      <c r="I283" s="553" t="s">
        <v>1021</v>
      </c>
      <c r="J283" s="554">
        <f t="shared" si="4"/>
        <v>2</v>
      </c>
    </row>
    <row r="284" spans="1:101" x14ac:dyDescent="0.2">
      <c r="A284" s="344">
        <f>+SUBTOTAL(3,$E$8:$E284)</f>
        <v>277</v>
      </c>
      <c r="B284" s="555">
        <v>45627</v>
      </c>
      <c r="C284" s="555" t="s">
        <v>851</v>
      </c>
      <c r="D284" s="344" t="str">
        <f>+VLOOKUP(C284,'Visual chart Edit'!$B$7:$C$491,2,FALSE)</f>
        <v>DA+3</v>
      </c>
      <c r="E284" s="344" t="s">
        <v>276</v>
      </c>
      <c r="F284" s="551">
        <v>45645</v>
      </c>
      <c r="G284" s="551">
        <v>45646</v>
      </c>
      <c r="H284" s="560" t="s">
        <v>1015</v>
      </c>
      <c r="I284" s="553" t="s">
        <v>1021</v>
      </c>
      <c r="J284" s="554">
        <f t="shared" si="4"/>
        <v>1</v>
      </c>
    </row>
    <row r="285" spans="1:101" x14ac:dyDescent="0.2">
      <c r="A285" s="344">
        <f>+SUBTOTAL(3,$E$8:$E285)</f>
        <v>278</v>
      </c>
      <c r="B285" s="555">
        <v>45627</v>
      </c>
      <c r="C285" s="344" t="s">
        <v>713</v>
      </c>
      <c r="D285" s="344" t="str">
        <f>+VLOOKUP(C285,'Visual chart Edit'!$B$7:$C$491,2,FALSE)</f>
        <v>DA+6</v>
      </c>
      <c r="E285" s="344" t="s">
        <v>143</v>
      </c>
      <c r="F285" s="551">
        <v>45643</v>
      </c>
      <c r="G285" s="551">
        <v>45646</v>
      </c>
      <c r="H285" s="552" t="s">
        <v>882</v>
      </c>
      <c r="I285" s="553" t="s">
        <v>1020</v>
      </c>
      <c r="J285" s="554">
        <f t="shared" si="4"/>
        <v>3</v>
      </c>
    </row>
    <row r="286" spans="1:101" x14ac:dyDescent="0.2">
      <c r="A286" s="344">
        <f>+SUBTOTAL(3,$E$8:$E286)</f>
        <v>279</v>
      </c>
      <c r="B286" s="555">
        <v>45627</v>
      </c>
      <c r="C286" s="344" t="s">
        <v>841</v>
      </c>
      <c r="D286" s="344" t="str">
        <f>+VLOOKUP(C286,'Visual chart Edit'!$B$7:$C$491,2,FALSE)</f>
        <v>DA+3</v>
      </c>
      <c r="E286" s="344" t="s">
        <v>276</v>
      </c>
      <c r="F286" s="551">
        <v>45646</v>
      </c>
      <c r="G286" s="551">
        <v>45647</v>
      </c>
      <c r="H286" s="552" t="s">
        <v>882</v>
      </c>
      <c r="I286" s="553" t="s">
        <v>1021</v>
      </c>
      <c r="J286" s="554">
        <f t="shared" si="4"/>
        <v>1</v>
      </c>
    </row>
    <row r="287" spans="1:101" x14ac:dyDescent="0.2">
      <c r="A287" s="344">
        <f>+SUBTOTAL(3,$E$8:$E287)</f>
        <v>280</v>
      </c>
      <c r="B287" s="555">
        <v>45627</v>
      </c>
      <c r="C287" s="344" t="s">
        <v>42</v>
      </c>
      <c r="D287" s="344" t="str">
        <f>+VLOOKUP(C287,'Visual chart Edit'!$B$7:$C$491,2,FALSE)</f>
        <v>DA+0</v>
      </c>
      <c r="E287" s="344" t="s">
        <v>32</v>
      </c>
      <c r="F287" s="551">
        <v>45644</v>
      </c>
      <c r="G287" s="551">
        <v>45649</v>
      </c>
      <c r="H287" s="552" t="s">
        <v>1016</v>
      </c>
      <c r="I287" s="553" t="s">
        <v>642</v>
      </c>
      <c r="J287" s="554">
        <f t="shared" si="4"/>
        <v>5</v>
      </c>
    </row>
    <row r="288" spans="1:101" x14ac:dyDescent="0.2">
      <c r="A288" s="344">
        <f>+SUBTOTAL(3,$E$8:$E288)</f>
        <v>281</v>
      </c>
      <c r="B288" s="555">
        <v>45627</v>
      </c>
      <c r="C288" s="346" t="s">
        <v>852</v>
      </c>
      <c r="D288" s="344" t="str">
        <f>+VLOOKUP(C288,'Visual chart Edit'!$B$7:$C$491,2,FALSE)</f>
        <v>DB2+3</v>
      </c>
      <c r="E288" s="344" t="s">
        <v>276</v>
      </c>
      <c r="F288" s="551">
        <v>45648</v>
      </c>
      <c r="G288" s="551">
        <v>45649</v>
      </c>
      <c r="H288" s="552" t="s">
        <v>1015</v>
      </c>
      <c r="I288" s="553" t="s">
        <v>1021</v>
      </c>
      <c r="J288" s="554">
        <f t="shared" si="4"/>
        <v>1</v>
      </c>
    </row>
    <row r="289" spans="1:10" x14ac:dyDescent="0.2">
      <c r="A289" s="344">
        <f>+SUBTOTAL(3,$E$8:$E289)</f>
        <v>282</v>
      </c>
      <c r="B289" s="555">
        <v>45627</v>
      </c>
      <c r="C289" s="346" t="s">
        <v>838</v>
      </c>
      <c r="D289" s="344" t="str">
        <f>+VLOOKUP(C289,'Visual chart Edit'!$B$7:$C$491,2,FALSE)</f>
        <v>DA+3</v>
      </c>
      <c r="E289" s="344" t="s">
        <v>276</v>
      </c>
      <c r="F289" s="551">
        <v>45648</v>
      </c>
      <c r="G289" s="551">
        <v>45649</v>
      </c>
      <c r="H289" s="552" t="s">
        <v>882</v>
      </c>
      <c r="I289" s="553" t="s">
        <v>1021</v>
      </c>
      <c r="J289" s="554">
        <f t="shared" si="4"/>
        <v>1</v>
      </c>
    </row>
    <row r="290" spans="1:10" x14ac:dyDescent="0.2">
      <c r="A290" s="344">
        <f>+SUBTOTAL(3,$E$8:$E290)</f>
        <v>283</v>
      </c>
      <c r="B290" s="555">
        <v>45627</v>
      </c>
      <c r="C290" s="344" t="s">
        <v>452</v>
      </c>
      <c r="D290" s="344" t="str">
        <f>+VLOOKUP(C290,'Visual chart Edit'!$B$7:$C$491,2,FALSE)</f>
        <v>DA+3</v>
      </c>
      <c r="E290" s="344" t="s">
        <v>143</v>
      </c>
      <c r="F290" s="551">
        <v>45638</v>
      </c>
      <c r="G290" s="551">
        <v>45650</v>
      </c>
      <c r="H290" s="552" t="s">
        <v>1014</v>
      </c>
      <c r="I290" s="553" t="s">
        <v>642</v>
      </c>
      <c r="J290" s="554">
        <f t="shared" si="4"/>
        <v>12</v>
      </c>
    </row>
    <row r="291" spans="1:10" x14ac:dyDescent="0.2">
      <c r="A291" s="344">
        <f>+SUBTOTAL(3,$E$8:$E291)</f>
        <v>284</v>
      </c>
      <c r="B291" s="555">
        <v>45627</v>
      </c>
      <c r="C291" s="344" t="s">
        <v>847</v>
      </c>
      <c r="D291" s="344" t="str">
        <f>+VLOOKUP(C291,'Visual chart Edit'!$B$7:$C$491,2,FALSE)</f>
        <v>DA+3</v>
      </c>
      <c r="E291" s="344" t="s">
        <v>276</v>
      </c>
      <c r="F291" s="551">
        <v>45650</v>
      </c>
      <c r="G291" s="551">
        <v>45651</v>
      </c>
      <c r="H291" s="552" t="s">
        <v>1015</v>
      </c>
      <c r="I291" s="553" t="s">
        <v>1021</v>
      </c>
      <c r="J291" s="554">
        <f t="shared" si="4"/>
        <v>1</v>
      </c>
    </row>
    <row r="292" spans="1:10" x14ac:dyDescent="0.2">
      <c r="A292" s="344">
        <f>+SUBTOTAL(3,$E$8:$E292)</f>
        <v>285</v>
      </c>
      <c r="B292" s="555">
        <v>45627</v>
      </c>
      <c r="C292" s="344" t="s">
        <v>714</v>
      </c>
      <c r="D292" s="344" t="str">
        <f>+VLOOKUP(C292,'Visual chart Edit'!$B$7:$C$491,2,FALSE)</f>
        <v>DA+6</v>
      </c>
      <c r="E292" s="344" t="s">
        <v>143</v>
      </c>
      <c r="F292" s="551">
        <v>45650</v>
      </c>
      <c r="G292" s="551">
        <v>45651</v>
      </c>
      <c r="H292" s="552" t="s">
        <v>882</v>
      </c>
      <c r="I292" s="553" t="s">
        <v>1024</v>
      </c>
      <c r="J292" s="554">
        <f t="shared" si="4"/>
        <v>1</v>
      </c>
    </row>
    <row r="293" spans="1:10" x14ac:dyDescent="0.2">
      <c r="A293" s="344">
        <f>+SUBTOTAL(3,$E$8:$E293)</f>
        <v>286</v>
      </c>
      <c r="B293" s="555">
        <v>45627</v>
      </c>
      <c r="C293" s="346" t="s">
        <v>842</v>
      </c>
      <c r="D293" s="344" t="str">
        <f>+VLOOKUP(C293,'Visual chart Edit'!$B$7:$C$491,2,FALSE)</f>
        <v>DA+3</v>
      </c>
      <c r="E293" s="344" t="s">
        <v>276</v>
      </c>
      <c r="F293" s="551">
        <v>45650</v>
      </c>
      <c r="G293" s="551">
        <v>45651</v>
      </c>
      <c r="H293" s="552" t="s">
        <v>882</v>
      </c>
      <c r="I293" s="553" t="s">
        <v>1020</v>
      </c>
      <c r="J293" s="554">
        <f t="shared" si="4"/>
        <v>1</v>
      </c>
    </row>
    <row r="294" spans="1:10" x14ac:dyDescent="0.2">
      <c r="A294" s="344">
        <f>+SUBTOTAL(3,$E$8:$E294)</f>
        <v>287</v>
      </c>
      <c r="B294" s="555">
        <v>45627</v>
      </c>
      <c r="C294" s="344" t="s">
        <v>448</v>
      </c>
      <c r="D294" s="344" t="str">
        <f>+VLOOKUP(C294,'Visual chart Edit'!$B$7:$C$491,2,FALSE)</f>
        <v>DA+3</v>
      </c>
      <c r="E294" s="344" t="s">
        <v>143</v>
      </c>
      <c r="F294" s="551">
        <v>45643</v>
      </c>
      <c r="G294" s="551">
        <v>45653</v>
      </c>
      <c r="H294" s="552" t="s">
        <v>619</v>
      </c>
      <c r="I294" s="553" t="s">
        <v>642</v>
      </c>
      <c r="J294" s="554">
        <f t="shared" si="4"/>
        <v>10</v>
      </c>
    </row>
    <row r="295" spans="1:10" x14ac:dyDescent="0.2">
      <c r="A295" s="344">
        <f>+SUBTOTAL(3,$E$8:$E295)</f>
        <v>288</v>
      </c>
      <c r="B295" s="555">
        <v>45627</v>
      </c>
      <c r="C295" s="344" t="s">
        <v>848</v>
      </c>
      <c r="D295" s="344" t="str">
        <f>+VLOOKUP(C295,'Visual chart Edit'!$B$7:$C$491,2,FALSE)</f>
        <v>DA+3</v>
      </c>
      <c r="E295" s="344" t="s">
        <v>276</v>
      </c>
      <c r="F295" s="551">
        <v>45652</v>
      </c>
      <c r="G295" s="551">
        <v>45653</v>
      </c>
      <c r="H295" s="552" t="s">
        <v>1015</v>
      </c>
      <c r="I295" s="553" t="s">
        <v>1021</v>
      </c>
      <c r="J295" s="554">
        <f t="shared" si="4"/>
        <v>1</v>
      </c>
    </row>
    <row r="296" spans="1:10" x14ac:dyDescent="0.2">
      <c r="A296" s="344">
        <f>+SUBTOTAL(3,$E$8:$E296)</f>
        <v>289</v>
      </c>
      <c r="B296" s="555">
        <v>45627</v>
      </c>
      <c r="C296" s="346" t="s">
        <v>843</v>
      </c>
      <c r="D296" s="344" t="str">
        <f>+VLOOKUP(C296,'Visual chart Edit'!$B$7:$C$491,2,FALSE)</f>
        <v>DA+3</v>
      </c>
      <c r="E296" s="344" t="s">
        <v>276</v>
      </c>
      <c r="F296" s="551">
        <v>45652</v>
      </c>
      <c r="G296" s="551">
        <v>45653</v>
      </c>
      <c r="H296" s="552" t="s">
        <v>882</v>
      </c>
      <c r="I296" s="553" t="s">
        <v>1021</v>
      </c>
      <c r="J296" s="554">
        <f t="shared" si="4"/>
        <v>1</v>
      </c>
    </row>
    <row r="297" spans="1:10" x14ac:dyDescent="0.2">
      <c r="A297" s="344">
        <f>+SUBTOTAL(3,$E$8:$E297)</f>
        <v>290</v>
      </c>
      <c r="B297" s="555">
        <v>45627</v>
      </c>
      <c r="C297" s="344" t="s">
        <v>725</v>
      </c>
      <c r="D297" s="344" t="str">
        <f>+VLOOKUP(C297,'Visual chart Edit'!$B$7:$C$491,2,FALSE)</f>
        <v>DA+0</v>
      </c>
      <c r="E297" s="344" t="s">
        <v>143</v>
      </c>
      <c r="F297" s="551">
        <v>45651</v>
      </c>
      <c r="G297" s="551">
        <v>45655</v>
      </c>
      <c r="H297" s="552" t="s">
        <v>1015</v>
      </c>
      <c r="I297" s="553" t="s">
        <v>1024</v>
      </c>
      <c r="J297" s="554">
        <f t="shared" si="4"/>
        <v>4</v>
      </c>
    </row>
    <row r="298" spans="1:10" x14ac:dyDescent="0.2">
      <c r="A298" s="344">
        <f>+SUBTOTAL(3,$E$8:$E298)</f>
        <v>291</v>
      </c>
      <c r="B298" s="555">
        <v>45627</v>
      </c>
      <c r="C298" s="344" t="s">
        <v>30</v>
      </c>
      <c r="D298" s="344" t="str">
        <f>+VLOOKUP(C298,'Visual chart Edit'!$B$7:$C$491,2,FALSE)</f>
        <v>DB2+0</v>
      </c>
      <c r="E298" s="344" t="s">
        <v>143</v>
      </c>
      <c r="F298" s="551">
        <v>45647</v>
      </c>
      <c r="G298" s="551">
        <v>45656</v>
      </c>
      <c r="H298" s="552" t="s">
        <v>623</v>
      </c>
      <c r="I298" s="553" t="s">
        <v>222</v>
      </c>
      <c r="J298" s="554">
        <f t="shared" si="4"/>
        <v>9</v>
      </c>
    </row>
    <row r="299" spans="1:10" x14ac:dyDescent="0.2">
      <c r="A299" s="344">
        <f>+SUBTOTAL(3,$E$8:$E299)</f>
        <v>292</v>
      </c>
      <c r="B299" s="555">
        <v>45627</v>
      </c>
      <c r="C299" s="344" t="s">
        <v>846</v>
      </c>
      <c r="D299" s="344" t="str">
        <f>+VLOOKUP(C299,'Visual chart Edit'!$B$7:$C$491,2,FALSE)</f>
        <v>DA+6</v>
      </c>
      <c r="E299" s="344" t="s">
        <v>276</v>
      </c>
      <c r="F299" s="551">
        <v>45655</v>
      </c>
      <c r="G299" s="551">
        <v>45656</v>
      </c>
      <c r="H299" s="552" t="s">
        <v>1015</v>
      </c>
      <c r="I299" s="553" t="s">
        <v>1021</v>
      </c>
      <c r="J299" s="554">
        <f t="shared" si="4"/>
        <v>1</v>
      </c>
    </row>
    <row r="300" spans="1:10" x14ac:dyDescent="0.2">
      <c r="A300" s="344">
        <f>+SUBTOTAL(3,$E$8:$E300)</f>
        <v>293</v>
      </c>
      <c r="B300" s="555">
        <v>45627</v>
      </c>
      <c r="C300" s="344" t="s">
        <v>716</v>
      </c>
      <c r="D300" s="344" t="str">
        <f>+VLOOKUP(C300,'Visual chart Edit'!$B$7:$C$491,2,FALSE)</f>
        <v>DA+9</v>
      </c>
      <c r="E300" s="344" t="s">
        <v>143</v>
      </c>
      <c r="F300" s="551">
        <v>45653</v>
      </c>
      <c r="G300" s="551">
        <v>45656</v>
      </c>
      <c r="H300" s="552" t="s">
        <v>882</v>
      </c>
      <c r="I300" s="553" t="s">
        <v>1024</v>
      </c>
      <c r="J300" s="554">
        <f t="shared" si="4"/>
        <v>3</v>
      </c>
    </row>
    <row r="301" spans="1:10" x14ac:dyDescent="0.2">
      <c r="A301" s="344">
        <f>+SUBTOTAL(3,$E$8:$E301)</f>
        <v>294</v>
      </c>
      <c r="B301" s="555">
        <v>45627</v>
      </c>
      <c r="C301" s="344" t="s">
        <v>157</v>
      </c>
      <c r="D301" s="344" t="str">
        <f>+VLOOKUP(C301,'Visual chart Edit'!$B$7:$C$491,2,FALSE)</f>
        <v>DA+3</v>
      </c>
      <c r="E301" s="344" t="s">
        <v>276</v>
      </c>
      <c r="F301" s="551">
        <v>45651</v>
      </c>
      <c r="G301" s="551">
        <v>45657</v>
      </c>
      <c r="H301" s="552" t="s">
        <v>1017</v>
      </c>
      <c r="I301" s="553" t="s">
        <v>642</v>
      </c>
      <c r="J301" s="554">
        <f t="shared" si="4"/>
        <v>6</v>
      </c>
    </row>
    <row r="302" spans="1:10" x14ac:dyDescent="0.2">
      <c r="A302" s="344">
        <f>+SUBTOTAL(3,$E$8:$E302)</f>
        <v>295</v>
      </c>
      <c r="B302" s="555">
        <v>45627</v>
      </c>
      <c r="C302" s="344" t="s">
        <v>213</v>
      </c>
      <c r="D302" s="344" t="str">
        <f>+VLOOKUP(C302,'Visual chart Edit'!$B$7:$C$491,2,FALSE)</f>
        <v>DA+0</v>
      </c>
      <c r="E302" s="344" t="s">
        <v>276</v>
      </c>
      <c r="F302" s="551">
        <v>45651</v>
      </c>
      <c r="G302" s="551">
        <v>45657</v>
      </c>
      <c r="H302" s="552" t="s">
        <v>623</v>
      </c>
      <c r="I302" s="553" t="s">
        <v>222</v>
      </c>
      <c r="J302" s="554">
        <f t="shared" si="4"/>
        <v>6</v>
      </c>
    </row>
    <row r="303" spans="1:10" x14ac:dyDescent="0.2">
      <c r="A303" s="344">
        <f>+SUBTOTAL(3,$E$8:$E303)</f>
        <v>296</v>
      </c>
      <c r="B303" s="555">
        <v>45627</v>
      </c>
      <c r="C303" s="344" t="s">
        <v>106</v>
      </c>
      <c r="D303" s="344" t="str">
        <f>+VLOOKUP(C303,'Visual chart Edit'!$B$7:$C$491,2,FALSE)</f>
        <v>DB2+3</v>
      </c>
      <c r="E303" s="562" t="s">
        <v>276</v>
      </c>
      <c r="F303" s="551">
        <v>45655</v>
      </c>
      <c r="G303" s="551">
        <v>45657</v>
      </c>
      <c r="H303" s="560" t="s">
        <v>882</v>
      </c>
      <c r="I303" s="553" t="s">
        <v>1021</v>
      </c>
      <c r="J303" s="554">
        <f t="shared" si="4"/>
        <v>2</v>
      </c>
    </row>
    <row r="304" spans="1:10" x14ac:dyDescent="0.2">
      <c r="A304" s="344">
        <f>+SUBTOTAL(3,$E$8:$E304)</f>
        <v>297</v>
      </c>
      <c r="B304" s="555">
        <v>45658</v>
      </c>
      <c r="C304" s="344" t="s">
        <v>531</v>
      </c>
      <c r="D304" s="344" t="str">
        <f>+VLOOKUP(C304,'Visual chart Edit'!$B$7:$C$491,2,FALSE)</f>
        <v>DA+6</v>
      </c>
      <c r="E304" s="562" t="s">
        <v>143</v>
      </c>
      <c r="F304" s="551">
        <v>45649</v>
      </c>
      <c r="G304" s="551">
        <v>45661</v>
      </c>
      <c r="H304" s="560" t="s">
        <v>1012</v>
      </c>
      <c r="I304" s="553" t="s">
        <v>641</v>
      </c>
      <c r="J304" s="554">
        <f t="shared" si="4"/>
        <v>12</v>
      </c>
    </row>
    <row r="305" spans="1:10" x14ac:dyDescent="0.2">
      <c r="A305" s="344">
        <f>+SUBTOTAL(3,$E$8:$E305)</f>
        <v>298</v>
      </c>
      <c r="B305" s="555">
        <v>45658</v>
      </c>
      <c r="C305" s="344" t="s">
        <v>845</v>
      </c>
      <c r="D305" s="344" t="str">
        <f>+VLOOKUP(C305,'Visual chart Edit'!$B$7:$C$491,2,FALSE)</f>
        <v>DA+3</v>
      </c>
      <c r="E305" s="562" t="s">
        <v>276</v>
      </c>
      <c r="F305" s="551">
        <v>45657</v>
      </c>
      <c r="G305" s="551">
        <v>45661</v>
      </c>
      <c r="H305" s="560" t="s">
        <v>1015</v>
      </c>
      <c r="I305" s="553" t="s">
        <v>1021</v>
      </c>
      <c r="J305" s="554">
        <f t="shared" si="4"/>
        <v>4</v>
      </c>
    </row>
    <row r="306" spans="1:10" x14ac:dyDescent="0.2">
      <c r="A306" s="344">
        <f>+SUBTOTAL(3,$E$8:$E306)</f>
        <v>299</v>
      </c>
      <c r="B306" s="555">
        <v>45658</v>
      </c>
      <c r="C306" s="344" t="s">
        <v>844</v>
      </c>
      <c r="D306" s="344" t="str">
        <f>+VLOOKUP(C306,'Visual chart Edit'!$B$7:$C$491,2,FALSE)</f>
        <v>DA+3</v>
      </c>
      <c r="E306" s="562" t="s">
        <v>276</v>
      </c>
      <c r="F306" s="551">
        <v>45661</v>
      </c>
      <c r="G306" s="551">
        <v>45663</v>
      </c>
      <c r="H306" s="560" t="s">
        <v>1015</v>
      </c>
      <c r="I306" s="553" t="s">
        <v>1021</v>
      </c>
      <c r="J306" s="554">
        <f t="shared" si="4"/>
        <v>2</v>
      </c>
    </row>
    <row r="307" spans="1:10" x14ac:dyDescent="0.2">
      <c r="A307" s="344">
        <f>+SUBTOTAL(3,$E$8:$E307)</f>
        <v>300</v>
      </c>
      <c r="B307" s="555">
        <v>45658</v>
      </c>
      <c r="C307" s="344" t="s">
        <v>735</v>
      </c>
      <c r="D307" s="344" t="str">
        <f>+VLOOKUP(C307,'Visual chart Edit'!$B$7:$C$491,2,FALSE)</f>
        <v>DA+6</v>
      </c>
      <c r="E307" s="562" t="s">
        <v>143</v>
      </c>
      <c r="F307" s="551">
        <v>45659</v>
      </c>
      <c r="G307" s="551">
        <v>45663</v>
      </c>
      <c r="H307" s="560" t="s">
        <v>882</v>
      </c>
      <c r="I307" s="553" t="s">
        <v>1024</v>
      </c>
      <c r="J307" s="554">
        <f t="shared" si="4"/>
        <v>4</v>
      </c>
    </row>
    <row r="308" spans="1:10" x14ac:dyDescent="0.2">
      <c r="A308" s="344">
        <f>+SUBTOTAL(3,$E$8:$E308)</f>
        <v>301</v>
      </c>
      <c r="B308" s="555">
        <v>45658</v>
      </c>
      <c r="C308" s="344" t="s">
        <v>667</v>
      </c>
      <c r="D308" s="344" t="str">
        <f>+VLOOKUP(C308,'Visual chart Edit'!$B$7:$C$491,2,FALSE)</f>
        <v>DA+0</v>
      </c>
      <c r="E308" s="562" t="s">
        <v>143</v>
      </c>
      <c r="F308" s="551">
        <v>45659</v>
      </c>
      <c r="G308" s="551">
        <v>45663</v>
      </c>
      <c r="H308" s="560" t="s">
        <v>882</v>
      </c>
      <c r="I308" s="553" t="s">
        <v>1024</v>
      </c>
      <c r="J308" s="554">
        <f t="shared" si="4"/>
        <v>4</v>
      </c>
    </row>
    <row r="309" spans="1:10" x14ac:dyDescent="0.2">
      <c r="A309" s="344">
        <f>+SUBTOTAL(3,$E$8:$E309)</f>
        <v>302</v>
      </c>
      <c r="B309" s="555">
        <v>45658</v>
      </c>
      <c r="C309" s="344" t="s">
        <v>668</v>
      </c>
      <c r="D309" s="344" t="str">
        <f>+VLOOKUP(C309,'Visual chart Edit'!$B$7:$C$491,2,FALSE)</f>
        <v>DA+0</v>
      </c>
      <c r="E309" s="562" t="s">
        <v>143</v>
      </c>
      <c r="F309" s="551">
        <v>45661</v>
      </c>
      <c r="G309" s="551">
        <v>45664</v>
      </c>
      <c r="H309" s="560" t="s">
        <v>882</v>
      </c>
      <c r="I309" s="553" t="s">
        <v>1024</v>
      </c>
      <c r="J309" s="554">
        <f t="shared" si="4"/>
        <v>3</v>
      </c>
    </row>
    <row r="310" spans="1:10" x14ac:dyDescent="0.2">
      <c r="A310" s="344">
        <f>+SUBTOTAL(3,$E$8:$E310)</f>
        <v>303</v>
      </c>
      <c r="B310" s="555">
        <v>45658</v>
      </c>
      <c r="C310" s="344" t="s">
        <v>465</v>
      </c>
      <c r="D310" s="344" t="str">
        <f>+VLOOKUP(C310,'Visual chart Edit'!$B$7:$C$491,2,FALSE)</f>
        <v>DA+3</v>
      </c>
      <c r="E310" s="562" t="s">
        <v>32</v>
      </c>
      <c r="F310" s="551">
        <v>45659</v>
      </c>
      <c r="G310" s="551">
        <v>45665</v>
      </c>
      <c r="H310" s="560" t="s">
        <v>1017</v>
      </c>
      <c r="I310" s="553" t="s">
        <v>660</v>
      </c>
      <c r="J310" s="554">
        <f t="shared" si="4"/>
        <v>6</v>
      </c>
    </row>
    <row r="311" spans="1:10" x14ac:dyDescent="0.2">
      <c r="A311" s="344">
        <f>+SUBTOTAL(3,$E$8:$E311)</f>
        <v>304</v>
      </c>
      <c r="B311" s="555">
        <v>45658</v>
      </c>
      <c r="C311" s="344" t="s">
        <v>724</v>
      </c>
      <c r="D311" s="344" t="str">
        <f>+VLOOKUP(C311,'Visual chart Edit'!$B$7:$C$491,2,FALSE)</f>
        <v>DA+9</v>
      </c>
      <c r="E311" s="562" t="s">
        <v>143</v>
      </c>
      <c r="F311" s="551">
        <v>45655</v>
      </c>
      <c r="G311" s="551">
        <v>45665</v>
      </c>
      <c r="H311" s="560" t="s">
        <v>1015</v>
      </c>
      <c r="I311" s="553" t="s">
        <v>1024</v>
      </c>
      <c r="J311" s="554">
        <f t="shared" si="4"/>
        <v>10</v>
      </c>
    </row>
    <row r="312" spans="1:10" x14ac:dyDescent="0.2">
      <c r="A312" s="344">
        <f>+SUBTOTAL(3,$E$8:$E312)</f>
        <v>305</v>
      </c>
      <c r="B312" s="555">
        <v>45658</v>
      </c>
      <c r="C312" s="344" t="s">
        <v>835</v>
      </c>
      <c r="D312" s="344" t="str">
        <f>+VLOOKUP(C312,'Visual chart Edit'!$B$7:$C$491,2,FALSE)</f>
        <v>DA+3</v>
      </c>
      <c r="E312" s="562" t="s">
        <v>276</v>
      </c>
      <c r="F312" s="551">
        <v>45664</v>
      </c>
      <c r="G312" s="551">
        <v>45666</v>
      </c>
      <c r="H312" s="560" t="s">
        <v>1015</v>
      </c>
      <c r="I312" s="553" t="s">
        <v>1021</v>
      </c>
      <c r="J312" s="554">
        <f t="shared" si="4"/>
        <v>2</v>
      </c>
    </row>
    <row r="313" spans="1:10" x14ac:dyDescent="0.2">
      <c r="A313" s="344">
        <f>+SUBTOTAL(3,$E$8:$E313)</f>
        <v>306</v>
      </c>
      <c r="B313" s="555">
        <v>45658</v>
      </c>
      <c r="C313" s="344" t="s">
        <v>736</v>
      </c>
      <c r="D313" s="344" t="str">
        <f>+VLOOKUP(C313,'Visual chart Edit'!$B$7:$C$491,2,FALSE)</f>
        <v>DA+9</v>
      </c>
      <c r="E313" s="562" t="s">
        <v>143</v>
      </c>
      <c r="F313" s="551">
        <v>45663</v>
      </c>
      <c r="G313" s="551">
        <v>45666</v>
      </c>
      <c r="H313" s="560" t="s">
        <v>882</v>
      </c>
      <c r="I313" s="553" t="s">
        <v>1024</v>
      </c>
      <c r="J313" s="554">
        <f t="shared" si="4"/>
        <v>3</v>
      </c>
    </row>
    <row r="314" spans="1:10" x14ac:dyDescent="0.2">
      <c r="A314" s="344">
        <f>+SUBTOTAL(3,$E$8:$E314)</f>
        <v>307</v>
      </c>
      <c r="B314" s="555">
        <v>45658</v>
      </c>
      <c r="C314" s="344" t="s">
        <v>678</v>
      </c>
      <c r="D314" s="344" t="str">
        <f>+VLOOKUP(C314,'Visual chart Edit'!$B$7:$C$491,2,FALSE)</f>
        <v>DC2+0</v>
      </c>
      <c r="E314" s="562" t="s">
        <v>143</v>
      </c>
      <c r="F314" s="551">
        <v>45663</v>
      </c>
      <c r="G314" s="551">
        <v>45666</v>
      </c>
      <c r="H314" s="560" t="s">
        <v>883</v>
      </c>
      <c r="I314" s="553" t="s">
        <v>1024</v>
      </c>
      <c r="J314" s="554">
        <f t="shared" si="4"/>
        <v>3</v>
      </c>
    </row>
    <row r="315" spans="1:10" x14ac:dyDescent="0.2">
      <c r="A315" s="344">
        <f>+SUBTOTAL(3,$E$8:$E315)</f>
        <v>308</v>
      </c>
      <c r="B315" s="555">
        <v>45658</v>
      </c>
      <c r="C315" s="344" t="s">
        <v>677</v>
      </c>
      <c r="D315" s="344" t="str">
        <f>+VLOOKUP(C315,'Visual chart Edit'!$B$7:$C$491,2,FALSE)</f>
        <v>DA+0</v>
      </c>
      <c r="E315" s="562" t="s">
        <v>143</v>
      </c>
      <c r="F315" s="551">
        <v>45664</v>
      </c>
      <c r="G315" s="551">
        <v>45666</v>
      </c>
      <c r="H315" s="560" t="s">
        <v>883</v>
      </c>
      <c r="I315" s="553" t="s">
        <v>1024</v>
      </c>
      <c r="J315" s="554">
        <f t="shared" si="4"/>
        <v>2</v>
      </c>
    </row>
    <row r="316" spans="1:10" x14ac:dyDescent="0.2">
      <c r="A316" s="344">
        <f>+SUBTOTAL(3,$E$8:$E316)</f>
        <v>309</v>
      </c>
      <c r="B316" s="555">
        <v>45658</v>
      </c>
      <c r="C316" s="344" t="s">
        <v>723</v>
      </c>
      <c r="D316" s="344" t="str">
        <f>+VLOOKUP(C316,'Visual chart Edit'!$B$7:$C$491,2,FALSE)</f>
        <v>DB2+9</v>
      </c>
      <c r="E316" s="562" t="s">
        <v>143</v>
      </c>
      <c r="F316" s="551">
        <v>45663</v>
      </c>
      <c r="G316" s="551">
        <v>45669</v>
      </c>
      <c r="H316" s="560" t="s">
        <v>1015</v>
      </c>
      <c r="I316" s="553" t="s">
        <v>1024</v>
      </c>
      <c r="J316" s="554">
        <f t="shared" si="4"/>
        <v>6</v>
      </c>
    </row>
    <row r="317" spans="1:10" x14ac:dyDescent="0.2">
      <c r="A317" s="344">
        <f>+SUBTOTAL(3,$E$8:$E317)</f>
        <v>310</v>
      </c>
      <c r="B317" s="555">
        <v>45658</v>
      </c>
      <c r="C317" s="344" t="s">
        <v>676</v>
      </c>
      <c r="D317" s="344" t="str">
        <f>+VLOOKUP(C317,'Visual chart Edit'!$B$7:$C$491,2,FALSE)</f>
        <v>DB1+9</v>
      </c>
      <c r="E317" s="562" t="s">
        <v>143</v>
      </c>
      <c r="F317" s="551">
        <v>45668</v>
      </c>
      <c r="G317" s="551">
        <v>45669</v>
      </c>
      <c r="H317" s="560" t="s">
        <v>883</v>
      </c>
      <c r="I317" s="553" t="s">
        <v>1024</v>
      </c>
      <c r="J317" s="554">
        <f t="shared" si="4"/>
        <v>1</v>
      </c>
    </row>
    <row r="318" spans="1:10" x14ac:dyDescent="0.2">
      <c r="A318" s="344">
        <f>+SUBTOTAL(3,$E$8:$E318)</f>
        <v>311</v>
      </c>
      <c r="B318" s="555">
        <v>45658</v>
      </c>
      <c r="C318" s="344" t="s">
        <v>670</v>
      </c>
      <c r="D318" s="344" t="str">
        <f>+VLOOKUP(C318,'Visual chart Edit'!$B$7:$C$491,2,FALSE)</f>
        <v>DA+9</v>
      </c>
      <c r="E318" s="562" t="s">
        <v>143</v>
      </c>
      <c r="F318" s="551">
        <v>45665</v>
      </c>
      <c r="G318" s="551">
        <v>45669</v>
      </c>
      <c r="H318" s="560" t="s">
        <v>882</v>
      </c>
      <c r="I318" s="553" t="s">
        <v>1024</v>
      </c>
      <c r="J318" s="554">
        <f t="shared" si="4"/>
        <v>4</v>
      </c>
    </row>
    <row r="319" spans="1:10" x14ac:dyDescent="0.2">
      <c r="A319" s="344">
        <f>+SUBTOTAL(3,$E$8:$E319)</f>
        <v>312</v>
      </c>
      <c r="B319" s="555">
        <v>45658</v>
      </c>
      <c r="C319" s="344" t="s">
        <v>836</v>
      </c>
      <c r="D319" s="344" t="str">
        <f>+VLOOKUP(C319,'Visual chart Edit'!$B$7:$C$491,2,FALSE)</f>
        <v>DA+3</v>
      </c>
      <c r="E319" s="562" t="s">
        <v>276</v>
      </c>
      <c r="F319" s="551">
        <v>45669</v>
      </c>
      <c r="G319" s="551">
        <v>45670</v>
      </c>
      <c r="H319" s="560" t="s">
        <v>1015</v>
      </c>
      <c r="I319" s="553" t="s">
        <v>1021</v>
      </c>
      <c r="J319" s="554">
        <f t="shared" si="4"/>
        <v>1</v>
      </c>
    </row>
    <row r="320" spans="1:10" x14ac:dyDescent="0.2">
      <c r="A320" s="344">
        <f>+SUBTOTAL(3,$E$8:$E320)</f>
        <v>313</v>
      </c>
      <c r="B320" s="555">
        <v>45658</v>
      </c>
      <c r="C320" s="344" t="s">
        <v>206</v>
      </c>
      <c r="D320" s="344" t="str">
        <f>+VLOOKUP(C320,'Visual chart Edit'!$B$7:$C$491,2,FALSE)</f>
        <v>DA+9</v>
      </c>
      <c r="E320" s="562" t="s">
        <v>143</v>
      </c>
      <c r="F320" s="551">
        <v>45665</v>
      </c>
      <c r="G320" s="551">
        <v>45671</v>
      </c>
      <c r="H320" s="560" t="s">
        <v>1018</v>
      </c>
      <c r="I320" s="553" t="s">
        <v>222</v>
      </c>
      <c r="J320" s="554">
        <f t="shared" si="4"/>
        <v>6</v>
      </c>
    </row>
    <row r="321" spans="1:10" x14ac:dyDescent="0.2">
      <c r="A321" s="344">
        <f>+SUBTOTAL(3,$E$8:$E321)</f>
        <v>314</v>
      </c>
      <c r="B321" s="555">
        <v>45658</v>
      </c>
      <c r="C321" s="344" t="s">
        <v>837</v>
      </c>
      <c r="D321" s="344" t="str">
        <f>+VLOOKUP(C321,'Visual chart Edit'!$B$7:$C$491,2,FALSE)</f>
        <v>DA+3</v>
      </c>
      <c r="E321" s="562" t="s">
        <v>276</v>
      </c>
      <c r="F321" s="551">
        <v>45670</v>
      </c>
      <c r="G321" s="551">
        <v>45672</v>
      </c>
      <c r="H321" s="560" t="s">
        <v>1015</v>
      </c>
      <c r="I321" s="553" t="s">
        <v>1021</v>
      </c>
      <c r="J321" s="554">
        <f t="shared" si="4"/>
        <v>2</v>
      </c>
    </row>
    <row r="322" spans="1:10" x14ac:dyDescent="0.2">
      <c r="A322" s="344">
        <f>+SUBTOTAL(3,$E$8:$E322)</f>
        <v>315</v>
      </c>
      <c r="B322" s="555">
        <v>45658</v>
      </c>
      <c r="C322" s="344" t="s">
        <v>726</v>
      </c>
      <c r="D322" s="344" t="str">
        <f>+VLOOKUP(C322,'Visual chart Edit'!$B$7:$C$491,2,FALSE)</f>
        <v>DA+6</v>
      </c>
      <c r="E322" s="562" t="s">
        <v>143</v>
      </c>
      <c r="F322" s="551">
        <v>45668</v>
      </c>
      <c r="G322" s="551">
        <v>45672</v>
      </c>
      <c r="H322" s="560" t="s">
        <v>1015</v>
      </c>
      <c r="I322" s="553" t="s">
        <v>1024</v>
      </c>
      <c r="J322" s="554">
        <f t="shared" si="4"/>
        <v>4</v>
      </c>
    </row>
    <row r="323" spans="1:10" x14ac:dyDescent="0.2">
      <c r="A323" s="344">
        <f>+SUBTOTAL(3,$E$8:$E323)</f>
        <v>316</v>
      </c>
      <c r="B323" s="555">
        <v>45658</v>
      </c>
      <c r="C323" s="344" t="s">
        <v>211</v>
      </c>
      <c r="D323" s="344" t="str">
        <f>+VLOOKUP(C323,'Visual chart Edit'!$B$7:$C$491,2,FALSE)</f>
        <v>DB1+0</v>
      </c>
      <c r="E323" s="562" t="s">
        <v>143</v>
      </c>
      <c r="F323" s="551">
        <v>45665</v>
      </c>
      <c r="G323" s="551">
        <v>45673</v>
      </c>
      <c r="H323" s="560" t="s">
        <v>623</v>
      </c>
      <c r="I323" s="553" t="s">
        <v>222</v>
      </c>
      <c r="J323" s="554">
        <f t="shared" si="4"/>
        <v>8</v>
      </c>
    </row>
    <row r="324" spans="1:10" x14ac:dyDescent="0.2">
      <c r="A324" s="344">
        <f>+SUBTOTAL(3,$E$8:$E324)</f>
        <v>317</v>
      </c>
      <c r="B324" s="555">
        <v>45658</v>
      </c>
      <c r="C324" s="344" t="s">
        <v>103</v>
      </c>
      <c r="D324" s="344" t="str">
        <f>+VLOOKUP(C324,'Visual chart Edit'!$B$7:$C$491,2,FALSE)</f>
        <v>DD45+0</v>
      </c>
      <c r="E324" s="562" t="s">
        <v>276</v>
      </c>
      <c r="F324" s="551">
        <v>45670</v>
      </c>
      <c r="G324" s="551">
        <v>45674</v>
      </c>
      <c r="H324" s="560" t="s">
        <v>878</v>
      </c>
      <c r="I324" s="553" t="s">
        <v>1020</v>
      </c>
      <c r="J324" s="554">
        <f t="shared" si="4"/>
        <v>4</v>
      </c>
    </row>
    <row r="325" spans="1:10" x14ac:dyDescent="0.2">
      <c r="A325" s="344">
        <f>+SUBTOTAL(3,$E$8:$E325)</f>
        <v>318</v>
      </c>
      <c r="B325" s="555">
        <v>45658</v>
      </c>
      <c r="C325" s="344" t="s">
        <v>627</v>
      </c>
      <c r="D325" s="344" t="str">
        <f>+VLOOKUP(C325,'Visual chart Edit'!$B$7:$C$491,2,FALSE)</f>
        <v>DA+6</v>
      </c>
      <c r="E325" s="562" t="s">
        <v>32</v>
      </c>
      <c r="F325" s="551">
        <v>45668</v>
      </c>
      <c r="G325" s="551">
        <v>45675</v>
      </c>
      <c r="H325" s="560" t="s">
        <v>1017</v>
      </c>
      <c r="I325" s="553" t="s">
        <v>660</v>
      </c>
      <c r="J325" s="554">
        <f t="shared" si="4"/>
        <v>7</v>
      </c>
    </row>
    <row r="326" spans="1:10" x14ac:dyDescent="0.2">
      <c r="A326" s="344">
        <f>+SUBTOTAL(3,$E$8:$E326)</f>
        <v>319</v>
      </c>
      <c r="B326" s="555">
        <v>45658</v>
      </c>
      <c r="C326" s="344" t="s">
        <v>727</v>
      </c>
      <c r="D326" s="344" t="str">
        <f>+VLOOKUP(C326,'Visual chart Edit'!$B$7:$C$491,2,FALSE)</f>
        <v>DA+0</v>
      </c>
      <c r="E326" s="562" t="s">
        <v>143</v>
      </c>
      <c r="F326" s="551">
        <v>45671</v>
      </c>
      <c r="G326" s="551">
        <v>45675</v>
      </c>
      <c r="H326" s="560" t="s">
        <v>1015</v>
      </c>
      <c r="I326" s="553" t="s">
        <v>1024</v>
      </c>
      <c r="J326" s="554">
        <f t="shared" si="4"/>
        <v>4</v>
      </c>
    </row>
    <row r="327" spans="1:10" x14ac:dyDescent="0.2">
      <c r="A327" s="344">
        <f>+SUBTOTAL(3,$E$8:$E327)</f>
        <v>320</v>
      </c>
      <c r="B327" s="555">
        <v>45658</v>
      </c>
      <c r="C327" s="344" t="s">
        <v>712</v>
      </c>
      <c r="D327" s="344" t="str">
        <f>+VLOOKUP(C327,'Visual chart Edit'!$B$7:$C$491,2,FALSE)</f>
        <v>DC2+0</v>
      </c>
      <c r="E327" s="562" t="s">
        <v>143</v>
      </c>
      <c r="F327" s="551">
        <v>45668</v>
      </c>
      <c r="G327" s="551">
        <v>45675</v>
      </c>
      <c r="H327" s="560" t="s">
        <v>882</v>
      </c>
      <c r="I327" s="553" t="s">
        <v>1024</v>
      </c>
      <c r="J327" s="554">
        <f t="shared" si="4"/>
        <v>7</v>
      </c>
    </row>
    <row r="328" spans="1:10" x14ac:dyDescent="0.2">
      <c r="A328" s="344">
        <f>+SUBTOTAL(3,$E$8:$E328)</f>
        <v>321</v>
      </c>
      <c r="B328" s="555">
        <v>45658</v>
      </c>
      <c r="C328" s="344" t="s">
        <v>671</v>
      </c>
      <c r="D328" s="344" t="str">
        <f>+VLOOKUP(C328,'Visual chart Edit'!$B$7:$C$491,2,FALSE)</f>
        <v>DA+9</v>
      </c>
      <c r="E328" s="562" t="s">
        <v>143</v>
      </c>
      <c r="F328" s="551">
        <v>45670</v>
      </c>
      <c r="G328" s="551">
        <v>45676</v>
      </c>
      <c r="H328" s="560" t="s">
        <v>882</v>
      </c>
      <c r="I328" s="553" t="s">
        <v>1024</v>
      </c>
      <c r="J328" s="554">
        <f t="shared" si="4"/>
        <v>6</v>
      </c>
    </row>
    <row r="329" spans="1:10" x14ac:dyDescent="0.2">
      <c r="A329" s="344">
        <f>+SUBTOTAL(3,$E$8:$E329)</f>
        <v>322</v>
      </c>
      <c r="B329" s="555">
        <v>45658</v>
      </c>
      <c r="C329" s="344" t="s">
        <v>446</v>
      </c>
      <c r="D329" s="344" t="str">
        <f>+VLOOKUP(C329,'Visual chart Edit'!$B$7:$C$491,2,FALSE)</f>
        <v>DC1+0</v>
      </c>
      <c r="E329" s="562" t="s">
        <v>276</v>
      </c>
      <c r="F329" s="551">
        <v>45661</v>
      </c>
      <c r="G329" s="551">
        <v>45677</v>
      </c>
      <c r="H329" s="560" t="s">
        <v>619</v>
      </c>
      <c r="I329" s="553" t="s">
        <v>660</v>
      </c>
      <c r="J329" s="554">
        <f t="shared" ref="J329:J392" si="5">G329-F329</f>
        <v>16</v>
      </c>
    </row>
    <row r="330" spans="1:10" x14ac:dyDescent="0.2">
      <c r="A330" s="344">
        <f>+SUBTOTAL(3,$E$8:$E330)</f>
        <v>323</v>
      </c>
      <c r="B330" s="555">
        <v>45658</v>
      </c>
      <c r="C330" s="344" t="s">
        <v>675</v>
      </c>
      <c r="D330" s="344" t="str">
        <f>+VLOOKUP(C330,'Visual chart Edit'!$B$7:$C$491,2,FALSE)</f>
        <v>DA+9</v>
      </c>
      <c r="E330" s="562" t="s">
        <v>143</v>
      </c>
      <c r="F330" s="551">
        <v>45672</v>
      </c>
      <c r="G330" s="551">
        <v>45677</v>
      </c>
      <c r="H330" s="560" t="s">
        <v>884</v>
      </c>
      <c r="I330" s="553" t="s">
        <v>1024</v>
      </c>
      <c r="J330" s="554">
        <f t="shared" si="5"/>
        <v>5</v>
      </c>
    </row>
    <row r="331" spans="1:10" x14ac:dyDescent="0.2">
      <c r="A331" s="344">
        <f>+SUBTOTAL(3,$E$8:$E331)</f>
        <v>324</v>
      </c>
      <c r="B331" s="555">
        <v>45658</v>
      </c>
      <c r="C331" s="344" t="s">
        <v>833</v>
      </c>
      <c r="D331" s="344" t="str">
        <f>+VLOOKUP(C331,'Visual chart Edit'!$B$7:$C$491,2,FALSE)</f>
        <v>DA+3</v>
      </c>
      <c r="E331" s="562" t="s">
        <v>276</v>
      </c>
      <c r="F331" s="551">
        <v>45674</v>
      </c>
      <c r="G331" s="551">
        <v>45678</v>
      </c>
      <c r="H331" s="560" t="s">
        <v>1015</v>
      </c>
      <c r="I331" s="553" t="s">
        <v>1021</v>
      </c>
      <c r="J331" s="554">
        <f t="shared" si="5"/>
        <v>4</v>
      </c>
    </row>
    <row r="332" spans="1:10" x14ac:dyDescent="0.2">
      <c r="A332" s="344">
        <f>+SUBTOTAL(3,$E$8:$E332)</f>
        <v>325</v>
      </c>
      <c r="B332" s="555">
        <v>45658</v>
      </c>
      <c r="C332" s="344" t="s">
        <v>834</v>
      </c>
      <c r="D332" s="344" t="str">
        <f>+VLOOKUP(C332,'Visual chart Edit'!$B$7:$C$491,2,FALSE)</f>
        <v>DA+3</v>
      </c>
      <c r="E332" s="562" t="s">
        <v>276</v>
      </c>
      <c r="F332" s="551">
        <v>45677</v>
      </c>
      <c r="G332" s="551">
        <v>45678</v>
      </c>
      <c r="H332" s="560" t="s">
        <v>878</v>
      </c>
      <c r="I332" s="553" t="s">
        <v>1021</v>
      </c>
      <c r="J332" s="554">
        <f t="shared" si="5"/>
        <v>1</v>
      </c>
    </row>
    <row r="333" spans="1:10" x14ac:dyDescent="0.2">
      <c r="A333" s="344">
        <f>+SUBTOTAL(3,$E$8:$E333)</f>
        <v>326</v>
      </c>
      <c r="B333" s="555">
        <v>45658</v>
      </c>
      <c r="C333" s="344" t="s">
        <v>672</v>
      </c>
      <c r="D333" s="344" t="str">
        <f>+VLOOKUP(C333,'Visual chart Edit'!$B$7:$C$491,2,FALSE)</f>
        <v>DB1+3</v>
      </c>
      <c r="E333" s="562" t="s">
        <v>143</v>
      </c>
      <c r="F333" s="551">
        <v>45676</v>
      </c>
      <c r="G333" s="551">
        <v>45678</v>
      </c>
      <c r="H333" s="560" t="s">
        <v>882</v>
      </c>
      <c r="I333" s="553" t="s">
        <v>1024</v>
      </c>
      <c r="J333" s="554">
        <f t="shared" si="5"/>
        <v>2</v>
      </c>
    </row>
    <row r="334" spans="1:10" x14ac:dyDescent="0.2">
      <c r="A334" s="344">
        <f>+SUBTOTAL(3,$E$8:$E334)</f>
        <v>327</v>
      </c>
      <c r="B334" s="555">
        <v>45658</v>
      </c>
      <c r="C334" s="344" t="s">
        <v>740</v>
      </c>
      <c r="D334" s="344" t="str">
        <f>+VLOOKUP(C334,'Visual chart Edit'!$B$7:$C$491,2,FALSE)</f>
        <v>DA+0</v>
      </c>
      <c r="E334" s="562" t="s">
        <v>872</v>
      </c>
      <c r="F334" s="551">
        <v>45675</v>
      </c>
      <c r="G334" s="551">
        <v>45679</v>
      </c>
      <c r="H334" s="560" t="s">
        <v>1015</v>
      </c>
      <c r="I334" s="553" t="s">
        <v>1024</v>
      </c>
      <c r="J334" s="554">
        <f t="shared" si="5"/>
        <v>4</v>
      </c>
    </row>
    <row r="335" spans="1:10" x14ac:dyDescent="0.2">
      <c r="A335" s="344">
        <f>+SUBTOTAL(3,$E$8:$E335)</f>
        <v>328</v>
      </c>
      <c r="B335" s="555">
        <v>45658</v>
      </c>
      <c r="C335" s="344" t="s">
        <v>683</v>
      </c>
      <c r="D335" s="344" t="str">
        <f>+VLOOKUP(C335,'Visual chart Edit'!$B$7:$C$491,2,FALSE)</f>
        <v>DA+3</v>
      </c>
      <c r="E335" s="562" t="s">
        <v>143</v>
      </c>
      <c r="F335" s="551">
        <v>45676</v>
      </c>
      <c r="G335" s="551">
        <v>45680</v>
      </c>
      <c r="H335" s="560" t="s">
        <v>882</v>
      </c>
      <c r="I335" s="553" t="s">
        <v>1024</v>
      </c>
      <c r="J335" s="554">
        <f t="shared" si="5"/>
        <v>4</v>
      </c>
    </row>
    <row r="336" spans="1:10" x14ac:dyDescent="0.2">
      <c r="A336" s="344">
        <f>+SUBTOTAL(3,$E$8:$E336)</f>
        <v>329</v>
      </c>
      <c r="B336" s="555">
        <v>45658</v>
      </c>
      <c r="C336" s="344" t="s">
        <v>703</v>
      </c>
      <c r="D336" s="344" t="str">
        <f>+VLOOKUP(C336,'Visual chart Edit'!$B$7:$C$491,2,FALSE)</f>
        <v>DA+9</v>
      </c>
      <c r="E336" s="562" t="s">
        <v>143</v>
      </c>
      <c r="F336" s="551">
        <v>45673</v>
      </c>
      <c r="G336" s="551">
        <v>45680</v>
      </c>
      <c r="H336" s="560" t="s">
        <v>1009</v>
      </c>
      <c r="I336" s="553" t="s">
        <v>1024</v>
      </c>
      <c r="J336" s="554">
        <f t="shared" si="5"/>
        <v>7</v>
      </c>
    </row>
    <row r="337" spans="1:10" x14ac:dyDescent="0.2">
      <c r="A337" s="344">
        <f>+SUBTOTAL(3,$E$8:$E337)</f>
        <v>330</v>
      </c>
      <c r="B337" s="555">
        <v>45658</v>
      </c>
      <c r="C337" s="344" t="s">
        <v>630</v>
      </c>
      <c r="D337" s="344" t="str">
        <f>+VLOOKUP(C337,'Visual chart Edit'!$B$7:$C$491,2,FALSE)</f>
        <v>DA+3</v>
      </c>
      <c r="E337" s="562" t="s">
        <v>32</v>
      </c>
      <c r="F337" s="551">
        <v>45677</v>
      </c>
      <c r="G337" s="551">
        <v>45682</v>
      </c>
      <c r="H337" s="560" t="s">
        <v>658</v>
      </c>
      <c r="I337" s="553" t="s">
        <v>659</v>
      </c>
      <c r="J337" s="554">
        <f t="shared" si="5"/>
        <v>5</v>
      </c>
    </row>
    <row r="338" spans="1:10" x14ac:dyDescent="0.2">
      <c r="A338" s="344">
        <f>+SUBTOTAL(3,$E$8:$E338)</f>
        <v>331</v>
      </c>
      <c r="B338" s="555">
        <v>45658</v>
      </c>
      <c r="C338" s="344" t="s">
        <v>192</v>
      </c>
      <c r="D338" s="344" t="str">
        <f>+VLOOKUP(C338,'Visual chart Edit'!$B$7:$C$491,2,FALSE)</f>
        <v>DA+6</v>
      </c>
      <c r="E338" s="562" t="s">
        <v>143</v>
      </c>
      <c r="F338" s="551">
        <v>45676</v>
      </c>
      <c r="G338" s="551">
        <v>45682</v>
      </c>
      <c r="H338" s="560" t="s">
        <v>647</v>
      </c>
      <c r="I338" s="553" t="s">
        <v>583</v>
      </c>
      <c r="J338" s="554">
        <f t="shared" si="5"/>
        <v>6</v>
      </c>
    </row>
    <row r="339" spans="1:10" x14ac:dyDescent="0.2">
      <c r="A339" s="344">
        <f>+SUBTOTAL(3,$E$8:$E339)</f>
        <v>332</v>
      </c>
      <c r="B339" s="555">
        <v>45658</v>
      </c>
      <c r="C339" s="344" t="s">
        <v>105</v>
      </c>
      <c r="D339" s="344" t="str">
        <f>+VLOOKUP(C339,'Visual chart Edit'!$B$7:$C$491,2,FALSE)</f>
        <v>DC1+0</v>
      </c>
      <c r="E339" s="562" t="s">
        <v>276</v>
      </c>
      <c r="F339" s="551">
        <v>45677</v>
      </c>
      <c r="G339" s="551">
        <v>45682</v>
      </c>
      <c r="H339" s="560" t="s">
        <v>1015</v>
      </c>
      <c r="I339" s="553" t="s">
        <v>1020</v>
      </c>
      <c r="J339" s="554">
        <f t="shared" si="5"/>
        <v>5</v>
      </c>
    </row>
    <row r="340" spans="1:10" x14ac:dyDescent="0.2">
      <c r="A340" s="344">
        <f>+SUBTOTAL(3,$E$8:$E340)</f>
        <v>333</v>
      </c>
      <c r="B340" s="555">
        <v>45658</v>
      </c>
      <c r="C340" s="344" t="s">
        <v>673</v>
      </c>
      <c r="D340" s="344" t="str">
        <f>+VLOOKUP(C340,'Visual chart Edit'!$B$7:$C$491,2,FALSE)</f>
        <v>DA+9</v>
      </c>
      <c r="E340" s="562" t="s">
        <v>143</v>
      </c>
      <c r="F340" s="551">
        <v>45680</v>
      </c>
      <c r="G340" s="551">
        <v>45682</v>
      </c>
      <c r="H340" s="560" t="s">
        <v>884</v>
      </c>
      <c r="I340" s="553" t="s">
        <v>1024</v>
      </c>
      <c r="J340" s="554">
        <f t="shared" si="5"/>
        <v>2</v>
      </c>
    </row>
    <row r="341" spans="1:10" x14ac:dyDescent="0.2">
      <c r="A341" s="344">
        <f>+SUBTOTAL(3,$E$8:$E341)</f>
        <v>334</v>
      </c>
      <c r="B341" s="555">
        <v>45658</v>
      </c>
      <c r="C341" s="344" t="s">
        <v>207</v>
      </c>
      <c r="D341" s="344" t="str">
        <f>+VLOOKUP(C341,'Visual chart Edit'!$B$7:$C$491,2,FALSE)</f>
        <v>DA+6</v>
      </c>
      <c r="E341" s="562" t="s">
        <v>143</v>
      </c>
      <c r="F341" s="551">
        <v>45677</v>
      </c>
      <c r="G341" s="551">
        <v>45684</v>
      </c>
      <c r="H341" s="560" t="s">
        <v>1018</v>
      </c>
      <c r="I341" s="553" t="s">
        <v>222</v>
      </c>
      <c r="J341" s="554">
        <f t="shared" si="5"/>
        <v>7</v>
      </c>
    </row>
    <row r="342" spans="1:10" x14ac:dyDescent="0.2">
      <c r="A342" s="344">
        <f>+SUBTOTAL(3,$E$8:$E342)</f>
        <v>335</v>
      </c>
      <c r="B342" s="555">
        <v>45658</v>
      </c>
      <c r="C342" s="344" t="s">
        <v>828</v>
      </c>
      <c r="D342" s="344" t="str">
        <f>+VLOOKUP(C342,'Visual chart Edit'!$B$7:$C$491,2,FALSE)</f>
        <v>DA+0</v>
      </c>
      <c r="E342" s="562" t="s">
        <v>276</v>
      </c>
      <c r="F342" s="551">
        <v>45681</v>
      </c>
      <c r="G342" s="551">
        <v>45684</v>
      </c>
      <c r="H342" s="560" t="s">
        <v>878</v>
      </c>
      <c r="I342" s="553" t="s">
        <v>1021</v>
      </c>
      <c r="J342" s="554">
        <f t="shared" si="5"/>
        <v>3</v>
      </c>
    </row>
    <row r="343" spans="1:10" x14ac:dyDescent="0.2">
      <c r="A343" s="344">
        <f>+SUBTOTAL(3,$E$8:$E343)</f>
        <v>336</v>
      </c>
      <c r="B343" s="555">
        <v>45658</v>
      </c>
      <c r="C343" s="344" t="s">
        <v>747</v>
      </c>
      <c r="D343" s="344" t="str">
        <f>+VLOOKUP(C343,'Visual chart Edit'!$B$7:$C$491,2,FALSE)</f>
        <v>DA+0</v>
      </c>
      <c r="E343" s="562" t="s">
        <v>143</v>
      </c>
      <c r="F343" s="551">
        <v>45681</v>
      </c>
      <c r="G343" s="551">
        <v>45684</v>
      </c>
      <c r="H343" s="560" t="s">
        <v>1015</v>
      </c>
      <c r="I343" s="553" t="s">
        <v>1024</v>
      </c>
      <c r="J343" s="554">
        <f t="shared" si="5"/>
        <v>3</v>
      </c>
    </row>
    <row r="344" spans="1:10" x14ac:dyDescent="0.2">
      <c r="A344" s="344">
        <f>+SUBTOTAL(3,$E$8:$E344)</f>
        <v>337</v>
      </c>
      <c r="B344" s="555">
        <v>45658</v>
      </c>
      <c r="C344" s="344" t="s">
        <v>75</v>
      </c>
      <c r="D344" s="344" t="str">
        <f>+VLOOKUP(C344,'Visual chart Edit'!$B$7:$C$491,2,FALSE)</f>
        <v>DA+9</v>
      </c>
      <c r="E344" s="562" t="s">
        <v>143</v>
      </c>
      <c r="F344" s="551">
        <v>45679</v>
      </c>
      <c r="G344" s="551">
        <v>45685</v>
      </c>
      <c r="H344" s="560" t="s">
        <v>647</v>
      </c>
      <c r="I344" s="553" t="s">
        <v>583</v>
      </c>
      <c r="J344" s="554">
        <f t="shared" si="5"/>
        <v>6</v>
      </c>
    </row>
    <row r="345" spans="1:10" x14ac:dyDescent="0.2">
      <c r="A345" s="344">
        <f>+SUBTOTAL(3,$E$8:$E345)</f>
        <v>338</v>
      </c>
      <c r="B345" s="555">
        <v>45658</v>
      </c>
      <c r="C345" s="344" t="s">
        <v>29</v>
      </c>
      <c r="D345" s="344" t="str">
        <f>+VLOOKUP(C345,'Visual chart Edit'!$B$7:$C$491,2,FALSE)</f>
        <v>DB2+6</v>
      </c>
      <c r="E345" s="562" t="s">
        <v>143</v>
      </c>
      <c r="F345" s="551">
        <v>45675</v>
      </c>
      <c r="G345" s="551">
        <v>45685</v>
      </c>
      <c r="H345" s="560" t="s">
        <v>623</v>
      </c>
      <c r="I345" s="553" t="s">
        <v>222</v>
      </c>
      <c r="J345" s="554">
        <f t="shared" si="5"/>
        <v>10</v>
      </c>
    </row>
    <row r="346" spans="1:10" x14ac:dyDescent="0.2">
      <c r="A346" s="344">
        <f>+SUBTOTAL(3,$E$8:$E346)</f>
        <v>339</v>
      </c>
      <c r="B346" s="555">
        <v>45658</v>
      </c>
      <c r="C346" s="344" t="s">
        <v>669</v>
      </c>
      <c r="D346" s="344" t="str">
        <f>+VLOOKUP(C346,'Visual chart Edit'!$B$7:$C$491,2,FALSE)</f>
        <v>DA+0</v>
      </c>
      <c r="E346" s="562" t="s">
        <v>143</v>
      </c>
      <c r="F346" s="551">
        <v>45681</v>
      </c>
      <c r="G346" s="551">
        <v>45685</v>
      </c>
      <c r="H346" s="560" t="s">
        <v>882</v>
      </c>
      <c r="I346" s="553" t="s">
        <v>1024</v>
      </c>
      <c r="J346" s="554">
        <f t="shared" si="5"/>
        <v>4</v>
      </c>
    </row>
    <row r="347" spans="1:10" x14ac:dyDescent="0.2">
      <c r="A347" s="344">
        <f>+SUBTOTAL(3,$E$8:$E347)</f>
        <v>340</v>
      </c>
      <c r="B347" s="555">
        <v>45658</v>
      </c>
      <c r="C347" s="344" t="s">
        <v>629</v>
      </c>
      <c r="D347" s="344" t="str">
        <f>+VLOOKUP(C347,'Visual chart Edit'!$B$7:$C$491,2,FALSE)</f>
        <v>DA+0</v>
      </c>
      <c r="E347" s="562" t="s">
        <v>276</v>
      </c>
      <c r="F347" s="551">
        <v>45678</v>
      </c>
      <c r="G347" s="551">
        <v>45686</v>
      </c>
      <c r="H347" s="560" t="s">
        <v>1017</v>
      </c>
      <c r="I347" s="553" t="s">
        <v>659</v>
      </c>
      <c r="J347" s="554">
        <f t="shared" si="5"/>
        <v>8</v>
      </c>
    </row>
    <row r="348" spans="1:10" x14ac:dyDescent="0.2">
      <c r="A348" s="344">
        <f>+SUBTOTAL(3,$E$8:$E348)</f>
        <v>341</v>
      </c>
      <c r="B348" s="555">
        <v>45658</v>
      </c>
      <c r="C348" s="344" t="s">
        <v>746</v>
      </c>
      <c r="D348" s="344" t="str">
        <f>+VLOOKUP(C348,'Visual chart Edit'!$B$7:$C$491,2,FALSE)</f>
        <v>DA+6</v>
      </c>
      <c r="E348" s="562" t="s">
        <v>143</v>
      </c>
      <c r="F348" s="551">
        <v>45685</v>
      </c>
      <c r="G348" s="551">
        <v>45687</v>
      </c>
      <c r="H348" s="560" t="s">
        <v>1015</v>
      </c>
      <c r="I348" s="553" t="s">
        <v>1024</v>
      </c>
      <c r="J348" s="554">
        <f t="shared" si="5"/>
        <v>2</v>
      </c>
    </row>
    <row r="349" spans="1:10" x14ac:dyDescent="0.2">
      <c r="A349" s="344">
        <f>+SUBTOTAL(3,$E$8:$E349)</f>
        <v>342</v>
      </c>
      <c r="B349" s="555">
        <v>45658</v>
      </c>
      <c r="C349" s="344" t="s">
        <v>628</v>
      </c>
      <c r="D349" s="344" t="str">
        <f>+VLOOKUP(C349,'Visual chart Edit'!$B$7:$C$491,2,FALSE)</f>
        <v>DA+0</v>
      </c>
      <c r="E349" s="562" t="s">
        <v>276</v>
      </c>
      <c r="F349" s="551">
        <v>45683</v>
      </c>
      <c r="G349" s="551">
        <v>45688</v>
      </c>
      <c r="H349" s="560" t="s">
        <v>1017</v>
      </c>
      <c r="I349" s="553" t="s">
        <v>659</v>
      </c>
      <c r="J349" s="554">
        <f t="shared" si="5"/>
        <v>5</v>
      </c>
    </row>
    <row r="350" spans="1:10" x14ac:dyDescent="0.2">
      <c r="A350" s="344">
        <f>+SUBTOTAL(3,$E$8:$E350)</f>
        <v>343</v>
      </c>
      <c r="B350" s="555">
        <v>45658</v>
      </c>
      <c r="C350" s="344" t="s">
        <v>674</v>
      </c>
      <c r="D350" s="344" t="str">
        <f>+VLOOKUP(C350,'Visual chart Edit'!$B$7:$C$491,2,FALSE)</f>
        <v>DCT+0</v>
      </c>
      <c r="E350" s="562" t="s">
        <v>143</v>
      </c>
      <c r="F350" s="551">
        <v>45684</v>
      </c>
      <c r="G350" s="551">
        <v>45688</v>
      </c>
      <c r="H350" s="560" t="s">
        <v>884</v>
      </c>
      <c r="I350" s="553" t="s">
        <v>1024</v>
      </c>
      <c r="J350" s="554">
        <f t="shared" si="5"/>
        <v>4</v>
      </c>
    </row>
    <row r="351" spans="1:10" x14ac:dyDescent="0.2">
      <c r="A351" s="344">
        <f>+SUBTOTAL(3,$E$8:$E351)</f>
        <v>344</v>
      </c>
      <c r="B351" s="563">
        <v>45689</v>
      </c>
      <c r="C351" s="344" t="s">
        <v>84</v>
      </c>
      <c r="D351" s="344" t="str">
        <f>+VLOOKUP(C351,'Visual chart Edit'!$B$7:$C$491,2,FALSE)</f>
        <v>DB2+0</v>
      </c>
      <c r="E351" s="562" t="s">
        <v>276</v>
      </c>
      <c r="F351" s="551">
        <v>45682</v>
      </c>
      <c r="G351" s="551">
        <v>45689</v>
      </c>
      <c r="H351" s="560" t="s">
        <v>1018</v>
      </c>
      <c r="I351" s="553" t="s">
        <v>222</v>
      </c>
      <c r="J351" s="554">
        <f t="shared" si="5"/>
        <v>7</v>
      </c>
    </row>
    <row r="352" spans="1:10" x14ac:dyDescent="0.2">
      <c r="A352" s="344">
        <f>+SUBTOTAL(3,$E$8:$E352)</f>
        <v>345</v>
      </c>
      <c r="B352" s="563">
        <v>45689</v>
      </c>
      <c r="C352" s="344" t="s">
        <v>194</v>
      </c>
      <c r="D352" s="344" t="str">
        <f>+VLOOKUP(C352,'Visual chart Edit'!$B$7:$C$491,2,FALSE)</f>
        <v>DA+3</v>
      </c>
      <c r="E352" s="562" t="s">
        <v>143</v>
      </c>
      <c r="F352" s="551">
        <v>45682</v>
      </c>
      <c r="G352" s="551">
        <v>45689</v>
      </c>
      <c r="H352" s="560" t="s">
        <v>647</v>
      </c>
      <c r="I352" s="553" t="s">
        <v>222</v>
      </c>
      <c r="J352" s="554">
        <f t="shared" si="5"/>
        <v>7</v>
      </c>
    </row>
    <row r="353" spans="1:10" x14ac:dyDescent="0.2">
      <c r="A353" s="344">
        <f>+SUBTOTAL(3,$E$8:$E353)</f>
        <v>346</v>
      </c>
      <c r="B353" s="563">
        <v>45689</v>
      </c>
      <c r="C353" s="344" t="s">
        <v>680</v>
      </c>
      <c r="D353" s="344" t="str">
        <f>+VLOOKUP(C353,'Visual chart Edit'!$B$7:$C$491,2,FALSE)</f>
        <v>DA+3</v>
      </c>
      <c r="E353" s="562" t="s">
        <v>143</v>
      </c>
      <c r="F353" s="551">
        <v>45682</v>
      </c>
      <c r="G353" s="551">
        <v>45689</v>
      </c>
      <c r="H353" s="560" t="s">
        <v>882</v>
      </c>
      <c r="I353" s="553" t="s">
        <v>1024</v>
      </c>
      <c r="J353" s="554">
        <f t="shared" si="5"/>
        <v>7</v>
      </c>
    </row>
    <row r="354" spans="1:10" x14ac:dyDescent="0.2">
      <c r="A354" s="344">
        <f>+SUBTOTAL(3,$E$8:$E354)</f>
        <v>347</v>
      </c>
      <c r="B354" s="563">
        <v>45689</v>
      </c>
      <c r="C354" s="344" t="s">
        <v>631</v>
      </c>
      <c r="D354" s="344" t="str">
        <f>+VLOOKUP(C354,'Visual chart Edit'!$B$7:$C$491,2,FALSE)</f>
        <v>DA+0</v>
      </c>
      <c r="E354" s="562" t="s">
        <v>276</v>
      </c>
      <c r="F354" s="551">
        <v>45684</v>
      </c>
      <c r="G354" s="551">
        <v>45690</v>
      </c>
      <c r="H354" s="560" t="s">
        <v>1017</v>
      </c>
      <c r="I354" s="553" t="s">
        <v>659</v>
      </c>
      <c r="J354" s="554">
        <f t="shared" si="5"/>
        <v>6</v>
      </c>
    </row>
    <row r="355" spans="1:10" x14ac:dyDescent="0.2">
      <c r="A355" s="344">
        <f>+SUBTOTAL(3,$E$8:$E355)</f>
        <v>348</v>
      </c>
      <c r="B355" s="563">
        <v>45689</v>
      </c>
      <c r="C355" s="344" t="s">
        <v>193</v>
      </c>
      <c r="D355" s="344" t="str">
        <f>+VLOOKUP(C355,'Visual chart Edit'!$B$7:$C$491,2,FALSE)</f>
        <v>DA+3</v>
      </c>
      <c r="E355" s="562" t="s">
        <v>143</v>
      </c>
      <c r="F355" s="551">
        <v>45685</v>
      </c>
      <c r="G355" s="551">
        <v>45692</v>
      </c>
      <c r="H355" s="560" t="s">
        <v>647</v>
      </c>
      <c r="I355" s="553" t="s">
        <v>222</v>
      </c>
      <c r="J355" s="554">
        <f t="shared" si="5"/>
        <v>7</v>
      </c>
    </row>
    <row r="356" spans="1:10" x14ac:dyDescent="0.2">
      <c r="A356" s="344">
        <f>+SUBTOTAL(3,$E$8:$E356)</f>
        <v>349</v>
      </c>
      <c r="B356" s="563">
        <v>45689</v>
      </c>
      <c r="C356" s="344" t="s">
        <v>230</v>
      </c>
      <c r="D356" s="344" t="str">
        <f>+VLOOKUP(C356,'Visual chart Edit'!$B$7:$C$491,2,FALSE)</f>
        <v>DA+0</v>
      </c>
      <c r="E356" s="562" t="s">
        <v>276</v>
      </c>
      <c r="F356" s="551">
        <v>45689</v>
      </c>
      <c r="G356" s="551">
        <v>45695</v>
      </c>
      <c r="H356" s="560" t="s">
        <v>1018</v>
      </c>
      <c r="I356" s="553" t="s">
        <v>222</v>
      </c>
      <c r="J356" s="554">
        <f t="shared" si="5"/>
        <v>6</v>
      </c>
    </row>
    <row r="357" spans="1:10" x14ac:dyDescent="0.2">
      <c r="A357" s="344">
        <f>+SUBTOTAL(3,$E$8:$E357)</f>
        <v>350</v>
      </c>
      <c r="B357" s="563">
        <v>45689</v>
      </c>
      <c r="C357" s="344" t="s">
        <v>74</v>
      </c>
      <c r="D357" s="344" t="str">
        <f>+VLOOKUP(C357,'Visual chart Edit'!$B$7:$C$491,2,FALSE)</f>
        <v>DA+0</v>
      </c>
      <c r="E357" s="562" t="s">
        <v>143</v>
      </c>
      <c r="F357" s="551">
        <v>45690</v>
      </c>
      <c r="G357" s="551">
        <v>45695</v>
      </c>
      <c r="H357" s="560" t="s">
        <v>647</v>
      </c>
      <c r="I357" s="553" t="s">
        <v>222</v>
      </c>
      <c r="J357" s="554">
        <f t="shared" si="5"/>
        <v>5</v>
      </c>
    </row>
    <row r="358" spans="1:10" x14ac:dyDescent="0.2">
      <c r="A358" s="344">
        <f>+SUBTOTAL(3,$E$8:$E358)</f>
        <v>351</v>
      </c>
      <c r="B358" s="563">
        <v>45689</v>
      </c>
      <c r="C358" s="344" t="s">
        <v>632</v>
      </c>
      <c r="D358" s="344" t="str">
        <f>+VLOOKUP(C358,'Visual chart Edit'!$B$7:$C$491,2,FALSE)</f>
        <v>DA+0</v>
      </c>
      <c r="E358" s="562" t="s">
        <v>143</v>
      </c>
      <c r="F358" s="551">
        <v>45688</v>
      </c>
      <c r="G358" s="551">
        <v>45695</v>
      </c>
      <c r="H358" s="560" t="s">
        <v>1017</v>
      </c>
      <c r="I358" s="553" t="s">
        <v>659</v>
      </c>
      <c r="J358" s="554">
        <f t="shared" si="5"/>
        <v>7</v>
      </c>
    </row>
    <row r="359" spans="1:10" x14ac:dyDescent="0.2">
      <c r="A359" s="344">
        <f>+SUBTOTAL(3,$E$8:$E359)</f>
        <v>352</v>
      </c>
      <c r="B359" s="563">
        <v>45689</v>
      </c>
      <c r="C359" s="344" t="s">
        <v>212</v>
      </c>
      <c r="D359" s="344" t="str">
        <f>+VLOOKUP(C359,'Visual chart Edit'!$B$7:$C$491,2,FALSE)</f>
        <v>DB1+6</v>
      </c>
      <c r="E359" s="562" t="s">
        <v>143</v>
      </c>
      <c r="F359" s="551">
        <v>45689</v>
      </c>
      <c r="G359" s="551">
        <v>45697</v>
      </c>
      <c r="H359" s="560" t="s">
        <v>623</v>
      </c>
      <c r="I359" s="553" t="s">
        <v>222</v>
      </c>
      <c r="J359" s="554">
        <f t="shared" si="5"/>
        <v>8</v>
      </c>
    </row>
    <row r="360" spans="1:10" x14ac:dyDescent="0.2">
      <c r="A360" s="344">
        <f>+SUBTOTAL(3,$E$8:$E360)</f>
        <v>353</v>
      </c>
      <c r="B360" s="563">
        <v>45689</v>
      </c>
      <c r="C360" s="344" t="s">
        <v>679</v>
      </c>
      <c r="D360" s="344" t="str">
        <f>+VLOOKUP(C360,'Visual chart Edit'!$B$7:$C$491,2,FALSE)</f>
        <v>DA+9</v>
      </c>
      <c r="E360" s="562" t="s">
        <v>143</v>
      </c>
      <c r="F360" s="551">
        <v>45689</v>
      </c>
      <c r="G360" s="551">
        <v>45697</v>
      </c>
      <c r="H360" s="560" t="s">
        <v>882</v>
      </c>
      <c r="I360" s="553" t="s">
        <v>1024</v>
      </c>
      <c r="J360" s="554">
        <f t="shared" si="5"/>
        <v>8</v>
      </c>
    </row>
    <row r="361" spans="1:10" x14ac:dyDescent="0.2">
      <c r="A361" s="344">
        <f>+SUBTOTAL(3,$E$8:$E361)</f>
        <v>354</v>
      </c>
      <c r="B361" s="563">
        <v>45689</v>
      </c>
      <c r="C361" s="344" t="s">
        <v>737</v>
      </c>
      <c r="D361" s="344" t="str">
        <f>+VLOOKUP(C361,'Visual chart Edit'!$B$7:$C$491,2,FALSE)</f>
        <v>DA+9</v>
      </c>
      <c r="E361" s="562" t="s">
        <v>143</v>
      </c>
      <c r="F361" s="551">
        <v>45694</v>
      </c>
      <c r="G361" s="551">
        <v>45698</v>
      </c>
      <c r="H361" s="560" t="s">
        <v>1015</v>
      </c>
      <c r="I361" s="553" t="s">
        <v>1024</v>
      </c>
      <c r="J361" s="554">
        <f t="shared" si="5"/>
        <v>4</v>
      </c>
    </row>
    <row r="362" spans="1:10" x14ac:dyDescent="0.2">
      <c r="A362" s="344">
        <f>+SUBTOTAL(3,$E$8:$E362)</f>
        <v>355</v>
      </c>
      <c r="B362" s="563">
        <v>45689</v>
      </c>
      <c r="C362" s="344" t="s">
        <v>204</v>
      </c>
      <c r="D362" s="344" t="str">
        <f>+VLOOKUP(C362,'Visual chart Edit'!$B$7:$C$491,2,FALSE)</f>
        <v>DA+0</v>
      </c>
      <c r="E362" s="562" t="s">
        <v>143</v>
      </c>
      <c r="F362" s="551">
        <v>45693</v>
      </c>
      <c r="G362" s="551">
        <v>45699</v>
      </c>
      <c r="H362" s="560" t="s">
        <v>1018</v>
      </c>
      <c r="I362" s="553" t="s">
        <v>222</v>
      </c>
      <c r="J362" s="554">
        <f t="shared" si="5"/>
        <v>6</v>
      </c>
    </row>
    <row r="363" spans="1:10" x14ac:dyDescent="0.2">
      <c r="A363" s="344">
        <f>+SUBTOTAL(3,$E$8:$E363)</f>
        <v>356</v>
      </c>
      <c r="B363" s="563">
        <v>45689</v>
      </c>
      <c r="C363" s="344" t="s">
        <v>73</v>
      </c>
      <c r="D363" s="344" t="str">
        <f>+VLOOKUP(C363,'Visual chart Edit'!$B$7:$C$491,2,FALSE)</f>
        <v>DA+0</v>
      </c>
      <c r="E363" s="562" t="s">
        <v>32</v>
      </c>
      <c r="F363" s="551">
        <v>45692</v>
      </c>
      <c r="G363" s="551">
        <v>45699</v>
      </c>
      <c r="H363" s="560" t="s">
        <v>647</v>
      </c>
      <c r="I363" s="553" t="s">
        <v>222</v>
      </c>
      <c r="J363" s="554">
        <f t="shared" si="5"/>
        <v>7</v>
      </c>
    </row>
    <row r="364" spans="1:10" x14ac:dyDescent="0.2">
      <c r="A364" s="344">
        <f>+SUBTOTAL(3,$E$8:$E364)</f>
        <v>357</v>
      </c>
      <c r="B364" s="563">
        <v>45689</v>
      </c>
      <c r="C364" s="344" t="s">
        <v>205</v>
      </c>
      <c r="D364" s="344" t="str">
        <f>+VLOOKUP(C364,'Visual chart Edit'!$B$7:$C$491,2,FALSE)</f>
        <v>DA+0</v>
      </c>
      <c r="E364" s="562" t="s">
        <v>143</v>
      </c>
      <c r="F364" s="551">
        <v>45697</v>
      </c>
      <c r="G364" s="551">
        <v>45701</v>
      </c>
      <c r="H364" s="560" t="s">
        <v>1018</v>
      </c>
      <c r="I364" s="553" t="s">
        <v>222</v>
      </c>
      <c r="J364" s="554">
        <f t="shared" si="5"/>
        <v>4</v>
      </c>
    </row>
    <row r="365" spans="1:10" x14ac:dyDescent="0.2">
      <c r="A365" s="344">
        <f>+SUBTOTAL(3,$E$8:$E365)</f>
        <v>358</v>
      </c>
      <c r="B365" s="563">
        <v>45689</v>
      </c>
      <c r="C365" s="344" t="s">
        <v>72</v>
      </c>
      <c r="D365" s="344" t="str">
        <f>+VLOOKUP(C365,'Visual chart Edit'!$B$7:$C$491,2,FALSE)</f>
        <v>DA+0</v>
      </c>
      <c r="E365" s="562" t="s">
        <v>32</v>
      </c>
      <c r="F365" s="551">
        <v>45697</v>
      </c>
      <c r="G365" s="551">
        <v>45701</v>
      </c>
      <c r="H365" s="560" t="s">
        <v>647</v>
      </c>
      <c r="I365" s="553" t="s">
        <v>222</v>
      </c>
      <c r="J365" s="554">
        <f t="shared" si="5"/>
        <v>4</v>
      </c>
    </row>
    <row r="366" spans="1:10" x14ac:dyDescent="0.2">
      <c r="A366" s="344">
        <f>+SUBTOTAL(3,$E$8:$E366)</f>
        <v>359</v>
      </c>
      <c r="B366" s="563">
        <v>45689</v>
      </c>
      <c r="C366" s="344" t="s">
        <v>82</v>
      </c>
      <c r="D366" s="344" t="str">
        <f>+VLOOKUP(C366,'Visual chart Edit'!$B$7:$C$491,2,FALSE)</f>
        <v>DA+3</v>
      </c>
      <c r="E366" s="562" t="s">
        <v>276</v>
      </c>
      <c r="F366" s="551">
        <v>45697</v>
      </c>
      <c r="G366" s="551">
        <v>45701</v>
      </c>
      <c r="H366" s="560" t="s">
        <v>1018</v>
      </c>
      <c r="I366" s="553" t="s">
        <v>222</v>
      </c>
      <c r="J366" s="554">
        <f t="shared" si="5"/>
        <v>4</v>
      </c>
    </row>
    <row r="367" spans="1:10" x14ac:dyDescent="0.2">
      <c r="A367" s="344">
        <f>+SUBTOTAL(3,$E$8:$E367)</f>
        <v>360</v>
      </c>
      <c r="B367" s="563">
        <v>45689</v>
      </c>
      <c r="C367" s="344" t="s">
        <v>76</v>
      </c>
      <c r="D367" s="344" t="str">
        <f>+VLOOKUP(C367,'Visual chart Edit'!$B$7:$C$491,2,FALSE)</f>
        <v>DB1+0</v>
      </c>
      <c r="E367" s="562" t="s">
        <v>276</v>
      </c>
      <c r="F367" s="551">
        <v>45700</v>
      </c>
      <c r="G367" s="551">
        <v>45704</v>
      </c>
      <c r="H367" s="560" t="s">
        <v>647</v>
      </c>
      <c r="I367" s="553" t="s">
        <v>222</v>
      </c>
      <c r="J367" s="554">
        <f t="shared" si="5"/>
        <v>4</v>
      </c>
    </row>
    <row r="368" spans="1:10" x14ac:dyDescent="0.2">
      <c r="A368" s="344">
        <f>+SUBTOTAL(3,$E$8:$E368)</f>
        <v>361</v>
      </c>
      <c r="B368" s="563">
        <v>45689</v>
      </c>
      <c r="C368" s="344" t="s">
        <v>738</v>
      </c>
      <c r="D368" s="344" t="str">
        <f>+VLOOKUP(C368,'Visual chart Edit'!$B$7:$C$491,2,FALSE)</f>
        <v>DB1+6</v>
      </c>
      <c r="E368" s="562" t="s">
        <v>143</v>
      </c>
      <c r="F368" s="551">
        <v>45699</v>
      </c>
      <c r="G368" s="551">
        <v>45704</v>
      </c>
      <c r="H368" s="560" t="s">
        <v>1015</v>
      </c>
      <c r="I368" s="553" t="s">
        <v>1024</v>
      </c>
      <c r="J368" s="554">
        <f t="shared" si="5"/>
        <v>5</v>
      </c>
    </row>
    <row r="369" spans="1:10" x14ac:dyDescent="0.2">
      <c r="A369" s="344">
        <f>+SUBTOTAL(3,$E$8:$E369)</f>
        <v>362</v>
      </c>
      <c r="B369" s="563">
        <v>45689</v>
      </c>
      <c r="C369" s="344" t="s">
        <v>666</v>
      </c>
      <c r="D369" s="344" t="str">
        <f>+VLOOKUP(C369,'Visual chart Edit'!$B$7:$C$491,2,FALSE)</f>
        <v>DB1+3</v>
      </c>
      <c r="E369" s="562" t="s">
        <v>143</v>
      </c>
      <c r="F369" s="551">
        <v>45698</v>
      </c>
      <c r="G369" s="551">
        <v>45704</v>
      </c>
      <c r="H369" s="560" t="s">
        <v>1009</v>
      </c>
      <c r="I369" s="553" t="s">
        <v>1024</v>
      </c>
      <c r="J369" s="554">
        <f t="shared" si="5"/>
        <v>6</v>
      </c>
    </row>
    <row r="370" spans="1:10" x14ac:dyDescent="0.2">
      <c r="A370" s="344">
        <f>+SUBTOTAL(3,$E$8:$E370)</f>
        <v>363</v>
      </c>
      <c r="B370" s="563">
        <v>45689</v>
      </c>
      <c r="C370" s="344" t="s">
        <v>26</v>
      </c>
      <c r="D370" s="344" t="str">
        <f>+VLOOKUP(C370,'Visual chart Edit'!$B$7:$C$491,2,FALSE)</f>
        <v>DC1+0</v>
      </c>
      <c r="E370" s="562" t="s">
        <v>276</v>
      </c>
      <c r="F370" s="551">
        <v>45703</v>
      </c>
      <c r="G370" s="551">
        <v>45708</v>
      </c>
      <c r="H370" s="560" t="s">
        <v>647</v>
      </c>
      <c r="I370" s="553" t="s">
        <v>222</v>
      </c>
      <c r="J370" s="554">
        <f t="shared" si="5"/>
        <v>5</v>
      </c>
    </row>
    <row r="371" spans="1:10" x14ac:dyDescent="0.2">
      <c r="A371" s="344">
        <f>+SUBTOTAL(3,$E$8:$E371)</f>
        <v>364</v>
      </c>
      <c r="B371" s="563">
        <v>45689</v>
      </c>
      <c r="C371" s="344" t="s">
        <v>83</v>
      </c>
      <c r="D371" s="344" t="str">
        <f>+VLOOKUP(C371,'Visual chart Edit'!$B$7:$C$491,2,FALSE)</f>
        <v>DC1+0</v>
      </c>
      <c r="E371" s="562" t="s">
        <v>276</v>
      </c>
      <c r="F371" s="551">
        <v>45702</v>
      </c>
      <c r="G371" s="551">
        <v>45708</v>
      </c>
      <c r="H371" s="560" t="s">
        <v>1018</v>
      </c>
      <c r="I371" s="553" t="s">
        <v>222</v>
      </c>
      <c r="J371" s="554">
        <f t="shared" si="5"/>
        <v>6</v>
      </c>
    </row>
    <row r="372" spans="1:10" x14ac:dyDescent="0.2">
      <c r="A372" s="344">
        <f>+SUBTOTAL(3,$E$8:$E372)</f>
        <v>365</v>
      </c>
      <c r="B372" s="563">
        <v>45689</v>
      </c>
      <c r="C372" s="344" t="s">
        <v>626</v>
      </c>
      <c r="D372" s="344" t="str">
        <f>+VLOOKUP(C372,'Visual chart Edit'!$B$7:$C$491,2,FALSE)</f>
        <v>DD60+0</v>
      </c>
      <c r="E372" s="562" t="s">
        <v>276</v>
      </c>
      <c r="F372" s="551">
        <v>45694</v>
      </c>
      <c r="G372" s="551">
        <v>45708</v>
      </c>
      <c r="H372" s="560" t="s">
        <v>1017</v>
      </c>
      <c r="I372" s="553" t="s">
        <v>659</v>
      </c>
      <c r="J372" s="554">
        <f t="shared" si="5"/>
        <v>14</v>
      </c>
    </row>
    <row r="373" spans="1:10" x14ac:dyDescent="0.2">
      <c r="A373" s="344">
        <f>+SUBTOTAL(3,$E$8:$E373)</f>
        <v>366</v>
      </c>
      <c r="B373" s="563">
        <v>45689</v>
      </c>
      <c r="C373" s="344" t="s">
        <v>77</v>
      </c>
      <c r="D373" s="344" t="str">
        <f>+VLOOKUP(C373,'Visual chart Edit'!$B$7:$C$491,2,FALSE)</f>
        <v>DA+0</v>
      </c>
      <c r="E373" s="562" t="s">
        <v>143</v>
      </c>
      <c r="F373" s="551">
        <v>45705</v>
      </c>
      <c r="G373" s="551">
        <v>45710</v>
      </c>
      <c r="H373" s="560" t="s">
        <v>647</v>
      </c>
      <c r="I373" s="553" t="s">
        <v>222</v>
      </c>
      <c r="J373" s="554">
        <f t="shared" si="5"/>
        <v>5</v>
      </c>
    </row>
    <row r="374" spans="1:10" x14ac:dyDescent="0.2">
      <c r="A374" s="344">
        <f>+SUBTOTAL(3,$E$8:$E374)</f>
        <v>367</v>
      </c>
      <c r="B374" s="563">
        <v>45689</v>
      </c>
      <c r="C374" s="344" t="s">
        <v>574</v>
      </c>
      <c r="D374" s="344" t="str">
        <f>+VLOOKUP(C374,'Visual chart Edit'!$B$7:$C$491,2,FALSE)</f>
        <v>DA+3</v>
      </c>
      <c r="E374" s="562" t="s">
        <v>143</v>
      </c>
      <c r="F374" s="551">
        <v>45706</v>
      </c>
      <c r="G374" s="551">
        <v>45711</v>
      </c>
      <c r="H374" s="560" t="s">
        <v>1009</v>
      </c>
      <c r="I374" s="553" t="s">
        <v>1024</v>
      </c>
      <c r="J374" s="554">
        <f t="shared" si="5"/>
        <v>5</v>
      </c>
    </row>
    <row r="375" spans="1:10" x14ac:dyDescent="0.2">
      <c r="A375" s="344">
        <f>+SUBTOTAL(3,$E$8:$E375)</f>
        <v>368</v>
      </c>
      <c r="B375" s="563">
        <v>45689</v>
      </c>
      <c r="C375" s="344" t="s">
        <v>198</v>
      </c>
      <c r="D375" s="344" t="str">
        <f>+VLOOKUP(C375,'Visual chart Edit'!$B$7:$C$491,2,FALSE)</f>
        <v>DA+6</v>
      </c>
      <c r="E375" s="562" t="s">
        <v>276</v>
      </c>
      <c r="F375" s="551">
        <v>45710</v>
      </c>
      <c r="G375" s="551">
        <v>45713</v>
      </c>
      <c r="H375" s="560" t="s">
        <v>647</v>
      </c>
      <c r="I375" s="553" t="s">
        <v>222</v>
      </c>
      <c r="J375" s="554">
        <f t="shared" si="5"/>
        <v>3</v>
      </c>
    </row>
    <row r="376" spans="1:10" x14ac:dyDescent="0.2">
      <c r="A376" s="344">
        <f>+SUBTOTAL(3,$E$8:$E376)</f>
        <v>369</v>
      </c>
      <c r="B376" s="563">
        <v>45689</v>
      </c>
      <c r="C376" s="344" t="s">
        <v>195</v>
      </c>
      <c r="D376" s="344" t="str">
        <f>+VLOOKUP(C376,'Visual chart Edit'!$B$7:$C$491,2,FALSE)</f>
        <v>DA+3</v>
      </c>
      <c r="E376" s="562" t="s">
        <v>276</v>
      </c>
      <c r="F376" s="551">
        <v>45712</v>
      </c>
      <c r="G376" s="551">
        <v>45716</v>
      </c>
      <c r="H376" s="560" t="s">
        <v>647</v>
      </c>
      <c r="I376" s="553" t="s">
        <v>222</v>
      </c>
      <c r="J376" s="554">
        <f t="shared" si="5"/>
        <v>4</v>
      </c>
    </row>
    <row r="377" spans="1:10" x14ac:dyDescent="0.2">
      <c r="A377" s="344">
        <f>+SUBTOTAL(3,$E$8:$E377)</f>
        <v>370</v>
      </c>
      <c r="B377" s="563">
        <v>45689</v>
      </c>
      <c r="C377" s="344" t="s">
        <v>739</v>
      </c>
      <c r="D377" s="344" t="str">
        <f>+VLOOKUP(C377,'Visual chart Edit'!$B$7:$C$491,2,FALSE)</f>
        <v>DA+0</v>
      </c>
      <c r="E377" s="562" t="s">
        <v>872</v>
      </c>
      <c r="F377" s="551">
        <v>45709</v>
      </c>
      <c r="G377" s="551">
        <v>45716</v>
      </c>
      <c r="H377" s="560" t="s">
        <v>885</v>
      </c>
      <c r="I377" s="553" t="s">
        <v>1024</v>
      </c>
      <c r="J377" s="554">
        <f t="shared" si="5"/>
        <v>7</v>
      </c>
    </row>
    <row r="378" spans="1:10" x14ac:dyDescent="0.2">
      <c r="A378" s="344">
        <f>+SUBTOTAL(3,$E$8:$E378)</f>
        <v>371</v>
      </c>
      <c r="B378" s="563">
        <v>45717</v>
      </c>
      <c r="C378" s="344" t="s">
        <v>214</v>
      </c>
      <c r="D378" s="344" t="str">
        <f>+VLOOKUP(C378,'Visual chart Edit'!$B$7:$C$491,2,FALSE)</f>
        <v>DA+0</v>
      </c>
      <c r="E378" s="562" t="s">
        <v>143</v>
      </c>
      <c r="F378" s="551">
        <v>45698</v>
      </c>
      <c r="G378" s="551">
        <v>45718</v>
      </c>
      <c r="H378" s="560" t="s">
        <v>623</v>
      </c>
      <c r="I378" s="553" t="s">
        <v>222</v>
      </c>
      <c r="J378" s="554">
        <f t="shared" si="5"/>
        <v>20</v>
      </c>
    </row>
    <row r="379" spans="1:10" x14ac:dyDescent="0.2">
      <c r="A379" s="344">
        <f>+SUBTOTAL(3,$E$8:$E379)</f>
        <v>372</v>
      </c>
      <c r="B379" s="563">
        <v>45717</v>
      </c>
      <c r="C379" s="344" t="s">
        <v>81</v>
      </c>
      <c r="D379" s="344" t="str">
        <f>+VLOOKUP(C379,'Visual chart Edit'!$B$7:$C$491,2,FALSE)</f>
        <v>DA+3</v>
      </c>
      <c r="E379" s="562" t="s">
        <v>143</v>
      </c>
      <c r="F379" s="551">
        <v>45716</v>
      </c>
      <c r="G379" s="551">
        <v>45718</v>
      </c>
      <c r="H379" s="560" t="s">
        <v>1019</v>
      </c>
      <c r="I379" s="553" t="s">
        <v>222</v>
      </c>
      <c r="J379" s="554">
        <f t="shared" si="5"/>
        <v>2</v>
      </c>
    </row>
    <row r="380" spans="1:10" x14ac:dyDescent="0.2">
      <c r="A380" s="344">
        <f>+SUBTOTAL(3,$E$8:$E380)</f>
        <v>373</v>
      </c>
      <c r="B380" s="563">
        <v>45717</v>
      </c>
      <c r="C380" s="344" t="s">
        <v>200</v>
      </c>
      <c r="D380" s="344" t="str">
        <f>+VLOOKUP(C380,'Visual chart Edit'!$B$7:$C$491,2,FALSE)</f>
        <v>DA+3</v>
      </c>
      <c r="E380" s="562" t="s">
        <v>143</v>
      </c>
      <c r="F380" s="551">
        <v>45716</v>
      </c>
      <c r="G380" s="551">
        <v>45719</v>
      </c>
      <c r="H380" s="560" t="s">
        <v>647</v>
      </c>
      <c r="I380" s="553" t="s">
        <v>222</v>
      </c>
      <c r="J380" s="554">
        <f t="shared" si="5"/>
        <v>3</v>
      </c>
    </row>
    <row r="381" spans="1:10" x14ac:dyDescent="0.2">
      <c r="A381" s="344">
        <f>+SUBTOTAL(3,$E$8:$E381)</f>
        <v>374</v>
      </c>
      <c r="B381" s="563">
        <v>45717</v>
      </c>
      <c r="C381" s="344" t="s">
        <v>199</v>
      </c>
      <c r="D381" s="344" t="str">
        <f>+VLOOKUP(C381,'Visual chart Edit'!$B$7:$C$491,2,FALSE)</f>
        <v>DA+0</v>
      </c>
      <c r="E381" s="562" t="s">
        <v>143</v>
      </c>
      <c r="F381" s="551">
        <v>45717</v>
      </c>
      <c r="G381" s="551">
        <v>45722</v>
      </c>
      <c r="H381" s="560" t="s">
        <v>647</v>
      </c>
      <c r="I381" s="553" t="s">
        <v>222</v>
      </c>
      <c r="J381" s="554">
        <f t="shared" si="5"/>
        <v>5</v>
      </c>
    </row>
    <row r="382" spans="1:10" x14ac:dyDescent="0.2">
      <c r="A382" s="344">
        <f>+SUBTOTAL(3,$E$8:$E382)</f>
        <v>375</v>
      </c>
      <c r="B382" s="563">
        <v>45717</v>
      </c>
      <c r="C382" s="344" t="s">
        <v>445</v>
      </c>
      <c r="D382" s="344" t="str">
        <f>+VLOOKUP(C382,'Visual chart Edit'!$B$7:$C$491,2,FALSE)</f>
        <v>DD60+0</v>
      </c>
      <c r="E382" s="562" t="s">
        <v>276</v>
      </c>
      <c r="F382" s="551">
        <v>45713</v>
      </c>
      <c r="G382" s="551">
        <v>45723</v>
      </c>
      <c r="H382" s="560" t="s">
        <v>1017</v>
      </c>
      <c r="I382" s="553" t="s">
        <v>659</v>
      </c>
      <c r="J382" s="554">
        <f t="shared" si="5"/>
        <v>10</v>
      </c>
    </row>
    <row r="383" spans="1:10" x14ac:dyDescent="0.2">
      <c r="A383" s="344">
        <f>+SUBTOTAL(3,$E$8:$E383)</f>
        <v>376</v>
      </c>
      <c r="B383" s="563">
        <v>45717</v>
      </c>
      <c r="C383" s="344" t="s">
        <v>80</v>
      </c>
      <c r="D383" s="344" t="str">
        <f>+VLOOKUP(C383,'Visual chart Edit'!$B$7:$C$491,2,FALSE)</f>
        <v>DC1+0</v>
      </c>
      <c r="E383" s="562" t="s">
        <v>276</v>
      </c>
      <c r="F383" s="551">
        <v>45717</v>
      </c>
      <c r="G383" s="551">
        <v>45723</v>
      </c>
      <c r="H383" s="560" t="s">
        <v>1019</v>
      </c>
      <c r="I383" s="553" t="s">
        <v>222</v>
      </c>
      <c r="J383" s="554">
        <f t="shared" si="5"/>
        <v>6</v>
      </c>
    </row>
    <row r="384" spans="1:10" x14ac:dyDescent="0.2">
      <c r="A384" s="344">
        <f>+SUBTOTAL(3,$E$8:$E384)</f>
        <v>377</v>
      </c>
      <c r="B384" s="563">
        <v>45717</v>
      </c>
      <c r="C384" s="344" t="s">
        <v>196</v>
      </c>
      <c r="D384" s="344" t="str">
        <f>+VLOOKUP(C384,'Visual chart Edit'!$B$7:$C$491,2,FALSE)</f>
        <v>DA+3</v>
      </c>
      <c r="E384" s="562" t="s">
        <v>276</v>
      </c>
      <c r="F384" s="551">
        <v>45719</v>
      </c>
      <c r="G384" s="551">
        <v>45724</v>
      </c>
      <c r="H384" s="560" t="s">
        <v>647</v>
      </c>
      <c r="I384" s="553" t="s">
        <v>222</v>
      </c>
      <c r="J384" s="554">
        <f t="shared" si="5"/>
        <v>5</v>
      </c>
    </row>
    <row r="385" spans="1:10" x14ac:dyDescent="0.2">
      <c r="A385" s="344">
        <f>+SUBTOTAL(3,$E$8:$E385)</f>
        <v>378</v>
      </c>
      <c r="B385" s="563">
        <v>45717</v>
      </c>
      <c r="C385" s="344" t="s">
        <v>633</v>
      </c>
      <c r="D385" s="344" t="str">
        <f>+VLOOKUP(C385,'Visual chart Edit'!$B$7:$C$491,2,FALSE)</f>
        <v>DA+3</v>
      </c>
      <c r="E385" s="562" t="s">
        <v>143</v>
      </c>
      <c r="F385" s="551">
        <v>45717</v>
      </c>
      <c r="G385" s="551">
        <v>45724</v>
      </c>
      <c r="H385" s="560" t="s">
        <v>1017</v>
      </c>
      <c r="I385" s="553" t="s">
        <v>659</v>
      </c>
      <c r="J385" s="554">
        <f t="shared" si="5"/>
        <v>7</v>
      </c>
    </row>
    <row r="386" spans="1:10" x14ac:dyDescent="0.2">
      <c r="A386" s="344">
        <f>+SUBTOTAL(3,$E$8:$E386)</f>
        <v>379</v>
      </c>
      <c r="B386" s="563">
        <v>45717</v>
      </c>
      <c r="C386" s="344" t="s">
        <v>197</v>
      </c>
      <c r="D386" s="344" t="str">
        <f>+VLOOKUP(C386,'Visual chart Edit'!$B$7:$C$491,2,FALSE)</f>
        <v>DA+0</v>
      </c>
      <c r="E386" s="562" t="s">
        <v>143</v>
      </c>
      <c r="F386" s="551">
        <v>45721</v>
      </c>
      <c r="G386" s="551">
        <v>45726</v>
      </c>
      <c r="H386" s="560" t="s">
        <v>647</v>
      </c>
      <c r="I386" s="553" t="s">
        <v>222</v>
      </c>
      <c r="J386" s="554">
        <f t="shared" si="5"/>
        <v>5</v>
      </c>
    </row>
    <row r="387" spans="1:10" x14ac:dyDescent="0.2">
      <c r="A387" s="344">
        <f>+SUBTOTAL(3,$E$8:$E387)</f>
        <v>380</v>
      </c>
      <c r="B387" s="563">
        <v>45717</v>
      </c>
      <c r="C387" s="344" t="s">
        <v>79</v>
      </c>
      <c r="D387" s="344" t="str">
        <f>+VLOOKUP(C387,'Visual chart Edit'!$B$7:$C$491,2,FALSE)</f>
        <v>DA+0</v>
      </c>
      <c r="E387" s="562" t="s">
        <v>276</v>
      </c>
      <c r="F387" s="551">
        <v>45721</v>
      </c>
      <c r="G387" s="551">
        <v>45726</v>
      </c>
      <c r="H387" s="560" t="s">
        <v>1019</v>
      </c>
      <c r="I387" s="553" t="s">
        <v>222</v>
      </c>
      <c r="J387" s="554">
        <f t="shared" si="5"/>
        <v>5</v>
      </c>
    </row>
    <row r="388" spans="1:10" x14ac:dyDescent="0.2">
      <c r="A388" s="344">
        <f>+SUBTOTAL(3,$E$8:$E388)</f>
        <v>381</v>
      </c>
      <c r="B388" s="563">
        <v>45717</v>
      </c>
      <c r="C388" s="344" t="s">
        <v>27</v>
      </c>
      <c r="D388" s="344" t="str">
        <f>+VLOOKUP(C388,'Visual chart Edit'!$B$7:$C$491,2,FALSE)</f>
        <v>DA+0</v>
      </c>
      <c r="E388" s="562" t="s">
        <v>276</v>
      </c>
      <c r="F388" s="551">
        <v>45724</v>
      </c>
      <c r="G388" s="551">
        <v>45728</v>
      </c>
      <c r="H388" s="560" t="s">
        <v>1019</v>
      </c>
      <c r="I388" s="553" t="s">
        <v>222</v>
      </c>
      <c r="J388" s="554">
        <f t="shared" si="5"/>
        <v>4</v>
      </c>
    </row>
    <row r="389" spans="1:10" x14ac:dyDescent="0.2">
      <c r="A389" s="344">
        <f>+SUBTOTAL(3,$E$8:$E389)</f>
        <v>382</v>
      </c>
      <c r="B389" s="563">
        <v>45717</v>
      </c>
      <c r="C389" s="344" t="s">
        <v>447</v>
      </c>
      <c r="D389" s="344" t="str">
        <f>+VLOOKUP(C389,'Visual chart Edit'!$B$7:$C$491,2,FALSE)</f>
        <v>DA+3</v>
      </c>
      <c r="E389" s="562" t="s">
        <v>143</v>
      </c>
      <c r="F389" s="551">
        <v>45730</v>
      </c>
      <c r="G389" s="551">
        <v>45736</v>
      </c>
      <c r="H389" s="560" t="s">
        <v>1017</v>
      </c>
      <c r="I389" s="553" t="s">
        <v>659</v>
      </c>
      <c r="J389" s="554">
        <f t="shared" si="5"/>
        <v>6</v>
      </c>
    </row>
    <row r="390" spans="1:10" x14ac:dyDescent="0.2">
      <c r="A390" s="344">
        <f>+SUBTOTAL(3,$E$8:$E390)</f>
        <v>383</v>
      </c>
      <c r="B390" s="563">
        <v>45717</v>
      </c>
      <c r="C390" s="344" t="s">
        <v>208</v>
      </c>
      <c r="D390" s="344" t="str">
        <f>+VLOOKUP(C390,'Visual chart Edit'!$B$7:$C$491,2,FALSE)</f>
        <v>DA+0</v>
      </c>
      <c r="E390" s="562" t="s">
        <v>143</v>
      </c>
      <c r="F390" s="551">
        <v>45735</v>
      </c>
      <c r="G390" s="551">
        <v>45741</v>
      </c>
      <c r="H390" s="560" t="s">
        <v>1019</v>
      </c>
      <c r="I390" s="553" t="s">
        <v>222</v>
      </c>
      <c r="J390" s="554">
        <f t="shared" si="5"/>
        <v>6</v>
      </c>
    </row>
    <row r="391" spans="1:10" x14ac:dyDescent="0.2">
      <c r="A391" s="344">
        <f>+SUBTOTAL(3,$E$8:$E391)</f>
        <v>384</v>
      </c>
      <c r="B391" s="563">
        <v>45717</v>
      </c>
      <c r="C391" s="344" t="s">
        <v>184</v>
      </c>
      <c r="D391" s="344" t="str">
        <f>+VLOOKUP(C391,'Visual chart Edit'!$B$7:$C$491,2,FALSE)</f>
        <v>DA+0</v>
      </c>
      <c r="E391" s="562" t="s">
        <v>32</v>
      </c>
      <c r="F391" s="551">
        <v>45736</v>
      </c>
      <c r="G391" s="551">
        <v>45742</v>
      </c>
      <c r="H391" s="560" t="s">
        <v>1017</v>
      </c>
      <c r="I391" s="553" t="s">
        <v>583</v>
      </c>
      <c r="J391" s="554">
        <f t="shared" si="5"/>
        <v>6</v>
      </c>
    </row>
    <row r="392" spans="1:10" x14ac:dyDescent="0.2">
      <c r="A392" s="344">
        <f>+SUBTOTAL(3,$E$8:$E392)</f>
        <v>385</v>
      </c>
      <c r="B392" s="563">
        <v>45717</v>
      </c>
      <c r="C392" s="344" t="s">
        <v>665</v>
      </c>
      <c r="D392" s="344" t="str">
        <f>+VLOOKUP(C392,'Visual chart Edit'!$B$7:$C$491,2,FALSE)</f>
        <v>DA+0</v>
      </c>
      <c r="E392" s="562" t="s">
        <v>143</v>
      </c>
      <c r="F392" s="551">
        <v>45738</v>
      </c>
      <c r="G392" s="551">
        <v>45746</v>
      </c>
      <c r="H392" s="560" t="s">
        <v>647</v>
      </c>
      <c r="I392" s="553" t="s">
        <v>222</v>
      </c>
      <c r="J392" s="554">
        <f t="shared" si="5"/>
        <v>8</v>
      </c>
    </row>
    <row r="393" spans="1:10" x14ac:dyDescent="0.2">
      <c r="A393" s="344">
        <f>+SUBTOTAL(3,$E$8:$E393)</f>
        <v>386</v>
      </c>
      <c r="B393" s="563">
        <v>45717</v>
      </c>
      <c r="C393" s="344" t="s">
        <v>209</v>
      </c>
      <c r="D393" s="344" t="str">
        <f>+VLOOKUP(C393,'Visual chart Edit'!$B$7:$C$491,2,FALSE)</f>
        <v>DA+0</v>
      </c>
      <c r="E393" s="562" t="s">
        <v>143</v>
      </c>
      <c r="F393" s="551">
        <v>45737</v>
      </c>
      <c r="G393" s="551">
        <v>45747</v>
      </c>
      <c r="H393" s="560" t="s">
        <v>1019</v>
      </c>
      <c r="I393" s="553" t="s">
        <v>222</v>
      </c>
      <c r="J393" s="554">
        <f t="shared" ref="J393:J456" si="6">G393-F393</f>
        <v>10</v>
      </c>
    </row>
    <row r="394" spans="1:10" x14ac:dyDescent="0.2">
      <c r="A394" s="344">
        <f>+SUBTOTAL(3,$E$8:$E394)</f>
        <v>387</v>
      </c>
      <c r="B394" s="563">
        <v>45717</v>
      </c>
      <c r="C394" s="344" t="s">
        <v>94</v>
      </c>
      <c r="D394" s="344" t="str">
        <f>+VLOOKUP(C394,'Visual chart Edit'!$B$7:$C$491,2,FALSE)</f>
        <v>DD60+25</v>
      </c>
      <c r="E394" s="562" t="s">
        <v>143</v>
      </c>
      <c r="F394" s="551">
        <v>45738</v>
      </c>
      <c r="G394" s="551">
        <v>45747</v>
      </c>
      <c r="H394" s="560" t="s">
        <v>885</v>
      </c>
      <c r="I394" s="553" t="s">
        <v>1024</v>
      </c>
      <c r="J394" s="554">
        <f t="shared" si="6"/>
        <v>9</v>
      </c>
    </row>
    <row r="395" spans="1:10" x14ac:dyDescent="0.2">
      <c r="A395" s="344">
        <f>+SUBTOTAL(3,$E$8:$E395)</f>
        <v>388</v>
      </c>
      <c r="B395" s="563">
        <v>45748</v>
      </c>
      <c r="C395" s="344" t="s">
        <v>210</v>
      </c>
      <c r="D395" s="344" t="str">
        <f>+VLOOKUP(C395,'Visual chart Edit'!$B$7:$C$491,2,FALSE)</f>
        <v>DA+9</v>
      </c>
      <c r="E395" s="562" t="s">
        <v>143</v>
      </c>
      <c r="F395" s="551">
        <v>45747</v>
      </c>
      <c r="G395" s="551">
        <v>45753</v>
      </c>
      <c r="H395" s="560" t="s">
        <v>1019</v>
      </c>
      <c r="I395" s="553" t="s">
        <v>222</v>
      </c>
      <c r="J395" s="554">
        <f t="shared" si="6"/>
        <v>6</v>
      </c>
    </row>
    <row r="396" spans="1:10" x14ac:dyDescent="0.2">
      <c r="A396" s="344">
        <f>+SUBTOTAL(3,$E$8:$E396)</f>
        <v>389</v>
      </c>
      <c r="B396" s="563">
        <v>45748</v>
      </c>
      <c r="C396" s="344" t="s">
        <v>89</v>
      </c>
      <c r="D396" s="344" t="str">
        <f>+VLOOKUP(C396,'Visual chart Edit'!$B$7:$C$491,2,FALSE)</f>
        <v>DD60+25</v>
      </c>
      <c r="E396" s="562" t="s">
        <v>143</v>
      </c>
      <c r="F396" s="551">
        <v>45741</v>
      </c>
      <c r="G396" s="551">
        <v>45756</v>
      </c>
      <c r="H396" s="560" t="s">
        <v>1009</v>
      </c>
      <c r="I396" s="553" t="s">
        <v>1024</v>
      </c>
      <c r="J396" s="554">
        <f t="shared" si="6"/>
        <v>15</v>
      </c>
    </row>
    <row r="397" spans="1:10" x14ac:dyDescent="0.2">
      <c r="A397" s="344">
        <f>+SUBTOTAL(3,$E$8:$E397)</f>
        <v>390</v>
      </c>
      <c r="B397" s="563">
        <v>45748</v>
      </c>
      <c r="C397" s="346" t="s">
        <v>539</v>
      </c>
      <c r="D397" s="344" t="str">
        <f>+VLOOKUP(C397,'Visual chart Edit'!$B$7:$C$491,2,FALSE)</f>
        <v>DA+9</v>
      </c>
      <c r="E397" s="562" t="s">
        <v>143</v>
      </c>
      <c r="F397" s="551">
        <v>45754</v>
      </c>
      <c r="G397" s="551">
        <v>45758</v>
      </c>
      <c r="H397" s="560" t="s">
        <v>647</v>
      </c>
      <c r="I397" s="553" t="s">
        <v>222</v>
      </c>
      <c r="J397" s="554">
        <f t="shared" si="6"/>
        <v>4</v>
      </c>
    </row>
    <row r="398" spans="1:10" x14ac:dyDescent="0.2">
      <c r="A398" s="344">
        <f>+SUBTOTAL(3,$E$8:$E398)</f>
        <v>391</v>
      </c>
      <c r="B398" s="563">
        <v>45748</v>
      </c>
      <c r="C398" s="346" t="s">
        <v>93</v>
      </c>
      <c r="D398" s="344" t="str">
        <f>+VLOOKUP(C398,'Visual chart Edit'!$B$7:$C$491,2,FALSE)</f>
        <v>DD60+25</v>
      </c>
      <c r="E398" s="562" t="s">
        <v>143</v>
      </c>
      <c r="F398" s="551">
        <v>45749</v>
      </c>
      <c r="G398" s="551">
        <v>45759</v>
      </c>
      <c r="H398" s="560" t="s">
        <v>885</v>
      </c>
      <c r="I398" s="553" t="s">
        <v>1024</v>
      </c>
      <c r="J398" s="554">
        <f t="shared" si="6"/>
        <v>10</v>
      </c>
    </row>
    <row r="399" spans="1:10" x14ac:dyDescent="0.2">
      <c r="A399" s="344">
        <f>+SUBTOTAL(3,$E$8:$E399)</f>
        <v>392</v>
      </c>
      <c r="B399" s="563">
        <v>45748</v>
      </c>
      <c r="C399" s="346" t="s">
        <v>540</v>
      </c>
      <c r="D399" s="344" t="str">
        <f>+VLOOKUP(C399,'Visual chart Edit'!$B$7:$C$491,2,FALSE)</f>
        <v>DB2+6</v>
      </c>
      <c r="E399" s="562" t="s">
        <v>143</v>
      </c>
      <c r="F399" s="551">
        <v>45759</v>
      </c>
      <c r="G399" s="551">
        <v>45762</v>
      </c>
      <c r="H399" s="560" t="s">
        <v>647</v>
      </c>
      <c r="I399" s="553" t="s">
        <v>222</v>
      </c>
      <c r="J399" s="554">
        <f t="shared" si="6"/>
        <v>3</v>
      </c>
    </row>
    <row r="400" spans="1:10" x14ac:dyDescent="0.2">
      <c r="A400" s="344">
        <f>+SUBTOTAL(3,$E$8:$E400)</f>
        <v>393</v>
      </c>
      <c r="B400" s="563">
        <v>45748</v>
      </c>
      <c r="C400" s="346" t="s">
        <v>66</v>
      </c>
      <c r="D400" s="344" t="str">
        <f>+VLOOKUP(C400,'Visual chart Edit'!$B$7:$C$491,2,FALSE)</f>
        <v>DA+3</v>
      </c>
      <c r="E400" s="562" t="s">
        <v>32</v>
      </c>
      <c r="F400" s="551">
        <v>45759</v>
      </c>
      <c r="G400" s="551">
        <v>45764</v>
      </c>
      <c r="H400" s="560" t="s">
        <v>1261</v>
      </c>
      <c r="I400" s="553" t="s">
        <v>222</v>
      </c>
      <c r="J400" s="554">
        <f t="shared" si="6"/>
        <v>5</v>
      </c>
    </row>
    <row r="401" spans="1:10" x14ac:dyDescent="0.2">
      <c r="A401" s="344">
        <f>+SUBTOTAL(3,$E$8:$E401)</f>
        <v>394</v>
      </c>
      <c r="B401" s="563">
        <v>45748</v>
      </c>
      <c r="C401" s="344" t="s">
        <v>90</v>
      </c>
      <c r="D401" s="344" t="str">
        <f>+VLOOKUP(C401,'Visual chart Edit'!$B$7:$C$491,2,FALSE)</f>
        <v>DD60+25</v>
      </c>
      <c r="E401" s="562" t="s">
        <v>143</v>
      </c>
      <c r="F401" s="551">
        <v>45752</v>
      </c>
      <c r="G401" s="551">
        <v>45764</v>
      </c>
      <c r="H401" s="560" t="s">
        <v>1009</v>
      </c>
      <c r="I401" s="553" t="s">
        <v>1024</v>
      </c>
      <c r="J401" s="554">
        <f t="shared" si="6"/>
        <v>12</v>
      </c>
    </row>
    <row r="402" spans="1:10" x14ac:dyDescent="0.2">
      <c r="A402" s="344">
        <f>+SUBTOTAL(3,$E$8:$E402)</f>
        <v>395</v>
      </c>
      <c r="B402" s="563">
        <v>45748</v>
      </c>
      <c r="C402" s="346" t="s">
        <v>39</v>
      </c>
      <c r="D402" s="344" t="str">
        <f>+VLOOKUP(C402,'Visual chart Edit'!$B$7:$C$491,2,FALSE)</f>
        <v>DD60+6</v>
      </c>
      <c r="E402" s="562" t="s">
        <v>276</v>
      </c>
      <c r="F402" s="551">
        <v>45760</v>
      </c>
      <c r="G402" s="551">
        <v>45766</v>
      </c>
      <c r="H402" s="560" t="s">
        <v>1017</v>
      </c>
      <c r="I402" s="553" t="s">
        <v>659</v>
      </c>
      <c r="J402" s="554">
        <f t="shared" si="6"/>
        <v>6</v>
      </c>
    </row>
    <row r="403" spans="1:10" x14ac:dyDescent="0.2">
      <c r="A403" s="344">
        <f>+SUBTOTAL(3,$E$8:$E403)</f>
        <v>396</v>
      </c>
      <c r="B403" s="563">
        <v>45748</v>
      </c>
      <c r="C403" s="346" t="s">
        <v>537</v>
      </c>
      <c r="D403" s="344" t="str">
        <f>+VLOOKUP(C403,'Visual chart Edit'!$B$7:$C$491,2,FALSE)</f>
        <v>DA+6</v>
      </c>
      <c r="E403" s="562" t="s">
        <v>143</v>
      </c>
      <c r="F403" s="551">
        <v>45765</v>
      </c>
      <c r="G403" s="551">
        <v>45769</v>
      </c>
      <c r="H403" s="560" t="s">
        <v>647</v>
      </c>
      <c r="I403" s="553" t="s">
        <v>222</v>
      </c>
      <c r="J403" s="554">
        <f t="shared" si="6"/>
        <v>4</v>
      </c>
    </row>
    <row r="404" spans="1:10" x14ac:dyDescent="0.2">
      <c r="A404" s="344">
        <f>+SUBTOTAL(3,$E$8:$E404)</f>
        <v>397</v>
      </c>
      <c r="B404" s="563">
        <v>45748</v>
      </c>
      <c r="C404" s="346" t="s">
        <v>65</v>
      </c>
      <c r="D404" s="344" t="str">
        <f>+VLOOKUP(C404,'Visual chart Edit'!$B$7:$C$491,2,FALSE)</f>
        <v>DA+3</v>
      </c>
      <c r="E404" s="562" t="s">
        <v>32</v>
      </c>
      <c r="F404" s="551">
        <v>45764</v>
      </c>
      <c r="G404" s="551">
        <v>45770</v>
      </c>
      <c r="H404" s="560" t="s">
        <v>1261</v>
      </c>
      <c r="I404" s="553" t="s">
        <v>222</v>
      </c>
      <c r="J404" s="554">
        <f t="shared" si="6"/>
        <v>6</v>
      </c>
    </row>
    <row r="405" spans="1:10" x14ac:dyDescent="0.2">
      <c r="A405" s="344">
        <f>+SUBTOTAL(3,$E$8:$E405)</f>
        <v>398</v>
      </c>
      <c r="B405" s="563">
        <v>45748</v>
      </c>
      <c r="C405" s="346" t="s">
        <v>536</v>
      </c>
      <c r="D405" s="344" t="str">
        <f>+VLOOKUP(C405,'Visual chart Edit'!$B$7:$C$491,2,FALSE)</f>
        <v>DA+0</v>
      </c>
      <c r="E405" s="562" t="s">
        <v>143</v>
      </c>
      <c r="F405" s="551">
        <v>45768</v>
      </c>
      <c r="G405" s="551">
        <v>45770</v>
      </c>
      <c r="H405" s="560" t="s">
        <v>647</v>
      </c>
      <c r="I405" s="553" t="s">
        <v>222</v>
      </c>
      <c r="J405" s="554">
        <f t="shared" si="6"/>
        <v>2</v>
      </c>
    </row>
    <row r="406" spans="1:10" x14ac:dyDescent="0.2">
      <c r="A406" s="344">
        <f>+SUBTOTAL(3,$E$8:$E406)</f>
        <v>399</v>
      </c>
      <c r="B406" s="563">
        <v>45748</v>
      </c>
      <c r="C406" s="346" t="s">
        <v>535</v>
      </c>
      <c r="D406" s="344" t="str">
        <f>+VLOOKUP(C406,'Visual chart Edit'!$B$7:$C$491,2,FALSE)</f>
        <v>DB2+6</v>
      </c>
      <c r="E406" s="562" t="s">
        <v>143</v>
      </c>
      <c r="F406" s="551">
        <v>45771</v>
      </c>
      <c r="G406" s="551">
        <v>45773</v>
      </c>
      <c r="H406" s="560" t="s">
        <v>647</v>
      </c>
      <c r="I406" s="553" t="s">
        <v>222</v>
      </c>
      <c r="J406" s="554">
        <f t="shared" si="6"/>
        <v>2</v>
      </c>
    </row>
    <row r="407" spans="1:10" x14ac:dyDescent="0.2">
      <c r="A407" s="344">
        <f>+SUBTOTAL(3,$E$8:$E407)</f>
        <v>400</v>
      </c>
      <c r="B407" s="563">
        <v>45748</v>
      </c>
      <c r="C407" s="346" t="s">
        <v>541</v>
      </c>
      <c r="D407" s="344" t="str">
        <f>+VLOOKUP(C407,'Visual chart Edit'!$B$7:$C$491,2,FALSE)</f>
        <v>DA+0</v>
      </c>
      <c r="E407" s="562" t="s">
        <v>143</v>
      </c>
      <c r="F407" s="551">
        <v>45774</v>
      </c>
      <c r="G407" s="551">
        <v>45776</v>
      </c>
      <c r="H407" s="560" t="s">
        <v>647</v>
      </c>
      <c r="I407" s="553" t="s">
        <v>222</v>
      </c>
      <c r="J407" s="554">
        <f t="shared" si="6"/>
        <v>2</v>
      </c>
    </row>
    <row r="408" spans="1:10" x14ac:dyDescent="0.2">
      <c r="A408" s="344">
        <f>+SUBTOTAL(3,$E$8:$E408)</f>
        <v>401</v>
      </c>
      <c r="B408" s="563">
        <v>45778</v>
      </c>
      <c r="C408" s="564" t="s">
        <v>542</v>
      </c>
      <c r="D408" s="344" t="str">
        <f>+VLOOKUP(C408,'Visual chart Edit'!$B$7:$C$491,2,FALSE)</f>
        <v>DC2+0</v>
      </c>
      <c r="E408" s="562" t="s">
        <v>143</v>
      </c>
      <c r="F408" s="551">
        <v>45777</v>
      </c>
      <c r="G408" s="551">
        <v>45782</v>
      </c>
      <c r="H408" s="560" t="s">
        <v>647</v>
      </c>
      <c r="I408" s="553" t="s">
        <v>222</v>
      </c>
      <c r="J408" s="554">
        <f t="shared" si="6"/>
        <v>5</v>
      </c>
    </row>
    <row r="409" spans="1:10" x14ac:dyDescent="0.2">
      <c r="A409" s="344">
        <f>+SUBTOTAL(3,$E$8:$E409)</f>
        <v>402</v>
      </c>
      <c r="B409" s="563">
        <v>45778</v>
      </c>
      <c r="C409" s="564" t="s">
        <v>552</v>
      </c>
      <c r="D409" s="344" t="str">
        <f>+VLOOKUP(C409,'Visual chart Edit'!$B$7:$C$491,2,FALSE)</f>
        <v>DA+6</v>
      </c>
      <c r="E409" s="562" t="s">
        <v>143</v>
      </c>
      <c r="F409" s="551">
        <v>45779</v>
      </c>
      <c r="G409" s="551">
        <v>45787</v>
      </c>
      <c r="H409" s="560" t="s">
        <v>647</v>
      </c>
      <c r="I409" s="565" t="s">
        <v>222</v>
      </c>
      <c r="J409" s="554">
        <f t="shared" si="6"/>
        <v>8</v>
      </c>
    </row>
    <row r="410" spans="1:10" x14ac:dyDescent="0.2">
      <c r="A410" s="344">
        <f>+SUBTOTAL(3,$E$8:$E410)</f>
        <v>403</v>
      </c>
      <c r="B410" s="563">
        <v>45778</v>
      </c>
      <c r="C410" s="564" t="s">
        <v>69</v>
      </c>
      <c r="D410" s="344" t="str">
        <f>+VLOOKUP(C410,'Visual chart Edit'!$B$7:$C$491,2,FALSE)</f>
        <v>DA+0</v>
      </c>
      <c r="E410" s="562" t="s">
        <v>143</v>
      </c>
      <c r="F410" s="551">
        <v>45784</v>
      </c>
      <c r="G410" s="551">
        <v>45789</v>
      </c>
      <c r="H410" s="560" t="s">
        <v>1261</v>
      </c>
      <c r="I410" s="553" t="s">
        <v>222</v>
      </c>
      <c r="J410" s="554">
        <f t="shared" si="6"/>
        <v>5</v>
      </c>
    </row>
    <row r="411" spans="1:10" x14ac:dyDescent="0.2">
      <c r="A411" s="344">
        <f>+SUBTOTAL(3,$E$8:$E411)</f>
        <v>404</v>
      </c>
      <c r="B411" s="563">
        <v>45778</v>
      </c>
      <c r="C411" s="346" t="s">
        <v>634</v>
      </c>
      <c r="D411" s="344" t="str">
        <f>+VLOOKUP(C411,'Visual chart Edit'!$B$7:$C$491,2,FALSE)</f>
        <v>DA+0</v>
      </c>
      <c r="E411" s="562" t="s">
        <v>143</v>
      </c>
      <c r="F411" s="551">
        <v>45776</v>
      </c>
      <c r="G411" s="551">
        <v>45793</v>
      </c>
      <c r="H411" s="560" t="s">
        <v>1017</v>
      </c>
      <c r="I411" s="553" t="s">
        <v>659</v>
      </c>
      <c r="J411" s="554">
        <f t="shared" si="6"/>
        <v>17</v>
      </c>
    </row>
    <row r="412" spans="1:10" x14ac:dyDescent="0.2">
      <c r="A412" s="344">
        <f>+SUBTOTAL(3,$E$8:$E412)</f>
        <v>405</v>
      </c>
      <c r="B412" s="563">
        <v>45778</v>
      </c>
      <c r="C412" s="346" t="s">
        <v>67</v>
      </c>
      <c r="D412" s="344" t="str">
        <f>+VLOOKUP(C412,'Visual chart Edit'!$B$7:$C$491,2,FALSE)</f>
        <v>DA+3</v>
      </c>
      <c r="E412" s="562" t="s">
        <v>32</v>
      </c>
      <c r="F412" s="551">
        <v>45789</v>
      </c>
      <c r="G412" s="551">
        <v>45795</v>
      </c>
      <c r="H412" s="560" t="s">
        <v>1261</v>
      </c>
      <c r="I412" s="553" t="s">
        <v>222</v>
      </c>
      <c r="J412" s="554">
        <f t="shared" si="6"/>
        <v>6</v>
      </c>
    </row>
    <row r="413" spans="1:10" x14ac:dyDescent="0.2">
      <c r="A413" s="344">
        <f>+SUBTOTAL(3,$E$8:$E413)</f>
        <v>406</v>
      </c>
      <c r="B413" s="563">
        <v>45778</v>
      </c>
      <c r="C413" s="346" t="s">
        <v>538</v>
      </c>
      <c r="D413" s="344" t="str">
        <f>+VLOOKUP(C413,'Visual chart Edit'!$B$7:$C$491,2,FALSE)</f>
        <v>DA+9</v>
      </c>
      <c r="E413" s="562" t="s">
        <v>143</v>
      </c>
      <c r="F413" s="551">
        <v>45789</v>
      </c>
      <c r="G413" s="551">
        <v>45796</v>
      </c>
      <c r="H413" s="560" t="s">
        <v>647</v>
      </c>
      <c r="I413" s="553" t="s">
        <v>222</v>
      </c>
      <c r="J413" s="554">
        <f t="shared" si="6"/>
        <v>7</v>
      </c>
    </row>
    <row r="414" spans="1:10" x14ac:dyDescent="0.2">
      <c r="A414" s="344">
        <f>+SUBTOTAL(3,$E$8:$E414)</f>
        <v>407</v>
      </c>
      <c r="B414" s="563">
        <v>45778</v>
      </c>
      <c r="C414" s="346" t="s">
        <v>562</v>
      </c>
      <c r="D414" s="344" t="str">
        <f>+VLOOKUP(C414,'Visual chart Edit'!$B$7:$C$491,2,FALSE)</f>
        <v>DA+0</v>
      </c>
      <c r="E414" s="562" t="s">
        <v>143</v>
      </c>
      <c r="F414" s="551">
        <v>45793</v>
      </c>
      <c r="G414" s="551">
        <v>45797</v>
      </c>
      <c r="H414" s="560" t="s">
        <v>647</v>
      </c>
      <c r="I414" s="553" t="s">
        <v>222</v>
      </c>
      <c r="J414" s="554">
        <f t="shared" si="6"/>
        <v>4</v>
      </c>
    </row>
    <row r="415" spans="1:10" x14ac:dyDescent="0.2">
      <c r="A415" s="344">
        <f>+SUBTOTAL(3,$E$8:$E415)</f>
        <v>408</v>
      </c>
      <c r="B415" s="563">
        <v>45778</v>
      </c>
      <c r="C415" s="346" t="s">
        <v>554</v>
      </c>
      <c r="D415" s="344" t="str">
        <f>+VLOOKUP(C415,'Visual chart Edit'!$B$7:$C$491,2,FALSE)</f>
        <v>DA+3</v>
      </c>
      <c r="E415" s="562" t="s">
        <v>143</v>
      </c>
      <c r="F415" s="551">
        <v>45795</v>
      </c>
      <c r="G415" s="551">
        <v>45801</v>
      </c>
      <c r="H415" s="560" t="s">
        <v>647</v>
      </c>
      <c r="I415" s="553" t="s">
        <v>222</v>
      </c>
      <c r="J415" s="554">
        <f t="shared" si="6"/>
        <v>6</v>
      </c>
    </row>
    <row r="416" spans="1:10" x14ac:dyDescent="0.2">
      <c r="A416" s="344">
        <f>+SUBTOTAL(3,$E$8:$E416)</f>
        <v>409</v>
      </c>
      <c r="B416" s="563">
        <v>45778</v>
      </c>
      <c r="C416" s="346" t="s">
        <v>176</v>
      </c>
      <c r="D416" s="344" t="str">
        <f>+VLOOKUP(C416,'Visual chart Edit'!$B$7:$C$491,2,FALSE)</f>
        <v>DA+3</v>
      </c>
      <c r="E416" s="562" t="s">
        <v>32</v>
      </c>
      <c r="F416" s="551">
        <v>45790</v>
      </c>
      <c r="G416" s="551">
        <v>45803</v>
      </c>
      <c r="H416" s="560" t="s">
        <v>1347</v>
      </c>
      <c r="I416" s="553" t="s">
        <v>1270</v>
      </c>
      <c r="J416" s="554">
        <f t="shared" si="6"/>
        <v>13</v>
      </c>
    </row>
    <row r="417" spans="1:10" x14ac:dyDescent="0.2">
      <c r="A417" s="344">
        <f>+SUBTOTAL(3,$E$8:$E417)</f>
        <v>410</v>
      </c>
      <c r="B417" s="563">
        <v>45778</v>
      </c>
      <c r="C417" s="346" t="s">
        <v>186</v>
      </c>
      <c r="D417" s="344" t="str">
        <f>+VLOOKUP(C417,'Visual chart Edit'!$B$7:$C$491,2,FALSE)</f>
        <v>DB1+0</v>
      </c>
      <c r="E417" s="562" t="s">
        <v>32</v>
      </c>
      <c r="F417" s="551">
        <v>45795</v>
      </c>
      <c r="G417" s="551">
        <v>45804</v>
      </c>
      <c r="H417" s="560" t="s">
        <v>1261</v>
      </c>
      <c r="I417" s="553" t="s">
        <v>222</v>
      </c>
      <c r="J417" s="554">
        <f t="shared" si="6"/>
        <v>9</v>
      </c>
    </row>
    <row r="418" spans="1:10" x14ac:dyDescent="0.2">
      <c r="A418" s="344">
        <f>+SUBTOTAL(3,$E$8:$E418)</f>
        <v>411</v>
      </c>
      <c r="B418" s="563">
        <v>45778</v>
      </c>
      <c r="C418" s="346" t="s">
        <v>458</v>
      </c>
      <c r="D418" s="344" t="str">
        <f>+VLOOKUP(C418,'Visual chart Edit'!$B$7:$C$491,2,FALSE)</f>
        <v>DA+0</v>
      </c>
      <c r="E418" s="562" t="s">
        <v>276</v>
      </c>
      <c r="F418" s="551">
        <v>45790</v>
      </c>
      <c r="G418" s="551">
        <v>45805</v>
      </c>
      <c r="H418" s="560" t="s">
        <v>1385</v>
      </c>
      <c r="I418" s="553" t="s">
        <v>659</v>
      </c>
      <c r="J418" s="554">
        <f t="shared" si="6"/>
        <v>15</v>
      </c>
    </row>
    <row r="419" spans="1:10" x14ac:dyDescent="0.2">
      <c r="A419" s="344">
        <f>+SUBTOTAL(3,$E$8:$E419)</f>
        <v>412</v>
      </c>
      <c r="B419" s="563">
        <v>45778</v>
      </c>
      <c r="C419" s="346" t="s">
        <v>454</v>
      </c>
      <c r="D419" s="344" t="str">
        <f>+VLOOKUP(C419,'Visual chart Edit'!$B$7:$C$491,2,FALSE)</f>
        <v>DA+0</v>
      </c>
      <c r="E419" s="562" t="s">
        <v>143</v>
      </c>
      <c r="F419" s="551">
        <v>45803</v>
      </c>
      <c r="G419" s="551">
        <v>45807</v>
      </c>
      <c r="H419" s="560" t="s">
        <v>1017</v>
      </c>
      <c r="I419" s="553" t="s">
        <v>659</v>
      </c>
      <c r="J419" s="554">
        <f t="shared" si="6"/>
        <v>4</v>
      </c>
    </row>
    <row r="420" spans="1:10" x14ac:dyDescent="0.2">
      <c r="A420" s="344">
        <f>+SUBTOTAL(3,$E$8:$E420)</f>
        <v>413</v>
      </c>
      <c r="B420" s="563">
        <v>45778</v>
      </c>
      <c r="C420" s="346" t="s">
        <v>155</v>
      </c>
      <c r="D420" s="344" t="str">
        <f>+VLOOKUP(C420,'Visual chart Edit'!$B$7:$C$491,2,FALSE)</f>
        <v>DA+0</v>
      </c>
      <c r="E420" s="562" t="s">
        <v>276</v>
      </c>
      <c r="F420" s="551">
        <v>45789</v>
      </c>
      <c r="G420" s="551">
        <v>45807</v>
      </c>
      <c r="H420" s="560" t="s">
        <v>1368</v>
      </c>
      <c r="I420" s="553" t="s">
        <v>659</v>
      </c>
      <c r="J420" s="554">
        <f t="shared" si="6"/>
        <v>18</v>
      </c>
    </row>
    <row r="421" spans="1:10" x14ac:dyDescent="0.2">
      <c r="A421" s="344">
        <f>+SUBTOTAL(3,$E$8:$E421)</f>
        <v>414</v>
      </c>
      <c r="B421" s="563">
        <v>45809</v>
      </c>
      <c r="C421" s="346" t="s">
        <v>556</v>
      </c>
      <c r="D421" s="344" t="str">
        <f>+VLOOKUP(C421,'Visual chart Edit'!$B$7:$C$491,2,FALSE)</f>
        <v>DB1+9</v>
      </c>
      <c r="E421" s="562" t="s">
        <v>143</v>
      </c>
      <c r="F421" s="551">
        <v>45798</v>
      </c>
      <c r="G421" s="551">
        <v>45810</v>
      </c>
      <c r="H421" s="560" t="s">
        <v>647</v>
      </c>
      <c r="I421" s="553" t="s">
        <v>222</v>
      </c>
      <c r="J421" s="554">
        <f t="shared" si="6"/>
        <v>12</v>
      </c>
    </row>
    <row r="422" spans="1:10" x14ac:dyDescent="0.2">
      <c r="A422" s="344">
        <f>+SUBTOTAL(3,$E$8:$E422)</f>
        <v>415</v>
      </c>
      <c r="B422" s="563">
        <v>45809</v>
      </c>
      <c r="C422" s="346" t="s">
        <v>201</v>
      </c>
      <c r="D422" s="344" t="str">
        <f>+VLOOKUP(C422,'Visual chart Edit'!$B$7:$C$491,2,FALSE)</f>
        <v>DA+3</v>
      </c>
      <c r="E422" s="562" t="s">
        <v>276</v>
      </c>
      <c r="F422" s="551">
        <v>45798</v>
      </c>
      <c r="G422" s="551">
        <v>45811</v>
      </c>
      <c r="H422" s="560" t="s">
        <v>1380</v>
      </c>
      <c r="I422" s="553" t="s">
        <v>222</v>
      </c>
      <c r="J422" s="554">
        <f t="shared" si="6"/>
        <v>13</v>
      </c>
    </row>
    <row r="423" spans="1:10" x14ac:dyDescent="0.2">
      <c r="A423" s="344">
        <f>+SUBTOTAL(3,$E$8:$E423)</f>
        <v>416</v>
      </c>
      <c r="B423" s="563">
        <v>45809</v>
      </c>
      <c r="C423" s="346" t="s">
        <v>529</v>
      </c>
      <c r="D423" s="344" t="str">
        <f>+VLOOKUP(C423,'Visual chart Edit'!$B$7:$C$491,2,FALSE)</f>
        <v>DA+3</v>
      </c>
      <c r="E423" s="562" t="s">
        <v>32</v>
      </c>
      <c r="F423" s="551">
        <v>45784</v>
      </c>
      <c r="G423" s="551">
        <v>45814</v>
      </c>
      <c r="H423" s="560" t="s">
        <v>1347</v>
      </c>
      <c r="I423" s="553" t="s">
        <v>1270</v>
      </c>
      <c r="J423" s="554">
        <f t="shared" si="6"/>
        <v>30</v>
      </c>
    </row>
    <row r="424" spans="1:10" x14ac:dyDescent="0.2">
      <c r="A424" s="344">
        <f>+SUBTOTAL(3,$E$8:$E424)</f>
        <v>417</v>
      </c>
      <c r="B424" s="563">
        <v>45809</v>
      </c>
      <c r="C424" s="346" t="s">
        <v>519</v>
      </c>
      <c r="D424" s="344" t="str">
        <f>+VLOOKUP(C424,'Visual chart Edit'!$B$7:$C$491,2,FALSE)</f>
        <v>DA+0</v>
      </c>
      <c r="E424" s="562" t="s">
        <v>276</v>
      </c>
      <c r="F424" s="551">
        <v>45809</v>
      </c>
      <c r="G424" s="551">
        <v>45814</v>
      </c>
      <c r="H424" s="560" t="s">
        <v>1386</v>
      </c>
      <c r="I424" s="553" t="s">
        <v>1270</v>
      </c>
      <c r="J424" s="554">
        <f t="shared" si="6"/>
        <v>5</v>
      </c>
    </row>
    <row r="425" spans="1:10" x14ac:dyDescent="0.2">
      <c r="A425" s="344">
        <f>+SUBTOTAL(3,$E$8:$E425)</f>
        <v>418</v>
      </c>
      <c r="B425" s="563">
        <v>45809</v>
      </c>
      <c r="C425" s="346" t="s">
        <v>555</v>
      </c>
      <c r="D425" s="344" t="str">
        <f>+VLOOKUP(C425,'Visual chart Edit'!$B$7:$C$491,2,FALSE)</f>
        <v>DC1+6</v>
      </c>
      <c r="E425" s="562" t="s">
        <v>143</v>
      </c>
      <c r="F425" s="551">
        <v>45809</v>
      </c>
      <c r="G425" s="551">
        <v>45816</v>
      </c>
      <c r="H425" s="560" t="s">
        <v>647</v>
      </c>
      <c r="I425" s="553" t="s">
        <v>222</v>
      </c>
      <c r="J425" s="554">
        <f t="shared" si="6"/>
        <v>7</v>
      </c>
    </row>
    <row r="426" spans="1:10" x14ac:dyDescent="0.2">
      <c r="A426" s="344">
        <f>+SUBTOTAL(3,$E$8:$E426)</f>
        <v>419</v>
      </c>
      <c r="B426" s="563">
        <v>45809</v>
      </c>
      <c r="C426" s="346" t="s">
        <v>64</v>
      </c>
      <c r="D426" s="344" t="str">
        <f>+VLOOKUP(C426,'Visual chart Edit'!$B$7:$C$491,2,FALSE)</f>
        <v>DA+3</v>
      </c>
      <c r="E426" s="562" t="s">
        <v>32</v>
      </c>
      <c r="F426" s="551">
        <v>45779</v>
      </c>
      <c r="G426" s="551">
        <v>45819</v>
      </c>
      <c r="H426" s="560" t="s">
        <v>1261</v>
      </c>
      <c r="I426" s="553" t="s">
        <v>222</v>
      </c>
      <c r="J426" s="554">
        <f t="shared" si="6"/>
        <v>40</v>
      </c>
    </row>
    <row r="427" spans="1:10" x14ac:dyDescent="0.2">
      <c r="A427" s="344">
        <f>+SUBTOTAL(3,$E$8:$E427)</f>
        <v>420</v>
      </c>
      <c r="B427" s="563">
        <v>45809</v>
      </c>
      <c r="C427" s="346" t="s">
        <v>202</v>
      </c>
      <c r="D427" s="344" t="str">
        <f>+VLOOKUP(C427,'Visual chart Edit'!$B$7:$C$491,2,FALSE)</f>
        <v>DA+3</v>
      </c>
      <c r="E427" s="562" t="s">
        <v>276</v>
      </c>
      <c r="F427" s="551">
        <v>45807</v>
      </c>
      <c r="G427" s="551">
        <v>45820</v>
      </c>
      <c r="H427" s="560" t="s">
        <v>1380</v>
      </c>
      <c r="I427" s="553" t="s">
        <v>222</v>
      </c>
      <c r="J427" s="554">
        <f t="shared" si="6"/>
        <v>13</v>
      </c>
    </row>
    <row r="428" spans="1:10" outlineLevel="1" x14ac:dyDescent="0.2">
      <c r="A428" s="344">
        <f>+SUBTOTAL(3,$E$8:$E428)</f>
        <v>421</v>
      </c>
      <c r="B428" s="563">
        <v>45809</v>
      </c>
      <c r="C428" s="346" t="s">
        <v>453</v>
      </c>
      <c r="D428" s="344" t="str">
        <f>+VLOOKUP(C428,'Visual chart Edit'!$B$7:$C$491,2,FALSE)</f>
        <v>DA+3</v>
      </c>
      <c r="E428" s="562" t="s">
        <v>143</v>
      </c>
      <c r="F428" s="551">
        <v>45807</v>
      </c>
      <c r="G428" s="551">
        <v>45821</v>
      </c>
      <c r="H428" s="560" t="s">
        <v>1017</v>
      </c>
      <c r="I428" s="553" t="s">
        <v>659</v>
      </c>
      <c r="J428" s="554">
        <f t="shared" si="6"/>
        <v>14</v>
      </c>
    </row>
    <row r="429" spans="1:10" outlineLevel="1" x14ac:dyDescent="0.2">
      <c r="A429" s="344">
        <f>+SUBTOTAL(3,$E$8:$E429)</f>
        <v>422</v>
      </c>
      <c r="B429" s="563">
        <v>45809</v>
      </c>
      <c r="C429" s="346" t="s">
        <v>480</v>
      </c>
      <c r="D429" s="344" t="str">
        <f>+VLOOKUP(C429,'Visual chart Edit'!$B$7:$C$491,2,FALSE)</f>
        <v>DA+0</v>
      </c>
      <c r="E429" s="562" t="s">
        <v>143</v>
      </c>
      <c r="F429" s="551">
        <v>45816</v>
      </c>
      <c r="G429" s="551">
        <v>45821</v>
      </c>
      <c r="H429" s="560" t="s">
        <v>1388</v>
      </c>
      <c r="I429" s="553" t="s">
        <v>659</v>
      </c>
      <c r="J429" s="554">
        <f t="shared" si="6"/>
        <v>5</v>
      </c>
    </row>
    <row r="430" spans="1:10" outlineLevel="1" x14ac:dyDescent="0.2">
      <c r="A430" s="344">
        <f>+SUBTOTAL(3,$E$8:$E430)</f>
        <v>423</v>
      </c>
      <c r="B430" s="563">
        <v>45809</v>
      </c>
      <c r="C430" s="346" t="s">
        <v>86</v>
      </c>
      <c r="D430" s="344" t="str">
        <f>+VLOOKUP(C430,'Visual chart Edit'!$B$7:$C$491,2,FALSE)</f>
        <v>DA+0</v>
      </c>
      <c r="E430" s="562" t="s">
        <v>143</v>
      </c>
      <c r="F430" s="551">
        <v>45818</v>
      </c>
      <c r="G430" s="551">
        <v>45821</v>
      </c>
      <c r="H430" s="560" t="s">
        <v>647</v>
      </c>
      <c r="I430" s="553" t="s">
        <v>222</v>
      </c>
      <c r="J430" s="554">
        <f t="shared" si="6"/>
        <v>3</v>
      </c>
    </row>
    <row r="431" spans="1:10" outlineLevel="1" x14ac:dyDescent="0.2">
      <c r="A431" s="344">
        <f>+SUBTOTAL(3,$E$8:$E431)</f>
        <v>424</v>
      </c>
      <c r="B431" s="563">
        <v>45809</v>
      </c>
      <c r="C431" s="346" t="s">
        <v>87</v>
      </c>
      <c r="D431" s="344" t="str">
        <f>+VLOOKUP(C431,'Visual chart Edit'!$B$7:$C$491,2,FALSE)</f>
        <v>DA+0</v>
      </c>
      <c r="E431" s="562" t="s">
        <v>143</v>
      </c>
      <c r="F431" s="551">
        <v>45818</v>
      </c>
      <c r="G431" s="551">
        <v>45823</v>
      </c>
      <c r="H431" s="560" t="s">
        <v>647</v>
      </c>
      <c r="I431" s="553" t="s">
        <v>222</v>
      </c>
      <c r="J431" s="554">
        <f t="shared" si="6"/>
        <v>5</v>
      </c>
    </row>
    <row r="432" spans="1:10" outlineLevel="1" x14ac:dyDescent="0.2">
      <c r="A432" s="344">
        <f>+SUBTOTAL(3,$E$8:$E432)</f>
        <v>425</v>
      </c>
      <c r="B432" s="563">
        <v>45809</v>
      </c>
      <c r="C432" s="346" t="s">
        <v>46</v>
      </c>
      <c r="D432" s="344" t="str">
        <f>+VLOOKUP(C432,'Visual chart Edit'!$B$7:$C$491,2,FALSE)</f>
        <v>DD60+25</v>
      </c>
      <c r="E432" s="562" t="s">
        <v>32</v>
      </c>
      <c r="F432" s="551">
        <v>45791</v>
      </c>
      <c r="G432" s="551">
        <v>45826</v>
      </c>
      <c r="H432" s="560" t="s">
        <v>1368</v>
      </c>
      <c r="I432" s="553" t="s">
        <v>659</v>
      </c>
      <c r="J432" s="554">
        <f t="shared" si="6"/>
        <v>35</v>
      </c>
    </row>
    <row r="433" spans="1:10" outlineLevel="1" x14ac:dyDescent="0.2">
      <c r="A433" s="344">
        <f>+SUBTOTAL(3,$E$8:$E433)</f>
        <v>426</v>
      </c>
      <c r="B433" s="563">
        <v>45809</v>
      </c>
      <c r="C433" s="346" t="s">
        <v>456</v>
      </c>
      <c r="D433" s="344" t="str">
        <f>+VLOOKUP(C433,'Visual chart Edit'!$B$7:$C$491,2,FALSE)</f>
        <v>DA+0</v>
      </c>
      <c r="E433" s="562" t="s">
        <v>276</v>
      </c>
      <c r="F433" s="551">
        <v>45773</v>
      </c>
      <c r="G433" s="551">
        <v>45827</v>
      </c>
      <c r="H433" s="560" t="s">
        <v>1017</v>
      </c>
      <c r="I433" s="553" t="s">
        <v>659</v>
      </c>
      <c r="J433" s="554">
        <f t="shared" si="6"/>
        <v>54</v>
      </c>
    </row>
    <row r="434" spans="1:10" outlineLevel="1" x14ac:dyDescent="0.2">
      <c r="A434" s="344">
        <f>+SUBTOTAL(3,$E$8:$E434)</f>
        <v>427</v>
      </c>
      <c r="B434" s="563">
        <v>45809</v>
      </c>
      <c r="C434" s="346" t="s">
        <v>527</v>
      </c>
      <c r="D434" s="344" t="str">
        <f>+VLOOKUP(C434,'Visual chart Edit'!$B$7:$C$491,2,FALSE)</f>
        <v>DA+6</v>
      </c>
      <c r="E434" s="562" t="s">
        <v>32</v>
      </c>
      <c r="F434" s="551">
        <v>45806</v>
      </c>
      <c r="G434" s="551">
        <v>45829</v>
      </c>
      <c r="H434" s="560" t="s">
        <v>1347</v>
      </c>
      <c r="I434" s="553" t="s">
        <v>1270</v>
      </c>
      <c r="J434" s="554">
        <f t="shared" si="6"/>
        <v>23</v>
      </c>
    </row>
    <row r="435" spans="1:10" outlineLevel="1" x14ac:dyDescent="0.2">
      <c r="A435" s="344">
        <f>+SUBTOTAL(3,$E$8:$E435)</f>
        <v>428</v>
      </c>
      <c r="B435" s="563">
        <v>45809</v>
      </c>
      <c r="C435" s="346" t="s">
        <v>215</v>
      </c>
      <c r="D435" s="344" t="str">
        <f>+VLOOKUP(C435,'Visual chart Edit'!$B$7:$C$491,2,FALSE)</f>
        <v>DA+6</v>
      </c>
      <c r="E435" s="562" t="s">
        <v>143</v>
      </c>
      <c r="F435" s="551">
        <v>45821</v>
      </c>
      <c r="G435" s="551">
        <v>45831</v>
      </c>
      <c r="H435" s="560" t="s">
        <v>647</v>
      </c>
      <c r="I435" s="553" t="s">
        <v>222</v>
      </c>
      <c r="J435" s="554">
        <f t="shared" si="6"/>
        <v>10</v>
      </c>
    </row>
    <row r="436" spans="1:10" outlineLevel="1" x14ac:dyDescent="0.2">
      <c r="A436" s="344">
        <f>+SUBTOTAL(3,$E$8:$E436)</f>
        <v>429</v>
      </c>
      <c r="B436" s="563">
        <v>45809</v>
      </c>
      <c r="C436" s="346" t="s">
        <v>203</v>
      </c>
      <c r="D436" s="344" t="str">
        <f>+VLOOKUP(C436,'Visual chart Edit'!$B$7:$C$491,2,FALSE)</f>
        <v>DA+0</v>
      </c>
      <c r="E436" s="562" t="s">
        <v>276</v>
      </c>
      <c r="F436" s="551">
        <v>45828</v>
      </c>
      <c r="G436" s="551">
        <v>45833</v>
      </c>
      <c r="H436" s="560" t="s">
        <v>1261</v>
      </c>
      <c r="I436" s="553" t="s">
        <v>222</v>
      </c>
      <c r="J436" s="554">
        <f t="shared" si="6"/>
        <v>5</v>
      </c>
    </row>
    <row r="437" spans="1:10" outlineLevel="1" x14ac:dyDescent="0.2">
      <c r="A437" s="344">
        <f>+SUBTOTAL(3,$E$8:$E437)</f>
        <v>430</v>
      </c>
      <c r="B437" s="563">
        <v>45809</v>
      </c>
      <c r="C437" s="346" t="s">
        <v>455</v>
      </c>
      <c r="D437" s="344" t="str">
        <f>+VLOOKUP(C437,'Visual chart Edit'!$B$7:$C$491,2,FALSE)</f>
        <v>DA+0</v>
      </c>
      <c r="E437" s="562" t="s">
        <v>276</v>
      </c>
      <c r="F437" s="551">
        <v>45816</v>
      </c>
      <c r="G437" s="551">
        <v>45833</v>
      </c>
      <c r="H437" s="560" t="s">
        <v>1017</v>
      </c>
      <c r="I437" s="553" t="s">
        <v>659</v>
      </c>
      <c r="J437" s="554">
        <f t="shared" si="6"/>
        <v>17</v>
      </c>
    </row>
    <row r="438" spans="1:10" outlineLevel="1" x14ac:dyDescent="0.2">
      <c r="A438" s="344">
        <f>+SUBTOTAL(3,$E$8:$E438)</f>
        <v>431</v>
      </c>
      <c r="B438" s="563">
        <v>45809</v>
      </c>
      <c r="C438" s="346" t="s">
        <v>88</v>
      </c>
      <c r="D438" s="344" t="str">
        <f>+VLOOKUP(C438,'Visual chart Edit'!$B$7:$C$491,2,FALSE)</f>
        <v>DB2+0</v>
      </c>
      <c r="E438" s="562" t="s">
        <v>143</v>
      </c>
      <c r="F438" s="551">
        <v>45831</v>
      </c>
      <c r="G438" s="551">
        <v>45836</v>
      </c>
      <c r="H438" s="560" t="s">
        <v>647</v>
      </c>
      <c r="I438" s="553" t="s">
        <v>222</v>
      </c>
      <c r="J438" s="554">
        <f t="shared" si="6"/>
        <v>5</v>
      </c>
    </row>
    <row r="439" spans="1:10" outlineLevel="1" x14ac:dyDescent="0.2">
      <c r="A439" s="344">
        <f>+SUBTOTAL(3,$E$8:$E439)</f>
        <v>432</v>
      </c>
      <c r="B439" s="563">
        <v>45809</v>
      </c>
      <c r="C439" s="346" t="s">
        <v>526</v>
      </c>
      <c r="D439" s="344" t="str">
        <f>+VLOOKUP(C439,'Visual chart Edit'!$B$7:$C$491,2,FALSE)</f>
        <v>DA+3</v>
      </c>
      <c r="E439" s="562" t="s">
        <v>143</v>
      </c>
      <c r="F439" s="551">
        <v>45819</v>
      </c>
      <c r="G439" s="551">
        <v>45838</v>
      </c>
      <c r="H439" s="560" t="s">
        <v>1347</v>
      </c>
      <c r="I439" s="553" t="s">
        <v>1270</v>
      </c>
      <c r="J439" s="554">
        <f t="shared" si="6"/>
        <v>19</v>
      </c>
    </row>
    <row r="440" spans="1:10" outlineLevel="1" x14ac:dyDescent="0.2">
      <c r="A440" s="344">
        <f>+SUBTOTAL(3,$E$8:$E440)</f>
        <v>433</v>
      </c>
      <c r="B440" s="563">
        <v>45839</v>
      </c>
      <c r="C440" s="346" t="s">
        <v>78</v>
      </c>
      <c r="D440" s="344" t="str">
        <f>+VLOOKUP(C440,'Visual chart Edit'!$B$7:$C$491,2,FALSE)</f>
        <v>DB2+0</v>
      </c>
      <c r="E440" s="562" t="s">
        <v>143</v>
      </c>
      <c r="F440" s="551">
        <v>45832</v>
      </c>
      <c r="G440" s="551">
        <v>45839</v>
      </c>
      <c r="H440" s="560" t="s">
        <v>1261</v>
      </c>
      <c r="I440" s="553" t="s">
        <v>222</v>
      </c>
      <c r="J440" s="554">
        <f t="shared" si="6"/>
        <v>7</v>
      </c>
    </row>
    <row r="441" spans="1:10" outlineLevel="1" x14ac:dyDescent="0.2">
      <c r="A441" s="344">
        <f>+SUBTOTAL(3,$E$8:$E441)</f>
        <v>434</v>
      </c>
      <c r="B441" s="563">
        <v>45839</v>
      </c>
      <c r="C441" s="346" t="s">
        <v>457</v>
      </c>
      <c r="D441" s="344" t="str">
        <f>+VLOOKUP(C441,'Visual chart Edit'!$B$7:$C$491,2,FALSE)</f>
        <v>DA+0</v>
      </c>
      <c r="E441" s="562" t="s">
        <v>276</v>
      </c>
      <c r="F441" s="551">
        <v>45831</v>
      </c>
      <c r="G441" s="551">
        <v>45839</v>
      </c>
      <c r="H441" s="560" t="s">
        <v>1416</v>
      </c>
      <c r="I441" s="553" t="s">
        <v>659</v>
      </c>
      <c r="J441" s="554">
        <f t="shared" si="6"/>
        <v>8</v>
      </c>
    </row>
    <row r="442" spans="1:10" outlineLevel="1" x14ac:dyDescent="0.2">
      <c r="A442" s="344">
        <f>+SUBTOTAL(3,$E$8:$E442)</f>
        <v>435</v>
      </c>
      <c r="B442" s="563">
        <v>45839</v>
      </c>
      <c r="C442" s="346" t="s">
        <v>38</v>
      </c>
      <c r="D442" s="344" t="str">
        <f>+VLOOKUP(C442,'Visual chart Edit'!$B$7:$C$491,2,FALSE)</f>
        <v>DD60+6</v>
      </c>
      <c r="E442" s="562" t="s">
        <v>276</v>
      </c>
      <c r="F442" s="551">
        <v>45779</v>
      </c>
      <c r="G442" s="551">
        <v>45840</v>
      </c>
      <c r="H442" s="560" t="s">
        <v>1017</v>
      </c>
      <c r="I442" s="553" t="s">
        <v>659</v>
      </c>
      <c r="J442" s="554">
        <f t="shared" si="6"/>
        <v>61</v>
      </c>
    </row>
    <row r="443" spans="1:10" outlineLevel="1" x14ac:dyDescent="0.2">
      <c r="A443" s="344">
        <f>+SUBTOTAL(3,$E$8:$E443)</f>
        <v>436</v>
      </c>
      <c r="B443" s="563">
        <v>45839</v>
      </c>
      <c r="C443" s="346" t="s">
        <v>459</v>
      </c>
      <c r="D443" s="344" t="str">
        <f>+VLOOKUP(C443,'Visual chart Edit'!$B$7:$C$491,2,FALSE)</f>
        <v>DA+0</v>
      </c>
      <c r="E443" s="562" t="s">
        <v>276</v>
      </c>
      <c r="F443" s="551">
        <v>45835</v>
      </c>
      <c r="G443" s="551">
        <v>45840</v>
      </c>
      <c r="H443" s="560" t="s">
        <v>1420</v>
      </c>
      <c r="I443" s="553" t="s">
        <v>659</v>
      </c>
      <c r="J443" s="554">
        <f t="shared" si="6"/>
        <v>5</v>
      </c>
    </row>
    <row r="444" spans="1:10" outlineLevel="1" x14ac:dyDescent="0.2">
      <c r="A444" s="344">
        <f>+SUBTOTAL(3,$E$8:$E444)</f>
        <v>437</v>
      </c>
      <c r="B444" s="563">
        <v>45839</v>
      </c>
      <c r="C444" s="346" t="s">
        <v>525</v>
      </c>
      <c r="D444" s="344" t="str">
        <f>+VLOOKUP(C444,'Visual chart Edit'!$B$7:$C$491,2,FALSE)</f>
        <v>DA+6</v>
      </c>
      <c r="E444" s="562" t="s">
        <v>143</v>
      </c>
      <c r="F444" s="551">
        <v>45829</v>
      </c>
      <c r="G444" s="551">
        <v>45843</v>
      </c>
      <c r="H444" s="560" t="s">
        <v>1347</v>
      </c>
      <c r="I444" s="553" t="s">
        <v>1270</v>
      </c>
      <c r="J444" s="554">
        <f t="shared" si="6"/>
        <v>14</v>
      </c>
    </row>
    <row r="445" spans="1:10" outlineLevel="1" x14ac:dyDescent="0.2">
      <c r="A445" s="344">
        <f>+SUBTOTAL(3,$E$8:$E445)</f>
        <v>438</v>
      </c>
      <c r="B445" s="563">
        <v>45839</v>
      </c>
      <c r="C445" s="346" t="s">
        <v>466</v>
      </c>
      <c r="D445" s="344" t="str">
        <f>+VLOOKUP(C445,'Visual chart Edit'!$B$7:$C$491,2,FALSE)</f>
        <v>DA+0</v>
      </c>
      <c r="E445" s="562" t="s">
        <v>276</v>
      </c>
      <c r="F445" s="551">
        <v>45789</v>
      </c>
      <c r="G445" s="551">
        <v>45844</v>
      </c>
      <c r="H445" s="560" t="s">
        <v>1017</v>
      </c>
      <c r="I445" s="553" t="s">
        <v>659</v>
      </c>
      <c r="J445" s="554">
        <f t="shared" si="6"/>
        <v>55</v>
      </c>
    </row>
    <row r="446" spans="1:10" outlineLevel="1" x14ac:dyDescent="0.2">
      <c r="A446" s="344">
        <f>+SUBTOTAL(3,$E$8:$E446)</f>
        <v>439</v>
      </c>
      <c r="B446" s="563">
        <v>45839</v>
      </c>
      <c r="C446" s="346" t="s">
        <v>461</v>
      </c>
      <c r="D446" s="344" t="str">
        <f>+VLOOKUP(C446,'Visual chart Edit'!$B$7:$C$491,2,FALSE)</f>
        <v>DA+3</v>
      </c>
      <c r="E446" s="562" t="s">
        <v>276</v>
      </c>
      <c r="F446" s="551">
        <v>45825</v>
      </c>
      <c r="G446" s="551">
        <v>45846</v>
      </c>
      <c r="H446" s="560" t="s">
        <v>1423</v>
      </c>
      <c r="I446" s="553" t="s">
        <v>659</v>
      </c>
      <c r="J446" s="554">
        <f t="shared" si="6"/>
        <v>21</v>
      </c>
    </row>
    <row r="447" spans="1:10" outlineLevel="1" x14ac:dyDescent="0.2">
      <c r="A447" s="344">
        <f>+SUBTOTAL(3,$E$8:$E447)</f>
        <v>440</v>
      </c>
      <c r="B447" s="563">
        <v>45839</v>
      </c>
      <c r="C447" s="346" t="s">
        <v>534</v>
      </c>
      <c r="D447" s="344" t="str">
        <f>+VLOOKUP(C447,'Visual chart Edit'!$B$7:$C$491,2,FALSE)</f>
        <v>DA+9</v>
      </c>
      <c r="E447" s="562" t="s">
        <v>143</v>
      </c>
      <c r="F447" s="551">
        <v>45836</v>
      </c>
      <c r="G447" s="551">
        <v>45847</v>
      </c>
      <c r="H447" s="560" t="s">
        <v>647</v>
      </c>
      <c r="I447" s="553" t="s">
        <v>222</v>
      </c>
      <c r="J447" s="554">
        <f t="shared" si="6"/>
        <v>11</v>
      </c>
    </row>
    <row r="448" spans="1:10" outlineLevel="1" x14ac:dyDescent="0.2">
      <c r="A448" s="344">
        <f>+SUBTOTAL(3,$E$8:$E448)</f>
        <v>441</v>
      </c>
      <c r="B448" s="563">
        <v>45839</v>
      </c>
      <c r="C448" s="346" t="s">
        <v>150</v>
      </c>
      <c r="D448" s="344" t="str">
        <f>+VLOOKUP(C448,'Visual chart Edit'!$B$7:$C$491,2,FALSE)</f>
        <v>DA+3</v>
      </c>
      <c r="E448" s="562" t="s">
        <v>276</v>
      </c>
      <c r="F448" s="551">
        <v>45846</v>
      </c>
      <c r="G448" s="551">
        <v>45850</v>
      </c>
      <c r="H448" s="560" t="s">
        <v>1423</v>
      </c>
      <c r="I448" s="553" t="s">
        <v>659</v>
      </c>
      <c r="J448" s="554">
        <f t="shared" si="6"/>
        <v>4</v>
      </c>
    </row>
    <row r="449" spans="1:10" outlineLevel="1" x14ac:dyDescent="0.2">
      <c r="A449" s="344">
        <f>+SUBTOTAL(3,$E$8:$E449)</f>
        <v>442</v>
      </c>
      <c r="B449" s="563">
        <v>45839</v>
      </c>
      <c r="C449" s="346" t="s">
        <v>31</v>
      </c>
      <c r="D449" s="344" t="str">
        <f>+VLOOKUP(C449,'Visual chart Edit'!$B$7:$C$491,2,FALSE)</f>
        <v>DB2+0</v>
      </c>
      <c r="E449" s="562" t="s">
        <v>143</v>
      </c>
      <c r="F449" s="551">
        <v>45843</v>
      </c>
      <c r="G449" s="551">
        <v>45850</v>
      </c>
      <c r="H449" s="560" t="s">
        <v>647</v>
      </c>
      <c r="I449" s="553" t="s">
        <v>1270</v>
      </c>
      <c r="J449" s="554">
        <f t="shared" si="6"/>
        <v>7</v>
      </c>
    </row>
    <row r="450" spans="1:10" outlineLevel="1" x14ac:dyDescent="0.2">
      <c r="A450" s="344">
        <f>+SUBTOTAL(3,$E$8:$E450)</f>
        <v>443</v>
      </c>
      <c r="B450" s="563">
        <v>45839</v>
      </c>
      <c r="C450" s="346" t="s">
        <v>63</v>
      </c>
      <c r="D450" s="344" t="str">
        <f>+VLOOKUP(C450,'Visual chart Edit'!$B$7:$C$491,2,FALSE)</f>
        <v>DC1+0</v>
      </c>
      <c r="E450" s="562" t="s">
        <v>32</v>
      </c>
      <c r="F450" s="551">
        <v>45843</v>
      </c>
      <c r="G450" s="551">
        <v>45851</v>
      </c>
      <c r="H450" s="560" t="s">
        <v>1261</v>
      </c>
      <c r="I450" s="553" t="s">
        <v>222</v>
      </c>
      <c r="J450" s="554">
        <f t="shared" si="6"/>
        <v>8</v>
      </c>
    </row>
    <row r="451" spans="1:10" outlineLevel="1" x14ac:dyDescent="0.2">
      <c r="A451" s="344">
        <f>+SUBTOTAL(3,$E$8:$E451)</f>
        <v>444</v>
      </c>
      <c r="B451" s="563">
        <v>45839</v>
      </c>
      <c r="C451" s="346" t="s">
        <v>216</v>
      </c>
      <c r="D451" s="344" t="str">
        <f>+VLOOKUP(C451,'Visual chart Edit'!$B$7:$C$491,2,FALSE)</f>
        <v>DA+3</v>
      </c>
      <c r="E451" s="562" t="s">
        <v>143</v>
      </c>
      <c r="F451" s="551">
        <v>45845</v>
      </c>
      <c r="G451" s="551">
        <v>45851</v>
      </c>
      <c r="H451" s="560" t="s">
        <v>647</v>
      </c>
      <c r="I451" s="553" t="s">
        <v>1270</v>
      </c>
      <c r="J451" s="554">
        <f t="shared" si="6"/>
        <v>6</v>
      </c>
    </row>
    <row r="452" spans="1:10" outlineLevel="1" x14ac:dyDescent="0.2">
      <c r="A452" s="344">
        <f>+SUBTOTAL(3,$E$8:$E452)</f>
        <v>445</v>
      </c>
      <c r="B452" s="563">
        <v>45839</v>
      </c>
      <c r="C452" s="346" t="s">
        <v>45</v>
      </c>
      <c r="D452" s="344" t="str">
        <f>+VLOOKUP(C452,'Visual chart Edit'!$B$7:$C$491,2,FALSE)</f>
        <v>DD60+18</v>
      </c>
      <c r="E452" s="562" t="s">
        <v>276</v>
      </c>
      <c r="F452" s="551">
        <v>45846</v>
      </c>
      <c r="G452" s="551">
        <v>45854</v>
      </c>
      <c r="H452" s="560" t="s">
        <v>1017</v>
      </c>
      <c r="I452" s="553" t="s">
        <v>659</v>
      </c>
      <c r="J452" s="554">
        <f t="shared" si="6"/>
        <v>8</v>
      </c>
    </row>
    <row r="453" spans="1:10" outlineLevel="1" x14ac:dyDescent="0.2">
      <c r="A453" s="344">
        <f>+SUBTOTAL(3,$E$8:$E453)</f>
        <v>446</v>
      </c>
      <c r="B453" s="563">
        <v>45839</v>
      </c>
      <c r="C453" s="346" t="s">
        <v>464</v>
      </c>
      <c r="D453" s="344" t="str">
        <f>+VLOOKUP(C453,'Visual chart Edit'!$B$7:$C$491,2,FALSE)</f>
        <v>DA+3</v>
      </c>
      <c r="E453" s="562" t="s">
        <v>276</v>
      </c>
      <c r="F453" s="551">
        <v>45828</v>
      </c>
      <c r="G453" s="551">
        <v>45860</v>
      </c>
      <c r="H453" s="560" t="s">
        <v>1439</v>
      </c>
      <c r="I453" s="553" t="s">
        <v>659</v>
      </c>
      <c r="J453" s="554">
        <f t="shared" si="6"/>
        <v>32</v>
      </c>
    </row>
    <row r="454" spans="1:10" outlineLevel="1" x14ac:dyDescent="0.2">
      <c r="A454" s="344">
        <f>+SUBTOTAL(3,$E$8:$E454)</f>
        <v>447</v>
      </c>
      <c r="B454" s="563">
        <v>45839</v>
      </c>
      <c r="C454" s="346" t="s">
        <v>521</v>
      </c>
      <c r="D454" s="344" t="str">
        <f>+VLOOKUP(C454,'Visual chart Edit'!$B$7:$C$491,2,FALSE)</f>
        <v>DA+0</v>
      </c>
      <c r="E454" s="562" t="s">
        <v>276</v>
      </c>
      <c r="F454" s="551">
        <v>45858</v>
      </c>
      <c r="G454" s="551">
        <v>45861</v>
      </c>
      <c r="H454" s="560" t="s">
        <v>647</v>
      </c>
      <c r="I454" s="553" t="s">
        <v>1270</v>
      </c>
      <c r="J454" s="554">
        <f t="shared" si="6"/>
        <v>3</v>
      </c>
    </row>
    <row r="455" spans="1:10" outlineLevel="1" x14ac:dyDescent="0.2">
      <c r="A455" s="344">
        <f>+SUBTOTAL(3,$E$8:$E455)</f>
        <v>448</v>
      </c>
      <c r="B455" s="563">
        <v>45839</v>
      </c>
      <c r="C455" s="346" t="s">
        <v>49</v>
      </c>
      <c r="D455" s="344" t="str">
        <f>+VLOOKUP(C455,'Visual chart Edit'!$B$7:$C$491,2,FALSE)</f>
        <v>DB2+0</v>
      </c>
      <c r="E455" s="562" t="s">
        <v>276</v>
      </c>
      <c r="F455" s="551">
        <v>45859</v>
      </c>
      <c r="G455" s="551">
        <v>45864</v>
      </c>
      <c r="H455" s="560" t="s">
        <v>647</v>
      </c>
      <c r="I455" s="553" t="s">
        <v>1270</v>
      </c>
      <c r="J455" s="554">
        <f t="shared" si="6"/>
        <v>5</v>
      </c>
    </row>
    <row r="456" spans="1:10" outlineLevel="1" x14ac:dyDescent="0.2">
      <c r="A456" s="344">
        <f>+SUBTOTAL(3,$E$8:$E456)</f>
        <v>449</v>
      </c>
      <c r="B456" s="563">
        <v>45839</v>
      </c>
      <c r="C456" s="346" t="s">
        <v>36</v>
      </c>
      <c r="D456" s="344" t="str">
        <f>+VLOOKUP(C456,'Visual chart Edit'!$B$7:$C$491,2,FALSE)</f>
        <v>DB1+0</v>
      </c>
      <c r="E456" s="562" t="s">
        <v>32</v>
      </c>
      <c r="F456" s="551">
        <v>45849</v>
      </c>
      <c r="G456" s="551">
        <v>45864</v>
      </c>
      <c r="H456" s="560" t="s">
        <v>1261</v>
      </c>
      <c r="I456" s="553" t="s">
        <v>1432</v>
      </c>
      <c r="J456" s="554">
        <f t="shared" si="6"/>
        <v>15</v>
      </c>
    </row>
    <row r="457" spans="1:10" outlineLevel="1" x14ac:dyDescent="0.2">
      <c r="A457" s="344">
        <f>+SUBTOTAL(3,$E$8:$E457)</f>
        <v>450</v>
      </c>
      <c r="B457" s="563">
        <v>45839</v>
      </c>
      <c r="C457" s="346" t="s">
        <v>522</v>
      </c>
      <c r="D457" s="344" t="str">
        <f>+VLOOKUP(C457,'Visual chart Edit'!$B$7:$C$491,2,FALSE)</f>
        <v>DA+0</v>
      </c>
      <c r="E457" s="562" t="s">
        <v>276</v>
      </c>
      <c r="F457" s="551">
        <v>45862</v>
      </c>
      <c r="G457" s="551">
        <v>45865</v>
      </c>
      <c r="H457" s="560" t="s">
        <v>647</v>
      </c>
      <c r="I457" s="553" t="s">
        <v>1270</v>
      </c>
      <c r="J457" s="554">
        <f t="shared" ref="J457:J491" si="7">G457-F457</f>
        <v>3</v>
      </c>
    </row>
    <row r="458" spans="1:10" outlineLevel="1" x14ac:dyDescent="0.2">
      <c r="A458" s="344">
        <f>+SUBTOTAL(3,$E$8:$E458)</f>
        <v>451</v>
      </c>
      <c r="B458" s="563">
        <v>45839</v>
      </c>
      <c r="C458" s="346" t="s">
        <v>524</v>
      </c>
      <c r="D458" s="344" t="str">
        <f>+VLOOKUP(C458,'Visual chart Edit'!$B$7:$C$491,2,FALSE)</f>
        <v>DA+0</v>
      </c>
      <c r="E458" s="562" t="s">
        <v>143</v>
      </c>
      <c r="F458" s="551">
        <v>45830</v>
      </c>
      <c r="G458" s="551">
        <v>45867</v>
      </c>
      <c r="H458" s="560" t="s">
        <v>647</v>
      </c>
      <c r="I458" s="553" t="s">
        <v>1270</v>
      </c>
      <c r="J458" s="554">
        <f t="shared" si="7"/>
        <v>37</v>
      </c>
    </row>
    <row r="459" spans="1:10" outlineLevel="1" x14ac:dyDescent="0.2">
      <c r="A459" s="344">
        <f>+SUBTOTAL(3,$E$8:$E459)</f>
        <v>452</v>
      </c>
      <c r="B459" s="563">
        <v>45839</v>
      </c>
      <c r="C459" s="346" t="s">
        <v>44</v>
      </c>
      <c r="D459" s="344" t="str">
        <f>+VLOOKUP(C459,'Visual chart Edit'!$B$7:$C$491,2,FALSE)</f>
        <v>DB1+0</v>
      </c>
      <c r="E459" s="562" t="s">
        <v>276</v>
      </c>
      <c r="F459" s="551">
        <v>45848</v>
      </c>
      <c r="G459" s="551">
        <v>45868</v>
      </c>
      <c r="H459" s="560" t="s">
        <v>1423</v>
      </c>
      <c r="I459" s="553" t="s">
        <v>659</v>
      </c>
      <c r="J459" s="554">
        <f t="shared" si="7"/>
        <v>20</v>
      </c>
    </row>
    <row r="460" spans="1:10" outlineLevel="1" x14ac:dyDescent="0.2">
      <c r="A460" s="344">
        <f>+SUBTOTAL(3,$E$8:$E460)</f>
        <v>453</v>
      </c>
      <c r="B460" s="563">
        <v>45839</v>
      </c>
      <c r="C460" s="346" t="s">
        <v>463</v>
      </c>
      <c r="D460" s="344" t="str">
        <f>+VLOOKUP(C460,'Visual chart Edit'!$B$7:$C$491,2,FALSE)</f>
        <v>DA+3</v>
      </c>
      <c r="E460" s="562" t="s">
        <v>276</v>
      </c>
      <c r="F460" s="551">
        <v>45861</v>
      </c>
      <c r="G460" s="551">
        <v>45869</v>
      </c>
      <c r="H460" s="560" t="s">
        <v>1017</v>
      </c>
      <c r="I460" s="553" t="s">
        <v>659</v>
      </c>
      <c r="J460" s="554">
        <f t="shared" si="7"/>
        <v>8</v>
      </c>
    </row>
    <row r="461" spans="1:10" outlineLevel="1" x14ac:dyDescent="0.2">
      <c r="A461" s="344">
        <f>+SUBTOTAL(3,$E$8:$E461)</f>
        <v>454</v>
      </c>
      <c r="B461" s="563">
        <v>45839</v>
      </c>
      <c r="C461" s="346" t="s">
        <v>33</v>
      </c>
      <c r="D461" s="344" t="str">
        <f>+VLOOKUP(C461,'Visual chart Edit'!$B$7:$C$491,2,FALSE)</f>
        <v>DD45+3</v>
      </c>
      <c r="E461" s="562" t="s">
        <v>276</v>
      </c>
      <c r="F461" s="551">
        <v>45858</v>
      </c>
      <c r="G461" s="551">
        <v>45869</v>
      </c>
      <c r="H461" s="560" t="s">
        <v>1261</v>
      </c>
      <c r="I461" s="553" t="s">
        <v>1432</v>
      </c>
      <c r="J461" s="554">
        <f t="shared" si="7"/>
        <v>11</v>
      </c>
    </row>
    <row r="462" spans="1:10" outlineLevel="1" x14ac:dyDescent="0.2">
      <c r="A462" s="344">
        <f>+SUBTOTAL(3,$E$8:$E462)</f>
        <v>455</v>
      </c>
      <c r="B462" s="563">
        <v>45870</v>
      </c>
      <c r="C462" s="346" t="s">
        <v>494</v>
      </c>
      <c r="D462" s="344" t="str">
        <f>+VLOOKUP(C462,'Visual chart Edit'!$B$7:$C$491,2,FALSE)</f>
        <v>DC1+0</v>
      </c>
      <c r="E462" s="562" t="s">
        <v>276</v>
      </c>
      <c r="F462" s="551">
        <v>45825</v>
      </c>
      <c r="G462" s="551">
        <v>45871</v>
      </c>
      <c r="H462" s="560" t="s">
        <v>1388</v>
      </c>
      <c r="I462" s="553" t="s">
        <v>1270</v>
      </c>
      <c r="J462" s="554">
        <f t="shared" si="7"/>
        <v>46</v>
      </c>
    </row>
    <row r="463" spans="1:10" outlineLevel="1" x14ac:dyDescent="0.2">
      <c r="A463" s="344">
        <f>+SUBTOTAL(3,$E$8:$E463)</f>
        <v>456</v>
      </c>
      <c r="B463" s="563">
        <v>45870</v>
      </c>
      <c r="C463" s="346" t="s">
        <v>57</v>
      </c>
      <c r="D463" s="344" t="str">
        <f>+VLOOKUP(C463,'Visual chart Edit'!$B$7:$C$491,2,FALSE)</f>
        <v>DD45+3</v>
      </c>
      <c r="E463" s="562" t="s">
        <v>276</v>
      </c>
      <c r="F463" s="551">
        <v>45869</v>
      </c>
      <c r="G463" s="551">
        <v>45875</v>
      </c>
      <c r="H463" s="560" t="s">
        <v>1261</v>
      </c>
      <c r="I463" s="553" t="s">
        <v>1432</v>
      </c>
      <c r="J463" s="554">
        <f t="shared" si="7"/>
        <v>6</v>
      </c>
    </row>
    <row r="464" spans="1:10" outlineLevel="1" x14ac:dyDescent="0.2">
      <c r="A464" s="344">
        <f>+SUBTOTAL(3,$E$8:$E464)</f>
        <v>457</v>
      </c>
      <c r="B464" s="563">
        <v>45870</v>
      </c>
      <c r="C464" s="346" t="s">
        <v>467</v>
      </c>
      <c r="D464" s="344" t="str">
        <f>+VLOOKUP(C464,'Visual chart Edit'!$B$7:$C$491,2,FALSE)</f>
        <v>DA+0</v>
      </c>
      <c r="E464" s="562" t="s">
        <v>276</v>
      </c>
      <c r="F464" s="551">
        <v>45854</v>
      </c>
      <c r="G464" s="551">
        <v>45878</v>
      </c>
      <c r="H464" s="560" t="s">
        <v>1017</v>
      </c>
      <c r="I464" s="553" t="s">
        <v>659</v>
      </c>
      <c r="J464" s="554">
        <f t="shared" si="7"/>
        <v>24</v>
      </c>
    </row>
    <row r="465" spans="1:10" outlineLevel="1" x14ac:dyDescent="0.2">
      <c r="A465" s="344">
        <f>+SUBTOTAL(3,$E$8:$E465)</f>
        <v>458</v>
      </c>
      <c r="B465" s="563">
        <v>45870</v>
      </c>
      <c r="C465" s="346" t="s">
        <v>477</v>
      </c>
      <c r="D465" s="344" t="str">
        <f>+VLOOKUP(C465,'Visual chart Edit'!$B$7:$C$491,2,FALSE)</f>
        <v>DA+0</v>
      </c>
      <c r="E465" s="562" t="s">
        <v>143</v>
      </c>
      <c r="F465" s="551">
        <v>45871</v>
      </c>
      <c r="G465" s="551">
        <v>45879</v>
      </c>
      <c r="H465" s="560" t="s">
        <v>1501</v>
      </c>
      <c r="I465" s="553" t="s">
        <v>659</v>
      </c>
      <c r="J465" s="554">
        <f t="shared" si="7"/>
        <v>8</v>
      </c>
    </row>
    <row r="466" spans="1:10" outlineLevel="1" x14ac:dyDescent="0.2">
      <c r="A466" s="344">
        <f>+SUBTOTAL(3,$E$8:$E466)</f>
        <v>459</v>
      </c>
      <c r="B466" s="563">
        <v>45870</v>
      </c>
      <c r="C466" s="346" t="s">
        <v>58</v>
      </c>
      <c r="D466" s="344" t="str">
        <f>+VLOOKUP(C466,'Visual chart Edit'!$B$7:$C$491,2,FALSE)</f>
        <v>DA+0</v>
      </c>
      <c r="E466" s="562" t="s">
        <v>276</v>
      </c>
      <c r="F466" s="551">
        <v>45875</v>
      </c>
      <c r="G466" s="551">
        <v>45882</v>
      </c>
      <c r="H466" s="560" t="s">
        <v>1261</v>
      </c>
      <c r="I466" s="553" t="s">
        <v>1432</v>
      </c>
      <c r="J466" s="554">
        <f t="shared" si="7"/>
        <v>7</v>
      </c>
    </row>
    <row r="467" spans="1:10" outlineLevel="1" x14ac:dyDescent="0.2">
      <c r="A467" s="344">
        <f>+SUBTOTAL(3,$E$8:$E467)</f>
        <v>460</v>
      </c>
      <c r="B467" s="563">
        <v>45870</v>
      </c>
      <c r="C467" s="346" t="s">
        <v>478</v>
      </c>
      <c r="D467" s="344" t="str">
        <f>+VLOOKUP(C467,'Visual chart Edit'!$B$7:$C$491,2,FALSE)</f>
        <v>DA+0</v>
      </c>
      <c r="E467" s="562" t="s">
        <v>143</v>
      </c>
      <c r="F467" s="551">
        <v>45885</v>
      </c>
      <c r="G467" s="551">
        <v>45889</v>
      </c>
      <c r="H467" s="560" t="s">
        <v>1501</v>
      </c>
      <c r="I467" s="553" t="s">
        <v>659</v>
      </c>
      <c r="J467" s="554">
        <f t="shared" si="7"/>
        <v>4</v>
      </c>
    </row>
    <row r="468" spans="1:10" outlineLevel="1" x14ac:dyDescent="0.2">
      <c r="A468" s="344">
        <f>+SUBTOTAL(3,$E$8:$E468)</f>
        <v>461</v>
      </c>
      <c r="B468" s="563">
        <v>45870</v>
      </c>
      <c r="C468" s="346" t="s">
        <v>71</v>
      </c>
      <c r="D468" s="344" t="str">
        <f>+VLOOKUP(C468,'Visual chart Edit'!$B$7:$C$491,2,FALSE)</f>
        <v>DA+0</v>
      </c>
      <c r="E468" s="562" t="s">
        <v>276</v>
      </c>
      <c r="F468" s="551">
        <v>45820</v>
      </c>
      <c r="G468" s="551">
        <v>45896</v>
      </c>
      <c r="H468" s="560" t="s">
        <v>1261</v>
      </c>
      <c r="I468" s="553" t="s">
        <v>1432</v>
      </c>
      <c r="J468" s="554">
        <f t="shared" si="7"/>
        <v>76</v>
      </c>
    </row>
    <row r="469" spans="1:10" outlineLevel="1" x14ac:dyDescent="0.2">
      <c r="A469" s="344">
        <f>+SUBTOTAL(3,$E$8:$E469)</f>
        <v>462</v>
      </c>
      <c r="B469" s="563">
        <v>45870</v>
      </c>
      <c r="C469" s="346" t="s">
        <v>159</v>
      </c>
      <c r="D469" s="344" t="str">
        <f>+VLOOKUP(C469,'Visual chart Edit'!$B$7:$C$491,2,FALSE)</f>
        <v>DA+3</v>
      </c>
      <c r="E469" s="562" t="s">
        <v>276</v>
      </c>
      <c r="F469" s="551">
        <v>45852</v>
      </c>
      <c r="G469" s="551">
        <v>45897</v>
      </c>
      <c r="H469" s="560" t="s">
        <v>1017</v>
      </c>
      <c r="I469" s="553" t="s">
        <v>659</v>
      </c>
      <c r="J469" s="554">
        <f t="shared" si="7"/>
        <v>45</v>
      </c>
    </row>
    <row r="470" spans="1:10" outlineLevel="1" x14ac:dyDescent="0.2">
      <c r="A470" s="344">
        <f>+SUBTOTAL(3,$E$8:$E470)</f>
        <v>463</v>
      </c>
      <c r="B470" s="563">
        <v>45901</v>
      </c>
      <c r="C470" s="346" t="s">
        <v>520</v>
      </c>
      <c r="D470" s="344" t="str">
        <f>+VLOOKUP(C470,'Visual chart Edit'!$B$7:$C$491,2,FALSE)</f>
        <v>DA+0</v>
      </c>
      <c r="E470" s="562" t="s">
        <v>143</v>
      </c>
      <c r="F470" s="551">
        <v>45890</v>
      </c>
      <c r="G470" s="551">
        <v>45905</v>
      </c>
      <c r="H470" s="560" t="s">
        <v>647</v>
      </c>
      <c r="I470" s="553" t="s">
        <v>1270</v>
      </c>
      <c r="J470" s="554">
        <f t="shared" si="7"/>
        <v>15</v>
      </c>
    </row>
    <row r="471" spans="1:10" outlineLevel="1" x14ac:dyDescent="0.2">
      <c r="A471" s="344">
        <f>+SUBTOTAL(3,$E$8:$E471)</f>
        <v>464</v>
      </c>
      <c r="B471" s="563">
        <v>45901</v>
      </c>
      <c r="C471" s="346" t="s">
        <v>41</v>
      </c>
      <c r="D471" s="344" t="str">
        <f>+VLOOKUP(C471,'Visual chart Edit'!$B$7:$C$491,2,FALSE)</f>
        <v>DB2+9</v>
      </c>
      <c r="E471" s="562" t="s">
        <v>276</v>
      </c>
      <c r="F471" s="551">
        <v>45897</v>
      </c>
      <c r="G471" s="551">
        <v>45908</v>
      </c>
      <c r="H471" s="560" t="s">
        <v>1423</v>
      </c>
      <c r="I471" s="553" t="s">
        <v>659</v>
      </c>
      <c r="J471" s="554">
        <f t="shared" si="7"/>
        <v>11</v>
      </c>
    </row>
    <row r="472" spans="1:10" outlineLevel="1" x14ac:dyDescent="0.2">
      <c r="A472" s="344">
        <f>+SUBTOTAL(3,$E$8:$E472)</f>
        <v>465</v>
      </c>
      <c r="B472" s="563">
        <v>45901</v>
      </c>
      <c r="C472" s="346" t="s">
        <v>40</v>
      </c>
      <c r="D472" s="344" t="str">
        <f>+VLOOKUP(C472,'Visual chart Edit'!$B$7:$C$491,2,FALSE)</f>
        <v>DB1+9</v>
      </c>
      <c r="E472" s="562" t="s">
        <v>276</v>
      </c>
      <c r="F472" s="551">
        <v>45887</v>
      </c>
      <c r="G472" s="551">
        <v>45912</v>
      </c>
      <c r="H472" s="560" t="s">
        <v>1423</v>
      </c>
      <c r="I472" s="553" t="s">
        <v>659</v>
      </c>
      <c r="J472" s="554">
        <f t="shared" si="7"/>
        <v>25</v>
      </c>
    </row>
    <row r="473" spans="1:10" outlineLevel="1" x14ac:dyDescent="0.2">
      <c r="A473" s="344">
        <f>+SUBTOTAL(3,$E$8:$E473)</f>
        <v>466</v>
      </c>
      <c r="B473" s="563">
        <v>45901</v>
      </c>
      <c r="C473" s="346" t="s">
        <v>471</v>
      </c>
      <c r="D473" s="344" t="str">
        <f>+VLOOKUP(C473,'Visual chart Edit'!$B$7:$C$491,2,FALSE)</f>
        <v>DA+3</v>
      </c>
      <c r="E473" s="562" t="s">
        <v>276</v>
      </c>
      <c r="F473" s="551">
        <v>45906</v>
      </c>
      <c r="G473" s="551">
        <v>45913</v>
      </c>
      <c r="H473" s="560" t="s">
        <v>1017</v>
      </c>
      <c r="I473" s="553" t="s">
        <v>659</v>
      </c>
      <c r="J473" s="554">
        <f t="shared" si="7"/>
        <v>7</v>
      </c>
    </row>
    <row r="474" spans="1:10" outlineLevel="1" x14ac:dyDescent="0.2">
      <c r="A474" s="344">
        <f>+SUBTOTAL(3,$E$8:$E474)</f>
        <v>467</v>
      </c>
      <c r="B474" s="563">
        <v>45901</v>
      </c>
      <c r="C474" s="346" t="s">
        <v>476</v>
      </c>
      <c r="D474" s="344" t="str">
        <f>+VLOOKUP(C474,'Visual chart Edit'!$B$7:$C$491,2,FALSE)</f>
        <v>DB1+0</v>
      </c>
      <c r="E474" s="562" t="s">
        <v>143</v>
      </c>
      <c r="F474" s="551">
        <v>45906</v>
      </c>
      <c r="G474" s="551">
        <v>45915</v>
      </c>
      <c r="H474" s="560" t="s">
        <v>1501</v>
      </c>
      <c r="I474" s="553" t="s">
        <v>659</v>
      </c>
      <c r="J474" s="554">
        <f t="shared" si="7"/>
        <v>9</v>
      </c>
    </row>
    <row r="475" spans="1:10" outlineLevel="1" x14ac:dyDescent="0.2">
      <c r="A475" s="344">
        <f>+SUBTOTAL(3,$E$8:$E475)</f>
        <v>468</v>
      </c>
      <c r="B475" s="563">
        <v>45901</v>
      </c>
      <c r="C475" s="346" t="s">
        <v>530</v>
      </c>
      <c r="D475" s="344" t="str">
        <f>+VLOOKUP(C475,'Visual chart Edit'!$B$7:$C$491,2,FALSE)</f>
        <v>DA+6</v>
      </c>
      <c r="E475" s="562" t="s">
        <v>143</v>
      </c>
      <c r="F475" s="551">
        <v>45859</v>
      </c>
      <c r="G475" s="551">
        <v>45914</v>
      </c>
      <c r="H475" s="560" t="s">
        <v>647</v>
      </c>
      <c r="I475" s="553" t="s">
        <v>1270</v>
      </c>
      <c r="J475" s="554">
        <f t="shared" si="7"/>
        <v>55</v>
      </c>
    </row>
    <row r="476" spans="1:10" outlineLevel="1" x14ac:dyDescent="0.2">
      <c r="A476" s="344">
        <f>+SUBTOTAL(3,$E$8:$E476)</f>
        <v>469</v>
      </c>
      <c r="B476" s="563">
        <v>45901</v>
      </c>
      <c r="C476" s="346" t="s">
        <v>470</v>
      </c>
      <c r="D476" s="344" t="str">
        <f>+VLOOKUP(C476,'Visual chart Edit'!$B$7:$C$491,2,FALSE)</f>
        <v>DA+3</v>
      </c>
      <c r="E476" s="562" t="s">
        <v>276</v>
      </c>
      <c r="F476" s="551">
        <v>45915</v>
      </c>
      <c r="G476" s="551">
        <v>45916</v>
      </c>
      <c r="H476" s="560" t="s">
        <v>1017</v>
      </c>
      <c r="I476" s="553" t="s">
        <v>659</v>
      </c>
      <c r="J476" s="554">
        <f t="shared" si="7"/>
        <v>1</v>
      </c>
    </row>
    <row r="477" spans="1:10" outlineLevel="1" x14ac:dyDescent="0.2">
      <c r="A477" s="344">
        <f>+SUBTOTAL(3,$E$8:$E477)</f>
        <v>470</v>
      </c>
      <c r="B477" s="563">
        <v>45901</v>
      </c>
      <c r="C477" s="346" t="s">
        <v>479</v>
      </c>
      <c r="D477" s="344" t="str">
        <f>+VLOOKUP(C477,'Visual chart Edit'!$B$7:$C$491,2,FALSE)</f>
        <v>DA+0</v>
      </c>
      <c r="E477" s="562" t="s">
        <v>143</v>
      </c>
      <c r="F477" s="551">
        <v>45915</v>
      </c>
      <c r="G477" s="551">
        <v>45922</v>
      </c>
      <c r="H477" s="560" t="s">
        <v>1501</v>
      </c>
      <c r="I477" s="553" t="s">
        <v>659</v>
      </c>
      <c r="J477" s="554">
        <f t="shared" si="7"/>
        <v>7</v>
      </c>
    </row>
    <row r="478" spans="1:10" outlineLevel="1" x14ac:dyDescent="0.2">
      <c r="A478" s="344">
        <f>+SUBTOTAL(3,$E$8:$E478)</f>
        <v>471</v>
      </c>
      <c r="B478" s="563">
        <v>45901</v>
      </c>
      <c r="C478" s="346" t="s">
        <v>43</v>
      </c>
      <c r="D478" s="344" t="str">
        <f>+VLOOKUP(C478,'Visual chart Edit'!$B$7:$C$491,2,FALSE)</f>
        <v>DB1+0</v>
      </c>
      <c r="E478" s="562" t="s">
        <v>276</v>
      </c>
      <c r="F478" s="551">
        <v>45919</v>
      </c>
      <c r="G478" s="551">
        <v>45930</v>
      </c>
      <c r="H478" s="560" t="s">
        <v>1423</v>
      </c>
      <c r="I478" s="553" t="s">
        <v>659</v>
      </c>
      <c r="J478" s="554">
        <f t="shared" si="7"/>
        <v>11</v>
      </c>
    </row>
    <row r="479" spans="1:10" outlineLevel="1" x14ac:dyDescent="0.2">
      <c r="A479" s="344">
        <f>+SUBTOTAL(3,$E$8:$E479)</f>
        <v>472</v>
      </c>
      <c r="B479" s="563">
        <v>45931</v>
      </c>
      <c r="C479" s="346" t="s">
        <v>162</v>
      </c>
      <c r="D479" s="344" t="str">
        <f>+VLOOKUP(C479,'Visual chart Edit'!$B$7:$C$491,2,FALSE)</f>
        <v>DA+3</v>
      </c>
      <c r="E479" s="562" t="s">
        <v>143</v>
      </c>
      <c r="F479" s="551">
        <v>45932</v>
      </c>
      <c r="G479" s="551">
        <v>45934</v>
      </c>
      <c r="H479" s="560" t="s">
        <v>1017</v>
      </c>
      <c r="I479" s="553" t="s">
        <v>659</v>
      </c>
      <c r="J479" s="554">
        <f t="shared" si="7"/>
        <v>2</v>
      </c>
    </row>
    <row r="480" spans="1:10" outlineLevel="1" x14ac:dyDescent="0.2">
      <c r="A480" s="344">
        <f>+SUBTOTAL(3,$E$8:$E480)</f>
        <v>473</v>
      </c>
      <c r="B480" s="563">
        <v>45931</v>
      </c>
      <c r="C480" s="346" t="s">
        <v>475</v>
      </c>
      <c r="D480" s="344" t="str">
        <f>+VLOOKUP(C480,'Visual chart Edit'!$B$7:$C$491,2,FALSE)</f>
        <v>DA+0</v>
      </c>
      <c r="E480" s="562" t="s">
        <v>143</v>
      </c>
      <c r="F480" s="551">
        <v>45929</v>
      </c>
      <c r="G480" s="551">
        <v>45936</v>
      </c>
      <c r="H480" s="560" t="s">
        <v>1501</v>
      </c>
      <c r="I480" s="553" t="s">
        <v>659</v>
      </c>
      <c r="J480" s="554">
        <f t="shared" si="7"/>
        <v>7</v>
      </c>
    </row>
    <row r="481" spans="1:12" outlineLevel="1" x14ac:dyDescent="0.2">
      <c r="A481" s="344">
        <f>+SUBTOTAL(3,$E$8:$E481)</f>
        <v>474</v>
      </c>
      <c r="B481" s="563">
        <v>45931</v>
      </c>
      <c r="C481" s="346" t="s">
        <v>175</v>
      </c>
      <c r="D481" s="344" t="str">
        <f>+VLOOKUP(C481,'Visual chart Edit'!$B$7:$C$491,2,FALSE)</f>
        <v>DA+6</v>
      </c>
      <c r="E481" s="562" t="s">
        <v>276</v>
      </c>
      <c r="F481" s="551">
        <v>45933</v>
      </c>
      <c r="G481" s="551">
        <v>45941</v>
      </c>
      <c r="H481" s="560" t="s">
        <v>647</v>
      </c>
      <c r="I481" s="553" t="s">
        <v>1270</v>
      </c>
      <c r="J481" s="554">
        <f t="shared" si="7"/>
        <v>8</v>
      </c>
    </row>
    <row r="482" spans="1:12" outlineLevel="1" x14ac:dyDescent="0.2">
      <c r="A482" s="344">
        <f>+SUBTOTAL(3,$E$8:$E482)</f>
        <v>475</v>
      </c>
      <c r="B482" s="563">
        <v>45931</v>
      </c>
      <c r="C482" s="346" t="s">
        <v>474</v>
      </c>
      <c r="D482" s="344" t="str">
        <f>+VLOOKUP(C482,'Visual chart Edit'!$B$7:$C$491,2,FALSE)</f>
        <v>DA+0</v>
      </c>
      <c r="E482" s="562" t="s">
        <v>143</v>
      </c>
      <c r="F482" s="551">
        <v>45936</v>
      </c>
      <c r="G482" s="551">
        <v>45942</v>
      </c>
      <c r="H482" s="560" t="s">
        <v>1501</v>
      </c>
      <c r="I482" s="553" t="s">
        <v>659</v>
      </c>
      <c r="J482" s="554">
        <f t="shared" si="7"/>
        <v>6</v>
      </c>
    </row>
    <row r="483" spans="1:12" outlineLevel="1" x14ac:dyDescent="0.2">
      <c r="A483" s="344">
        <f>+SUBTOTAL(3,$E$8:$E483)</f>
        <v>476</v>
      </c>
      <c r="B483" s="563">
        <v>45931</v>
      </c>
      <c r="C483" s="346" t="s">
        <v>462</v>
      </c>
      <c r="D483" s="344" t="str">
        <f>+VLOOKUP(C483,'Visual chart Edit'!$B$7:$C$491,2,FALSE)</f>
        <v>DA+0</v>
      </c>
      <c r="E483" s="562" t="s">
        <v>276</v>
      </c>
      <c r="F483" s="551">
        <v>45940</v>
      </c>
      <c r="G483" s="551">
        <v>45944</v>
      </c>
      <c r="H483" s="560" t="s">
        <v>1017</v>
      </c>
      <c r="I483" s="553" t="s">
        <v>659</v>
      </c>
      <c r="J483" s="554">
        <f t="shared" si="7"/>
        <v>4</v>
      </c>
    </row>
    <row r="484" spans="1:12" outlineLevel="1" x14ac:dyDescent="0.2">
      <c r="A484" s="344">
        <f>+SUBTOTAL(3,$E$8:$E484)</f>
        <v>477</v>
      </c>
      <c r="B484" s="563">
        <v>45931</v>
      </c>
      <c r="C484" s="346" t="s">
        <v>518</v>
      </c>
      <c r="D484" s="344" t="str">
        <f>+VLOOKUP(C484,'Visual chart Edit'!$B$7:$C$491,2,FALSE)</f>
        <v>DA+0</v>
      </c>
      <c r="E484" s="562" t="s">
        <v>276</v>
      </c>
      <c r="F484" s="551">
        <v>45943</v>
      </c>
      <c r="G484" s="551">
        <v>45944</v>
      </c>
      <c r="H484" s="560" t="s">
        <v>647</v>
      </c>
      <c r="I484" s="553" t="s">
        <v>1270</v>
      </c>
      <c r="J484" s="554">
        <f t="shared" si="7"/>
        <v>1</v>
      </c>
    </row>
    <row r="485" spans="1:12" outlineLevel="1" x14ac:dyDescent="0.2">
      <c r="A485" s="344">
        <f>+SUBTOTAL(3,$E$8:$E485)</f>
        <v>478</v>
      </c>
      <c r="B485" s="563">
        <v>45931</v>
      </c>
      <c r="C485" s="346" t="s">
        <v>528</v>
      </c>
      <c r="D485" s="344" t="str">
        <f>+VLOOKUP(C485,'Visual chart Edit'!$B$7:$C$491,2,FALSE)</f>
        <v>DA+3</v>
      </c>
      <c r="E485" s="562" t="s">
        <v>276</v>
      </c>
      <c r="F485" s="551">
        <v>45941</v>
      </c>
      <c r="G485" s="551">
        <v>45958</v>
      </c>
      <c r="H485" s="560" t="s">
        <v>647</v>
      </c>
      <c r="I485" s="553" t="s">
        <v>1270</v>
      </c>
      <c r="J485" s="554">
        <f t="shared" si="7"/>
        <v>17</v>
      </c>
    </row>
    <row r="486" spans="1:12" outlineLevel="1" x14ac:dyDescent="0.2">
      <c r="A486" s="344">
        <f>+SUBTOTAL(3,$E$8:$E486)</f>
        <v>479</v>
      </c>
      <c r="B486" s="563">
        <v>45962</v>
      </c>
      <c r="C486" s="346" t="s">
        <v>185</v>
      </c>
      <c r="D486" s="344" t="str">
        <f>+VLOOKUP(C486,'Visual chart Edit'!$B$7:$C$491,2,FALSE)</f>
        <v>DA+6</v>
      </c>
      <c r="E486" s="562" t="s">
        <v>32</v>
      </c>
      <c r="F486" s="551">
        <v>45958</v>
      </c>
      <c r="G486" s="551">
        <v>45965</v>
      </c>
      <c r="H486" s="560" t="s">
        <v>647</v>
      </c>
      <c r="I486" s="553" t="s">
        <v>1270</v>
      </c>
      <c r="J486" s="554">
        <f t="shared" si="7"/>
        <v>7</v>
      </c>
    </row>
    <row r="487" spans="1:12" outlineLevel="1" x14ac:dyDescent="0.2">
      <c r="A487" s="344">
        <f>+SUBTOTAL(3,$E$8:$E487)</f>
        <v>480</v>
      </c>
      <c r="B487" s="563">
        <v>45962</v>
      </c>
      <c r="C487" s="346" t="s">
        <v>50</v>
      </c>
      <c r="D487" s="344" t="str">
        <f>+VLOOKUP(C487,'Visual chart Edit'!$B$7:$C$491,2,FALSE)</f>
        <v>DB2+3</v>
      </c>
      <c r="E487" s="562" t="s">
        <v>276</v>
      </c>
      <c r="F487" s="551">
        <v>45940</v>
      </c>
      <c r="G487" s="551">
        <v>45970</v>
      </c>
      <c r="H487" s="560" t="s">
        <v>647</v>
      </c>
      <c r="I487" s="553" t="s">
        <v>1270</v>
      </c>
      <c r="J487" s="554">
        <f t="shared" si="7"/>
        <v>30</v>
      </c>
    </row>
    <row r="488" spans="1:12" outlineLevel="1" x14ac:dyDescent="0.2">
      <c r="A488" s="344">
        <f>+SUBTOTAL(3,$E$8:$E488)</f>
        <v>481</v>
      </c>
      <c r="B488" s="563">
        <v>45962</v>
      </c>
      <c r="C488" s="346" t="s">
        <v>172</v>
      </c>
      <c r="D488" s="344" t="str">
        <f>+VLOOKUP(C488,'Visual chart Edit'!$B$7:$C$491,2,FALSE)</f>
        <v>DA+3</v>
      </c>
      <c r="E488" s="562" t="s">
        <v>276</v>
      </c>
      <c r="F488" s="551">
        <v>45819</v>
      </c>
      <c r="G488" s="551">
        <v>45975</v>
      </c>
      <c r="H488" s="560" t="s">
        <v>647</v>
      </c>
      <c r="I488" s="553" t="s">
        <v>1270</v>
      </c>
      <c r="J488" s="554">
        <f t="shared" si="7"/>
        <v>156</v>
      </c>
    </row>
    <row r="489" spans="1:12" outlineLevel="1" x14ac:dyDescent="0.2">
      <c r="A489" s="344">
        <f>+SUBTOTAL(3,$E$8:$E489)</f>
        <v>482</v>
      </c>
      <c r="B489" s="563">
        <v>46054</v>
      </c>
      <c r="C489" s="346" t="s">
        <v>468</v>
      </c>
      <c r="D489" s="344" t="str">
        <f>+VLOOKUP(C489,'Visual chart Edit'!$B$7:$C$491,2,FALSE)</f>
        <v>DA+0</v>
      </c>
      <c r="E489" s="562" t="s">
        <v>32</v>
      </c>
      <c r="F489" s="551">
        <v>46055</v>
      </c>
      <c r="G489" s="551">
        <v>46063</v>
      </c>
      <c r="H489" s="560" t="s">
        <v>1017</v>
      </c>
      <c r="I489" s="553" t="s">
        <v>1736</v>
      </c>
      <c r="J489" s="341">
        <f>G489-F489</f>
        <v>8</v>
      </c>
    </row>
    <row r="490" spans="1:12" outlineLevel="1" x14ac:dyDescent="0.2">
      <c r="A490" s="344">
        <f>+SUBTOTAL(3,$E$8:$E490)</f>
        <v>483</v>
      </c>
      <c r="B490" s="563">
        <v>46054</v>
      </c>
      <c r="C490" s="346" t="s">
        <v>153</v>
      </c>
      <c r="D490" s="344" t="str">
        <f>+VLOOKUP(C490,'Visual chart Edit'!$B$7:$C$491,2,FALSE)</f>
        <v>DA+6</v>
      </c>
      <c r="E490" s="562" t="s">
        <v>276</v>
      </c>
      <c r="F490" s="551">
        <v>46062</v>
      </c>
      <c r="G490" s="551">
        <v>46066</v>
      </c>
      <c r="H490" s="560" t="s">
        <v>1017</v>
      </c>
      <c r="I490" s="553" t="s">
        <v>1736</v>
      </c>
      <c r="J490" s="341">
        <f t="shared" si="7"/>
        <v>4</v>
      </c>
    </row>
    <row r="491" spans="1:12" outlineLevel="1" x14ac:dyDescent="0.2">
      <c r="A491" s="344">
        <f>+SUBTOTAL(3,$E$8:$E491)</f>
        <v>484</v>
      </c>
      <c r="B491" s="563">
        <v>46054</v>
      </c>
      <c r="C491" s="346" t="s">
        <v>151</v>
      </c>
      <c r="D491" s="344" t="str">
        <f>+VLOOKUP(C491,'Visual chart Edit'!$B$7:$C$491,2,FALSE)</f>
        <v>DA+3</v>
      </c>
      <c r="E491" s="562" t="s">
        <v>276</v>
      </c>
      <c r="F491" s="551">
        <v>46069</v>
      </c>
      <c r="G491" s="551">
        <v>46073</v>
      </c>
      <c r="H491" s="560" t="s">
        <v>1017</v>
      </c>
      <c r="I491" s="553" t="s">
        <v>1736</v>
      </c>
      <c r="J491" s="341">
        <f t="shared" si="7"/>
        <v>4</v>
      </c>
    </row>
    <row r="492" spans="1:12" outlineLevel="1" x14ac:dyDescent="0.2">
      <c r="A492" s="344"/>
      <c r="B492" s="563"/>
      <c r="C492" s="346"/>
      <c r="D492" s="344"/>
      <c r="E492" s="562"/>
      <c r="F492" s="551"/>
      <c r="G492" s="551"/>
      <c r="H492" s="560"/>
      <c r="I492" s="553"/>
    </row>
    <row r="493" spans="1:12" x14ac:dyDescent="0.2">
      <c r="A493" s="609"/>
      <c r="B493" s="607"/>
      <c r="C493" s="608"/>
      <c r="D493" s="609"/>
      <c r="E493" s="610"/>
      <c r="F493" s="611"/>
      <c r="G493" s="611"/>
      <c r="H493" s="612"/>
      <c r="I493" s="613"/>
    </row>
    <row r="494" spans="1:12" x14ac:dyDescent="0.2">
      <c r="A494" s="591"/>
      <c r="B494" s="591" t="s">
        <v>303</v>
      </c>
      <c r="C494" s="591" t="s">
        <v>1369</v>
      </c>
      <c r="D494" s="591" t="s">
        <v>138</v>
      </c>
      <c r="E494" s="591" t="s">
        <v>1370</v>
      </c>
      <c r="F494" s="592" t="s">
        <v>122</v>
      </c>
      <c r="G494" s="592" t="s">
        <v>6</v>
      </c>
      <c r="H494" s="591" t="s">
        <v>7</v>
      </c>
      <c r="I494" s="593" t="s">
        <v>1271</v>
      </c>
      <c r="J494" s="594" t="s">
        <v>1208</v>
      </c>
      <c r="K494" s="606" t="s">
        <v>1415</v>
      </c>
    </row>
    <row r="495" spans="1:12" s="537" customFormat="1" x14ac:dyDescent="0.25">
      <c r="A495" s="696"/>
      <c r="B495" s="702"/>
      <c r="C495" s="695"/>
      <c r="D495" s="696"/>
      <c r="E495" s="696"/>
      <c r="F495" s="696"/>
      <c r="G495" s="703"/>
      <c r="H495" s="696"/>
      <c r="I495" s="696"/>
      <c r="J495" s="704"/>
      <c r="K495" s="696"/>
    </row>
    <row r="496" spans="1:12" x14ac:dyDescent="0.2">
      <c r="A496" s="697"/>
      <c r="B496" s="696">
        <v>1</v>
      </c>
      <c r="C496" s="695" t="s">
        <v>523</v>
      </c>
      <c r="D496" s="696" t="str">
        <f>+VLOOKUP(C496,'Visual chart Edit'!$B$7:$C$491,2,FALSE)</f>
        <v>DA+6</v>
      </c>
      <c r="E496" s="694" t="s">
        <v>129</v>
      </c>
      <c r="F496" s="697"/>
      <c r="G496" s="795">
        <v>45961</v>
      </c>
      <c r="H496" s="694" t="s">
        <v>1505</v>
      </c>
      <c r="I496" s="694" t="s">
        <v>1270</v>
      </c>
      <c r="J496" s="697" t="s">
        <v>1628</v>
      </c>
      <c r="K496" s="697"/>
      <c r="L496" s="341" t="s">
        <v>1647</v>
      </c>
    </row>
    <row r="497" spans="1:11" x14ac:dyDescent="0.2">
      <c r="A497" s="697"/>
      <c r="B497" s="696"/>
      <c r="C497" s="695"/>
      <c r="D497" s="696"/>
      <c r="E497" s="694"/>
      <c r="F497" s="697"/>
      <c r="G497" s="795"/>
      <c r="H497" s="795"/>
      <c r="I497" s="811"/>
      <c r="J497" s="697"/>
      <c r="K497" s="697"/>
    </row>
    <row r="498" spans="1:11" x14ac:dyDescent="0.2">
      <c r="A498" s="697"/>
      <c r="B498" s="697"/>
      <c r="C498" s="695"/>
      <c r="D498" s="696"/>
      <c r="E498" s="696"/>
      <c r="F498" s="697"/>
      <c r="G498" s="698"/>
      <c r="H498" s="694"/>
      <c r="I498" s="696"/>
      <c r="J498" s="796"/>
      <c r="K498" s="697"/>
    </row>
    <row r="499" spans="1:11" s="537" customFormat="1" x14ac:dyDescent="0.25">
      <c r="A499" s="696"/>
      <c r="B499" s="696"/>
      <c r="C499" s="695"/>
      <c r="D499" s="696"/>
      <c r="E499" s="696"/>
      <c r="F499" s="696"/>
      <c r="G499" s="795"/>
      <c r="H499" s="696"/>
      <c r="I499" s="696"/>
      <c r="J499" s="796"/>
      <c r="K499" s="696"/>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896" t="s">
        <v>121</v>
      </c>
      <c r="B5" s="896"/>
      <c r="C5" s="896"/>
      <c r="D5" s="896"/>
      <c r="E5" s="896"/>
      <c r="F5" s="896"/>
      <c r="G5" s="896"/>
      <c r="H5" s="896"/>
      <c r="I5" s="896"/>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5">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5">
        <v>45261</v>
      </c>
      <c r="N8" s="758"/>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5">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5">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5">
        <v>45292</v>
      </c>
      <c r="K11" s="266">
        <v>3.2</v>
      </c>
      <c r="AM11" s="349" t="s">
        <v>1422</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5">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5">
        <v>45292</v>
      </c>
      <c r="J13" s="349" t="s">
        <v>1424</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5">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5">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5">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5">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5">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5">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5">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5">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5">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5">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5">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5">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5">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5">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5">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5">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5">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5">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5">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5">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5">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5">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5">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5">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5">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5">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5">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5">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5">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5">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5">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5">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5">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5">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5">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5">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5">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5">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5">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5">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5">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5">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5">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5">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5">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5">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5">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5">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5">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5">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5">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5">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5">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5">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5">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5">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5">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5">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5">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5">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5">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5">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5">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5">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5">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5">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5">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5">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5">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5">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5">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5">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5">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5">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5">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5">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5">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5">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5">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5">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5">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5">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5">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5">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5">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5">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5">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5">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5">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5">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5">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5">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5">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5">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5">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5">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5">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5">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5">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5">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5">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5">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5">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5">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5">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5">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5">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5">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5">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5">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5">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5">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5">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5">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5">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5">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5">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5">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5">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5">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5">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5">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5">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5">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5">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5">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5">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5">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5">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5">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5">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5">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5">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5">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5">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5">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5">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5">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5">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5">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5">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5">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5">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5">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5">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5">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5">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5">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5">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5">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5">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5">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5">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5">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5">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5">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5">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5">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5">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5">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5">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5">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5">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5">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5">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5">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5">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5">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5">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5">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5">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5">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5">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5">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5">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5">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5">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5">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5">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5">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5">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5">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5">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5">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5">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5">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5">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5">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5">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5">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5">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5">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5">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5">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5">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5">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5">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5">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5">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5">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5">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5">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5">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5">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5">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5">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5">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5">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5">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5">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5">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5">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5">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5">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5">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5">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5">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5">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5">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5">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5">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5">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5">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5">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5">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5">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5">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5">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5">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5">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5">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5">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5">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5">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5">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5">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5">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5">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5">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5">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5">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5">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5">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5">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5">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5">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5">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5">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5">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5">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5">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5">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5">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5">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5">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5">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5">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5">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5">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5">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5">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5">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5">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5">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5">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5">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5">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5">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5">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5">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5">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5">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5">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5">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5">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5">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5">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5">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5">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5">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5">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5">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5">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5">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5">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5">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5">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5">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5">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5">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5">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5">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5">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5">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5">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5">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5">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5">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5">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5">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5">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5">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5">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5">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5">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5">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5">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5">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5">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5">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5">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5">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5">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5">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5">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5">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5">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5">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5">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5">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5">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5">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5">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5">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5">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5">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5">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5">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5">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5">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5">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5">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5">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5">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5">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5">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5">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5">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5">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5">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5">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5">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5">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5">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5">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5">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5">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5">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5">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5">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5">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5">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5">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5">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5">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5">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5">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5">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5">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5">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5">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5">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5">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5">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5">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5">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5">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5">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5">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5">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5">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5">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5">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5">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5">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5">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5">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5">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5">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5">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5">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5">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5">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5">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5">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5">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5">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5">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5">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5">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5">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5">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5">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5">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5">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5">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5">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5">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5">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5">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5">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5">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5">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5">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5">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5">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5">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5">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5">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5">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5">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5">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5">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5">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5">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5">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5">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5">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5">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5">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5">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5">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5">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5">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5">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5">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5">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5">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5">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5">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5">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5">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5">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5">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5">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5">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5">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5">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5">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5">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5">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5">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5">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5">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46054</v>
      </c>
      <c r="C490" s="355" t="str">
        <f>Foundation!C491</f>
        <v>8/6</v>
      </c>
      <c r="D490" s="355" t="str">
        <f>Foundation!D491</f>
        <v>DA+3</v>
      </c>
      <c r="E490" s="355" t="str">
        <f>Foundation!E491</f>
        <v>DRY</v>
      </c>
      <c r="F490" s="355" t="str">
        <f t="shared" si="9"/>
        <v>Pipe</v>
      </c>
      <c r="G490" s="356"/>
      <c r="H490" s="357" t="str">
        <f>Foundation!H491</f>
        <v>Jsr Infrastructure</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0" customWidth="1"/>
    <col min="2" max="2" width="25.42578125" style="480" customWidth="1"/>
    <col min="3" max="3" width="7.7109375" style="480" customWidth="1"/>
    <col min="4" max="4" width="8.28515625" style="480" customWidth="1"/>
    <col min="5" max="5" width="8.5703125" style="480" customWidth="1"/>
    <col min="6" max="6" width="10.42578125" style="480" bestFit="1" customWidth="1"/>
    <col min="7" max="7" width="10.140625" style="480" bestFit="1" customWidth="1"/>
    <col min="8" max="8" width="10.7109375" style="480" customWidth="1"/>
    <col min="9" max="11" width="9.5703125" style="480" customWidth="1"/>
    <col min="12" max="12" width="7.7109375" style="480" customWidth="1"/>
    <col min="13" max="69" width="7.85546875" style="480" customWidth="1"/>
    <col min="70" max="70" width="10.85546875" style="480" customWidth="1"/>
    <col min="71" max="71" width="22.28515625" style="490" customWidth="1"/>
    <col min="72" max="16384" width="9.140625" style="480"/>
  </cols>
  <sheetData>
    <row r="1" spans="1:71" x14ac:dyDescent="0.25">
      <c r="A1" s="905" t="s">
        <v>1349</v>
      </c>
      <c r="B1" s="905" t="s">
        <v>1350</v>
      </c>
      <c r="C1" s="905" t="s">
        <v>1351</v>
      </c>
      <c r="D1" s="535" t="s">
        <v>1352</v>
      </c>
      <c r="E1" s="535" t="s">
        <v>1353</v>
      </c>
      <c r="F1" s="535" t="s">
        <v>1354</v>
      </c>
      <c r="G1" s="907" t="s">
        <v>1455</v>
      </c>
      <c r="H1" s="907"/>
      <c r="I1" s="907"/>
      <c r="J1" s="905" t="s">
        <v>1355</v>
      </c>
      <c r="BS1" s="480"/>
    </row>
    <row r="2" spans="1:71" x14ac:dyDescent="0.25">
      <c r="A2" s="906"/>
      <c r="B2" s="906"/>
      <c r="C2" s="906"/>
      <c r="D2" s="535" t="s">
        <v>1356</v>
      </c>
      <c r="E2" s="535" t="s">
        <v>1571</v>
      </c>
      <c r="F2" s="535" t="s">
        <v>1454</v>
      </c>
      <c r="G2" s="535" t="s">
        <v>1357</v>
      </c>
      <c r="H2" s="535" t="s">
        <v>124</v>
      </c>
      <c r="I2" s="535" t="s">
        <v>950</v>
      </c>
      <c r="J2" s="906"/>
      <c r="BS2" s="480"/>
    </row>
    <row r="3" spans="1:71" x14ac:dyDescent="0.25">
      <c r="A3" s="481">
        <v>1</v>
      </c>
      <c r="B3" s="482" t="s">
        <v>126</v>
      </c>
      <c r="C3" s="481" t="s">
        <v>407</v>
      </c>
      <c r="D3" s="481">
        <v>485</v>
      </c>
      <c r="E3" s="481">
        <v>303</v>
      </c>
      <c r="F3" s="481">
        <f>+D3-E3</f>
        <v>182</v>
      </c>
      <c r="G3" s="481">
        <v>87</v>
      </c>
      <c r="H3" s="481">
        <v>18</v>
      </c>
      <c r="I3" s="481">
        <v>6</v>
      </c>
      <c r="J3" s="482"/>
      <c r="BS3" s="480"/>
    </row>
    <row r="4" spans="1:71" x14ac:dyDescent="0.25">
      <c r="A4" s="481">
        <v>2</v>
      </c>
      <c r="B4" s="482" t="s">
        <v>344</v>
      </c>
      <c r="C4" s="481" t="s">
        <v>414</v>
      </c>
      <c r="D4" s="481">
        <v>191.3</v>
      </c>
      <c r="E4" s="481">
        <v>43.51</v>
      </c>
      <c r="F4" s="481">
        <f>+D4-E4</f>
        <v>147.79000000000002</v>
      </c>
      <c r="G4" s="481">
        <v>0</v>
      </c>
      <c r="H4" s="481">
        <f>SUM('Stringing Productivity'!E4:E5)</f>
        <v>0</v>
      </c>
      <c r="I4" s="481">
        <v>0</v>
      </c>
      <c r="J4" s="482"/>
      <c r="BS4" s="480"/>
    </row>
    <row r="5" spans="1:71" x14ac:dyDescent="0.25">
      <c r="AS5" s="480">
        <f>+E90/17</f>
        <v>0</v>
      </c>
      <c r="BE5" s="480">
        <f>+E106/15</f>
        <v>0</v>
      </c>
      <c r="BS5" s="480"/>
    </row>
    <row r="6" spans="1:71" x14ac:dyDescent="0.25">
      <c r="K6" s="644"/>
      <c r="L6" s="644"/>
      <c r="M6" s="644"/>
      <c r="N6" s="644"/>
      <c r="O6" s="644"/>
      <c r="P6" s="644"/>
      <c r="Q6" s="644"/>
      <c r="R6" s="644"/>
      <c r="S6" s="644"/>
      <c r="T6" s="644"/>
      <c r="U6" s="644"/>
      <c r="V6" s="644"/>
      <c r="W6" s="644"/>
      <c r="X6" s="644"/>
      <c r="Y6" s="644"/>
      <c r="Z6" s="644"/>
      <c r="AA6" s="644"/>
      <c r="BS6" s="480"/>
    </row>
    <row r="7" spans="1:71" x14ac:dyDescent="0.25">
      <c r="A7" s="908" t="s">
        <v>1539</v>
      </c>
      <c r="B7" s="909"/>
      <c r="C7" s="909"/>
      <c r="D7" s="909"/>
      <c r="E7" s="909"/>
      <c r="F7" s="909"/>
      <c r="G7" s="909"/>
      <c r="H7" s="909"/>
      <c r="I7" s="909"/>
      <c r="J7" s="909"/>
      <c r="K7" s="909"/>
      <c r="L7" s="909"/>
      <c r="M7" s="909"/>
      <c r="N7" s="909"/>
      <c r="O7" s="909"/>
      <c r="P7" s="909"/>
      <c r="Q7" s="909"/>
      <c r="R7" s="909"/>
      <c r="S7" s="909"/>
      <c r="T7" s="909"/>
      <c r="U7" s="909"/>
      <c r="V7" s="909"/>
      <c r="W7" s="909"/>
      <c r="X7" s="909"/>
      <c r="Y7" s="909"/>
      <c r="Z7" s="909"/>
      <c r="AA7" s="909"/>
      <c r="AB7" s="909"/>
      <c r="AC7" s="909"/>
      <c r="AD7" s="909"/>
      <c r="AE7" s="909"/>
      <c r="AF7" s="909"/>
      <c r="AG7" s="909"/>
      <c r="AH7" s="909"/>
      <c r="AI7" s="909"/>
      <c r="AJ7" s="909"/>
      <c r="AK7" s="909"/>
      <c r="AL7" s="909"/>
      <c r="AM7" s="909"/>
      <c r="AN7" s="909"/>
      <c r="AO7" s="909"/>
      <c r="AP7" s="909"/>
      <c r="AQ7" s="909"/>
      <c r="AR7" s="909"/>
      <c r="AS7" s="909"/>
      <c r="AT7" s="909"/>
      <c r="AU7" s="909"/>
      <c r="AV7" s="909"/>
      <c r="AW7" s="909"/>
      <c r="AX7" s="909"/>
      <c r="AY7" s="909"/>
      <c r="AZ7" s="909"/>
      <c r="BA7" s="909"/>
      <c r="BB7" s="909"/>
      <c r="BC7" s="909"/>
      <c r="BD7" s="909"/>
      <c r="BE7" s="909"/>
      <c r="BF7" s="909"/>
      <c r="BG7" s="909"/>
      <c r="BH7" s="909"/>
      <c r="BI7" s="909"/>
      <c r="BJ7" s="909"/>
      <c r="BK7" s="909"/>
      <c r="BL7" s="909"/>
      <c r="BM7" s="909"/>
      <c r="BN7" s="909"/>
      <c r="BO7" s="909"/>
      <c r="BP7" s="909"/>
      <c r="BQ7" s="909"/>
      <c r="BR7" s="909"/>
      <c r="BS7" s="909"/>
    </row>
    <row r="8" spans="1:71" ht="30.75" customHeight="1" x14ac:dyDescent="0.25">
      <c r="A8" s="897" t="s">
        <v>303</v>
      </c>
      <c r="B8" s="897" t="s">
        <v>1358</v>
      </c>
      <c r="C8" s="900" t="s">
        <v>124</v>
      </c>
      <c r="D8" s="901"/>
      <c r="E8" s="902"/>
      <c r="F8" s="903" t="s">
        <v>6</v>
      </c>
      <c r="G8" s="903" t="s">
        <v>1359</v>
      </c>
      <c r="H8" s="897" t="s">
        <v>1456</v>
      </c>
      <c r="I8" s="897" t="s">
        <v>1457</v>
      </c>
      <c r="J8" s="897" t="s">
        <v>1458</v>
      </c>
      <c r="K8" s="897" t="s">
        <v>1459</v>
      </c>
      <c r="L8" s="897" t="s">
        <v>1460</v>
      </c>
      <c r="M8" s="897" t="s">
        <v>1495</v>
      </c>
      <c r="N8" s="897" t="s">
        <v>1672</v>
      </c>
      <c r="O8" s="897" t="s">
        <v>1461</v>
      </c>
      <c r="P8" s="897" t="s">
        <v>1462</v>
      </c>
      <c r="Q8" s="897" t="s">
        <v>1463</v>
      </c>
      <c r="R8" s="897" t="s">
        <v>1464</v>
      </c>
      <c r="S8" s="897" t="s">
        <v>1465</v>
      </c>
      <c r="T8" s="897" t="s">
        <v>1466</v>
      </c>
      <c r="U8" s="897" t="s">
        <v>1467</v>
      </c>
      <c r="V8" s="897" t="s">
        <v>1468</v>
      </c>
      <c r="W8" s="897" t="s">
        <v>1469</v>
      </c>
      <c r="X8" s="897" t="s">
        <v>1470</v>
      </c>
      <c r="Y8" s="897" t="s">
        <v>1471</v>
      </c>
      <c r="Z8" s="897" t="s">
        <v>1472</v>
      </c>
      <c r="AA8" s="897" t="s">
        <v>1473</v>
      </c>
      <c r="AB8" s="897" t="s">
        <v>1474</v>
      </c>
      <c r="AC8" s="897" t="s">
        <v>1475</v>
      </c>
      <c r="AD8" s="897" t="s">
        <v>1476</v>
      </c>
      <c r="AE8" s="897" t="s">
        <v>1477</v>
      </c>
      <c r="AF8" s="897" t="s">
        <v>1478</v>
      </c>
      <c r="AG8" s="897" t="s">
        <v>1479</v>
      </c>
      <c r="AH8" s="897" t="s">
        <v>1480</v>
      </c>
      <c r="AI8" s="897" t="s">
        <v>1481</v>
      </c>
      <c r="AJ8" s="897" t="s">
        <v>1482</v>
      </c>
      <c r="AK8" s="897" t="s">
        <v>1483</v>
      </c>
      <c r="AL8" s="897" t="s">
        <v>1531</v>
      </c>
      <c r="AM8" s="897" t="s">
        <v>1540</v>
      </c>
      <c r="AN8" s="897" t="s">
        <v>1541</v>
      </c>
      <c r="AO8" s="897" t="s">
        <v>1542</v>
      </c>
      <c r="AP8" s="897" t="s">
        <v>1543</v>
      </c>
      <c r="AQ8" s="897" t="s">
        <v>1544</v>
      </c>
      <c r="AR8" s="897" t="s">
        <v>1545</v>
      </c>
      <c r="AS8" s="897" t="s">
        <v>1546</v>
      </c>
      <c r="AT8" s="897" t="s">
        <v>1570</v>
      </c>
      <c r="AU8" s="897" t="s">
        <v>1547</v>
      </c>
      <c r="AV8" s="897" t="s">
        <v>1548</v>
      </c>
      <c r="AW8" s="897" t="s">
        <v>1549</v>
      </c>
      <c r="AX8" s="897" t="s">
        <v>1550</v>
      </c>
      <c r="AY8" s="897" t="s">
        <v>1551</v>
      </c>
      <c r="AZ8" s="897" t="s">
        <v>1552</v>
      </c>
      <c r="BA8" s="897" t="s">
        <v>1553</v>
      </c>
      <c r="BB8" s="897" t="s">
        <v>1554</v>
      </c>
      <c r="BC8" s="897" t="s">
        <v>1555</v>
      </c>
      <c r="BD8" s="897" t="s">
        <v>1556</v>
      </c>
      <c r="BE8" s="897" t="s">
        <v>1557</v>
      </c>
      <c r="BF8" s="897" t="s">
        <v>1558</v>
      </c>
      <c r="BG8" s="897" t="s">
        <v>1559</v>
      </c>
      <c r="BH8" s="897" t="s">
        <v>1560</v>
      </c>
      <c r="BI8" s="897" t="s">
        <v>1561</v>
      </c>
      <c r="BJ8" s="897" t="s">
        <v>1562</v>
      </c>
      <c r="BK8" s="897" t="s">
        <v>1563</v>
      </c>
      <c r="BL8" s="897" t="s">
        <v>1564</v>
      </c>
      <c r="BM8" s="897" t="s">
        <v>1565</v>
      </c>
      <c r="BN8" s="897" t="s">
        <v>1566</v>
      </c>
      <c r="BO8" s="897" t="s">
        <v>1567</v>
      </c>
      <c r="BP8" s="897" t="s">
        <v>1568</v>
      </c>
      <c r="BQ8" s="897" t="s">
        <v>1569</v>
      </c>
      <c r="BR8" s="897" t="s">
        <v>1360</v>
      </c>
      <c r="BS8" s="897" t="s">
        <v>1167</v>
      </c>
    </row>
    <row r="9" spans="1:71" ht="25.5" x14ac:dyDescent="0.25">
      <c r="A9" s="898"/>
      <c r="B9" s="898"/>
      <c r="C9" s="483" t="s">
        <v>115</v>
      </c>
      <c r="D9" s="483" t="s">
        <v>134</v>
      </c>
      <c r="E9" s="483" t="s">
        <v>1361</v>
      </c>
      <c r="F9" s="904"/>
      <c r="G9" s="904"/>
      <c r="H9" s="898"/>
      <c r="I9" s="898"/>
      <c r="J9" s="898"/>
      <c r="K9" s="898"/>
      <c r="L9" s="898"/>
      <c r="M9" s="898"/>
      <c r="N9" s="898"/>
      <c r="O9" s="898"/>
      <c r="P9" s="898"/>
      <c r="Q9" s="898"/>
      <c r="R9" s="898"/>
      <c r="S9" s="898"/>
      <c r="T9" s="898"/>
      <c r="U9" s="898"/>
      <c r="V9" s="898"/>
      <c r="W9" s="898"/>
      <c r="X9" s="898"/>
      <c r="Y9" s="898"/>
      <c r="Z9" s="898"/>
      <c r="AA9" s="898"/>
      <c r="AB9" s="898"/>
      <c r="AC9" s="898"/>
      <c r="AD9" s="898"/>
      <c r="AE9" s="898"/>
      <c r="AF9" s="898"/>
      <c r="AG9" s="898"/>
      <c r="AH9" s="898"/>
      <c r="AI9" s="898"/>
      <c r="AJ9" s="898"/>
      <c r="AK9" s="898"/>
      <c r="AL9" s="898"/>
      <c r="AM9" s="898"/>
      <c r="AN9" s="898"/>
      <c r="AO9" s="898"/>
      <c r="AP9" s="898"/>
      <c r="AQ9" s="898"/>
      <c r="AR9" s="898"/>
      <c r="AS9" s="898"/>
      <c r="AT9" s="898"/>
      <c r="AU9" s="898"/>
      <c r="AV9" s="898"/>
      <c r="AW9" s="898"/>
      <c r="AX9" s="898"/>
      <c r="AY9" s="898"/>
      <c r="AZ9" s="898"/>
      <c r="BA9" s="898"/>
      <c r="BB9" s="898"/>
      <c r="BC9" s="898"/>
      <c r="BD9" s="898"/>
      <c r="BE9" s="898"/>
      <c r="BF9" s="898"/>
      <c r="BG9" s="898"/>
      <c r="BH9" s="898"/>
      <c r="BI9" s="898"/>
      <c r="BJ9" s="898"/>
      <c r="BK9" s="898"/>
      <c r="BL9" s="898"/>
      <c r="BM9" s="898"/>
      <c r="BN9" s="898"/>
      <c r="BO9" s="898"/>
      <c r="BP9" s="898"/>
      <c r="BQ9" s="898"/>
      <c r="BR9" s="898"/>
      <c r="BS9" s="898"/>
    </row>
    <row r="10" spans="1:71" x14ac:dyDescent="0.25">
      <c r="A10" s="484">
        <v>1</v>
      </c>
      <c r="B10" s="619" t="s">
        <v>1431</v>
      </c>
      <c r="C10" s="625" t="s">
        <v>47</v>
      </c>
      <c r="D10" s="620" t="s">
        <v>238</v>
      </c>
      <c r="E10" s="622">
        <f>+VLOOKUP(C10,'Erection Compiled'!$C$7:$J$333,7,FALSE)</f>
        <v>0</v>
      </c>
      <c r="F10" s="485">
        <v>45863</v>
      </c>
      <c r="G10" s="624">
        <v>45871</v>
      </c>
      <c r="H10" s="639">
        <v>3.8</v>
      </c>
      <c r="I10" s="622">
        <v>4.0999999999999996</v>
      </c>
      <c r="J10" s="621"/>
      <c r="K10" s="621"/>
      <c r="L10" s="484"/>
      <c r="M10" s="484"/>
      <c r="N10" s="484"/>
      <c r="O10" s="484"/>
      <c r="P10" s="484"/>
      <c r="Q10" s="484"/>
      <c r="R10" s="484"/>
      <c r="S10" s="484"/>
      <c r="T10" s="484"/>
      <c r="U10" s="484"/>
      <c r="V10" s="484"/>
      <c r="W10" s="484"/>
      <c r="X10" s="484"/>
      <c r="Y10" s="484"/>
      <c r="Z10" s="484"/>
      <c r="AA10" s="484"/>
      <c r="AB10" s="484"/>
      <c r="AC10" s="484"/>
      <c r="AD10" s="484"/>
      <c r="AE10" s="484"/>
      <c r="AF10" s="484"/>
      <c r="AG10" s="484"/>
      <c r="AH10" s="484"/>
      <c r="AI10" s="484"/>
      <c r="AJ10" s="484"/>
      <c r="AK10" s="484"/>
      <c r="AL10" s="484"/>
      <c r="AM10" s="484"/>
      <c r="AN10" s="484"/>
      <c r="AO10" s="484"/>
      <c r="AP10" s="484"/>
      <c r="AQ10" s="484"/>
      <c r="AR10" s="484"/>
      <c r="AS10" s="484"/>
      <c r="AT10" s="484"/>
      <c r="AU10" s="484"/>
      <c r="AV10" s="484"/>
      <c r="AW10" s="484"/>
      <c r="AX10" s="484"/>
      <c r="AY10" s="484"/>
      <c r="AZ10" s="484"/>
      <c r="BA10" s="484"/>
      <c r="BB10" s="484"/>
      <c r="BC10" s="484"/>
      <c r="BD10" s="484"/>
      <c r="BE10" s="484"/>
      <c r="BF10" s="484"/>
      <c r="BG10" s="484"/>
      <c r="BH10" s="484"/>
      <c r="BI10" s="484"/>
      <c r="BJ10" s="484"/>
      <c r="BK10" s="484"/>
      <c r="BL10" s="484"/>
      <c r="BM10" s="484"/>
      <c r="BN10" s="484"/>
      <c r="BO10" s="484"/>
      <c r="BP10" s="484"/>
      <c r="BQ10" s="484"/>
      <c r="BR10" s="622">
        <f>+SUM(H10:BQ10)</f>
        <v>7.8999999999999995</v>
      </c>
      <c r="BS10" s="623" t="s">
        <v>404</v>
      </c>
    </row>
    <row r="11" spans="1:71" x14ac:dyDescent="0.25">
      <c r="A11" s="484">
        <v>2</v>
      </c>
      <c r="B11" s="619" t="s">
        <v>1444</v>
      </c>
      <c r="C11" s="625" t="s">
        <v>673</v>
      </c>
      <c r="D11" s="620" t="s">
        <v>233</v>
      </c>
      <c r="E11" s="622">
        <f>+VLOOKUP(C11,'Erection Compiled'!$C$7:$J$333,7,FALSE)</f>
        <v>0</v>
      </c>
      <c r="F11" s="485">
        <v>45864</v>
      </c>
      <c r="G11" s="624">
        <v>45841</v>
      </c>
      <c r="H11" s="621">
        <v>4.8</v>
      </c>
      <c r="I11" s="622">
        <v>4.3</v>
      </c>
      <c r="J11" s="621">
        <v>5.0999999999999996</v>
      </c>
      <c r="K11" s="621"/>
      <c r="L11" s="484"/>
      <c r="M11" s="484"/>
      <c r="N11" s="484"/>
      <c r="O11" s="484"/>
      <c r="P11" s="484"/>
      <c r="Q11" s="484"/>
      <c r="R11" s="484"/>
      <c r="S11" s="484"/>
      <c r="T11" s="484"/>
      <c r="U11" s="484"/>
      <c r="V11" s="484"/>
      <c r="W11" s="484"/>
      <c r="X11" s="484"/>
      <c r="Y11" s="484"/>
      <c r="Z11" s="484"/>
      <c r="AA11" s="484"/>
      <c r="AB11" s="484"/>
      <c r="AC11" s="484"/>
      <c r="AD11" s="484"/>
      <c r="AE11" s="484"/>
      <c r="AF11" s="484"/>
      <c r="AG11" s="484"/>
      <c r="AH11" s="484"/>
      <c r="AI11" s="484"/>
      <c r="AJ11" s="484"/>
      <c r="AK11" s="484"/>
      <c r="AL11" s="484"/>
      <c r="AM11" s="484"/>
      <c r="AN11" s="484"/>
      <c r="AO11" s="484"/>
      <c r="AP11" s="484"/>
      <c r="AQ11" s="484"/>
      <c r="AR11" s="484"/>
      <c r="AS11" s="484"/>
      <c r="AT11" s="484"/>
      <c r="AU11" s="484"/>
      <c r="AV11" s="484"/>
      <c r="AW11" s="484"/>
      <c r="AX11" s="484"/>
      <c r="AY11" s="484"/>
      <c r="AZ11" s="484"/>
      <c r="BA11" s="484"/>
      <c r="BB11" s="484"/>
      <c r="BC11" s="484"/>
      <c r="BD11" s="484"/>
      <c r="BE11" s="484"/>
      <c r="BF11" s="484"/>
      <c r="BG11" s="484"/>
      <c r="BH11" s="484"/>
      <c r="BI11" s="484"/>
      <c r="BJ11" s="484"/>
      <c r="BK11" s="484"/>
      <c r="BL11" s="484"/>
      <c r="BM11" s="484"/>
      <c r="BN11" s="484"/>
      <c r="BO11" s="484"/>
      <c r="BP11" s="484"/>
      <c r="BQ11" s="484"/>
      <c r="BR11" s="622">
        <f t="shared" ref="BR11:BR74" si="0">+SUM(H11:BQ11)</f>
        <v>14.2</v>
      </c>
      <c r="BS11" s="623" t="s">
        <v>404</v>
      </c>
    </row>
    <row r="12" spans="1:71" x14ac:dyDescent="0.25">
      <c r="A12" s="484">
        <v>3</v>
      </c>
      <c r="B12" s="619" t="s">
        <v>1438</v>
      </c>
      <c r="C12" s="625" t="s">
        <v>666</v>
      </c>
      <c r="D12" s="620" t="s">
        <v>243</v>
      </c>
      <c r="E12" s="622">
        <f>+VLOOKUP(C12,'Erection Compiled'!$C$7:$J$333,7,FALSE)</f>
        <v>0</v>
      </c>
      <c r="F12" s="485">
        <v>45867</v>
      </c>
      <c r="G12" s="624">
        <v>45872</v>
      </c>
      <c r="H12" s="621">
        <v>8.4</v>
      </c>
      <c r="I12" s="622">
        <v>7.8</v>
      </c>
      <c r="J12" s="621">
        <v>8.4</v>
      </c>
      <c r="K12" s="621"/>
      <c r="L12" s="484"/>
      <c r="M12" s="484"/>
      <c r="N12" s="484"/>
      <c r="O12" s="484"/>
      <c r="P12" s="484"/>
      <c r="Q12" s="484"/>
      <c r="R12" s="484"/>
      <c r="S12" s="484"/>
      <c r="T12" s="484"/>
      <c r="U12" s="484"/>
      <c r="V12" s="484"/>
      <c r="W12" s="484"/>
      <c r="X12" s="484"/>
      <c r="Y12" s="484"/>
      <c r="Z12" s="484"/>
      <c r="AA12" s="484"/>
      <c r="AB12" s="484"/>
      <c r="AC12" s="484"/>
      <c r="AD12" s="484"/>
      <c r="AE12" s="484"/>
      <c r="AF12" s="484"/>
      <c r="AG12" s="484"/>
      <c r="AH12" s="484"/>
      <c r="AI12" s="484"/>
      <c r="AJ12" s="484"/>
      <c r="AK12" s="484"/>
      <c r="AL12" s="484"/>
      <c r="AM12" s="484"/>
      <c r="AN12" s="484"/>
      <c r="AO12" s="484"/>
      <c r="AP12" s="484"/>
      <c r="AQ12" s="484"/>
      <c r="AR12" s="484"/>
      <c r="AS12" s="484"/>
      <c r="AT12" s="484"/>
      <c r="AU12" s="484"/>
      <c r="AV12" s="484"/>
      <c r="AW12" s="484"/>
      <c r="AX12" s="484"/>
      <c r="AY12" s="484"/>
      <c r="AZ12" s="484"/>
      <c r="BA12" s="484"/>
      <c r="BB12" s="484"/>
      <c r="BC12" s="484"/>
      <c r="BD12" s="484"/>
      <c r="BE12" s="484"/>
      <c r="BF12" s="484"/>
      <c r="BG12" s="484"/>
      <c r="BH12" s="484"/>
      <c r="BI12" s="484"/>
      <c r="BJ12" s="484"/>
      <c r="BK12" s="484"/>
      <c r="BL12" s="484"/>
      <c r="BM12" s="484"/>
      <c r="BN12" s="484"/>
      <c r="BO12" s="484"/>
      <c r="BP12" s="484"/>
      <c r="BQ12" s="484"/>
      <c r="BR12" s="622">
        <f t="shared" si="0"/>
        <v>24.6</v>
      </c>
      <c r="BS12" s="623" t="s">
        <v>404</v>
      </c>
    </row>
    <row r="13" spans="1:71" x14ac:dyDescent="0.25">
      <c r="A13" s="484">
        <v>4</v>
      </c>
      <c r="B13" s="619" t="s">
        <v>1394</v>
      </c>
      <c r="C13" s="625" t="s">
        <v>195</v>
      </c>
      <c r="D13" s="620" t="s">
        <v>20</v>
      </c>
      <c r="E13" s="622">
        <f>+VLOOKUP(C13,'Erection Compiled'!$C$7:$J$333,7,FALSE)</f>
        <v>0</v>
      </c>
      <c r="F13" s="485">
        <v>45868</v>
      </c>
      <c r="G13" s="624">
        <v>45873</v>
      </c>
      <c r="H13" s="621">
        <v>7.2</v>
      </c>
      <c r="I13" s="622">
        <v>7.1</v>
      </c>
      <c r="J13" s="621">
        <v>6.8</v>
      </c>
      <c r="K13" s="621">
        <v>8.8000000000000007</v>
      </c>
      <c r="L13" s="484"/>
      <c r="M13" s="484"/>
      <c r="N13" s="484"/>
      <c r="O13" s="484"/>
      <c r="P13" s="484"/>
      <c r="Q13" s="484"/>
      <c r="R13" s="484"/>
      <c r="S13" s="484"/>
      <c r="T13" s="484"/>
      <c r="U13" s="484"/>
      <c r="V13" s="484"/>
      <c r="W13" s="484"/>
      <c r="X13" s="484"/>
      <c r="Y13" s="484"/>
      <c r="Z13" s="484"/>
      <c r="AA13" s="484"/>
      <c r="AB13" s="484"/>
      <c r="AC13" s="484"/>
      <c r="AD13" s="484"/>
      <c r="AE13" s="484"/>
      <c r="AF13" s="484"/>
      <c r="AG13" s="484"/>
      <c r="AH13" s="484"/>
      <c r="AI13" s="484"/>
      <c r="AJ13" s="484"/>
      <c r="AK13" s="484"/>
      <c r="AL13" s="484"/>
      <c r="AM13" s="484"/>
      <c r="AN13" s="484"/>
      <c r="AO13" s="484"/>
      <c r="AP13" s="484"/>
      <c r="AQ13" s="484"/>
      <c r="AR13" s="484"/>
      <c r="AS13" s="484"/>
      <c r="AT13" s="484"/>
      <c r="AU13" s="484"/>
      <c r="AV13" s="484"/>
      <c r="AW13" s="484"/>
      <c r="AX13" s="484"/>
      <c r="AY13" s="484"/>
      <c r="AZ13" s="484"/>
      <c r="BA13" s="484"/>
      <c r="BB13" s="484"/>
      <c r="BC13" s="484"/>
      <c r="BD13" s="484"/>
      <c r="BE13" s="484"/>
      <c r="BF13" s="484"/>
      <c r="BG13" s="484"/>
      <c r="BH13" s="484"/>
      <c r="BI13" s="484"/>
      <c r="BJ13" s="484"/>
      <c r="BK13" s="484"/>
      <c r="BL13" s="484"/>
      <c r="BM13" s="484"/>
      <c r="BN13" s="484"/>
      <c r="BO13" s="484"/>
      <c r="BP13" s="484"/>
      <c r="BQ13" s="484"/>
      <c r="BR13" s="622">
        <f t="shared" si="0"/>
        <v>29.900000000000002</v>
      </c>
      <c r="BS13" s="623" t="s">
        <v>404</v>
      </c>
    </row>
    <row r="14" spans="1:71" x14ac:dyDescent="0.25">
      <c r="A14" s="484">
        <v>5</v>
      </c>
      <c r="B14" s="619" t="s">
        <v>1444</v>
      </c>
      <c r="C14" s="625" t="s">
        <v>686</v>
      </c>
      <c r="D14" s="620" t="s">
        <v>20</v>
      </c>
      <c r="E14" s="622">
        <f>+VLOOKUP(C14,'Erection Compiled'!$C$7:$J$333,7,FALSE)</f>
        <v>0</v>
      </c>
      <c r="F14" s="485">
        <v>45864</v>
      </c>
      <c r="G14" s="624">
        <v>45874</v>
      </c>
      <c r="H14" s="621">
        <v>3.6</v>
      </c>
      <c r="I14" s="622">
        <v>3.2</v>
      </c>
      <c r="J14" s="621">
        <v>3.7</v>
      </c>
      <c r="K14" s="621">
        <v>3.9</v>
      </c>
      <c r="L14" s="484">
        <v>4.0999999999999996</v>
      </c>
      <c r="M14" s="484"/>
      <c r="N14" s="484"/>
      <c r="O14" s="484"/>
      <c r="P14" s="484"/>
      <c r="Q14" s="484"/>
      <c r="R14" s="484"/>
      <c r="S14" s="484"/>
      <c r="T14" s="484"/>
      <c r="U14" s="484"/>
      <c r="V14" s="484"/>
      <c r="W14" s="484"/>
      <c r="X14" s="484"/>
      <c r="Y14" s="484"/>
      <c r="Z14" s="484"/>
      <c r="AA14" s="484"/>
      <c r="AB14" s="484"/>
      <c r="AC14" s="484"/>
      <c r="AD14" s="484"/>
      <c r="AE14" s="484"/>
      <c r="AF14" s="484"/>
      <c r="AG14" s="484"/>
      <c r="AH14" s="484"/>
      <c r="AI14" s="484"/>
      <c r="AJ14" s="484"/>
      <c r="AK14" s="484"/>
      <c r="AL14" s="484"/>
      <c r="AM14" s="484"/>
      <c r="AN14" s="484"/>
      <c r="AO14" s="484"/>
      <c r="AP14" s="484"/>
      <c r="AQ14" s="484"/>
      <c r="AR14" s="484"/>
      <c r="AS14" s="484"/>
      <c r="AT14" s="484"/>
      <c r="AU14" s="484"/>
      <c r="AV14" s="484"/>
      <c r="AW14" s="484"/>
      <c r="AX14" s="484"/>
      <c r="AY14" s="484"/>
      <c r="AZ14" s="484"/>
      <c r="BA14" s="484"/>
      <c r="BB14" s="484"/>
      <c r="BC14" s="484"/>
      <c r="BD14" s="484"/>
      <c r="BE14" s="484"/>
      <c r="BF14" s="484"/>
      <c r="BG14" s="484"/>
      <c r="BH14" s="484"/>
      <c r="BI14" s="484"/>
      <c r="BJ14" s="484"/>
      <c r="BK14" s="484"/>
      <c r="BL14" s="484"/>
      <c r="BM14" s="484"/>
      <c r="BN14" s="484"/>
      <c r="BO14" s="484"/>
      <c r="BP14" s="484"/>
      <c r="BQ14" s="484"/>
      <c r="BR14" s="622">
        <f t="shared" si="0"/>
        <v>18.5</v>
      </c>
      <c r="BS14" s="623" t="s">
        <v>404</v>
      </c>
    </row>
    <row r="15" spans="1:71" x14ac:dyDescent="0.25">
      <c r="A15" s="484">
        <v>6</v>
      </c>
      <c r="B15" s="619" t="s">
        <v>1453</v>
      </c>
      <c r="C15" s="625" t="s">
        <v>519</v>
      </c>
      <c r="D15" s="620" t="s">
        <v>231</v>
      </c>
      <c r="E15" s="622">
        <f>+VLOOKUP(C15,'Erection Compiled'!$C$7:$J$333,7,FALSE)</f>
        <v>0</v>
      </c>
      <c r="F15" s="485">
        <v>45870</v>
      </c>
      <c r="G15" s="624">
        <v>45874</v>
      </c>
      <c r="H15" s="639">
        <v>7.2</v>
      </c>
      <c r="I15" s="639">
        <v>8.1999999999999993</v>
      </c>
      <c r="J15" s="639">
        <v>8.1999999999999993</v>
      </c>
      <c r="K15" s="639">
        <v>6.2</v>
      </c>
      <c r="L15" s="639">
        <v>7.7</v>
      </c>
      <c r="M15" s="484"/>
      <c r="N15" s="484"/>
      <c r="O15" s="484"/>
      <c r="P15" s="484"/>
      <c r="Q15" s="484"/>
      <c r="R15" s="484"/>
      <c r="S15" s="484"/>
      <c r="T15" s="484"/>
      <c r="U15" s="484"/>
      <c r="V15" s="484"/>
      <c r="W15" s="484"/>
      <c r="X15" s="484"/>
      <c r="Y15" s="484"/>
      <c r="Z15" s="484"/>
      <c r="AA15" s="484"/>
      <c r="AB15" s="484"/>
      <c r="AC15" s="484"/>
      <c r="AD15" s="484"/>
      <c r="AE15" s="484"/>
      <c r="AF15" s="484"/>
      <c r="AG15" s="484"/>
      <c r="AH15" s="484"/>
      <c r="AI15" s="484"/>
      <c r="AJ15" s="484"/>
      <c r="AK15" s="484"/>
      <c r="AL15" s="484"/>
      <c r="AM15" s="484"/>
      <c r="AN15" s="484"/>
      <c r="AO15" s="484"/>
      <c r="AP15" s="484"/>
      <c r="AQ15" s="484"/>
      <c r="AR15" s="484"/>
      <c r="AS15" s="484"/>
      <c r="AT15" s="484"/>
      <c r="AU15" s="484"/>
      <c r="AV15" s="484"/>
      <c r="AW15" s="484"/>
      <c r="AX15" s="484"/>
      <c r="AY15" s="484"/>
      <c r="AZ15" s="484"/>
      <c r="BA15" s="484"/>
      <c r="BB15" s="484"/>
      <c r="BC15" s="484"/>
      <c r="BD15" s="484"/>
      <c r="BE15" s="484"/>
      <c r="BF15" s="484"/>
      <c r="BG15" s="484"/>
      <c r="BH15" s="484"/>
      <c r="BI15" s="484"/>
      <c r="BJ15" s="484"/>
      <c r="BK15" s="484"/>
      <c r="BL15" s="484"/>
      <c r="BM15" s="484"/>
      <c r="BN15" s="484"/>
      <c r="BO15" s="484"/>
      <c r="BP15" s="484"/>
      <c r="BQ15" s="484"/>
      <c r="BR15" s="622">
        <f t="shared" si="0"/>
        <v>37.5</v>
      </c>
      <c r="BS15" s="623" t="s">
        <v>404</v>
      </c>
    </row>
    <row r="16" spans="1:71" x14ac:dyDescent="0.25">
      <c r="A16" s="484">
        <v>7</v>
      </c>
      <c r="B16" s="637" t="s">
        <v>1450</v>
      </c>
      <c r="C16" s="625" t="s">
        <v>676</v>
      </c>
      <c r="D16" s="620" t="s">
        <v>240</v>
      </c>
      <c r="E16" s="622">
        <f>+VLOOKUP(C16,'Erection Compiled'!$C$7:$J$333,7,FALSE)</f>
        <v>0</v>
      </c>
      <c r="F16" s="485">
        <v>45866</v>
      </c>
      <c r="G16" s="624">
        <v>45875</v>
      </c>
      <c r="H16" s="621">
        <v>7.9</v>
      </c>
      <c r="I16" s="622">
        <v>8.1999999999999993</v>
      </c>
      <c r="J16" s="621">
        <v>8.3000000000000007</v>
      </c>
      <c r="K16" s="621">
        <v>8.1</v>
      </c>
      <c r="L16" s="484">
        <v>8.6</v>
      </c>
      <c r="M16" s="484"/>
      <c r="N16" s="484"/>
      <c r="O16" s="484"/>
      <c r="P16" s="484"/>
      <c r="Q16" s="484"/>
      <c r="R16" s="484"/>
      <c r="S16" s="484"/>
      <c r="T16" s="484"/>
      <c r="U16" s="484"/>
      <c r="V16" s="484"/>
      <c r="W16" s="484"/>
      <c r="X16" s="484"/>
      <c r="Y16" s="484"/>
      <c r="Z16" s="484"/>
      <c r="AA16" s="484"/>
      <c r="AB16" s="484"/>
      <c r="AC16" s="484"/>
      <c r="AD16" s="484"/>
      <c r="AE16" s="484"/>
      <c r="AF16" s="484"/>
      <c r="AG16" s="484"/>
      <c r="AH16" s="484"/>
      <c r="AI16" s="484"/>
      <c r="AJ16" s="484"/>
      <c r="AK16" s="484"/>
      <c r="AL16" s="484"/>
      <c r="AM16" s="484"/>
      <c r="AN16" s="484"/>
      <c r="AO16" s="484"/>
      <c r="AP16" s="484"/>
      <c r="AQ16" s="484"/>
      <c r="AR16" s="484"/>
      <c r="AS16" s="484"/>
      <c r="AT16" s="484"/>
      <c r="AU16" s="484"/>
      <c r="AV16" s="484"/>
      <c r="AW16" s="484"/>
      <c r="AX16" s="484"/>
      <c r="AY16" s="484"/>
      <c r="AZ16" s="484"/>
      <c r="BA16" s="484"/>
      <c r="BB16" s="484"/>
      <c r="BC16" s="484"/>
      <c r="BD16" s="484"/>
      <c r="BE16" s="484"/>
      <c r="BF16" s="484"/>
      <c r="BG16" s="484"/>
      <c r="BH16" s="484"/>
      <c r="BI16" s="484"/>
      <c r="BJ16" s="484"/>
      <c r="BK16" s="484"/>
      <c r="BL16" s="484"/>
      <c r="BM16" s="484"/>
      <c r="BN16" s="484"/>
      <c r="BO16" s="484"/>
      <c r="BP16" s="484"/>
      <c r="BQ16" s="484"/>
      <c r="BR16" s="622">
        <f t="shared" si="0"/>
        <v>41.1</v>
      </c>
      <c r="BS16" s="623" t="s">
        <v>404</v>
      </c>
    </row>
    <row r="17" spans="1:71" x14ac:dyDescent="0.25">
      <c r="A17" s="484">
        <v>8</v>
      </c>
      <c r="B17" s="619" t="s">
        <v>1452</v>
      </c>
      <c r="C17" s="625" t="s">
        <v>200</v>
      </c>
      <c r="D17" s="620" t="s">
        <v>20</v>
      </c>
      <c r="E17" s="622">
        <f>+VLOOKUP(C17,'Erection Compiled'!$C$7:$J$333,7,FALSE)</f>
        <v>0</v>
      </c>
      <c r="F17" s="485">
        <v>45870</v>
      </c>
      <c r="G17" s="624">
        <v>45875</v>
      </c>
      <c r="H17" s="639">
        <v>6.2</v>
      </c>
      <c r="I17" s="639">
        <v>6.2</v>
      </c>
      <c r="J17" s="639">
        <v>7.2</v>
      </c>
      <c r="K17" s="639">
        <v>6.9</v>
      </c>
      <c r="L17" s="639">
        <v>6.5</v>
      </c>
      <c r="M17" s="484">
        <v>5.8</v>
      </c>
      <c r="N17" s="484"/>
      <c r="O17" s="484"/>
      <c r="P17" s="484"/>
      <c r="Q17" s="484"/>
      <c r="R17" s="484"/>
      <c r="S17" s="484"/>
      <c r="T17" s="484"/>
      <c r="U17" s="484"/>
      <c r="V17" s="484"/>
      <c r="W17" s="484"/>
      <c r="X17" s="484"/>
      <c r="Y17" s="484"/>
      <c r="Z17" s="484"/>
      <c r="AA17" s="484"/>
      <c r="AB17" s="484"/>
      <c r="AC17" s="484"/>
      <c r="AD17" s="484"/>
      <c r="AE17" s="484"/>
      <c r="AF17" s="484"/>
      <c r="AG17" s="484"/>
      <c r="AH17" s="484"/>
      <c r="AI17" s="484"/>
      <c r="AJ17" s="484"/>
      <c r="AK17" s="484"/>
      <c r="AL17" s="484"/>
      <c r="AM17" s="484"/>
      <c r="AN17" s="484"/>
      <c r="AO17" s="484"/>
      <c r="AP17" s="484"/>
      <c r="AQ17" s="484"/>
      <c r="AR17" s="484"/>
      <c r="AS17" s="484"/>
      <c r="AT17" s="484"/>
      <c r="AU17" s="484"/>
      <c r="AV17" s="484"/>
      <c r="AW17" s="484"/>
      <c r="AX17" s="484"/>
      <c r="AY17" s="484"/>
      <c r="AZ17" s="484"/>
      <c r="BA17" s="484"/>
      <c r="BB17" s="484"/>
      <c r="BC17" s="484"/>
      <c r="BD17" s="484"/>
      <c r="BE17" s="484"/>
      <c r="BF17" s="484"/>
      <c r="BG17" s="484"/>
      <c r="BH17" s="484"/>
      <c r="BI17" s="484"/>
      <c r="BJ17" s="484"/>
      <c r="BK17" s="484"/>
      <c r="BL17" s="484"/>
      <c r="BM17" s="484"/>
      <c r="BN17" s="484"/>
      <c r="BO17" s="484"/>
      <c r="BP17" s="484"/>
      <c r="BQ17" s="484"/>
      <c r="BR17" s="622">
        <f t="shared" si="0"/>
        <v>38.799999999999997</v>
      </c>
      <c r="BS17" s="623" t="s">
        <v>404</v>
      </c>
    </row>
    <row r="18" spans="1:71" x14ac:dyDescent="0.25">
      <c r="A18" s="484">
        <v>9</v>
      </c>
      <c r="B18" s="619" t="s">
        <v>1371</v>
      </c>
      <c r="C18" s="625" t="s">
        <v>456</v>
      </c>
      <c r="D18" s="620" t="s">
        <v>231</v>
      </c>
      <c r="E18" s="622">
        <f>+VLOOKUP(C18,'Erection Compiled'!$C$7:$J$333,7,FALSE)</f>
        <v>0</v>
      </c>
      <c r="F18" s="485">
        <v>45863</v>
      </c>
      <c r="G18" s="624">
        <v>45878</v>
      </c>
      <c r="H18" s="621">
        <v>2.9</v>
      </c>
      <c r="I18" s="622">
        <v>2.7</v>
      </c>
      <c r="J18" s="621">
        <v>3.2</v>
      </c>
      <c r="K18" s="621">
        <v>3.5</v>
      </c>
      <c r="L18" s="484">
        <v>3.8</v>
      </c>
      <c r="M18" s="484">
        <v>3.1</v>
      </c>
      <c r="N18" s="484">
        <v>2.9</v>
      </c>
      <c r="O18" s="484">
        <v>2.8</v>
      </c>
      <c r="P18" s="484">
        <v>2.7</v>
      </c>
      <c r="Q18" s="484"/>
      <c r="R18" s="484"/>
      <c r="S18" s="484"/>
      <c r="T18" s="484"/>
      <c r="U18" s="484"/>
      <c r="V18" s="484"/>
      <c r="W18" s="484"/>
      <c r="X18" s="484"/>
      <c r="Y18" s="484"/>
      <c r="Z18" s="484"/>
      <c r="AA18" s="484"/>
      <c r="AB18" s="484"/>
      <c r="AC18" s="484"/>
      <c r="AD18" s="484"/>
      <c r="AE18" s="484"/>
      <c r="AF18" s="484"/>
      <c r="AG18" s="484"/>
      <c r="AH18" s="484"/>
      <c r="AI18" s="484"/>
      <c r="AJ18" s="484"/>
      <c r="AK18" s="484"/>
      <c r="AL18" s="484"/>
      <c r="AM18" s="484"/>
      <c r="AN18" s="484"/>
      <c r="AO18" s="484"/>
      <c r="AP18" s="484"/>
      <c r="AQ18" s="484"/>
      <c r="AR18" s="484"/>
      <c r="AS18" s="484"/>
      <c r="AT18" s="484"/>
      <c r="AU18" s="484"/>
      <c r="AV18" s="484"/>
      <c r="AW18" s="484"/>
      <c r="AX18" s="484"/>
      <c r="AY18" s="484"/>
      <c r="AZ18" s="484"/>
      <c r="BA18" s="484"/>
      <c r="BB18" s="484"/>
      <c r="BC18" s="484"/>
      <c r="BD18" s="484"/>
      <c r="BE18" s="484"/>
      <c r="BF18" s="484"/>
      <c r="BG18" s="484"/>
      <c r="BH18" s="484"/>
      <c r="BI18" s="484"/>
      <c r="BJ18" s="484"/>
      <c r="BK18" s="484"/>
      <c r="BL18" s="484"/>
      <c r="BM18" s="484"/>
      <c r="BN18" s="484"/>
      <c r="BO18" s="484"/>
      <c r="BP18" s="484"/>
      <c r="BQ18" s="484"/>
      <c r="BR18" s="622">
        <f t="shared" si="0"/>
        <v>27.6</v>
      </c>
      <c r="BS18" s="623" t="s">
        <v>404</v>
      </c>
    </row>
    <row r="19" spans="1:71" x14ac:dyDescent="0.25">
      <c r="A19" s="484">
        <v>10</v>
      </c>
      <c r="B19" s="619" t="s">
        <v>1451</v>
      </c>
      <c r="C19" s="625" t="s">
        <v>181</v>
      </c>
      <c r="D19" s="620" t="s">
        <v>231</v>
      </c>
      <c r="E19" s="622">
        <f>+VLOOKUP(C19,'Erection Compiled'!$C$7:$J$333,7,FALSE)</f>
        <v>0</v>
      </c>
      <c r="F19" s="485">
        <v>45869</v>
      </c>
      <c r="G19" s="624">
        <v>45878</v>
      </c>
      <c r="H19" s="621">
        <v>3.3</v>
      </c>
      <c r="I19" s="622">
        <v>3.8</v>
      </c>
      <c r="J19" s="621">
        <v>3.2</v>
      </c>
      <c r="K19" s="621">
        <v>3.8</v>
      </c>
      <c r="L19" s="484">
        <v>4.2</v>
      </c>
      <c r="M19" s="484">
        <v>4.5</v>
      </c>
      <c r="N19" s="484">
        <v>4.0999999999999996</v>
      </c>
      <c r="O19" s="484">
        <v>3.8</v>
      </c>
      <c r="P19" s="484">
        <v>4.0999999999999996</v>
      </c>
      <c r="Q19" s="484"/>
      <c r="R19" s="484"/>
      <c r="S19" s="484"/>
      <c r="T19" s="484"/>
      <c r="U19" s="484"/>
      <c r="V19" s="484"/>
      <c r="W19" s="484"/>
      <c r="X19" s="484"/>
      <c r="Y19" s="484"/>
      <c r="Z19" s="484"/>
      <c r="AA19" s="484"/>
      <c r="AB19" s="484"/>
      <c r="AC19" s="484"/>
      <c r="AD19" s="484"/>
      <c r="AE19" s="484"/>
      <c r="AF19" s="484"/>
      <c r="AG19" s="484"/>
      <c r="AH19" s="484"/>
      <c r="AI19" s="484"/>
      <c r="AJ19" s="484"/>
      <c r="AK19" s="484"/>
      <c r="AL19" s="484"/>
      <c r="AM19" s="484"/>
      <c r="AN19" s="484"/>
      <c r="AO19" s="484"/>
      <c r="AP19" s="484"/>
      <c r="AQ19" s="484"/>
      <c r="AR19" s="484"/>
      <c r="AS19" s="484"/>
      <c r="AT19" s="484"/>
      <c r="AU19" s="484"/>
      <c r="AV19" s="484"/>
      <c r="AW19" s="484"/>
      <c r="AX19" s="484"/>
      <c r="AY19" s="484"/>
      <c r="AZ19" s="484"/>
      <c r="BA19" s="484"/>
      <c r="BB19" s="484"/>
      <c r="BC19" s="484"/>
      <c r="BD19" s="484"/>
      <c r="BE19" s="484"/>
      <c r="BF19" s="484"/>
      <c r="BG19" s="484"/>
      <c r="BH19" s="484"/>
      <c r="BI19" s="484"/>
      <c r="BJ19" s="484"/>
      <c r="BK19" s="484"/>
      <c r="BL19" s="484"/>
      <c r="BM19" s="484"/>
      <c r="BN19" s="484"/>
      <c r="BO19" s="484"/>
      <c r="BP19" s="484"/>
      <c r="BQ19" s="484"/>
      <c r="BR19" s="622">
        <f t="shared" si="0"/>
        <v>34.799999999999997</v>
      </c>
      <c r="BS19" s="623" t="s">
        <v>404</v>
      </c>
    </row>
    <row r="20" spans="1:71" x14ac:dyDescent="0.25">
      <c r="A20" s="484">
        <v>11</v>
      </c>
      <c r="B20" s="619" t="s">
        <v>1441</v>
      </c>
      <c r="C20" s="625" t="s">
        <v>671</v>
      </c>
      <c r="D20" s="620" t="str">
        <f>+VLOOKUP(C20,Foundation!$C$8:$D$495,2,FALSE)</f>
        <v>DA+9</v>
      </c>
      <c r="E20" s="622">
        <f>+VLOOKUP(C20,'Erection Compiled'!$C$7:$J$333,7,FALSE)</f>
        <v>0</v>
      </c>
      <c r="F20" s="485">
        <v>45873</v>
      </c>
      <c r="G20" s="624">
        <v>45878</v>
      </c>
      <c r="H20" s="621"/>
      <c r="I20" s="622"/>
      <c r="J20" s="621"/>
      <c r="K20" s="621">
        <v>5.2</v>
      </c>
      <c r="L20" s="484">
        <v>8.1999999999999993</v>
      </c>
      <c r="M20" s="484">
        <v>8.9</v>
      </c>
      <c r="N20" s="484">
        <v>9.1</v>
      </c>
      <c r="O20" s="484">
        <v>8.6999999999999993</v>
      </c>
      <c r="P20" s="484">
        <v>7.1</v>
      </c>
      <c r="Q20" s="484"/>
      <c r="R20" s="484"/>
      <c r="S20" s="484"/>
      <c r="T20" s="484"/>
      <c r="U20" s="484"/>
      <c r="V20" s="484"/>
      <c r="W20" s="484"/>
      <c r="X20" s="484"/>
      <c r="Y20" s="484"/>
      <c r="Z20" s="484"/>
      <c r="AA20" s="484"/>
      <c r="AB20" s="484"/>
      <c r="AC20" s="484"/>
      <c r="AD20" s="484"/>
      <c r="AE20" s="484"/>
      <c r="AF20" s="484"/>
      <c r="AG20" s="484"/>
      <c r="AH20" s="484"/>
      <c r="AI20" s="484"/>
      <c r="AJ20" s="484"/>
      <c r="AK20" s="484"/>
      <c r="AL20" s="484"/>
      <c r="AM20" s="484"/>
      <c r="AN20" s="484"/>
      <c r="AO20" s="484"/>
      <c r="AP20" s="484"/>
      <c r="AQ20" s="484"/>
      <c r="AR20" s="484"/>
      <c r="AS20" s="484"/>
      <c r="AT20" s="484"/>
      <c r="AU20" s="484"/>
      <c r="AV20" s="484"/>
      <c r="AW20" s="484"/>
      <c r="AX20" s="484"/>
      <c r="AY20" s="484"/>
      <c r="AZ20" s="484"/>
      <c r="BA20" s="484"/>
      <c r="BB20" s="484"/>
      <c r="BC20" s="484"/>
      <c r="BD20" s="484"/>
      <c r="BE20" s="484"/>
      <c r="BF20" s="484"/>
      <c r="BG20" s="484"/>
      <c r="BH20" s="484"/>
      <c r="BI20" s="484"/>
      <c r="BJ20" s="484"/>
      <c r="BK20" s="484"/>
      <c r="BL20" s="484"/>
      <c r="BM20" s="484"/>
      <c r="BN20" s="484"/>
      <c r="BO20" s="484"/>
      <c r="BP20" s="484"/>
      <c r="BQ20" s="484"/>
      <c r="BR20" s="622">
        <f t="shared" si="0"/>
        <v>47.199999999999996</v>
      </c>
      <c r="BS20" s="623" t="s">
        <v>404</v>
      </c>
    </row>
    <row r="21" spans="1:71" x14ac:dyDescent="0.25">
      <c r="A21" s="484">
        <v>12</v>
      </c>
      <c r="B21" s="619" t="s">
        <v>1394</v>
      </c>
      <c r="C21" s="625" t="s">
        <v>466</v>
      </c>
      <c r="D21" s="620" t="str">
        <f>+VLOOKUP(C21,Foundation!$C$8:$D$495,2,FALSE)</f>
        <v>DA+0</v>
      </c>
      <c r="E21" s="622">
        <f>+VLOOKUP(C21,'Erection Compiled'!$C$7:$J$333,7,FALSE)</f>
        <v>0</v>
      </c>
      <c r="F21" s="485">
        <v>45873</v>
      </c>
      <c r="G21" s="624">
        <v>45878</v>
      </c>
      <c r="H21" s="621"/>
      <c r="I21" s="622"/>
      <c r="J21" s="621"/>
      <c r="K21" s="621">
        <v>5.2</v>
      </c>
      <c r="L21" s="484">
        <v>6.3</v>
      </c>
      <c r="M21" s="484">
        <v>6.2</v>
      </c>
      <c r="N21" s="484">
        <v>6.8</v>
      </c>
      <c r="O21" s="484">
        <v>6.9</v>
      </c>
      <c r="P21" s="484">
        <v>6.1</v>
      </c>
      <c r="Q21" s="484"/>
      <c r="R21" s="484"/>
      <c r="S21" s="484"/>
      <c r="T21" s="484"/>
      <c r="U21" s="484"/>
      <c r="V21" s="484"/>
      <c r="W21" s="484"/>
      <c r="X21" s="484"/>
      <c r="Y21" s="484"/>
      <c r="Z21" s="484"/>
      <c r="AA21" s="484"/>
      <c r="AB21" s="484"/>
      <c r="AC21" s="484"/>
      <c r="AD21" s="484"/>
      <c r="AE21" s="484"/>
      <c r="AF21" s="484"/>
      <c r="AG21" s="484"/>
      <c r="AH21" s="484"/>
      <c r="AI21" s="484"/>
      <c r="AJ21" s="484"/>
      <c r="AK21" s="484"/>
      <c r="AL21" s="484"/>
      <c r="AM21" s="484"/>
      <c r="AN21" s="484"/>
      <c r="AO21" s="484"/>
      <c r="AP21" s="484"/>
      <c r="AQ21" s="484"/>
      <c r="AR21" s="484"/>
      <c r="AS21" s="484"/>
      <c r="AT21" s="484"/>
      <c r="AU21" s="484"/>
      <c r="AV21" s="484"/>
      <c r="AW21" s="484"/>
      <c r="AX21" s="484"/>
      <c r="AY21" s="484"/>
      <c r="AZ21" s="484"/>
      <c r="BA21" s="484"/>
      <c r="BB21" s="484"/>
      <c r="BC21" s="484"/>
      <c r="BD21" s="484"/>
      <c r="BE21" s="484"/>
      <c r="BF21" s="484"/>
      <c r="BG21" s="484"/>
      <c r="BH21" s="484"/>
      <c r="BI21" s="484"/>
      <c r="BJ21" s="484"/>
      <c r="BK21" s="484"/>
      <c r="BL21" s="484"/>
      <c r="BM21" s="484"/>
      <c r="BN21" s="484"/>
      <c r="BO21" s="484"/>
      <c r="BP21" s="484"/>
      <c r="BQ21" s="484"/>
      <c r="BR21" s="622">
        <f t="shared" si="0"/>
        <v>37.5</v>
      </c>
      <c r="BS21" s="623" t="s">
        <v>404</v>
      </c>
    </row>
    <row r="22" spans="1:71" x14ac:dyDescent="0.25">
      <c r="A22" s="484">
        <v>13</v>
      </c>
      <c r="B22" s="619" t="s">
        <v>1394</v>
      </c>
      <c r="C22" s="625" t="s">
        <v>76</v>
      </c>
      <c r="D22" s="620" t="str">
        <f>+VLOOKUP(C22,Foundation!$C$8:$D$495,2,FALSE)</f>
        <v>DB1+0</v>
      </c>
      <c r="E22" s="622">
        <f>+VLOOKUP(C22,'Erection Compiled'!$C$7:$J$333,7,FALSE)</f>
        <v>0</v>
      </c>
      <c r="F22" s="485">
        <v>45868</v>
      </c>
      <c r="G22" s="624">
        <v>45881</v>
      </c>
      <c r="H22" s="639">
        <v>2.8</v>
      </c>
      <c r="I22" s="639">
        <v>5.0999999999999996</v>
      </c>
      <c r="J22" s="639">
        <v>5.2</v>
      </c>
      <c r="K22" s="639">
        <v>4.5</v>
      </c>
      <c r="L22" s="639">
        <v>4.5999999999999996</v>
      </c>
      <c r="M22" s="639">
        <v>4.3</v>
      </c>
      <c r="N22" s="639">
        <v>5.0999999999999996</v>
      </c>
      <c r="O22" s="639">
        <v>4.3</v>
      </c>
      <c r="P22" s="639">
        <v>4.8</v>
      </c>
      <c r="Q22" s="639">
        <v>5.4</v>
      </c>
      <c r="R22" s="639">
        <v>4.9000000000000004</v>
      </c>
      <c r="S22" s="639">
        <v>6.6</v>
      </c>
      <c r="T22" s="484"/>
      <c r="U22" s="484"/>
      <c r="V22" s="484"/>
      <c r="W22" s="484"/>
      <c r="X22" s="484"/>
      <c r="Y22" s="484"/>
      <c r="Z22" s="484"/>
      <c r="AA22" s="484"/>
      <c r="AB22" s="484"/>
      <c r="AC22" s="484"/>
      <c r="AD22" s="484"/>
      <c r="AE22" s="484"/>
      <c r="AF22" s="484"/>
      <c r="AG22" s="484"/>
      <c r="AH22" s="484"/>
      <c r="AI22" s="484"/>
      <c r="AJ22" s="484"/>
      <c r="AK22" s="484"/>
      <c r="AL22" s="484"/>
      <c r="AM22" s="484"/>
      <c r="AN22" s="484"/>
      <c r="AO22" s="484"/>
      <c r="AP22" s="484"/>
      <c r="AQ22" s="484"/>
      <c r="AR22" s="484"/>
      <c r="AS22" s="484"/>
      <c r="AT22" s="484"/>
      <c r="AU22" s="484"/>
      <c r="AV22" s="484"/>
      <c r="AW22" s="484"/>
      <c r="AX22" s="484"/>
      <c r="AY22" s="484"/>
      <c r="AZ22" s="484"/>
      <c r="BA22" s="484"/>
      <c r="BB22" s="484"/>
      <c r="BC22" s="484"/>
      <c r="BD22" s="484"/>
      <c r="BE22" s="484"/>
      <c r="BF22" s="484"/>
      <c r="BG22" s="484"/>
      <c r="BH22" s="484"/>
      <c r="BI22" s="484"/>
      <c r="BJ22" s="484"/>
      <c r="BK22" s="484"/>
      <c r="BL22" s="484"/>
      <c r="BM22" s="484"/>
      <c r="BN22" s="484"/>
      <c r="BO22" s="484"/>
      <c r="BP22" s="484"/>
      <c r="BQ22" s="484"/>
      <c r="BR22" s="622">
        <f t="shared" si="0"/>
        <v>57.599999999999994</v>
      </c>
      <c r="BS22" s="623" t="s">
        <v>404</v>
      </c>
    </row>
    <row r="23" spans="1:71" x14ac:dyDescent="0.25">
      <c r="A23" s="484">
        <v>14</v>
      </c>
      <c r="B23" s="619" t="s">
        <v>1453</v>
      </c>
      <c r="C23" s="625" t="s">
        <v>446</v>
      </c>
      <c r="D23" s="620" t="s">
        <v>239</v>
      </c>
      <c r="E23" s="622">
        <f>+VLOOKUP(C23,'Erection Compiled'!$C$7:$J$333,7,FALSE)</f>
        <v>0</v>
      </c>
      <c r="F23" s="485">
        <v>45867</v>
      </c>
      <c r="G23" s="624">
        <v>45882</v>
      </c>
      <c r="H23" s="639">
        <v>3.3</v>
      </c>
      <c r="I23" s="639">
        <v>3.6</v>
      </c>
      <c r="J23" s="639">
        <v>3.8</v>
      </c>
      <c r="K23" s="639">
        <v>4.9000000000000004</v>
      </c>
      <c r="L23" s="639">
        <v>5.0999999999999996</v>
      </c>
      <c r="M23" s="639">
        <v>5.2</v>
      </c>
      <c r="N23" s="639">
        <v>5.3</v>
      </c>
      <c r="O23" s="639">
        <v>5.7</v>
      </c>
      <c r="P23" s="639">
        <v>5.5</v>
      </c>
      <c r="Q23" s="639">
        <v>5.9</v>
      </c>
      <c r="R23" s="639">
        <v>6.2</v>
      </c>
      <c r="S23" s="639">
        <v>5.6</v>
      </c>
      <c r="T23" s="639">
        <v>6.3</v>
      </c>
      <c r="U23" s="639"/>
      <c r="V23" s="639"/>
      <c r="W23" s="639"/>
      <c r="X23" s="639"/>
      <c r="Y23" s="639"/>
      <c r="Z23" s="639"/>
      <c r="AA23" s="639"/>
      <c r="AB23" s="639"/>
      <c r="AC23" s="639"/>
      <c r="AD23" s="639"/>
      <c r="AE23" s="639"/>
      <c r="AF23" s="639"/>
      <c r="AG23" s="639"/>
      <c r="AH23" s="639"/>
      <c r="AI23" s="639"/>
      <c r="AJ23" s="639"/>
      <c r="AK23" s="639"/>
      <c r="AL23" s="639"/>
      <c r="AM23" s="484"/>
      <c r="AN23" s="484"/>
      <c r="AO23" s="484"/>
      <c r="AP23" s="484"/>
      <c r="AQ23" s="484"/>
      <c r="AR23" s="484"/>
      <c r="AS23" s="484"/>
      <c r="AT23" s="484"/>
      <c r="AU23" s="484"/>
      <c r="AV23" s="484"/>
      <c r="AW23" s="484"/>
      <c r="AX23" s="484"/>
      <c r="AY23" s="484"/>
      <c r="AZ23" s="484"/>
      <c r="BA23" s="484"/>
      <c r="BB23" s="484"/>
      <c r="BC23" s="484"/>
      <c r="BD23" s="484"/>
      <c r="BE23" s="484"/>
      <c r="BF23" s="484"/>
      <c r="BG23" s="484"/>
      <c r="BH23" s="484"/>
      <c r="BI23" s="484"/>
      <c r="BJ23" s="484"/>
      <c r="BK23" s="484"/>
      <c r="BL23" s="484"/>
      <c r="BM23" s="484"/>
      <c r="BN23" s="484"/>
      <c r="BO23" s="484"/>
      <c r="BP23" s="484"/>
      <c r="BQ23" s="484"/>
      <c r="BR23" s="622">
        <f t="shared" si="0"/>
        <v>66.400000000000006</v>
      </c>
      <c r="BS23" s="623" t="s">
        <v>404</v>
      </c>
    </row>
    <row r="24" spans="1:71" x14ac:dyDescent="0.25">
      <c r="A24" s="484">
        <v>15</v>
      </c>
      <c r="B24" s="619" t="s">
        <v>1488</v>
      </c>
      <c r="C24" s="625" t="s">
        <v>746</v>
      </c>
      <c r="D24" s="620" t="str">
        <f>+VLOOKUP(C24,Foundation!$C$8:$D$495,2,FALSE)</f>
        <v>DA+6</v>
      </c>
      <c r="E24" s="622">
        <f>+VLOOKUP(C24,'Erection Compiled'!$C$7:$J$333,7,FALSE)</f>
        <v>0</v>
      </c>
      <c r="F24" s="485">
        <v>45876</v>
      </c>
      <c r="G24" s="624">
        <v>45882</v>
      </c>
      <c r="H24" s="639"/>
      <c r="I24" s="639"/>
      <c r="J24" s="639"/>
      <c r="K24" s="639"/>
      <c r="L24" s="639"/>
      <c r="M24" s="639"/>
      <c r="N24" s="639">
        <v>5.7</v>
      </c>
      <c r="O24" s="639">
        <v>6.9</v>
      </c>
      <c r="P24" s="639">
        <v>6.2</v>
      </c>
      <c r="Q24" s="639">
        <v>6.8</v>
      </c>
      <c r="R24" s="639">
        <v>6.1</v>
      </c>
      <c r="S24" s="639">
        <v>7.2</v>
      </c>
      <c r="T24" s="639">
        <v>6.2</v>
      </c>
      <c r="U24" s="639"/>
      <c r="V24" s="639"/>
      <c r="W24" s="639"/>
      <c r="X24" s="639"/>
      <c r="Y24" s="639"/>
      <c r="Z24" s="639"/>
      <c r="AA24" s="639"/>
      <c r="AB24" s="639"/>
      <c r="AC24" s="639"/>
      <c r="AD24" s="639"/>
      <c r="AE24" s="639"/>
      <c r="AF24" s="639"/>
      <c r="AG24" s="639"/>
      <c r="AH24" s="639"/>
      <c r="AI24" s="639"/>
      <c r="AJ24" s="639"/>
      <c r="AK24" s="639"/>
      <c r="AL24" s="639"/>
      <c r="AM24" s="484"/>
      <c r="AN24" s="484"/>
      <c r="AO24" s="484"/>
      <c r="AP24" s="484"/>
      <c r="AQ24" s="484"/>
      <c r="AR24" s="484"/>
      <c r="AS24" s="484"/>
      <c r="AT24" s="484"/>
      <c r="AU24" s="484"/>
      <c r="AV24" s="484"/>
      <c r="AW24" s="484"/>
      <c r="AX24" s="484"/>
      <c r="AY24" s="484"/>
      <c r="AZ24" s="484"/>
      <c r="BA24" s="484"/>
      <c r="BB24" s="484"/>
      <c r="BC24" s="484"/>
      <c r="BD24" s="484"/>
      <c r="BE24" s="484"/>
      <c r="BF24" s="484"/>
      <c r="BG24" s="484"/>
      <c r="BH24" s="484"/>
      <c r="BI24" s="484"/>
      <c r="BJ24" s="484"/>
      <c r="BK24" s="484"/>
      <c r="BL24" s="484"/>
      <c r="BM24" s="484"/>
      <c r="BN24" s="484"/>
      <c r="BO24" s="484"/>
      <c r="BP24" s="484"/>
      <c r="BQ24" s="484"/>
      <c r="BR24" s="622">
        <f t="shared" si="0"/>
        <v>45.100000000000009</v>
      </c>
      <c r="BS24" s="623" t="s">
        <v>404</v>
      </c>
    </row>
    <row r="25" spans="1:71" x14ac:dyDescent="0.25">
      <c r="A25" s="484">
        <v>16</v>
      </c>
      <c r="B25" s="619" t="s">
        <v>1444</v>
      </c>
      <c r="C25" s="625" t="s">
        <v>681</v>
      </c>
      <c r="D25" s="620" t="str">
        <f>+VLOOKUP(C25,Foundation!$C$8:$D$495,2,FALSE)</f>
        <v>DA+9</v>
      </c>
      <c r="E25" s="622">
        <f>+VLOOKUP(C25,'Erection Compiled'!$C$7:$J$333,7,FALSE)</f>
        <v>0</v>
      </c>
      <c r="F25" s="485">
        <v>45873</v>
      </c>
      <c r="G25" s="624">
        <v>45885</v>
      </c>
      <c r="H25" s="639"/>
      <c r="I25" s="639"/>
      <c r="J25" s="639"/>
      <c r="K25" s="639">
        <v>3.1</v>
      </c>
      <c r="L25" s="639">
        <v>3.4</v>
      </c>
      <c r="M25" s="639">
        <v>4.9000000000000004</v>
      </c>
      <c r="N25" s="639">
        <v>2.1</v>
      </c>
      <c r="O25" s="639">
        <v>3.2</v>
      </c>
      <c r="P25" s="639">
        <v>3.8</v>
      </c>
      <c r="Q25" s="639">
        <v>4.0999999999999996</v>
      </c>
      <c r="R25" s="639">
        <v>4.0999999999999996</v>
      </c>
      <c r="S25" s="639">
        <v>4.7</v>
      </c>
      <c r="T25" s="639">
        <v>4.9000000000000004</v>
      </c>
      <c r="U25" s="639">
        <v>4.0999999999999996</v>
      </c>
      <c r="V25" s="639"/>
      <c r="W25" s="639">
        <v>4.7</v>
      </c>
      <c r="X25" s="639"/>
      <c r="Y25" s="639"/>
      <c r="Z25" s="639"/>
      <c r="AA25" s="639"/>
      <c r="AB25" s="639"/>
      <c r="AC25" s="639"/>
      <c r="AD25" s="639"/>
      <c r="AE25" s="639"/>
      <c r="AF25" s="639"/>
      <c r="AG25" s="639"/>
      <c r="AH25" s="639"/>
      <c r="AI25" s="639"/>
      <c r="AJ25" s="639"/>
      <c r="AK25" s="639"/>
      <c r="AL25" s="639"/>
      <c r="AM25" s="484"/>
      <c r="AN25" s="484"/>
      <c r="AO25" s="484"/>
      <c r="AP25" s="484"/>
      <c r="AQ25" s="484"/>
      <c r="AR25" s="484"/>
      <c r="AS25" s="484"/>
      <c r="AT25" s="484"/>
      <c r="AU25" s="484"/>
      <c r="AV25" s="484"/>
      <c r="AW25" s="484"/>
      <c r="AX25" s="484"/>
      <c r="AY25" s="484"/>
      <c r="AZ25" s="484"/>
      <c r="BA25" s="484"/>
      <c r="BB25" s="484"/>
      <c r="BC25" s="484"/>
      <c r="BD25" s="484"/>
      <c r="BE25" s="484"/>
      <c r="BF25" s="484"/>
      <c r="BG25" s="484"/>
      <c r="BH25" s="484"/>
      <c r="BI25" s="484"/>
      <c r="BJ25" s="484"/>
      <c r="BK25" s="484"/>
      <c r="BL25" s="484"/>
      <c r="BM25" s="484"/>
      <c r="BN25" s="484"/>
      <c r="BO25" s="484"/>
      <c r="BP25" s="484"/>
      <c r="BQ25" s="484"/>
      <c r="BR25" s="622">
        <f t="shared" si="0"/>
        <v>47.100000000000009</v>
      </c>
      <c r="BS25" s="623" t="s">
        <v>404</v>
      </c>
    </row>
    <row r="26" spans="1:71" x14ac:dyDescent="0.25">
      <c r="A26" s="484">
        <v>17</v>
      </c>
      <c r="B26" s="619" t="s">
        <v>1489</v>
      </c>
      <c r="C26" s="625" t="s">
        <v>672</v>
      </c>
      <c r="D26" s="620" t="str">
        <f>+VLOOKUP(C26,Foundation!$C$8:$D$495,2,FALSE)</f>
        <v>DB1+3</v>
      </c>
      <c r="E26" s="622">
        <f>+VLOOKUP(C26,'Erection Compiled'!$C$7:$J$333,7,FALSE)</f>
        <v>0</v>
      </c>
      <c r="F26" s="485">
        <v>45878</v>
      </c>
      <c r="G26" s="624">
        <v>45885</v>
      </c>
      <c r="H26" s="639"/>
      <c r="I26" s="639"/>
      <c r="J26" s="639"/>
      <c r="K26" s="639"/>
      <c r="L26" s="639"/>
      <c r="M26" s="639"/>
      <c r="N26" s="639"/>
      <c r="O26" s="639"/>
      <c r="P26" s="639">
        <v>6.8</v>
      </c>
      <c r="Q26" s="639">
        <v>9.3000000000000007</v>
      </c>
      <c r="R26" s="639">
        <v>9.6999999999999993</v>
      </c>
      <c r="S26" s="639">
        <v>8.1</v>
      </c>
      <c r="T26" s="639">
        <v>8.3000000000000007</v>
      </c>
      <c r="U26" s="639">
        <v>8.1999999999999993</v>
      </c>
      <c r="V26" s="639"/>
      <c r="W26" s="639">
        <v>9.6999999999999993</v>
      </c>
      <c r="X26" s="639"/>
      <c r="Y26" s="639"/>
      <c r="Z26" s="639"/>
      <c r="AA26" s="639"/>
      <c r="AB26" s="639"/>
      <c r="AC26" s="639"/>
      <c r="AD26" s="639"/>
      <c r="AE26" s="639"/>
      <c r="AF26" s="639"/>
      <c r="AG26" s="639"/>
      <c r="AH26" s="639"/>
      <c r="AI26" s="639"/>
      <c r="AJ26" s="639"/>
      <c r="AK26" s="639"/>
      <c r="AL26" s="639"/>
      <c r="AM26" s="484"/>
      <c r="AN26" s="484"/>
      <c r="AO26" s="484"/>
      <c r="AP26" s="484"/>
      <c r="AQ26" s="484"/>
      <c r="AR26" s="484"/>
      <c r="AS26" s="484"/>
      <c r="AT26" s="484"/>
      <c r="AU26" s="484"/>
      <c r="AV26" s="484"/>
      <c r="AW26" s="484"/>
      <c r="AX26" s="484"/>
      <c r="AY26" s="484"/>
      <c r="AZ26" s="484"/>
      <c r="BA26" s="484"/>
      <c r="BB26" s="484"/>
      <c r="BC26" s="484"/>
      <c r="BD26" s="484"/>
      <c r="BE26" s="484"/>
      <c r="BF26" s="484"/>
      <c r="BG26" s="484"/>
      <c r="BH26" s="484"/>
      <c r="BI26" s="484"/>
      <c r="BJ26" s="484"/>
      <c r="BK26" s="484"/>
      <c r="BL26" s="484"/>
      <c r="BM26" s="484"/>
      <c r="BN26" s="484"/>
      <c r="BO26" s="484"/>
      <c r="BP26" s="484"/>
      <c r="BQ26" s="484"/>
      <c r="BR26" s="622">
        <f t="shared" si="0"/>
        <v>60.100000000000009</v>
      </c>
      <c r="BS26" s="623" t="s">
        <v>404</v>
      </c>
    </row>
    <row r="27" spans="1:71" x14ac:dyDescent="0.25">
      <c r="A27" s="484">
        <v>18</v>
      </c>
      <c r="B27" s="619" t="s">
        <v>1484</v>
      </c>
      <c r="C27" s="625" t="s">
        <v>449</v>
      </c>
      <c r="D27" s="620" t="str">
        <f>+VLOOKUP(C27,Foundation!$C$8:$D$495,2,FALSE)</f>
        <v>DA+3</v>
      </c>
      <c r="E27" s="622">
        <f>+VLOOKUP(C27,'Erection Compiled'!$C$7:$J$333,7,FALSE)</f>
        <v>0</v>
      </c>
      <c r="F27" s="485">
        <v>45873</v>
      </c>
      <c r="G27" s="624">
        <v>45886</v>
      </c>
      <c r="H27" s="639"/>
      <c r="I27" s="639"/>
      <c r="J27" s="639"/>
      <c r="K27" s="639">
        <v>2.7714285714285714</v>
      </c>
      <c r="L27" s="639">
        <v>2.7714285714285714</v>
      </c>
      <c r="M27" s="639">
        <v>2.7714285714285714</v>
      </c>
      <c r="N27" s="639">
        <v>2.7714285714285714</v>
      </c>
      <c r="O27" s="639">
        <v>2.7714285714285714</v>
      </c>
      <c r="P27" s="639">
        <v>2.7714285714285714</v>
      </c>
      <c r="Q27" s="639">
        <v>2.7714285714285714</v>
      </c>
      <c r="R27" s="639">
        <v>2.7714285714285714</v>
      </c>
      <c r="S27" s="639">
        <v>2.7714285714285714</v>
      </c>
      <c r="T27" s="639">
        <v>2.7714285714285714</v>
      </c>
      <c r="U27" s="639">
        <v>2.7714285714285714</v>
      </c>
      <c r="V27" s="639">
        <v>2.7714285714285714</v>
      </c>
      <c r="W27" s="639">
        <v>2.7714285714285714</v>
      </c>
      <c r="X27" s="639">
        <v>2.7714285714285714</v>
      </c>
      <c r="Y27" s="639"/>
      <c r="Z27" s="639"/>
      <c r="AA27" s="639"/>
      <c r="AB27" s="639"/>
      <c r="AC27" s="639"/>
      <c r="AD27" s="639"/>
      <c r="AE27" s="639"/>
      <c r="AF27" s="639"/>
      <c r="AG27" s="639"/>
      <c r="AH27" s="639"/>
      <c r="AI27" s="639"/>
      <c r="AJ27" s="639"/>
      <c r="AK27" s="639"/>
      <c r="AL27" s="639"/>
      <c r="AM27" s="484"/>
      <c r="AN27" s="484"/>
      <c r="AO27" s="484"/>
      <c r="AP27" s="484"/>
      <c r="AQ27" s="484"/>
      <c r="AR27" s="484"/>
      <c r="AS27" s="484"/>
      <c r="AT27" s="484"/>
      <c r="AU27" s="484"/>
      <c r="AV27" s="484"/>
      <c r="AW27" s="484"/>
      <c r="AX27" s="484"/>
      <c r="AY27" s="484"/>
      <c r="AZ27" s="484"/>
      <c r="BA27" s="484"/>
      <c r="BB27" s="484"/>
      <c r="BC27" s="484"/>
      <c r="BD27" s="484"/>
      <c r="BE27" s="484"/>
      <c r="BF27" s="484"/>
      <c r="BG27" s="484"/>
      <c r="BH27" s="484"/>
      <c r="BI27" s="484"/>
      <c r="BJ27" s="484"/>
      <c r="BK27" s="484"/>
      <c r="BL27" s="484"/>
      <c r="BM27" s="484"/>
      <c r="BN27" s="484"/>
      <c r="BO27" s="484"/>
      <c r="BP27" s="484"/>
      <c r="BQ27" s="484"/>
      <c r="BR27" s="622">
        <f t="shared" si="0"/>
        <v>38.800000000000004</v>
      </c>
      <c r="BS27" s="623" t="s">
        <v>404</v>
      </c>
    </row>
    <row r="28" spans="1:71" ht="25.5" x14ac:dyDescent="0.25">
      <c r="A28" s="484">
        <v>19</v>
      </c>
      <c r="B28" s="619" t="s">
        <v>1450</v>
      </c>
      <c r="C28" s="625" t="s">
        <v>678</v>
      </c>
      <c r="D28" s="620" t="str">
        <f>+VLOOKUP(C28,Foundation!$C$8:$D$495,2,FALSE)</f>
        <v>DC2+0</v>
      </c>
      <c r="E28" s="622">
        <f>+VLOOKUP(C28,'Erection Compiled'!$C$7:$J$333,7,FALSE)</f>
        <v>0</v>
      </c>
      <c r="F28" s="485">
        <v>45875</v>
      </c>
      <c r="G28" s="624">
        <v>45886</v>
      </c>
      <c r="H28" s="639"/>
      <c r="I28" s="639"/>
      <c r="J28" s="639"/>
      <c r="K28" s="639"/>
      <c r="L28" s="639"/>
      <c r="M28" s="639">
        <v>5.5317499999999997</v>
      </c>
      <c r="N28" s="639">
        <v>5.5317499999999997</v>
      </c>
      <c r="O28" s="639">
        <v>5.5317499999999997</v>
      </c>
      <c r="P28" s="639">
        <v>5.5317499999999997</v>
      </c>
      <c r="Q28" s="639">
        <v>5.5317499999999997</v>
      </c>
      <c r="R28" s="639">
        <v>5.5317499999999997</v>
      </c>
      <c r="S28" s="639">
        <v>5.5317499999999997</v>
      </c>
      <c r="T28" s="639">
        <v>5.5317499999999997</v>
      </c>
      <c r="U28" s="639">
        <v>5.5317499999999997</v>
      </c>
      <c r="V28" s="639">
        <v>5.5317499999999997</v>
      </c>
      <c r="W28" s="639">
        <v>5.5317499999999997</v>
      </c>
      <c r="X28" s="639">
        <v>5.5317499999999997</v>
      </c>
      <c r="Y28" s="639"/>
      <c r="Z28" s="639"/>
      <c r="AA28" s="639"/>
      <c r="AB28" s="639"/>
      <c r="AC28" s="639"/>
      <c r="AD28" s="639"/>
      <c r="AE28" s="639"/>
      <c r="AF28" s="639"/>
      <c r="AG28" s="639"/>
      <c r="AH28" s="639"/>
      <c r="AI28" s="639"/>
      <c r="AJ28" s="639"/>
      <c r="AK28" s="639"/>
      <c r="AL28" s="639"/>
      <c r="AM28" s="484"/>
      <c r="AN28" s="484"/>
      <c r="AO28" s="484"/>
      <c r="AP28" s="484"/>
      <c r="AQ28" s="484"/>
      <c r="AR28" s="484"/>
      <c r="AS28" s="484"/>
      <c r="AT28" s="484"/>
      <c r="AU28" s="484"/>
      <c r="AV28" s="484"/>
      <c r="AW28" s="484"/>
      <c r="AX28" s="484"/>
      <c r="AY28" s="484"/>
      <c r="AZ28" s="484"/>
      <c r="BA28" s="484"/>
      <c r="BB28" s="484"/>
      <c r="BC28" s="484"/>
      <c r="BD28" s="484"/>
      <c r="BE28" s="484"/>
      <c r="BF28" s="484"/>
      <c r="BG28" s="484"/>
      <c r="BH28" s="484"/>
      <c r="BI28" s="484"/>
      <c r="BJ28" s="484"/>
      <c r="BK28" s="484"/>
      <c r="BL28" s="484"/>
      <c r="BM28" s="484"/>
      <c r="BN28" s="484"/>
      <c r="BO28" s="484"/>
      <c r="BP28" s="484"/>
      <c r="BQ28" s="484"/>
      <c r="BR28" s="622">
        <f t="shared" si="0"/>
        <v>66.381000000000014</v>
      </c>
      <c r="BS28" s="623" t="s">
        <v>404</v>
      </c>
    </row>
    <row r="29" spans="1:71" x14ac:dyDescent="0.25">
      <c r="A29" s="484">
        <v>20</v>
      </c>
      <c r="B29" s="619" t="s">
        <v>1452</v>
      </c>
      <c r="C29" s="625" t="s">
        <v>202</v>
      </c>
      <c r="D29" s="620" t="str">
        <f>+VLOOKUP(C29,Foundation!$C$8:$D$495,2,FALSE)</f>
        <v>DA+3</v>
      </c>
      <c r="E29" s="622">
        <f>+VLOOKUP(C29,'Erection Compiled'!$C$7:$J$333,7,FALSE)</f>
        <v>0</v>
      </c>
      <c r="F29" s="485">
        <v>45875</v>
      </c>
      <c r="G29" s="624">
        <v>45886</v>
      </c>
      <c r="H29" s="639"/>
      <c r="I29" s="639"/>
      <c r="J29" s="639"/>
      <c r="K29" s="639"/>
      <c r="L29" s="639"/>
      <c r="M29" s="639">
        <v>3.2333333333333329</v>
      </c>
      <c r="N29" s="639">
        <v>3.2333333333333329</v>
      </c>
      <c r="O29" s="639">
        <v>3.2333333333333329</v>
      </c>
      <c r="P29" s="639">
        <v>3.2333333333333329</v>
      </c>
      <c r="Q29" s="639">
        <v>3.2333333333333329</v>
      </c>
      <c r="R29" s="639">
        <v>3.2333333333333329</v>
      </c>
      <c r="S29" s="639">
        <v>3.2333333333333329</v>
      </c>
      <c r="T29" s="639">
        <v>3.2333333333333329</v>
      </c>
      <c r="U29" s="639">
        <v>3.2333333333333329</v>
      </c>
      <c r="V29" s="639">
        <v>3.2333333333333329</v>
      </c>
      <c r="W29" s="639">
        <v>3.2333333333333329</v>
      </c>
      <c r="X29" s="639">
        <v>3.2333333333333329</v>
      </c>
      <c r="Y29" s="639"/>
      <c r="Z29" s="639"/>
      <c r="AA29" s="639"/>
      <c r="AB29" s="639"/>
      <c r="AC29" s="639"/>
      <c r="AD29" s="639"/>
      <c r="AE29" s="639"/>
      <c r="AF29" s="639"/>
      <c r="AG29" s="639"/>
      <c r="AH29" s="639"/>
      <c r="AI29" s="639"/>
      <c r="AJ29" s="639"/>
      <c r="AK29" s="639"/>
      <c r="AL29" s="639"/>
      <c r="AM29" s="484"/>
      <c r="AN29" s="484"/>
      <c r="AO29" s="484"/>
      <c r="AP29" s="484"/>
      <c r="AQ29" s="484"/>
      <c r="AR29" s="484"/>
      <c r="AS29" s="484"/>
      <c r="AT29" s="484"/>
      <c r="AU29" s="484"/>
      <c r="AV29" s="484"/>
      <c r="AW29" s="484"/>
      <c r="AX29" s="484"/>
      <c r="AY29" s="484"/>
      <c r="AZ29" s="484"/>
      <c r="BA29" s="484"/>
      <c r="BB29" s="484"/>
      <c r="BC29" s="484"/>
      <c r="BD29" s="484"/>
      <c r="BE29" s="484"/>
      <c r="BF29" s="484"/>
      <c r="BG29" s="484"/>
      <c r="BH29" s="484"/>
      <c r="BI29" s="484"/>
      <c r="BJ29" s="484"/>
      <c r="BK29" s="484"/>
      <c r="BL29" s="484"/>
      <c r="BM29" s="484"/>
      <c r="BN29" s="484"/>
      <c r="BO29" s="484"/>
      <c r="BP29" s="484"/>
      <c r="BQ29" s="484"/>
      <c r="BR29" s="622">
        <f t="shared" si="0"/>
        <v>38.800000000000004</v>
      </c>
      <c r="BS29" s="623" t="s">
        <v>404</v>
      </c>
    </row>
    <row r="30" spans="1:71" x14ac:dyDescent="0.25">
      <c r="A30" s="484">
        <v>21</v>
      </c>
      <c r="B30" s="619" t="s">
        <v>1494</v>
      </c>
      <c r="C30" s="625" t="s">
        <v>67</v>
      </c>
      <c r="D30" s="620" t="str">
        <f>+VLOOKUP(C30,Foundation!$C$8:$D$495,2,FALSE)</f>
        <v>DA+3</v>
      </c>
      <c r="E30" s="622">
        <f>+VLOOKUP(C30,'Erection Compiled'!$C$7:$J$333,7,FALSE)</f>
        <v>0</v>
      </c>
      <c r="F30" s="485">
        <v>45878</v>
      </c>
      <c r="G30" s="624">
        <v>45886</v>
      </c>
      <c r="H30" s="639"/>
      <c r="I30" s="639"/>
      <c r="J30" s="639"/>
      <c r="K30" s="639"/>
      <c r="L30" s="639"/>
      <c r="M30" s="639"/>
      <c r="N30" s="639"/>
      <c r="O30" s="639"/>
      <c r="P30" s="639">
        <v>4.3111111111111109</v>
      </c>
      <c r="Q30" s="639">
        <v>4.3111111111111109</v>
      </c>
      <c r="R30" s="639">
        <v>4.3111111111111109</v>
      </c>
      <c r="S30" s="639">
        <v>4.3111111111111109</v>
      </c>
      <c r="T30" s="639">
        <v>4.3111111111111109</v>
      </c>
      <c r="U30" s="639">
        <v>4.3111111111111109</v>
      </c>
      <c r="V30" s="639">
        <v>4.3111111111111109</v>
      </c>
      <c r="W30" s="639">
        <v>4.3111111111111109</v>
      </c>
      <c r="X30" s="639">
        <v>4.3111111111111109</v>
      </c>
      <c r="Y30" s="639"/>
      <c r="Z30" s="639"/>
      <c r="AA30" s="639"/>
      <c r="AB30" s="639"/>
      <c r="AC30" s="639"/>
      <c r="AD30" s="639"/>
      <c r="AE30" s="639"/>
      <c r="AF30" s="639"/>
      <c r="AG30" s="639"/>
      <c r="AH30" s="639"/>
      <c r="AI30" s="639"/>
      <c r="AJ30" s="639"/>
      <c r="AK30" s="639"/>
      <c r="AL30" s="639"/>
      <c r="AM30" s="484"/>
      <c r="AN30" s="484"/>
      <c r="AO30" s="484"/>
      <c r="AP30" s="484"/>
      <c r="AQ30" s="484"/>
      <c r="AR30" s="484"/>
      <c r="AS30" s="484"/>
      <c r="AT30" s="484"/>
      <c r="AU30" s="484"/>
      <c r="AV30" s="484"/>
      <c r="AW30" s="484"/>
      <c r="AX30" s="484"/>
      <c r="AY30" s="484"/>
      <c r="AZ30" s="484"/>
      <c r="BA30" s="484"/>
      <c r="BB30" s="484"/>
      <c r="BC30" s="484"/>
      <c r="BD30" s="484"/>
      <c r="BE30" s="484"/>
      <c r="BF30" s="484"/>
      <c r="BG30" s="484"/>
      <c r="BH30" s="484"/>
      <c r="BI30" s="484"/>
      <c r="BJ30" s="484"/>
      <c r="BK30" s="484"/>
      <c r="BL30" s="484"/>
      <c r="BM30" s="484"/>
      <c r="BN30" s="484"/>
      <c r="BO30" s="484"/>
      <c r="BP30" s="484"/>
      <c r="BQ30" s="484"/>
      <c r="BR30" s="622">
        <f t="shared" si="0"/>
        <v>38.799999999999997</v>
      </c>
      <c r="BS30" s="623" t="s">
        <v>404</v>
      </c>
    </row>
    <row r="31" spans="1:71" x14ac:dyDescent="0.25">
      <c r="A31" s="484">
        <v>22</v>
      </c>
      <c r="B31" s="619" t="s">
        <v>1496</v>
      </c>
      <c r="C31" s="625" t="s">
        <v>554</v>
      </c>
      <c r="D31" s="620" t="str">
        <f>+VLOOKUP(C31,Foundation!$C$8:$D$495,2,FALSE)</f>
        <v>DA+3</v>
      </c>
      <c r="E31" s="622">
        <f>+VLOOKUP(C31,'Erection Compiled'!$C$7:$J$333,7,FALSE)</f>
        <v>0</v>
      </c>
      <c r="F31" s="485">
        <v>45879</v>
      </c>
      <c r="G31" s="624">
        <v>45886</v>
      </c>
      <c r="H31" s="639"/>
      <c r="I31" s="639"/>
      <c r="J31" s="639"/>
      <c r="K31" s="639"/>
      <c r="L31" s="639"/>
      <c r="M31" s="639"/>
      <c r="N31" s="639"/>
      <c r="O31" s="639"/>
      <c r="P31" s="639"/>
      <c r="Q31" s="639">
        <v>4.8499999999999996</v>
      </c>
      <c r="R31" s="639">
        <v>4.8499999999999996</v>
      </c>
      <c r="S31" s="639">
        <v>4.8499999999999996</v>
      </c>
      <c r="T31" s="639">
        <v>4.8499999999999996</v>
      </c>
      <c r="U31" s="639">
        <v>4.8499999999999996</v>
      </c>
      <c r="V31" s="639">
        <v>4.8499999999999996</v>
      </c>
      <c r="W31" s="639">
        <v>4.8499999999999996</v>
      </c>
      <c r="X31" s="639">
        <v>4.8499999999999996</v>
      </c>
      <c r="Y31" s="639"/>
      <c r="Z31" s="639"/>
      <c r="AA31" s="639"/>
      <c r="AB31" s="639"/>
      <c r="AC31" s="639"/>
      <c r="AD31" s="639"/>
      <c r="AE31" s="639"/>
      <c r="AF31" s="639"/>
      <c r="AG31" s="639"/>
      <c r="AH31" s="639"/>
      <c r="AI31" s="639"/>
      <c r="AJ31" s="639"/>
      <c r="AK31" s="639"/>
      <c r="AL31" s="639"/>
      <c r="AM31" s="484"/>
      <c r="AN31" s="484"/>
      <c r="AO31" s="484"/>
      <c r="AP31" s="484"/>
      <c r="AQ31" s="484"/>
      <c r="AR31" s="484"/>
      <c r="AS31" s="484"/>
      <c r="AT31" s="484"/>
      <c r="AU31" s="484"/>
      <c r="AV31" s="484"/>
      <c r="AW31" s="484"/>
      <c r="AX31" s="484"/>
      <c r="AY31" s="484"/>
      <c r="AZ31" s="484"/>
      <c r="BA31" s="484"/>
      <c r="BB31" s="484"/>
      <c r="BC31" s="484"/>
      <c r="BD31" s="484"/>
      <c r="BE31" s="484"/>
      <c r="BF31" s="484"/>
      <c r="BG31" s="484"/>
      <c r="BH31" s="484"/>
      <c r="BI31" s="484"/>
      <c r="BJ31" s="484"/>
      <c r="BK31" s="484"/>
      <c r="BL31" s="484"/>
      <c r="BM31" s="484"/>
      <c r="BN31" s="484"/>
      <c r="BO31" s="484"/>
      <c r="BP31" s="484"/>
      <c r="BQ31" s="484"/>
      <c r="BR31" s="622">
        <f t="shared" si="0"/>
        <v>38.800000000000004</v>
      </c>
      <c r="BS31" s="623" t="s">
        <v>404</v>
      </c>
    </row>
    <row r="32" spans="1:71" x14ac:dyDescent="0.25">
      <c r="A32" s="484">
        <v>23</v>
      </c>
      <c r="B32" s="619" t="s">
        <v>886</v>
      </c>
      <c r="C32" s="625" t="s">
        <v>745</v>
      </c>
      <c r="D32" s="620" t="str">
        <f>+VLOOKUP(C32,Foundation!$C$8:$D$495,2,FALSE)</f>
        <v>DA+0</v>
      </c>
      <c r="E32" s="622">
        <f>+VLOOKUP(C32,'Erection Compiled'!$C$7:$J$333,7,FALSE)</f>
        <v>0</v>
      </c>
      <c r="F32" s="485">
        <v>45882</v>
      </c>
      <c r="G32" s="624">
        <v>45886</v>
      </c>
      <c r="H32" s="639"/>
      <c r="I32" s="639"/>
      <c r="J32" s="639"/>
      <c r="K32" s="639"/>
      <c r="L32" s="639"/>
      <c r="M32" s="639"/>
      <c r="N32" s="639"/>
      <c r="O32" s="639"/>
      <c r="P32" s="639"/>
      <c r="Q32" s="639"/>
      <c r="R32" s="639"/>
      <c r="S32" s="639"/>
      <c r="T32" s="639">
        <v>7.5</v>
      </c>
      <c r="U32" s="639">
        <v>7.5</v>
      </c>
      <c r="V32" s="639">
        <v>7.5</v>
      </c>
      <c r="W32" s="639">
        <v>7.5</v>
      </c>
      <c r="X32" s="639">
        <v>7.5</v>
      </c>
      <c r="Y32" s="639"/>
      <c r="Z32" s="639"/>
      <c r="AA32" s="639"/>
      <c r="AB32" s="639"/>
      <c r="AC32" s="639"/>
      <c r="AD32" s="639"/>
      <c r="AE32" s="639"/>
      <c r="AF32" s="639"/>
      <c r="AG32" s="639"/>
      <c r="AH32" s="639"/>
      <c r="AI32" s="639"/>
      <c r="AJ32" s="639"/>
      <c r="AK32" s="639"/>
      <c r="AL32" s="639"/>
      <c r="AM32" s="484"/>
      <c r="AN32" s="484"/>
      <c r="AO32" s="484"/>
      <c r="AP32" s="484"/>
      <c r="AQ32" s="484"/>
      <c r="AR32" s="484"/>
      <c r="AS32" s="484"/>
      <c r="AT32" s="484"/>
      <c r="AU32" s="484"/>
      <c r="AV32" s="484"/>
      <c r="AW32" s="484"/>
      <c r="AX32" s="484"/>
      <c r="AY32" s="484"/>
      <c r="AZ32" s="484"/>
      <c r="BA32" s="484"/>
      <c r="BB32" s="484"/>
      <c r="BC32" s="484"/>
      <c r="BD32" s="484"/>
      <c r="BE32" s="484"/>
      <c r="BF32" s="484"/>
      <c r="BG32" s="484"/>
      <c r="BH32" s="484"/>
      <c r="BI32" s="484"/>
      <c r="BJ32" s="484"/>
      <c r="BK32" s="484"/>
      <c r="BL32" s="484"/>
      <c r="BM32" s="484"/>
      <c r="BN32" s="484"/>
      <c r="BO32" s="484"/>
      <c r="BP32" s="484"/>
      <c r="BQ32" s="484"/>
      <c r="BR32" s="622">
        <f t="shared" si="0"/>
        <v>37.5</v>
      </c>
      <c r="BS32" s="623" t="s">
        <v>404</v>
      </c>
    </row>
    <row r="33" spans="1:71" x14ac:dyDescent="0.25">
      <c r="A33" s="484">
        <v>24</v>
      </c>
      <c r="B33" s="619" t="s">
        <v>1499</v>
      </c>
      <c r="C33" s="625" t="s">
        <v>575</v>
      </c>
      <c r="D33" s="620" t="str">
        <f>+VLOOKUP(C33,Foundation!$C$8:$D$495,2,FALSE)</f>
        <v>DA+3</v>
      </c>
      <c r="E33" s="622">
        <f>+VLOOKUP(C33,'Erection Compiled'!$C$7:$J$333,7,FALSE)</f>
        <v>0</v>
      </c>
      <c r="F33" s="485">
        <v>45881</v>
      </c>
      <c r="G33" s="624">
        <v>45887</v>
      </c>
      <c r="H33" s="639"/>
      <c r="I33" s="639"/>
      <c r="J33" s="639"/>
      <c r="K33" s="639"/>
      <c r="L33" s="639"/>
      <c r="M33" s="639"/>
      <c r="N33" s="639"/>
      <c r="O33" s="639"/>
      <c r="P33" s="639"/>
      <c r="Q33" s="639"/>
      <c r="R33" s="639"/>
      <c r="S33" s="639">
        <v>5.5428571428571427</v>
      </c>
      <c r="T33" s="639">
        <v>5.5428571428571427</v>
      </c>
      <c r="U33" s="639">
        <v>5.5428571428571427</v>
      </c>
      <c r="V33" s="639">
        <v>5.5428571428571427</v>
      </c>
      <c r="W33" s="639">
        <v>5.5428571428571427</v>
      </c>
      <c r="X33" s="639">
        <v>5.5428571428571427</v>
      </c>
      <c r="Y33" s="639">
        <v>5.5428571428571427</v>
      </c>
      <c r="Z33" s="639"/>
      <c r="AA33" s="639"/>
      <c r="AB33" s="639"/>
      <c r="AC33" s="639"/>
      <c r="AD33" s="639"/>
      <c r="AE33" s="639"/>
      <c r="AF33" s="639"/>
      <c r="AG33" s="639"/>
      <c r="AH33" s="639"/>
      <c r="AI33" s="639"/>
      <c r="AJ33" s="639"/>
      <c r="AK33" s="639"/>
      <c r="AL33" s="639"/>
      <c r="AM33" s="484"/>
      <c r="AN33" s="484"/>
      <c r="AO33" s="484"/>
      <c r="AP33" s="484"/>
      <c r="AQ33" s="484"/>
      <c r="AR33" s="484"/>
      <c r="AS33" s="484"/>
      <c r="AT33" s="484"/>
      <c r="AU33" s="484"/>
      <c r="AV33" s="484"/>
      <c r="AW33" s="484"/>
      <c r="AX33" s="484"/>
      <c r="AY33" s="484"/>
      <c r="AZ33" s="484"/>
      <c r="BA33" s="484"/>
      <c r="BB33" s="484"/>
      <c r="BC33" s="484"/>
      <c r="BD33" s="484"/>
      <c r="BE33" s="484"/>
      <c r="BF33" s="484"/>
      <c r="BG33" s="484"/>
      <c r="BH33" s="484"/>
      <c r="BI33" s="484"/>
      <c r="BJ33" s="484"/>
      <c r="BK33" s="484"/>
      <c r="BL33" s="484"/>
      <c r="BM33" s="484"/>
      <c r="BN33" s="484"/>
      <c r="BO33" s="484"/>
      <c r="BP33" s="484"/>
      <c r="BQ33" s="484"/>
      <c r="BR33" s="622">
        <f t="shared" si="0"/>
        <v>38.800000000000004</v>
      </c>
      <c r="BS33" s="623" t="s">
        <v>404</v>
      </c>
    </row>
    <row r="34" spans="1:71" x14ac:dyDescent="0.25">
      <c r="A34" s="484">
        <v>25</v>
      </c>
      <c r="B34" s="619" t="s">
        <v>1502</v>
      </c>
      <c r="C34" s="625" t="s">
        <v>507</v>
      </c>
      <c r="D34" s="620" t="str">
        <f>+VLOOKUP(C34,Foundation!$C$8:$D$495,2,FALSE)</f>
        <v>DA+3</v>
      </c>
      <c r="E34" s="622">
        <f>+VLOOKUP(C34,'Erection Compiled'!$C$7:$J$333,7,FALSE)</f>
        <v>0</v>
      </c>
      <c r="F34" s="485">
        <v>45882</v>
      </c>
      <c r="G34" s="624">
        <v>45887</v>
      </c>
      <c r="H34" s="639"/>
      <c r="I34" s="639"/>
      <c r="J34" s="639"/>
      <c r="K34" s="639"/>
      <c r="L34" s="639"/>
      <c r="M34" s="639"/>
      <c r="N34" s="639"/>
      <c r="O34" s="639"/>
      <c r="P34" s="639"/>
      <c r="Q34" s="639"/>
      <c r="R34" s="639"/>
      <c r="S34" s="639"/>
      <c r="T34" s="639">
        <v>6.4666666666666659</v>
      </c>
      <c r="U34" s="639">
        <v>6.4666666666666659</v>
      </c>
      <c r="V34" s="639">
        <v>6.4666666666666659</v>
      </c>
      <c r="W34" s="639">
        <v>6.4666666666666659</v>
      </c>
      <c r="X34" s="639">
        <v>6.4666666666666659</v>
      </c>
      <c r="Y34" s="639">
        <v>6.4666666666666659</v>
      </c>
      <c r="Z34" s="639"/>
      <c r="AA34" s="639"/>
      <c r="AB34" s="639"/>
      <c r="AC34" s="639"/>
      <c r="AD34" s="639"/>
      <c r="AE34" s="639"/>
      <c r="AF34" s="639"/>
      <c r="AG34" s="639"/>
      <c r="AH34" s="639"/>
      <c r="AI34" s="639"/>
      <c r="AJ34" s="639"/>
      <c r="AK34" s="639"/>
      <c r="AL34" s="639"/>
      <c r="AM34" s="484"/>
      <c r="AN34" s="484"/>
      <c r="AO34" s="484"/>
      <c r="AP34" s="484"/>
      <c r="AQ34" s="484"/>
      <c r="AR34" s="484"/>
      <c r="AS34" s="484"/>
      <c r="AT34" s="484"/>
      <c r="AU34" s="484"/>
      <c r="AV34" s="484"/>
      <c r="AW34" s="484"/>
      <c r="AX34" s="484"/>
      <c r="AY34" s="484"/>
      <c r="AZ34" s="484"/>
      <c r="BA34" s="484"/>
      <c r="BB34" s="484"/>
      <c r="BC34" s="484"/>
      <c r="BD34" s="484"/>
      <c r="BE34" s="484"/>
      <c r="BF34" s="484"/>
      <c r="BG34" s="484"/>
      <c r="BH34" s="484"/>
      <c r="BI34" s="484"/>
      <c r="BJ34" s="484"/>
      <c r="BK34" s="484"/>
      <c r="BL34" s="484"/>
      <c r="BM34" s="484"/>
      <c r="BN34" s="484"/>
      <c r="BO34" s="484"/>
      <c r="BP34" s="484"/>
      <c r="BQ34" s="484"/>
      <c r="BR34" s="622">
        <f t="shared" si="0"/>
        <v>38.799999999999997</v>
      </c>
      <c r="BS34" s="623" t="s">
        <v>404</v>
      </c>
    </row>
    <row r="35" spans="1:71" x14ac:dyDescent="0.25">
      <c r="A35" s="484">
        <v>26</v>
      </c>
      <c r="B35" s="619" t="s">
        <v>1485</v>
      </c>
      <c r="C35" s="625" t="s">
        <v>451</v>
      </c>
      <c r="D35" s="620" t="str">
        <f>+VLOOKUP(C35,Foundation!$C$8:$D$495,2,FALSE)</f>
        <v>DA+3</v>
      </c>
      <c r="E35" s="622">
        <f>+VLOOKUP(C35,'Erection Compiled'!$C$7:$J$333,7,FALSE)</f>
        <v>0</v>
      </c>
      <c r="F35" s="485">
        <v>45873</v>
      </c>
      <c r="G35" s="624">
        <v>45888</v>
      </c>
      <c r="H35" s="639"/>
      <c r="I35" s="639"/>
      <c r="J35" s="639"/>
      <c r="K35" s="639">
        <v>2.2000000000000002</v>
      </c>
      <c r="L35" s="639">
        <v>2.5</v>
      </c>
      <c r="M35" s="639">
        <v>2.5</v>
      </c>
      <c r="N35" s="639">
        <v>2.8</v>
      </c>
      <c r="O35" s="639">
        <v>2.9</v>
      </c>
      <c r="P35" s="639">
        <v>2.1</v>
      </c>
      <c r="Q35" s="639">
        <v>2.7</v>
      </c>
      <c r="R35" s="639">
        <v>3.0999999999999996</v>
      </c>
      <c r="S35" s="639">
        <v>1.9</v>
      </c>
      <c r="T35" s="639">
        <v>2.4</v>
      </c>
      <c r="U35" s="639">
        <v>2.7</v>
      </c>
      <c r="V35" s="639"/>
      <c r="W35" s="639">
        <v>2.9</v>
      </c>
      <c r="X35" s="639">
        <v>2.1</v>
      </c>
      <c r="Y35" s="639">
        <v>2.2999999999999998</v>
      </c>
      <c r="Z35" s="639">
        <v>2.7</v>
      </c>
      <c r="AA35" s="639"/>
      <c r="AB35" s="639"/>
      <c r="AC35" s="639"/>
      <c r="AD35" s="639"/>
      <c r="AE35" s="639"/>
      <c r="AF35" s="639"/>
      <c r="AG35" s="639"/>
      <c r="AH35" s="639"/>
      <c r="AI35" s="639"/>
      <c r="AJ35" s="639"/>
      <c r="AK35" s="639"/>
      <c r="AL35" s="639"/>
      <c r="AM35" s="484"/>
      <c r="AN35" s="484"/>
      <c r="AO35" s="484"/>
      <c r="AP35" s="484"/>
      <c r="AQ35" s="484"/>
      <c r="AR35" s="484"/>
      <c r="AS35" s="484"/>
      <c r="AT35" s="484"/>
      <c r="AU35" s="484"/>
      <c r="AV35" s="484"/>
      <c r="AW35" s="484"/>
      <c r="AX35" s="484"/>
      <c r="AY35" s="484"/>
      <c r="AZ35" s="484"/>
      <c r="BA35" s="484"/>
      <c r="BB35" s="484"/>
      <c r="BC35" s="484"/>
      <c r="BD35" s="484"/>
      <c r="BE35" s="484"/>
      <c r="BF35" s="484"/>
      <c r="BG35" s="484"/>
      <c r="BH35" s="484"/>
      <c r="BI35" s="484"/>
      <c r="BJ35" s="484"/>
      <c r="BK35" s="484"/>
      <c r="BL35" s="484"/>
      <c r="BM35" s="484"/>
      <c r="BN35" s="484"/>
      <c r="BO35" s="484"/>
      <c r="BP35" s="484"/>
      <c r="BQ35" s="484"/>
      <c r="BR35" s="622">
        <f t="shared" si="0"/>
        <v>37.79999999999999</v>
      </c>
      <c r="BS35" s="623" t="s">
        <v>404</v>
      </c>
    </row>
    <row r="36" spans="1:71" x14ac:dyDescent="0.25">
      <c r="A36" s="484">
        <v>27</v>
      </c>
      <c r="B36" s="619" t="s">
        <v>1394</v>
      </c>
      <c r="C36" s="625" t="s">
        <v>75</v>
      </c>
      <c r="D36" s="620" t="str">
        <f>+VLOOKUP(C36,Foundation!$C$8:$D$495,2,FALSE)</f>
        <v>DA+9</v>
      </c>
      <c r="E36" s="622">
        <f>+VLOOKUP(C36,'Erection Compiled'!$C$7:$J$333,7,FALSE)</f>
        <v>0</v>
      </c>
      <c r="F36" s="485">
        <v>45881</v>
      </c>
      <c r="G36" s="624">
        <v>45888</v>
      </c>
      <c r="H36" s="639"/>
      <c r="I36" s="639"/>
      <c r="J36" s="639"/>
      <c r="K36" s="639"/>
      <c r="L36" s="639"/>
      <c r="M36" s="639"/>
      <c r="N36" s="639"/>
      <c r="O36" s="639"/>
      <c r="P36" s="639"/>
      <c r="Q36" s="639"/>
      <c r="R36" s="639"/>
      <c r="S36" s="639">
        <v>6.9</v>
      </c>
      <c r="T36" s="639">
        <v>6.4</v>
      </c>
      <c r="U36" s="639">
        <v>7.1</v>
      </c>
      <c r="V36" s="639"/>
      <c r="W36" s="639">
        <v>6.9</v>
      </c>
      <c r="X36" s="639">
        <v>6.2</v>
      </c>
      <c r="Y36" s="639">
        <v>6.7</v>
      </c>
      <c r="Z36" s="639">
        <v>6.9</v>
      </c>
      <c r="AA36" s="639"/>
      <c r="AB36" s="639"/>
      <c r="AC36" s="639"/>
      <c r="AD36" s="639"/>
      <c r="AE36" s="639"/>
      <c r="AF36" s="639"/>
      <c r="AG36" s="639"/>
      <c r="AH36" s="639"/>
      <c r="AI36" s="639"/>
      <c r="AJ36" s="639"/>
      <c r="AK36" s="639"/>
      <c r="AL36" s="639"/>
      <c r="AM36" s="484"/>
      <c r="AN36" s="484"/>
      <c r="AO36" s="484"/>
      <c r="AP36" s="484"/>
      <c r="AQ36" s="484"/>
      <c r="AR36" s="484"/>
      <c r="AS36" s="484"/>
      <c r="AT36" s="484"/>
      <c r="AU36" s="484"/>
      <c r="AV36" s="484"/>
      <c r="AW36" s="484"/>
      <c r="AX36" s="484"/>
      <c r="AY36" s="484"/>
      <c r="AZ36" s="484"/>
      <c r="BA36" s="484"/>
      <c r="BB36" s="484"/>
      <c r="BC36" s="484"/>
      <c r="BD36" s="484"/>
      <c r="BE36" s="484"/>
      <c r="BF36" s="484"/>
      <c r="BG36" s="484"/>
      <c r="BH36" s="484"/>
      <c r="BI36" s="484"/>
      <c r="BJ36" s="484"/>
      <c r="BK36" s="484"/>
      <c r="BL36" s="484"/>
      <c r="BM36" s="484"/>
      <c r="BN36" s="484"/>
      <c r="BO36" s="484"/>
      <c r="BP36" s="484"/>
      <c r="BQ36" s="484"/>
      <c r="BR36" s="622">
        <f t="shared" si="0"/>
        <v>47.1</v>
      </c>
      <c r="BS36" s="623" t="s">
        <v>404</v>
      </c>
    </row>
    <row r="37" spans="1:71" x14ac:dyDescent="0.25">
      <c r="A37" s="484">
        <v>28</v>
      </c>
      <c r="B37" s="619" t="s">
        <v>1371</v>
      </c>
      <c r="C37" s="627" t="s">
        <v>445</v>
      </c>
      <c r="D37" s="620" t="s">
        <v>238</v>
      </c>
      <c r="E37" s="622">
        <f>+VLOOKUP(C37,'Erection Compiled'!$C$7:$J$333,7,FALSE)</f>
        <v>0</v>
      </c>
      <c r="F37" s="485">
        <v>45845</v>
      </c>
      <c r="G37" s="624">
        <v>45889</v>
      </c>
      <c r="H37" s="639">
        <v>2.9</v>
      </c>
      <c r="I37" s="639">
        <v>3.1</v>
      </c>
      <c r="J37" s="639">
        <v>2.8</v>
      </c>
      <c r="K37" s="639">
        <v>2.2000000000000002</v>
      </c>
      <c r="L37" s="639">
        <v>2.5</v>
      </c>
      <c r="M37" s="639">
        <v>2.5</v>
      </c>
      <c r="N37" s="639">
        <v>2.8</v>
      </c>
      <c r="O37" s="639">
        <v>2.9</v>
      </c>
      <c r="P37" s="639">
        <v>2.1</v>
      </c>
      <c r="Q37" s="639">
        <v>2.7</v>
      </c>
      <c r="R37" s="639">
        <v>3.0999999999999996</v>
      </c>
      <c r="S37" s="639">
        <v>1.9</v>
      </c>
      <c r="T37" s="639">
        <v>2.4</v>
      </c>
      <c r="U37" s="639">
        <v>2.7</v>
      </c>
      <c r="V37" s="639"/>
      <c r="W37" s="639">
        <v>2.9</v>
      </c>
      <c r="X37" s="639">
        <v>2.1</v>
      </c>
      <c r="Y37" s="639">
        <v>2.2999999999999998</v>
      </c>
      <c r="Z37" s="639">
        <v>2.7</v>
      </c>
      <c r="AA37" s="639">
        <v>2.9</v>
      </c>
      <c r="AB37" s="639"/>
      <c r="AC37" s="639"/>
      <c r="AD37" s="639"/>
      <c r="AE37" s="639"/>
      <c r="AF37" s="639"/>
      <c r="AG37" s="639"/>
      <c r="AH37" s="639"/>
      <c r="AI37" s="639"/>
      <c r="AJ37" s="639"/>
      <c r="AK37" s="639"/>
      <c r="AL37" s="639"/>
      <c r="AM37" s="484"/>
      <c r="AN37" s="484"/>
      <c r="AO37" s="484"/>
      <c r="AP37" s="484"/>
      <c r="AQ37" s="484"/>
      <c r="AR37" s="484"/>
      <c r="AS37" s="484"/>
      <c r="AT37" s="484"/>
      <c r="AU37" s="484"/>
      <c r="AV37" s="484"/>
      <c r="AW37" s="484"/>
      <c r="AX37" s="484"/>
      <c r="AY37" s="484"/>
      <c r="AZ37" s="484"/>
      <c r="BA37" s="484"/>
      <c r="BB37" s="484"/>
      <c r="BC37" s="484"/>
      <c r="BD37" s="484"/>
      <c r="BE37" s="484"/>
      <c r="BF37" s="484"/>
      <c r="BG37" s="484"/>
      <c r="BH37" s="484"/>
      <c r="BI37" s="484"/>
      <c r="BJ37" s="484"/>
      <c r="BK37" s="484"/>
      <c r="BL37" s="484"/>
      <c r="BM37" s="484"/>
      <c r="BN37" s="484"/>
      <c r="BO37" s="484"/>
      <c r="BP37" s="484"/>
      <c r="BQ37" s="484"/>
      <c r="BR37" s="622">
        <f t="shared" si="0"/>
        <v>49.5</v>
      </c>
      <c r="BS37" s="623" t="s">
        <v>404</v>
      </c>
    </row>
    <row r="38" spans="1:71" x14ac:dyDescent="0.25">
      <c r="A38" s="484">
        <v>29</v>
      </c>
      <c r="B38" s="619" t="s">
        <v>1497</v>
      </c>
      <c r="C38" s="625" t="s">
        <v>556</v>
      </c>
      <c r="D38" s="620" t="str">
        <f>+VLOOKUP(C38,Foundation!$C$8:$D$495,2,FALSE)</f>
        <v>DB1+9</v>
      </c>
      <c r="E38" s="622">
        <f>+VLOOKUP(C38,'Erection Compiled'!$C$7:$J$333,7,FALSE)</f>
        <v>0</v>
      </c>
      <c r="F38" s="485">
        <v>45879</v>
      </c>
      <c r="G38" s="485">
        <f>+VLOOKUP(C38,'Erection Compiled'!$C$189:$G$309,4,FALSE)</f>
        <v>45879</v>
      </c>
      <c r="H38" s="639"/>
      <c r="I38" s="639"/>
      <c r="J38" s="639"/>
      <c r="K38" s="639"/>
      <c r="L38" s="639"/>
      <c r="M38" s="639"/>
      <c r="N38" s="639"/>
      <c r="O38" s="639"/>
      <c r="P38" s="639"/>
      <c r="Q38" s="639">
        <v>4.5</v>
      </c>
      <c r="R38" s="639">
        <v>6.6999999999999993</v>
      </c>
      <c r="S38" s="639">
        <v>7.1999999999999993</v>
      </c>
      <c r="T38" s="639">
        <v>7.6</v>
      </c>
      <c r="U38" s="639">
        <v>7.9</v>
      </c>
      <c r="V38" s="639"/>
      <c r="W38" s="639">
        <v>7.1</v>
      </c>
      <c r="X38" s="639">
        <v>6.9</v>
      </c>
      <c r="Y38" s="639">
        <v>7.5</v>
      </c>
      <c r="Z38" s="639">
        <v>7.1999999999999993</v>
      </c>
      <c r="AA38" s="639">
        <v>8.1</v>
      </c>
      <c r="AB38" s="639"/>
      <c r="AC38" s="639"/>
      <c r="AD38" s="639"/>
      <c r="AE38" s="639"/>
      <c r="AF38" s="639"/>
      <c r="AG38" s="639"/>
      <c r="AH38" s="639"/>
      <c r="AI38" s="639"/>
      <c r="AJ38" s="639"/>
      <c r="AK38" s="639"/>
      <c r="AL38" s="639"/>
      <c r="AM38" s="484"/>
      <c r="AN38" s="484"/>
      <c r="AO38" s="484"/>
      <c r="AP38" s="484"/>
      <c r="AQ38" s="484"/>
      <c r="AR38" s="484"/>
      <c r="AS38" s="484"/>
      <c r="AT38" s="484"/>
      <c r="AU38" s="484"/>
      <c r="AV38" s="484"/>
      <c r="AW38" s="484"/>
      <c r="AX38" s="484"/>
      <c r="AY38" s="484"/>
      <c r="AZ38" s="484"/>
      <c r="BA38" s="484"/>
      <c r="BB38" s="484"/>
      <c r="BC38" s="484"/>
      <c r="BD38" s="484"/>
      <c r="BE38" s="484"/>
      <c r="BF38" s="484"/>
      <c r="BG38" s="484"/>
      <c r="BH38" s="484"/>
      <c r="BI38" s="484"/>
      <c r="BJ38" s="484"/>
      <c r="BK38" s="484"/>
      <c r="BL38" s="484"/>
      <c r="BM38" s="484"/>
      <c r="BN38" s="484"/>
      <c r="BO38" s="484"/>
      <c r="BP38" s="484"/>
      <c r="BQ38" s="484"/>
      <c r="BR38" s="622">
        <f t="shared" si="0"/>
        <v>70.699999999999989</v>
      </c>
      <c r="BS38" s="623" t="s">
        <v>404</v>
      </c>
    </row>
    <row r="39" spans="1:71" x14ac:dyDescent="0.25">
      <c r="A39" s="484">
        <v>30</v>
      </c>
      <c r="B39" s="619" t="s">
        <v>1371</v>
      </c>
      <c r="C39" s="625" t="s">
        <v>457</v>
      </c>
      <c r="D39" s="620" t="s">
        <v>231</v>
      </c>
      <c r="E39" s="622">
        <f>+VLOOKUP(C39,'Erection Compiled'!$C$7:$J$333,7,FALSE)</f>
        <v>0</v>
      </c>
      <c r="F39" s="485">
        <v>45868</v>
      </c>
      <c r="G39" s="485">
        <f>+VLOOKUP(C39,'Erection Compiled'!$C$189:$G$309,4,FALSE)</f>
        <v>45868</v>
      </c>
      <c r="H39" s="639">
        <v>1.5626821666666668</v>
      </c>
      <c r="I39" s="639">
        <v>1.5626821666666668</v>
      </c>
      <c r="J39" s="639">
        <v>1.5626821666666668</v>
      </c>
      <c r="K39" s="639">
        <v>1.5626821666666668</v>
      </c>
      <c r="L39" s="639">
        <v>1.5626821666666668</v>
      </c>
      <c r="M39" s="639">
        <v>1.5626821666666668</v>
      </c>
      <c r="N39" s="639">
        <v>1.5626821666666668</v>
      </c>
      <c r="O39" s="639">
        <v>1.5626821666666668</v>
      </c>
      <c r="P39" s="639">
        <v>1.5626821666666668</v>
      </c>
      <c r="Q39" s="639">
        <v>1.5626821666666668</v>
      </c>
      <c r="R39" s="639">
        <v>1.5626821666666668</v>
      </c>
      <c r="S39" s="639">
        <v>1.5626821666666668</v>
      </c>
      <c r="T39" s="639">
        <v>1.5626821666666668</v>
      </c>
      <c r="U39" s="639">
        <v>1.5626821666666668</v>
      </c>
      <c r="V39" s="639">
        <v>1.5626821666666668</v>
      </c>
      <c r="W39" s="639">
        <v>1.5626821666666668</v>
      </c>
      <c r="X39" s="639">
        <v>1.5626821666666668</v>
      </c>
      <c r="Y39" s="639">
        <v>1.5626821666666668</v>
      </c>
      <c r="Z39" s="639">
        <v>1.5626821666666668</v>
      </c>
      <c r="AA39" s="639">
        <v>1.5626821666666668</v>
      </c>
      <c r="AB39" s="639">
        <v>1.5626821666666668</v>
      </c>
      <c r="AC39" s="639">
        <v>1.5626821666666668</v>
      </c>
      <c r="AD39" s="639"/>
      <c r="AE39" s="639"/>
      <c r="AF39" s="639"/>
      <c r="AG39" s="639"/>
      <c r="AH39" s="639"/>
      <c r="AI39" s="639"/>
      <c r="AJ39" s="639"/>
      <c r="AK39" s="639"/>
      <c r="AL39" s="639"/>
      <c r="AM39" s="484"/>
      <c r="AN39" s="484"/>
      <c r="AO39" s="484"/>
      <c r="AP39" s="484"/>
      <c r="AQ39" s="484"/>
      <c r="AR39" s="484"/>
      <c r="AS39" s="484"/>
      <c r="AT39" s="484"/>
      <c r="AU39" s="484"/>
      <c r="AV39" s="484"/>
      <c r="AW39" s="484"/>
      <c r="AX39" s="484"/>
      <c r="AY39" s="484"/>
      <c r="AZ39" s="484"/>
      <c r="BA39" s="484"/>
      <c r="BB39" s="484"/>
      <c r="BC39" s="484"/>
      <c r="BD39" s="484"/>
      <c r="BE39" s="484"/>
      <c r="BF39" s="484"/>
      <c r="BG39" s="484"/>
      <c r="BH39" s="484"/>
      <c r="BI39" s="484"/>
      <c r="BJ39" s="484"/>
      <c r="BK39" s="484"/>
      <c r="BL39" s="484"/>
      <c r="BM39" s="484"/>
      <c r="BN39" s="484"/>
      <c r="BO39" s="484"/>
      <c r="BP39" s="484"/>
      <c r="BQ39" s="484"/>
      <c r="BR39" s="622">
        <f t="shared" si="0"/>
        <v>34.379007666666688</v>
      </c>
      <c r="BS39" s="623" t="s">
        <v>404</v>
      </c>
    </row>
    <row r="40" spans="1:71" x14ac:dyDescent="0.25">
      <c r="A40" s="484">
        <v>31</v>
      </c>
      <c r="B40" s="619" t="s">
        <v>1444</v>
      </c>
      <c r="C40" s="625" t="s">
        <v>683</v>
      </c>
      <c r="D40" s="620" t="str">
        <f>+VLOOKUP(C40,Foundation!$C$8:$D$495,2,FALSE)</f>
        <v>DA+3</v>
      </c>
      <c r="E40" s="622">
        <f>+VLOOKUP(C40,'Erection Compiled'!$C$7:$J$333,7,FALSE)</f>
        <v>0</v>
      </c>
      <c r="F40" s="485">
        <v>45875</v>
      </c>
      <c r="G40" s="485">
        <f>+VLOOKUP(C40,'Erection Compiled'!$C$189:$G$309,4,FALSE)</f>
        <v>45875</v>
      </c>
      <c r="H40" s="639"/>
      <c r="I40" s="639"/>
      <c r="J40" s="639"/>
      <c r="K40" s="639"/>
      <c r="L40" s="639"/>
      <c r="M40" s="639">
        <v>2.2823529411764705</v>
      </c>
      <c r="N40" s="639">
        <v>2.2823529411764705</v>
      </c>
      <c r="O40" s="639">
        <v>2.2823529411764705</v>
      </c>
      <c r="P40" s="639">
        <v>2.2823529411764705</v>
      </c>
      <c r="Q40" s="639">
        <v>2.2823529411764705</v>
      </c>
      <c r="R40" s="639">
        <v>2.2823529411764705</v>
      </c>
      <c r="S40" s="639">
        <v>2.2823529411764705</v>
      </c>
      <c r="T40" s="639">
        <v>2.2823529411764705</v>
      </c>
      <c r="U40" s="639">
        <v>2.2823529411764705</v>
      </c>
      <c r="V40" s="639">
        <v>2.2823529411764705</v>
      </c>
      <c r="W40" s="639">
        <v>2.2823529411764705</v>
      </c>
      <c r="X40" s="639">
        <v>2.2823529411764705</v>
      </c>
      <c r="Y40" s="639">
        <v>2.2823529411764705</v>
      </c>
      <c r="Z40" s="639">
        <v>2.2823529411764705</v>
      </c>
      <c r="AA40" s="639">
        <v>2.2823529411764705</v>
      </c>
      <c r="AB40" s="639">
        <v>2.2823529411764705</v>
      </c>
      <c r="AC40" s="639">
        <v>2.2823529411764705</v>
      </c>
      <c r="AD40" s="639"/>
      <c r="AE40" s="639"/>
      <c r="AF40" s="639"/>
      <c r="AG40" s="639"/>
      <c r="AH40" s="639"/>
      <c r="AI40" s="639"/>
      <c r="AJ40" s="639"/>
      <c r="AK40" s="639"/>
      <c r="AL40" s="639"/>
      <c r="AM40" s="484"/>
      <c r="AN40" s="484"/>
      <c r="AO40" s="484"/>
      <c r="AP40" s="484"/>
      <c r="AQ40" s="484"/>
      <c r="AR40" s="484"/>
      <c r="AS40" s="484"/>
      <c r="AT40" s="484"/>
      <c r="AU40" s="484"/>
      <c r="AV40" s="484"/>
      <c r="AW40" s="484"/>
      <c r="AX40" s="484"/>
      <c r="AY40" s="484"/>
      <c r="AZ40" s="484"/>
      <c r="BA40" s="484"/>
      <c r="BB40" s="484"/>
      <c r="BC40" s="484"/>
      <c r="BD40" s="484"/>
      <c r="BE40" s="484"/>
      <c r="BF40" s="484"/>
      <c r="BG40" s="484"/>
      <c r="BH40" s="484"/>
      <c r="BI40" s="484"/>
      <c r="BJ40" s="484"/>
      <c r="BK40" s="484"/>
      <c r="BL40" s="484"/>
      <c r="BM40" s="484"/>
      <c r="BN40" s="484"/>
      <c r="BO40" s="484"/>
      <c r="BP40" s="484"/>
      <c r="BQ40" s="484"/>
      <c r="BR40" s="622">
        <f t="shared" si="0"/>
        <v>38.79999999999999</v>
      </c>
      <c r="BS40" s="623" t="s">
        <v>404</v>
      </c>
    </row>
    <row r="41" spans="1:71" x14ac:dyDescent="0.25">
      <c r="A41" s="484">
        <v>32</v>
      </c>
      <c r="B41" s="619" t="s">
        <v>1489</v>
      </c>
      <c r="C41" s="625" t="s">
        <v>675</v>
      </c>
      <c r="D41" s="620" t="str">
        <f>+VLOOKUP(C41,Foundation!$C$8:$D$495,2,FALSE)</f>
        <v>DA+9</v>
      </c>
      <c r="E41" s="622">
        <f>+VLOOKUP(C41,'Erection Compiled'!$C$7:$J$333,7,FALSE)</f>
        <v>0</v>
      </c>
      <c r="F41" s="485" t="str">
        <f>+VLOOKUP(C41,'Erection Compiled'!$C$189:$G$309,3,FALSE)</f>
        <v>Sandy</v>
      </c>
      <c r="G41" s="485">
        <f>+VLOOKUP(C41,'Erection Compiled'!$C$189:$G$309,4,FALSE)</f>
        <v>45886</v>
      </c>
      <c r="H41" s="639"/>
      <c r="I41" s="639"/>
      <c r="J41" s="639"/>
      <c r="K41" s="639"/>
      <c r="L41" s="639"/>
      <c r="M41" s="639"/>
      <c r="N41" s="639"/>
      <c r="O41" s="639"/>
      <c r="P41" s="639"/>
      <c r="Q41" s="639"/>
      <c r="R41" s="639"/>
      <c r="S41" s="639"/>
      <c r="T41" s="639"/>
      <c r="U41" s="639"/>
      <c r="V41" s="639"/>
      <c r="W41" s="639"/>
      <c r="X41" s="639">
        <v>5.8979999999999997</v>
      </c>
      <c r="Y41" s="639">
        <v>5.8979999999999997</v>
      </c>
      <c r="Z41" s="639">
        <v>5.8979999999999997</v>
      </c>
      <c r="AA41" s="639">
        <v>5.8979999999999997</v>
      </c>
      <c r="AB41" s="639">
        <v>5.8979999999999997</v>
      </c>
      <c r="AC41" s="639">
        <v>5.8979999999999997</v>
      </c>
      <c r="AD41" s="639">
        <v>5.8979999999999997</v>
      </c>
      <c r="AE41" s="639">
        <v>5.8979999999999997</v>
      </c>
      <c r="AF41" s="639"/>
      <c r="AG41" s="639"/>
      <c r="AH41" s="639"/>
      <c r="AI41" s="639"/>
      <c r="AJ41" s="639"/>
      <c r="AK41" s="639"/>
      <c r="AL41" s="639"/>
      <c r="AM41" s="484"/>
      <c r="AN41" s="484"/>
      <c r="AO41" s="484"/>
      <c r="AP41" s="484"/>
      <c r="AQ41" s="484"/>
      <c r="AR41" s="484"/>
      <c r="AS41" s="484"/>
      <c r="AT41" s="484"/>
      <c r="AU41" s="484"/>
      <c r="AV41" s="484"/>
      <c r="AW41" s="484"/>
      <c r="AX41" s="484"/>
      <c r="AY41" s="484"/>
      <c r="AZ41" s="484"/>
      <c r="BA41" s="484"/>
      <c r="BB41" s="484"/>
      <c r="BC41" s="484"/>
      <c r="BD41" s="484"/>
      <c r="BE41" s="484"/>
      <c r="BF41" s="484"/>
      <c r="BG41" s="484"/>
      <c r="BH41" s="484"/>
      <c r="BI41" s="484"/>
      <c r="BJ41" s="484"/>
      <c r="BK41" s="484"/>
      <c r="BL41" s="484"/>
      <c r="BM41" s="484"/>
      <c r="BN41" s="484"/>
      <c r="BO41" s="484"/>
      <c r="BP41" s="484"/>
      <c r="BQ41" s="484"/>
      <c r="BR41" s="622">
        <f t="shared" si="0"/>
        <v>47.183999999999997</v>
      </c>
      <c r="BS41" s="623" t="s">
        <v>404</v>
      </c>
    </row>
    <row r="42" spans="1:71" x14ac:dyDescent="0.25">
      <c r="A42" s="484">
        <v>33</v>
      </c>
      <c r="B42" s="619" t="s">
        <v>1452</v>
      </c>
      <c r="C42" s="625" t="s">
        <v>203</v>
      </c>
      <c r="D42" s="620" t="str">
        <f>+VLOOKUP(C42,Foundation!$C$8:$D$495,2,FALSE)</f>
        <v>DA+0</v>
      </c>
      <c r="E42" s="622">
        <f>+VLOOKUP(C42,'Erection Compiled'!$C$7:$J$333,7,FALSE)</f>
        <v>0</v>
      </c>
      <c r="F42" s="485" t="str">
        <f>+VLOOKUP(C42,'Erection Compiled'!$C$189:$G$309,3,FALSE)</f>
        <v>DRY</v>
      </c>
      <c r="G42" s="485">
        <f>+VLOOKUP(C42,'Erection Compiled'!$C$189:$G$309,4,FALSE)</f>
        <v>45886</v>
      </c>
      <c r="H42" s="639"/>
      <c r="I42" s="639"/>
      <c r="J42" s="639"/>
      <c r="K42" s="639"/>
      <c r="L42" s="639"/>
      <c r="M42" s="639"/>
      <c r="N42" s="639"/>
      <c r="O42" s="639"/>
      <c r="P42" s="639"/>
      <c r="Q42" s="639"/>
      <c r="R42" s="639"/>
      <c r="S42" s="639"/>
      <c r="T42" s="639"/>
      <c r="U42" s="639"/>
      <c r="V42" s="639"/>
      <c r="W42" s="639"/>
      <c r="X42" s="639">
        <v>7.5008744000000007</v>
      </c>
      <c r="Y42" s="639">
        <v>7.5008744000000007</v>
      </c>
      <c r="Z42" s="639">
        <v>7.5008744000000007</v>
      </c>
      <c r="AA42" s="639">
        <v>7.5008744000000007</v>
      </c>
      <c r="AB42" s="639">
        <v>7.5008744000000007</v>
      </c>
      <c r="AC42" s="639"/>
      <c r="AD42" s="639"/>
      <c r="AE42" s="639"/>
      <c r="AF42" s="639"/>
      <c r="AG42" s="639"/>
      <c r="AH42" s="639"/>
      <c r="AI42" s="639"/>
      <c r="AJ42" s="639"/>
      <c r="AK42" s="639"/>
      <c r="AL42" s="639"/>
      <c r="AM42" s="484"/>
      <c r="AN42" s="484"/>
      <c r="AO42" s="484"/>
      <c r="AP42" s="484"/>
      <c r="AQ42" s="484"/>
      <c r="AR42" s="484"/>
      <c r="AS42" s="484"/>
      <c r="AT42" s="484"/>
      <c r="AU42" s="484"/>
      <c r="AV42" s="484"/>
      <c r="AW42" s="484"/>
      <c r="AX42" s="484"/>
      <c r="AY42" s="484"/>
      <c r="AZ42" s="484"/>
      <c r="BA42" s="484"/>
      <c r="BB42" s="484"/>
      <c r="BC42" s="484"/>
      <c r="BD42" s="484"/>
      <c r="BE42" s="484"/>
      <c r="BF42" s="484"/>
      <c r="BG42" s="484"/>
      <c r="BH42" s="484"/>
      <c r="BI42" s="484"/>
      <c r="BJ42" s="484"/>
      <c r="BK42" s="484"/>
      <c r="BL42" s="484"/>
      <c r="BM42" s="484"/>
      <c r="BN42" s="484"/>
      <c r="BO42" s="484"/>
      <c r="BP42" s="484"/>
      <c r="BQ42" s="484"/>
      <c r="BR42" s="622">
        <f t="shared" si="0"/>
        <v>37.504372000000004</v>
      </c>
      <c r="BS42" s="623" t="s">
        <v>404</v>
      </c>
    </row>
    <row r="43" spans="1:71" x14ac:dyDescent="0.25">
      <c r="A43" s="484">
        <v>34</v>
      </c>
      <c r="B43" s="619" t="s">
        <v>1394</v>
      </c>
      <c r="C43" s="625" t="s">
        <v>72</v>
      </c>
      <c r="D43" s="620" t="str">
        <f>+VLOOKUP(C43,Foundation!$C$8:$D$495,2,FALSE)</f>
        <v>DA+0</v>
      </c>
      <c r="E43" s="622">
        <f>+VLOOKUP(C43,'Erection Compiled'!$C$7:$J$333,7,FALSE)</f>
        <v>0</v>
      </c>
      <c r="F43" s="485" t="str">
        <f>+VLOOKUP(C43,'Erection Compiled'!$C$189:$G$309,3,FALSE)</f>
        <v>DFR</v>
      </c>
      <c r="G43" s="485">
        <f>+VLOOKUP(C43,'Erection Compiled'!$C$189:$G$309,4,FALSE)</f>
        <v>45888</v>
      </c>
      <c r="H43" s="639"/>
      <c r="I43" s="639"/>
      <c r="J43" s="639"/>
      <c r="K43" s="639"/>
      <c r="L43" s="639"/>
      <c r="M43" s="639"/>
      <c r="N43" s="639"/>
      <c r="O43" s="639"/>
      <c r="P43" s="639"/>
      <c r="Q43" s="639"/>
      <c r="R43" s="639"/>
      <c r="S43" s="639"/>
      <c r="T43" s="639"/>
      <c r="U43" s="639"/>
      <c r="V43" s="639"/>
      <c r="W43" s="639"/>
      <c r="X43" s="639"/>
      <c r="Y43" s="639"/>
      <c r="Z43" s="639">
        <v>5.357767428571429</v>
      </c>
      <c r="AA43" s="639">
        <v>5.357767428571429</v>
      </c>
      <c r="AB43" s="639">
        <v>5.357767428571429</v>
      </c>
      <c r="AC43" s="639">
        <v>5.357767428571429</v>
      </c>
      <c r="AD43" s="639">
        <v>5.357767428571429</v>
      </c>
      <c r="AE43" s="639">
        <v>5.357767428571429</v>
      </c>
      <c r="AF43" s="639">
        <v>5.357767428571429</v>
      </c>
      <c r="AG43" s="639"/>
      <c r="AH43" s="639"/>
      <c r="AI43" s="639"/>
      <c r="AJ43" s="639"/>
      <c r="AK43" s="639"/>
      <c r="AL43" s="639"/>
      <c r="AM43" s="484"/>
      <c r="AN43" s="484"/>
      <c r="AO43" s="484"/>
      <c r="AP43" s="484"/>
      <c r="AQ43" s="484"/>
      <c r="AR43" s="484"/>
      <c r="AS43" s="484"/>
      <c r="AT43" s="484"/>
      <c r="AU43" s="484"/>
      <c r="AV43" s="484"/>
      <c r="AW43" s="484"/>
      <c r="AX43" s="484"/>
      <c r="AY43" s="484"/>
      <c r="AZ43" s="484"/>
      <c r="BA43" s="484"/>
      <c r="BB43" s="484"/>
      <c r="BC43" s="484"/>
      <c r="BD43" s="484"/>
      <c r="BE43" s="484"/>
      <c r="BF43" s="484"/>
      <c r="BG43" s="484"/>
      <c r="BH43" s="484"/>
      <c r="BI43" s="484"/>
      <c r="BJ43" s="484"/>
      <c r="BK43" s="484"/>
      <c r="BL43" s="484"/>
      <c r="BM43" s="484"/>
      <c r="BN43" s="484"/>
      <c r="BO43" s="484"/>
      <c r="BP43" s="484"/>
      <c r="BQ43" s="484"/>
      <c r="BR43" s="622">
        <f t="shared" si="0"/>
        <v>37.504372000000004</v>
      </c>
      <c r="BS43" s="623" t="s">
        <v>404</v>
      </c>
    </row>
    <row r="44" spans="1:71" x14ac:dyDescent="0.25">
      <c r="A44" s="484">
        <v>35</v>
      </c>
      <c r="B44" s="619" t="s">
        <v>1490</v>
      </c>
      <c r="C44" s="625" t="s">
        <v>682</v>
      </c>
      <c r="D44" s="620" t="str">
        <f>+VLOOKUP(C44,Foundation!$C$8:$D$495,2,FALSE)</f>
        <v>DA+9</v>
      </c>
      <c r="E44" s="622">
        <f>+VLOOKUP(C44,'Erection Compiled'!$C$7:$J$333,7,FALSE)</f>
        <v>0</v>
      </c>
      <c r="F44" s="485" t="str">
        <f>+VLOOKUP(C44,'Erection Compiled'!$C$189:$G$309,3,FALSE)</f>
        <v>Sandy</v>
      </c>
      <c r="G44" s="485">
        <f>+VLOOKUP(C44,'Erection Compiled'!$C$189:$G$309,4,FALSE)</f>
        <v>45886</v>
      </c>
      <c r="H44" s="639"/>
      <c r="I44" s="639"/>
      <c r="J44" s="639"/>
      <c r="K44" s="639"/>
      <c r="L44" s="639"/>
      <c r="M44" s="639"/>
      <c r="N44" s="639"/>
      <c r="O44" s="639"/>
      <c r="P44" s="639"/>
      <c r="Q44" s="639"/>
      <c r="R44" s="639"/>
      <c r="S44" s="639"/>
      <c r="T44" s="639"/>
      <c r="U44" s="639"/>
      <c r="V44" s="639"/>
      <c r="W44" s="639"/>
      <c r="X44" s="639">
        <v>3.6295384615384614</v>
      </c>
      <c r="Y44" s="639">
        <v>3.6295384615384614</v>
      </c>
      <c r="Z44" s="639">
        <v>3.6295384615384614</v>
      </c>
      <c r="AA44" s="639">
        <v>3.6295384615384614</v>
      </c>
      <c r="AB44" s="639">
        <v>3.6295384615384614</v>
      </c>
      <c r="AC44" s="639">
        <v>3.6295384615384614</v>
      </c>
      <c r="AD44" s="639">
        <v>3.6295384615384614</v>
      </c>
      <c r="AE44" s="639">
        <v>3.6295384615384614</v>
      </c>
      <c r="AF44" s="639">
        <v>3.6295384615384614</v>
      </c>
      <c r="AG44" s="639">
        <v>3.6295384615384614</v>
      </c>
      <c r="AH44" s="639">
        <v>3.6295384615384614</v>
      </c>
      <c r="AI44" s="639">
        <v>3.6295384615384614</v>
      </c>
      <c r="AJ44" s="639">
        <v>3.6295384615384614</v>
      </c>
      <c r="AK44" s="639"/>
      <c r="AL44" s="639"/>
      <c r="AM44" s="484"/>
      <c r="AN44" s="484"/>
      <c r="AO44" s="484"/>
      <c r="AP44" s="484"/>
      <c r="AQ44" s="484"/>
      <c r="AR44" s="484"/>
      <c r="AS44" s="484"/>
      <c r="AT44" s="484"/>
      <c r="AU44" s="484"/>
      <c r="AV44" s="484"/>
      <c r="AW44" s="484"/>
      <c r="AX44" s="484"/>
      <c r="AY44" s="484"/>
      <c r="AZ44" s="484"/>
      <c r="BA44" s="484"/>
      <c r="BB44" s="484"/>
      <c r="BC44" s="484"/>
      <c r="BD44" s="484"/>
      <c r="BE44" s="484"/>
      <c r="BF44" s="484"/>
      <c r="BG44" s="484"/>
      <c r="BH44" s="484"/>
      <c r="BI44" s="484"/>
      <c r="BJ44" s="484"/>
      <c r="BK44" s="484"/>
      <c r="BL44" s="484"/>
      <c r="BM44" s="484"/>
      <c r="BN44" s="484"/>
      <c r="BO44" s="484"/>
      <c r="BP44" s="484"/>
      <c r="BQ44" s="484"/>
      <c r="BR44" s="622">
        <f t="shared" si="0"/>
        <v>47.18399999999999</v>
      </c>
      <c r="BS44" s="623" t="s">
        <v>404</v>
      </c>
    </row>
    <row r="45" spans="1:71" x14ac:dyDescent="0.25">
      <c r="A45" s="484">
        <v>36</v>
      </c>
      <c r="B45" s="619" t="s">
        <v>1496</v>
      </c>
      <c r="C45" s="625" t="s">
        <v>553</v>
      </c>
      <c r="D45" s="620" t="str">
        <f>+VLOOKUP(C45,Foundation!$C$8:$D$495,2,FALSE)</f>
        <v>DA+3</v>
      </c>
      <c r="E45" s="622">
        <f>+VLOOKUP(C45,'Erection Compiled'!$C$7:$J$333,7,FALSE)</f>
        <v>0</v>
      </c>
      <c r="F45" s="485" t="str">
        <f>+VLOOKUP(C45,'Erection Compiled'!$C$189:$G$309,3,FALSE)</f>
        <v>Sandy</v>
      </c>
      <c r="G45" s="485">
        <f>+VLOOKUP(C45,'Erection Compiled'!$C$189:$G$309,4,FALSE)</f>
        <v>45887</v>
      </c>
      <c r="H45" s="639"/>
      <c r="I45" s="639"/>
      <c r="J45" s="639"/>
      <c r="K45" s="639"/>
      <c r="L45" s="639"/>
      <c r="M45" s="639"/>
      <c r="N45" s="639"/>
      <c r="O45" s="639"/>
      <c r="P45" s="639"/>
      <c r="Q45" s="639"/>
      <c r="R45" s="639"/>
      <c r="S45" s="639"/>
      <c r="T45" s="639"/>
      <c r="U45" s="639"/>
      <c r="V45" s="639"/>
      <c r="W45" s="639"/>
      <c r="X45" s="639"/>
      <c r="Y45" s="639">
        <v>5.5428571428571427</v>
      </c>
      <c r="Z45" s="639">
        <v>5.5428571428571427</v>
      </c>
      <c r="AA45" s="639">
        <v>5.5428571428571427</v>
      </c>
      <c r="AB45" s="639">
        <v>5.5428571428571427</v>
      </c>
      <c r="AC45" s="639">
        <v>5.5428571428571427</v>
      </c>
      <c r="AD45" s="639">
        <v>5.5428571428571427</v>
      </c>
      <c r="AE45" s="639">
        <v>5.5428571428571427</v>
      </c>
      <c r="AF45" s="639"/>
      <c r="AG45" s="639"/>
      <c r="AH45" s="639"/>
      <c r="AI45" s="639"/>
      <c r="AJ45" s="639"/>
      <c r="AK45" s="639"/>
      <c r="AL45" s="639"/>
      <c r="AM45" s="484"/>
      <c r="AN45" s="484"/>
      <c r="AO45" s="484"/>
      <c r="AP45" s="484"/>
      <c r="AQ45" s="484"/>
      <c r="AR45" s="484"/>
      <c r="AS45" s="484"/>
      <c r="AT45" s="484"/>
      <c r="AU45" s="484"/>
      <c r="AV45" s="484"/>
      <c r="AW45" s="484"/>
      <c r="AX45" s="484"/>
      <c r="AY45" s="484"/>
      <c r="AZ45" s="484"/>
      <c r="BA45" s="484"/>
      <c r="BB45" s="484"/>
      <c r="BC45" s="484"/>
      <c r="BD45" s="484"/>
      <c r="BE45" s="484"/>
      <c r="BF45" s="484"/>
      <c r="BG45" s="484"/>
      <c r="BH45" s="484"/>
      <c r="BI45" s="484"/>
      <c r="BJ45" s="484"/>
      <c r="BK45" s="484"/>
      <c r="BL45" s="484"/>
      <c r="BM45" s="484"/>
      <c r="BN45" s="484"/>
      <c r="BO45" s="484"/>
      <c r="BP45" s="484"/>
      <c r="BQ45" s="484"/>
      <c r="BR45" s="622">
        <f t="shared" si="0"/>
        <v>38.800000000000004</v>
      </c>
      <c r="BS45" s="623" t="s">
        <v>404</v>
      </c>
    </row>
    <row r="46" spans="1:71" x14ac:dyDescent="0.25">
      <c r="A46" s="484">
        <v>37</v>
      </c>
      <c r="B46" s="619" t="s">
        <v>1500</v>
      </c>
      <c r="C46" s="625" t="s">
        <v>509</v>
      </c>
      <c r="D46" s="620" t="str">
        <f>+VLOOKUP(C46,Foundation!$C$8:$D$495,2,FALSE)</f>
        <v>DC2+0</v>
      </c>
      <c r="E46" s="622">
        <f>+VLOOKUP(C46,'Erection Compiled'!$C$7:$J$333,7,FALSE)</f>
        <v>0</v>
      </c>
      <c r="F46" s="485" t="str">
        <f>+VLOOKUP(C46,'Erection Compiled'!$C$189:$G$309,3,FALSE)</f>
        <v>DRY</v>
      </c>
      <c r="G46" s="485">
        <f>+VLOOKUP(C46,'Erection Compiled'!$C$189:$G$309,4,FALSE)</f>
        <v>45887</v>
      </c>
      <c r="H46" s="639"/>
      <c r="I46" s="639"/>
      <c r="J46" s="639"/>
      <c r="K46" s="639"/>
      <c r="L46" s="639"/>
      <c r="M46" s="639"/>
      <c r="N46" s="639"/>
      <c r="O46" s="639"/>
      <c r="P46" s="639"/>
      <c r="Q46" s="639"/>
      <c r="R46" s="639"/>
      <c r="S46" s="639"/>
      <c r="T46" s="639"/>
      <c r="U46" s="639"/>
      <c r="V46" s="639"/>
      <c r="W46" s="639"/>
      <c r="X46" s="639"/>
      <c r="Y46" s="639">
        <v>8.297625</v>
      </c>
      <c r="Z46" s="639">
        <v>8.297625</v>
      </c>
      <c r="AA46" s="639">
        <v>8.297625</v>
      </c>
      <c r="AB46" s="639">
        <v>8.297625</v>
      </c>
      <c r="AC46" s="639">
        <v>8.297625</v>
      </c>
      <c r="AD46" s="639">
        <v>8.297625</v>
      </c>
      <c r="AE46" s="639">
        <v>8.297625</v>
      </c>
      <c r="AF46" s="639">
        <v>8.297625</v>
      </c>
      <c r="AG46" s="639"/>
      <c r="AH46" s="639"/>
      <c r="AI46" s="639"/>
      <c r="AJ46" s="639"/>
      <c r="AK46" s="639"/>
      <c r="AL46" s="639"/>
      <c r="AM46" s="484"/>
      <c r="AN46" s="484"/>
      <c r="AO46" s="484"/>
      <c r="AP46" s="484"/>
      <c r="AQ46" s="484"/>
      <c r="AR46" s="484"/>
      <c r="AS46" s="484"/>
      <c r="AT46" s="484"/>
      <c r="AU46" s="484"/>
      <c r="AV46" s="484"/>
      <c r="AW46" s="484"/>
      <c r="AX46" s="484"/>
      <c r="AY46" s="484"/>
      <c r="AZ46" s="484"/>
      <c r="BA46" s="484"/>
      <c r="BB46" s="484"/>
      <c r="BC46" s="484"/>
      <c r="BD46" s="484"/>
      <c r="BE46" s="484"/>
      <c r="BF46" s="484"/>
      <c r="BG46" s="484"/>
      <c r="BH46" s="484"/>
      <c r="BI46" s="484"/>
      <c r="BJ46" s="484"/>
      <c r="BK46" s="484"/>
      <c r="BL46" s="484"/>
      <c r="BM46" s="484"/>
      <c r="BN46" s="484"/>
      <c r="BO46" s="484"/>
      <c r="BP46" s="484"/>
      <c r="BQ46" s="484"/>
      <c r="BR46" s="622">
        <f t="shared" si="0"/>
        <v>66.380999999999986</v>
      </c>
      <c r="BS46" s="623" t="s">
        <v>404</v>
      </c>
    </row>
    <row r="47" spans="1:71" x14ac:dyDescent="0.25">
      <c r="A47" s="484">
        <v>38</v>
      </c>
      <c r="B47" s="619" t="s">
        <v>1503</v>
      </c>
      <c r="C47" s="625" t="s">
        <v>64</v>
      </c>
      <c r="D47" s="620" t="str">
        <f>+VLOOKUP(C47,Foundation!$C$8:$D$495,2,FALSE)</f>
        <v>DA+3</v>
      </c>
      <c r="E47" s="622">
        <f>+VLOOKUP(C47,'Erection Compiled'!$C$7:$J$333,7,FALSE)</f>
        <v>0</v>
      </c>
      <c r="F47" s="485" t="str">
        <f>+VLOOKUP(C47,'Erection Compiled'!$C$189:$G$309,3,FALSE)</f>
        <v>DFR</v>
      </c>
      <c r="G47" s="485">
        <f>+VLOOKUP(C47,'Erection Compiled'!$C$189:$G$309,4,FALSE)</f>
        <v>45885</v>
      </c>
      <c r="H47" s="639"/>
      <c r="I47" s="639"/>
      <c r="J47" s="639"/>
      <c r="K47" s="639"/>
      <c r="L47" s="639"/>
      <c r="M47" s="639"/>
      <c r="N47" s="639"/>
      <c r="O47" s="639"/>
      <c r="P47" s="639"/>
      <c r="Q47" s="639"/>
      <c r="R47" s="639"/>
      <c r="S47" s="639"/>
      <c r="T47" s="639"/>
      <c r="U47" s="639"/>
      <c r="V47" s="639"/>
      <c r="W47" s="639">
        <v>4.8499999999999996</v>
      </c>
      <c r="X47" s="639">
        <v>4.8499999999999996</v>
      </c>
      <c r="Y47" s="639">
        <v>4.8499999999999996</v>
      </c>
      <c r="Z47" s="639">
        <v>4.8499999999999996</v>
      </c>
      <c r="AA47" s="639">
        <v>4.8499999999999996</v>
      </c>
      <c r="AB47" s="639">
        <v>4.8499999999999996</v>
      </c>
      <c r="AC47" s="639">
        <v>4.8499999999999996</v>
      </c>
      <c r="AD47" s="639">
        <v>4.8499999999999996</v>
      </c>
      <c r="AE47" s="639"/>
      <c r="AF47" s="639"/>
      <c r="AG47" s="639"/>
      <c r="AH47" s="639"/>
      <c r="AI47" s="639"/>
      <c r="AJ47" s="639"/>
      <c r="AK47" s="639"/>
      <c r="AL47" s="639"/>
      <c r="AM47" s="484"/>
      <c r="AN47" s="484"/>
      <c r="AO47" s="484"/>
      <c r="AP47" s="484"/>
      <c r="AQ47" s="484"/>
      <c r="AR47" s="484"/>
      <c r="AS47" s="484"/>
      <c r="AT47" s="484"/>
      <c r="AU47" s="484"/>
      <c r="AV47" s="484"/>
      <c r="AW47" s="484"/>
      <c r="AX47" s="484"/>
      <c r="AY47" s="484"/>
      <c r="AZ47" s="484"/>
      <c r="BA47" s="484"/>
      <c r="BB47" s="484"/>
      <c r="BC47" s="484"/>
      <c r="BD47" s="484"/>
      <c r="BE47" s="484"/>
      <c r="BF47" s="484"/>
      <c r="BG47" s="484"/>
      <c r="BH47" s="484"/>
      <c r="BI47" s="484"/>
      <c r="BJ47" s="484"/>
      <c r="BK47" s="484"/>
      <c r="BL47" s="484"/>
      <c r="BM47" s="484"/>
      <c r="BN47" s="484"/>
      <c r="BO47" s="484"/>
      <c r="BP47" s="484"/>
      <c r="BQ47" s="484"/>
      <c r="BR47" s="622">
        <f t="shared" si="0"/>
        <v>38.800000000000004</v>
      </c>
      <c r="BS47" s="623" t="s">
        <v>404</v>
      </c>
    </row>
    <row r="48" spans="1:71" x14ac:dyDescent="0.25">
      <c r="A48" s="484">
        <v>39</v>
      </c>
      <c r="B48" s="619" t="s">
        <v>893</v>
      </c>
      <c r="C48" s="625" t="s">
        <v>715</v>
      </c>
      <c r="D48" s="620" t="str">
        <f>+VLOOKUP(C48,Foundation!$C$8:$D$495,2,FALSE)</f>
        <v>DA+9</v>
      </c>
      <c r="E48" s="622">
        <f>+VLOOKUP(C48,'Erection Compiled'!$C$7:$J$333,7,FALSE)</f>
        <v>0</v>
      </c>
      <c r="F48" s="485" t="str">
        <f>+VLOOKUP(C48,'Erection Compiled'!$C$189:$G$309,3,FALSE)</f>
        <v>Sandy</v>
      </c>
      <c r="G48" s="485">
        <f>+VLOOKUP(C48,'Erection Compiled'!$C$189:$G$309,4,FALSE)</f>
        <v>45886</v>
      </c>
      <c r="H48" s="639"/>
      <c r="I48" s="639"/>
      <c r="J48" s="639"/>
      <c r="K48" s="639"/>
      <c r="L48" s="639"/>
      <c r="M48" s="639"/>
      <c r="N48" s="639"/>
      <c r="O48" s="639"/>
      <c r="P48" s="639"/>
      <c r="Q48" s="639"/>
      <c r="R48" s="639"/>
      <c r="S48" s="639"/>
      <c r="T48" s="639"/>
      <c r="U48" s="639"/>
      <c r="V48" s="639"/>
      <c r="W48" s="639"/>
      <c r="X48" s="639">
        <v>3.3702857142857141</v>
      </c>
      <c r="Y48" s="639">
        <v>3.3702857142857141</v>
      </c>
      <c r="Z48" s="639">
        <v>3.3702857142857141</v>
      </c>
      <c r="AA48" s="639">
        <v>3.3702857142857141</v>
      </c>
      <c r="AB48" s="639">
        <v>3.3702857142857141</v>
      </c>
      <c r="AC48" s="639">
        <v>3.3702857142857141</v>
      </c>
      <c r="AD48" s="639">
        <v>3.3702857142857141</v>
      </c>
      <c r="AE48" s="639"/>
      <c r="AF48" s="639"/>
      <c r="AG48" s="639"/>
      <c r="AH48" s="639"/>
      <c r="AI48" s="639"/>
      <c r="AJ48" s="639"/>
      <c r="AK48" s="639"/>
      <c r="AL48" s="639"/>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484"/>
      <c r="BJ48" s="484"/>
      <c r="BK48" s="484"/>
      <c r="BL48" s="484"/>
      <c r="BM48" s="484"/>
      <c r="BN48" s="484"/>
      <c r="BO48" s="484"/>
      <c r="BP48" s="484"/>
      <c r="BQ48" s="484"/>
      <c r="BR48" s="622">
        <f t="shared" si="0"/>
        <v>23.591999999999999</v>
      </c>
      <c r="BS48" s="623" t="s">
        <v>404</v>
      </c>
    </row>
    <row r="49" spans="1:73" x14ac:dyDescent="0.25">
      <c r="A49" s="484">
        <v>40</v>
      </c>
      <c r="B49" s="619" t="s">
        <v>1379</v>
      </c>
      <c r="C49" s="625" t="s">
        <v>739</v>
      </c>
      <c r="D49" s="620" t="str">
        <f>+VLOOKUP(C49,Foundation!$C$8:$D$495,2,FALSE)</f>
        <v>DA+0</v>
      </c>
      <c r="E49" s="622">
        <f>+VLOOKUP(C49,'Erection Compiled'!$C$7:$J$333,7,FALSE)</f>
        <v>0</v>
      </c>
      <c r="F49" s="485" t="str">
        <f>+VLOOKUP(C49,'Erection Compiled'!$C$189:$G$309,3,FALSE)</f>
        <v>WFR</v>
      </c>
      <c r="G49" s="485">
        <f>+VLOOKUP(C49,'Erection Compiled'!$C$189:$G$309,4,FALSE)</f>
        <v>45886</v>
      </c>
      <c r="H49" s="639"/>
      <c r="I49" s="639"/>
      <c r="J49" s="639"/>
      <c r="K49" s="639"/>
      <c r="L49" s="639"/>
      <c r="M49" s="639"/>
      <c r="N49" s="639"/>
      <c r="O49" s="639"/>
      <c r="P49" s="639"/>
      <c r="Q49" s="639"/>
      <c r="R49" s="639"/>
      <c r="S49" s="639"/>
      <c r="T49" s="639"/>
      <c r="U49" s="639"/>
      <c r="V49" s="639"/>
      <c r="W49" s="639"/>
      <c r="X49" s="639">
        <v>4.6880465000000004</v>
      </c>
      <c r="Y49" s="639">
        <v>4.6880465000000004</v>
      </c>
      <c r="Z49" s="639">
        <v>4.6880465000000004</v>
      </c>
      <c r="AA49" s="639">
        <v>4.6880465000000004</v>
      </c>
      <c r="AB49" s="639">
        <v>4.6880465000000004</v>
      </c>
      <c r="AC49" s="639">
        <v>4.6880465000000004</v>
      </c>
      <c r="AD49" s="639">
        <v>4.6880465000000004</v>
      </c>
      <c r="AE49" s="639">
        <v>4.6880465000000004</v>
      </c>
      <c r="AF49" s="639"/>
      <c r="AG49" s="639"/>
      <c r="AH49" s="639"/>
      <c r="AI49" s="639"/>
      <c r="AJ49" s="639"/>
      <c r="AK49" s="639"/>
      <c r="AL49" s="639"/>
      <c r="AM49" s="484"/>
      <c r="AN49" s="484"/>
      <c r="AO49" s="484"/>
      <c r="AP49" s="484"/>
      <c r="AQ49" s="484"/>
      <c r="AR49" s="484"/>
      <c r="AS49" s="484"/>
      <c r="AT49" s="484"/>
      <c r="AU49" s="484"/>
      <c r="AV49" s="484"/>
      <c r="AW49" s="484"/>
      <c r="AX49" s="484"/>
      <c r="AY49" s="484"/>
      <c r="AZ49" s="484"/>
      <c r="BA49" s="484"/>
      <c r="BB49" s="484"/>
      <c r="BC49" s="484"/>
      <c r="BD49" s="484"/>
      <c r="BE49" s="484"/>
      <c r="BF49" s="484"/>
      <c r="BG49" s="484"/>
      <c r="BH49" s="484"/>
      <c r="BI49" s="484"/>
      <c r="BJ49" s="484"/>
      <c r="BK49" s="484"/>
      <c r="BL49" s="484"/>
      <c r="BM49" s="484"/>
      <c r="BN49" s="484"/>
      <c r="BO49" s="484"/>
      <c r="BP49" s="484"/>
      <c r="BQ49" s="484"/>
      <c r="BR49" s="622">
        <f t="shared" si="0"/>
        <v>37.504371999999996</v>
      </c>
      <c r="BS49" s="623" t="s">
        <v>404</v>
      </c>
    </row>
    <row r="50" spans="1:73" x14ac:dyDescent="0.25">
      <c r="A50" s="484">
        <v>41</v>
      </c>
      <c r="B50" s="619" t="s">
        <v>892</v>
      </c>
      <c r="C50" s="625" t="s">
        <v>677</v>
      </c>
      <c r="D50" s="620" t="str">
        <f>+VLOOKUP(C50,Foundation!$C$8:$D$495,2,FALSE)</f>
        <v>DA+0</v>
      </c>
      <c r="E50" s="622">
        <f>+VLOOKUP(C50,'Erection Compiled'!$C$7:$J$333,7,FALSE)</f>
        <v>0</v>
      </c>
      <c r="F50" s="485" t="str">
        <f>+VLOOKUP(C50,'Erection Compiled'!$C$189:$G$309,3,FALSE)</f>
        <v>Sandy</v>
      </c>
      <c r="G50" s="485">
        <f>+VLOOKUP(C50,'Erection Compiled'!$C$189:$G$309,4,FALSE)</f>
        <v>45888</v>
      </c>
      <c r="H50" s="639"/>
      <c r="I50" s="639"/>
      <c r="J50" s="639"/>
      <c r="K50" s="639"/>
      <c r="L50" s="639"/>
      <c r="M50" s="639"/>
      <c r="N50" s="639"/>
      <c r="O50" s="639"/>
      <c r="P50" s="639"/>
      <c r="Q50" s="639"/>
      <c r="R50" s="639"/>
      <c r="S50" s="639"/>
      <c r="T50" s="639"/>
      <c r="U50" s="639"/>
      <c r="V50" s="639"/>
      <c r="W50" s="639"/>
      <c r="X50" s="639"/>
      <c r="Y50" s="639"/>
      <c r="Z50" s="639">
        <v>5.357767428571429</v>
      </c>
      <c r="AA50" s="639">
        <v>5.357767428571429</v>
      </c>
      <c r="AB50" s="639">
        <v>5.357767428571429</v>
      </c>
      <c r="AC50" s="639">
        <v>5.357767428571429</v>
      </c>
      <c r="AD50" s="639">
        <v>5.357767428571429</v>
      </c>
      <c r="AE50" s="639">
        <v>5.357767428571429</v>
      </c>
      <c r="AF50" s="639">
        <v>5.357767428571429</v>
      </c>
      <c r="AG50" s="639"/>
      <c r="AH50" s="639"/>
      <c r="AI50" s="639"/>
      <c r="AJ50" s="639"/>
      <c r="AK50" s="639"/>
      <c r="AL50" s="639"/>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484"/>
      <c r="BJ50" s="484"/>
      <c r="BK50" s="484"/>
      <c r="BL50" s="484"/>
      <c r="BM50" s="484"/>
      <c r="BN50" s="484"/>
      <c r="BO50" s="484"/>
      <c r="BP50" s="484"/>
      <c r="BQ50" s="484"/>
      <c r="BR50" s="622">
        <f t="shared" si="0"/>
        <v>37.504372000000004</v>
      </c>
      <c r="BS50" s="623" t="s">
        <v>404</v>
      </c>
    </row>
    <row r="51" spans="1:73" x14ac:dyDescent="0.25">
      <c r="A51" s="484">
        <v>42</v>
      </c>
      <c r="B51" s="619" t="s">
        <v>1504</v>
      </c>
      <c r="C51" s="625" t="s">
        <v>459</v>
      </c>
      <c r="D51" s="620" t="str">
        <f>+VLOOKUP(C51,Foundation!$C$8:$D$495,2,FALSE)</f>
        <v>DA+0</v>
      </c>
      <c r="E51" s="622">
        <f>+VLOOKUP(C51,'Erection Compiled'!$C$7:$J$333,7,FALSE)</f>
        <v>0</v>
      </c>
      <c r="F51" s="485" t="str">
        <f>+VLOOKUP(C51,'Erection Compiled'!$C$189:$G$309,3,FALSE)</f>
        <v>DRY</v>
      </c>
      <c r="G51" s="485">
        <f>+VLOOKUP(C51,'Erection Compiled'!$C$189:$G$309,4,FALSE)</f>
        <v>45889</v>
      </c>
      <c r="H51" s="639"/>
      <c r="I51" s="639"/>
      <c r="J51" s="639"/>
      <c r="K51" s="639"/>
      <c r="L51" s="639"/>
      <c r="M51" s="639"/>
      <c r="N51" s="639"/>
      <c r="O51" s="639"/>
      <c r="P51" s="639"/>
      <c r="Q51" s="639"/>
      <c r="R51" s="639"/>
      <c r="S51" s="639"/>
      <c r="T51" s="639"/>
      <c r="U51" s="639"/>
      <c r="V51" s="639"/>
      <c r="W51" s="639"/>
      <c r="X51" s="639"/>
      <c r="Y51" s="639"/>
      <c r="Z51" s="639"/>
      <c r="AA51" s="639">
        <v>6.2507286666666673</v>
      </c>
      <c r="AB51" s="639">
        <v>6.2507286666666673</v>
      </c>
      <c r="AC51" s="639">
        <v>6.2507286666666673</v>
      </c>
      <c r="AD51" s="639">
        <v>6.2507286666666673</v>
      </c>
      <c r="AE51" s="639">
        <v>6.2507286666666673</v>
      </c>
      <c r="AF51" s="639">
        <v>6.2507286666666673</v>
      </c>
      <c r="AG51" s="639"/>
      <c r="AH51" s="639"/>
      <c r="AI51" s="639"/>
      <c r="AJ51" s="639"/>
      <c r="AK51" s="639"/>
      <c r="AL51" s="639"/>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484"/>
      <c r="BJ51" s="484"/>
      <c r="BK51" s="484"/>
      <c r="BL51" s="484"/>
      <c r="BM51" s="484"/>
      <c r="BN51" s="484"/>
      <c r="BO51" s="484"/>
      <c r="BP51" s="484"/>
      <c r="BQ51" s="484"/>
      <c r="BR51" s="622">
        <f t="shared" si="0"/>
        <v>37.504372000000004</v>
      </c>
      <c r="BS51" s="623" t="s">
        <v>404</v>
      </c>
    </row>
    <row r="52" spans="1:73" x14ac:dyDescent="0.25">
      <c r="A52" s="484">
        <v>43</v>
      </c>
      <c r="B52" s="619" t="s">
        <v>886</v>
      </c>
      <c r="C52" s="625" t="s">
        <v>748</v>
      </c>
      <c r="D52" s="620" t="str">
        <f>+VLOOKUP(C52,Foundation!$C$8:$D$495,2,FALSE)</f>
        <v>DA+3</v>
      </c>
      <c r="E52" s="622">
        <f>+VLOOKUP(C52,'Erection Compiled'!$C$7:$J$333,7,FALSE)</f>
        <v>0</v>
      </c>
      <c r="F52" s="485" t="str">
        <f>+VLOOKUP(C52,'Erection Compiled'!$C$189:$G$309,3,FALSE)</f>
        <v>DRY</v>
      </c>
      <c r="G52" s="485">
        <f>+VLOOKUP(C52,'Erection Compiled'!$C$189:$G$309,4,FALSE)</f>
        <v>45890</v>
      </c>
      <c r="H52" s="639"/>
      <c r="I52" s="639"/>
      <c r="J52" s="639"/>
      <c r="K52" s="639"/>
      <c r="L52" s="639"/>
      <c r="M52" s="639"/>
      <c r="N52" s="639"/>
      <c r="O52" s="639"/>
      <c r="P52" s="639"/>
      <c r="Q52" s="639"/>
      <c r="R52" s="639"/>
      <c r="S52" s="639"/>
      <c r="T52" s="639"/>
      <c r="U52" s="639"/>
      <c r="V52" s="639"/>
      <c r="W52" s="639"/>
      <c r="X52" s="639"/>
      <c r="Y52" s="639"/>
      <c r="Z52" s="639"/>
      <c r="AA52" s="639"/>
      <c r="AB52" s="639">
        <v>7.76</v>
      </c>
      <c r="AC52" s="639">
        <v>7.76</v>
      </c>
      <c r="AD52" s="639">
        <v>7.76</v>
      </c>
      <c r="AE52" s="639">
        <v>7.76</v>
      </c>
      <c r="AF52" s="639">
        <v>7.76</v>
      </c>
      <c r="AG52" s="639"/>
      <c r="AH52" s="639"/>
      <c r="AI52" s="639"/>
      <c r="AJ52" s="639"/>
      <c r="AK52" s="639"/>
      <c r="AL52" s="639"/>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484"/>
      <c r="BJ52" s="484"/>
      <c r="BK52" s="484"/>
      <c r="BL52" s="484"/>
      <c r="BM52" s="484"/>
      <c r="BN52" s="484"/>
      <c r="BO52" s="484"/>
      <c r="BP52" s="484"/>
      <c r="BQ52" s="484"/>
      <c r="BR52" s="622">
        <f t="shared" si="0"/>
        <v>38.799999999999997</v>
      </c>
      <c r="BS52" s="623" t="s">
        <v>404</v>
      </c>
    </row>
    <row r="53" spans="1:73" x14ac:dyDescent="0.25">
      <c r="A53" s="484">
        <v>44</v>
      </c>
      <c r="B53" s="619">
        <f>+VLOOKUP(C53,'Erection Compiled'!$C$186:$H$309,5,FALSE)</f>
        <v>45895</v>
      </c>
      <c r="C53" s="625" t="s">
        <v>27</v>
      </c>
      <c r="D53" s="620" t="str">
        <f>+VLOOKUP(C53,Foundation!$C$8:$D$495,2,FALSE)</f>
        <v>DA+0</v>
      </c>
      <c r="E53" s="622">
        <f>+VLOOKUP(C53,'Erection Compiled'!$C$7:$J$333,7,FALSE)</f>
        <v>0</v>
      </c>
      <c r="F53" s="485" t="str">
        <f>+VLOOKUP(C53,'Erection Compiled'!$C$189:$G$309,3,FALSE)</f>
        <v>DRY</v>
      </c>
      <c r="G53" s="485">
        <f>+VLOOKUP(C53,'Erection Compiled'!$C$189:$G$309,4,FALSE)</f>
        <v>45891</v>
      </c>
      <c r="H53" s="639"/>
      <c r="I53" s="639"/>
      <c r="J53" s="639"/>
      <c r="K53" s="639"/>
      <c r="L53" s="639"/>
      <c r="M53" s="639"/>
      <c r="N53" s="639"/>
      <c r="O53" s="639"/>
      <c r="P53" s="639"/>
      <c r="Q53" s="639"/>
      <c r="R53" s="639"/>
      <c r="S53" s="639"/>
      <c r="T53" s="639"/>
      <c r="U53" s="639"/>
      <c r="V53" s="639"/>
      <c r="W53" s="639"/>
      <c r="X53" s="639"/>
      <c r="Y53" s="639"/>
      <c r="Z53" s="639"/>
      <c r="AA53" s="639"/>
      <c r="AB53" s="639"/>
      <c r="AC53" s="639">
        <v>7.5008744000000007</v>
      </c>
      <c r="AD53" s="639">
        <v>7.5008744000000007</v>
      </c>
      <c r="AE53" s="639">
        <v>7.5008744000000007</v>
      </c>
      <c r="AF53" s="639">
        <v>7.5008744000000007</v>
      </c>
      <c r="AG53" s="639">
        <v>7.5008744000000007</v>
      </c>
      <c r="AH53" s="639"/>
      <c r="AI53" s="639"/>
      <c r="AJ53" s="639"/>
      <c r="AK53" s="639"/>
      <c r="AL53" s="639"/>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484"/>
      <c r="BJ53" s="484"/>
      <c r="BK53" s="484"/>
      <c r="BL53" s="484"/>
      <c r="BM53" s="484"/>
      <c r="BN53" s="484"/>
      <c r="BO53" s="484"/>
      <c r="BP53" s="484"/>
      <c r="BQ53" s="484"/>
      <c r="BR53" s="622">
        <f t="shared" si="0"/>
        <v>37.504372000000004</v>
      </c>
      <c r="BS53" s="623" t="s">
        <v>404</v>
      </c>
    </row>
    <row r="54" spans="1:73" x14ac:dyDescent="0.25">
      <c r="A54" s="484">
        <v>45</v>
      </c>
      <c r="B54" s="619">
        <f>+VLOOKUP(C54,'Erection Compiled'!$C$186:$H$309,5,FALSE)</f>
        <v>45898</v>
      </c>
      <c r="C54" s="625" t="s">
        <v>747</v>
      </c>
      <c r="D54" s="620" t="str">
        <f>+VLOOKUP(C54,Foundation!$C$8:$D$495,2,FALSE)</f>
        <v>DA+0</v>
      </c>
      <c r="E54" s="622">
        <f>+VLOOKUP(C54,'Erection Compiled'!$C$7:$J$333,7,FALSE)</f>
        <v>0</v>
      </c>
      <c r="F54" s="485" t="str">
        <f>+VLOOKUP(C54,'Erection Compiled'!$C$189:$G$309,3,FALSE)</f>
        <v>Sandy</v>
      </c>
      <c r="G54" s="485">
        <f>+VLOOKUP(C54,'Erection Compiled'!$C$189:$G$309,4,FALSE)</f>
        <v>45890</v>
      </c>
      <c r="H54" s="639"/>
      <c r="I54" s="639"/>
      <c r="J54" s="639"/>
      <c r="K54" s="639"/>
      <c r="L54" s="639"/>
      <c r="M54" s="639"/>
      <c r="N54" s="639"/>
      <c r="O54" s="639"/>
      <c r="P54" s="639"/>
      <c r="Q54" s="639"/>
      <c r="R54" s="639"/>
      <c r="S54" s="639"/>
      <c r="T54" s="639"/>
      <c r="U54" s="639"/>
      <c r="V54" s="639"/>
      <c r="W54" s="639"/>
      <c r="X54" s="639"/>
      <c r="Y54" s="639"/>
      <c r="Z54" s="639"/>
      <c r="AA54" s="639"/>
      <c r="AB54" s="639">
        <v>4.1671524444444445</v>
      </c>
      <c r="AC54" s="639">
        <v>4.1671524444444445</v>
      </c>
      <c r="AD54" s="639">
        <v>4.1671524444444445</v>
      </c>
      <c r="AE54" s="639">
        <v>4.1671524444444445</v>
      </c>
      <c r="AF54" s="639">
        <v>4.1671524444444445</v>
      </c>
      <c r="AG54" s="639">
        <v>4.1671524444444445</v>
      </c>
      <c r="AH54" s="639">
        <v>4.1671524444444445</v>
      </c>
      <c r="AI54" s="639">
        <v>4.1671524444444445</v>
      </c>
      <c r="AJ54" s="639">
        <v>4.1671524444444445</v>
      </c>
      <c r="AK54" s="639"/>
      <c r="AL54" s="639"/>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484"/>
      <c r="BJ54" s="484"/>
      <c r="BK54" s="484"/>
      <c r="BL54" s="484"/>
      <c r="BM54" s="484"/>
      <c r="BN54" s="484"/>
      <c r="BO54" s="484"/>
      <c r="BP54" s="484"/>
      <c r="BQ54" s="484"/>
      <c r="BR54" s="622">
        <f t="shared" si="0"/>
        <v>37.504372000000004</v>
      </c>
      <c r="BS54" s="623" t="s">
        <v>404</v>
      </c>
    </row>
    <row r="55" spans="1:73" x14ac:dyDescent="0.25">
      <c r="A55" s="484">
        <v>46</v>
      </c>
      <c r="B55" s="619">
        <f>+VLOOKUP(C55,'Erection Compiled'!$C$186:$H$309,5,FALSE)</f>
        <v>45899</v>
      </c>
      <c r="C55" s="625" t="s">
        <v>77</v>
      </c>
      <c r="D55" s="620" t="str">
        <f>+VLOOKUP(C55,Foundation!$C$8:$D$495,2,FALSE)</f>
        <v>DA+0</v>
      </c>
      <c r="E55" s="622">
        <f>+VLOOKUP(C55,'Erection Compiled'!$C$7:$J$333,7,FALSE)</f>
        <v>0</v>
      </c>
      <c r="F55" s="485" t="str">
        <f>+VLOOKUP(C55,'Erection Compiled'!$C$189:$G$309,3,FALSE)</f>
        <v>Sandy</v>
      </c>
      <c r="G55" s="485">
        <f>+VLOOKUP(C55,'Erection Compiled'!$C$189:$G$309,4,FALSE)</f>
        <v>45894</v>
      </c>
      <c r="H55" s="639"/>
      <c r="I55" s="639"/>
      <c r="J55" s="639"/>
      <c r="K55" s="639"/>
      <c r="L55" s="639"/>
      <c r="M55" s="639"/>
      <c r="N55" s="639"/>
      <c r="O55" s="639"/>
      <c r="P55" s="639"/>
      <c r="Q55" s="639"/>
      <c r="R55" s="639"/>
      <c r="S55" s="639"/>
      <c r="T55" s="639"/>
      <c r="U55" s="639"/>
      <c r="V55" s="639"/>
      <c r="W55" s="639"/>
      <c r="X55" s="639"/>
      <c r="Y55" s="639"/>
      <c r="Z55" s="639"/>
      <c r="AA55" s="639"/>
      <c r="AB55" s="639"/>
      <c r="AC55" s="639"/>
      <c r="AD55" s="639"/>
      <c r="AE55" s="639"/>
      <c r="AF55" s="639">
        <v>6.2507286666666673</v>
      </c>
      <c r="AG55" s="639">
        <v>6.2507286666666673</v>
      </c>
      <c r="AH55" s="639">
        <v>6.2507286666666673</v>
      </c>
      <c r="AI55" s="639">
        <v>6.2507286666666673</v>
      </c>
      <c r="AJ55" s="639">
        <v>6.2507286666666673</v>
      </c>
      <c r="AK55" s="639">
        <v>6.2507286666666673</v>
      </c>
      <c r="AL55" s="639"/>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484"/>
      <c r="BJ55" s="484"/>
      <c r="BK55" s="484"/>
      <c r="BL55" s="484"/>
      <c r="BM55" s="484"/>
      <c r="BN55" s="484"/>
      <c r="BO55" s="484"/>
      <c r="BP55" s="484"/>
      <c r="BQ55" s="484"/>
      <c r="BR55" s="622">
        <f t="shared" si="0"/>
        <v>37.504372000000004</v>
      </c>
      <c r="BS55" s="623" t="s">
        <v>404</v>
      </c>
    </row>
    <row r="56" spans="1:73" x14ac:dyDescent="0.25">
      <c r="A56" s="484">
        <v>47</v>
      </c>
      <c r="B56" s="619">
        <f>+VLOOKUP(C56,'Erection Compiled'!$C$186:$H$309,5,FALSE)</f>
        <v>45899</v>
      </c>
      <c r="C56" s="625" t="s">
        <v>574</v>
      </c>
      <c r="D56" s="620" t="str">
        <f>+VLOOKUP(C56,Foundation!$C$8:$D$495,2,FALSE)</f>
        <v>DA+3</v>
      </c>
      <c r="E56" s="622">
        <f>+VLOOKUP(C56,'Erection Compiled'!$C$7:$J$333,7,FALSE)</f>
        <v>0</v>
      </c>
      <c r="F56" s="485" t="str">
        <f>+VLOOKUP(C56,'Erection Compiled'!$C$189:$G$309,3,FALSE)</f>
        <v>Sandy</v>
      </c>
      <c r="G56" s="485">
        <f>+VLOOKUP(C56,'Erection Compiled'!$C$189:$G$309,4,FALSE)</f>
        <v>45894</v>
      </c>
      <c r="H56" s="639"/>
      <c r="I56" s="639"/>
      <c r="J56" s="639"/>
      <c r="K56" s="639"/>
      <c r="L56" s="639"/>
      <c r="M56" s="639"/>
      <c r="N56" s="639"/>
      <c r="O56" s="639"/>
      <c r="P56" s="639"/>
      <c r="Q56" s="639"/>
      <c r="R56" s="639"/>
      <c r="S56" s="639"/>
      <c r="T56" s="639"/>
      <c r="U56" s="639"/>
      <c r="V56" s="639"/>
      <c r="W56" s="639"/>
      <c r="X56" s="639"/>
      <c r="Y56" s="639"/>
      <c r="Z56" s="639"/>
      <c r="AA56" s="639"/>
      <c r="AB56" s="639"/>
      <c r="AC56" s="639"/>
      <c r="AD56" s="639"/>
      <c r="AE56" s="639"/>
      <c r="AF56" s="639">
        <v>6.4666666666666659</v>
      </c>
      <c r="AG56" s="639">
        <v>6.4666666666666659</v>
      </c>
      <c r="AH56" s="639">
        <v>6.4666666666666659</v>
      </c>
      <c r="AI56" s="639">
        <v>6.4666666666666659</v>
      </c>
      <c r="AJ56" s="639">
        <v>6.4666666666666659</v>
      </c>
      <c r="AK56" s="639">
        <v>6.4666666666666659</v>
      </c>
      <c r="AL56" s="639"/>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484"/>
      <c r="BJ56" s="484"/>
      <c r="BK56" s="484"/>
      <c r="BL56" s="484"/>
      <c r="BM56" s="484"/>
      <c r="BN56" s="484"/>
      <c r="BO56" s="484"/>
      <c r="BP56" s="484"/>
      <c r="BQ56" s="484"/>
      <c r="BR56" s="622">
        <f t="shared" si="0"/>
        <v>38.799999999999997</v>
      </c>
      <c r="BS56" s="623" t="s">
        <v>404</v>
      </c>
    </row>
    <row r="57" spans="1:73" x14ac:dyDescent="0.25">
      <c r="A57" s="484">
        <v>48</v>
      </c>
      <c r="B57" s="619">
        <f>+VLOOKUP(C57,'Erection Compiled'!$C$186:$H$309,5,FALSE)</f>
        <v>45899</v>
      </c>
      <c r="C57" s="625" t="s">
        <v>86</v>
      </c>
      <c r="D57" s="620" t="str">
        <f>+VLOOKUP(C57,Foundation!$C$8:$D$495,2,FALSE)</f>
        <v>DA+0</v>
      </c>
      <c r="E57" s="622">
        <f>+VLOOKUP(C57,'Erection Compiled'!$C$7:$J$333,7,FALSE)</f>
        <v>0</v>
      </c>
      <c r="F57" s="485" t="str">
        <f>+VLOOKUP(C57,'Erection Compiled'!$C$189:$G$309,3,FALSE)</f>
        <v>Sandy</v>
      </c>
      <c r="G57" s="485">
        <f>+VLOOKUP(C57,'Erection Compiled'!$C$189:$G$309,4,FALSE)</f>
        <v>45891</v>
      </c>
      <c r="H57" s="639"/>
      <c r="I57" s="639"/>
      <c r="J57" s="639"/>
      <c r="K57" s="639"/>
      <c r="L57" s="639"/>
      <c r="M57" s="639"/>
      <c r="N57" s="639"/>
      <c r="O57" s="639"/>
      <c r="P57" s="639"/>
      <c r="Q57" s="639"/>
      <c r="R57" s="639"/>
      <c r="S57" s="639"/>
      <c r="T57" s="639"/>
      <c r="U57" s="639"/>
      <c r="V57" s="639"/>
      <c r="W57" s="639"/>
      <c r="X57" s="639"/>
      <c r="Y57" s="639"/>
      <c r="Z57" s="639"/>
      <c r="AA57" s="639"/>
      <c r="AB57" s="639"/>
      <c r="AC57" s="639">
        <v>4.1671524444444445</v>
      </c>
      <c r="AD57" s="639">
        <v>4.1671524444444445</v>
      </c>
      <c r="AE57" s="639">
        <v>4.1671524444444445</v>
      </c>
      <c r="AF57" s="639">
        <v>4.1671524444444445</v>
      </c>
      <c r="AG57" s="639">
        <v>4.1671524444444445</v>
      </c>
      <c r="AH57" s="639">
        <v>4.1671524444444445</v>
      </c>
      <c r="AI57" s="639">
        <v>4.1671524444444445</v>
      </c>
      <c r="AJ57" s="639">
        <v>4.1671524444444445</v>
      </c>
      <c r="AK57" s="639">
        <v>4.1671524444444445</v>
      </c>
      <c r="AL57" s="639"/>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484"/>
      <c r="BJ57" s="484"/>
      <c r="BK57" s="484"/>
      <c r="BL57" s="484"/>
      <c r="BM57" s="484"/>
      <c r="BN57" s="484"/>
      <c r="BO57" s="484"/>
      <c r="BP57" s="484"/>
      <c r="BQ57" s="484"/>
      <c r="BR57" s="622">
        <f t="shared" si="0"/>
        <v>37.504372000000004</v>
      </c>
      <c r="BS57" s="623" t="s">
        <v>404</v>
      </c>
    </row>
    <row r="58" spans="1:73" x14ac:dyDescent="0.25">
      <c r="A58" s="484">
        <v>49</v>
      </c>
      <c r="B58" s="619">
        <f>+VLOOKUP(C58,'Erection Compiled'!$C$186:$H$309,5,FALSE)</f>
        <v>45900</v>
      </c>
      <c r="C58" s="625" t="s">
        <v>150</v>
      </c>
      <c r="D58" s="620" t="str">
        <f>+VLOOKUP(C58,Foundation!$C$8:$D$495,2,FALSE)</f>
        <v>DA+3</v>
      </c>
      <c r="E58" s="622">
        <f>+VLOOKUP(C58,'Erection Compiled'!$C$7:$J$333,7,FALSE)</f>
        <v>0</v>
      </c>
      <c r="F58" s="485" t="str">
        <f>+VLOOKUP(C58,'Erection Compiled'!$C$189:$G$309,3,FALSE)</f>
        <v>DRY</v>
      </c>
      <c r="G58" s="485">
        <f>+VLOOKUP(C58,'Erection Compiled'!$C$189:$G$309,4,FALSE)</f>
        <v>45892</v>
      </c>
      <c r="H58" s="639"/>
      <c r="I58" s="639"/>
      <c r="J58" s="639"/>
      <c r="K58" s="639"/>
      <c r="L58" s="639"/>
      <c r="M58" s="639"/>
      <c r="N58" s="639"/>
      <c r="O58" s="639"/>
      <c r="P58" s="639"/>
      <c r="Q58" s="639"/>
      <c r="R58" s="639"/>
      <c r="S58" s="639"/>
      <c r="T58" s="639"/>
      <c r="U58" s="639"/>
      <c r="V58" s="639"/>
      <c r="W58" s="639"/>
      <c r="X58" s="639"/>
      <c r="Y58" s="639"/>
      <c r="Z58" s="639"/>
      <c r="AA58" s="639"/>
      <c r="AB58" s="639"/>
      <c r="AC58" s="639"/>
      <c r="AD58" s="639">
        <v>4.3111111111111109</v>
      </c>
      <c r="AE58" s="639">
        <v>4.3111111111111109</v>
      </c>
      <c r="AF58" s="639">
        <v>4.3111111111111109</v>
      </c>
      <c r="AG58" s="639">
        <v>4.3111111111111109</v>
      </c>
      <c r="AH58" s="639">
        <v>4.3111111111111109</v>
      </c>
      <c r="AI58" s="639">
        <v>4.3111111111111109</v>
      </c>
      <c r="AJ58" s="639">
        <v>4.3111111111111109</v>
      </c>
      <c r="AK58" s="639">
        <v>4.3111111111111109</v>
      </c>
      <c r="AL58" s="639">
        <v>4.3111111111111109</v>
      </c>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484"/>
      <c r="BJ58" s="484"/>
      <c r="BK58" s="484"/>
      <c r="BL58" s="484"/>
      <c r="BM58" s="484"/>
      <c r="BN58" s="484"/>
      <c r="BO58" s="484"/>
      <c r="BP58" s="484"/>
      <c r="BQ58" s="484"/>
      <c r="BR58" s="622">
        <f t="shared" si="0"/>
        <v>38.799999999999997</v>
      </c>
      <c r="BS58" s="623" t="s">
        <v>404</v>
      </c>
    </row>
    <row r="59" spans="1:73" x14ac:dyDescent="0.25">
      <c r="A59" s="484">
        <v>50</v>
      </c>
      <c r="B59" s="619">
        <f>+VLOOKUP(C59,'Erection Compiled'!$C$186:$H$309,5,FALSE)</f>
        <v>45900</v>
      </c>
      <c r="C59" s="625" t="s">
        <v>737</v>
      </c>
      <c r="D59" s="620" t="str">
        <f>+VLOOKUP(C59,Foundation!$C$8:$D$495,2,FALSE)</f>
        <v>DA+9</v>
      </c>
      <c r="E59" s="622">
        <f>+VLOOKUP(C59,'Erection Compiled'!$C$7:$J$333,7,FALSE)</f>
        <v>0</v>
      </c>
      <c r="F59" s="485" t="str">
        <f>+VLOOKUP(C59,'Erection Compiled'!$C$189:$G$309,3,FALSE)</f>
        <v>Sandy</v>
      </c>
      <c r="G59" s="485">
        <f>+VLOOKUP(C59,'Erection Compiled'!$C$189:$G$309,4,FALSE)</f>
        <v>45886</v>
      </c>
      <c r="H59" s="639"/>
      <c r="I59" s="639"/>
      <c r="J59" s="639"/>
      <c r="K59" s="639"/>
      <c r="L59" s="639"/>
      <c r="M59" s="639"/>
      <c r="N59" s="639"/>
      <c r="O59" s="639"/>
      <c r="P59" s="639"/>
      <c r="Q59" s="639"/>
      <c r="R59" s="639"/>
      <c r="S59" s="639"/>
      <c r="T59" s="639"/>
      <c r="U59" s="639"/>
      <c r="V59" s="639"/>
      <c r="W59" s="639"/>
      <c r="X59" s="639">
        <v>3.1456</v>
      </c>
      <c r="Y59" s="639">
        <v>3.1456</v>
      </c>
      <c r="Z59" s="639">
        <v>3.1456</v>
      </c>
      <c r="AA59" s="639">
        <v>3.1456</v>
      </c>
      <c r="AB59" s="639">
        <v>3.1456</v>
      </c>
      <c r="AC59" s="639">
        <v>3.1456</v>
      </c>
      <c r="AD59" s="639">
        <v>3.1456</v>
      </c>
      <c r="AE59" s="639">
        <v>3.1456</v>
      </c>
      <c r="AF59" s="639">
        <v>3.1456</v>
      </c>
      <c r="AG59" s="639">
        <v>3.1456</v>
      </c>
      <c r="AH59" s="639">
        <v>3.1456</v>
      </c>
      <c r="AI59" s="639">
        <v>3.1456</v>
      </c>
      <c r="AJ59" s="639">
        <v>3.1456</v>
      </c>
      <c r="AK59" s="639">
        <v>3.1456</v>
      </c>
      <c r="AL59" s="639">
        <v>3.1456</v>
      </c>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484"/>
      <c r="BJ59" s="484"/>
      <c r="BK59" s="484"/>
      <c r="BL59" s="484"/>
      <c r="BM59" s="484"/>
      <c r="BN59" s="484"/>
      <c r="BO59" s="484"/>
      <c r="BP59" s="484"/>
      <c r="BQ59" s="484"/>
      <c r="BR59" s="622">
        <f t="shared" si="0"/>
        <v>47.184000000000012</v>
      </c>
      <c r="BS59" s="623" t="s">
        <v>404</v>
      </c>
    </row>
    <row r="60" spans="1:73" x14ac:dyDescent="0.25">
      <c r="A60" s="484">
        <v>51</v>
      </c>
      <c r="B60" s="619">
        <f>+VLOOKUP(C60,'Erection Compiled'!$C$186:$H$320,5,FALSE)</f>
        <v>45900</v>
      </c>
      <c r="C60" s="625" t="s">
        <v>458</v>
      </c>
      <c r="D60" s="620" t="str">
        <f>+VLOOKUP(C60,Foundation!$C$8:$D$495,2,FALSE)</f>
        <v>DA+0</v>
      </c>
      <c r="E60" s="622">
        <f>+VLOOKUP(C60,'Erection Compiled'!$C$7:$J$333,7,FALSE)</f>
        <v>0</v>
      </c>
      <c r="F60" s="485" t="str">
        <f>+VLOOKUP(C60,'Erection Compiled'!$C$189:$G$309,3,FALSE)</f>
        <v>DRY</v>
      </c>
      <c r="G60" s="485">
        <f>+VLOOKUP(C60,'Erection Compiled'!$C$189:$G$309,4,FALSE)</f>
        <v>45898</v>
      </c>
      <c r="H60" s="639"/>
      <c r="I60" s="639"/>
      <c r="J60" s="639"/>
      <c r="K60" s="639"/>
      <c r="L60" s="639"/>
      <c r="M60" s="639"/>
      <c r="N60" s="639"/>
      <c r="O60" s="639"/>
      <c r="P60" s="639"/>
      <c r="Q60" s="639"/>
      <c r="R60" s="639"/>
      <c r="S60" s="639"/>
      <c r="T60" s="639"/>
      <c r="U60" s="639"/>
      <c r="V60" s="639"/>
      <c r="W60" s="639"/>
      <c r="X60" s="639"/>
      <c r="Y60" s="639"/>
      <c r="Z60" s="639"/>
      <c r="AA60" s="639"/>
      <c r="AB60" s="639"/>
      <c r="AC60" s="639"/>
      <c r="AD60" s="639"/>
      <c r="AE60" s="639"/>
      <c r="AF60" s="639"/>
      <c r="AG60" s="639"/>
      <c r="AH60" s="639"/>
      <c r="AI60" s="639"/>
      <c r="AJ60" s="639">
        <v>12.501457333333335</v>
      </c>
      <c r="AK60" s="639">
        <v>12.501457333333335</v>
      </c>
      <c r="AL60" s="639">
        <v>12.501457333333335</v>
      </c>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484"/>
      <c r="BJ60" s="484"/>
      <c r="BK60" s="484"/>
      <c r="BL60" s="484"/>
      <c r="BM60" s="484"/>
      <c r="BN60" s="484"/>
      <c r="BO60" s="484"/>
      <c r="BP60" s="484"/>
      <c r="BQ60" s="484"/>
      <c r="BR60" s="622">
        <f t="shared" si="0"/>
        <v>37.504372000000004</v>
      </c>
      <c r="BS60" s="623" t="s">
        <v>404</v>
      </c>
    </row>
    <row r="61" spans="1:73" x14ac:dyDescent="0.25">
      <c r="A61" s="484">
        <v>52</v>
      </c>
      <c r="B61" s="619">
        <f>+VLOOKUP(C61,'Erection Compiled'!$C$186:$H$320,5,FALSE)</f>
        <v>45900</v>
      </c>
      <c r="C61" s="625" t="s">
        <v>679</v>
      </c>
      <c r="D61" s="620" t="str">
        <f>+VLOOKUP(C61,Foundation!$C$8:$D$495,2,FALSE)</f>
        <v>DA+9</v>
      </c>
      <c r="E61" s="622">
        <f>+VLOOKUP(C61,'Erection Compiled'!$C$7:$J$333,7,FALSE)</f>
        <v>0</v>
      </c>
      <c r="F61" s="485" t="str">
        <f>+VLOOKUP(C61,'Erection Compiled'!$C$189:$G$320,3,FALSE)</f>
        <v>Sandy</v>
      </c>
      <c r="G61" s="485">
        <f>+VLOOKUP(C61,'Erection Compiled'!$C$189:$G$320,4,FALSE)</f>
        <v>45894</v>
      </c>
      <c r="H61" s="639"/>
      <c r="I61" s="639"/>
      <c r="J61" s="639"/>
      <c r="K61" s="639"/>
      <c r="L61" s="639"/>
      <c r="M61" s="639"/>
      <c r="N61" s="639"/>
      <c r="O61" s="639"/>
      <c r="P61" s="639"/>
      <c r="Q61" s="639"/>
      <c r="R61" s="639"/>
      <c r="S61" s="639"/>
      <c r="T61" s="639"/>
      <c r="U61" s="639"/>
      <c r="V61" s="639"/>
      <c r="W61" s="639"/>
      <c r="X61" s="639"/>
      <c r="Y61" s="639"/>
      <c r="Z61" s="639"/>
      <c r="AA61" s="639"/>
      <c r="AB61" s="639"/>
      <c r="AC61" s="639"/>
      <c r="AD61" s="639"/>
      <c r="AE61" s="639"/>
      <c r="AF61" s="639">
        <v>6.7405714285714282</v>
      </c>
      <c r="AG61" s="639">
        <v>6.7405714285714282</v>
      </c>
      <c r="AH61" s="639">
        <v>6.7405714285714282</v>
      </c>
      <c r="AI61" s="639">
        <v>6.7405714285714282</v>
      </c>
      <c r="AJ61" s="639">
        <v>6.7405714285714282</v>
      </c>
      <c r="AK61" s="639">
        <v>6.7405714285714282</v>
      </c>
      <c r="AL61" s="639">
        <v>6.7405714285714282</v>
      </c>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484"/>
      <c r="BJ61" s="484"/>
      <c r="BK61" s="484"/>
      <c r="BL61" s="484"/>
      <c r="BM61" s="484"/>
      <c r="BN61" s="484"/>
      <c r="BO61" s="484"/>
      <c r="BP61" s="484"/>
      <c r="BQ61" s="484"/>
      <c r="BR61" s="622">
        <f t="shared" si="0"/>
        <v>47.183999999999997</v>
      </c>
      <c r="BS61" s="623" t="s">
        <v>404</v>
      </c>
      <c r="BU61" s="659"/>
    </row>
    <row r="62" spans="1:73" x14ac:dyDescent="0.25">
      <c r="A62" s="484">
        <v>1</v>
      </c>
      <c r="B62" s="619">
        <f>+VLOOKUP(C62,'Erection Compiled'!$C$186:$H$356,5,FALSE)</f>
        <v>45903</v>
      </c>
      <c r="C62" s="625" t="s">
        <v>494</v>
      </c>
      <c r="D62" s="620" t="str">
        <f>+VLOOKUP(C62,Foundation!$C$8:$D$495,2,FALSE)</f>
        <v>DC1+0</v>
      </c>
      <c r="E62" s="622">
        <f>+VLOOKUP(C62,'Erection Compiled'!$C$7:$J$356,7,FALSE)</f>
        <v>0</v>
      </c>
      <c r="F62" s="485" t="str">
        <f>+VLOOKUP(C62,'Erection Compiled'!$C$189:$G$356,3,FALSE)</f>
        <v>DRY</v>
      </c>
      <c r="G62" s="485">
        <f>+VLOOKUP(C62,'Erection Compiled'!$C$189:$G$356,4,FALSE)</f>
        <v>45895</v>
      </c>
      <c r="H62" s="621"/>
      <c r="I62" s="622"/>
      <c r="J62" s="621"/>
      <c r="K62" s="621"/>
      <c r="L62" s="484"/>
      <c r="M62" s="484"/>
      <c r="N62" s="484"/>
      <c r="O62" s="484"/>
      <c r="P62" s="484"/>
      <c r="Q62" s="484"/>
      <c r="R62" s="484"/>
      <c r="S62" s="484"/>
      <c r="T62" s="484"/>
      <c r="U62" s="484"/>
      <c r="V62" s="484"/>
      <c r="W62" s="484"/>
      <c r="X62" s="484"/>
      <c r="Y62" s="484"/>
      <c r="Z62" s="484"/>
      <c r="AA62" s="484"/>
      <c r="AB62" s="484"/>
      <c r="AC62" s="484"/>
      <c r="AD62" s="484"/>
      <c r="AE62" s="484"/>
      <c r="AF62" s="484"/>
      <c r="AG62" s="639">
        <v>7.3756666666666666</v>
      </c>
      <c r="AH62" s="639">
        <v>7.3756666666666666</v>
      </c>
      <c r="AI62" s="639">
        <v>7.3756666666666666</v>
      </c>
      <c r="AJ62" s="639">
        <v>7.3756666666666666</v>
      </c>
      <c r="AK62" s="639">
        <v>7.3756666666666666</v>
      </c>
      <c r="AL62" s="639">
        <v>7.3756666666666666</v>
      </c>
      <c r="AM62" s="639">
        <v>7.3756666666666666</v>
      </c>
      <c r="AN62" s="639">
        <v>7.3756666666666666</v>
      </c>
      <c r="AO62" s="639">
        <v>7.3756666666666666</v>
      </c>
      <c r="AP62" s="484"/>
      <c r="AQ62" s="484"/>
      <c r="AR62" s="484"/>
      <c r="AS62" s="484"/>
      <c r="AT62" s="484"/>
      <c r="AU62" s="484"/>
      <c r="AV62" s="484"/>
      <c r="AW62" s="484"/>
      <c r="AX62" s="484"/>
      <c r="AY62" s="484"/>
      <c r="AZ62" s="484"/>
      <c r="BA62" s="484"/>
      <c r="BB62" s="484"/>
      <c r="BC62" s="484"/>
      <c r="BD62" s="484"/>
      <c r="BE62" s="484"/>
      <c r="BF62" s="484"/>
      <c r="BG62" s="484"/>
      <c r="BH62" s="484"/>
      <c r="BI62" s="484"/>
      <c r="BJ62" s="484"/>
      <c r="BK62" s="484"/>
      <c r="BL62" s="484"/>
      <c r="BM62" s="484"/>
      <c r="BN62" s="484"/>
      <c r="BO62" s="484"/>
      <c r="BP62" s="484"/>
      <c r="BQ62" s="484"/>
      <c r="BR62" s="622">
        <f t="shared" si="0"/>
        <v>66.381</v>
      </c>
      <c r="BS62" s="623" t="s">
        <v>404</v>
      </c>
      <c r="BU62" s="659"/>
    </row>
    <row r="63" spans="1:73" x14ac:dyDescent="0.25">
      <c r="A63" s="484">
        <v>2</v>
      </c>
      <c r="B63" s="619">
        <f>+VLOOKUP(C63,'Erection Compiled'!$C$186:$H$356,5,FALSE)</f>
        <v>45903</v>
      </c>
      <c r="C63" s="625" t="s">
        <v>522</v>
      </c>
      <c r="D63" s="620" t="str">
        <f>+VLOOKUP(C63,Foundation!$C$8:$D$495,2,FALSE)</f>
        <v>DA+0</v>
      </c>
      <c r="E63" s="622">
        <f>+VLOOKUP(C63,'Erection Compiled'!$C$7:$J$356,7,FALSE)</f>
        <v>0</v>
      </c>
      <c r="F63" s="485" t="str">
        <f>+VLOOKUP(C63,'Erection Compiled'!$C$189:$G$356,3,FALSE)</f>
        <v>DRY</v>
      </c>
      <c r="G63" s="485">
        <f>+VLOOKUP(C63,'Erection Compiled'!$C$189:$G$356,4,FALSE)</f>
        <v>45895</v>
      </c>
      <c r="H63" s="621"/>
      <c r="I63" s="622"/>
      <c r="J63" s="621"/>
      <c r="K63" s="621"/>
      <c r="L63" s="484"/>
      <c r="M63" s="484"/>
      <c r="N63" s="484"/>
      <c r="O63" s="484"/>
      <c r="P63" s="484"/>
      <c r="Q63" s="484"/>
      <c r="R63" s="484"/>
      <c r="S63" s="484"/>
      <c r="T63" s="484"/>
      <c r="U63" s="484"/>
      <c r="V63" s="484"/>
      <c r="W63" s="484"/>
      <c r="X63" s="484"/>
      <c r="Y63" s="484"/>
      <c r="Z63" s="484"/>
      <c r="AA63" s="484"/>
      <c r="AB63" s="484"/>
      <c r="AC63" s="484"/>
      <c r="AD63" s="484"/>
      <c r="AE63" s="484"/>
      <c r="AF63" s="484"/>
      <c r="AG63" s="660">
        <v>4.1671524444444445</v>
      </c>
      <c r="AH63" s="660">
        <v>4.1671524444444445</v>
      </c>
      <c r="AI63" s="660">
        <v>4.1671524444444445</v>
      </c>
      <c r="AJ63" s="660">
        <v>4.1671524444444445</v>
      </c>
      <c r="AK63" s="660">
        <v>4.1671524444444445</v>
      </c>
      <c r="AL63" s="660">
        <v>4.1671524444444445</v>
      </c>
      <c r="AM63" s="660">
        <v>4.1671524444444445</v>
      </c>
      <c r="AN63" s="660">
        <v>4.1671524444444445</v>
      </c>
      <c r="AO63" s="660">
        <v>4.1671524444444445</v>
      </c>
      <c r="AP63" s="484"/>
      <c r="AQ63" s="484"/>
      <c r="AR63" s="484"/>
      <c r="AS63" s="484"/>
      <c r="AT63" s="484"/>
      <c r="AU63" s="484"/>
      <c r="AV63" s="484"/>
      <c r="AW63" s="484"/>
      <c r="AX63" s="484"/>
      <c r="AY63" s="484"/>
      <c r="AZ63" s="484"/>
      <c r="BA63" s="484"/>
      <c r="BB63" s="484"/>
      <c r="BC63" s="484"/>
      <c r="BD63" s="484"/>
      <c r="BE63" s="484"/>
      <c r="BF63" s="484"/>
      <c r="BG63" s="484"/>
      <c r="BH63" s="484"/>
      <c r="BI63" s="484"/>
      <c r="BJ63" s="484"/>
      <c r="BK63" s="484"/>
      <c r="BL63" s="484"/>
      <c r="BM63" s="484"/>
      <c r="BN63" s="484"/>
      <c r="BO63" s="484"/>
      <c r="BP63" s="484"/>
      <c r="BQ63" s="484"/>
      <c r="BR63" s="622">
        <f t="shared" si="0"/>
        <v>37.504372000000004</v>
      </c>
      <c r="BS63" s="623" t="s">
        <v>404</v>
      </c>
      <c r="BU63" s="659"/>
    </row>
    <row r="64" spans="1:73" x14ac:dyDescent="0.25">
      <c r="A64" s="484">
        <v>3</v>
      </c>
      <c r="B64" s="619">
        <f>+VLOOKUP(C64,'Erection Compiled'!$C$186:$H$356,5,FALSE)</f>
        <v>45902</v>
      </c>
      <c r="C64" s="625" t="s">
        <v>79</v>
      </c>
      <c r="D64" s="620" t="str">
        <f>+VLOOKUP(C64,Foundation!$C$8:$D$495,2,FALSE)</f>
        <v>DA+0</v>
      </c>
      <c r="E64" s="622">
        <f>+VLOOKUP(C64,'Erection Compiled'!$C$7:$J$356,7,FALSE)</f>
        <v>0</v>
      </c>
      <c r="F64" s="485" t="str">
        <f>+VLOOKUP(C64,'Erection Compiled'!$C$189:$G$356,3,FALSE)</f>
        <v>DRY</v>
      </c>
      <c r="G64" s="485">
        <f>+VLOOKUP(C64,'Erection Compiled'!$C$189:$G$356,4,FALSE)</f>
        <v>45895</v>
      </c>
      <c r="H64" s="621"/>
      <c r="I64" s="622"/>
      <c r="J64" s="621"/>
      <c r="K64" s="621"/>
      <c r="L64" s="484"/>
      <c r="M64" s="484"/>
      <c r="N64" s="484"/>
      <c r="O64" s="484"/>
      <c r="P64" s="484"/>
      <c r="Q64" s="484"/>
      <c r="R64" s="484"/>
      <c r="S64" s="484"/>
      <c r="T64" s="484"/>
      <c r="U64" s="484"/>
      <c r="V64" s="484"/>
      <c r="W64" s="484"/>
      <c r="X64" s="484"/>
      <c r="Y64" s="484"/>
      <c r="Z64" s="484"/>
      <c r="AA64" s="484"/>
      <c r="AB64" s="484"/>
      <c r="AC64" s="484"/>
      <c r="AD64" s="484"/>
      <c r="AE64" s="484"/>
      <c r="AF64" s="484"/>
      <c r="AG64" s="639">
        <v>4.6880465000000004</v>
      </c>
      <c r="AH64" s="639">
        <v>4.6880465000000004</v>
      </c>
      <c r="AI64" s="639">
        <v>4.6880465000000004</v>
      </c>
      <c r="AJ64" s="639">
        <v>4.6880465000000004</v>
      </c>
      <c r="AK64" s="639">
        <v>4.6880465000000004</v>
      </c>
      <c r="AL64" s="639">
        <v>4.6880465000000004</v>
      </c>
      <c r="AM64" s="639">
        <v>4.6880465000000004</v>
      </c>
      <c r="AN64" s="639">
        <v>4.6880465000000004</v>
      </c>
      <c r="AO64" s="484"/>
      <c r="AP64" s="484"/>
      <c r="AQ64" s="484"/>
      <c r="AR64" s="484"/>
      <c r="AS64" s="484"/>
      <c r="AT64" s="484"/>
      <c r="AU64" s="484"/>
      <c r="AV64" s="484"/>
      <c r="AW64" s="484"/>
      <c r="AX64" s="484"/>
      <c r="AY64" s="484"/>
      <c r="AZ64" s="484"/>
      <c r="BA64" s="484"/>
      <c r="BB64" s="484"/>
      <c r="BC64" s="484"/>
      <c r="BD64" s="484"/>
      <c r="BE64" s="484"/>
      <c r="BF64" s="484"/>
      <c r="BG64" s="484"/>
      <c r="BH64" s="484"/>
      <c r="BI64" s="484"/>
      <c r="BJ64" s="484"/>
      <c r="BK64" s="484"/>
      <c r="BL64" s="484"/>
      <c r="BM64" s="484"/>
      <c r="BN64" s="484"/>
      <c r="BO64" s="484"/>
      <c r="BP64" s="484"/>
      <c r="BQ64" s="484"/>
      <c r="BR64" s="622">
        <f t="shared" si="0"/>
        <v>37.504371999999996</v>
      </c>
      <c r="BS64" s="623" t="s">
        <v>404</v>
      </c>
      <c r="BU64" s="659"/>
    </row>
    <row r="65" spans="1:73" x14ac:dyDescent="0.25">
      <c r="A65" s="484">
        <v>4</v>
      </c>
      <c r="B65" s="619">
        <f>+VLOOKUP(C65,'Erection Compiled'!$C$186:$H$356,5,FALSE)</f>
        <v>45903</v>
      </c>
      <c r="C65" s="625" t="s">
        <v>63</v>
      </c>
      <c r="D65" s="620" t="str">
        <f>+VLOOKUP(C65,Foundation!$C$8:$D$495,2,FALSE)</f>
        <v>DC1+0</v>
      </c>
      <c r="E65" s="622">
        <f>+VLOOKUP(C65,'Erection Compiled'!$C$7:$J$356,7,FALSE)</f>
        <v>0</v>
      </c>
      <c r="F65" s="485" t="str">
        <f>+VLOOKUP(C65,'Erection Compiled'!$C$189:$G$356,3,FALSE)</f>
        <v>DFR</v>
      </c>
      <c r="G65" s="485">
        <f>+VLOOKUP(C65,'Erection Compiled'!$C$189:$G$356,4,FALSE)</f>
        <v>45892</v>
      </c>
      <c r="H65" s="621"/>
      <c r="I65" s="622"/>
      <c r="J65" s="621"/>
      <c r="K65" s="621"/>
      <c r="L65" s="484"/>
      <c r="M65" s="484"/>
      <c r="N65" s="484"/>
      <c r="O65" s="484"/>
      <c r="P65" s="484"/>
      <c r="Q65" s="484"/>
      <c r="R65" s="484"/>
      <c r="S65" s="484"/>
      <c r="T65" s="484"/>
      <c r="U65" s="484"/>
      <c r="V65" s="484"/>
      <c r="W65" s="484"/>
      <c r="X65" s="484"/>
      <c r="Y65" s="484"/>
      <c r="Z65" s="484"/>
      <c r="AA65" s="484"/>
      <c r="AB65" s="484"/>
      <c r="AC65" s="484"/>
      <c r="AD65" s="660">
        <v>5.5317499999999997</v>
      </c>
      <c r="AE65" s="660">
        <v>5.5317499999999997</v>
      </c>
      <c r="AF65" s="660">
        <v>5.5317499999999997</v>
      </c>
      <c r="AG65" s="660">
        <v>5.5317499999999997</v>
      </c>
      <c r="AH65" s="660">
        <v>5.5317499999999997</v>
      </c>
      <c r="AI65" s="660">
        <v>5.5317499999999997</v>
      </c>
      <c r="AJ65" s="660">
        <v>5.5317499999999997</v>
      </c>
      <c r="AK65" s="660">
        <v>5.5317499999999997</v>
      </c>
      <c r="AL65" s="660">
        <v>5.5317499999999997</v>
      </c>
      <c r="AM65" s="660">
        <v>5.5317499999999997</v>
      </c>
      <c r="AN65" s="660">
        <v>5.5317499999999997</v>
      </c>
      <c r="AO65" s="660">
        <v>5.5317499999999997</v>
      </c>
      <c r="AP65" s="484"/>
      <c r="AQ65" s="484"/>
      <c r="AR65" s="484"/>
      <c r="AS65" s="484"/>
      <c r="AT65" s="484"/>
      <c r="AU65" s="484"/>
      <c r="AV65" s="484"/>
      <c r="AW65" s="484"/>
      <c r="AX65" s="484"/>
      <c r="AY65" s="484"/>
      <c r="AZ65" s="484"/>
      <c r="BA65" s="484"/>
      <c r="BB65" s="484"/>
      <c r="BC65" s="484"/>
      <c r="BD65" s="484"/>
      <c r="BE65" s="484"/>
      <c r="BF65" s="484"/>
      <c r="BG65" s="484"/>
      <c r="BH65" s="484"/>
      <c r="BI65" s="484"/>
      <c r="BJ65" s="484"/>
      <c r="BK65" s="484"/>
      <c r="BL65" s="484"/>
      <c r="BM65" s="484"/>
      <c r="BN65" s="484"/>
      <c r="BO65" s="484"/>
      <c r="BP65" s="484"/>
      <c r="BQ65" s="484"/>
      <c r="BR65" s="622">
        <f t="shared" si="0"/>
        <v>66.381000000000014</v>
      </c>
      <c r="BS65" s="623" t="s">
        <v>404</v>
      </c>
      <c r="BU65" s="659"/>
    </row>
    <row r="66" spans="1:73" x14ac:dyDescent="0.25">
      <c r="A66" s="484">
        <v>5</v>
      </c>
      <c r="B66" s="619">
        <f>+VLOOKUP(C66,'Erection Compiled'!$C$186:$H$356,5,FALSE)</f>
        <v>45903</v>
      </c>
      <c r="C66" s="625" t="s">
        <v>570</v>
      </c>
      <c r="D66" s="620" t="str">
        <f>+VLOOKUP(C66,Foundation!$C$8:$D$495,2,FALSE)</f>
        <v>DA+3</v>
      </c>
      <c r="E66" s="622">
        <f>+VLOOKUP(C66,'Erection Compiled'!$C$7:$J$356,7,FALSE)</f>
        <v>0</v>
      </c>
      <c r="F66" s="485" t="str">
        <f>+VLOOKUP(C66,'Erection Compiled'!$C$189:$G$356,3,FALSE)</f>
        <v>DRY</v>
      </c>
      <c r="G66" s="485">
        <f>+VLOOKUP(C66,'Erection Compiled'!$C$189:$G$356,4,FALSE)</f>
        <v>45898</v>
      </c>
      <c r="H66" s="621"/>
      <c r="I66" s="622"/>
      <c r="J66" s="621"/>
      <c r="K66" s="621"/>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639">
        <v>9.1</v>
      </c>
      <c r="AK66" s="639">
        <v>10.1</v>
      </c>
      <c r="AL66" s="639">
        <v>9.1</v>
      </c>
      <c r="AM66" s="639"/>
      <c r="AN66" s="639"/>
      <c r="AO66" s="639">
        <v>10.5</v>
      </c>
      <c r="AP66" s="484"/>
      <c r="AQ66" s="484"/>
      <c r="AR66" s="484"/>
      <c r="AS66" s="484"/>
      <c r="AT66" s="484"/>
      <c r="AU66" s="484"/>
      <c r="AV66" s="484"/>
      <c r="AW66" s="484"/>
      <c r="AX66" s="484"/>
      <c r="AY66" s="484"/>
      <c r="AZ66" s="484"/>
      <c r="BA66" s="484"/>
      <c r="BB66" s="484"/>
      <c r="BC66" s="484"/>
      <c r="BD66" s="484"/>
      <c r="BE66" s="484"/>
      <c r="BF66" s="484"/>
      <c r="BG66" s="484"/>
      <c r="BH66" s="484"/>
      <c r="BI66" s="484"/>
      <c r="BJ66" s="484"/>
      <c r="BK66" s="484"/>
      <c r="BL66" s="484"/>
      <c r="BM66" s="484"/>
      <c r="BN66" s="484"/>
      <c r="BO66" s="484"/>
      <c r="BP66" s="484"/>
      <c r="BQ66" s="484"/>
      <c r="BR66" s="622">
        <f t="shared" si="0"/>
        <v>38.799999999999997</v>
      </c>
      <c r="BS66" s="623" t="s">
        <v>404</v>
      </c>
      <c r="BU66" s="659"/>
    </row>
    <row r="67" spans="1:73" x14ac:dyDescent="0.25">
      <c r="A67" s="484">
        <v>6</v>
      </c>
      <c r="B67" s="619">
        <f>+VLOOKUP(C67,'Erection Compiled'!$C$186:$H$356,5,FALSE)</f>
        <v>45904</v>
      </c>
      <c r="C67" s="625" t="s">
        <v>463</v>
      </c>
      <c r="D67" s="620" t="str">
        <f>+VLOOKUP(C67,Foundation!$C$8:$D$495,2,FALSE)</f>
        <v>DA+3</v>
      </c>
      <c r="E67" s="622">
        <f>+VLOOKUP(C67,'Erection Compiled'!$C$7:$J$356,7,FALSE)</f>
        <v>0</v>
      </c>
      <c r="F67" s="485" t="str">
        <f>+VLOOKUP(C67,'Erection Compiled'!$C$189:$G$356,3,FALSE)</f>
        <v>DRY</v>
      </c>
      <c r="G67" s="485">
        <f>+VLOOKUP(C67,'Erection Compiled'!$C$189:$G$356,4,FALSE)</f>
        <v>45898</v>
      </c>
      <c r="H67" s="621"/>
      <c r="I67" s="622"/>
      <c r="J67" s="621"/>
      <c r="K67" s="621"/>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639">
        <v>5.5428571428571427</v>
      </c>
      <c r="AK67" s="639">
        <v>5.5428571428571427</v>
      </c>
      <c r="AL67" s="639">
        <v>5.5428571428571427</v>
      </c>
      <c r="AM67" s="639">
        <v>5.5428571428571427</v>
      </c>
      <c r="AN67" s="639">
        <v>5.5428571428571427</v>
      </c>
      <c r="AO67" s="639">
        <v>5.5428571428571427</v>
      </c>
      <c r="AP67" s="639">
        <v>5.5428571428571427</v>
      </c>
      <c r="AQ67" s="484"/>
      <c r="AR67" s="484"/>
      <c r="AS67" s="484"/>
      <c r="AT67" s="484"/>
      <c r="AU67" s="484"/>
      <c r="AV67" s="484"/>
      <c r="AW67" s="484"/>
      <c r="AX67" s="484"/>
      <c r="AY67" s="484"/>
      <c r="AZ67" s="484"/>
      <c r="BA67" s="484"/>
      <c r="BB67" s="484"/>
      <c r="BC67" s="484"/>
      <c r="BD67" s="484"/>
      <c r="BE67" s="484"/>
      <c r="BF67" s="484"/>
      <c r="BG67" s="484"/>
      <c r="BH67" s="484"/>
      <c r="BI67" s="484"/>
      <c r="BJ67" s="484"/>
      <c r="BK67" s="484"/>
      <c r="BL67" s="484"/>
      <c r="BM67" s="484"/>
      <c r="BN67" s="484"/>
      <c r="BO67" s="484"/>
      <c r="BP67" s="484"/>
      <c r="BQ67" s="484"/>
      <c r="BR67" s="622">
        <f t="shared" si="0"/>
        <v>38.800000000000004</v>
      </c>
      <c r="BS67" s="623" t="s">
        <v>404</v>
      </c>
      <c r="BT67" s="659"/>
      <c r="BU67" s="659"/>
    </row>
    <row r="68" spans="1:73" x14ac:dyDescent="0.25">
      <c r="A68" s="484">
        <v>7</v>
      </c>
      <c r="B68" s="619">
        <f>+VLOOKUP(C68,'Erection Compiled'!$C$186:$H$356,5,FALSE)</f>
        <v>45905</v>
      </c>
      <c r="C68" s="625" t="s">
        <v>49</v>
      </c>
      <c r="D68" s="620" t="str">
        <f>+VLOOKUP(C68,Foundation!$C$8:$D$495,2,FALSE)</f>
        <v>DB2+0</v>
      </c>
      <c r="E68" s="622">
        <f>+VLOOKUP(C68,'Erection Compiled'!$C$7:$J$356,7,FALSE)</f>
        <v>0</v>
      </c>
      <c r="F68" s="485" t="str">
        <f>+VLOOKUP(C68,'Erection Compiled'!$C$189:$G$356,3,FALSE)</f>
        <v>DRY</v>
      </c>
      <c r="G68" s="485">
        <f>+VLOOKUP(C68,'Erection Compiled'!$C$189:$G$356,4,FALSE)</f>
        <v>45902</v>
      </c>
      <c r="H68" s="621"/>
      <c r="I68" s="622"/>
      <c r="J68" s="621"/>
      <c r="K68" s="621"/>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639"/>
      <c r="AK68" s="639"/>
      <c r="AL68" s="639"/>
      <c r="AM68" s="639"/>
      <c r="AN68" s="639">
        <v>14.399310249999999</v>
      </c>
      <c r="AO68" s="639">
        <v>14.399310249999999</v>
      </c>
      <c r="AP68" s="639">
        <v>14.399310249999999</v>
      </c>
      <c r="AQ68" s="639">
        <v>14.399310249999999</v>
      </c>
      <c r="AR68" s="484"/>
      <c r="AS68" s="484"/>
      <c r="AT68" s="484"/>
      <c r="AU68" s="484"/>
      <c r="AV68" s="484"/>
      <c r="AW68" s="484"/>
      <c r="AX68" s="484"/>
      <c r="AY68" s="484"/>
      <c r="AZ68" s="484"/>
      <c r="BA68" s="484"/>
      <c r="BB68" s="484"/>
      <c r="BC68" s="484"/>
      <c r="BD68" s="484"/>
      <c r="BE68" s="484"/>
      <c r="BF68" s="484"/>
      <c r="BG68" s="484"/>
      <c r="BH68" s="484"/>
      <c r="BI68" s="484"/>
      <c r="BJ68" s="484"/>
      <c r="BK68" s="484"/>
      <c r="BL68" s="484"/>
      <c r="BM68" s="484"/>
      <c r="BN68" s="484"/>
      <c r="BO68" s="484"/>
      <c r="BP68" s="484"/>
      <c r="BQ68" s="484"/>
      <c r="BR68" s="622">
        <f t="shared" si="0"/>
        <v>57.597240999999997</v>
      </c>
      <c r="BS68" s="623" t="s">
        <v>404</v>
      </c>
      <c r="BT68" s="659"/>
      <c r="BU68" s="659"/>
    </row>
    <row r="69" spans="1:73" x14ac:dyDescent="0.25">
      <c r="A69" s="484">
        <v>8</v>
      </c>
      <c r="B69" s="619">
        <f>+VLOOKUP(C69,'Erection Compiled'!$C$186:$H$356,5,FALSE)</f>
        <v>45906</v>
      </c>
      <c r="C69" s="625" t="s">
        <v>87</v>
      </c>
      <c r="D69" s="620" t="str">
        <f>+VLOOKUP(C69,Foundation!$C$8:$D$495,2,FALSE)</f>
        <v>DA+0</v>
      </c>
      <c r="E69" s="622">
        <f>+VLOOKUP(C69,'Erection Compiled'!$C$7:$J$356,7,FALSE)</f>
        <v>0</v>
      </c>
      <c r="F69" s="485" t="str">
        <f>+VLOOKUP(C69,'Erection Compiled'!$C$189:$G$356,3,FALSE)</f>
        <v>Sandy</v>
      </c>
      <c r="G69" s="485">
        <f>+VLOOKUP(C69,'Erection Compiled'!$C$189:$G$356,4,FALSE)</f>
        <v>45899</v>
      </c>
      <c r="H69" s="621"/>
      <c r="I69" s="622"/>
      <c r="J69" s="621"/>
      <c r="K69" s="621"/>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639"/>
      <c r="AK69" s="639"/>
      <c r="AL69" s="639"/>
      <c r="AM69" s="639">
        <v>4.6880465000000004</v>
      </c>
      <c r="AN69" s="639">
        <v>4.6880465000000004</v>
      </c>
      <c r="AO69" s="639">
        <v>4.6880465000000004</v>
      </c>
      <c r="AP69" s="639">
        <v>4.6880465000000004</v>
      </c>
      <c r="AQ69" s="639">
        <v>4.6880465000000004</v>
      </c>
      <c r="AR69" s="639">
        <v>4.6880465000000004</v>
      </c>
      <c r="AS69" s="639">
        <v>4.6880465000000004</v>
      </c>
      <c r="AT69" s="639">
        <v>4.6880465000000004</v>
      </c>
      <c r="AU69" s="484"/>
      <c r="AV69" s="484"/>
      <c r="AW69" s="484"/>
      <c r="AX69" s="484"/>
      <c r="AY69" s="484"/>
      <c r="AZ69" s="484"/>
      <c r="BA69" s="484"/>
      <c r="BB69" s="484"/>
      <c r="BC69" s="484"/>
      <c r="BD69" s="484"/>
      <c r="BE69" s="484"/>
      <c r="BF69" s="484"/>
      <c r="BG69" s="484"/>
      <c r="BH69" s="484"/>
      <c r="BI69" s="484"/>
      <c r="BJ69" s="484"/>
      <c r="BK69" s="484"/>
      <c r="BL69" s="484"/>
      <c r="BM69" s="484"/>
      <c r="BN69" s="484"/>
      <c r="BO69" s="484"/>
      <c r="BP69" s="484"/>
      <c r="BQ69" s="484"/>
      <c r="BR69" s="622">
        <f t="shared" si="0"/>
        <v>37.504371999999996</v>
      </c>
      <c r="BS69" s="623" t="s">
        <v>404</v>
      </c>
      <c r="BT69" s="659"/>
      <c r="BU69" s="659"/>
    </row>
    <row r="70" spans="1:73" s="676" customFormat="1" x14ac:dyDescent="0.25">
      <c r="A70" s="668">
        <v>9</v>
      </c>
      <c r="B70" s="669">
        <f>+VLOOKUP(C70,'Erection Compiled'!$C$186:$H$356,5,FALSE)</f>
        <v>45906</v>
      </c>
      <c r="C70" s="670" t="s">
        <v>685</v>
      </c>
      <c r="D70" s="671" t="str">
        <f>+VLOOKUP(C70,Foundation!$C$8:$D$495,2,FALSE)</f>
        <v>DA+3</v>
      </c>
      <c r="E70" s="622">
        <f>+VLOOKUP(C70,'Erection Compiled'!$C$7:$J$356,7,FALSE)</f>
        <v>0</v>
      </c>
      <c r="F70" s="673" t="str">
        <f>+VLOOKUP(C70,'Erection Compiled'!$C$189:$G$356,3,FALSE)</f>
        <v>Sandy</v>
      </c>
      <c r="G70" s="673">
        <f>+VLOOKUP(C70,'Erection Compiled'!$C$189:$G$356,4,FALSE)</f>
        <v>45891</v>
      </c>
      <c r="H70" s="674"/>
      <c r="I70" s="672"/>
      <c r="J70" s="674"/>
      <c r="K70" s="674"/>
      <c r="L70" s="668"/>
      <c r="M70" s="668"/>
      <c r="N70" s="668"/>
      <c r="O70" s="668"/>
      <c r="P70" s="668"/>
      <c r="Q70" s="668"/>
      <c r="R70" s="668"/>
      <c r="S70" s="668"/>
      <c r="T70" s="668"/>
      <c r="U70" s="668"/>
      <c r="V70" s="668"/>
      <c r="W70" s="668"/>
      <c r="X70" s="668"/>
      <c r="Y70" s="668"/>
      <c r="Z70" s="668"/>
      <c r="AA70" s="668"/>
      <c r="AB70" s="668"/>
      <c r="AC70" s="668">
        <v>3.5</v>
      </c>
      <c r="AD70" s="672">
        <v>2.2999999999999998</v>
      </c>
      <c r="AE70" s="672">
        <v>2.2999999999999998</v>
      </c>
      <c r="AF70" s="672">
        <v>2.2999999999999998</v>
      </c>
      <c r="AG70" s="672">
        <v>2.2999999999999998</v>
      </c>
      <c r="AH70" s="672">
        <v>2.2999999999999998</v>
      </c>
      <c r="AI70" s="672">
        <v>2.2999999999999998</v>
      </c>
      <c r="AJ70" s="672">
        <v>2.2999999999999998</v>
      </c>
      <c r="AK70" s="672">
        <v>2.2999999999999998</v>
      </c>
      <c r="AL70" s="672">
        <v>2.2999999999999998</v>
      </c>
      <c r="AM70" s="672">
        <v>2.2999999999999998</v>
      </c>
      <c r="AN70" s="672">
        <v>2.2999999999999998</v>
      </c>
      <c r="AO70" s="672">
        <v>2.2999999999999998</v>
      </c>
      <c r="AP70" s="672">
        <v>2.2999999999999998</v>
      </c>
      <c r="AQ70" s="672">
        <f>2.3+0.85</f>
        <v>3.15</v>
      </c>
      <c r="AR70" s="672">
        <v>2.2999999999999998</v>
      </c>
      <c r="AS70" s="672"/>
      <c r="AT70" s="672"/>
      <c r="AU70" s="672"/>
      <c r="AV70" s="672"/>
      <c r="AW70" s="672"/>
      <c r="AX70" s="672"/>
      <c r="AY70" s="672"/>
      <c r="AZ70" s="672"/>
      <c r="BA70" s="672"/>
      <c r="BB70" s="668"/>
      <c r="BC70" s="668"/>
      <c r="BD70" s="668"/>
      <c r="BE70" s="668"/>
      <c r="BF70" s="668"/>
      <c r="BG70" s="668"/>
      <c r="BH70" s="668"/>
      <c r="BI70" s="668"/>
      <c r="BJ70" s="668"/>
      <c r="BK70" s="668"/>
      <c r="BL70" s="668"/>
      <c r="BM70" s="668"/>
      <c r="BN70" s="668"/>
      <c r="BO70" s="668"/>
      <c r="BP70" s="668"/>
      <c r="BQ70" s="668"/>
      <c r="BR70" s="672">
        <f t="shared" si="0"/>
        <v>38.85</v>
      </c>
      <c r="BS70" s="675" t="s">
        <v>404</v>
      </c>
      <c r="BT70" s="677"/>
      <c r="BU70" s="677"/>
    </row>
    <row r="71" spans="1:73" x14ac:dyDescent="0.25">
      <c r="A71" s="484">
        <v>10</v>
      </c>
      <c r="B71" s="619">
        <f>+VLOOKUP(C71,'Erection Compiled'!$C$186:$H$356,5,FALSE)</f>
        <v>45906</v>
      </c>
      <c r="C71" s="625" t="s">
        <v>736</v>
      </c>
      <c r="D71" s="620" t="str">
        <f>+VLOOKUP(C71,Foundation!$C$8:$D$495,2,FALSE)</f>
        <v>DA+9</v>
      </c>
      <c r="E71" s="622">
        <f>+VLOOKUP(C71,'Erection Compiled'!$C$7:$J$356,7,FALSE)</f>
        <v>0</v>
      </c>
      <c r="F71" s="485" t="str">
        <f>+VLOOKUP(C71,'Erection Compiled'!$C$189:$G$356,3,FALSE)</f>
        <v>Sandy</v>
      </c>
      <c r="G71" s="485">
        <f>+VLOOKUP(C71,'Erection Compiled'!$C$189:$G$356,4,FALSE)</f>
        <v>45901</v>
      </c>
      <c r="H71" s="621"/>
      <c r="I71" s="622"/>
      <c r="J71" s="621"/>
      <c r="K71" s="621"/>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639"/>
      <c r="AK71" s="639"/>
      <c r="AL71" s="622"/>
      <c r="AM71" s="622">
        <v>7.8640583333333334</v>
      </c>
      <c r="AN71" s="622">
        <v>7.8640583333333334</v>
      </c>
      <c r="AO71" s="622">
        <v>7.8640583333333334</v>
      </c>
      <c r="AP71" s="622">
        <v>7.8640583333333334</v>
      </c>
      <c r="AQ71" s="622">
        <v>7.8640583333333334</v>
      </c>
      <c r="AR71" s="622">
        <v>7.8640583333333334</v>
      </c>
      <c r="AS71" s="622"/>
      <c r="AT71" s="622"/>
      <c r="AU71" s="622"/>
      <c r="AV71" s="622"/>
      <c r="AW71" s="622"/>
      <c r="AX71" s="622"/>
      <c r="AY71" s="622"/>
      <c r="AZ71" s="622"/>
      <c r="BA71" s="622"/>
      <c r="BB71" s="484"/>
      <c r="BC71" s="484"/>
      <c r="BD71" s="484"/>
      <c r="BE71" s="484"/>
      <c r="BF71" s="484"/>
      <c r="BG71" s="484"/>
      <c r="BH71" s="484"/>
      <c r="BI71" s="484"/>
      <c r="BJ71" s="484"/>
      <c r="BK71" s="484"/>
      <c r="BL71" s="484"/>
      <c r="BM71" s="484"/>
      <c r="BN71" s="484"/>
      <c r="BO71" s="484"/>
      <c r="BP71" s="484"/>
      <c r="BQ71" s="484"/>
      <c r="BR71" s="622">
        <f t="shared" si="0"/>
        <v>47.184350000000002</v>
      </c>
      <c r="BS71" s="623" t="s">
        <v>404</v>
      </c>
      <c r="BT71" s="659"/>
      <c r="BU71" s="659"/>
    </row>
    <row r="72" spans="1:73" s="676" customFormat="1" x14ac:dyDescent="0.25">
      <c r="A72" s="668">
        <v>11</v>
      </c>
      <c r="B72" s="669">
        <f>+VLOOKUP(C72,'Erection Compiled'!$C$186:$H$356,5,FALSE)</f>
        <v>45906</v>
      </c>
      <c r="C72" s="670" t="s">
        <v>36</v>
      </c>
      <c r="D72" s="671" t="str">
        <f>+VLOOKUP(C72,Foundation!$C$8:$D$495,2,FALSE)</f>
        <v>DB1+0</v>
      </c>
      <c r="E72" s="622">
        <f>+VLOOKUP(C72,'Erection Compiled'!$C$7:$J$356,7,FALSE)</f>
        <v>0</v>
      </c>
      <c r="F72" s="673" t="str">
        <f>+VLOOKUP(C72,'Erection Compiled'!$C$189:$G$356,3,FALSE)</f>
        <v>DFR</v>
      </c>
      <c r="G72" s="673">
        <f>+VLOOKUP(C72,'Erection Compiled'!$C$189:$G$356,4,FALSE)</f>
        <v>45895</v>
      </c>
      <c r="H72" s="674"/>
      <c r="I72" s="672"/>
      <c r="J72" s="674"/>
      <c r="K72" s="674"/>
      <c r="L72" s="668"/>
      <c r="M72" s="668"/>
      <c r="N72" s="668"/>
      <c r="O72" s="668"/>
      <c r="P72" s="668"/>
      <c r="Q72" s="668"/>
      <c r="R72" s="668"/>
      <c r="S72" s="668"/>
      <c r="T72" s="668"/>
      <c r="U72" s="668"/>
      <c r="V72" s="668"/>
      <c r="W72" s="668"/>
      <c r="X72" s="668"/>
      <c r="Y72" s="668"/>
      <c r="Z72" s="668"/>
      <c r="AA72" s="668"/>
      <c r="AB72" s="668"/>
      <c r="AC72" s="668"/>
      <c r="AD72" s="668"/>
      <c r="AE72" s="668"/>
      <c r="AF72" s="668"/>
      <c r="AG72" s="672">
        <v>4.7997700833333328</v>
      </c>
      <c r="AH72" s="672">
        <v>4.7997700833333328</v>
      </c>
      <c r="AI72" s="672">
        <v>4.7997700833333328</v>
      </c>
      <c r="AJ72" s="672">
        <v>4.7997700833333328</v>
      </c>
      <c r="AK72" s="672">
        <v>4.7997700833333328</v>
      </c>
      <c r="AL72" s="672">
        <v>4.7997700833333328</v>
      </c>
      <c r="AM72" s="672">
        <v>4.7997700833333328</v>
      </c>
      <c r="AN72" s="672">
        <v>4.7997700833333328</v>
      </c>
      <c r="AO72" s="672">
        <v>4.7997700833333328</v>
      </c>
      <c r="AP72" s="672">
        <v>4.7997700833333328</v>
      </c>
      <c r="AQ72" s="672">
        <v>4.7997700833333328</v>
      </c>
      <c r="AR72" s="672">
        <v>4.7997700833333328</v>
      </c>
      <c r="AS72" s="672"/>
      <c r="AT72" s="672"/>
      <c r="AU72" s="672"/>
      <c r="AV72" s="672"/>
      <c r="AW72" s="672"/>
      <c r="AX72" s="672"/>
      <c r="AY72" s="672"/>
      <c r="AZ72" s="672"/>
      <c r="BA72" s="672"/>
      <c r="BB72" s="668"/>
      <c r="BC72" s="668"/>
      <c r="BD72" s="668"/>
      <c r="BE72" s="668"/>
      <c r="BF72" s="668"/>
      <c r="BG72" s="668"/>
      <c r="BH72" s="668"/>
      <c r="BI72" s="668"/>
      <c r="BJ72" s="668"/>
      <c r="BK72" s="668"/>
      <c r="BL72" s="668"/>
      <c r="BM72" s="668"/>
      <c r="BN72" s="668"/>
      <c r="BO72" s="668"/>
      <c r="BP72" s="668"/>
      <c r="BQ72" s="668"/>
      <c r="BR72" s="672">
        <f t="shared" si="0"/>
        <v>57.597241000000004</v>
      </c>
      <c r="BS72" s="675" t="s">
        <v>404</v>
      </c>
      <c r="BT72" s="677"/>
      <c r="BU72" s="677"/>
    </row>
    <row r="73" spans="1:73" x14ac:dyDescent="0.25">
      <c r="A73" s="484">
        <v>12</v>
      </c>
      <c r="B73" s="619">
        <f>+VLOOKUP(C73,'Erection Compiled'!$C$186:$H$356,5,FALSE)</f>
        <v>45907</v>
      </c>
      <c r="C73" s="625" t="s">
        <v>680</v>
      </c>
      <c r="D73" s="620" t="str">
        <f>+VLOOKUP(C73,Foundation!$C$8:$D$495,2,FALSE)</f>
        <v>DA+3</v>
      </c>
      <c r="E73" s="622">
        <f>+VLOOKUP(C73,'Erection Compiled'!$C$7:$J$356,7,FALSE)</f>
        <v>0</v>
      </c>
      <c r="F73" s="485" t="str">
        <f>+VLOOKUP(C73,'Erection Compiled'!$C$189:$G$356,3,FALSE)</f>
        <v>Sandy</v>
      </c>
      <c r="G73" s="485">
        <f>+VLOOKUP(C73,'Erection Compiled'!$C$189:$G$356,4,FALSE)</f>
        <v>45901</v>
      </c>
      <c r="H73" s="621"/>
      <c r="I73" s="622"/>
      <c r="J73" s="621"/>
      <c r="K73" s="621"/>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639"/>
      <c r="AK73" s="639"/>
      <c r="AL73" s="622"/>
      <c r="AM73" s="622">
        <v>5.5496579999999991</v>
      </c>
      <c r="AN73" s="622">
        <v>5.5496579999999991</v>
      </c>
      <c r="AO73" s="622">
        <v>5.5496579999999991</v>
      </c>
      <c r="AP73" s="622">
        <v>5.5496579999999991</v>
      </c>
      <c r="AQ73" s="622">
        <v>5.5496579999999991</v>
      </c>
      <c r="AR73" s="622">
        <v>5.5496579999999991</v>
      </c>
      <c r="AS73" s="622">
        <v>5.5496579999999991</v>
      </c>
      <c r="AT73" s="622"/>
      <c r="AU73" s="622"/>
      <c r="AV73" s="622"/>
      <c r="AW73" s="622"/>
      <c r="AX73" s="622"/>
      <c r="AY73" s="622"/>
      <c r="AZ73" s="622"/>
      <c r="BA73" s="622"/>
      <c r="BB73" s="484"/>
      <c r="BC73" s="484"/>
      <c r="BD73" s="484"/>
      <c r="BE73" s="484"/>
      <c r="BF73" s="484"/>
      <c r="BG73" s="484"/>
      <c r="BH73" s="484"/>
      <c r="BI73" s="484"/>
      <c r="BJ73" s="484"/>
      <c r="BK73" s="484"/>
      <c r="BL73" s="484"/>
      <c r="BM73" s="484"/>
      <c r="BN73" s="484"/>
      <c r="BO73" s="484"/>
      <c r="BP73" s="484"/>
      <c r="BQ73" s="484"/>
      <c r="BR73" s="622">
        <f t="shared" si="0"/>
        <v>38.847605999999999</v>
      </c>
      <c r="BS73" s="623" t="s">
        <v>404</v>
      </c>
      <c r="BT73" s="659"/>
      <c r="BU73" s="659"/>
    </row>
    <row r="74" spans="1:73" x14ac:dyDescent="0.25">
      <c r="A74" s="484">
        <v>13</v>
      </c>
      <c r="B74" s="619">
        <f>+VLOOKUP(C74,'Erection Compiled'!$C$186:$H$356,5,FALSE)</f>
        <v>45907</v>
      </c>
      <c r="C74" s="625" t="s">
        <v>521</v>
      </c>
      <c r="D74" s="620" t="str">
        <f>+VLOOKUP(C74,Foundation!$C$8:$D$495,2,FALSE)</f>
        <v>DA+0</v>
      </c>
      <c r="E74" s="622">
        <f>+VLOOKUP(C74,'Erection Compiled'!$C$7:$J$356,7,FALSE)</f>
        <v>0</v>
      </c>
      <c r="F74" s="485" t="str">
        <f>+VLOOKUP(C74,'Erection Compiled'!$C$189:$G$356,3,FALSE)</f>
        <v>DRY</v>
      </c>
      <c r="G74" s="485">
        <f>+VLOOKUP(C74,'Erection Compiled'!$C$189:$G$356,4,FALSE)</f>
        <v>45902</v>
      </c>
      <c r="H74" s="621"/>
      <c r="I74" s="622"/>
      <c r="J74" s="621"/>
      <c r="K74" s="621"/>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639"/>
      <c r="AK74" s="639"/>
      <c r="AL74" s="622"/>
      <c r="AM74" s="622"/>
      <c r="AN74" s="622">
        <v>6.2507286666666673</v>
      </c>
      <c r="AO74" s="622">
        <v>6.2507286666666673</v>
      </c>
      <c r="AP74" s="622">
        <v>6.2507286666666673</v>
      </c>
      <c r="AQ74" s="622">
        <v>6.2507286666666673</v>
      </c>
      <c r="AR74" s="622">
        <v>6.2507286666666673</v>
      </c>
      <c r="AS74" s="622">
        <v>6.2507286666666673</v>
      </c>
      <c r="AT74" s="622"/>
      <c r="AU74" s="622"/>
      <c r="AV74" s="622"/>
      <c r="AW74" s="622"/>
      <c r="AX74" s="622"/>
      <c r="AY74" s="622"/>
      <c r="AZ74" s="622"/>
      <c r="BA74" s="622"/>
      <c r="BB74" s="484"/>
      <c r="BC74" s="484"/>
      <c r="BD74" s="484"/>
      <c r="BE74" s="484"/>
      <c r="BF74" s="484"/>
      <c r="BG74" s="484"/>
      <c r="BH74" s="484"/>
      <c r="BI74" s="484"/>
      <c r="BJ74" s="484"/>
      <c r="BK74" s="484"/>
      <c r="BL74" s="484"/>
      <c r="BM74" s="484"/>
      <c r="BN74" s="484"/>
      <c r="BO74" s="484"/>
      <c r="BP74" s="484"/>
      <c r="BQ74" s="484"/>
      <c r="BR74" s="622">
        <f t="shared" si="0"/>
        <v>37.504372000000004</v>
      </c>
      <c r="BS74" s="623" t="s">
        <v>404</v>
      </c>
      <c r="BT74" s="659"/>
      <c r="BU74" s="659"/>
    </row>
    <row r="75" spans="1:73" x14ac:dyDescent="0.25">
      <c r="A75" s="484">
        <v>14</v>
      </c>
      <c r="B75" s="619">
        <f>+VLOOKUP(C75,'Erection Compiled'!$C$186:$H$356,5,FALSE)</f>
        <v>45907</v>
      </c>
      <c r="C75" s="625" t="s">
        <v>33</v>
      </c>
      <c r="D75" s="620" t="str">
        <f>+VLOOKUP(C75,Foundation!$C$8:$D$495,2,FALSE)</f>
        <v>DD45+3</v>
      </c>
      <c r="E75" s="622">
        <f>+VLOOKUP(C75,'Erection Compiled'!$C$7:$J$356,7,FALSE)</f>
        <v>0</v>
      </c>
      <c r="F75" s="485" t="str">
        <f>+VLOOKUP(C75,'Erection Compiled'!$C$189:$G$356,3,FALSE)</f>
        <v>DRY</v>
      </c>
      <c r="G75" s="485">
        <f>+VLOOKUP(C75,'Erection Compiled'!$C$189:$G$356,4,FALSE)</f>
        <v>45895</v>
      </c>
      <c r="H75" s="621"/>
      <c r="I75" s="622"/>
      <c r="J75" s="621"/>
      <c r="K75" s="621"/>
      <c r="L75" s="484"/>
      <c r="M75" s="484"/>
      <c r="N75" s="484"/>
      <c r="O75" s="484"/>
      <c r="P75" s="484"/>
      <c r="Q75" s="484"/>
      <c r="R75" s="484"/>
      <c r="S75" s="484"/>
      <c r="T75" s="484"/>
      <c r="U75" s="484"/>
      <c r="V75" s="484"/>
      <c r="W75" s="484"/>
      <c r="X75" s="484"/>
      <c r="Y75" s="484"/>
      <c r="Z75" s="484"/>
      <c r="AA75" s="484"/>
      <c r="AB75" s="484"/>
      <c r="AC75" s="484"/>
      <c r="AD75" s="484"/>
      <c r="AE75" s="484"/>
      <c r="AF75" s="484"/>
      <c r="AG75" s="622">
        <v>6.9161250000000001</v>
      </c>
      <c r="AH75" s="622">
        <v>6.9161250000000001</v>
      </c>
      <c r="AI75" s="622">
        <v>6.9161250000000001</v>
      </c>
      <c r="AJ75" s="622">
        <v>6.9161250000000001</v>
      </c>
      <c r="AK75" s="622">
        <v>6.9161250000000001</v>
      </c>
      <c r="AL75" s="622">
        <v>6.9161250000000001</v>
      </c>
      <c r="AM75" s="622">
        <v>6.9161250000000001</v>
      </c>
      <c r="AN75" s="622">
        <v>6.9161250000000001</v>
      </c>
      <c r="AO75" s="622">
        <v>6.9161250000000001</v>
      </c>
      <c r="AP75" s="622">
        <v>6.9161250000000001</v>
      </c>
      <c r="AQ75" s="622">
        <v>6.9161250000000001</v>
      </c>
      <c r="AR75" s="622">
        <v>6.9161250000000001</v>
      </c>
      <c r="AS75" s="622">
        <v>6.9161250000000001</v>
      </c>
      <c r="AT75" s="622"/>
      <c r="AU75" s="622"/>
      <c r="AV75" s="622"/>
      <c r="AW75" s="622"/>
      <c r="AX75" s="622"/>
      <c r="AY75" s="622"/>
      <c r="AZ75" s="622"/>
      <c r="BA75" s="622"/>
      <c r="BB75" s="484"/>
      <c r="BC75" s="484"/>
      <c r="BD75" s="484"/>
      <c r="BE75" s="484"/>
      <c r="BF75" s="484"/>
      <c r="BG75" s="484"/>
      <c r="BH75" s="484"/>
      <c r="BI75" s="484"/>
      <c r="BJ75" s="484"/>
      <c r="BK75" s="484"/>
      <c r="BL75" s="484"/>
      <c r="BM75" s="484"/>
      <c r="BN75" s="484"/>
      <c r="BO75" s="484"/>
      <c r="BP75" s="484"/>
      <c r="BQ75" s="484"/>
      <c r="BR75" s="622">
        <f t="shared" ref="BR75:BR99" si="1">+SUM(H75:BQ75)</f>
        <v>89.909624999999977</v>
      </c>
      <c r="BS75" s="623" t="s">
        <v>404</v>
      </c>
      <c r="BT75" s="659"/>
      <c r="BU75" s="659"/>
    </row>
    <row r="76" spans="1:73" x14ac:dyDescent="0.25">
      <c r="A76" s="484">
        <v>15</v>
      </c>
      <c r="B76" s="619">
        <f>+VLOOKUP(C76,'Erection Compiled'!$C$186:$H$356,5,FALSE)</f>
        <v>45909</v>
      </c>
      <c r="C76" s="625" t="s">
        <v>450</v>
      </c>
      <c r="D76" s="620" t="str">
        <f>+VLOOKUP(C76,Foundation!$C$8:$D$495,2,FALSE)</f>
        <v>DA+3</v>
      </c>
      <c r="E76" s="622">
        <f>+VLOOKUP(C76,'Erection Compiled'!$C$7:$J$356,7,FALSE)</f>
        <v>0</v>
      </c>
      <c r="F76" s="485" t="str">
        <f>+VLOOKUP(C76,'Erection Compiled'!$C$189:$G$356,3,FALSE)</f>
        <v>Sandy</v>
      </c>
      <c r="G76" s="485">
        <f>+VLOOKUP(C76,'Erection Compiled'!$C$189:$G$356,4,FALSE)</f>
        <v>45893</v>
      </c>
      <c r="H76" s="621"/>
      <c r="I76" s="622"/>
      <c r="J76" s="621"/>
      <c r="K76" s="621"/>
      <c r="L76" s="484"/>
      <c r="M76" s="484"/>
      <c r="N76" s="484"/>
      <c r="O76" s="484"/>
      <c r="P76" s="484"/>
      <c r="Q76" s="484"/>
      <c r="R76" s="484"/>
      <c r="S76" s="484"/>
      <c r="T76" s="484"/>
      <c r="U76" s="484"/>
      <c r="V76" s="484"/>
      <c r="W76" s="484"/>
      <c r="X76" s="484"/>
      <c r="Y76" s="484"/>
      <c r="Z76" s="484"/>
      <c r="AA76" s="484"/>
      <c r="AB76" s="484"/>
      <c r="AC76" s="484"/>
      <c r="AD76" s="484"/>
      <c r="AE76" s="622">
        <v>2.2851532941176464</v>
      </c>
      <c r="AF76" s="622">
        <v>2.2851532941176464</v>
      </c>
      <c r="AG76" s="622">
        <v>2.2851532941176464</v>
      </c>
      <c r="AH76" s="622">
        <v>2.2851532941176464</v>
      </c>
      <c r="AI76" s="622">
        <v>2.2851532941176464</v>
      </c>
      <c r="AJ76" s="622">
        <v>2.2851532941176464</v>
      </c>
      <c r="AK76" s="622">
        <v>2.2851532941176464</v>
      </c>
      <c r="AL76" s="622">
        <v>2.2851532941176464</v>
      </c>
      <c r="AM76" s="622">
        <v>2.2851532941176464</v>
      </c>
      <c r="AN76" s="622">
        <v>2.2851532941176464</v>
      </c>
      <c r="AO76" s="622">
        <v>2.2851532941176464</v>
      </c>
      <c r="AP76" s="622">
        <v>2.2851532941176464</v>
      </c>
      <c r="AQ76" s="622">
        <v>2.2851532941176464</v>
      </c>
      <c r="AR76" s="622">
        <v>2.2851532941176464</v>
      </c>
      <c r="AS76" s="622">
        <v>2.2851532941176464</v>
      </c>
      <c r="AT76" s="622">
        <v>2.2851532941176464</v>
      </c>
      <c r="AU76" s="622">
        <v>2.2851532941176464</v>
      </c>
      <c r="AV76" s="622"/>
      <c r="AW76" s="622"/>
      <c r="AX76" s="622"/>
      <c r="AY76" s="622"/>
      <c r="AZ76" s="622"/>
      <c r="BA76" s="622"/>
      <c r="BB76" s="484"/>
      <c r="BC76" s="484"/>
      <c r="BD76" s="484"/>
      <c r="BE76" s="484"/>
      <c r="BF76" s="484"/>
      <c r="BG76" s="484"/>
      <c r="BH76" s="484"/>
      <c r="BI76" s="484"/>
      <c r="BJ76" s="484"/>
      <c r="BK76" s="484"/>
      <c r="BL76" s="484"/>
      <c r="BM76" s="484"/>
      <c r="BN76" s="484"/>
      <c r="BO76" s="484"/>
      <c r="BP76" s="484"/>
      <c r="BQ76" s="484"/>
      <c r="BR76" s="622">
        <f t="shared" si="1"/>
        <v>38.847605999999985</v>
      </c>
      <c r="BS76" s="623" t="s">
        <v>404</v>
      </c>
      <c r="BT76" s="659"/>
      <c r="BU76" s="659"/>
    </row>
    <row r="77" spans="1:73" x14ac:dyDescent="0.25">
      <c r="A77" s="484">
        <v>16</v>
      </c>
      <c r="B77" s="619">
        <f>+VLOOKUP(C77,'Erection Compiled'!$C$186:$H$356,5,FALSE)</f>
        <v>45909</v>
      </c>
      <c r="C77" s="625" t="s">
        <v>452</v>
      </c>
      <c r="D77" s="620" t="str">
        <f>+VLOOKUP(C77,Foundation!$C$8:$D$495,2,FALSE)</f>
        <v>DA+3</v>
      </c>
      <c r="E77" s="622">
        <f>+VLOOKUP(C77,'Erection Compiled'!$C$7:$J$356,7,FALSE)</f>
        <v>0</v>
      </c>
      <c r="F77" s="485" t="str">
        <f>+VLOOKUP(C77,'Erection Compiled'!$C$189:$G$356,3,FALSE)</f>
        <v>Sandy</v>
      </c>
      <c r="G77" s="485">
        <f>+VLOOKUP(C77,'Erection Compiled'!$C$189:$G$356,4,FALSE)</f>
        <v>45893</v>
      </c>
      <c r="H77" s="621"/>
      <c r="I77" s="622"/>
      <c r="J77" s="621"/>
      <c r="K77" s="621"/>
      <c r="L77" s="484"/>
      <c r="M77" s="484"/>
      <c r="N77" s="484"/>
      <c r="O77" s="484"/>
      <c r="P77" s="484"/>
      <c r="Q77" s="484"/>
      <c r="R77" s="484"/>
      <c r="S77" s="484"/>
      <c r="T77" s="484"/>
      <c r="U77" s="484"/>
      <c r="V77" s="484"/>
      <c r="W77" s="484"/>
      <c r="X77" s="484"/>
      <c r="Y77" s="484"/>
      <c r="Z77" s="484"/>
      <c r="AA77" s="484"/>
      <c r="AB77" s="484"/>
      <c r="AC77" s="484"/>
      <c r="AD77" s="484"/>
      <c r="AE77" s="622">
        <v>2.2851532941176464</v>
      </c>
      <c r="AF77" s="622">
        <v>2.2851532941176464</v>
      </c>
      <c r="AG77" s="622">
        <v>2.2851532941176464</v>
      </c>
      <c r="AH77" s="622">
        <v>2.2851532941176464</v>
      </c>
      <c r="AI77" s="622">
        <v>2.2851532941176464</v>
      </c>
      <c r="AJ77" s="622">
        <v>2.2851532941176464</v>
      </c>
      <c r="AK77" s="622">
        <v>2.2851532941176464</v>
      </c>
      <c r="AL77" s="622">
        <v>2.2851532941176464</v>
      </c>
      <c r="AM77" s="622">
        <v>2.2851532941176464</v>
      </c>
      <c r="AN77" s="622">
        <v>2.2851532941176464</v>
      </c>
      <c r="AO77" s="622">
        <v>2.2851532941176464</v>
      </c>
      <c r="AP77" s="622">
        <v>2.2851532941176464</v>
      </c>
      <c r="AQ77" s="622">
        <v>2.2851532941176464</v>
      </c>
      <c r="AR77" s="622">
        <v>2.2851532941176464</v>
      </c>
      <c r="AS77" s="622">
        <v>2.2851532941176464</v>
      </c>
      <c r="AT77" s="622">
        <v>2.2851532941176464</v>
      </c>
      <c r="AU77" s="622">
        <v>2.2851532941176464</v>
      </c>
      <c r="AV77" s="622"/>
      <c r="AW77" s="622"/>
      <c r="AX77" s="622"/>
      <c r="AY77" s="622"/>
      <c r="AZ77" s="622"/>
      <c r="BA77" s="622"/>
      <c r="BB77" s="484"/>
      <c r="BC77" s="484"/>
      <c r="BD77" s="484"/>
      <c r="BE77" s="484"/>
      <c r="BF77" s="484"/>
      <c r="BG77" s="484"/>
      <c r="BH77" s="484"/>
      <c r="BI77" s="484"/>
      <c r="BJ77" s="484"/>
      <c r="BK77" s="484"/>
      <c r="BL77" s="484"/>
      <c r="BM77" s="484"/>
      <c r="BN77" s="484"/>
      <c r="BO77" s="484"/>
      <c r="BP77" s="484"/>
      <c r="BQ77" s="484"/>
      <c r="BR77" s="622">
        <f t="shared" si="1"/>
        <v>38.847605999999985</v>
      </c>
      <c r="BS77" s="623" t="s">
        <v>404</v>
      </c>
      <c r="BT77" s="659"/>
      <c r="BU77" s="659"/>
    </row>
    <row r="78" spans="1:73" x14ac:dyDescent="0.25">
      <c r="A78" s="484">
        <v>17</v>
      </c>
      <c r="B78" s="619">
        <f>+VLOOKUP(C78,'Erection Compiled'!$C$186:$H$356,5,FALSE)</f>
        <v>45910</v>
      </c>
      <c r="C78" s="625" t="s">
        <v>81</v>
      </c>
      <c r="D78" s="620" t="str">
        <f>+VLOOKUP(C78,Foundation!$C$8:$D$495,2,FALSE)</f>
        <v>DA+3</v>
      </c>
      <c r="E78" s="622">
        <f>+VLOOKUP(C78,'Erection Compiled'!$C$7:$J$356,7,FALSE)</f>
        <v>0</v>
      </c>
      <c r="F78" s="485" t="str">
        <f>+VLOOKUP(C78,'Erection Compiled'!$C$189:$G$356,3,FALSE)</f>
        <v>Sandy</v>
      </c>
      <c r="G78" s="485">
        <f>+VLOOKUP(C78,'Erection Compiled'!$C$189:$G$356,4,FALSE)</f>
        <v>45903</v>
      </c>
      <c r="H78" s="621"/>
      <c r="I78" s="622"/>
      <c r="J78" s="621"/>
      <c r="K78" s="621"/>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639"/>
      <c r="AK78" s="639"/>
      <c r="AL78" s="622"/>
      <c r="AM78" s="622"/>
      <c r="AN78" s="622"/>
      <c r="AO78" s="622">
        <v>4.855950749999999</v>
      </c>
      <c r="AP78" s="622">
        <v>4.855950749999999</v>
      </c>
      <c r="AQ78" s="622">
        <v>4.855950749999999</v>
      </c>
      <c r="AR78" s="622">
        <v>4.855950749999999</v>
      </c>
      <c r="AS78" s="622">
        <v>4.855950749999999</v>
      </c>
      <c r="AT78" s="622">
        <v>4.855950749999999</v>
      </c>
      <c r="AU78" s="622">
        <v>4.855950749999999</v>
      </c>
      <c r="AV78" s="622">
        <v>4.855950749999999</v>
      </c>
      <c r="AW78" s="622"/>
      <c r="AX78" s="622"/>
      <c r="AY78" s="622"/>
      <c r="AZ78" s="622"/>
      <c r="BA78" s="622"/>
      <c r="BB78" s="484"/>
      <c r="BC78" s="484"/>
      <c r="BD78" s="484"/>
      <c r="BE78" s="484"/>
      <c r="BF78" s="484"/>
      <c r="BG78" s="484"/>
      <c r="BH78" s="484"/>
      <c r="BI78" s="484"/>
      <c r="BJ78" s="484"/>
      <c r="BK78" s="484"/>
      <c r="BL78" s="484"/>
      <c r="BM78" s="484"/>
      <c r="BN78" s="484"/>
      <c r="BO78" s="484"/>
      <c r="BP78" s="484"/>
      <c r="BQ78" s="484"/>
      <c r="BR78" s="622">
        <f t="shared" si="1"/>
        <v>38.847605999999992</v>
      </c>
      <c r="BS78" s="623" t="s">
        <v>404</v>
      </c>
      <c r="BT78" s="659"/>
      <c r="BU78" s="659"/>
    </row>
    <row r="79" spans="1:73" x14ac:dyDescent="0.25">
      <c r="A79" s="484">
        <v>18</v>
      </c>
      <c r="B79" s="619">
        <f>+VLOOKUP(C79,'Erection Compiled'!$C$186:$H$356,5,FALSE)</f>
        <v>45910</v>
      </c>
      <c r="C79" s="625" t="s">
        <v>716</v>
      </c>
      <c r="D79" s="620" t="str">
        <f>+VLOOKUP(C79,Foundation!$C$8:$D$495,2,FALSE)</f>
        <v>DA+9</v>
      </c>
      <c r="E79" s="622">
        <f>+VLOOKUP(C79,'Erection Compiled'!$C$7:$J$356,7,FALSE)</f>
        <v>0</v>
      </c>
      <c r="F79" s="485" t="str">
        <f>+VLOOKUP(C79,'Erection Compiled'!$C$189:$G$356,3,FALSE)</f>
        <v>Sandy</v>
      </c>
      <c r="G79" s="485">
        <f>+VLOOKUP(C79,'Erection Compiled'!$C$189:$G$356,4,FALSE)</f>
        <v>45901</v>
      </c>
      <c r="H79" s="621"/>
      <c r="I79" s="622"/>
      <c r="J79" s="621"/>
      <c r="K79" s="621"/>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639"/>
      <c r="AK79" s="639"/>
      <c r="AL79" s="622"/>
      <c r="AM79" s="622">
        <v>4.7184350000000004</v>
      </c>
      <c r="AN79" s="622">
        <v>4.7184350000000004</v>
      </c>
      <c r="AO79" s="622">
        <v>4.7184350000000004</v>
      </c>
      <c r="AP79" s="622">
        <v>4.7184350000000004</v>
      </c>
      <c r="AQ79" s="622">
        <v>4.7184350000000004</v>
      </c>
      <c r="AR79" s="622">
        <v>4.7184350000000004</v>
      </c>
      <c r="AS79" s="622">
        <v>4.7184350000000004</v>
      </c>
      <c r="AT79" s="622">
        <v>4.7184350000000004</v>
      </c>
      <c r="AU79" s="622">
        <v>4.7184350000000004</v>
      </c>
      <c r="AV79" s="622">
        <v>4.7184350000000004</v>
      </c>
      <c r="AW79" s="622"/>
      <c r="AX79" s="622"/>
      <c r="AY79" s="622"/>
      <c r="AZ79" s="622"/>
      <c r="BA79" s="622"/>
      <c r="BB79" s="484"/>
      <c r="BC79" s="484"/>
      <c r="BD79" s="484"/>
      <c r="BE79" s="484"/>
      <c r="BF79" s="484"/>
      <c r="BG79" s="484"/>
      <c r="BH79" s="484"/>
      <c r="BI79" s="484"/>
      <c r="BJ79" s="484"/>
      <c r="BK79" s="484"/>
      <c r="BL79" s="484"/>
      <c r="BM79" s="484"/>
      <c r="BN79" s="484"/>
      <c r="BO79" s="484"/>
      <c r="BP79" s="484"/>
      <c r="BQ79" s="484"/>
      <c r="BR79" s="622">
        <f t="shared" si="1"/>
        <v>47.184350000000002</v>
      </c>
      <c r="BS79" s="623" t="s">
        <v>404</v>
      </c>
      <c r="BT79" s="659"/>
      <c r="BU79" s="659"/>
    </row>
    <row r="80" spans="1:73" x14ac:dyDescent="0.25">
      <c r="A80" s="484">
        <v>19</v>
      </c>
      <c r="B80" s="619">
        <f>+VLOOKUP(C80,'Erection Compiled'!$C$186:$H$356,5,FALSE)</f>
        <v>45911</v>
      </c>
      <c r="C80" s="625" t="s">
        <v>208</v>
      </c>
      <c r="D80" s="620" t="str">
        <f>+VLOOKUP(C80,Foundation!$C$8:$D$495,2,FALSE)</f>
        <v>DA+0</v>
      </c>
      <c r="E80" s="622">
        <f>+VLOOKUP(C80,'Erection Compiled'!$C$7:$J$356,7,FALSE)</f>
        <v>0</v>
      </c>
      <c r="F80" s="485" t="str">
        <f>+VLOOKUP(C80,'Erection Compiled'!$C$189:$G$356,3,FALSE)</f>
        <v>Sandy</v>
      </c>
      <c r="G80" s="485">
        <f>+VLOOKUP(C80,'Erection Compiled'!$C$189:$G$356,4,FALSE)</f>
        <v>45903</v>
      </c>
      <c r="H80" s="621"/>
      <c r="I80" s="622"/>
      <c r="J80" s="621"/>
      <c r="K80" s="621"/>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639"/>
      <c r="AK80" s="639"/>
      <c r="AL80" s="622"/>
      <c r="AM80" s="622"/>
      <c r="AN80" s="622"/>
      <c r="AO80" s="622">
        <v>4.1671524444444445</v>
      </c>
      <c r="AP80" s="622">
        <v>4.1671524444444445</v>
      </c>
      <c r="AQ80" s="622">
        <v>4.1671524444444445</v>
      </c>
      <c r="AR80" s="622">
        <v>4.1671524444444445</v>
      </c>
      <c r="AS80" s="622">
        <v>4.1671524444444445</v>
      </c>
      <c r="AT80" s="622">
        <v>4.1671524444444445</v>
      </c>
      <c r="AU80" s="622">
        <v>4.1671524444444445</v>
      </c>
      <c r="AV80" s="622">
        <v>4.1671524444444445</v>
      </c>
      <c r="AW80" s="622">
        <v>4.1671524444444445</v>
      </c>
      <c r="AX80" s="622"/>
      <c r="AY80" s="622"/>
      <c r="AZ80" s="622"/>
      <c r="BA80" s="622"/>
      <c r="BB80" s="484"/>
      <c r="BC80" s="484"/>
      <c r="BD80" s="484"/>
      <c r="BE80" s="484"/>
      <c r="BF80" s="484"/>
      <c r="BG80" s="484"/>
      <c r="BH80" s="484"/>
      <c r="BI80" s="484"/>
      <c r="BJ80" s="484"/>
      <c r="BK80" s="484"/>
      <c r="BL80" s="484"/>
      <c r="BM80" s="484"/>
      <c r="BN80" s="484"/>
      <c r="BO80" s="484"/>
      <c r="BP80" s="484"/>
      <c r="BQ80" s="484"/>
      <c r="BR80" s="622">
        <f t="shared" si="1"/>
        <v>37.504372000000004</v>
      </c>
      <c r="BS80" s="623" t="s">
        <v>404</v>
      </c>
      <c r="BT80" s="659"/>
      <c r="BU80" s="659"/>
    </row>
    <row r="81" spans="1:73" x14ac:dyDescent="0.25">
      <c r="A81" s="484">
        <v>20</v>
      </c>
      <c r="B81" s="619">
        <f>+VLOOKUP(C81,'Erection Compiled'!$C$186:$H$356,5,FALSE)</f>
        <v>45912</v>
      </c>
      <c r="C81" s="625" t="s">
        <v>526</v>
      </c>
      <c r="D81" s="620" t="str">
        <f>+VLOOKUP(C81,Foundation!$C$8:$D$495,2,FALSE)</f>
        <v>DA+3</v>
      </c>
      <c r="E81" s="622">
        <f>+VLOOKUP(C81,'Erection Compiled'!$C$7:$J$356,7,FALSE)</f>
        <v>0</v>
      </c>
      <c r="F81" s="485" t="str">
        <f>+VLOOKUP(C81,'Erection Compiled'!$C$189:$G$356,3,FALSE)</f>
        <v>Sandy</v>
      </c>
      <c r="G81" s="485">
        <f>+VLOOKUP(C81,'Erection Compiled'!$C$189:$G$356,4,FALSE)</f>
        <v>45909</v>
      </c>
      <c r="H81" s="621"/>
      <c r="I81" s="622"/>
      <c r="J81" s="621"/>
      <c r="K81" s="621"/>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639"/>
      <c r="AK81" s="639"/>
      <c r="AL81" s="622"/>
      <c r="AM81" s="622"/>
      <c r="AN81" s="622"/>
      <c r="AO81" s="622"/>
      <c r="AP81" s="622"/>
      <c r="AQ81" s="622"/>
      <c r="AR81" s="622"/>
      <c r="AS81" s="622"/>
      <c r="AT81" s="622"/>
      <c r="AU81" s="622">
        <v>9.711901499999998</v>
      </c>
      <c r="AV81" s="622">
        <v>9.711901499999998</v>
      </c>
      <c r="AW81" s="622">
        <v>9.711901499999998</v>
      </c>
      <c r="AX81" s="622">
        <v>9.711901499999998</v>
      </c>
      <c r="AY81" s="622"/>
      <c r="AZ81" s="622"/>
      <c r="BA81" s="622"/>
      <c r="BB81" s="484"/>
      <c r="BC81" s="484"/>
      <c r="BD81" s="484"/>
      <c r="BE81" s="484"/>
      <c r="BF81" s="484"/>
      <c r="BG81" s="484"/>
      <c r="BH81" s="484"/>
      <c r="BI81" s="484"/>
      <c r="BJ81" s="484"/>
      <c r="BK81" s="484"/>
      <c r="BL81" s="484"/>
      <c r="BM81" s="484"/>
      <c r="BN81" s="484"/>
      <c r="BO81" s="484"/>
      <c r="BP81" s="484"/>
      <c r="BQ81" s="484"/>
      <c r="BR81" s="622">
        <f t="shared" si="1"/>
        <v>38.847605999999992</v>
      </c>
      <c r="BS81" s="623" t="s">
        <v>404</v>
      </c>
      <c r="BT81" s="659"/>
      <c r="BU81" s="659"/>
    </row>
    <row r="82" spans="1:73" s="676" customFormat="1" x14ac:dyDescent="0.25">
      <c r="A82" s="668">
        <v>21</v>
      </c>
      <c r="B82" s="669">
        <f>+VLOOKUP(C82,'Erection Compiled'!$C$186:$H$356,5,FALSE)</f>
        <v>45912</v>
      </c>
      <c r="C82" s="670" t="s">
        <v>70</v>
      </c>
      <c r="D82" s="620" t="str">
        <f>+VLOOKUP(C82,Foundation!$C$8:$D$495,2,FALSE)</f>
        <v>DB2+0</v>
      </c>
      <c r="E82" s="622">
        <f>+VLOOKUP(C82,'Erection Compiled'!$C$7:$J$356,7,FALSE)</f>
        <v>0</v>
      </c>
      <c r="F82" s="673" t="str">
        <f>+VLOOKUP(C82,'Erection Compiled'!$C$189:$G$356,3,FALSE)</f>
        <v>DFR</v>
      </c>
      <c r="G82" s="673">
        <f>+VLOOKUP(C82,'Erection Compiled'!$C$189:$G$356,4,FALSE)</f>
        <v>45903</v>
      </c>
      <c r="H82" s="674"/>
      <c r="I82" s="672"/>
      <c r="J82" s="674"/>
      <c r="K82" s="674"/>
      <c r="L82" s="668"/>
      <c r="M82" s="668"/>
      <c r="N82" s="668"/>
      <c r="O82" s="668"/>
      <c r="P82" s="668"/>
      <c r="Q82" s="668"/>
      <c r="R82" s="668"/>
      <c r="S82" s="668"/>
      <c r="T82" s="668"/>
      <c r="U82" s="668"/>
      <c r="V82" s="668"/>
      <c r="W82" s="668"/>
      <c r="X82" s="668"/>
      <c r="Y82" s="668"/>
      <c r="Z82" s="668"/>
      <c r="AA82" s="668"/>
      <c r="AB82" s="668"/>
      <c r="AC82" s="668"/>
      <c r="AD82" s="668"/>
      <c r="AE82" s="668"/>
      <c r="AF82" s="668"/>
      <c r="AG82" s="668"/>
      <c r="AH82" s="668"/>
      <c r="AI82" s="668"/>
      <c r="AJ82" s="668"/>
      <c r="AK82" s="668"/>
      <c r="AL82" s="672"/>
      <c r="AM82" s="672"/>
      <c r="AN82" s="672"/>
      <c r="AO82" s="672">
        <v>4.3</v>
      </c>
      <c r="AP82" s="672">
        <v>3.6</v>
      </c>
      <c r="AQ82" s="672">
        <v>2.9</v>
      </c>
      <c r="AR82" s="672">
        <v>4.0999999999999996</v>
      </c>
      <c r="AS82" s="672">
        <v>1.2</v>
      </c>
      <c r="AT82" s="672">
        <v>1.1000000000000001</v>
      </c>
      <c r="AU82" s="672">
        <v>10.1</v>
      </c>
      <c r="AV82" s="672">
        <v>10.3</v>
      </c>
      <c r="AW82" s="672">
        <v>9.9</v>
      </c>
      <c r="AX82" s="672">
        <v>10.1</v>
      </c>
      <c r="AY82" s="672"/>
      <c r="AZ82" s="672"/>
      <c r="BA82" s="672"/>
      <c r="BB82" s="668"/>
      <c r="BC82" s="668"/>
      <c r="BD82" s="668"/>
      <c r="BE82" s="668"/>
      <c r="BF82" s="668"/>
      <c r="BG82" s="668"/>
      <c r="BH82" s="668"/>
      <c r="BI82" s="668"/>
      <c r="BJ82" s="668"/>
      <c r="BK82" s="668"/>
      <c r="BL82" s="668"/>
      <c r="BM82" s="668"/>
      <c r="BN82" s="668"/>
      <c r="BO82" s="668"/>
      <c r="BP82" s="668"/>
      <c r="BQ82" s="668"/>
      <c r="BR82" s="672">
        <f t="shared" si="1"/>
        <v>57.600000000000009</v>
      </c>
      <c r="BS82" s="675" t="s">
        <v>404</v>
      </c>
      <c r="BT82" s="677"/>
    </row>
    <row r="83" spans="1:73" s="676" customFormat="1" x14ac:dyDescent="0.25">
      <c r="A83" s="668">
        <v>22</v>
      </c>
      <c r="B83" s="669">
        <f>+VLOOKUP(C83,'Erection Compiled'!$C$186:$H$356,5,FALSE)</f>
        <v>45912</v>
      </c>
      <c r="C83" s="670" t="s">
        <v>42</v>
      </c>
      <c r="D83" s="620" t="str">
        <f>+VLOOKUP(C83,Foundation!$C$8:$D$495,2,FALSE)</f>
        <v>DA+0</v>
      </c>
      <c r="E83" s="622">
        <f>+VLOOKUP(C83,'Erection Compiled'!$C$7:$J$356,7,FALSE)</f>
        <v>0</v>
      </c>
      <c r="F83" s="673" t="str">
        <f>+VLOOKUP(C83,'Erection Compiled'!$C$189:$G$356,3,FALSE)</f>
        <v>DFR</v>
      </c>
      <c r="G83" s="673">
        <f>+VLOOKUP(C83,'Erection Compiled'!$C$189:$G$356,4,FALSE)</f>
        <v>45905</v>
      </c>
      <c r="H83" s="674"/>
      <c r="I83" s="672"/>
      <c r="J83" s="674"/>
      <c r="K83" s="674"/>
      <c r="L83" s="668"/>
      <c r="M83" s="668"/>
      <c r="N83" s="668"/>
      <c r="O83" s="668"/>
      <c r="P83" s="668"/>
      <c r="Q83" s="668"/>
      <c r="R83" s="668"/>
      <c r="S83" s="668"/>
      <c r="T83" s="668"/>
      <c r="U83" s="668"/>
      <c r="V83" s="668"/>
      <c r="W83" s="668"/>
      <c r="X83" s="668"/>
      <c r="Y83" s="668"/>
      <c r="Z83" s="668"/>
      <c r="AA83" s="668"/>
      <c r="AB83" s="668"/>
      <c r="AC83" s="668"/>
      <c r="AD83" s="668"/>
      <c r="AE83" s="668"/>
      <c r="AF83" s="668"/>
      <c r="AG83" s="668"/>
      <c r="AH83" s="668"/>
      <c r="AI83" s="668"/>
      <c r="AJ83" s="668"/>
      <c r="AK83" s="668"/>
      <c r="AL83" s="672"/>
      <c r="AM83" s="672"/>
      <c r="AN83" s="672"/>
      <c r="AO83" s="672"/>
      <c r="AP83" s="672"/>
      <c r="AQ83" s="672"/>
      <c r="AR83" s="672"/>
      <c r="AS83" s="672">
        <v>6.25</v>
      </c>
      <c r="AT83" s="672">
        <v>6.25</v>
      </c>
      <c r="AU83" s="672">
        <v>6.25</v>
      </c>
      <c r="AV83" s="672">
        <v>6.25</v>
      </c>
      <c r="AW83" s="672">
        <v>6.25</v>
      </c>
      <c r="AX83" s="672">
        <v>6.25</v>
      </c>
      <c r="AY83" s="672"/>
      <c r="AZ83" s="672"/>
      <c r="BA83" s="672"/>
      <c r="BB83" s="668"/>
      <c r="BC83" s="668"/>
      <c r="BD83" s="668"/>
      <c r="BE83" s="668"/>
      <c r="BF83" s="668"/>
      <c r="BG83" s="668"/>
      <c r="BH83" s="668"/>
      <c r="BI83" s="668"/>
      <c r="BJ83" s="668"/>
      <c r="BK83" s="668"/>
      <c r="BL83" s="668"/>
      <c r="BM83" s="668"/>
      <c r="BN83" s="668"/>
      <c r="BO83" s="668"/>
      <c r="BP83" s="668"/>
      <c r="BQ83" s="668"/>
      <c r="BR83" s="672">
        <f t="shared" si="1"/>
        <v>37.5</v>
      </c>
      <c r="BS83" s="675" t="s">
        <v>404</v>
      </c>
      <c r="BT83" s="677"/>
    </row>
    <row r="84" spans="1:73" x14ac:dyDescent="0.25">
      <c r="A84" s="484">
        <v>23</v>
      </c>
      <c r="B84" s="619">
        <f>+VLOOKUP(C84,'Erection Compiled'!$C$186:$H$356,5,FALSE)</f>
        <v>45912</v>
      </c>
      <c r="C84" s="625" t="s">
        <v>735</v>
      </c>
      <c r="D84" s="620" t="str">
        <f>+VLOOKUP(C84,Foundation!$C$8:$D$495,2,FALSE)</f>
        <v>DA+6</v>
      </c>
      <c r="E84" s="622">
        <f>+VLOOKUP(C84,'Erection Compiled'!$C$7:$J$356,7,FALSE)</f>
        <v>0</v>
      </c>
      <c r="F84" s="485" t="str">
        <f>+VLOOKUP(C84,'Erection Compiled'!$C$189:$G$356,3,FALSE)</f>
        <v>Sandy</v>
      </c>
      <c r="G84" s="485">
        <f>+VLOOKUP(C84,'Erection Compiled'!$C$189:$G$356,4,FALSE)</f>
        <v>45907</v>
      </c>
      <c r="H84" s="621"/>
      <c r="I84" s="622"/>
      <c r="J84" s="621"/>
      <c r="K84" s="621"/>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622"/>
      <c r="AM84" s="622"/>
      <c r="AN84" s="622"/>
      <c r="AO84" s="622"/>
      <c r="AP84" s="622"/>
      <c r="AQ84" s="622"/>
      <c r="AR84" s="622"/>
      <c r="AS84" s="622">
        <v>7.5688380000000004</v>
      </c>
      <c r="AT84" s="622">
        <v>7.5688380000000004</v>
      </c>
      <c r="AU84" s="622">
        <v>7.5688380000000004</v>
      </c>
      <c r="AV84" s="622">
        <v>7.5688380000000004</v>
      </c>
      <c r="AW84" s="622">
        <v>7.5688380000000004</v>
      </c>
      <c r="AX84" s="622">
        <v>7.5688380000000004</v>
      </c>
      <c r="AY84" s="622"/>
      <c r="AZ84" s="622"/>
      <c r="BA84" s="622"/>
      <c r="BB84" s="484"/>
      <c r="BC84" s="484"/>
      <c r="BD84" s="484"/>
      <c r="BE84" s="484"/>
      <c r="BF84" s="484"/>
      <c r="BG84" s="484"/>
      <c r="BH84" s="484"/>
      <c r="BI84" s="484"/>
      <c r="BJ84" s="484"/>
      <c r="BK84" s="484"/>
      <c r="BL84" s="484"/>
      <c r="BM84" s="484"/>
      <c r="BN84" s="484"/>
      <c r="BO84" s="484"/>
      <c r="BP84" s="484"/>
      <c r="BQ84" s="484"/>
      <c r="BR84" s="622">
        <f t="shared" si="1"/>
        <v>45.413028000000004</v>
      </c>
      <c r="BS84" s="623" t="s">
        <v>404</v>
      </c>
      <c r="BT84" s="659"/>
    </row>
    <row r="85" spans="1:73" x14ac:dyDescent="0.25">
      <c r="A85" s="484">
        <v>24</v>
      </c>
      <c r="B85" s="619">
        <f>+VLOOKUP(C85,'Erection Compiled'!$C$186:$H$356,5,FALSE)</f>
        <v>45913</v>
      </c>
      <c r="C85" s="625" t="s">
        <v>447</v>
      </c>
      <c r="D85" s="620" t="str">
        <f>+VLOOKUP(C85,Foundation!$C$8:$D$495,2,FALSE)</f>
        <v>DA+3</v>
      </c>
      <c r="E85" s="622">
        <f>+VLOOKUP(C85,'Erection Compiled'!$C$7:$J$356,7,FALSE)</f>
        <v>0</v>
      </c>
      <c r="F85" s="485" t="str">
        <f>+VLOOKUP(C85,'Erection Compiled'!$C$189:$G$356,3,FALSE)</f>
        <v>Sandy</v>
      </c>
      <c r="G85" s="485">
        <f>+VLOOKUP(C85,'Erection Compiled'!$C$189:$G$356,4,FALSE)</f>
        <v>45903</v>
      </c>
      <c r="H85" s="621"/>
      <c r="I85" s="622"/>
      <c r="J85" s="621"/>
      <c r="K85" s="621"/>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622"/>
      <c r="AM85" s="622"/>
      <c r="AN85" s="622"/>
      <c r="AO85" s="622">
        <v>3.5316005454545447</v>
      </c>
      <c r="AP85" s="622">
        <v>3.5316005454545447</v>
      </c>
      <c r="AQ85" s="622">
        <v>3.5316005454545447</v>
      </c>
      <c r="AR85" s="622">
        <v>3.5316005454545447</v>
      </c>
      <c r="AS85" s="622">
        <v>3.5316005454545447</v>
      </c>
      <c r="AT85" s="622">
        <v>3.5316005454545447</v>
      </c>
      <c r="AU85" s="622">
        <v>3.5316005454545447</v>
      </c>
      <c r="AV85" s="622">
        <v>3.5316005454545447</v>
      </c>
      <c r="AW85" s="622">
        <v>3.5316005454545447</v>
      </c>
      <c r="AX85" s="622">
        <v>3.5316005454545447</v>
      </c>
      <c r="AY85" s="622">
        <v>3.5316005454545447</v>
      </c>
      <c r="AZ85" s="622"/>
      <c r="BA85" s="622"/>
      <c r="BB85" s="484"/>
      <c r="BC85" s="484"/>
      <c r="BD85" s="484"/>
      <c r="BE85" s="484"/>
      <c r="BF85" s="484"/>
      <c r="BG85" s="484"/>
      <c r="BH85" s="484"/>
      <c r="BI85" s="484"/>
      <c r="BJ85" s="484"/>
      <c r="BK85" s="484"/>
      <c r="BL85" s="484"/>
      <c r="BM85" s="484"/>
      <c r="BN85" s="484"/>
      <c r="BO85" s="484"/>
      <c r="BP85" s="484"/>
      <c r="BQ85" s="484"/>
      <c r="BR85" s="622">
        <f t="shared" si="1"/>
        <v>38.847605999999992</v>
      </c>
      <c r="BS85" s="623" t="s">
        <v>404</v>
      </c>
      <c r="BT85" s="659"/>
    </row>
    <row r="86" spans="1:73" x14ac:dyDescent="0.25">
      <c r="A86" s="484">
        <v>25</v>
      </c>
      <c r="B86" s="619">
        <f>+VLOOKUP(C86,'Erection Compiled'!$C$186:$H$356,5,FALSE)</f>
        <v>45914</v>
      </c>
      <c r="C86" s="625" t="s">
        <v>93</v>
      </c>
      <c r="D86" s="620" t="str">
        <f>+VLOOKUP(C86,Foundation!$C$8:$D$495,2,FALSE)</f>
        <v>DD60+25</v>
      </c>
      <c r="E86" s="622">
        <f>+VLOOKUP(C86,'Erection Compiled'!$C$7:$J$356,7,FALSE)</f>
        <v>0</v>
      </c>
      <c r="F86" s="485" t="str">
        <f>+VLOOKUP(C86,'Erection Compiled'!$C$189:$G$356,3,FALSE)</f>
        <v>Sandy</v>
      </c>
      <c r="G86" s="485">
        <f>+VLOOKUP(C86,'Erection Compiled'!$C$189:$G$356,4,FALSE)</f>
        <v>45899</v>
      </c>
      <c r="H86" s="621"/>
      <c r="I86" s="622"/>
      <c r="J86" s="621"/>
      <c r="K86" s="621"/>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622">
        <v>8.9</v>
      </c>
      <c r="AL86" s="622">
        <v>8.9</v>
      </c>
      <c r="AM86" s="622">
        <v>8.9</v>
      </c>
      <c r="AN86" s="622">
        <v>8.9</v>
      </c>
      <c r="AO86" s="622">
        <v>8.9</v>
      </c>
      <c r="AP86" s="622">
        <v>8.1999999999999993</v>
      </c>
      <c r="AQ86" s="622">
        <v>8.9</v>
      </c>
      <c r="AR86" s="622">
        <v>9.1999999999999993</v>
      </c>
      <c r="AS86" s="622">
        <v>10.4</v>
      </c>
      <c r="AT86" s="622">
        <v>10.6</v>
      </c>
      <c r="AU86" s="622">
        <v>10.6</v>
      </c>
      <c r="AV86" s="622">
        <v>10.6</v>
      </c>
      <c r="AW86" s="622">
        <v>10.6</v>
      </c>
      <c r="AX86" s="622">
        <v>10.6</v>
      </c>
      <c r="AY86" s="622">
        <f>10.6-1.7</f>
        <v>8.9</v>
      </c>
      <c r="AZ86" s="622"/>
      <c r="BA86" s="622"/>
      <c r="BB86" s="484"/>
      <c r="BC86" s="484"/>
      <c r="BD86" s="484"/>
      <c r="BE86" s="484"/>
      <c r="BF86" s="484"/>
      <c r="BG86" s="484"/>
      <c r="BH86" s="484"/>
      <c r="BI86" s="484"/>
      <c r="BJ86" s="484"/>
      <c r="BK86" s="484"/>
      <c r="BL86" s="484"/>
      <c r="BM86" s="484"/>
      <c r="BN86" s="484"/>
      <c r="BO86" s="484"/>
      <c r="BP86" s="484"/>
      <c r="BQ86" s="484"/>
      <c r="BR86" s="622">
        <f t="shared" si="1"/>
        <v>143.1</v>
      </c>
      <c r="BS86" s="623" t="s">
        <v>404</v>
      </c>
      <c r="BT86" s="659"/>
    </row>
    <row r="87" spans="1:73" s="676" customFormat="1" x14ac:dyDescent="0.25">
      <c r="A87" s="668">
        <v>26</v>
      </c>
      <c r="B87" s="669">
        <f>+VLOOKUP(C87,'Erection Compiled'!$C$186:$H$356,5,FALSE)</f>
        <v>45916</v>
      </c>
      <c r="C87" s="670" t="s">
        <v>58</v>
      </c>
      <c r="D87" s="620" t="str">
        <f>+VLOOKUP(C87,Foundation!$C$8:$D$495,2,FALSE)</f>
        <v>DA+0</v>
      </c>
      <c r="E87" s="622">
        <f>+VLOOKUP(C87,'Erection Compiled'!$C$7:$J$356,7,FALSE)</f>
        <v>0</v>
      </c>
      <c r="F87" s="673" t="str">
        <f>+VLOOKUP(C87,'Erection Compiled'!$C$189:$G$356,3,FALSE)</f>
        <v>DRY</v>
      </c>
      <c r="G87" s="673">
        <f>+VLOOKUP(C87,'Erection Compiled'!$C$189:$G$356,4,FALSE)</f>
        <v>45907</v>
      </c>
      <c r="H87" s="674"/>
      <c r="I87" s="672"/>
      <c r="J87" s="674"/>
      <c r="K87" s="674"/>
      <c r="L87" s="668"/>
      <c r="M87" s="668"/>
      <c r="N87" s="668"/>
      <c r="O87" s="668"/>
      <c r="P87" s="668"/>
      <c r="Q87" s="668"/>
      <c r="R87" s="668"/>
      <c r="S87" s="668"/>
      <c r="T87" s="668"/>
      <c r="U87" s="668"/>
      <c r="V87" s="668"/>
      <c r="W87" s="668"/>
      <c r="X87" s="668"/>
      <c r="Y87" s="668"/>
      <c r="Z87" s="668"/>
      <c r="AA87" s="668"/>
      <c r="AB87" s="668"/>
      <c r="AC87" s="668"/>
      <c r="AD87" s="668"/>
      <c r="AE87" s="668"/>
      <c r="AF87" s="668"/>
      <c r="AG87" s="668"/>
      <c r="AH87" s="668"/>
      <c r="AI87" s="668"/>
      <c r="AJ87" s="668"/>
      <c r="AK87" s="668"/>
      <c r="AL87" s="668"/>
      <c r="AM87" s="668"/>
      <c r="AN87" s="668"/>
      <c r="AO87" s="668"/>
      <c r="AP87" s="668"/>
      <c r="AQ87" s="668"/>
      <c r="AR87" s="668"/>
      <c r="AS87" s="668"/>
      <c r="AT87" s="668">
        <v>1.2</v>
      </c>
      <c r="AU87" s="668">
        <v>1.3</v>
      </c>
      <c r="AV87" s="668">
        <v>1.5</v>
      </c>
      <c r="AW87" s="668">
        <v>1.3</v>
      </c>
      <c r="AX87" s="668">
        <v>1.1000000000000001</v>
      </c>
      <c r="AY87" s="668">
        <v>2.1</v>
      </c>
      <c r="AZ87" s="668">
        <v>9</v>
      </c>
      <c r="BA87" s="668">
        <v>10.1</v>
      </c>
      <c r="BB87" s="668">
        <v>9.9</v>
      </c>
      <c r="BC87" s="668"/>
      <c r="BD87" s="668"/>
      <c r="BE87" s="668"/>
      <c r="BF87" s="668"/>
      <c r="BG87" s="668"/>
      <c r="BH87" s="668"/>
      <c r="BI87" s="668"/>
      <c r="BJ87" s="668"/>
      <c r="BK87" s="668"/>
      <c r="BL87" s="668"/>
      <c r="BM87" s="668"/>
      <c r="BN87" s="668"/>
      <c r="BO87" s="668"/>
      <c r="BP87" s="668"/>
      <c r="BQ87" s="668"/>
      <c r="BR87" s="672">
        <f t="shared" si="1"/>
        <v>37.5</v>
      </c>
      <c r="BS87" s="675" t="s">
        <v>404</v>
      </c>
      <c r="BT87" s="677"/>
    </row>
    <row r="88" spans="1:73" x14ac:dyDescent="0.25">
      <c r="A88" s="484">
        <v>27</v>
      </c>
      <c r="B88" s="619">
        <f>+VLOOKUP(C88,'Erection Compiled'!$C$186:$H$356,5,FALSE)</f>
        <v>45920</v>
      </c>
      <c r="C88" s="625" t="s">
        <v>714</v>
      </c>
      <c r="D88" s="620" t="str">
        <f>+VLOOKUP(C88,Foundation!$C$8:$D$495,2,FALSE)</f>
        <v>DA+6</v>
      </c>
      <c r="E88" s="622">
        <f>+VLOOKUP(C88,'Erection Compiled'!$C$7:$J$356,7,FALSE)</f>
        <v>0</v>
      </c>
      <c r="F88" s="485" t="str">
        <f>+VLOOKUP(C88,'Erection Compiled'!$C$189:$G$356,3,FALSE)</f>
        <v>Sandy</v>
      </c>
      <c r="G88" s="485">
        <f>+VLOOKUP(C88,'Erection Compiled'!$C$189:$G$356,4,FALSE)</f>
        <v>45910</v>
      </c>
      <c r="H88" s="621"/>
      <c r="I88" s="622"/>
      <c r="J88" s="621"/>
      <c r="K88" s="621"/>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v>5.7</v>
      </c>
      <c r="AW88" s="484">
        <v>6.2</v>
      </c>
      <c r="AX88" s="484"/>
      <c r="AY88" s="484"/>
      <c r="AZ88" s="484">
        <v>4.128457090909091</v>
      </c>
      <c r="BA88" s="484">
        <v>4.128457090909091</v>
      </c>
      <c r="BB88" s="484">
        <v>4.128457090909091</v>
      </c>
      <c r="BC88" s="484">
        <v>4.128457090909091</v>
      </c>
      <c r="BD88" s="484">
        <f>4.12845709090909+0.47</f>
        <v>4.5984570909090898</v>
      </c>
      <c r="BE88" s="484">
        <v>6.2</v>
      </c>
      <c r="BF88" s="484">
        <v>6.2</v>
      </c>
      <c r="BG88" s="484"/>
      <c r="BH88" s="484"/>
      <c r="BI88" s="484"/>
      <c r="BJ88" s="484"/>
      <c r="BK88" s="484"/>
      <c r="BL88" s="484"/>
      <c r="BM88" s="484"/>
      <c r="BN88" s="484"/>
      <c r="BO88" s="484"/>
      <c r="BP88" s="484"/>
      <c r="BQ88" s="484"/>
      <c r="BR88" s="622">
        <f t="shared" si="1"/>
        <v>45.412285454545462</v>
      </c>
      <c r="BS88" s="623" t="s">
        <v>404</v>
      </c>
      <c r="BT88" s="659"/>
    </row>
    <row r="89" spans="1:73" x14ac:dyDescent="0.25">
      <c r="A89" s="484">
        <v>28</v>
      </c>
      <c r="B89" s="619">
        <f>+VLOOKUP(C89,'Erection Compiled'!$C$186:$H$356,5,FALSE)</f>
        <v>45918</v>
      </c>
      <c r="C89" s="625" t="s">
        <v>733</v>
      </c>
      <c r="D89" s="620" t="str">
        <f>+VLOOKUP(C89,Foundation!$C$8:$D$495,2,FALSE)</f>
        <v>DA+3</v>
      </c>
      <c r="E89" s="622">
        <f>+VLOOKUP(C89,'Erection Compiled'!$C$7:$J$356,7,FALSE)</f>
        <v>0</v>
      </c>
      <c r="F89" s="485" t="str">
        <f>+VLOOKUP(C89,'Erection Compiled'!$C$189:$G$356,3,FALSE)</f>
        <v>Sandy</v>
      </c>
      <c r="G89" s="485">
        <f>+VLOOKUP(C89,'Erection Compiled'!$C$189:$G$356,4,FALSE)</f>
        <v>45913</v>
      </c>
      <c r="H89" s="621"/>
      <c r="I89" s="622"/>
      <c r="J89" s="621"/>
      <c r="K89" s="621"/>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f>2.1+4.37</f>
        <v>6.4700000000000006</v>
      </c>
      <c r="AY89" s="484"/>
      <c r="AZ89" s="484">
        <v>6.4746009999999989</v>
      </c>
      <c r="BA89" s="484">
        <v>6.4746009999999989</v>
      </c>
      <c r="BB89" s="484">
        <v>6.4746009999999989</v>
      </c>
      <c r="BC89" s="484">
        <v>6.4746009999999989</v>
      </c>
      <c r="BD89" s="484">
        <v>6.4746009999999989</v>
      </c>
      <c r="BE89" s="484"/>
      <c r="BF89" s="484"/>
      <c r="BG89" s="484"/>
      <c r="BH89" s="484"/>
      <c r="BI89" s="484"/>
      <c r="BJ89" s="484"/>
      <c r="BK89" s="484"/>
      <c r="BL89" s="484"/>
      <c r="BM89" s="484"/>
      <c r="BN89" s="484"/>
      <c r="BO89" s="484"/>
      <c r="BP89" s="484"/>
      <c r="BQ89" s="484"/>
      <c r="BR89" s="622">
        <f t="shared" si="1"/>
        <v>38.843004999999998</v>
      </c>
      <c r="BS89" s="623" t="s">
        <v>404</v>
      </c>
      <c r="BT89" s="659"/>
    </row>
    <row r="90" spans="1:73" x14ac:dyDescent="0.25">
      <c r="A90" s="484">
        <v>29</v>
      </c>
      <c r="B90" s="619">
        <f>+VLOOKUP(C90,'Erection Compiled'!$C$186:$H$356,5,FALSE)</f>
        <v>45925</v>
      </c>
      <c r="C90" s="625" t="s">
        <v>90</v>
      </c>
      <c r="D90" s="620" t="str">
        <f>+VLOOKUP(C90,Foundation!$C$8:$D$495,2,FALSE)</f>
        <v>DD60+25</v>
      </c>
      <c r="E90" s="622">
        <f>+VLOOKUP(C90,'Erection Compiled'!$C$7:$J$356,7,FALSE)</f>
        <v>0</v>
      </c>
      <c r="F90" s="485" t="str">
        <f>+VLOOKUP(C90,'Erection Compiled'!$C$189:$G$356,3,FALSE)</f>
        <v>Sandy</v>
      </c>
      <c r="G90" s="485">
        <f>+VLOOKUP(C90,'Erection Compiled'!$C$189:$G$356,4,FALSE)</f>
        <v>45909</v>
      </c>
      <c r="H90" s="621"/>
      <c r="I90" s="622"/>
      <c r="J90" s="621"/>
      <c r="K90" s="621"/>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v>8.4176470588235297</v>
      </c>
      <c r="AV90" s="484">
        <v>8.4176470588235297</v>
      </c>
      <c r="AW90" s="484">
        <v>8.4176470588235297</v>
      </c>
      <c r="AX90" s="484">
        <v>8.4176470588235297</v>
      </c>
      <c r="AY90" s="484">
        <v>8.4176470588235297</v>
      </c>
      <c r="AZ90" s="484">
        <v>8.4176470588235297</v>
      </c>
      <c r="BA90" s="484">
        <v>8.4176470588235297</v>
      </c>
      <c r="BB90" s="484">
        <v>8.4176470588235297</v>
      </c>
      <c r="BC90" s="484">
        <v>8.4176470588235297</v>
      </c>
      <c r="BD90" s="484">
        <v>8.4176470588235297</v>
      </c>
      <c r="BE90" s="484">
        <v>8.4176470588235297</v>
      </c>
      <c r="BF90" s="484">
        <v>8.4176470588235297</v>
      </c>
      <c r="BG90" s="484">
        <v>8.4176470588235297</v>
      </c>
      <c r="BH90" s="484">
        <v>8.4176470588235297</v>
      </c>
      <c r="BI90" s="484">
        <v>8.4176470588235297</v>
      </c>
      <c r="BJ90" s="484">
        <v>8.4176470588235297</v>
      </c>
      <c r="BK90" s="484">
        <v>8.4176470588235297</v>
      </c>
      <c r="BL90" s="484"/>
      <c r="BM90" s="484"/>
      <c r="BN90" s="484"/>
      <c r="BO90" s="484"/>
      <c r="BP90" s="484"/>
      <c r="BQ90" s="484"/>
      <c r="BR90" s="622">
        <f t="shared" si="1"/>
        <v>143.10000000000002</v>
      </c>
      <c r="BS90" s="623" t="s">
        <v>404</v>
      </c>
      <c r="BT90" s="659"/>
    </row>
    <row r="91" spans="1:73" x14ac:dyDescent="0.25">
      <c r="A91" s="484">
        <v>30</v>
      </c>
      <c r="B91" s="619">
        <f>+VLOOKUP(C91,'Erection Compiled'!$C$186:$H$356,5,FALSE)</f>
        <v>45916</v>
      </c>
      <c r="C91" s="625" t="s">
        <v>215</v>
      </c>
      <c r="D91" s="620" t="str">
        <f>+VLOOKUP(C91,Foundation!$C$8:$D$495,2,FALSE)</f>
        <v>DA+6</v>
      </c>
      <c r="E91" s="622">
        <f>+VLOOKUP(C91,'Erection Compiled'!$C$7:$J$356,7,FALSE)</f>
        <v>0</v>
      </c>
      <c r="F91" s="485" t="str">
        <f>+VLOOKUP(C91,'Erection Compiled'!$C$189:$G$356,3,FALSE)</f>
        <v>Sandy</v>
      </c>
      <c r="G91" s="485">
        <f>+VLOOKUP(C91,'Erection Compiled'!$C$189:$G$356,4,FALSE)</f>
        <v>45907</v>
      </c>
      <c r="H91" s="621"/>
      <c r="I91" s="622"/>
      <c r="J91" s="621"/>
      <c r="K91" s="621"/>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v>3.9</v>
      </c>
      <c r="AT91" s="484">
        <v>4.9000000000000004</v>
      </c>
      <c r="AU91" s="484">
        <v>4.5999999999999996</v>
      </c>
      <c r="AV91" s="484">
        <v>4.2</v>
      </c>
      <c r="AW91" s="484">
        <v>5.0999999999999996</v>
      </c>
      <c r="AX91" s="484">
        <v>5.2</v>
      </c>
      <c r="AY91" s="484">
        <v>5.6</v>
      </c>
      <c r="AZ91" s="484">
        <v>4.5413028000000004</v>
      </c>
      <c r="BA91" s="484">
        <v>4.5413028000000004</v>
      </c>
      <c r="BB91" s="484">
        <f>4.5413028-1.71</f>
        <v>2.8313028000000005</v>
      </c>
      <c r="BC91" s="484"/>
      <c r="BD91" s="484"/>
      <c r="BE91" s="484"/>
      <c r="BF91" s="484"/>
      <c r="BG91" s="484"/>
      <c r="BH91" s="484"/>
      <c r="BI91" s="484"/>
      <c r="BJ91" s="484"/>
      <c r="BK91" s="484"/>
      <c r="BL91" s="484"/>
      <c r="BM91" s="484"/>
      <c r="BN91" s="484"/>
      <c r="BO91" s="484"/>
      <c r="BP91" s="484"/>
      <c r="BQ91" s="484"/>
      <c r="BR91" s="622">
        <f t="shared" si="1"/>
        <v>45.413908399999997</v>
      </c>
      <c r="BS91" s="623" t="s">
        <v>404</v>
      </c>
      <c r="BT91" s="659"/>
    </row>
    <row r="92" spans="1:73" x14ac:dyDescent="0.25">
      <c r="A92" s="484">
        <v>31</v>
      </c>
      <c r="B92" s="619">
        <f>+VLOOKUP(C92,'Erection Compiled'!$C$186:$H$356,5,FALSE)</f>
        <v>45929</v>
      </c>
      <c r="C92" s="625" t="s">
        <v>684</v>
      </c>
      <c r="D92" s="620" t="str">
        <f>+VLOOKUP(C92,Foundation!$C$8:$D$495,2,FALSE)</f>
        <v>DA+0</v>
      </c>
      <c r="E92" s="622">
        <f>+VLOOKUP(C92,'Erection Compiled'!$C$7:$J$356,7,FALSE)</f>
        <v>0</v>
      </c>
      <c r="F92" s="485" t="str">
        <f>+VLOOKUP(C92,'Erection Compiled'!$C$189:$G$356,3,FALSE)</f>
        <v>Sandy</v>
      </c>
      <c r="G92" s="485">
        <f>+VLOOKUP(C92,'Erection Compiled'!$C$189:$G$356,4,FALSE)</f>
        <v>45907</v>
      </c>
      <c r="H92" s="621"/>
      <c r="I92" s="622"/>
      <c r="J92" s="621"/>
      <c r="K92" s="621"/>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v>2.9</v>
      </c>
      <c r="AT92" s="484">
        <v>3.9</v>
      </c>
      <c r="AU92" s="484"/>
      <c r="AV92" s="484"/>
      <c r="AW92" s="484"/>
      <c r="AX92" s="484"/>
      <c r="AY92" s="484"/>
      <c r="AZ92" s="484"/>
      <c r="BA92" s="484"/>
      <c r="BB92" s="484"/>
      <c r="BC92" s="484"/>
      <c r="BD92" s="484"/>
      <c r="BE92" s="484"/>
      <c r="BF92" s="484"/>
      <c r="BG92" s="484"/>
      <c r="BH92" s="484"/>
      <c r="BI92" s="484"/>
      <c r="BJ92" s="484"/>
      <c r="BK92" s="484">
        <f>3.8+2.55</f>
        <v>6.35</v>
      </c>
      <c r="BL92" s="484">
        <v>5.0999999999999996</v>
      </c>
      <c r="BM92" s="484">
        <v>6.4176470588235297</v>
      </c>
      <c r="BN92" s="484">
        <v>6.4176470588235297</v>
      </c>
      <c r="BO92" s="484">
        <v>6.4176470588235297</v>
      </c>
      <c r="BP92" s="484"/>
      <c r="BQ92" s="484"/>
      <c r="BR92" s="622">
        <f t="shared" si="1"/>
        <v>37.502941176470586</v>
      </c>
      <c r="BS92" s="623" t="s">
        <v>404</v>
      </c>
      <c r="BT92" s="659"/>
    </row>
    <row r="93" spans="1:73" x14ac:dyDescent="0.25">
      <c r="A93" s="484">
        <v>32</v>
      </c>
      <c r="B93" s="619">
        <f>+VLOOKUP(C93,'Erection Compiled'!$C$186:$H$356,5,FALSE)</f>
        <v>45926</v>
      </c>
      <c r="C93" s="625" t="s">
        <v>190</v>
      </c>
      <c r="D93" s="620" t="str">
        <f>+VLOOKUP(C93,Foundation!$C$8:$D$495,2,FALSE)</f>
        <v>DA+3</v>
      </c>
      <c r="E93" s="622">
        <f>+VLOOKUP(C93,'Erection Compiled'!$C$7:$J$356,7,FALSE)</f>
        <v>0</v>
      </c>
      <c r="F93" s="485" t="str">
        <f>+VLOOKUP(C93,'Erection Compiled'!$C$189:$G$356,3,FALSE)</f>
        <v>DRY</v>
      </c>
      <c r="G93" s="485">
        <f>+VLOOKUP(C93,'Erection Compiled'!$C$189:$G$356,4,FALSE)</f>
        <v>45898</v>
      </c>
      <c r="H93" s="621"/>
      <c r="I93" s="622"/>
      <c r="J93" s="621"/>
      <c r="K93" s="621"/>
      <c r="L93" s="484"/>
      <c r="M93" s="484"/>
      <c r="N93" s="484"/>
      <c r="O93" s="484"/>
      <c r="P93" s="484"/>
      <c r="Q93" s="484"/>
      <c r="R93" s="484"/>
      <c r="S93" s="484"/>
      <c r="T93" s="484"/>
      <c r="U93" s="484"/>
      <c r="V93" s="484"/>
      <c r="W93" s="484"/>
      <c r="X93" s="484"/>
      <c r="Y93" s="484">
        <v>4.3</v>
      </c>
      <c r="Z93" s="484"/>
      <c r="AA93" s="484"/>
      <c r="AB93" s="484"/>
      <c r="AC93" s="484"/>
      <c r="AD93" s="484"/>
      <c r="AE93" s="484"/>
      <c r="AF93" s="484"/>
      <c r="AG93" s="484"/>
      <c r="AH93" s="484"/>
      <c r="AI93" s="484"/>
      <c r="AJ93" s="484">
        <v>4.5999999999999996</v>
      </c>
      <c r="AK93" s="484">
        <v>5.0999999999999996</v>
      </c>
      <c r="AL93" s="484">
        <v>4.5</v>
      </c>
      <c r="AM93" s="484">
        <v>6.6</v>
      </c>
      <c r="AN93" s="484">
        <v>5.2</v>
      </c>
      <c r="AO93" s="484"/>
      <c r="AP93" s="484"/>
      <c r="AQ93" s="484"/>
      <c r="AR93" s="484"/>
      <c r="AS93" s="484"/>
      <c r="AT93" s="484"/>
      <c r="AU93" s="484"/>
      <c r="AV93" s="484"/>
      <c r="AW93" s="484"/>
      <c r="AX93" s="484"/>
      <c r="AY93" s="484"/>
      <c r="AZ93" s="484"/>
      <c r="BA93" s="484"/>
      <c r="BB93" s="484"/>
      <c r="BC93" s="484"/>
      <c r="BD93" s="484"/>
      <c r="BE93" s="484">
        <v>4.5</v>
      </c>
      <c r="BF93" s="484"/>
      <c r="BG93" s="484"/>
      <c r="BH93" s="484"/>
      <c r="BI93" s="484"/>
      <c r="BJ93" s="484"/>
      <c r="BK93" s="484"/>
      <c r="BL93" s="484">
        <v>4</v>
      </c>
      <c r="BM93" s="484"/>
      <c r="BN93" s="484"/>
      <c r="BO93" s="484"/>
      <c r="BP93" s="484"/>
      <c r="BQ93" s="484"/>
      <c r="BR93" s="622">
        <f t="shared" si="1"/>
        <v>38.799999999999997</v>
      </c>
      <c r="BS93" s="623" t="s">
        <v>404</v>
      </c>
      <c r="BT93" s="659"/>
    </row>
    <row r="94" spans="1:73" x14ac:dyDescent="0.25">
      <c r="A94" s="484">
        <v>33</v>
      </c>
      <c r="B94" s="619">
        <f>+VLOOKUP(C94,'Erection Compiled'!$C$186:$H$356,5,FALSE)</f>
        <v>45916</v>
      </c>
      <c r="C94" s="625" t="s">
        <v>85</v>
      </c>
      <c r="D94" s="620" t="str">
        <f>+VLOOKUP(C94,Foundation!$C$8:$D$495,2,FALSE)</f>
        <v>DA+3</v>
      </c>
      <c r="E94" s="622">
        <f>+VLOOKUP(C94,'Erection Compiled'!$C$7:$J$356,7,FALSE)</f>
        <v>0</v>
      </c>
      <c r="F94" s="485" t="str">
        <f>+VLOOKUP(C94,'Erection Compiled'!$C$189:$G$356,3,FALSE)</f>
        <v>Sandy</v>
      </c>
      <c r="G94" s="485">
        <f>+VLOOKUP(C94,'Erection Compiled'!$C$189:$G$356,4,FALSE)</f>
        <v>45898</v>
      </c>
      <c r="H94" s="621"/>
      <c r="I94" s="622"/>
      <c r="J94" s="621"/>
      <c r="K94" s="621"/>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665">
        <v>3.2</v>
      </c>
      <c r="AN94" s="665">
        <v>3.2</v>
      </c>
      <c r="AO94" s="665">
        <v>3.2</v>
      </c>
      <c r="AP94" s="665"/>
      <c r="AQ94" s="665">
        <v>3.2</v>
      </c>
      <c r="AR94" s="665">
        <v>3.2</v>
      </c>
      <c r="AS94" s="665">
        <v>3.2</v>
      </c>
      <c r="AT94" s="484">
        <v>4.0999999999999996</v>
      </c>
      <c r="AU94" s="484">
        <v>4.3</v>
      </c>
      <c r="AV94" s="484">
        <v>3.9</v>
      </c>
      <c r="AW94" s="484">
        <v>5.0999999999999996</v>
      </c>
      <c r="AX94" s="484">
        <v>4.8</v>
      </c>
      <c r="AY94" s="484">
        <v>4.2</v>
      </c>
      <c r="AZ94" s="484">
        <v>2.0446108421052629</v>
      </c>
      <c r="BA94" s="484">
        <v>2.0446108421052629</v>
      </c>
      <c r="BB94" s="484">
        <v>2.0446108421052629</v>
      </c>
      <c r="BC94" s="484"/>
      <c r="BD94" s="484"/>
      <c r="BE94" s="484"/>
      <c r="BF94" s="484"/>
      <c r="BG94" s="484"/>
      <c r="BH94" s="484"/>
      <c r="BI94" s="484"/>
      <c r="BJ94" s="484"/>
      <c r="BK94" s="484"/>
      <c r="BL94" s="484"/>
      <c r="BM94" s="484"/>
      <c r="BN94" s="484"/>
      <c r="BO94" s="484"/>
      <c r="BP94" s="484"/>
      <c r="BQ94" s="484"/>
      <c r="BR94" s="622">
        <f t="shared" si="1"/>
        <v>51.733832526315787</v>
      </c>
      <c r="BS94" s="623" t="s">
        <v>404</v>
      </c>
      <c r="BT94" s="659"/>
    </row>
    <row r="95" spans="1:73" x14ac:dyDescent="0.25">
      <c r="A95" s="484">
        <v>34</v>
      </c>
      <c r="B95" s="619">
        <f>+VLOOKUP(C95,'Erection Compiled'!$C$186:$H$356,5,FALSE)</f>
        <v>45922</v>
      </c>
      <c r="C95" s="625" t="s">
        <v>448</v>
      </c>
      <c r="D95" s="620" t="str">
        <f>+VLOOKUP(C95,Foundation!$C$8:$D$495,2,FALSE)</f>
        <v>DA+3</v>
      </c>
      <c r="E95" s="622">
        <f>+VLOOKUP(C95,'Erection Compiled'!$C$7:$J$356,7,FALSE)</f>
        <v>0</v>
      </c>
      <c r="F95" s="485" t="str">
        <f>+VLOOKUP(C95,'Erection Compiled'!$C$189:$G$356,3,FALSE)</f>
        <v>Sandy</v>
      </c>
      <c r="G95" s="485">
        <f>+VLOOKUP(C95,'Erection Compiled'!$C$189:$G$356,4,FALSE)</f>
        <v>45909</v>
      </c>
      <c r="H95" s="621"/>
      <c r="I95" s="622"/>
      <c r="J95" s="621"/>
      <c r="K95" s="621"/>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v>2.1</v>
      </c>
      <c r="AV95" s="484">
        <v>2.9</v>
      </c>
      <c r="AW95" s="484">
        <v>3.1</v>
      </c>
      <c r="AX95" s="484">
        <v>3.5</v>
      </c>
      <c r="AY95" s="484">
        <v>3.3</v>
      </c>
      <c r="AZ95" s="484">
        <v>2.7748289999999995</v>
      </c>
      <c r="BA95" s="484">
        <v>2.7748289999999995</v>
      </c>
      <c r="BB95" s="484">
        <v>2.7748289999999995</v>
      </c>
      <c r="BC95" s="484">
        <v>2.7748289999999995</v>
      </c>
      <c r="BD95" s="484">
        <v>2.7748289999999995</v>
      </c>
      <c r="BE95" s="484">
        <v>2.7748289999999995</v>
      </c>
      <c r="BF95" s="484">
        <v>2.7748289999999995</v>
      </c>
      <c r="BG95" s="484">
        <v>2.7748289999999995</v>
      </c>
      <c r="BH95" s="484">
        <f>2.774829-1.03</f>
        <v>1.744829</v>
      </c>
      <c r="BI95" s="484"/>
      <c r="BJ95" s="484"/>
      <c r="BK95" s="484"/>
      <c r="BL95" s="484"/>
      <c r="BM95" s="484"/>
      <c r="BN95" s="484"/>
      <c r="BO95" s="484"/>
      <c r="BP95" s="484"/>
      <c r="BQ95" s="484"/>
      <c r="BR95" s="622">
        <f t="shared" si="1"/>
        <v>38.843460999999998</v>
      </c>
      <c r="BS95" s="623" t="s">
        <v>404</v>
      </c>
      <c r="BT95" s="659"/>
    </row>
    <row r="96" spans="1:73" x14ac:dyDescent="0.25">
      <c r="A96" s="484">
        <v>35</v>
      </c>
      <c r="B96" s="619">
        <f>+VLOOKUP(C96,'Erection Compiled'!$C$186:$H$356,5,FALSE)</f>
        <v>45922</v>
      </c>
      <c r="C96" s="625" t="s">
        <v>568</v>
      </c>
      <c r="D96" s="620" t="str">
        <f>+VLOOKUP(C96,Foundation!$C$8:$D$495,2,FALSE)</f>
        <v>DA+0</v>
      </c>
      <c r="E96" s="622">
        <f>+VLOOKUP(C96,'Erection Compiled'!$C$7:$J$356,7,FALSE)</f>
        <v>0</v>
      </c>
      <c r="F96" s="485" t="str">
        <f>+VLOOKUP(C96,'Erection Compiled'!$C$189:$G$356,3,FALSE)</f>
        <v>DRY</v>
      </c>
      <c r="G96" s="485">
        <f>+VLOOKUP(C96,'Erection Compiled'!$C$189:$G$356,4,FALSE)</f>
        <v>45909</v>
      </c>
      <c r="H96" s="621"/>
      <c r="I96" s="622"/>
      <c r="J96" s="621"/>
      <c r="K96" s="621"/>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v>2.1</v>
      </c>
      <c r="AV96" s="484">
        <v>2.9</v>
      </c>
      <c r="AW96" s="484">
        <v>3.1</v>
      </c>
      <c r="AX96" s="484">
        <v>3.5</v>
      </c>
      <c r="AY96" s="484">
        <v>3.3</v>
      </c>
      <c r="AZ96" s="484">
        <v>2.6788837142857145</v>
      </c>
      <c r="BA96" s="484">
        <v>2.6788837142857145</v>
      </c>
      <c r="BB96" s="484">
        <v>2.1</v>
      </c>
      <c r="BC96" s="484">
        <v>2.1</v>
      </c>
      <c r="BD96" s="484">
        <v>2.1</v>
      </c>
      <c r="BE96" s="484">
        <v>2.6788837142857145</v>
      </c>
      <c r="BF96" s="484">
        <v>2.6788837142857145</v>
      </c>
      <c r="BG96" s="484">
        <v>2.6788837142857145</v>
      </c>
      <c r="BH96" s="484">
        <v>2.9</v>
      </c>
      <c r="BI96" s="484"/>
      <c r="BJ96" s="484"/>
      <c r="BK96" s="484"/>
      <c r="BL96" s="484"/>
      <c r="BM96" s="484"/>
      <c r="BN96" s="484"/>
      <c r="BO96" s="484"/>
      <c r="BP96" s="484"/>
      <c r="BQ96" s="484"/>
      <c r="BR96" s="622">
        <f t="shared" si="1"/>
        <v>37.494418571428575</v>
      </c>
      <c r="BS96" s="623" t="s">
        <v>404</v>
      </c>
      <c r="BT96" s="659"/>
    </row>
    <row r="97" spans="1:72" x14ac:dyDescent="0.25">
      <c r="A97" s="484">
        <v>36</v>
      </c>
      <c r="B97" s="619">
        <f>+VLOOKUP(C97,'Erection Compiled'!$C$186:$H$356,5,FALSE)</f>
        <v>45930</v>
      </c>
      <c r="C97" s="625" t="s">
        <v>525</v>
      </c>
      <c r="D97" s="620" t="str">
        <f>+VLOOKUP(C97,Foundation!$C$8:$D$495,2,FALSE)</f>
        <v>DA+6</v>
      </c>
      <c r="E97" s="622">
        <f>+VLOOKUP(C97,'Erection Compiled'!$C$7:$J$356,7,FALSE)</f>
        <v>0</v>
      </c>
      <c r="F97" s="485" t="str">
        <f>+VLOOKUP(C97,'Erection Compiled'!$C$189:$G$356,3,FALSE)</f>
        <v>Sandy</v>
      </c>
      <c r="G97" s="485">
        <f>+VLOOKUP(C97,'Erection Compiled'!$C$189:$G$356,4,FALSE)</f>
        <v>45910</v>
      </c>
      <c r="H97" s="621"/>
      <c r="I97" s="622"/>
      <c r="J97" s="621"/>
      <c r="K97" s="621"/>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v>2.6</v>
      </c>
      <c r="AV97" s="484">
        <v>2.8</v>
      </c>
      <c r="AW97" s="484"/>
      <c r="AX97" s="484"/>
      <c r="AY97" s="484"/>
      <c r="AZ97" s="484">
        <v>2.162525142857143</v>
      </c>
      <c r="BA97" s="484">
        <v>2.162525142857143</v>
      </c>
      <c r="BB97" s="484">
        <v>2.162525142857143</v>
      </c>
      <c r="BC97" s="484">
        <v>2.162525142857143</v>
      </c>
      <c r="BD97" s="484">
        <v>2.162525142857143</v>
      </c>
      <c r="BE97" s="484">
        <v>2.162525142857143</v>
      </c>
      <c r="BF97" s="484">
        <v>2.162525142857143</v>
      </c>
      <c r="BG97" s="484">
        <v>2.162525142857143</v>
      </c>
      <c r="BH97" s="484">
        <v>2.162525142857143</v>
      </c>
      <c r="BI97" s="484">
        <v>2.162525142857143</v>
      </c>
      <c r="BJ97" s="484">
        <v>2.162525142857143</v>
      </c>
      <c r="BK97" s="484"/>
      <c r="BL97" s="484">
        <v>3.02</v>
      </c>
      <c r="BM97" s="484">
        <v>3.61</v>
      </c>
      <c r="BN97" s="484">
        <v>3.1</v>
      </c>
      <c r="BO97" s="484">
        <v>3.4</v>
      </c>
      <c r="BP97" s="484">
        <v>3.1</v>
      </c>
      <c r="BQ97" s="484"/>
      <c r="BR97" s="622">
        <f t="shared" si="1"/>
        <v>45.417776571428568</v>
      </c>
      <c r="BS97" s="623" t="s">
        <v>404</v>
      </c>
      <c r="BT97" s="659"/>
    </row>
    <row r="98" spans="1:72" x14ac:dyDescent="0.25">
      <c r="A98" s="484">
        <v>37</v>
      </c>
      <c r="B98" s="619">
        <f>+VLOOKUP(C98,'Erection Compiled'!$C$186:$H$356,5,FALSE)</f>
        <v>45918</v>
      </c>
      <c r="C98" s="625" t="s">
        <v>464</v>
      </c>
      <c r="D98" s="620" t="str">
        <f>+VLOOKUP(C98,Foundation!$C$8:$D$495,2,FALSE)</f>
        <v>DA+3</v>
      </c>
      <c r="E98" s="622">
        <f>+VLOOKUP(C98,'Erection Compiled'!$C$7:$J$356,7,FALSE)</f>
        <v>0</v>
      </c>
      <c r="F98" s="485" t="str">
        <f>+VLOOKUP(C98,'Erection Compiled'!$C$189:$G$356,3,FALSE)</f>
        <v>DRY</v>
      </c>
      <c r="G98" s="485">
        <f>+VLOOKUP(C98,'Erection Compiled'!$C$189:$G$356,4,FALSE)</f>
        <v>45912</v>
      </c>
      <c r="H98" s="621"/>
      <c r="I98" s="622"/>
      <c r="J98" s="621"/>
      <c r="K98" s="621"/>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v>2.9</v>
      </c>
      <c r="AY98" s="484">
        <v>4.0999999999999996</v>
      </c>
      <c r="AZ98" s="484">
        <v>6.5</v>
      </c>
      <c r="BA98" s="484">
        <v>6.7</v>
      </c>
      <c r="BB98" s="484">
        <v>6.4</v>
      </c>
      <c r="BC98" s="484">
        <v>6.7</v>
      </c>
      <c r="BD98" s="484">
        <v>5.5496579999999991</v>
      </c>
      <c r="BE98" s="484"/>
      <c r="BF98" s="484"/>
      <c r="BG98" s="484"/>
      <c r="BH98" s="484"/>
      <c r="BI98" s="484"/>
      <c r="BJ98" s="484"/>
      <c r="BK98" s="484"/>
      <c r="BL98" s="484"/>
      <c r="BM98" s="484"/>
      <c r="BN98" s="484"/>
      <c r="BO98" s="484"/>
      <c r="BP98" s="484"/>
      <c r="BQ98" s="484"/>
      <c r="BR98" s="622">
        <f t="shared" si="1"/>
        <v>38.849658000000005</v>
      </c>
      <c r="BS98" s="623" t="s">
        <v>404</v>
      </c>
      <c r="BT98" s="659"/>
    </row>
    <row r="99" spans="1:72" x14ac:dyDescent="0.25">
      <c r="A99" s="484">
        <v>38</v>
      </c>
      <c r="B99" s="619">
        <f>+VLOOKUP(C99,'Erection Compiled'!$C$186:$H$356,5,FALSE)</f>
        <v>45923</v>
      </c>
      <c r="C99" s="625" t="s">
        <v>461</v>
      </c>
      <c r="D99" s="620" t="str">
        <f>+VLOOKUP(C99,Foundation!$C$8:$D$495,2,FALSE)</f>
        <v>DA+3</v>
      </c>
      <c r="E99" s="622">
        <f>+VLOOKUP(C99,'Erection Compiled'!$C$7:$J$356,7,FALSE)</f>
        <v>0</v>
      </c>
      <c r="F99" s="485" t="str">
        <f>+VLOOKUP(C99,'Erection Compiled'!$C$189:$G$356,3,FALSE)</f>
        <v>DRY</v>
      </c>
      <c r="G99" s="485">
        <f>+VLOOKUP(C99,'Erection Compiled'!$C$189:$G$356,4,FALSE)</f>
        <v>45912</v>
      </c>
      <c r="H99" s="621"/>
      <c r="I99" s="622"/>
      <c r="J99" s="621"/>
      <c r="K99" s="621"/>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v>2.6</v>
      </c>
      <c r="AY99" s="484">
        <v>3.1</v>
      </c>
      <c r="AZ99" s="484">
        <v>3.2373004999999995</v>
      </c>
      <c r="BA99" s="484">
        <v>3.2373004999999995</v>
      </c>
      <c r="BB99" s="484">
        <v>3.2373004999999995</v>
      </c>
      <c r="BC99" s="484">
        <v>3.2373004999999995</v>
      </c>
      <c r="BD99" s="484">
        <v>3.2373004999999995</v>
      </c>
      <c r="BE99" s="484">
        <v>3.2373004999999995</v>
      </c>
      <c r="BF99" s="484">
        <v>3.2373004999999995</v>
      </c>
      <c r="BG99" s="484">
        <v>3.2373004999999995</v>
      </c>
      <c r="BH99" s="484">
        <v>3.2373004999999995</v>
      </c>
      <c r="BI99" s="484">
        <f>3.2373005+0.77</f>
        <v>4.0073004999999995</v>
      </c>
      <c r="BJ99" s="484"/>
      <c r="BK99" s="484"/>
      <c r="BL99" s="484"/>
      <c r="BM99" s="484"/>
      <c r="BN99" s="484"/>
      <c r="BO99" s="484"/>
      <c r="BP99" s="484"/>
      <c r="BQ99" s="484"/>
      <c r="BR99" s="622">
        <f t="shared" si="1"/>
        <v>38.843004999999998</v>
      </c>
      <c r="BS99" s="623" t="s">
        <v>404</v>
      </c>
      <c r="BT99" s="659"/>
    </row>
    <row r="100" spans="1:72" x14ac:dyDescent="0.25">
      <c r="A100" s="484">
        <v>39</v>
      </c>
      <c r="B100" s="619">
        <f>+VLOOKUP(C100,'Erection Compiled'!$C$186:$H$356,5,FALSE)</f>
        <v>45922</v>
      </c>
      <c r="C100" s="625" t="s">
        <v>527</v>
      </c>
      <c r="D100" s="620" t="str">
        <f>+VLOOKUP(C100,Foundation!$C$8:$D$495,2,FALSE)</f>
        <v>DA+6</v>
      </c>
      <c r="E100" s="622">
        <f>+VLOOKUP(C100,'Erection Compiled'!$C$7:$J$356,7,FALSE)</f>
        <v>0</v>
      </c>
      <c r="F100" s="485" t="str">
        <f>+VLOOKUP(C100,'Erection Compiled'!$C$189:$G$356,3,FALSE)</f>
        <v>DFR</v>
      </c>
      <c r="G100" s="485">
        <f>+VLOOKUP(C100,'Erection Compiled'!$C$189:$G$356,4,FALSE)</f>
        <v>45919</v>
      </c>
      <c r="H100" s="621"/>
      <c r="I100" s="622"/>
      <c r="J100" s="621"/>
      <c r="K100" s="621"/>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v>11.353257000000001</v>
      </c>
      <c r="BF100" s="484">
        <v>11.353257000000001</v>
      </c>
      <c r="BG100" s="484">
        <v>11.353257000000001</v>
      </c>
      <c r="BH100" s="484">
        <v>11.353257000000001</v>
      </c>
      <c r="BI100" s="484"/>
      <c r="BJ100" s="484"/>
      <c r="BK100" s="484"/>
      <c r="BL100" s="484"/>
      <c r="BM100" s="484"/>
      <c r="BN100" s="484"/>
      <c r="BO100" s="484"/>
      <c r="BP100" s="484"/>
      <c r="BQ100" s="484"/>
      <c r="BR100" s="622">
        <f t="shared" ref="BR100:BR114" si="2">+SUM(H100:BQ100)</f>
        <v>45.413028000000004</v>
      </c>
      <c r="BS100" s="623" t="s">
        <v>404</v>
      </c>
      <c r="BT100" s="659"/>
    </row>
    <row r="101" spans="1:72" x14ac:dyDescent="0.25">
      <c r="A101" s="484">
        <v>40</v>
      </c>
      <c r="B101" s="619">
        <f>+VLOOKUP(C101,'Erection Compiled'!$C$186:$H$356,5,FALSE)</f>
        <v>45922</v>
      </c>
      <c r="C101" s="625" t="s">
        <v>734</v>
      </c>
      <c r="D101" s="620" t="str">
        <f>+VLOOKUP(C101,Foundation!$C$8:$D$495,2,FALSE)</f>
        <v>DA+3</v>
      </c>
      <c r="E101" s="622">
        <f>+VLOOKUP(C101,'Erection Compiled'!$C$7:$J$356,7,FALSE)</f>
        <v>0</v>
      </c>
      <c r="F101" s="485" t="str">
        <f>+VLOOKUP(C101,'Erection Compiled'!$C$189:$G$356,3,FALSE)</f>
        <v>Sandy</v>
      </c>
      <c r="G101" s="485">
        <f>+VLOOKUP(C101,'Erection Compiled'!$C$189:$G$356,4,FALSE)</f>
        <v>45919</v>
      </c>
      <c r="H101" s="621"/>
      <c r="I101" s="622"/>
      <c r="J101" s="621"/>
      <c r="K101" s="621"/>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v>9.711901499999998</v>
      </c>
      <c r="BF101" s="484">
        <v>9.711901499999998</v>
      </c>
      <c r="BG101" s="484">
        <v>9.711901499999998</v>
      </c>
      <c r="BH101" s="484">
        <v>9.711901499999998</v>
      </c>
      <c r="BI101" s="484"/>
      <c r="BJ101" s="484"/>
      <c r="BK101" s="484"/>
      <c r="BL101" s="484"/>
      <c r="BM101" s="484"/>
      <c r="BN101" s="484"/>
      <c r="BO101" s="484"/>
      <c r="BP101" s="484"/>
      <c r="BQ101" s="484"/>
      <c r="BR101" s="622">
        <f t="shared" si="2"/>
        <v>38.847605999999992</v>
      </c>
      <c r="BS101" s="623" t="s">
        <v>404</v>
      </c>
      <c r="BT101" s="659"/>
    </row>
    <row r="102" spans="1:72" s="676" customFormat="1" x14ac:dyDescent="0.25">
      <c r="A102" s="668">
        <v>41</v>
      </c>
      <c r="B102" s="669">
        <f>+VLOOKUP(C102,'Erection Compiled'!$C$186:$H$356,5,FALSE)</f>
        <v>45923</v>
      </c>
      <c r="C102" s="670" t="s">
        <v>197</v>
      </c>
      <c r="D102" s="620" t="str">
        <f>+VLOOKUP(C102,Foundation!$C$8:$D$495,2,FALSE)</f>
        <v>DA+0</v>
      </c>
      <c r="E102" s="622">
        <f>+VLOOKUP(C102,'Erection Compiled'!$C$7:$J$356,7,FALSE)</f>
        <v>0</v>
      </c>
      <c r="F102" s="673" t="str">
        <f>+VLOOKUP(C102,'Erection Compiled'!$C$189:$G$356,3,FALSE)</f>
        <v>Sandy</v>
      </c>
      <c r="G102" s="673">
        <f>+VLOOKUP(C102,'Erection Compiled'!$C$189:$G$356,4,FALSE)</f>
        <v>45910</v>
      </c>
      <c r="H102" s="674"/>
      <c r="I102" s="672"/>
      <c r="J102" s="674"/>
      <c r="K102" s="674"/>
      <c r="L102" s="668"/>
      <c r="M102" s="668"/>
      <c r="N102" s="668"/>
      <c r="O102" s="668"/>
      <c r="P102" s="668"/>
      <c r="Q102" s="668"/>
      <c r="R102" s="668"/>
      <c r="S102" s="668"/>
      <c r="T102" s="668"/>
      <c r="U102" s="668"/>
      <c r="V102" s="668"/>
      <c r="W102" s="668"/>
      <c r="X102" s="668"/>
      <c r="Y102" s="668"/>
      <c r="Z102" s="668"/>
      <c r="AA102" s="668"/>
      <c r="AB102" s="668"/>
      <c r="AC102" s="668"/>
      <c r="AD102" s="668"/>
      <c r="AE102" s="668"/>
      <c r="AF102" s="668"/>
      <c r="AG102" s="668"/>
      <c r="AH102" s="668"/>
      <c r="AI102" s="668"/>
      <c r="AJ102" s="668"/>
      <c r="AK102" s="668"/>
      <c r="AL102" s="668"/>
      <c r="AM102" s="668"/>
      <c r="AN102" s="668"/>
      <c r="AO102" s="668"/>
      <c r="AP102" s="668"/>
      <c r="AQ102" s="668"/>
      <c r="AR102" s="668"/>
      <c r="AS102" s="668"/>
      <c r="AT102" s="668"/>
      <c r="AU102" s="668"/>
      <c r="AV102" s="668">
        <v>3.5</v>
      </c>
      <c r="AW102" s="668">
        <v>3.5</v>
      </c>
      <c r="AX102" s="668">
        <v>3.5</v>
      </c>
      <c r="AY102" s="668">
        <v>3.5</v>
      </c>
      <c r="AZ102" s="668">
        <v>3.5</v>
      </c>
      <c r="BA102" s="668">
        <v>3.5</v>
      </c>
      <c r="BB102" s="668">
        <v>3.5</v>
      </c>
      <c r="BC102" s="668">
        <v>3.5</v>
      </c>
      <c r="BD102" s="668">
        <v>3.5</v>
      </c>
      <c r="BE102" s="668">
        <v>3.5</v>
      </c>
      <c r="BF102" s="668"/>
      <c r="BG102" s="668"/>
      <c r="BH102" s="668"/>
      <c r="BI102" s="668">
        <f>3.85-1.35</f>
        <v>2.5</v>
      </c>
      <c r="BJ102" s="668"/>
      <c r="BK102" s="668"/>
      <c r="BL102" s="668"/>
      <c r="BM102" s="668"/>
      <c r="BN102" s="668"/>
      <c r="BO102" s="668"/>
      <c r="BP102" s="668"/>
      <c r="BQ102" s="668"/>
      <c r="BR102" s="672">
        <f t="shared" si="2"/>
        <v>37.5</v>
      </c>
      <c r="BS102" s="675" t="s">
        <v>404</v>
      </c>
      <c r="BT102" s="677"/>
    </row>
    <row r="103" spans="1:72" x14ac:dyDescent="0.25">
      <c r="A103" s="484">
        <v>42</v>
      </c>
      <c r="B103" s="619">
        <f>+VLOOKUP(C103,'Erection Compiled'!$C$186:$H$356,5,FALSE)</f>
        <v>45927</v>
      </c>
      <c r="C103" s="625" t="s">
        <v>30</v>
      </c>
      <c r="D103" s="620" t="str">
        <f>+VLOOKUP(C103,Foundation!$C$8:$D$495,2,FALSE)</f>
        <v>DB2+0</v>
      </c>
      <c r="E103" s="622">
        <f>+VLOOKUP(C103,'Erection Compiled'!$C$7:$J$356,7,FALSE)</f>
        <v>0</v>
      </c>
      <c r="F103" s="485" t="str">
        <f>+VLOOKUP(C103,'Erection Compiled'!$C$189:$G$356,3,FALSE)</f>
        <v>Sandy</v>
      </c>
      <c r="G103" s="485">
        <f>+VLOOKUP(C103,'Erection Compiled'!$C$189:$G$356,4,FALSE)</f>
        <v>45916</v>
      </c>
      <c r="H103" s="621"/>
      <c r="I103" s="622"/>
      <c r="J103" s="621"/>
      <c r="K103" s="621"/>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2">
        <v>4.7997700833333328</v>
      </c>
      <c r="BC103" s="482">
        <v>4.7997700833333328</v>
      </c>
      <c r="BD103" s="482">
        <v>4.7997700833333328</v>
      </c>
      <c r="BE103" s="482">
        <v>4.7997700833333328</v>
      </c>
      <c r="BF103" s="482">
        <v>4.7997700833333328</v>
      </c>
      <c r="BG103" s="482">
        <v>4.7997700833333328</v>
      </c>
      <c r="BH103" s="482">
        <v>4.7997700833333328</v>
      </c>
      <c r="BI103" s="482">
        <v>4.7997700833333328</v>
      </c>
      <c r="BJ103" s="482">
        <v>4.7997700833333328</v>
      </c>
      <c r="BK103" s="482">
        <v>4.7997700833333328</v>
      </c>
      <c r="BL103" s="482">
        <v>4.7997700833333328</v>
      </c>
      <c r="BM103" s="482">
        <v>4.7997700833333328</v>
      </c>
      <c r="BN103" s="484"/>
      <c r="BO103" s="484"/>
      <c r="BP103" s="484"/>
      <c r="BQ103" s="484"/>
      <c r="BR103" s="622">
        <f t="shared" si="2"/>
        <v>57.597241000000004</v>
      </c>
      <c r="BS103" s="623" t="s">
        <v>404</v>
      </c>
      <c r="BT103" s="659"/>
    </row>
    <row r="104" spans="1:72" x14ac:dyDescent="0.25">
      <c r="A104" s="484">
        <v>43</v>
      </c>
      <c r="B104" s="619">
        <f>+VLOOKUP(C104,'Erection Compiled'!$C$186:$H$356,5,FALSE)</f>
        <v>45927</v>
      </c>
      <c r="C104" s="625" t="s">
        <v>88</v>
      </c>
      <c r="D104" s="620" t="str">
        <f>+VLOOKUP(C104,Foundation!$C$8:$D$495,2,FALSE)</f>
        <v>DB2+0</v>
      </c>
      <c r="E104" s="622">
        <f>+VLOOKUP(C104,'Erection Compiled'!$C$7:$J$356,7,FALSE)</f>
        <v>0</v>
      </c>
      <c r="F104" s="485" t="str">
        <f>+VLOOKUP(C104,'Erection Compiled'!$C$189:$G$356,3,FALSE)</f>
        <v>Sandy</v>
      </c>
      <c r="G104" s="485">
        <f>+VLOOKUP(C104,'Erection Compiled'!$C$189:$G$356,4,FALSE)</f>
        <v>45916</v>
      </c>
      <c r="H104" s="621"/>
      <c r="I104" s="622"/>
      <c r="J104" s="621"/>
      <c r="K104" s="621"/>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2">
        <v>4.7997700833333328</v>
      </c>
      <c r="BC104" s="482">
        <v>4.7997700833333328</v>
      </c>
      <c r="BD104" s="482">
        <v>4.7997700833333328</v>
      </c>
      <c r="BE104" s="482">
        <v>4.7997700833333328</v>
      </c>
      <c r="BF104" s="482">
        <v>4.7997700833333328</v>
      </c>
      <c r="BG104" s="482">
        <v>4.7997700833333328</v>
      </c>
      <c r="BH104" s="482">
        <v>4.7997700833333328</v>
      </c>
      <c r="BI104" s="482">
        <v>4.7997700833333328</v>
      </c>
      <c r="BJ104" s="482">
        <v>4.7997700833333328</v>
      </c>
      <c r="BK104" s="482">
        <v>4.7997700833333328</v>
      </c>
      <c r="BL104" s="482">
        <v>4.7997700833333328</v>
      </c>
      <c r="BM104" s="482">
        <v>4.7997700833333328</v>
      </c>
      <c r="BN104" s="484"/>
      <c r="BO104" s="484"/>
      <c r="BP104" s="484"/>
      <c r="BQ104" s="484"/>
      <c r="BR104" s="622">
        <f t="shared" si="2"/>
        <v>57.597241000000004</v>
      </c>
      <c r="BS104" s="623" t="s">
        <v>404</v>
      </c>
      <c r="BT104" s="659"/>
    </row>
    <row r="105" spans="1:72" x14ac:dyDescent="0.25">
      <c r="A105" s="484">
        <v>44</v>
      </c>
      <c r="B105" s="619">
        <f>+VLOOKUP(C105,'Erection Compiled'!$C$186:$H$356,5,FALSE)</f>
        <v>45929</v>
      </c>
      <c r="C105" s="625" t="s">
        <v>31</v>
      </c>
      <c r="D105" s="620" t="str">
        <f>+VLOOKUP(C105,Foundation!$C$8:$D$495,2,FALSE)</f>
        <v>DB2+0</v>
      </c>
      <c r="E105" s="622">
        <f>+VLOOKUP(C105,'Erection Compiled'!$C$7:$J$356,7,FALSE)</f>
        <v>0</v>
      </c>
      <c r="F105" s="485" t="str">
        <f>+VLOOKUP(C105,'Erection Compiled'!$C$189:$G$356,3,FALSE)</f>
        <v>Sandy</v>
      </c>
      <c r="G105" s="485">
        <f>+VLOOKUP(C105,'Erection Compiled'!$C$189:$G$356,4,FALSE)</f>
        <v>45920</v>
      </c>
      <c r="H105" s="621"/>
      <c r="I105" s="622"/>
      <c r="J105" s="621"/>
      <c r="K105" s="621"/>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v>5.76</v>
      </c>
      <c r="BG105" s="484">
        <v>5.76</v>
      </c>
      <c r="BH105" s="484">
        <v>5.76</v>
      </c>
      <c r="BI105" s="484">
        <v>5.76</v>
      </c>
      <c r="BJ105" s="484">
        <v>5.76</v>
      </c>
      <c r="BK105" s="484">
        <v>5.76</v>
      </c>
      <c r="BL105" s="484">
        <v>5.76</v>
      </c>
      <c r="BM105" s="484">
        <v>5.76</v>
      </c>
      <c r="BN105" s="484">
        <v>5.76</v>
      </c>
      <c r="BO105" s="484">
        <v>5.76</v>
      </c>
      <c r="BP105" s="484"/>
      <c r="BQ105" s="484"/>
      <c r="BR105" s="622">
        <f t="shared" si="2"/>
        <v>57.599999999999987</v>
      </c>
      <c r="BS105" s="623" t="s">
        <v>404</v>
      </c>
      <c r="BT105" s="659"/>
    </row>
    <row r="106" spans="1:72" x14ac:dyDescent="0.25">
      <c r="A106" s="484">
        <v>45</v>
      </c>
      <c r="B106" s="619">
        <f>+VLOOKUP(C106,'Erection Compiled'!$C$186:$H$356,5,FALSE)</f>
        <v>45929</v>
      </c>
      <c r="C106" s="625" t="s">
        <v>94</v>
      </c>
      <c r="D106" s="620" t="str">
        <f>+VLOOKUP(C106,Foundation!$C$8:$D$495,2,FALSE)</f>
        <v>DD60+25</v>
      </c>
      <c r="E106" s="622">
        <f>+VLOOKUP(C106,'Erection Compiled'!$C$7:$J$356,7,FALSE)</f>
        <v>0</v>
      </c>
      <c r="F106" s="485" t="str">
        <f>+VLOOKUP(C106,'Erection Compiled'!$C$189:$G$356,3,FALSE)</f>
        <v>Sandy</v>
      </c>
      <c r="G106" s="485">
        <f>+VLOOKUP(C106,'Erection Compiled'!$C$189:$G$356,4,FALSE)</f>
        <v>45915</v>
      </c>
      <c r="H106" s="621"/>
      <c r="I106" s="622"/>
      <c r="J106" s="621"/>
      <c r="K106" s="621"/>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v>9.573458200000001</v>
      </c>
      <c r="BB106" s="484">
        <v>9.573458200000001</v>
      </c>
      <c r="BC106" s="484">
        <v>9.573458200000001</v>
      </c>
      <c r="BD106" s="484">
        <v>9.573458200000001</v>
      </c>
      <c r="BE106" s="484">
        <v>9.573458200000001</v>
      </c>
      <c r="BF106" s="484">
        <v>9.573458200000001</v>
      </c>
      <c r="BG106" s="484">
        <v>9.573458200000001</v>
      </c>
      <c r="BH106" s="484">
        <v>9.573458200000001</v>
      </c>
      <c r="BI106" s="484">
        <v>9.573458200000001</v>
      </c>
      <c r="BJ106" s="484">
        <v>9.573458200000001</v>
      </c>
      <c r="BK106" s="484">
        <v>9.573458200000001</v>
      </c>
      <c r="BL106" s="484">
        <v>9.573458200000001</v>
      </c>
      <c r="BM106" s="484">
        <v>9.573458200000001</v>
      </c>
      <c r="BN106" s="484">
        <v>9.573458200000001</v>
      </c>
      <c r="BO106" s="484">
        <v>9.573458200000001</v>
      </c>
      <c r="BP106" s="484"/>
      <c r="BQ106" s="484"/>
      <c r="BR106" s="622">
        <f t="shared" si="2"/>
        <v>143.60187300000004</v>
      </c>
      <c r="BS106" s="623" t="s">
        <v>404</v>
      </c>
      <c r="BT106" s="659"/>
    </row>
    <row r="107" spans="1:72" x14ac:dyDescent="0.25">
      <c r="A107" s="484">
        <v>46</v>
      </c>
      <c r="B107" s="619">
        <f>+VLOOKUP(C107,'Erection Compiled'!$C$186:$H$356,5,FALSE)</f>
        <v>45930</v>
      </c>
      <c r="C107" s="625" t="s">
        <v>713</v>
      </c>
      <c r="D107" s="620" t="str">
        <f>+VLOOKUP(C107,Foundation!$C$8:$D$495,2,FALSE)</f>
        <v>DA+6</v>
      </c>
      <c r="E107" s="622">
        <f>+VLOOKUP(C107,'Erection Compiled'!$C$7:$J$356,7,FALSE)</f>
        <v>0</v>
      </c>
      <c r="F107" s="485" t="str">
        <f>+VLOOKUP(C107,'Erection Compiled'!$C$189:$G$356,3,FALSE)</f>
        <v>Sandy</v>
      </c>
      <c r="G107" s="485">
        <f>+VLOOKUP(C107,'Erection Compiled'!$C$189:$G$356,4,FALSE)</f>
        <v>45920</v>
      </c>
      <c r="H107" s="621"/>
      <c r="I107" s="622"/>
      <c r="J107" s="621"/>
      <c r="K107" s="621"/>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v>4.128457090909091</v>
      </c>
      <c r="BG107" s="484">
        <v>4.128457090909091</v>
      </c>
      <c r="BH107" s="484">
        <v>4.128457090909091</v>
      </c>
      <c r="BI107" s="484">
        <v>4.128457090909091</v>
      </c>
      <c r="BJ107" s="484">
        <v>4.128457090909091</v>
      </c>
      <c r="BK107" s="484">
        <v>4.128457090909091</v>
      </c>
      <c r="BL107" s="484">
        <v>4.128457090909091</v>
      </c>
      <c r="BM107" s="484">
        <v>4.128457090909091</v>
      </c>
      <c r="BN107" s="484">
        <v>4.128457090909091</v>
      </c>
      <c r="BO107" s="484">
        <v>4.128457090909091</v>
      </c>
      <c r="BP107" s="484">
        <v>4.128457090909091</v>
      </c>
      <c r="BQ107" s="484"/>
      <c r="BR107" s="622">
        <f>+SUM(H107:BQ107)</f>
        <v>45.413028000000011</v>
      </c>
      <c r="BS107" s="623" t="s">
        <v>404</v>
      </c>
      <c r="BT107" s="659"/>
    </row>
    <row r="108" spans="1:72" x14ac:dyDescent="0.25">
      <c r="A108" s="484">
        <v>47</v>
      </c>
      <c r="B108" s="619">
        <f>+VLOOKUP(C108,'Erection Compiled'!$C$186:$H$356,5,FALSE)</f>
        <v>45930</v>
      </c>
      <c r="C108" s="625" t="s">
        <v>732</v>
      </c>
      <c r="D108" s="620" t="str">
        <f>+VLOOKUP(C108,Foundation!$C$8:$D$495,2,FALSE)</f>
        <v>DB1+6</v>
      </c>
      <c r="E108" s="622">
        <f>+VLOOKUP(C108,'Erection Compiled'!$C$7:$J$356,7,FALSE)</f>
        <v>0</v>
      </c>
      <c r="F108" s="485" t="str">
        <f>+VLOOKUP(C108,'Erection Compiled'!$C$189:$G$356,3,FALSE)</f>
        <v>Sandy</v>
      </c>
      <c r="G108" s="485">
        <f>+VLOOKUP(C108,'Erection Compiled'!$C$189:$G$356,4,FALSE)</f>
        <v>45922</v>
      </c>
      <c r="H108" s="621"/>
      <c r="I108" s="622"/>
      <c r="J108" s="621"/>
      <c r="K108" s="621"/>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v>7.541516777777777</v>
      </c>
      <c r="BI108" s="484">
        <v>7.541516777777777</v>
      </c>
      <c r="BJ108" s="484">
        <v>7.541516777777777</v>
      </c>
      <c r="BK108" s="484">
        <v>7.541516777777777</v>
      </c>
      <c r="BL108" s="484">
        <v>7.541516777777777</v>
      </c>
      <c r="BM108" s="484">
        <v>7.541516777777777</v>
      </c>
      <c r="BN108" s="484">
        <v>7.541516777777777</v>
      </c>
      <c r="BO108" s="484">
        <v>7.541516777777777</v>
      </c>
      <c r="BP108" s="484">
        <v>7.541516777777777</v>
      </c>
      <c r="BQ108" s="484"/>
      <c r="BR108" s="622">
        <f t="shared" si="2"/>
        <v>67.873650999999995</v>
      </c>
      <c r="BS108" s="623" t="s">
        <v>404</v>
      </c>
      <c r="BT108" s="659"/>
    </row>
    <row r="109" spans="1:72" x14ac:dyDescent="0.25">
      <c r="A109" s="484">
        <v>48</v>
      </c>
      <c r="B109" s="619" t="s">
        <v>1488</v>
      </c>
      <c r="C109" s="625" t="s">
        <v>542</v>
      </c>
      <c r="D109" s="620" t="str">
        <f>+VLOOKUP(C109,Foundation!$C$8:$D$495,2,FALSE)</f>
        <v>DC2+0</v>
      </c>
      <c r="E109" s="622">
        <v>66.381106999999986</v>
      </c>
      <c r="F109" s="485">
        <v>45929</v>
      </c>
      <c r="G109" s="485" t="s">
        <v>124</v>
      </c>
      <c r="H109" s="621"/>
      <c r="I109" s="622"/>
      <c r="J109" s="621"/>
      <c r="K109" s="621"/>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484"/>
      <c r="BJ109" s="484"/>
      <c r="BK109" s="484"/>
      <c r="BL109" s="484"/>
      <c r="BM109" s="484"/>
      <c r="BN109" s="484"/>
      <c r="BO109" s="484"/>
      <c r="BP109" s="484">
        <v>3.2</v>
      </c>
      <c r="BQ109" s="484"/>
      <c r="BR109" s="622">
        <f t="shared" si="2"/>
        <v>3.2</v>
      </c>
      <c r="BS109" s="623" t="s">
        <v>124</v>
      </c>
      <c r="BT109" s="659"/>
    </row>
    <row r="110" spans="1:72" ht="25.5" x14ac:dyDescent="0.25">
      <c r="A110" s="484">
        <v>49</v>
      </c>
      <c r="B110" s="619" t="s">
        <v>1585</v>
      </c>
      <c r="C110" s="625" t="s">
        <v>89</v>
      </c>
      <c r="D110" s="620" t="str">
        <f>+VLOOKUP(C110,Foundation!$C$8:$D$495,2,FALSE)</f>
        <v>DD60+25</v>
      </c>
      <c r="E110" s="622">
        <v>143.60187300000001</v>
      </c>
      <c r="F110" s="485">
        <v>45929</v>
      </c>
      <c r="G110" s="485" t="s">
        <v>124</v>
      </c>
      <c r="H110" s="621"/>
      <c r="I110" s="622"/>
      <c r="J110" s="621"/>
      <c r="K110" s="621"/>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484"/>
      <c r="BJ110" s="484"/>
      <c r="BK110" s="484"/>
      <c r="BL110" s="484"/>
      <c r="BM110" s="484"/>
      <c r="BN110" s="484"/>
      <c r="BO110" s="484"/>
      <c r="BP110" s="484">
        <v>2.9</v>
      </c>
      <c r="BQ110" s="484"/>
      <c r="BR110" s="622">
        <f t="shared" si="2"/>
        <v>2.9</v>
      </c>
      <c r="BS110" s="623" t="s">
        <v>124</v>
      </c>
      <c r="BT110" s="659"/>
    </row>
    <row r="111" spans="1:72" x14ac:dyDescent="0.25">
      <c r="A111" s="484">
        <v>50</v>
      </c>
      <c r="B111" s="619" t="s">
        <v>593</v>
      </c>
      <c r="C111" s="625" t="s">
        <v>214</v>
      </c>
      <c r="D111" s="620" t="str">
        <f>+VLOOKUP(C111,Foundation!$C$8:$D$495,2,FALSE)</f>
        <v>DA+0</v>
      </c>
      <c r="E111" s="622">
        <v>37.5</v>
      </c>
      <c r="F111" s="485">
        <v>45927</v>
      </c>
      <c r="G111" s="485" t="s">
        <v>124</v>
      </c>
      <c r="H111" s="621"/>
      <c r="I111" s="622"/>
      <c r="J111" s="621"/>
      <c r="K111" s="621"/>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484"/>
      <c r="BJ111" s="484"/>
      <c r="BK111" s="484"/>
      <c r="BL111" s="484"/>
      <c r="BM111" s="484">
        <v>1.8</v>
      </c>
      <c r="BN111" s="484">
        <v>2.1</v>
      </c>
      <c r="BO111" s="484">
        <v>2.2999999999999998</v>
      </c>
      <c r="BP111" s="484">
        <v>2.2999999999999998</v>
      </c>
      <c r="BQ111" s="484"/>
      <c r="BR111" s="622">
        <f t="shared" si="2"/>
        <v>8.5</v>
      </c>
      <c r="BS111" s="623" t="s">
        <v>124</v>
      </c>
      <c r="BT111" s="659"/>
    </row>
    <row r="112" spans="1:72" x14ac:dyDescent="0.25">
      <c r="A112" s="484">
        <v>51</v>
      </c>
      <c r="B112" s="619" t="s">
        <v>1573</v>
      </c>
      <c r="C112" s="625" t="s">
        <v>564</v>
      </c>
      <c r="D112" s="620" t="str">
        <f>+VLOOKUP(C112,Foundation!$C$8:$D$495,2,FALSE)</f>
        <v>DA+0</v>
      </c>
      <c r="E112" s="622">
        <v>37.5</v>
      </c>
      <c r="F112" s="485">
        <v>45922</v>
      </c>
      <c r="G112" s="485" t="s">
        <v>124</v>
      </c>
      <c r="H112" s="621"/>
      <c r="I112" s="622"/>
      <c r="J112" s="621"/>
      <c r="K112" s="621"/>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v>2.9</v>
      </c>
      <c r="BI112" s="484">
        <v>2.9</v>
      </c>
      <c r="BJ112" s="484">
        <v>2.9</v>
      </c>
      <c r="BK112" s="484">
        <v>2.9</v>
      </c>
      <c r="BL112" s="484">
        <v>2.9</v>
      </c>
      <c r="BM112" s="484">
        <v>2.9</v>
      </c>
      <c r="BN112" s="484">
        <v>2.9</v>
      </c>
      <c r="BO112" s="484">
        <v>2.9</v>
      </c>
      <c r="BP112" s="484">
        <v>2.9</v>
      </c>
      <c r="BQ112" s="484"/>
      <c r="BR112" s="622">
        <f t="shared" si="2"/>
        <v>26.099999999999994</v>
      </c>
      <c r="BS112" s="623" t="s">
        <v>124</v>
      </c>
      <c r="BT112" s="659"/>
    </row>
    <row r="113" spans="1:72" x14ac:dyDescent="0.25">
      <c r="A113" s="484">
        <v>52</v>
      </c>
      <c r="B113" s="619" t="s">
        <v>1533</v>
      </c>
      <c r="C113" s="625" t="s">
        <v>460</v>
      </c>
      <c r="D113" s="620" t="str">
        <f>+VLOOKUP(C113,Foundation!$C$8:$D$495,2,FALSE)</f>
        <v>DA+0</v>
      </c>
      <c r="E113" s="622">
        <v>37.5</v>
      </c>
      <c r="F113" s="485">
        <v>45925</v>
      </c>
      <c r="G113" s="485" t="s">
        <v>124</v>
      </c>
      <c r="H113" s="621"/>
      <c r="I113" s="622"/>
      <c r="J113" s="621"/>
      <c r="K113" s="621"/>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484"/>
      <c r="BJ113" s="484"/>
      <c r="BK113" s="484">
        <v>5.0999999999999996</v>
      </c>
      <c r="BL113" s="484">
        <v>5.0999999999999996</v>
      </c>
      <c r="BM113" s="484">
        <v>5.0999999999999996</v>
      </c>
      <c r="BN113" s="484">
        <v>5.0999999999999996</v>
      </c>
      <c r="BO113" s="484">
        <v>5.0999999999999996</v>
      </c>
      <c r="BP113" s="484">
        <v>5.0999999999999996</v>
      </c>
      <c r="BQ113" s="484"/>
      <c r="BR113" s="622">
        <f t="shared" si="2"/>
        <v>30.6</v>
      </c>
      <c r="BS113" s="623" t="s">
        <v>124</v>
      </c>
      <c r="BT113" s="659"/>
    </row>
    <row r="114" spans="1:72" x14ac:dyDescent="0.25">
      <c r="A114" s="484">
        <v>53</v>
      </c>
      <c r="B114" s="619" t="s">
        <v>1583</v>
      </c>
      <c r="C114" s="625" t="s">
        <v>177</v>
      </c>
      <c r="D114" s="620" t="str">
        <f>+VLOOKUP(C114,Foundation!$C$8:$D$495,2,FALSE)</f>
        <v>DA+6</v>
      </c>
      <c r="E114" s="622">
        <v>45.413028000000004</v>
      </c>
      <c r="F114" s="485">
        <v>45929</v>
      </c>
      <c r="G114" s="485" t="s">
        <v>124</v>
      </c>
      <c r="H114" s="621"/>
      <c r="I114" s="622"/>
      <c r="J114" s="621"/>
      <c r="K114" s="621"/>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484"/>
      <c r="BJ114" s="484"/>
      <c r="BK114" s="484"/>
      <c r="BL114" s="484"/>
      <c r="BM114" s="484"/>
      <c r="BN114" s="484"/>
      <c r="BO114" s="484"/>
      <c r="BP114" s="484">
        <v>1.8</v>
      </c>
      <c r="BQ114" s="484"/>
      <c r="BR114" s="622">
        <f t="shared" si="2"/>
        <v>1.8</v>
      </c>
      <c r="BS114" s="623" t="s">
        <v>124</v>
      </c>
      <c r="BT114" s="659"/>
    </row>
    <row r="115" spans="1:72" x14ac:dyDescent="0.25">
      <c r="A115" s="484"/>
      <c r="B115" s="619"/>
      <c r="C115" s="625"/>
      <c r="D115" s="620"/>
      <c r="E115" s="642"/>
      <c r="F115" s="485"/>
      <c r="G115" s="485"/>
      <c r="H115" s="621"/>
      <c r="I115" s="622"/>
      <c r="J115" s="621"/>
      <c r="K115" s="621"/>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484"/>
      <c r="BJ115" s="484"/>
      <c r="BK115" s="484"/>
      <c r="BL115" s="484"/>
      <c r="BM115" s="484"/>
      <c r="BN115" s="484"/>
      <c r="BO115" s="484"/>
      <c r="BP115" s="484"/>
      <c r="BQ115" s="484"/>
      <c r="BR115" s="622"/>
      <c r="BS115" s="623"/>
      <c r="BT115" s="659"/>
    </row>
    <row r="116" spans="1:72" x14ac:dyDescent="0.25">
      <c r="A116" s="484"/>
      <c r="B116" s="619"/>
      <c r="C116" s="625"/>
      <c r="D116" s="620"/>
      <c r="E116" s="642"/>
      <c r="F116" s="485"/>
      <c r="G116" s="485"/>
      <c r="H116" s="621"/>
      <c r="I116" s="622"/>
      <c r="J116" s="621"/>
      <c r="K116" s="621"/>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484"/>
      <c r="BJ116" s="484"/>
      <c r="BK116" s="484"/>
      <c r="BL116" s="484"/>
      <c r="BM116" s="484"/>
      <c r="BN116" s="484"/>
      <c r="BO116" s="484"/>
      <c r="BP116" s="484"/>
      <c r="BQ116" s="484"/>
      <c r="BR116" s="622"/>
      <c r="BS116" s="623"/>
      <c r="BT116" s="659"/>
    </row>
    <row r="117" spans="1:72" x14ac:dyDescent="0.25">
      <c r="A117" s="484"/>
      <c r="B117" s="619"/>
      <c r="C117" s="625"/>
      <c r="D117" s="620"/>
      <c r="E117" s="642"/>
      <c r="F117" s="485"/>
      <c r="G117" s="624"/>
      <c r="H117" s="621"/>
      <c r="I117" s="622"/>
      <c r="J117" s="621"/>
      <c r="K117" s="621"/>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484"/>
      <c r="BJ117" s="484"/>
      <c r="BK117" s="484"/>
      <c r="BL117" s="484"/>
      <c r="BM117" s="484"/>
      <c r="BN117" s="484"/>
      <c r="BO117" s="484"/>
      <c r="BP117" s="484"/>
      <c r="BQ117" s="484"/>
      <c r="BR117" s="622"/>
      <c r="BS117" s="623"/>
    </row>
    <row r="118" spans="1:72" x14ac:dyDescent="0.25">
      <c r="A118" s="484"/>
      <c r="B118" s="619"/>
      <c r="C118" s="625"/>
      <c r="D118" s="620"/>
      <c r="E118" s="626"/>
      <c r="F118" s="485"/>
      <c r="G118" s="624"/>
      <c r="H118" s="621"/>
      <c r="I118" s="622"/>
      <c r="J118" s="621"/>
      <c r="K118" s="621"/>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484"/>
      <c r="BJ118" s="484"/>
      <c r="BK118" s="484"/>
      <c r="BL118" s="484"/>
      <c r="BM118" s="484"/>
      <c r="BN118" s="484"/>
      <c r="BO118" s="484"/>
      <c r="BP118" s="484"/>
      <c r="BQ118" s="484"/>
      <c r="BR118" s="622"/>
      <c r="BS118" s="623"/>
    </row>
    <row r="119" spans="1:72" x14ac:dyDescent="0.25">
      <c r="A119" s="899" t="s">
        <v>19</v>
      </c>
      <c r="B119" s="899"/>
      <c r="C119" s="899"/>
      <c r="D119" s="899"/>
      <c r="E119" s="641">
        <f>SUM(E10:E118)</f>
        <v>367.89600799999999</v>
      </c>
      <c r="F119" s="487"/>
      <c r="G119" s="487"/>
      <c r="H119" s="628">
        <f>SUM(H10:H118)</f>
        <v>65.862682166666659</v>
      </c>
      <c r="I119" s="628">
        <f t="shared" ref="I119:BR119" si="3">SUM(I10:I118)</f>
        <v>68.962682166666653</v>
      </c>
      <c r="J119" s="628">
        <f t="shared" si="3"/>
        <v>67.462682166666667</v>
      </c>
      <c r="K119" s="628">
        <f t="shared" si="3"/>
        <v>72.834110738095234</v>
      </c>
      <c r="L119" s="628">
        <f t="shared" si="3"/>
        <v>71.83411073809522</v>
      </c>
      <c r="M119" s="628">
        <f t="shared" si="3"/>
        <v>63.281547012605046</v>
      </c>
      <c r="N119" s="628">
        <f t="shared" si="3"/>
        <v>62.081547012605043</v>
      </c>
      <c r="O119" s="628">
        <f t="shared" si="3"/>
        <v>63.481547012605049</v>
      </c>
      <c r="P119" s="628">
        <f t="shared" si="3"/>
        <v>70.99265812371614</v>
      </c>
      <c r="Q119" s="628">
        <f t="shared" si="3"/>
        <v>65.942658123716171</v>
      </c>
      <c r="R119" s="628">
        <f t="shared" si="3"/>
        <v>68.442658123716157</v>
      </c>
      <c r="S119" s="628">
        <f t="shared" si="3"/>
        <v>80.185515266573304</v>
      </c>
      <c r="T119" s="628">
        <f t="shared" si="3"/>
        <v>88.552181933239964</v>
      </c>
      <c r="U119" s="628">
        <f t="shared" si="3"/>
        <v>76.752181933239967</v>
      </c>
      <c r="V119" s="628">
        <f t="shared" si="3"/>
        <v>44.052181933239964</v>
      </c>
      <c r="W119" s="628">
        <f t="shared" si="3"/>
        <v>83.102181933239947</v>
      </c>
      <c r="X119" s="628">
        <f t="shared" si="3"/>
        <v>94.434527009064141</v>
      </c>
      <c r="Y119" s="628">
        <f t="shared" si="3"/>
        <v>85.877386136048258</v>
      </c>
      <c r="Z119" s="628">
        <f t="shared" si="3"/>
        <v>80.983397183667321</v>
      </c>
      <c r="AA119" s="628">
        <f t="shared" si="3"/>
        <v>78.734125850333982</v>
      </c>
      <c r="AB119" s="628">
        <f t="shared" si="3"/>
        <v>79.661278294778427</v>
      </c>
      <c r="AC119" s="628">
        <f t="shared" si="3"/>
        <v>87.328430739222867</v>
      </c>
      <c r="AD119" s="628">
        <f t="shared" si="3"/>
        <v>92.126256742490838</v>
      </c>
      <c r="AE119" s="628">
        <f t="shared" si="3"/>
        <v>88.476277616440427</v>
      </c>
      <c r="AF119" s="628">
        <f t="shared" si="3"/>
        <v>91.805340735488059</v>
      </c>
      <c r="AG119" s="628">
        <f t="shared" si="3"/>
        <v>86.728212906122948</v>
      </c>
      <c r="AH119" s="628">
        <f t="shared" si="3"/>
        <v>79.227338506122962</v>
      </c>
      <c r="AI119" s="628">
        <f t="shared" si="3"/>
        <v>79.227338506122962</v>
      </c>
      <c r="AJ119" s="628">
        <f t="shared" si="3"/>
        <v>110.97165298231343</v>
      </c>
      <c r="AK119" s="628">
        <f t="shared" si="3"/>
        <v>113.57496207633052</v>
      </c>
      <c r="AL119" s="628">
        <f t="shared" si="3"/>
        <v>95.090414298552759</v>
      </c>
      <c r="AM119" s="628">
        <f t="shared" si="3"/>
        <v>87.411872258870218</v>
      </c>
      <c r="AN119" s="628">
        <f t="shared" si="3"/>
        <v>106.66191117553689</v>
      </c>
      <c r="AO119" s="628">
        <f t="shared" si="3"/>
        <v>124.12856841543585</v>
      </c>
      <c r="AP119" s="628">
        <f t="shared" si="3"/>
        <v>91.953999304324768</v>
      </c>
      <c r="AQ119" s="628">
        <f t="shared" si="3"/>
        <v>90.461142161467635</v>
      </c>
      <c r="AR119" s="628">
        <f t="shared" si="3"/>
        <v>76.711831911467627</v>
      </c>
      <c r="AS119" s="628">
        <f t="shared" si="3"/>
        <v>80.666841494800963</v>
      </c>
      <c r="AT119" s="628">
        <f t="shared" si="3"/>
        <v>66.150329828134289</v>
      </c>
      <c r="AU119" s="628">
        <f t="shared" si="3"/>
        <v>91.491831886957783</v>
      </c>
      <c r="AV119" s="628">
        <f t="shared" si="3"/>
        <v>97.521525298722537</v>
      </c>
      <c r="AW119" s="628">
        <f t="shared" si="3"/>
        <v>87.547139548722498</v>
      </c>
      <c r="AX119" s="628">
        <f t="shared" si="3"/>
        <v>89.749987104278077</v>
      </c>
      <c r="AY119" s="628">
        <f t="shared" si="3"/>
        <v>50.049247604278072</v>
      </c>
      <c r="AZ119" s="628">
        <f t="shared" si="3"/>
        <v>55.460157148980734</v>
      </c>
      <c r="BA119" s="628">
        <f t="shared" si="3"/>
        <v>66.333615348980743</v>
      </c>
      <c r="BB119" s="628">
        <f t="shared" si="3"/>
        <v>73.144271801361683</v>
      </c>
      <c r="BC119" s="628">
        <f t="shared" si="3"/>
        <v>58.668358159256428</v>
      </c>
      <c r="BD119" s="628">
        <f t="shared" si="3"/>
        <v>57.988016159256432</v>
      </c>
      <c r="BE119" s="628">
        <f t="shared" si="3"/>
        <v>73.70934228263306</v>
      </c>
      <c r="BF119" s="628">
        <f t="shared" si="3"/>
        <v>75.597799373542145</v>
      </c>
      <c r="BG119" s="628">
        <f t="shared" si="3"/>
        <v>69.397799373542142</v>
      </c>
      <c r="BH119" s="628">
        <f t="shared" si="3"/>
        <v>79.030432437034207</v>
      </c>
      <c r="BI119" s="628">
        <f t="shared" si="3"/>
        <v>56.590444937034206</v>
      </c>
      <c r="BJ119" s="628">
        <f t="shared" si="3"/>
        <v>50.083144437034207</v>
      </c>
      <c r="BK119" s="628">
        <f t="shared" si="3"/>
        <v>59.370619294177068</v>
      </c>
      <c r="BL119" s="628">
        <f t="shared" si="3"/>
        <v>56.722972235353545</v>
      </c>
      <c r="BM119" s="628">
        <f t="shared" si="3"/>
        <v>56.43061929417707</v>
      </c>
      <c r="BN119" s="628">
        <f t="shared" si="3"/>
        <v>46.621079127510399</v>
      </c>
      <c r="BO119" s="628">
        <f t="shared" si="3"/>
        <v>47.121079127510399</v>
      </c>
      <c r="BP119" s="628">
        <f t="shared" si="3"/>
        <v>32.969973868686864</v>
      </c>
      <c r="BQ119" s="628">
        <f t="shared" si="3"/>
        <v>0</v>
      </c>
      <c r="BR119" s="628">
        <f t="shared" si="3"/>
        <v>4613.8160183668542</v>
      </c>
      <c r="BS119" s="488"/>
    </row>
    <row r="121" spans="1:72" x14ac:dyDescent="0.25">
      <c r="BR121" s="489"/>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80" customWidth="1"/>
    <col min="2" max="2" width="5.140625" style="780" bestFit="1" customWidth="1"/>
    <col min="3" max="3" width="7.5703125" style="780" bestFit="1" customWidth="1"/>
    <col min="4" max="4" width="11.140625" style="780" bestFit="1" customWidth="1"/>
    <col min="5" max="5" width="14.28515625" style="780" customWidth="1"/>
    <col min="6" max="6" width="11.7109375" style="780" bestFit="1" customWidth="1"/>
    <col min="7" max="7" width="8.42578125" style="780" bestFit="1" customWidth="1"/>
    <col min="8" max="8" width="27.5703125" style="780" bestFit="1" customWidth="1"/>
    <col min="9" max="9" width="11.85546875" style="788" bestFit="1" customWidth="1"/>
    <col min="10" max="10" width="11.42578125" style="780" bestFit="1" customWidth="1"/>
    <col min="11" max="11" width="15.7109375" style="780" bestFit="1" customWidth="1"/>
    <col min="12" max="12" width="11.7109375" style="780" bestFit="1" customWidth="1"/>
    <col min="13" max="13" width="8.42578125" style="780" bestFit="1" customWidth="1"/>
    <col min="14" max="14" width="11.85546875" style="780" bestFit="1" customWidth="1"/>
    <col min="15" max="15" width="27.5703125" style="780" bestFit="1" customWidth="1"/>
    <col min="16" max="16" width="4.7109375" style="780" bestFit="1" customWidth="1"/>
    <col min="17" max="16384" width="9.140625" style="780"/>
  </cols>
  <sheetData>
    <row r="4" spans="1:16" ht="15.75" x14ac:dyDescent="0.25">
      <c r="A4" s="914" t="s">
        <v>1398</v>
      </c>
      <c r="B4" s="914" t="s">
        <v>1399</v>
      </c>
      <c r="C4" s="914" t="s">
        <v>138</v>
      </c>
      <c r="D4" s="914" t="s">
        <v>1400</v>
      </c>
      <c r="E4" s="914"/>
      <c r="F4" s="914"/>
      <c r="G4" s="914"/>
      <c r="H4" s="914"/>
      <c r="I4" s="914"/>
      <c r="J4" s="911" t="s">
        <v>1401</v>
      </c>
      <c r="K4" s="912"/>
      <c r="L4" s="912"/>
      <c r="M4" s="912"/>
      <c r="N4" s="912"/>
      <c r="O4" s="913"/>
    </row>
    <row r="5" spans="1:16" s="781" customFormat="1" ht="31.5" x14ac:dyDescent="0.25">
      <c r="A5" s="914"/>
      <c r="B5" s="914"/>
      <c r="C5" s="914"/>
      <c r="D5" s="779" t="s">
        <v>6</v>
      </c>
      <c r="E5" s="779" t="s">
        <v>1403</v>
      </c>
      <c r="F5" s="779" t="s">
        <v>1404</v>
      </c>
      <c r="G5" s="779" t="s">
        <v>1290</v>
      </c>
      <c r="H5" s="779" t="s">
        <v>1405</v>
      </c>
      <c r="I5" s="779" t="s">
        <v>1406</v>
      </c>
      <c r="J5" s="779" t="s">
        <v>6</v>
      </c>
      <c r="K5" s="779" t="s">
        <v>1403</v>
      </c>
      <c r="L5" s="779" t="s">
        <v>1404</v>
      </c>
      <c r="M5" s="779" t="s">
        <v>1290</v>
      </c>
      <c r="N5" s="779" t="s">
        <v>1406</v>
      </c>
      <c r="O5" s="779" t="s">
        <v>1402</v>
      </c>
    </row>
    <row r="6" spans="1:16" x14ac:dyDescent="0.25">
      <c r="A6" s="782">
        <v>1</v>
      </c>
      <c r="B6" s="782" t="s">
        <v>630</v>
      </c>
      <c r="C6" s="782" t="s">
        <v>20</v>
      </c>
      <c r="D6" s="783">
        <v>45787</v>
      </c>
      <c r="E6" s="783">
        <v>45791</v>
      </c>
      <c r="F6" s="782">
        <f>+_xlfn.DAYS(E6,D6)+1</f>
        <v>5</v>
      </c>
      <c r="G6" s="784">
        <v>14.78</v>
      </c>
      <c r="H6" s="785" t="s">
        <v>1409</v>
      </c>
      <c r="I6" s="782">
        <v>42</v>
      </c>
      <c r="J6" s="786">
        <v>45812</v>
      </c>
      <c r="K6" s="786">
        <v>45819</v>
      </c>
      <c r="L6" s="782">
        <f t="shared" ref="L6:L13" si="0">(K6-J6)+1</f>
        <v>8</v>
      </c>
      <c r="M6" s="784">
        <f>P6-G6</f>
        <v>24.067605999999991</v>
      </c>
      <c r="N6" s="782">
        <v>30</v>
      </c>
      <c r="O6" s="785" t="s">
        <v>1409</v>
      </c>
      <c r="P6" s="787">
        <v>38.847605999999992</v>
      </c>
    </row>
    <row r="7" spans="1:16" x14ac:dyDescent="0.25">
      <c r="A7" s="782">
        <v>2</v>
      </c>
      <c r="B7" s="782" t="s">
        <v>632</v>
      </c>
      <c r="C7" s="782" t="s">
        <v>231</v>
      </c>
      <c r="D7" s="783">
        <v>45805</v>
      </c>
      <c r="E7" s="783">
        <v>45808</v>
      </c>
      <c r="F7" s="782">
        <f t="shared" ref="F7:F13" si="1">+_xlfn.DAYS(E7,D7)+1</f>
        <v>4</v>
      </c>
      <c r="G7" s="784">
        <v>14.875</v>
      </c>
      <c r="H7" s="785" t="s">
        <v>1409</v>
      </c>
      <c r="I7" s="782">
        <v>42</v>
      </c>
      <c r="J7" s="786">
        <v>45820</v>
      </c>
      <c r="K7" s="786">
        <v>45828</v>
      </c>
      <c r="L7" s="782">
        <f t="shared" si="0"/>
        <v>9</v>
      </c>
      <c r="M7" s="784">
        <f t="shared" ref="M7:M13" si="2">P7-G7</f>
        <v>22.629372000000004</v>
      </c>
      <c r="N7" s="782">
        <v>30</v>
      </c>
      <c r="O7" s="785" t="s">
        <v>1409</v>
      </c>
      <c r="P7" s="787">
        <v>37.504372000000004</v>
      </c>
    </row>
    <row r="8" spans="1:16" x14ac:dyDescent="0.25">
      <c r="A8" s="782">
        <v>3</v>
      </c>
      <c r="B8" s="782" t="s">
        <v>633</v>
      </c>
      <c r="C8" s="782" t="s">
        <v>20</v>
      </c>
      <c r="D8" s="783">
        <v>45813</v>
      </c>
      <c r="E8" s="783">
        <v>45816</v>
      </c>
      <c r="F8" s="782">
        <f t="shared" si="1"/>
        <v>4</v>
      </c>
      <c r="G8" s="784">
        <v>14.78</v>
      </c>
      <c r="H8" s="785" t="s">
        <v>1390</v>
      </c>
      <c r="I8" s="782">
        <v>42</v>
      </c>
      <c r="J8" s="786">
        <v>45831</v>
      </c>
      <c r="K8" s="786">
        <v>45838</v>
      </c>
      <c r="L8" s="782">
        <f t="shared" si="0"/>
        <v>8</v>
      </c>
      <c r="M8" s="784">
        <f t="shared" si="2"/>
        <v>24.067999999999998</v>
      </c>
      <c r="N8" s="782">
        <v>30</v>
      </c>
      <c r="O8" s="785" t="s">
        <v>1413</v>
      </c>
      <c r="P8" s="787">
        <v>38.847999999999999</v>
      </c>
    </row>
    <row r="9" spans="1:16" x14ac:dyDescent="0.25">
      <c r="A9" s="782">
        <v>4</v>
      </c>
      <c r="B9" s="782" t="s">
        <v>634</v>
      </c>
      <c r="C9" s="782" t="s">
        <v>231</v>
      </c>
      <c r="D9" s="783">
        <v>45820</v>
      </c>
      <c r="E9" s="783">
        <v>45824</v>
      </c>
      <c r="F9" s="782">
        <f t="shared" si="1"/>
        <v>5</v>
      </c>
      <c r="G9" s="784">
        <v>14.875</v>
      </c>
      <c r="H9" s="785" t="s">
        <v>1390</v>
      </c>
      <c r="I9" s="782">
        <v>42</v>
      </c>
      <c r="J9" s="786">
        <v>45847</v>
      </c>
      <c r="K9" s="786">
        <v>45853</v>
      </c>
      <c r="L9" s="782">
        <f t="shared" si="0"/>
        <v>7</v>
      </c>
      <c r="M9" s="784">
        <f t="shared" si="2"/>
        <v>22.625</v>
      </c>
      <c r="N9" s="782">
        <v>20</v>
      </c>
      <c r="O9" s="785" t="s">
        <v>1413</v>
      </c>
      <c r="P9" s="787">
        <v>37.5</v>
      </c>
    </row>
    <row r="10" spans="1:16" x14ac:dyDescent="0.25">
      <c r="A10" s="782">
        <v>5</v>
      </c>
      <c r="B10" s="785" t="s">
        <v>626</v>
      </c>
      <c r="C10" s="785" t="s">
        <v>238</v>
      </c>
      <c r="D10" s="783">
        <v>45839</v>
      </c>
      <c r="E10" s="783">
        <v>45845</v>
      </c>
      <c r="F10" s="782">
        <f t="shared" si="1"/>
        <v>7</v>
      </c>
      <c r="G10" s="784">
        <v>41.773000000000003</v>
      </c>
      <c r="H10" s="785" t="s">
        <v>1409</v>
      </c>
      <c r="I10" s="782"/>
      <c r="J10" s="786">
        <v>45861</v>
      </c>
      <c r="K10" s="786">
        <v>45867</v>
      </c>
      <c r="L10" s="782">
        <f t="shared" si="0"/>
        <v>7</v>
      </c>
      <c r="M10" s="784">
        <f t="shared" si="2"/>
        <v>44.356278999999994</v>
      </c>
      <c r="N10" s="782">
        <v>28</v>
      </c>
      <c r="O10" s="785" t="s">
        <v>1493</v>
      </c>
      <c r="P10" s="788">
        <v>86.129278999999997</v>
      </c>
    </row>
    <row r="11" spans="1:16" x14ac:dyDescent="0.25">
      <c r="A11" s="782">
        <v>6</v>
      </c>
      <c r="B11" s="785" t="s">
        <v>445</v>
      </c>
      <c r="C11" s="785" t="s">
        <v>238</v>
      </c>
      <c r="D11" s="786">
        <v>45845</v>
      </c>
      <c r="E11" s="783">
        <v>45849</v>
      </c>
      <c r="F11" s="782">
        <f t="shared" si="1"/>
        <v>5</v>
      </c>
      <c r="G11" s="784">
        <v>41.773000000000003</v>
      </c>
      <c r="H11" s="785" t="s">
        <v>1409</v>
      </c>
      <c r="I11" s="782"/>
      <c r="J11" s="786">
        <v>45871</v>
      </c>
      <c r="K11" s="786">
        <v>45889</v>
      </c>
      <c r="L11" s="782">
        <f t="shared" si="0"/>
        <v>19</v>
      </c>
      <c r="M11" s="784">
        <f t="shared" si="2"/>
        <v>44.356278999999994</v>
      </c>
      <c r="N11" s="782">
        <v>28</v>
      </c>
      <c r="O11" s="785" t="s">
        <v>1413</v>
      </c>
      <c r="P11" s="788">
        <v>86.129278999999997</v>
      </c>
    </row>
    <row r="12" spans="1:16" x14ac:dyDescent="0.25">
      <c r="A12" s="782">
        <v>7</v>
      </c>
      <c r="B12" s="789" t="s">
        <v>631</v>
      </c>
      <c r="C12" s="782" t="s">
        <v>231</v>
      </c>
      <c r="D12" s="786">
        <v>45848</v>
      </c>
      <c r="E12" s="785"/>
      <c r="F12" s="785"/>
      <c r="G12" s="784">
        <v>14.875</v>
      </c>
      <c r="H12" s="785" t="s">
        <v>1409</v>
      </c>
      <c r="I12" s="782">
        <v>38</v>
      </c>
      <c r="J12" s="786">
        <v>45854</v>
      </c>
      <c r="K12" s="786">
        <v>45864</v>
      </c>
      <c r="L12" s="782">
        <f t="shared" si="0"/>
        <v>11</v>
      </c>
      <c r="M12" s="784">
        <f t="shared" si="2"/>
        <v>22.625</v>
      </c>
      <c r="N12" s="782">
        <v>20</v>
      </c>
      <c r="O12" s="785" t="s">
        <v>1413</v>
      </c>
      <c r="P12" s="787">
        <v>37.5</v>
      </c>
    </row>
    <row r="13" spans="1:16" x14ac:dyDescent="0.25">
      <c r="A13" s="782">
        <v>8</v>
      </c>
      <c r="B13" s="789" t="s">
        <v>456</v>
      </c>
      <c r="C13" s="782" t="s">
        <v>231</v>
      </c>
      <c r="D13" s="786">
        <v>45863</v>
      </c>
      <c r="E13" s="786">
        <v>45867</v>
      </c>
      <c r="F13" s="782">
        <f t="shared" si="1"/>
        <v>5</v>
      </c>
      <c r="G13" s="784">
        <v>14.875</v>
      </c>
      <c r="H13" s="785" t="s">
        <v>1409</v>
      </c>
      <c r="I13" s="782"/>
      <c r="J13" s="786">
        <v>45875</v>
      </c>
      <c r="K13" s="786">
        <v>45878</v>
      </c>
      <c r="L13" s="782">
        <f t="shared" si="0"/>
        <v>4</v>
      </c>
      <c r="M13" s="784">
        <f t="shared" si="2"/>
        <v>22.625</v>
      </c>
      <c r="N13" s="782">
        <v>30</v>
      </c>
      <c r="O13" s="785" t="s">
        <v>1409</v>
      </c>
      <c r="P13" s="787">
        <v>37.5</v>
      </c>
    </row>
    <row r="14" spans="1:16" x14ac:dyDescent="0.25">
      <c r="A14" s="782">
        <v>9</v>
      </c>
      <c r="B14" s="789" t="s">
        <v>457</v>
      </c>
      <c r="C14" s="782" t="s">
        <v>231</v>
      </c>
      <c r="D14" s="786">
        <v>45868</v>
      </c>
      <c r="E14" s="786"/>
      <c r="F14" s="782"/>
      <c r="G14" s="784"/>
      <c r="H14" s="785"/>
      <c r="I14" s="782"/>
      <c r="J14" s="785"/>
      <c r="K14" s="785"/>
      <c r="L14" s="785"/>
      <c r="M14" s="785"/>
      <c r="N14" s="785"/>
      <c r="O14" s="785"/>
    </row>
    <row r="15" spans="1:16" x14ac:dyDescent="0.25">
      <c r="A15" s="785"/>
      <c r="B15" s="785"/>
      <c r="C15" s="785"/>
      <c r="D15" s="785"/>
      <c r="E15" s="785"/>
      <c r="F15" s="785"/>
      <c r="G15" s="785"/>
      <c r="H15" s="785"/>
      <c r="I15" s="782"/>
      <c r="J15" s="785"/>
      <c r="K15" s="785"/>
      <c r="L15" s="785"/>
      <c r="M15" s="785"/>
      <c r="N15" s="785"/>
      <c r="O15" s="785"/>
    </row>
    <row r="16" spans="1:16" ht="15.75" x14ac:dyDescent="0.25">
      <c r="A16" s="910" t="s">
        <v>1407</v>
      </c>
      <c r="B16" s="910"/>
      <c r="C16" s="910"/>
      <c r="D16" s="910"/>
      <c r="E16" s="910"/>
      <c r="F16" s="790">
        <f>SUM(F6:F15)</f>
        <v>35</v>
      </c>
      <c r="G16" s="791">
        <f>SUM(G6:G15)</f>
        <v>172.60599999999999</v>
      </c>
      <c r="H16" s="791"/>
      <c r="I16" s="791"/>
      <c r="J16" s="790"/>
      <c r="K16" s="790"/>
      <c r="L16" s="790">
        <f>SUM(L6:L15)</f>
        <v>73</v>
      </c>
      <c r="M16" s="791">
        <f>SUM(M6:M15)</f>
        <v>227.35253599999999</v>
      </c>
      <c r="N16" s="791"/>
      <c r="O16" s="785"/>
    </row>
    <row r="17" spans="1:15" ht="15.75" x14ac:dyDescent="0.25">
      <c r="A17" s="910" t="s">
        <v>1408</v>
      </c>
      <c r="B17" s="910"/>
      <c r="C17" s="910"/>
      <c r="D17" s="910"/>
      <c r="E17" s="910"/>
      <c r="F17" s="595"/>
      <c r="G17" s="596">
        <f>G16/F16</f>
        <v>4.9315999999999995</v>
      </c>
      <c r="H17" s="596"/>
      <c r="I17" s="596"/>
      <c r="J17" s="595"/>
      <c r="K17" s="595"/>
      <c r="L17" s="595"/>
      <c r="M17" s="596">
        <f>M16/L16</f>
        <v>3.114418301369863</v>
      </c>
      <c r="N17" s="596"/>
      <c r="O17" s="792"/>
    </row>
    <row r="19" spans="1:15" x14ac:dyDescent="0.25">
      <c r="F19" s="793"/>
      <c r="M19" s="780">
        <v>113.7</v>
      </c>
    </row>
    <row r="20" spans="1:15" x14ac:dyDescent="0.25">
      <c r="M20" s="78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filterMode="1">
    <tabColor theme="8" tint="0.59999389629810485"/>
  </sheetPr>
  <dimension ref="A1:AN641"/>
  <sheetViews>
    <sheetView zoomScale="88" workbookViewId="0">
      <pane ySplit="4" topLeftCell="A455" activePane="bottomLeft" state="frozen"/>
      <selection activeCell="N8" sqref="N8"/>
      <selection pane="bottomLeft" activeCell="H478" sqref="H478"/>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5"/>
    <col min="14" max="16384" width="9.140625" style="358"/>
  </cols>
  <sheetData>
    <row r="1" spans="1:40" x14ac:dyDescent="0.2">
      <c r="A1" s="392" t="s">
        <v>1260</v>
      </c>
      <c r="I1" s="730" t="s">
        <v>1291</v>
      </c>
      <c r="J1" s="729">
        <v>22212.28</v>
      </c>
    </row>
    <row r="2" spans="1:40" ht="25.5" x14ac:dyDescent="0.2">
      <c r="A2" s="342" t="s">
        <v>1226</v>
      </c>
      <c r="B2" s="343"/>
      <c r="C2" s="343"/>
      <c r="D2" s="343"/>
      <c r="E2" s="343"/>
      <c r="F2" s="343"/>
      <c r="G2" s="343"/>
      <c r="H2" s="363"/>
      <c r="I2" s="364" t="s">
        <v>1292</v>
      </c>
      <c r="J2" s="728">
        <f>+SUM(J7:J1048576)</f>
        <v>20934.739486999904</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7">
        <f>J1-J2</f>
        <v>1277.5405130000945</v>
      </c>
      <c r="K3" s="731">
        <f>J3/46</f>
        <v>27.772619847828143</v>
      </c>
      <c r="L3" s="361"/>
      <c r="M3" s="343"/>
      <c r="N3" s="361"/>
      <c r="O3" s="361"/>
      <c r="P3" s="361"/>
      <c r="Q3" s="361"/>
      <c r="R3" s="361"/>
      <c r="S3" s="361"/>
      <c r="T3" s="361"/>
      <c r="U3" s="362"/>
    </row>
    <row r="4" spans="1:40" ht="25.5" x14ac:dyDescent="0.2">
      <c r="A4" s="688" t="s">
        <v>2</v>
      </c>
      <c r="B4" s="689" t="s">
        <v>114</v>
      </c>
      <c r="C4" s="686" t="s">
        <v>3</v>
      </c>
      <c r="D4" s="686" t="s">
        <v>4</v>
      </c>
      <c r="E4" s="686" t="s">
        <v>122</v>
      </c>
      <c r="F4" s="690" t="s">
        <v>1601</v>
      </c>
      <c r="G4" s="686" t="s">
        <v>140</v>
      </c>
      <c r="H4" s="687" t="s">
        <v>7</v>
      </c>
      <c r="I4" s="685" t="s">
        <v>1602</v>
      </c>
      <c r="J4" s="685" t="s">
        <v>1361</v>
      </c>
      <c r="K4" s="687" t="s">
        <v>1167</v>
      </c>
    </row>
    <row r="5" spans="1:40" hidden="1" x14ac:dyDescent="0.2">
      <c r="A5" s="365"/>
      <c r="B5" s="366"/>
      <c r="C5" s="367"/>
      <c r="D5" s="368"/>
      <c r="E5" s="368"/>
      <c r="F5" s="369"/>
      <c r="G5" s="350"/>
      <c r="H5" s="370"/>
      <c r="I5" s="371"/>
      <c r="J5" s="371"/>
      <c r="K5" s="370"/>
    </row>
    <row r="6" spans="1:40" hidden="1" x14ac:dyDescent="0.2">
      <c r="A6" s="372"/>
      <c r="B6" s="366"/>
      <c r="C6" s="367"/>
      <c r="D6" s="368"/>
      <c r="E6" s="368"/>
      <c r="F6" s="350"/>
      <c r="G6" s="350"/>
      <c r="H6" s="370"/>
      <c r="I6" s="373"/>
      <c r="J6" s="373"/>
      <c r="K6" s="370"/>
    </row>
    <row r="7" spans="1:40" hidden="1" x14ac:dyDescent="0.2">
      <c r="A7" s="372">
        <f>+SUBTOTAL(3,$G$7:$G7)</f>
        <v>0</v>
      </c>
      <c r="B7" s="366">
        <v>45323</v>
      </c>
      <c r="C7" s="348" t="s">
        <v>774</v>
      </c>
      <c r="D7" s="368" t="str">
        <f>+VLOOKUP(C7,Foundation!$C$8:$D$531,2,FALSE)</f>
        <v>DA+3</v>
      </c>
      <c r="E7" s="368" t="str">
        <f>+VLOOKUP(C7,Foundation!$C$8:$E$495,3,FALSE)</f>
        <v>DRY</v>
      </c>
      <c r="F7" s="350">
        <v>45319</v>
      </c>
      <c r="G7" s="350">
        <v>45326</v>
      </c>
      <c r="H7" s="370" t="s">
        <v>888</v>
      </c>
      <c r="I7" s="373"/>
      <c r="J7" s="693">
        <f>+VLOOKUP(D7,$AB$7:$AC$35,2,FALSE)</f>
        <v>38.847605999999992</v>
      </c>
      <c r="K7" s="370"/>
      <c r="M7" s="645">
        <f>G7-F7</f>
        <v>7</v>
      </c>
      <c r="AB7" s="358" t="s">
        <v>231</v>
      </c>
      <c r="AC7" s="472">
        <v>37.504372000000004</v>
      </c>
    </row>
    <row r="8" spans="1:40" hidden="1" x14ac:dyDescent="0.2">
      <c r="A8" s="372">
        <f>+SUBTOTAL(3,$G$7:$G8)</f>
        <v>0</v>
      </c>
      <c r="B8" s="366">
        <v>45323</v>
      </c>
      <c r="C8" s="367" t="s">
        <v>764</v>
      </c>
      <c r="D8" s="368" t="str">
        <f>+VLOOKUP(C8,Foundation!$C$8:$D$531,2,FALSE)</f>
        <v>DA+3</v>
      </c>
      <c r="E8" s="368" t="str">
        <f>+VLOOKUP(C8,Foundation!$C$8:$E$495,3,FALSE)</f>
        <v>DRY</v>
      </c>
      <c r="F8" s="350">
        <v>45323</v>
      </c>
      <c r="G8" s="350">
        <v>45329</v>
      </c>
      <c r="H8" s="370" t="s">
        <v>892</v>
      </c>
      <c r="I8" s="373"/>
      <c r="J8" s="693">
        <f t="shared" ref="J8:J71" si="0">+VLOOKUP(D8,$AB$7:$AC$35,2,FALSE)</f>
        <v>38.847605999999992</v>
      </c>
      <c r="K8" s="370"/>
      <c r="M8" s="645">
        <f t="shared" ref="M8:M71" si="1">G8-F8</f>
        <v>6</v>
      </c>
      <c r="N8" s="757"/>
      <c r="AB8" s="358" t="s">
        <v>20</v>
      </c>
      <c r="AC8" s="472">
        <v>38.847605999999992</v>
      </c>
    </row>
    <row r="9" spans="1:40" hidden="1" x14ac:dyDescent="0.2">
      <c r="A9" s="372">
        <f>+SUBTOTAL(3,$G$7:$G9)</f>
        <v>0</v>
      </c>
      <c r="B9" s="366">
        <v>45323</v>
      </c>
      <c r="C9" s="348" t="s">
        <v>805</v>
      </c>
      <c r="D9" s="368" t="str">
        <f>+VLOOKUP(C9,Foundation!$C$8:$D$531,2,FALSE)</f>
        <v>DA+3</v>
      </c>
      <c r="E9" s="368" t="str">
        <f>+VLOOKUP(C9,Foundation!$C$8:$E$495,3,FALSE)</f>
        <v>DRY</v>
      </c>
      <c r="F9" s="350">
        <v>45325</v>
      </c>
      <c r="G9" s="350">
        <v>45332</v>
      </c>
      <c r="H9" s="370" t="s">
        <v>897</v>
      </c>
      <c r="I9" s="373"/>
      <c r="J9" s="693">
        <f t="shared" si="0"/>
        <v>38.847605999999992</v>
      </c>
      <c r="K9" s="370"/>
      <c r="M9" s="645">
        <f t="shared" si="1"/>
        <v>7</v>
      </c>
      <c r="AB9" s="358" t="s">
        <v>232</v>
      </c>
      <c r="AC9" s="472">
        <v>45.413028000000004</v>
      </c>
    </row>
    <row r="10" spans="1:40" hidden="1" x14ac:dyDescent="0.2">
      <c r="A10" s="372">
        <f>+SUBTOTAL(3,$G$7:$G10)</f>
        <v>0</v>
      </c>
      <c r="B10" s="366">
        <v>45323</v>
      </c>
      <c r="C10" s="348" t="s">
        <v>756</v>
      </c>
      <c r="D10" s="368" t="str">
        <f>+VLOOKUP(C10,Foundation!$C$8:$D$531,2,FALSE)</f>
        <v>DA+3</v>
      </c>
      <c r="E10" s="368" t="str">
        <f>+VLOOKUP(C10,Foundation!$C$8:$E$495,3,FALSE)</f>
        <v>DFR</v>
      </c>
      <c r="F10" s="350">
        <v>45327</v>
      </c>
      <c r="G10" s="350">
        <v>45333</v>
      </c>
      <c r="H10" s="370" t="s">
        <v>898</v>
      </c>
      <c r="I10" s="373"/>
      <c r="J10" s="693">
        <f t="shared" si="0"/>
        <v>38.847605999999992</v>
      </c>
      <c r="K10" s="370"/>
      <c r="M10" s="645">
        <f t="shared" si="1"/>
        <v>6</v>
      </c>
      <c r="AB10" s="358" t="s">
        <v>233</v>
      </c>
      <c r="AC10" s="472">
        <v>47.184350000000002</v>
      </c>
      <c r="AN10" s="358" t="s">
        <v>1422</v>
      </c>
    </row>
    <row r="11" spans="1:40" hidden="1" x14ac:dyDescent="0.2">
      <c r="A11" s="372">
        <f>+SUBTOTAL(3,$G$7:$G11)</f>
        <v>0</v>
      </c>
      <c r="B11" s="366">
        <v>45323</v>
      </c>
      <c r="C11" s="348" t="s">
        <v>765</v>
      </c>
      <c r="D11" s="368" t="str">
        <f>+VLOOKUP(C11,Foundation!$C$8:$D$531,2,FALSE)</f>
        <v>DA+6</v>
      </c>
      <c r="E11" s="368" t="str">
        <f>+VLOOKUP(C11,Foundation!$C$8:$E$495,3,FALSE)</f>
        <v>DRY</v>
      </c>
      <c r="F11" s="350">
        <v>45330</v>
      </c>
      <c r="G11" s="350">
        <v>45335</v>
      </c>
      <c r="H11" s="370" t="s">
        <v>892</v>
      </c>
      <c r="I11" s="373"/>
      <c r="J11" s="693">
        <f t="shared" si="0"/>
        <v>45.413028000000004</v>
      </c>
      <c r="K11" s="370"/>
      <c r="M11" s="645">
        <f t="shared" si="1"/>
        <v>5</v>
      </c>
      <c r="AB11" s="358" t="s">
        <v>242</v>
      </c>
      <c r="AC11" s="472">
        <v>57.597240999999997</v>
      </c>
    </row>
    <row r="12" spans="1:40" hidden="1" x14ac:dyDescent="0.2">
      <c r="A12" s="372">
        <f>+SUBTOTAL(3,$G$7:$G12)</f>
        <v>0</v>
      </c>
      <c r="B12" s="366">
        <v>45323</v>
      </c>
      <c r="C12" s="348" t="s">
        <v>775</v>
      </c>
      <c r="D12" s="368" t="str">
        <f>+VLOOKUP(C12,Foundation!$C$8:$D$531,2,FALSE)</f>
        <v>DA+0</v>
      </c>
      <c r="E12" s="368" t="str">
        <f>+VLOOKUP(C12,Foundation!$C$8:$E$495,3,FALSE)</f>
        <v>DRY</v>
      </c>
      <c r="F12" s="350">
        <v>45331</v>
      </c>
      <c r="G12" s="350">
        <v>45337</v>
      </c>
      <c r="H12" s="370" t="s">
        <v>888</v>
      </c>
      <c r="I12" s="373"/>
      <c r="J12" s="693">
        <f t="shared" si="0"/>
        <v>37.504372000000004</v>
      </c>
      <c r="K12" s="370"/>
      <c r="M12" s="645">
        <f t="shared" si="1"/>
        <v>6</v>
      </c>
      <c r="AB12" s="358" t="s">
        <v>243</v>
      </c>
      <c r="AC12" s="472">
        <v>60.096777000000003</v>
      </c>
    </row>
    <row r="13" spans="1:40" hidden="1" x14ac:dyDescent="0.2">
      <c r="A13" s="372">
        <f>+SUBTOTAL(3,$G$7:$G13)</f>
        <v>0</v>
      </c>
      <c r="B13" s="366">
        <v>45323</v>
      </c>
      <c r="C13" s="348" t="s">
        <v>806</v>
      </c>
      <c r="D13" s="368" t="str">
        <f>+VLOOKUP(C13,Foundation!$C$8:$D$531,2,FALSE)</f>
        <v>DA+3</v>
      </c>
      <c r="E13" s="368" t="str">
        <f>+VLOOKUP(C13,Foundation!$C$8:$E$495,3,FALSE)</f>
        <v>DRY</v>
      </c>
      <c r="F13" s="350">
        <v>45333</v>
      </c>
      <c r="G13" s="350">
        <v>45337</v>
      </c>
      <c r="H13" s="370" t="s">
        <v>897</v>
      </c>
      <c r="I13" s="373"/>
      <c r="J13" s="693">
        <f t="shared" si="0"/>
        <v>38.847605999999992</v>
      </c>
      <c r="K13" s="370"/>
      <c r="M13" s="645">
        <f t="shared" si="1"/>
        <v>4</v>
      </c>
      <c r="AB13" s="358" t="s">
        <v>246</v>
      </c>
      <c r="AC13" s="472">
        <v>67.873650999999995</v>
      </c>
    </row>
    <row r="14" spans="1:40" hidden="1" x14ac:dyDescent="0.2">
      <c r="A14" s="372">
        <f>+SUBTOTAL(3,$G$7:$G14)</f>
        <v>0</v>
      </c>
      <c r="B14" s="366">
        <v>45323</v>
      </c>
      <c r="C14" s="348" t="s">
        <v>757</v>
      </c>
      <c r="D14" s="368" t="str">
        <f>+VLOOKUP(C14,Foundation!$C$8:$D$531,2,FALSE)</f>
        <v>DA+3</v>
      </c>
      <c r="E14" s="368" t="str">
        <f>+VLOOKUP(C14,Foundation!$C$8:$E$495,3,FALSE)</f>
        <v>DFR</v>
      </c>
      <c r="F14" s="350">
        <v>45334</v>
      </c>
      <c r="G14" s="350">
        <v>45340</v>
      </c>
      <c r="H14" s="370" t="s">
        <v>898</v>
      </c>
      <c r="I14" s="373"/>
      <c r="J14" s="693">
        <f t="shared" si="0"/>
        <v>38.847605999999992</v>
      </c>
      <c r="K14" s="370"/>
      <c r="M14" s="645">
        <f t="shared" si="1"/>
        <v>6</v>
      </c>
      <c r="AB14" s="358" t="s">
        <v>240</v>
      </c>
      <c r="AC14" s="472">
        <v>70.701702999999995</v>
      </c>
    </row>
    <row r="15" spans="1:40" hidden="1" x14ac:dyDescent="0.2">
      <c r="A15" s="372">
        <f>+SUBTOTAL(3,$G$7:$G15)</f>
        <v>0</v>
      </c>
      <c r="B15" s="366">
        <v>45323</v>
      </c>
      <c r="C15" s="348" t="s">
        <v>763</v>
      </c>
      <c r="D15" s="368" t="str">
        <f>+VLOOKUP(C15,Foundation!$C$8:$D$531,2,FALSE)</f>
        <v>DA+6</v>
      </c>
      <c r="E15" s="368" t="str">
        <f>+VLOOKUP(C15,Foundation!$C$8:$E$495,3,FALSE)</f>
        <v>DFR</v>
      </c>
      <c r="F15" s="350">
        <v>45335</v>
      </c>
      <c r="G15" s="350">
        <v>45342</v>
      </c>
      <c r="H15" s="370" t="s">
        <v>892</v>
      </c>
      <c r="I15" s="373"/>
      <c r="J15" s="693">
        <f t="shared" si="0"/>
        <v>45.413028000000004</v>
      </c>
      <c r="K15" s="370"/>
      <c r="M15" s="645">
        <f t="shared" si="1"/>
        <v>7</v>
      </c>
      <c r="AB15" s="358" t="s">
        <v>245</v>
      </c>
      <c r="AC15" s="472">
        <v>57.597240999999997</v>
      </c>
    </row>
    <row r="16" spans="1:40" hidden="1" x14ac:dyDescent="0.2">
      <c r="A16" s="372">
        <f>+SUBTOTAL(3,$G$7:$G16)</f>
        <v>0</v>
      </c>
      <c r="B16" s="366">
        <v>45323</v>
      </c>
      <c r="C16" s="348" t="s">
        <v>807</v>
      </c>
      <c r="D16" s="368" t="str">
        <f>+VLOOKUP(C16,Foundation!$C$8:$D$531,2,FALSE)</f>
        <v>DA+3</v>
      </c>
      <c r="E16" s="368" t="str">
        <f>+VLOOKUP(C16,Foundation!$C$8:$E$495,3,FALSE)</f>
        <v>DRY</v>
      </c>
      <c r="F16" s="350">
        <v>45337</v>
      </c>
      <c r="G16" s="350">
        <v>45342</v>
      </c>
      <c r="H16" s="370" t="s">
        <v>897</v>
      </c>
      <c r="I16" s="373"/>
      <c r="J16" s="693">
        <f t="shared" si="0"/>
        <v>38.847605999999992</v>
      </c>
      <c r="K16" s="370"/>
      <c r="M16" s="645">
        <f t="shared" si="1"/>
        <v>5</v>
      </c>
      <c r="AB16" s="358" t="s">
        <v>249</v>
      </c>
      <c r="AC16" s="472">
        <v>60.096777000000003</v>
      </c>
    </row>
    <row r="17" spans="1:29" hidden="1" x14ac:dyDescent="0.2">
      <c r="A17" s="372">
        <f>+SUBTOTAL(3,$G$7:$G17)</f>
        <v>0</v>
      </c>
      <c r="B17" s="366">
        <v>45323</v>
      </c>
      <c r="C17" s="348" t="s">
        <v>777</v>
      </c>
      <c r="D17" s="368" t="str">
        <f>+VLOOKUP(C17,Foundation!$C$8:$D$531,2,FALSE)</f>
        <v>DA+0</v>
      </c>
      <c r="E17" s="368" t="str">
        <f>+VLOOKUP(C17,Foundation!$C$8:$E$495,3,FALSE)</f>
        <v>DFR</v>
      </c>
      <c r="F17" s="350">
        <v>45337</v>
      </c>
      <c r="G17" s="350">
        <v>45343</v>
      </c>
      <c r="H17" s="370" t="s">
        <v>888</v>
      </c>
      <c r="I17" s="373"/>
      <c r="J17" s="693">
        <f t="shared" si="0"/>
        <v>37.504372000000004</v>
      </c>
      <c r="K17" s="370"/>
      <c r="M17" s="645">
        <f t="shared" si="1"/>
        <v>6</v>
      </c>
      <c r="AB17" s="358" t="s">
        <v>234</v>
      </c>
      <c r="AC17" s="472">
        <v>67.873650999999995</v>
      </c>
    </row>
    <row r="18" spans="1:29" hidden="1" x14ac:dyDescent="0.2">
      <c r="A18" s="372">
        <f>+SUBTOTAL(3,$G$7:$G18)</f>
        <v>0</v>
      </c>
      <c r="B18" s="366">
        <v>45323</v>
      </c>
      <c r="C18" s="367" t="s">
        <v>793</v>
      </c>
      <c r="D18" s="368" t="str">
        <f>+VLOOKUP(C18,Foundation!$C$8:$D$531,2,FALSE)</f>
        <v>DA+0</v>
      </c>
      <c r="E18" s="368" t="str">
        <f>+VLOOKUP(C18,Foundation!$C$8:$E$495,3,FALSE)</f>
        <v>DRY</v>
      </c>
      <c r="F18" s="350">
        <v>45339</v>
      </c>
      <c r="G18" s="350">
        <v>45344</v>
      </c>
      <c r="H18" s="370" t="s">
        <v>886</v>
      </c>
      <c r="I18" s="373"/>
      <c r="J18" s="693">
        <f t="shared" si="0"/>
        <v>37.504372000000004</v>
      </c>
      <c r="K18" s="370"/>
      <c r="M18" s="645">
        <f t="shared" si="1"/>
        <v>5</v>
      </c>
      <c r="AB18" s="358" t="s">
        <v>241</v>
      </c>
      <c r="AC18" s="472">
        <v>70.701702999999995</v>
      </c>
    </row>
    <row r="19" spans="1:29" hidden="1" x14ac:dyDescent="0.2">
      <c r="A19" s="372">
        <f>+SUBTOTAL(3,$G$7:$G19)</f>
        <v>0</v>
      </c>
      <c r="B19" s="366">
        <v>45323</v>
      </c>
      <c r="C19" s="348" t="s">
        <v>758</v>
      </c>
      <c r="D19" s="368" t="str">
        <f>+VLOOKUP(C19,Foundation!$C$8:$D$531,2,FALSE)</f>
        <v>DA+3</v>
      </c>
      <c r="E19" s="368" t="str">
        <f>+VLOOKUP(C19,Foundation!$C$8:$E$495,3,FALSE)</f>
        <v>DRY</v>
      </c>
      <c r="F19" s="350">
        <v>45340</v>
      </c>
      <c r="G19" s="350">
        <v>45346</v>
      </c>
      <c r="H19" s="370" t="s">
        <v>898</v>
      </c>
      <c r="I19" s="373"/>
      <c r="J19" s="693">
        <f t="shared" si="0"/>
        <v>38.847605999999992</v>
      </c>
      <c r="K19" s="370"/>
      <c r="M19" s="645">
        <f t="shared" si="1"/>
        <v>6</v>
      </c>
      <c r="AB19" s="358" t="s">
        <v>239</v>
      </c>
      <c r="AC19" s="472">
        <v>66.381106999999986</v>
      </c>
    </row>
    <row r="20" spans="1:29" hidden="1" x14ac:dyDescent="0.2">
      <c r="A20" s="372">
        <f>+SUBTOTAL(3,$G$7:$G20)</f>
        <v>0</v>
      </c>
      <c r="B20" s="366">
        <v>45323</v>
      </c>
      <c r="C20" s="348" t="s">
        <v>761</v>
      </c>
      <c r="D20" s="368" t="str">
        <f>+VLOOKUP(C20,Foundation!$C$8:$D$531,2,FALSE)</f>
        <v>DA+0</v>
      </c>
      <c r="E20" s="368" t="str">
        <f>+VLOOKUP(C20,Foundation!$C$8:$E$495,3,FALSE)</f>
        <v>DRY</v>
      </c>
      <c r="F20" s="350">
        <v>45342</v>
      </c>
      <c r="G20" s="350">
        <v>45346</v>
      </c>
      <c r="H20" s="370" t="s">
        <v>892</v>
      </c>
      <c r="I20" s="373"/>
      <c r="J20" s="693">
        <f t="shared" si="0"/>
        <v>37.504372000000004</v>
      </c>
      <c r="K20" s="370"/>
      <c r="M20" s="645">
        <f t="shared" si="1"/>
        <v>4</v>
      </c>
      <c r="AB20" s="358" t="s">
        <v>866</v>
      </c>
      <c r="AC20" s="472">
        <v>94.219902999999988</v>
      </c>
    </row>
    <row r="21" spans="1:29" hidden="1" x14ac:dyDescent="0.2">
      <c r="A21" s="372">
        <f>+SUBTOTAL(3,$G$7:$G21)</f>
        <v>0</v>
      </c>
      <c r="B21" s="366">
        <v>45323</v>
      </c>
      <c r="C21" s="348" t="s">
        <v>809</v>
      </c>
      <c r="D21" s="368" t="str">
        <f>+VLOOKUP(C21,Foundation!$C$8:$D$531,2,FALSE)</f>
        <v>DA+0</v>
      </c>
      <c r="E21" s="368" t="str">
        <f>+VLOOKUP(C21,Foundation!$C$8:$E$495,3,FALSE)</f>
        <v>DRY</v>
      </c>
      <c r="F21" s="350">
        <v>45342</v>
      </c>
      <c r="G21" s="350">
        <v>45346</v>
      </c>
      <c r="H21" s="370" t="s">
        <v>897</v>
      </c>
      <c r="I21" s="373"/>
      <c r="J21" s="693">
        <f t="shared" si="0"/>
        <v>37.504372000000004</v>
      </c>
      <c r="K21" s="370"/>
      <c r="M21" s="645">
        <f t="shared" si="1"/>
        <v>4</v>
      </c>
      <c r="AB21" s="358" t="s">
        <v>868</v>
      </c>
      <c r="AC21" s="472">
        <v>69.228687000000008</v>
      </c>
    </row>
    <row r="22" spans="1:29" hidden="1" x14ac:dyDescent="0.2">
      <c r="A22" s="372">
        <f>+SUBTOTAL(3,$G$7:$G22)</f>
        <v>0</v>
      </c>
      <c r="B22" s="366">
        <v>45323</v>
      </c>
      <c r="C22" s="348" t="s">
        <v>778</v>
      </c>
      <c r="D22" s="368" t="str">
        <f>+VLOOKUP(C22,Foundation!$C$8:$D$531,2,FALSE)</f>
        <v>DA+3</v>
      </c>
      <c r="E22" s="368" t="str">
        <f>+VLOOKUP(C22,Foundation!$C$8:$E$495,3,FALSE)</f>
        <v>DRY</v>
      </c>
      <c r="F22" s="350">
        <v>45343</v>
      </c>
      <c r="G22" s="350">
        <v>45348</v>
      </c>
      <c r="H22" s="370" t="s">
        <v>888</v>
      </c>
      <c r="I22" s="373"/>
      <c r="J22" s="693">
        <f t="shared" si="0"/>
        <v>38.847605999999992</v>
      </c>
      <c r="K22" s="370"/>
      <c r="M22" s="645">
        <f t="shared" si="1"/>
        <v>5</v>
      </c>
      <c r="AB22" s="358" t="s">
        <v>361</v>
      </c>
      <c r="AC22" s="472">
        <v>78.132046999999986</v>
      </c>
    </row>
    <row r="23" spans="1:29" hidden="1" x14ac:dyDescent="0.2">
      <c r="A23" s="372">
        <f>+SUBTOTAL(3,$G$7:$G23)</f>
        <v>0</v>
      </c>
      <c r="B23" s="366">
        <v>45323</v>
      </c>
      <c r="C23" s="348" t="s">
        <v>792</v>
      </c>
      <c r="D23" s="368" t="str">
        <f>+VLOOKUP(C23,Foundation!$C$8:$D$531,2,FALSE)</f>
        <v>DA+3</v>
      </c>
      <c r="E23" s="368" t="str">
        <f>+VLOOKUP(C23,Foundation!$C$8:$E$495,3,FALSE)</f>
        <v>DRY</v>
      </c>
      <c r="F23" s="350">
        <v>45344</v>
      </c>
      <c r="G23" s="350">
        <v>45348</v>
      </c>
      <c r="H23" s="370" t="s">
        <v>886</v>
      </c>
      <c r="I23" s="373"/>
      <c r="J23" s="693">
        <f t="shared" si="0"/>
        <v>38.847605999999992</v>
      </c>
      <c r="K23" s="370"/>
      <c r="M23" s="645">
        <f t="shared" si="1"/>
        <v>4</v>
      </c>
      <c r="AB23" s="358" t="s">
        <v>870</v>
      </c>
      <c r="AC23" s="472">
        <v>81.494626999999994</v>
      </c>
    </row>
    <row r="24" spans="1:29" hidden="1" x14ac:dyDescent="0.2">
      <c r="A24" s="372">
        <f>+SUBTOTAL(3,$G$7:$G24)</f>
        <v>0</v>
      </c>
      <c r="B24" s="366">
        <v>45323</v>
      </c>
      <c r="C24" s="348" t="s">
        <v>760</v>
      </c>
      <c r="D24" s="368" t="str">
        <f>+VLOOKUP(C24,Foundation!$C$8:$D$531,2,FALSE)</f>
        <v>DA+3</v>
      </c>
      <c r="E24" s="368" t="str">
        <f>+VLOOKUP(C24,Foundation!$C$8:$E$495,3,FALSE)</f>
        <v>DRY</v>
      </c>
      <c r="F24" s="350">
        <v>45346</v>
      </c>
      <c r="G24" s="350">
        <v>45350</v>
      </c>
      <c r="H24" s="370" t="s">
        <v>892</v>
      </c>
      <c r="I24" s="373"/>
      <c r="J24" s="693">
        <f t="shared" si="0"/>
        <v>38.847605999999992</v>
      </c>
      <c r="K24" s="370"/>
      <c r="M24" s="645">
        <f t="shared" si="1"/>
        <v>4</v>
      </c>
      <c r="AB24" s="358" t="s">
        <v>244</v>
      </c>
      <c r="AC24" s="472">
        <v>66.381106999999986</v>
      </c>
    </row>
    <row r="25" spans="1:29" hidden="1" x14ac:dyDescent="0.2">
      <c r="A25" s="372">
        <f>+SUBTOTAL(3,$G$7:$G25)</f>
        <v>0</v>
      </c>
      <c r="B25" s="366">
        <v>45323</v>
      </c>
      <c r="C25" s="367" t="s">
        <v>791</v>
      </c>
      <c r="D25" s="368" t="str">
        <f>+VLOOKUP(C25,Foundation!$C$8:$D$531,2,FALSE)</f>
        <v>DA+0</v>
      </c>
      <c r="E25" s="368" t="str">
        <f>+VLOOKUP(C25,Foundation!$C$8:$E$495,3,FALSE)</f>
        <v>DRY</v>
      </c>
      <c r="F25" s="350">
        <v>45348</v>
      </c>
      <c r="G25" s="350">
        <v>45350</v>
      </c>
      <c r="H25" s="370" t="s">
        <v>886</v>
      </c>
      <c r="I25" s="373"/>
      <c r="J25" s="693">
        <f t="shared" si="0"/>
        <v>37.504372000000004</v>
      </c>
      <c r="K25" s="370"/>
      <c r="M25" s="645">
        <f t="shared" si="1"/>
        <v>2</v>
      </c>
      <c r="AB25" s="358" t="s">
        <v>905</v>
      </c>
      <c r="AC25" s="472">
        <v>69.228687000000008</v>
      </c>
    </row>
    <row r="26" spans="1:29" hidden="1" x14ac:dyDescent="0.2">
      <c r="A26" s="372">
        <f>+SUBTOTAL(3,$G$7:$G26)</f>
        <v>0</v>
      </c>
      <c r="B26" s="366">
        <v>45323</v>
      </c>
      <c r="C26" s="348" t="s">
        <v>759</v>
      </c>
      <c r="D26" s="368" t="str">
        <f>+VLOOKUP(C26,Foundation!$C$8:$D$531,2,FALSE)</f>
        <v>DB1+3</v>
      </c>
      <c r="E26" s="368" t="str">
        <f>+VLOOKUP(C26,Foundation!$C$8:$E$495,3,FALSE)</f>
        <v>DRY</v>
      </c>
      <c r="F26" s="350">
        <v>45346</v>
      </c>
      <c r="G26" s="350">
        <v>45351</v>
      </c>
      <c r="H26" s="370" t="s">
        <v>898</v>
      </c>
      <c r="I26" s="373"/>
      <c r="J26" s="693">
        <f t="shared" si="0"/>
        <v>60.096777000000003</v>
      </c>
      <c r="K26" s="370"/>
      <c r="M26" s="645">
        <f t="shared" si="1"/>
        <v>5</v>
      </c>
      <c r="AB26" s="358" t="s">
        <v>869</v>
      </c>
      <c r="AC26" s="472">
        <v>78.132046999999986</v>
      </c>
    </row>
    <row r="27" spans="1:29" hidden="1" x14ac:dyDescent="0.2">
      <c r="A27" s="372">
        <f>+SUBTOTAL(3,$G$7:$G27)</f>
        <v>0</v>
      </c>
      <c r="B27" s="366">
        <v>45323</v>
      </c>
      <c r="C27" s="348" t="s">
        <v>812</v>
      </c>
      <c r="D27" s="368" t="str">
        <f>+VLOOKUP(C27,Foundation!$C$8:$D$531,2,FALSE)</f>
        <v>DA+3</v>
      </c>
      <c r="E27" s="368" t="str">
        <f>+VLOOKUP(C27,Foundation!$C$8:$E$495,3,FALSE)</f>
        <v>DRY</v>
      </c>
      <c r="F27" s="350">
        <v>45346</v>
      </c>
      <c r="G27" s="350">
        <v>45351</v>
      </c>
      <c r="H27" s="370" t="s">
        <v>897</v>
      </c>
      <c r="I27" s="373"/>
      <c r="J27" s="693">
        <f t="shared" si="0"/>
        <v>38.847605999999992</v>
      </c>
      <c r="K27" s="370"/>
      <c r="M27" s="645">
        <f t="shared" si="1"/>
        <v>5</v>
      </c>
      <c r="AB27" s="358" t="s">
        <v>248</v>
      </c>
      <c r="AC27" s="472">
        <v>81.494626999999994</v>
      </c>
    </row>
    <row r="28" spans="1:29" hidden="1" x14ac:dyDescent="0.2">
      <c r="A28" s="372">
        <f>+SUBTOTAL(3,$G$7:$G28)</f>
        <v>0</v>
      </c>
      <c r="B28" s="366">
        <v>45323</v>
      </c>
      <c r="C28" s="367" t="s">
        <v>773</v>
      </c>
      <c r="D28" s="368" t="str">
        <f>+VLOOKUP(C28,Foundation!$C$8:$D$531,2,FALSE)</f>
        <v>DA+0</v>
      </c>
      <c r="E28" s="368" t="str">
        <f>+VLOOKUP(C28,Foundation!$C$8:$E$495,3,FALSE)</f>
        <v>DRY</v>
      </c>
      <c r="F28" s="350">
        <v>45348</v>
      </c>
      <c r="G28" s="350">
        <v>45351</v>
      </c>
      <c r="H28" s="370" t="s">
        <v>888</v>
      </c>
      <c r="I28" s="373"/>
      <c r="J28" s="693">
        <f t="shared" si="0"/>
        <v>37.504372000000004</v>
      </c>
      <c r="K28" s="370"/>
      <c r="M28" s="645">
        <f t="shared" si="1"/>
        <v>3</v>
      </c>
      <c r="AB28" s="358" t="s">
        <v>867</v>
      </c>
      <c r="AC28" s="472">
        <v>86.129278999999997</v>
      </c>
    </row>
    <row r="29" spans="1:29" hidden="1" x14ac:dyDescent="0.2">
      <c r="A29" s="372">
        <f>+SUBTOTAL(3,$G$7:$G29)</f>
        <v>0</v>
      </c>
      <c r="B29" s="366">
        <v>45352</v>
      </c>
      <c r="C29" s="367" t="s">
        <v>790</v>
      </c>
      <c r="D29" s="368" t="str">
        <f>+VLOOKUP(C29,Foundation!$C$8:$D$531,2,FALSE)</f>
        <v>DA+3</v>
      </c>
      <c r="E29" s="368" t="str">
        <f>+VLOOKUP(C29,Foundation!$C$8:$E$495,3,FALSE)</f>
        <v>DRY</v>
      </c>
      <c r="F29" s="350">
        <v>45351</v>
      </c>
      <c r="G29" s="350">
        <v>45354</v>
      </c>
      <c r="H29" s="370" t="s">
        <v>886</v>
      </c>
      <c r="I29" s="373"/>
      <c r="J29" s="693">
        <f t="shared" si="0"/>
        <v>38.847605999999992</v>
      </c>
      <c r="K29" s="370"/>
      <c r="M29" s="645">
        <f t="shared" si="1"/>
        <v>3</v>
      </c>
      <c r="AB29" s="358" t="s">
        <v>247</v>
      </c>
      <c r="AC29" s="472">
        <v>89.909625000000005</v>
      </c>
    </row>
    <row r="30" spans="1:29" hidden="1" x14ac:dyDescent="0.2">
      <c r="A30" s="372">
        <f>+SUBTOTAL(3,$G$7:$G30)</f>
        <v>0</v>
      </c>
      <c r="B30" s="366">
        <v>45352</v>
      </c>
      <c r="C30" s="367" t="s">
        <v>813</v>
      </c>
      <c r="D30" s="368" t="str">
        <f>+VLOOKUP(C30,Foundation!$C$8:$D$531,2,FALSE)</f>
        <v>DA+3</v>
      </c>
      <c r="E30" s="368" t="str">
        <f>+VLOOKUP(C30,Foundation!$C$8:$E$495,3,FALSE)</f>
        <v>DRY</v>
      </c>
      <c r="F30" s="350">
        <v>45351</v>
      </c>
      <c r="G30" s="350">
        <v>45355</v>
      </c>
      <c r="H30" s="370" t="s">
        <v>897</v>
      </c>
      <c r="I30" s="373"/>
      <c r="J30" s="693">
        <f t="shared" si="0"/>
        <v>38.847605999999992</v>
      </c>
      <c r="K30" s="370"/>
      <c r="M30" s="645">
        <f t="shared" si="1"/>
        <v>4</v>
      </c>
      <c r="AB30" s="358" t="s">
        <v>238</v>
      </c>
      <c r="AC30" s="472">
        <v>86.129278999999997</v>
      </c>
    </row>
    <row r="31" spans="1:29" hidden="1" x14ac:dyDescent="0.2">
      <c r="A31" s="372">
        <f>+SUBTOTAL(3,$G$7:$G31)</f>
        <v>0</v>
      </c>
      <c r="B31" s="366">
        <v>45352</v>
      </c>
      <c r="C31" s="367" t="s">
        <v>822</v>
      </c>
      <c r="D31" s="368" t="str">
        <f>+VLOOKUP(C31,Foundation!$C$8:$D$531,2,FALSE)</f>
        <v>DA+0</v>
      </c>
      <c r="E31" s="368" t="str">
        <f>+VLOOKUP(C31,Foundation!$C$8:$E$495,3,FALSE)</f>
        <v>DRY</v>
      </c>
      <c r="F31" s="350">
        <v>45351</v>
      </c>
      <c r="G31" s="350">
        <v>45357</v>
      </c>
      <c r="H31" s="370" t="s">
        <v>892</v>
      </c>
      <c r="I31" s="373"/>
      <c r="J31" s="693">
        <f t="shared" si="0"/>
        <v>37.504372000000004</v>
      </c>
      <c r="K31" s="370"/>
      <c r="M31" s="645">
        <f t="shared" si="1"/>
        <v>6</v>
      </c>
      <c r="AB31" s="358" t="s">
        <v>362</v>
      </c>
      <c r="AC31" s="472">
        <v>89.909625000000005</v>
      </c>
    </row>
    <row r="32" spans="1:29" hidden="1" x14ac:dyDescent="0.2">
      <c r="A32" s="372">
        <f>+SUBTOTAL(3,$G$7:$G32)</f>
        <v>0</v>
      </c>
      <c r="B32" s="366">
        <v>45352</v>
      </c>
      <c r="C32" s="367" t="s">
        <v>795</v>
      </c>
      <c r="D32" s="368" t="str">
        <f>+VLOOKUP(C32,Foundation!$C$8:$D$531,2,FALSE)</f>
        <v>DA+3</v>
      </c>
      <c r="E32" s="368" t="str">
        <f>+VLOOKUP(C32,Foundation!$C$8:$E$495,3,FALSE)</f>
        <v>DRY</v>
      </c>
      <c r="F32" s="350">
        <v>45355</v>
      </c>
      <c r="G32" s="350">
        <v>45358</v>
      </c>
      <c r="H32" s="370" t="s">
        <v>886</v>
      </c>
      <c r="I32" s="373"/>
      <c r="J32" s="693">
        <f t="shared" si="0"/>
        <v>38.847605999999992</v>
      </c>
      <c r="K32" s="370"/>
      <c r="M32" s="645">
        <f t="shared" si="1"/>
        <v>3</v>
      </c>
      <c r="AB32" s="358" t="s">
        <v>651</v>
      </c>
      <c r="AC32" s="472">
        <v>100.96800900000001</v>
      </c>
    </row>
    <row r="33" spans="1:29" hidden="1" x14ac:dyDescent="0.2">
      <c r="A33" s="372">
        <f>+SUBTOTAL(3,$G$7:$G33)</f>
        <v>0</v>
      </c>
      <c r="B33" s="366">
        <v>45352</v>
      </c>
      <c r="C33" s="367" t="s">
        <v>767</v>
      </c>
      <c r="D33" s="368" t="str">
        <f>+VLOOKUP(C33,Foundation!$C$8:$D$531,2,FALSE)</f>
        <v>DA+9</v>
      </c>
      <c r="E33" s="368" t="str">
        <f>+VLOOKUP(C33,Foundation!$C$8:$E$495,3,FALSE)</f>
        <v>Dry</v>
      </c>
      <c r="F33" s="350">
        <v>45351</v>
      </c>
      <c r="G33" s="350">
        <v>45362</v>
      </c>
      <c r="H33" s="370" t="s">
        <v>889</v>
      </c>
      <c r="I33" s="373"/>
      <c r="J33" s="693">
        <f t="shared" si="0"/>
        <v>47.184350000000002</v>
      </c>
      <c r="K33" s="370"/>
      <c r="M33" s="645">
        <f t="shared" si="1"/>
        <v>11</v>
      </c>
      <c r="AB33" s="358" t="s">
        <v>357</v>
      </c>
      <c r="AC33" s="472">
        <v>105.06815699999999</v>
      </c>
    </row>
    <row r="34" spans="1:29" hidden="1" x14ac:dyDescent="0.2">
      <c r="A34" s="372">
        <f>+SUBTOTAL(3,$G$7:$G34)</f>
        <v>0</v>
      </c>
      <c r="B34" s="366">
        <v>45352</v>
      </c>
      <c r="C34" s="367" t="s">
        <v>824</v>
      </c>
      <c r="D34" s="368" t="str">
        <f>+VLOOKUP(C34,Foundation!$C$8:$D$531,2,FALSE)</f>
        <v>DA+0</v>
      </c>
      <c r="E34" s="368" t="str">
        <f>+VLOOKUP(C34,Foundation!$C$8:$E$495,3,FALSE)</f>
        <v>DRY</v>
      </c>
      <c r="F34" s="350">
        <v>45357</v>
      </c>
      <c r="G34" s="350">
        <v>45362</v>
      </c>
      <c r="H34" s="370" t="s">
        <v>892</v>
      </c>
      <c r="I34" s="373"/>
      <c r="J34" s="693">
        <f t="shared" si="0"/>
        <v>37.504372000000004</v>
      </c>
      <c r="K34" s="370"/>
      <c r="M34" s="645">
        <f t="shared" si="1"/>
        <v>5</v>
      </c>
      <c r="AB34" s="358" t="s">
        <v>652</v>
      </c>
      <c r="AC34" s="472">
        <v>129.110961</v>
      </c>
    </row>
    <row r="35" spans="1:29" hidden="1" x14ac:dyDescent="0.2">
      <c r="A35" s="372">
        <f>+SUBTOTAL(3,$G$7:$G35)</f>
        <v>0</v>
      </c>
      <c r="B35" s="366">
        <v>45352</v>
      </c>
      <c r="C35" s="367" t="s">
        <v>796</v>
      </c>
      <c r="D35" s="368" t="str">
        <f>+VLOOKUP(C35,Foundation!$C$8:$D$531,2,FALSE)</f>
        <v>DA+0</v>
      </c>
      <c r="E35" s="368" t="str">
        <f>+VLOOKUP(C35,Foundation!$C$8:$E$495,3,FALSE)</f>
        <v>DFR</v>
      </c>
      <c r="F35" s="350">
        <v>45358</v>
      </c>
      <c r="G35" s="350">
        <v>45362</v>
      </c>
      <c r="H35" s="370" t="s">
        <v>886</v>
      </c>
      <c r="I35" s="373"/>
      <c r="J35" s="693">
        <f t="shared" si="0"/>
        <v>37.504372000000004</v>
      </c>
      <c r="K35" s="370"/>
      <c r="M35" s="645">
        <f t="shared" si="1"/>
        <v>4</v>
      </c>
      <c r="AB35" s="358" t="s">
        <v>653</v>
      </c>
      <c r="AC35" s="472">
        <v>143.60187300000001</v>
      </c>
    </row>
    <row r="36" spans="1:29" hidden="1" x14ac:dyDescent="0.2">
      <c r="A36" s="372">
        <f>+SUBTOTAL(3,$G$7:$G36)</f>
        <v>0</v>
      </c>
      <c r="B36" s="366">
        <v>45352</v>
      </c>
      <c r="C36" s="367" t="s">
        <v>797</v>
      </c>
      <c r="D36" s="368" t="str">
        <f>+VLOOKUP(C36,Foundation!$C$8:$D$531,2,FALSE)</f>
        <v>DA+3</v>
      </c>
      <c r="E36" s="368" t="str">
        <f>+VLOOKUP(C36,Foundation!$C$8:$E$495,3,FALSE)</f>
        <v>DFR</v>
      </c>
      <c r="F36" s="350">
        <v>45362</v>
      </c>
      <c r="G36" s="350">
        <v>45366</v>
      </c>
      <c r="H36" s="370" t="s">
        <v>886</v>
      </c>
      <c r="I36" s="373"/>
      <c r="J36" s="693">
        <f t="shared" si="0"/>
        <v>38.847605999999992</v>
      </c>
      <c r="K36" s="370"/>
      <c r="M36" s="645">
        <f t="shared" si="1"/>
        <v>4</v>
      </c>
    </row>
    <row r="37" spans="1:29" hidden="1" x14ac:dyDescent="0.2">
      <c r="A37" s="372">
        <f>+SUBTOTAL(3,$G$7:$G37)</f>
        <v>0</v>
      </c>
      <c r="B37" s="366">
        <v>45352</v>
      </c>
      <c r="C37" s="367" t="s">
        <v>823</v>
      </c>
      <c r="D37" s="368" t="str">
        <f>+VLOOKUP(C37,Foundation!$C$8:$D$531,2,FALSE)</f>
        <v>DA+3</v>
      </c>
      <c r="E37" s="368" t="str">
        <f>+VLOOKUP(C37,Foundation!$C$8:$E$495,3,FALSE)</f>
        <v>DRY</v>
      </c>
      <c r="F37" s="350">
        <v>45362</v>
      </c>
      <c r="G37" s="350">
        <v>45367</v>
      </c>
      <c r="H37" s="370" t="s">
        <v>892</v>
      </c>
      <c r="I37" s="373"/>
      <c r="J37" s="693">
        <f t="shared" si="0"/>
        <v>38.847605999999992</v>
      </c>
      <c r="K37" s="370"/>
      <c r="M37" s="645">
        <f t="shared" si="1"/>
        <v>5</v>
      </c>
    </row>
    <row r="38" spans="1:29" hidden="1" x14ac:dyDescent="0.2">
      <c r="A38" s="372">
        <f>+SUBTOTAL(3,$G$7:$G38)</f>
        <v>0</v>
      </c>
      <c r="B38" s="366">
        <v>45352</v>
      </c>
      <c r="C38" s="367" t="s">
        <v>772</v>
      </c>
      <c r="D38" s="368" t="str">
        <f>+VLOOKUP(C38,Foundation!$C$8:$D$531,2,FALSE)</f>
        <v>DA+3</v>
      </c>
      <c r="E38" s="368" t="str">
        <f>+VLOOKUP(C38,Foundation!$C$8:$E$495,3,FALSE)</f>
        <v>DRY</v>
      </c>
      <c r="F38" s="350">
        <v>45362</v>
      </c>
      <c r="G38" s="350">
        <v>45368</v>
      </c>
      <c r="H38" s="370" t="s">
        <v>889</v>
      </c>
      <c r="I38" s="373"/>
      <c r="J38" s="693">
        <f t="shared" si="0"/>
        <v>38.847605999999992</v>
      </c>
      <c r="K38" s="370"/>
      <c r="M38" s="645">
        <f t="shared" si="1"/>
        <v>6</v>
      </c>
    </row>
    <row r="39" spans="1:29" hidden="1" x14ac:dyDescent="0.2">
      <c r="A39" s="372">
        <f>+SUBTOTAL(3,$G$7:$G39)</f>
        <v>0</v>
      </c>
      <c r="B39" s="366">
        <v>45352</v>
      </c>
      <c r="C39" s="367" t="s">
        <v>798</v>
      </c>
      <c r="D39" s="368" t="str">
        <f>+VLOOKUP(C39,Foundation!$C$8:$D$531,2,FALSE)</f>
        <v>DA+0</v>
      </c>
      <c r="E39" s="368" t="str">
        <f>+VLOOKUP(C39,Foundation!$C$8:$E$495,3,FALSE)</f>
        <v>DFR</v>
      </c>
      <c r="F39" s="350">
        <v>45366</v>
      </c>
      <c r="G39" s="350">
        <v>45369</v>
      </c>
      <c r="H39" s="370" t="s">
        <v>886</v>
      </c>
      <c r="I39" s="373"/>
      <c r="J39" s="693">
        <f t="shared" si="0"/>
        <v>37.504372000000004</v>
      </c>
      <c r="K39" s="370"/>
      <c r="M39" s="645">
        <f t="shared" si="1"/>
        <v>3</v>
      </c>
    </row>
    <row r="40" spans="1:29" hidden="1" x14ac:dyDescent="0.2">
      <c r="A40" s="372">
        <f>+SUBTOTAL(3,$G$7:$G40)</f>
        <v>0</v>
      </c>
      <c r="B40" s="366">
        <v>45352</v>
      </c>
      <c r="C40" s="367" t="s">
        <v>825</v>
      </c>
      <c r="D40" s="368" t="str">
        <f>+VLOOKUP(C40,Foundation!$C$8:$D$531,2,FALSE)</f>
        <v>DA+0</v>
      </c>
      <c r="E40" s="368" t="str">
        <f>+VLOOKUP(C40,Foundation!$C$8:$E$495,3,FALSE)</f>
        <v>DRY</v>
      </c>
      <c r="F40" s="350">
        <v>45367</v>
      </c>
      <c r="G40" s="350">
        <v>45371</v>
      </c>
      <c r="H40" s="370" t="s">
        <v>892</v>
      </c>
      <c r="I40" s="373"/>
      <c r="J40" s="693">
        <f t="shared" si="0"/>
        <v>37.504372000000004</v>
      </c>
      <c r="K40" s="370"/>
      <c r="M40" s="645">
        <f t="shared" si="1"/>
        <v>4</v>
      </c>
    </row>
    <row r="41" spans="1:29" hidden="1" x14ac:dyDescent="0.2">
      <c r="A41" s="372">
        <f>+SUBTOTAL(3,$G$7:$G41)</f>
        <v>0</v>
      </c>
      <c r="B41" s="366">
        <v>45352</v>
      </c>
      <c r="C41" s="367" t="s">
        <v>784</v>
      </c>
      <c r="D41" s="368" t="str">
        <f>+VLOOKUP(C41,Foundation!$C$8:$D$531,2,FALSE)</f>
        <v>DA+3</v>
      </c>
      <c r="E41" s="368" t="str">
        <f>+VLOOKUP(C41,Foundation!$C$8:$E$495,3,FALSE)</f>
        <v>DRY</v>
      </c>
      <c r="F41" s="350">
        <v>45369</v>
      </c>
      <c r="G41" s="350">
        <v>45373</v>
      </c>
      <c r="H41" s="370" t="s">
        <v>886</v>
      </c>
      <c r="I41" s="373"/>
      <c r="J41" s="693">
        <f t="shared" si="0"/>
        <v>38.847605999999992</v>
      </c>
      <c r="K41" s="370"/>
      <c r="M41" s="645">
        <f t="shared" si="1"/>
        <v>4</v>
      </c>
    </row>
    <row r="42" spans="1:29" hidden="1" x14ac:dyDescent="0.2">
      <c r="A42" s="372">
        <f>+SUBTOTAL(3,$G$7:$G42)</f>
        <v>0</v>
      </c>
      <c r="B42" s="366">
        <v>45352</v>
      </c>
      <c r="C42" s="367" t="s">
        <v>771</v>
      </c>
      <c r="D42" s="368" t="str">
        <f>+VLOOKUP(C42,Foundation!$C$8:$D$531,2,FALSE)</f>
        <v>DA+3</v>
      </c>
      <c r="E42" s="368" t="str">
        <f>+VLOOKUP(C42,Foundation!$C$8:$E$495,3,FALSE)</f>
        <v>DFR</v>
      </c>
      <c r="F42" s="350">
        <v>45369</v>
      </c>
      <c r="G42" s="350">
        <v>45374</v>
      </c>
      <c r="H42" s="370" t="s">
        <v>889</v>
      </c>
      <c r="I42" s="373"/>
      <c r="J42" s="693">
        <f t="shared" si="0"/>
        <v>38.847605999999992</v>
      </c>
      <c r="K42" s="370"/>
      <c r="M42" s="645">
        <f t="shared" si="1"/>
        <v>5</v>
      </c>
    </row>
    <row r="43" spans="1:29" hidden="1" x14ac:dyDescent="0.2">
      <c r="A43" s="372">
        <f>+SUBTOTAL(3,$G$7:$G43)</f>
        <v>0</v>
      </c>
      <c r="B43" s="366">
        <v>45352</v>
      </c>
      <c r="C43" s="367" t="s">
        <v>826</v>
      </c>
      <c r="D43" s="368" t="str">
        <f>+VLOOKUP(C43,Foundation!$C$8:$D$531,2,FALSE)</f>
        <v>DA+0</v>
      </c>
      <c r="E43" s="368" t="str">
        <f>+VLOOKUP(C43,Foundation!$C$8:$E$495,3,FALSE)</f>
        <v>DRY</v>
      </c>
      <c r="F43" s="350">
        <v>45371</v>
      </c>
      <c r="G43" s="350">
        <v>45377</v>
      </c>
      <c r="H43" s="370" t="s">
        <v>892</v>
      </c>
      <c r="I43" s="373"/>
      <c r="J43" s="693">
        <f t="shared" si="0"/>
        <v>37.504372000000004</v>
      </c>
      <c r="K43" s="370"/>
      <c r="M43" s="645">
        <f t="shared" si="1"/>
        <v>6</v>
      </c>
    </row>
    <row r="44" spans="1:29" hidden="1" x14ac:dyDescent="0.2">
      <c r="A44" s="372">
        <f>+SUBTOTAL(3,$G$7:$G44)</f>
        <v>0</v>
      </c>
      <c r="B44" s="366">
        <v>45352</v>
      </c>
      <c r="C44" s="367" t="s">
        <v>814</v>
      </c>
      <c r="D44" s="368" t="str">
        <f>+VLOOKUP(C44,Foundation!$C$8:$D$531,2,FALSE)</f>
        <v>DA+0</v>
      </c>
      <c r="E44" s="368" t="str">
        <f>+VLOOKUP(C44,Foundation!$C$8:$E$495,3,FALSE)</f>
        <v>DRY</v>
      </c>
      <c r="F44" s="350">
        <v>45372</v>
      </c>
      <c r="G44" s="350">
        <v>45377</v>
      </c>
      <c r="H44" s="370" t="s">
        <v>897</v>
      </c>
      <c r="I44" s="373"/>
      <c r="J44" s="693">
        <f t="shared" si="0"/>
        <v>37.504372000000004</v>
      </c>
      <c r="K44" s="370"/>
      <c r="M44" s="645">
        <f t="shared" si="1"/>
        <v>5</v>
      </c>
    </row>
    <row r="45" spans="1:29" hidden="1" x14ac:dyDescent="0.2">
      <c r="A45" s="372">
        <f>+SUBTOTAL(3,$G$7:$G45)</f>
        <v>0</v>
      </c>
      <c r="B45" s="366">
        <v>45352</v>
      </c>
      <c r="C45" s="367" t="s">
        <v>785</v>
      </c>
      <c r="D45" s="368" t="str">
        <f>+VLOOKUP(C45,Foundation!$C$8:$D$531,2,FALSE)</f>
        <v>DA+9</v>
      </c>
      <c r="E45" s="368" t="str">
        <f>+VLOOKUP(C45,Foundation!$C$8:$E$495,3,FALSE)</f>
        <v>Dry</v>
      </c>
      <c r="F45" s="350">
        <v>45373</v>
      </c>
      <c r="G45" s="350">
        <v>45379</v>
      </c>
      <c r="H45" s="370" t="s">
        <v>886</v>
      </c>
      <c r="I45" s="373"/>
      <c r="J45" s="693">
        <f t="shared" si="0"/>
        <v>47.184350000000002</v>
      </c>
      <c r="K45" s="370"/>
      <c r="M45" s="645">
        <f t="shared" si="1"/>
        <v>6</v>
      </c>
    </row>
    <row r="46" spans="1:29" hidden="1" x14ac:dyDescent="0.2">
      <c r="A46" s="372">
        <f>+SUBTOTAL(3,$G$7:$G46)</f>
        <v>0</v>
      </c>
      <c r="B46" s="366">
        <v>45352</v>
      </c>
      <c r="C46" s="367" t="s">
        <v>815</v>
      </c>
      <c r="D46" s="368" t="str">
        <f>+VLOOKUP(C46,Foundation!$C$8:$D$531,2,FALSE)</f>
        <v>DA+3</v>
      </c>
      <c r="E46" s="368" t="str">
        <f>+VLOOKUP(C46,Foundation!$C$8:$E$495,3,FALSE)</f>
        <v>DRY</v>
      </c>
      <c r="F46" s="350">
        <v>45377</v>
      </c>
      <c r="G46" s="350">
        <v>45381</v>
      </c>
      <c r="H46" s="370" t="s">
        <v>897</v>
      </c>
      <c r="I46" s="373"/>
      <c r="J46" s="693">
        <f t="shared" si="0"/>
        <v>38.847605999999992</v>
      </c>
      <c r="K46" s="370"/>
      <c r="M46" s="645">
        <f t="shared" si="1"/>
        <v>4</v>
      </c>
    </row>
    <row r="47" spans="1:29" hidden="1" x14ac:dyDescent="0.2">
      <c r="A47" s="372">
        <f>+SUBTOTAL(3,$G$7:$G47)</f>
        <v>0</v>
      </c>
      <c r="B47" s="366">
        <v>45352</v>
      </c>
      <c r="C47" s="367" t="s">
        <v>770</v>
      </c>
      <c r="D47" s="368" t="str">
        <f>+VLOOKUP(C47,Foundation!$C$8:$D$531,2,FALSE)</f>
        <v>DA+3</v>
      </c>
      <c r="E47" s="368" t="str">
        <f>+VLOOKUP(C47,Foundation!$C$8:$E$495,3,FALSE)</f>
        <v>DFR</v>
      </c>
      <c r="F47" s="350">
        <v>45374</v>
      </c>
      <c r="G47" s="350">
        <v>45382</v>
      </c>
      <c r="H47" s="370" t="s">
        <v>889</v>
      </c>
      <c r="I47" s="373"/>
      <c r="J47" s="693">
        <f t="shared" si="0"/>
        <v>38.847605999999992</v>
      </c>
      <c r="K47" s="370"/>
      <c r="M47" s="645">
        <f t="shared" si="1"/>
        <v>8</v>
      </c>
    </row>
    <row r="48" spans="1:29" hidden="1" x14ac:dyDescent="0.2">
      <c r="A48" s="372">
        <f>+SUBTOTAL(3,$G$7:$G48)</f>
        <v>0</v>
      </c>
      <c r="B48" s="366">
        <v>45352</v>
      </c>
      <c r="C48" s="367" t="s">
        <v>827</v>
      </c>
      <c r="D48" s="368" t="str">
        <f>+VLOOKUP(C48,Foundation!$C$8:$D$531,2,FALSE)</f>
        <v>DA+0</v>
      </c>
      <c r="E48" s="368" t="str">
        <f>+VLOOKUP(C48,Foundation!$C$8:$E$495,3,FALSE)</f>
        <v>DRY</v>
      </c>
      <c r="F48" s="350">
        <v>45377</v>
      </c>
      <c r="G48" s="350">
        <v>45382</v>
      </c>
      <c r="H48" s="370" t="s">
        <v>892</v>
      </c>
      <c r="I48" s="373"/>
      <c r="J48" s="693">
        <f t="shared" si="0"/>
        <v>37.504372000000004</v>
      </c>
      <c r="K48" s="370"/>
      <c r="M48" s="645">
        <f t="shared" si="1"/>
        <v>5</v>
      </c>
    </row>
    <row r="49" spans="1:13" hidden="1" x14ac:dyDescent="0.2">
      <c r="A49" s="372">
        <f>+SUBTOTAL(3,$G$7:$G49)</f>
        <v>0</v>
      </c>
      <c r="B49" s="366">
        <v>45383</v>
      </c>
      <c r="C49" s="348" t="s">
        <v>816</v>
      </c>
      <c r="D49" s="368" t="str">
        <f>+VLOOKUP(C49,Foundation!$C$8:$D$531,2,FALSE)</f>
        <v>DA+3</v>
      </c>
      <c r="E49" s="368" t="str">
        <f>+VLOOKUP(C49,Foundation!$C$8:$E$495,3,FALSE)</f>
        <v>DRY</v>
      </c>
      <c r="F49" s="350">
        <v>45381</v>
      </c>
      <c r="G49" s="350">
        <v>45385</v>
      </c>
      <c r="H49" s="370" t="s">
        <v>897</v>
      </c>
      <c r="I49" s="373"/>
      <c r="J49" s="693">
        <f t="shared" si="0"/>
        <v>38.847605999999992</v>
      </c>
      <c r="K49" s="370"/>
      <c r="M49" s="645">
        <f t="shared" si="1"/>
        <v>4</v>
      </c>
    </row>
    <row r="50" spans="1:13" hidden="1" x14ac:dyDescent="0.2">
      <c r="A50" s="372">
        <f>+SUBTOTAL(3,$G$7:$G50)</f>
        <v>0</v>
      </c>
      <c r="B50" s="366">
        <v>45383</v>
      </c>
      <c r="C50" s="348" t="s">
        <v>829</v>
      </c>
      <c r="D50" s="368" t="str">
        <f>+VLOOKUP(C50,Foundation!$C$8:$D$531,2,FALSE)</f>
        <v>DA+0</v>
      </c>
      <c r="E50" s="368" t="str">
        <f>+VLOOKUP(C50,Foundation!$C$8:$E$495,3,FALSE)</f>
        <v>DRY</v>
      </c>
      <c r="F50" s="350">
        <v>45382</v>
      </c>
      <c r="G50" s="350">
        <v>45386</v>
      </c>
      <c r="H50" s="370" t="s">
        <v>892</v>
      </c>
      <c r="I50" s="373"/>
      <c r="J50" s="693">
        <f t="shared" si="0"/>
        <v>37.504372000000004</v>
      </c>
      <c r="K50" s="370"/>
      <c r="M50" s="645">
        <f t="shared" si="1"/>
        <v>4</v>
      </c>
    </row>
    <row r="51" spans="1:13" hidden="1" x14ac:dyDescent="0.2">
      <c r="A51" s="372">
        <f>+SUBTOTAL(3,$G$7:$G51)</f>
        <v>0</v>
      </c>
      <c r="B51" s="366">
        <v>45383</v>
      </c>
      <c r="C51" s="348" t="s">
        <v>769</v>
      </c>
      <c r="D51" s="368" t="str">
        <f>+VLOOKUP(C51,Foundation!$C$8:$D$531,2,FALSE)</f>
        <v>DA+3</v>
      </c>
      <c r="E51" s="368" t="str">
        <f>+VLOOKUP(C51,Foundation!$C$8:$E$495,3,FALSE)</f>
        <v>DFR</v>
      </c>
      <c r="F51" s="350">
        <v>45382</v>
      </c>
      <c r="G51" s="350">
        <v>45389</v>
      </c>
      <c r="H51" s="370" t="s">
        <v>889</v>
      </c>
      <c r="I51" s="373"/>
      <c r="J51" s="693">
        <f t="shared" si="0"/>
        <v>38.847605999999992</v>
      </c>
      <c r="K51" s="370"/>
      <c r="M51" s="645">
        <f t="shared" si="1"/>
        <v>7</v>
      </c>
    </row>
    <row r="52" spans="1:13" hidden="1" x14ac:dyDescent="0.2">
      <c r="A52" s="372">
        <f>+SUBTOTAL(3,$G$7:$G52)</f>
        <v>0</v>
      </c>
      <c r="B52" s="366">
        <v>45383</v>
      </c>
      <c r="C52" s="348" t="s">
        <v>804</v>
      </c>
      <c r="D52" s="368" t="str">
        <f>+VLOOKUP(C52,Foundation!$C$8:$D$531,2,FALSE)</f>
        <v>DA+3</v>
      </c>
      <c r="E52" s="368" t="str">
        <f>+VLOOKUP(C52,Foundation!$C$8:$E$495,3,FALSE)</f>
        <v>DFR</v>
      </c>
      <c r="F52" s="350">
        <v>45383</v>
      </c>
      <c r="G52" s="350">
        <v>45389</v>
      </c>
      <c r="H52" s="370" t="s">
        <v>899</v>
      </c>
      <c r="I52" s="373"/>
      <c r="J52" s="693">
        <f t="shared" si="0"/>
        <v>38.847605999999992</v>
      </c>
      <c r="K52" s="370"/>
      <c r="M52" s="645">
        <f t="shared" si="1"/>
        <v>6</v>
      </c>
    </row>
    <row r="53" spans="1:13" hidden="1" x14ac:dyDescent="0.2">
      <c r="A53" s="372">
        <f>+SUBTOTAL(3,$G$7:$G53)</f>
        <v>0</v>
      </c>
      <c r="B53" s="366">
        <v>45383</v>
      </c>
      <c r="C53" s="348" t="s">
        <v>817</v>
      </c>
      <c r="D53" s="368" t="str">
        <f>+VLOOKUP(C53,Foundation!$C$8:$D$531,2,FALSE)</f>
        <v>DA+3</v>
      </c>
      <c r="E53" s="368" t="str">
        <f>+VLOOKUP(C53,Foundation!$C$8:$E$495,3,FALSE)</f>
        <v>DRY</v>
      </c>
      <c r="F53" s="350">
        <v>45385</v>
      </c>
      <c r="G53" s="350">
        <v>45390</v>
      </c>
      <c r="H53" s="370" t="s">
        <v>897</v>
      </c>
      <c r="I53" s="373"/>
      <c r="J53" s="693">
        <f t="shared" si="0"/>
        <v>38.847605999999992</v>
      </c>
      <c r="K53" s="370"/>
      <c r="M53" s="645">
        <f t="shared" si="1"/>
        <v>5</v>
      </c>
    </row>
    <row r="54" spans="1:13" hidden="1" x14ac:dyDescent="0.2">
      <c r="A54" s="372">
        <f>+SUBTOTAL(3,$G$7:$G54)</f>
        <v>0</v>
      </c>
      <c r="B54" s="366">
        <v>45383</v>
      </c>
      <c r="C54" s="348" t="s">
        <v>830</v>
      </c>
      <c r="D54" s="368" t="str">
        <f>+VLOOKUP(C54,Foundation!$C$8:$D$531,2,FALSE)</f>
        <v>DA+0</v>
      </c>
      <c r="E54" s="368" t="str">
        <f>+VLOOKUP(C54,Foundation!$C$8:$E$495,3,FALSE)</f>
        <v>DRY</v>
      </c>
      <c r="F54" s="350">
        <v>45388</v>
      </c>
      <c r="G54" s="350">
        <v>45392</v>
      </c>
      <c r="H54" s="370" t="s">
        <v>892</v>
      </c>
      <c r="I54" s="373"/>
      <c r="J54" s="693">
        <f t="shared" si="0"/>
        <v>37.504372000000004</v>
      </c>
      <c r="K54" s="370"/>
      <c r="M54" s="645">
        <f t="shared" si="1"/>
        <v>4</v>
      </c>
    </row>
    <row r="55" spans="1:13" hidden="1" x14ac:dyDescent="0.2">
      <c r="A55" s="372">
        <f>+SUBTOTAL(3,$G$7:$G55)</f>
        <v>0</v>
      </c>
      <c r="B55" s="366">
        <v>45383</v>
      </c>
      <c r="C55" s="367" t="s">
        <v>98</v>
      </c>
      <c r="D55" s="368" t="str">
        <f>+VLOOKUP(C55,Foundation!$C$8:$D$531,2,FALSE)</f>
        <v>DB2+0</v>
      </c>
      <c r="E55" s="368" t="str">
        <f>+VLOOKUP(C55,Foundation!$C$8:$E$495,3,FALSE)</f>
        <v>DRY</v>
      </c>
      <c r="F55" s="350">
        <v>45388</v>
      </c>
      <c r="G55" s="350">
        <v>45393</v>
      </c>
      <c r="H55" s="370" t="s">
        <v>886</v>
      </c>
      <c r="I55" s="373"/>
      <c r="J55" s="693">
        <f t="shared" si="0"/>
        <v>57.597240999999997</v>
      </c>
      <c r="K55" s="370"/>
      <c r="M55" s="645">
        <f t="shared" si="1"/>
        <v>5</v>
      </c>
    </row>
    <row r="56" spans="1:13" hidden="1" x14ac:dyDescent="0.2">
      <c r="A56" s="372">
        <f>+SUBTOTAL(3,$G$7:$G56)</f>
        <v>0</v>
      </c>
      <c r="B56" s="366">
        <v>45383</v>
      </c>
      <c r="C56" s="367" t="s">
        <v>803</v>
      </c>
      <c r="D56" s="368" t="str">
        <f>+VLOOKUP(C56,Foundation!$C$8:$D$531,2,FALSE)</f>
        <v>DA+0</v>
      </c>
      <c r="E56" s="368" t="str">
        <f>+VLOOKUP(C56,Foundation!$C$8:$E$495,3,FALSE)</f>
        <v>DRY</v>
      </c>
      <c r="F56" s="350">
        <v>45389</v>
      </c>
      <c r="G56" s="350">
        <v>45395</v>
      </c>
      <c r="H56" s="370" t="s">
        <v>899</v>
      </c>
      <c r="I56" s="373"/>
      <c r="J56" s="693">
        <f t="shared" si="0"/>
        <v>37.504372000000004</v>
      </c>
      <c r="K56" s="370"/>
      <c r="M56" s="645">
        <f t="shared" si="1"/>
        <v>6</v>
      </c>
    </row>
    <row r="57" spans="1:13" hidden="1" x14ac:dyDescent="0.2">
      <c r="A57" s="372">
        <f>+SUBTOTAL(3,$G$7:$G57)</f>
        <v>0</v>
      </c>
      <c r="B57" s="366">
        <v>45383</v>
      </c>
      <c r="C57" s="367" t="s">
        <v>831</v>
      </c>
      <c r="D57" s="368" t="str">
        <f>+VLOOKUP(C57,Foundation!$C$8:$D$531,2,FALSE)</f>
        <v>DA+0</v>
      </c>
      <c r="E57" s="368" t="str">
        <f>+VLOOKUP(C57,Foundation!$C$8:$E$495,3,FALSE)</f>
        <v>DRY</v>
      </c>
      <c r="F57" s="350">
        <v>45392</v>
      </c>
      <c r="G57" s="350">
        <v>45397</v>
      </c>
      <c r="H57" s="370" t="s">
        <v>892</v>
      </c>
      <c r="I57" s="373"/>
      <c r="J57" s="693">
        <f t="shared" si="0"/>
        <v>37.504372000000004</v>
      </c>
      <c r="K57" s="370"/>
      <c r="M57" s="645">
        <f t="shared" si="1"/>
        <v>5</v>
      </c>
    </row>
    <row r="58" spans="1:13" hidden="1" x14ac:dyDescent="0.2">
      <c r="A58" s="372">
        <f>+SUBTOTAL(3,$G$7:$G58)</f>
        <v>0</v>
      </c>
      <c r="B58" s="366">
        <v>45383</v>
      </c>
      <c r="C58" s="348" t="s">
        <v>802</v>
      </c>
      <c r="D58" s="368" t="str">
        <f>+VLOOKUP(C58,Foundation!$C$8:$D$531,2,FALSE)</f>
        <v>DA+3</v>
      </c>
      <c r="E58" s="368" t="str">
        <f>+VLOOKUP(C58,Foundation!$C$8:$E$495,3,FALSE)</f>
        <v>DFR</v>
      </c>
      <c r="F58" s="350">
        <v>45395</v>
      </c>
      <c r="G58" s="350">
        <v>45399</v>
      </c>
      <c r="H58" s="370" t="s">
        <v>899</v>
      </c>
      <c r="I58" s="373"/>
      <c r="J58" s="693">
        <f t="shared" si="0"/>
        <v>38.847605999999992</v>
      </c>
      <c r="K58" s="370"/>
      <c r="M58" s="645">
        <f t="shared" si="1"/>
        <v>4</v>
      </c>
    </row>
    <row r="59" spans="1:13" hidden="1" x14ac:dyDescent="0.2">
      <c r="A59" s="372">
        <f>+SUBTOTAL(3,$G$7:$G59)</f>
        <v>0</v>
      </c>
      <c r="B59" s="366">
        <v>45383</v>
      </c>
      <c r="C59" s="368" t="s">
        <v>818</v>
      </c>
      <c r="D59" s="368" t="str">
        <f>+VLOOKUP(C59,Foundation!$C$8:$D$531,2,FALSE)</f>
        <v>DA+3</v>
      </c>
      <c r="E59" s="368" t="str">
        <f>+VLOOKUP(C59,Foundation!$C$8:$E$495,3,FALSE)</f>
        <v>DRY</v>
      </c>
      <c r="F59" s="350">
        <v>45397</v>
      </c>
      <c r="G59" s="350">
        <v>45402</v>
      </c>
      <c r="H59" s="370" t="s">
        <v>892</v>
      </c>
      <c r="I59" s="373"/>
      <c r="J59" s="693">
        <f t="shared" si="0"/>
        <v>38.847605999999992</v>
      </c>
      <c r="K59" s="370"/>
      <c r="M59" s="645">
        <f t="shared" si="1"/>
        <v>5</v>
      </c>
    </row>
    <row r="60" spans="1:13" hidden="1" x14ac:dyDescent="0.2">
      <c r="A60" s="372">
        <f>+SUBTOTAL(3,$G$7:$G60)</f>
        <v>0</v>
      </c>
      <c r="B60" s="366">
        <v>45383</v>
      </c>
      <c r="C60" s="368" t="s">
        <v>810</v>
      </c>
      <c r="D60" s="368" t="str">
        <f>+VLOOKUP(C60,Foundation!$C$8:$D$531,2,FALSE)</f>
        <v>DA+3</v>
      </c>
      <c r="E60" s="368" t="str">
        <f>+VLOOKUP(C60,Foundation!$C$8:$E$495,3,FALSE)</f>
        <v>DRY</v>
      </c>
      <c r="F60" s="350">
        <v>45398</v>
      </c>
      <c r="G60" s="350">
        <v>45403</v>
      </c>
      <c r="H60" s="370" t="s">
        <v>897</v>
      </c>
      <c r="I60" s="373"/>
      <c r="J60" s="693">
        <f t="shared" si="0"/>
        <v>38.847605999999992</v>
      </c>
      <c r="K60" s="370"/>
      <c r="M60" s="645">
        <f t="shared" si="1"/>
        <v>5</v>
      </c>
    </row>
    <row r="61" spans="1:13" hidden="1" x14ac:dyDescent="0.2">
      <c r="A61" s="372">
        <f>+SUBTOTAL(3,$G$7:$G61)</f>
        <v>0</v>
      </c>
      <c r="B61" s="366">
        <v>45383</v>
      </c>
      <c r="C61" s="368" t="s">
        <v>780</v>
      </c>
      <c r="D61" s="368" t="str">
        <f>+VLOOKUP(C61,Foundation!$C$8:$D$531,2,FALSE)</f>
        <v>DA+6</v>
      </c>
      <c r="E61" s="368" t="str">
        <f>+VLOOKUP(C61,Foundation!$C$8:$E$495,3,FALSE)</f>
        <v>DFR</v>
      </c>
      <c r="F61" s="350">
        <v>45398</v>
      </c>
      <c r="G61" s="350">
        <v>45404</v>
      </c>
      <c r="H61" s="370" t="s">
        <v>886</v>
      </c>
      <c r="I61" s="373"/>
      <c r="J61" s="693">
        <f t="shared" si="0"/>
        <v>45.413028000000004</v>
      </c>
      <c r="K61" s="370"/>
      <c r="M61" s="645">
        <f t="shared" si="1"/>
        <v>6</v>
      </c>
    </row>
    <row r="62" spans="1:13" hidden="1" x14ac:dyDescent="0.2">
      <c r="A62" s="372">
        <f>+SUBTOTAL(3,$G$7:$G62)</f>
        <v>0</v>
      </c>
      <c r="B62" s="366">
        <v>45383</v>
      </c>
      <c r="C62" s="348" t="s">
        <v>801</v>
      </c>
      <c r="D62" s="368" t="str">
        <f>+VLOOKUP(C62,Foundation!$C$8:$D$531,2,FALSE)</f>
        <v>DA+0</v>
      </c>
      <c r="E62" s="368" t="str">
        <f>+VLOOKUP(C62,Foundation!$C$8:$E$495,3,FALSE)</f>
        <v>DFR</v>
      </c>
      <c r="F62" s="350">
        <v>45399</v>
      </c>
      <c r="G62" s="350">
        <v>45404</v>
      </c>
      <c r="H62" s="370" t="s">
        <v>888</v>
      </c>
      <c r="I62" s="373"/>
      <c r="J62" s="693">
        <f t="shared" si="0"/>
        <v>37.504372000000004</v>
      </c>
      <c r="K62" s="370"/>
      <c r="M62" s="645">
        <f t="shared" si="1"/>
        <v>5</v>
      </c>
    </row>
    <row r="63" spans="1:13" hidden="1" x14ac:dyDescent="0.2">
      <c r="A63" s="372">
        <f>+SUBTOTAL(3,$G$7:$G63)</f>
        <v>0</v>
      </c>
      <c r="B63" s="366">
        <v>45383</v>
      </c>
      <c r="C63" s="367" t="s">
        <v>768</v>
      </c>
      <c r="D63" s="368" t="str">
        <f>+VLOOKUP(C63,Foundation!$C$8:$D$531,2,FALSE)</f>
        <v>DA+6</v>
      </c>
      <c r="E63" s="368" t="str">
        <f>+VLOOKUP(C63,Foundation!$C$8:$E$495,3,FALSE)</f>
        <v>DRY</v>
      </c>
      <c r="F63" s="350">
        <v>45400</v>
      </c>
      <c r="G63" s="350">
        <v>45407</v>
      </c>
      <c r="H63" s="370" t="s">
        <v>889</v>
      </c>
      <c r="I63" s="373"/>
      <c r="J63" s="693">
        <f t="shared" si="0"/>
        <v>45.413028000000004</v>
      </c>
      <c r="K63" s="370"/>
      <c r="M63" s="645">
        <f t="shared" si="1"/>
        <v>7</v>
      </c>
    </row>
    <row r="64" spans="1:13" hidden="1" x14ac:dyDescent="0.2">
      <c r="A64" s="372">
        <f>+SUBTOTAL(3,$G$7:$G64)</f>
        <v>0</v>
      </c>
      <c r="B64" s="366">
        <v>45383</v>
      </c>
      <c r="C64" s="348" t="s">
        <v>811</v>
      </c>
      <c r="D64" s="368" t="str">
        <f>+VLOOKUP(C64,Foundation!$C$8:$D$531,2,FALSE)</f>
        <v>DA+0</v>
      </c>
      <c r="E64" s="368" t="str">
        <f>+VLOOKUP(C64,Foundation!$C$8:$E$495,3,FALSE)</f>
        <v>DRY</v>
      </c>
      <c r="F64" s="350">
        <v>45403</v>
      </c>
      <c r="G64" s="350">
        <v>45408</v>
      </c>
      <c r="H64" s="370" t="s">
        <v>897</v>
      </c>
      <c r="I64" s="373"/>
      <c r="J64" s="693">
        <f t="shared" si="0"/>
        <v>37.504372000000004</v>
      </c>
      <c r="K64" s="370"/>
      <c r="M64" s="645">
        <f t="shared" si="1"/>
        <v>5</v>
      </c>
    </row>
    <row r="65" spans="1:13" hidden="1" x14ac:dyDescent="0.2">
      <c r="A65" s="372">
        <f>+SUBTOTAL(3,$G$7:$G65)</f>
        <v>0</v>
      </c>
      <c r="B65" s="366">
        <v>45383</v>
      </c>
      <c r="C65" s="348" t="s">
        <v>820</v>
      </c>
      <c r="D65" s="368" t="str">
        <f>+VLOOKUP(C65,Foundation!$C$8:$D$531,2,FALSE)</f>
        <v>DB1+0</v>
      </c>
      <c r="E65" s="368" t="str">
        <f>+VLOOKUP(C65,Foundation!$C$8:$E$495,3,FALSE)</f>
        <v>DRY</v>
      </c>
      <c r="F65" s="350">
        <v>45403</v>
      </c>
      <c r="G65" s="350">
        <v>45409</v>
      </c>
      <c r="H65" s="370" t="s">
        <v>892</v>
      </c>
      <c r="I65" s="373"/>
      <c r="J65" s="693">
        <f t="shared" si="0"/>
        <v>57.597240999999997</v>
      </c>
      <c r="K65" s="370"/>
      <c r="M65" s="645">
        <f t="shared" si="1"/>
        <v>6</v>
      </c>
    </row>
    <row r="66" spans="1:13" hidden="1" x14ac:dyDescent="0.2">
      <c r="A66" s="372">
        <f>+SUBTOTAL(3,$G$7:$G66)</f>
        <v>0</v>
      </c>
      <c r="B66" s="366">
        <v>45383</v>
      </c>
      <c r="C66" s="374" t="s">
        <v>800</v>
      </c>
      <c r="D66" s="368" t="str">
        <f>+VLOOKUP(C66,Foundation!$C$8:$D$531,2,FALSE)</f>
        <v>DA+3</v>
      </c>
      <c r="E66" s="368" t="str">
        <f>+VLOOKUP(C66,Foundation!$C$8:$E$495,3,FALSE)</f>
        <v>DFR</v>
      </c>
      <c r="F66" s="350">
        <v>45404</v>
      </c>
      <c r="G66" s="350">
        <v>45409</v>
      </c>
      <c r="H66" s="370" t="s">
        <v>888</v>
      </c>
      <c r="I66" s="373"/>
      <c r="J66" s="693">
        <f t="shared" si="0"/>
        <v>38.847605999999992</v>
      </c>
      <c r="K66" s="370"/>
      <c r="M66" s="645">
        <f t="shared" si="1"/>
        <v>5</v>
      </c>
    </row>
    <row r="67" spans="1:13" hidden="1" x14ac:dyDescent="0.2">
      <c r="A67" s="372">
        <f>+SUBTOTAL(3,$G$7:$G67)</f>
        <v>0</v>
      </c>
      <c r="B67" s="366">
        <v>45383</v>
      </c>
      <c r="C67" s="374" t="s">
        <v>779</v>
      </c>
      <c r="D67" s="368" t="str">
        <f>+VLOOKUP(C67,Foundation!$C$8:$D$531,2,FALSE)</f>
        <v>DA+6</v>
      </c>
      <c r="E67" s="368" t="str">
        <f>+VLOOKUP(C67,Foundation!$C$8:$E$495,3,FALSE)</f>
        <v>DFR</v>
      </c>
      <c r="F67" s="350">
        <v>45404</v>
      </c>
      <c r="G67" s="350">
        <v>45411</v>
      </c>
      <c r="H67" s="370" t="s">
        <v>886</v>
      </c>
      <c r="I67" s="373"/>
      <c r="J67" s="693">
        <f t="shared" si="0"/>
        <v>45.413028000000004</v>
      </c>
      <c r="K67" s="370"/>
      <c r="M67" s="645">
        <f t="shared" si="1"/>
        <v>7</v>
      </c>
    </row>
    <row r="68" spans="1:13" hidden="1" x14ac:dyDescent="0.2">
      <c r="A68" s="372">
        <f>+SUBTOTAL(3,$G$7:$G68)</f>
        <v>0</v>
      </c>
      <c r="B68" s="366">
        <v>45413</v>
      </c>
      <c r="C68" s="368" t="s">
        <v>821</v>
      </c>
      <c r="D68" s="368" t="str">
        <f>+VLOOKUP(C68,Foundation!$C$8:$D$531,2,FALSE)</f>
        <v>DA+0</v>
      </c>
      <c r="E68" s="368" t="str">
        <f>+VLOOKUP(C68,Foundation!$C$8:$E$495,3,FALSE)</f>
        <v>DRY</v>
      </c>
      <c r="F68" s="350">
        <v>45409</v>
      </c>
      <c r="G68" s="350">
        <v>45415</v>
      </c>
      <c r="H68" s="370" t="s">
        <v>892</v>
      </c>
      <c r="I68" s="373"/>
      <c r="J68" s="693">
        <f t="shared" si="0"/>
        <v>37.504372000000004</v>
      </c>
      <c r="K68" s="370"/>
      <c r="M68" s="645">
        <f t="shared" si="1"/>
        <v>6</v>
      </c>
    </row>
    <row r="69" spans="1:13" hidden="1" x14ac:dyDescent="0.2">
      <c r="A69" s="372">
        <f>+SUBTOTAL(3,$G$7:$G69)</f>
        <v>0</v>
      </c>
      <c r="B69" s="366">
        <v>45413</v>
      </c>
      <c r="C69" s="348" t="s">
        <v>799</v>
      </c>
      <c r="D69" s="368" t="str">
        <f>+VLOOKUP(C69,Foundation!$C$8:$D$531,2,FALSE)</f>
        <v>DA+3</v>
      </c>
      <c r="E69" s="368" t="str">
        <f>+VLOOKUP(C69,Foundation!$C$8:$E$495,3,FALSE)</f>
        <v>DRY</v>
      </c>
      <c r="F69" s="350">
        <v>45409</v>
      </c>
      <c r="G69" s="350">
        <v>45415</v>
      </c>
      <c r="H69" s="370" t="s">
        <v>888</v>
      </c>
      <c r="I69" s="373"/>
      <c r="J69" s="693">
        <f t="shared" si="0"/>
        <v>38.847605999999992</v>
      </c>
      <c r="K69" s="370"/>
      <c r="M69" s="645">
        <f t="shared" si="1"/>
        <v>6</v>
      </c>
    </row>
    <row r="70" spans="1:13" hidden="1" x14ac:dyDescent="0.2">
      <c r="A70" s="372">
        <f>+SUBTOTAL(3,$G$7:$G70)</f>
        <v>0</v>
      </c>
      <c r="B70" s="366">
        <v>45413</v>
      </c>
      <c r="C70" s="348" t="s">
        <v>808</v>
      </c>
      <c r="D70" s="368" t="str">
        <f>+VLOOKUP(C70,Foundation!$C$8:$D$531,2,FALSE)</f>
        <v>DB2+0</v>
      </c>
      <c r="E70" s="368" t="str">
        <f>+VLOOKUP(C70,Foundation!$C$8:$E$495,3,FALSE)</f>
        <v>DRY</v>
      </c>
      <c r="F70" s="350">
        <v>45409</v>
      </c>
      <c r="G70" s="350">
        <v>45417</v>
      </c>
      <c r="H70" s="370" t="s">
        <v>897</v>
      </c>
      <c r="I70" s="373"/>
      <c r="J70" s="693">
        <f t="shared" si="0"/>
        <v>57.597240999999997</v>
      </c>
      <c r="K70" s="370"/>
      <c r="M70" s="645">
        <f t="shared" si="1"/>
        <v>8</v>
      </c>
    </row>
    <row r="71" spans="1:13" hidden="1" x14ac:dyDescent="0.2">
      <c r="A71" s="372">
        <f>+SUBTOTAL(3,$G$7:$G71)</f>
        <v>0</v>
      </c>
      <c r="B71" s="366">
        <v>45413</v>
      </c>
      <c r="C71" s="348" t="s">
        <v>776</v>
      </c>
      <c r="D71" s="368" t="str">
        <f>+VLOOKUP(C71,Foundation!$C$8:$D$531,2,FALSE)</f>
        <v>DA+3</v>
      </c>
      <c r="E71" s="368" t="str">
        <f>+VLOOKUP(C71,Foundation!$C$8:$E$495,3,FALSE)</f>
        <v>DRY</v>
      </c>
      <c r="F71" s="350">
        <v>45411</v>
      </c>
      <c r="G71" s="350">
        <v>45417</v>
      </c>
      <c r="H71" s="370" t="s">
        <v>886</v>
      </c>
      <c r="I71" s="373"/>
      <c r="J71" s="693">
        <f t="shared" si="0"/>
        <v>38.847605999999992</v>
      </c>
      <c r="K71" s="370"/>
      <c r="M71" s="645">
        <f t="shared" si="1"/>
        <v>6</v>
      </c>
    </row>
    <row r="72" spans="1:13" hidden="1" x14ac:dyDescent="0.2">
      <c r="A72" s="372">
        <f>+SUBTOTAL(3,$G$7:$G72)</f>
        <v>0</v>
      </c>
      <c r="B72" s="366">
        <v>45413</v>
      </c>
      <c r="C72" s="348" t="s">
        <v>781</v>
      </c>
      <c r="D72" s="368" t="str">
        <f>+VLOOKUP(C72,Foundation!$C$8:$D$531,2,FALSE)</f>
        <v>DA+6</v>
      </c>
      <c r="E72" s="368" t="str">
        <f>+VLOOKUP(C72,Foundation!$C$8:$E$495,3,FALSE)</f>
        <v>DRY</v>
      </c>
      <c r="F72" s="350">
        <v>45417</v>
      </c>
      <c r="G72" s="350">
        <v>45423</v>
      </c>
      <c r="H72" s="370" t="s">
        <v>886</v>
      </c>
      <c r="I72" s="373"/>
      <c r="J72" s="693">
        <f t="shared" ref="J72:J135" si="2">+VLOOKUP(D72,$AB$7:$AC$35,2,FALSE)</f>
        <v>45.413028000000004</v>
      </c>
      <c r="K72" s="370"/>
      <c r="M72" s="645">
        <f t="shared" ref="M72:M135" si="3">G72-F72</f>
        <v>6</v>
      </c>
    </row>
    <row r="73" spans="1:13" hidden="1" x14ac:dyDescent="0.2">
      <c r="A73" s="372">
        <f>+SUBTOTAL(3,$G$7:$G73)</f>
        <v>0</v>
      </c>
      <c r="B73" s="366">
        <v>45413</v>
      </c>
      <c r="C73" s="348" t="s">
        <v>100</v>
      </c>
      <c r="D73" s="368" t="str">
        <f>+VLOOKUP(C73,Foundation!$C$8:$D$531,2,FALSE)</f>
        <v>DC1+0</v>
      </c>
      <c r="E73" s="368" t="str">
        <f>+VLOOKUP(C73,Foundation!$C$8:$E$495,3,FALSE)</f>
        <v>DFR</v>
      </c>
      <c r="F73" s="350">
        <v>45415</v>
      </c>
      <c r="G73" s="350">
        <v>45424</v>
      </c>
      <c r="H73" s="370" t="s">
        <v>888</v>
      </c>
      <c r="I73" s="373"/>
      <c r="J73" s="693">
        <f t="shared" si="2"/>
        <v>66.381106999999986</v>
      </c>
      <c r="K73" s="370"/>
      <c r="M73" s="645">
        <f t="shared" si="3"/>
        <v>9</v>
      </c>
    </row>
    <row r="74" spans="1:13" hidden="1" x14ac:dyDescent="0.2">
      <c r="A74" s="372">
        <f>+SUBTOTAL(3,$G$7:$G74)</f>
        <v>0</v>
      </c>
      <c r="B74" s="366">
        <v>45413</v>
      </c>
      <c r="C74" s="348" t="s">
        <v>782</v>
      </c>
      <c r="D74" s="368" t="str">
        <f>+VLOOKUP(C74,Foundation!$C$8:$D$531,2,FALSE)</f>
        <v>DA+3</v>
      </c>
      <c r="E74" s="368" t="str">
        <f>+VLOOKUP(C74,Foundation!$C$8:$E$495,3,FALSE)</f>
        <v>DRY</v>
      </c>
      <c r="F74" s="350">
        <v>45423</v>
      </c>
      <c r="G74" s="350">
        <v>45428</v>
      </c>
      <c r="H74" s="370" t="s">
        <v>886</v>
      </c>
      <c r="I74" s="373"/>
      <c r="J74" s="693">
        <f t="shared" si="2"/>
        <v>38.847605999999992</v>
      </c>
      <c r="K74" s="370"/>
      <c r="M74" s="645">
        <f t="shared" si="3"/>
        <v>5</v>
      </c>
    </row>
    <row r="75" spans="1:13" hidden="1" x14ac:dyDescent="0.2">
      <c r="A75" s="372">
        <f>+SUBTOTAL(3,$G$7:$G75)</f>
        <v>0</v>
      </c>
      <c r="B75" s="366">
        <v>45413</v>
      </c>
      <c r="C75" s="348" t="s">
        <v>97</v>
      </c>
      <c r="D75" s="368" t="str">
        <f>+VLOOKUP(C75,Foundation!$C$8:$D$531,2,FALSE)</f>
        <v>DC1+0</v>
      </c>
      <c r="E75" s="368" t="str">
        <f>+VLOOKUP(C75,Foundation!$C$8:$E$495,3,FALSE)</f>
        <v>DRY</v>
      </c>
      <c r="F75" s="350">
        <v>45417</v>
      </c>
      <c r="G75" s="350">
        <v>45430</v>
      </c>
      <c r="H75" s="370" t="s">
        <v>900</v>
      </c>
      <c r="I75" s="373"/>
      <c r="J75" s="693">
        <f t="shared" si="2"/>
        <v>66.381106999999986</v>
      </c>
      <c r="K75" s="370"/>
      <c r="M75" s="645">
        <f t="shared" si="3"/>
        <v>13</v>
      </c>
    </row>
    <row r="76" spans="1:13" hidden="1" x14ac:dyDescent="0.2">
      <c r="A76" s="372">
        <f>+SUBTOTAL(3,$G$7:$G76)</f>
        <v>0</v>
      </c>
      <c r="B76" s="366">
        <v>45413</v>
      </c>
      <c r="C76" s="348" t="s">
        <v>788</v>
      </c>
      <c r="D76" s="368" t="str">
        <f>+VLOOKUP(C76,Foundation!$C$8:$D$531,2,FALSE)</f>
        <v>DA+9</v>
      </c>
      <c r="E76" s="368" t="str">
        <f>+VLOOKUP(C76,Foundation!$C$8:$E$495,3,FALSE)</f>
        <v>DRY</v>
      </c>
      <c r="F76" s="350">
        <v>45424</v>
      </c>
      <c r="G76" s="350">
        <v>45431</v>
      </c>
      <c r="H76" s="370" t="s">
        <v>888</v>
      </c>
      <c r="I76" s="373"/>
      <c r="J76" s="693">
        <f t="shared" si="2"/>
        <v>47.184350000000002</v>
      </c>
      <c r="K76" s="370"/>
      <c r="M76" s="645">
        <f t="shared" si="3"/>
        <v>7</v>
      </c>
    </row>
    <row r="77" spans="1:13" hidden="1" x14ac:dyDescent="0.2">
      <c r="A77" s="372">
        <f>+SUBTOTAL(3,$G$7:$G77)</f>
        <v>0</v>
      </c>
      <c r="B77" s="366">
        <v>45413</v>
      </c>
      <c r="C77" s="368" t="s">
        <v>783</v>
      </c>
      <c r="D77" s="368" t="str">
        <f>+VLOOKUP(C77,Foundation!$C$8:$D$531,2,FALSE)</f>
        <v>DA+3</v>
      </c>
      <c r="E77" s="368" t="str">
        <f>+VLOOKUP(C77,Foundation!$C$8:$E$495,3,FALSE)</f>
        <v>DRY</v>
      </c>
      <c r="F77" s="350">
        <v>45428</v>
      </c>
      <c r="G77" s="350">
        <v>45434</v>
      </c>
      <c r="H77" s="370" t="s">
        <v>886</v>
      </c>
      <c r="I77" s="373"/>
      <c r="J77" s="693">
        <f t="shared" si="2"/>
        <v>38.847605999999992</v>
      </c>
      <c r="K77" s="370"/>
      <c r="M77" s="645">
        <f t="shared" si="3"/>
        <v>6</v>
      </c>
    </row>
    <row r="78" spans="1:13" hidden="1" x14ac:dyDescent="0.2">
      <c r="A78" s="372">
        <f>+SUBTOTAL(3,$G$7:$G78)</f>
        <v>0</v>
      </c>
      <c r="B78" s="366">
        <v>45413</v>
      </c>
      <c r="C78" s="344" t="s">
        <v>787</v>
      </c>
      <c r="D78" s="368" t="str">
        <f>+VLOOKUP(C78,Foundation!$C$8:$D$531,2,FALSE)</f>
        <v>DA+0</v>
      </c>
      <c r="E78" s="368" t="str">
        <f>+VLOOKUP(C78,Foundation!$C$8:$E$495,3,FALSE)</f>
        <v>Dry</v>
      </c>
      <c r="F78" s="350">
        <v>45431</v>
      </c>
      <c r="G78" s="350">
        <v>45435</v>
      </c>
      <c r="H78" s="370" t="s">
        <v>888</v>
      </c>
      <c r="I78" s="373"/>
      <c r="J78" s="693">
        <f t="shared" si="2"/>
        <v>37.504372000000004</v>
      </c>
      <c r="K78" s="370"/>
      <c r="M78" s="645">
        <f t="shared" si="3"/>
        <v>4</v>
      </c>
    </row>
    <row r="79" spans="1:13" hidden="1" x14ac:dyDescent="0.2">
      <c r="A79" s="372">
        <f>+SUBTOTAL(3,$G$7:$G79)</f>
        <v>0</v>
      </c>
      <c r="B79" s="366">
        <v>45413</v>
      </c>
      <c r="C79" s="344" t="s">
        <v>766</v>
      </c>
      <c r="D79" s="368" t="str">
        <f>+VLOOKUP(C79,Foundation!$C$8:$D$531,2,FALSE)</f>
        <v>DA+6</v>
      </c>
      <c r="E79" s="368" t="str">
        <f>+VLOOKUP(C79,Foundation!$C$8:$E$495,3,FALSE)</f>
        <v>DRY</v>
      </c>
      <c r="F79" s="350">
        <v>45430</v>
      </c>
      <c r="G79" s="350">
        <v>45442</v>
      </c>
      <c r="H79" s="370" t="s">
        <v>900</v>
      </c>
      <c r="I79" s="373"/>
      <c r="J79" s="693">
        <f t="shared" si="2"/>
        <v>45.413028000000004</v>
      </c>
      <c r="K79" s="370"/>
      <c r="M79" s="645">
        <f t="shared" si="3"/>
        <v>12</v>
      </c>
    </row>
    <row r="80" spans="1:13" hidden="1" x14ac:dyDescent="0.2">
      <c r="A80" s="372">
        <f>+SUBTOTAL(3,$G$7:$G80)</f>
        <v>0</v>
      </c>
      <c r="B80" s="366">
        <v>45413</v>
      </c>
      <c r="C80" s="368" t="s">
        <v>786</v>
      </c>
      <c r="D80" s="368" t="str">
        <f>+VLOOKUP(C80,Foundation!$C$8:$D$531,2,FALSE)</f>
        <v>DA+6</v>
      </c>
      <c r="E80" s="368" t="str">
        <f>+VLOOKUP(C80,Foundation!$C$8:$E$495,3,FALSE)</f>
        <v>DRY</v>
      </c>
      <c r="F80" s="350">
        <v>45435</v>
      </c>
      <c r="G80" s="350">
        <v>45442</v>
      </c>
      <c r="H80" s="370" t="s">
        <v>888</v>
      </c>
      <c r="I80" s="373"/>
      <c r="J80" s="693">
        <f t="shared" si="2"/>
        <v>45.413028000000004</v>
      </c>
      <c r="K80" s="370"/>
      <c r="M80" s="645">
        <f t="shared" si="3"/>
        <v>7</v>
      </c>
    </row>
    <row r="81" spans="1:13" hidden="1" x14ac:dyDescent="0.2">
      <c r="A81" s="372">
        <f>+SUBTOTAL(3,$G$7:$G81)</f>
        <v>0</v>
      </c>
      <c r="B81" s="366">
        <v>45413</v>
      </c>
      <c r="C81" s="368" t="s">
        <v>741</v>
      </c>
      <c r="D81" s="368" t="str">
        <f>+VLOOKUP(C81,Foundation!$C$8:$D$531,2,FALSE)</f>
        <v>DA+0</v>
      </c>
      <c r="E81" s="368" t="str">
        <f>+VLOOKUP(C81,Foundation!$C$8:$E$495,3,FALSE)</f>
        <v>Sandy</v>
      </c>
      <c r="F81" s="350">
        <v>45424</v>
      </c>
      <c r="G81" s="350">
        <v>45443</v>
      </c>
      <c r="H81" s="370" t="s">
        <v>901</v>
      </c>
      <c r="I81" s="373"/>
      <c r="J81" s="693">
        <f t="shared" si="2"/>
        <v>37.504372000000004</v>
      </c>
      <c r="K81" s="370"/>
      <c r="M81" s="645">
        <f t="shared" si="3"/>
        <v>19</v>
      </c>
    </row>
    <row r="82" spans="1:13" hidden="1" x14ac:dyDescent="0.2">
      <c r="A82" s="372">
        <f>+SUBTOTAL(3,$G$7:$G82)</f>
        <v>0</v>
      </c>
      <c r="B82" s="366">
        <v>45444</v>
      </c>
      <c r="C82" s="368" t="s">
        <v>749</v>
      </c>
      <c r="D82" s="368" t="str">
        <f>+VLOOKUP(C82,Foundation!$C$8:$D$531,2,FALSE)</f>
        <v>DA+0</v>
      </c>
      <c r="E82" s="368" t="str">
        <f>+VLOOKUP(C82,Foundation!$C$8:$E$495,3,FALSE)</f>
        <v>DRY</v>
      </c>
      <c r="F82" s="350">
        <v>45441</v>
      </c>
      <c r="G82" s="350">
        <v>45454</v>
      </c>
      <c r="H82" s="370" t="s">
        <v>902</v>
      </c>
      <c r="I82" s="373"/>
      <c r="J82" s="693">
        <f t="shared" si="2"/>
        <v>37.504372000000004</v>
      </c>
      <c r="K82" s="370"/>
      <c r="M82" s="645">
        <f t="shared" si="3"/>
        <v>13</v>
      </c>
    </row>
    <row r="83" spans="1:13" hidden="1" x14ac:dyDescent="0.2">
      <c r="A83" s="372">
        <f>+SUBTOTAL(3,$G$7:$G83)</f>
        <v>0</v>
      </c>
      <c r="B83" s="366">
        <v>45444</v>
      </c>
      <c r="C83" s="368" t="s">
        <v>742</v>
      </c>
      <c r="D83" s="368" t="str">
        <f>+VLOOKUP(C83,Foundation!$C$8:$D$531,2,FALSE)</f>
        <v>DA+0</v>
      </c>
      <c r="E83" s="368" t="str">
        <f>+VLOOKUP(C83,Foundation!$C$8:$E$495,3,FALSE)</f>
        <v>Sandy</v>
      </c>
      <c r="F83" s="350">
        <v>45444</v>
      </c>
      <c r="G83" s="350">
        <v>45462</v>
      </c>
      <c r="H83" s="370" t="s">
        <v>901</v>
      </c>
      <c r="I83" s="373"/>
      <c r="J83" s="693">
        <f t="shared" si="2"/>
        <v>37.504372000000004</v>
      </c>
      <c r="K83" s="370"/>
      <c r="M83" s="645">
        <f t="shared" si="3"/>
        <v>18</v>
      </c>
    </row>
    <row r="84" spans="1:13" hidden="1" x14ac:dyDescent="0.2">
      <c r="A84" s="372">
        <f>+SUBTOTAL(3,$G$7:$G84)</f>
        <v>0</v>
      </c>
      <c r="B84" s="366">
        <v>45444</v>
      </c>
      <c r="C84" s="368" t="s">
        <v>750</v>
      </c>
      <c r="D84" s="368" t="str">
        <f>+VLOOKUP(C84,Foundation!$C$8:$D$531,2,FALSE)</f>
        <v>DA+0</v>
      </c>
      <c r="E84" s="368" t="str">
        <f>+VLOOKUP(C84,Foundation!$C$8:$E$495,3,FALSE)</f>
        <v>Sandy</v>
      </c>
      <c r="F84" s="350">
        <v>45455</v>
      </c>
      <c r="G84" s="350">
        <v>45470</v>
      </c>
      <c r="H84" s="370" t="s">
        <v>902</v>
      </c>
      <c r="I84" s="373"/>
      <c r="J84" s="693">
        <f t="shared" si="2"/>
        <v>37.504372000000004</v>
      </c>
      <c r="K84" s="370"/>
      <c r="M84" s="645">
        <f t="shared" si="3"/>
        <v>15</v>
      </c>
    </row>
    <row r="85" spans="1:13" hidden="1" x14ac:dyDescent="0.2">
      <c r="A85" s="372">
        <f>+SUBTOTAL(3,$G$7:$G85)</f>
        <v>0</v>
      </c>
      <c r="B85" s="366">
        <v>45474</v>
      </c>
      <c r="C85" s="368" t="s">
        <v>789</v>
      </c>
      <c r="D85" s="368" t="str">
        <f>+VLOOKUP(C85,Foundation!$C$8:$D$531,2,FALSE)</f>
        <v>DA+3</v>
      </c>
      <c r="E85" s="368" t="str">
        <f>+VLOOKUP(C85,Foundation!$C$8:$E$495,3,FALSE)</f>
        <v>Sandy</v>
      </c>
      <c r="F85" s="350">
        <v>45477</v>
      </c>
      <c r="G85" s="350">
        <v>45485</v>
      </c>
      <c r="H85" s="370" t="s">
        <v>902</v>
      </c>
      <c r="I85" s="373"/>
      <c r="J85" s="693">
        <f t="shared" si="2"/>
        <v>38.847605999999992</v>
      </c>
      <c r="K85" s="370"/>
      <c r="M85" s="645">
        <f t="shared" si="3"/>
        <v>8</v>
      </c>
    </row>
    <row r="86" spans="1:13" hidden="1" x14ac:dyDescent="0.2">
      <c r="A86" s="372">
        <f>+SUBTOTAL(3,$G$7:$G86)</f>
        <v>0</v>
      </c>
      <c r="B86" s="366">
        <v>45474</v>
      </c>
      <c r="C86" s="368" t="s">
        <v>794</v>
      </c>
      <c r="D86" s="368" t="str">
        <f>+VLOOKUP(C86,Foundation!$C$8:$D$531,2,FALSE)</f>
        <v>DA+3</v>
      </c>
      <c r="E86" s="368" t="str">
        <f>+VLOOKUP(C86,Foundation!$C$8:$E$495,3,FALSE)</f>
        <v>DRY</v>
      </c>
      <c r="F86" s="350">
        <v>45488</v>
      </c>
      <c r="G86" s="350">
        <v>45499</v>
      </c>
      <c r="H86" s="370" t="s">
        <v>902</v>
      </c>
      <c r="I86" s="373"/>
      <c r="J86" s="693">
        <f t="shared" si="2"/>
        <v>38.847605999999992</v>
      </c>
      <c r="K86" s="370"/>
      <c r="M86" s="645">
        <f t="shared" si="3"/>
        <v>11</v>
      </c>
    </row>
    <row r="87" spans="1:13" hidden="1" x14ac:dyDescent="0.2">
      <c r="A87" s="372">
        <f>+SUBTOTAL(3,$G$7:$G87)</f>
        <v>0</v>
      </c>
      <c r="B87" s="366">
        <v>45505</v>
      </c>
      <c r="C87" s="368" t="s">
        <v>752</v>
      </c>
      <c r="D87" s="368" t="str">
        <f>+VLOOKUP(C87,Foundation!$C$8:$D$531,2,FALSE)</f>
        <v>DA+3</v>
      </c>
      <c r="E87" s="368" t="str">
        <f>+VLOOKUP(C87,Foundation!$C$8:$E$495,3,FALSE)</f>
        <v>Sandy</v>
      </c>
      <c r="F87" s="350">
        <v>45517</v>
      </c>
      <c r="G87" s="350">
        <v>45524</v>
      </c>
      <c r="H87" s="370" t="s">
        <v>891</v>
      </c>
      <c r="I87" s="373"/>
      <c r="J87" s="693">
        <f t="shared" si="2"/>
        <v>38.847605999999992</v>
      </c>
      <c r="K87" s="370"/>
      <c r="M87" s="645">
        <f t="shared" si="3"/>
        <v>7</v>
      </c>
    </row>
    <row r="88" spans="1:13" hidden="1" x14ac:dyDescent="0.2">
      <c r="A88" s="372">
        <f>+SUBTOTAL(3,$G$7:$G88)</f>
        <v>0</v>
      </c>
      <c r="B88" s="366">
        <v>45505</v>
      </c>
      <c r="C88" s="368" t="s">
        <v>751</v>
      </c>
      <c r="D88" s="368" t="str">
        <f>+VLOOKUP(C88,Foundation!$C$8:$D$531,2,FALSE)</f>
        <v>DA+3</v>
      </c>
      <c r="E88" s="368" t="str">
        <f>+VLOOKUP(C88,Foundation!$C$8:$E$495,3,FALSE)</f>
        <v>Sandy</v>
      </c>
      <c r="F88" s="350">
        <v>45524</v>
      </c>
      <c r="G88" s="350">
        <v>45530</v>
      </c>
      <c r="H88" s="370" t="s">
        <v>891</v>
      </c>
      <c r="I88" s="373"/>
      <c r="J88" s="693">
        <f t="shared" si="2"/>
        <v>38.847605999999992</v>
      </c>
      <c r="K88" s="370"/>
      <c r="M88" s="645">
        <f t="shared" si="3"/>
        <v>6</v>
      </c>
    </row>
    <row r="89" spans="1:13" hidden="1" x14ac:dyDescent="0.2">
      <c r="A89" s="372">
        <f>+SUBTOTAL(3,$G$7:$G89)</f>
        <v>0</v>
      </c>
      <c r="B89" s="366">
        <v>45505</v>
      </c>
      <c r="C89" s="368" t="s">
        <v>168</v>
      </c>
      <c r="D89" s="368" t="str">
        <f>+VLOOKUP(C89,Foundation!$C$8:$D$531,2,FALSE)</f>
        <v>DA+3</v>
      </c>
      <c r="E89" s="368" t="str">
        <f>+VLOOKUP(C89,Foundation!$C$8:$E$495,3,FALSE)</f>
        <v>DFR</v>
      </c>
      <c r="F89" s="350">
        <v>45527</v>
      </c>
      <c r="G89" s="350">
        <v>45534</v>
      </c>
      <c r="H89" s="370" t="s">
        <v>589</v>
      </c>
      <c r="I89" s="373"/>
      <c r="J89" s="693">
        <f t="shared" si="2"/>
        <v>38.847605999999992</v>
      </c>
      <c r="K89" s="370"/>
      <c r="M89" s="645">
        <f t="shared" si="3"/>
        <v>7</v>
      </c>
    </row>
    <row r="90" spans="1:13" hidden="1" x14ac:dyDescent="0.2">
      <c r="A90" s="372">
        <f>+SUBTOTAL(3,$G$7:$G90)</f>
        <v>0</v>
      </c>
      <c r="B90" s="366">
        <v>45536</v>
      </c>
      <c r="C90" s="368" t="s">
        <v>156</v>
      </c>
      <c r="D90" s="368" t="str">
        <f>+VLOOKUP(C90,Foundation!$C$8:$D$531,2,FALSE)</f>
        <v>DA+0</v>
      </c>
      <c r="E90" s="368" t="str">
        <f>+VLOOKUP(C90,Foundation!$C$8:$E$495,3,FALSE)</f>
        <v>DFR</v>
      </c>
      <c r="F90" s="350">
        <v>45532</v>
      </c>
      <c r="G90" s="350">
        <v>45541</v>
      </c>
      <c r="H90" s="370" t="s">
        <v>596</v>
      </c>
      <c r="I90" s="373"/>
      <c r="J90" s="693">
        <f t="shared" si="2"/>
        <v>37.504372000000004</v>
      </c>
      <c r="K90" s="370"/>
      <c r="M90" s="645">
        <f t="shared" si="3"/>
        <v>9</v>
      </c>
    </row>
    <row r="91" spans="1:13" hidden="1" x14ac:dyDescent="0.2">
      <c r="A91" s="372">
        <f>+SUBTOTAL(3,$G$7:$G91)</f>
        <v>0</v>
      </c>
      <c r="B91" s="366">
        <v>45536</v>
      </c>
      <c r="C91" s="368" t="s">
        <v>167</v>
      </c>
      <c r="D91" s="368" t="str">
        <f>+VLOOKUP(C91,Foundation!$C$8:$D$531,2,FALSE)</f>
        <v>DA+3</v>
      </c>
      <c r="E91" s="368" t="str">
        <f>+VLOOKUP(C91,Foundation!$C$8:$E$495,3,FALSE)</f>
        <v>DFR</v>
      </c>
      <c r="F91" s="350">
        <v>45534</v>
      </c>
      <c r="G91" s="350">
        <v>45543</v>
      </c>
      <c r="H91" s="370" t="s">
        <v>589</v>
      </c>
      <c r="I91" s="373"/>
      <c r="J91" s="693">
        <f t="shared" si="2"/>
        <v>38.847605999999992</v>
      </c>
      <c r="K91" s="370"/>
      <c r="M91" s="645">
        <f t="shared" si="3"/>
        <v>9</v>
      </c>
    </row>
    <row r="92" spans="1:13" hidden="1" x14ac:dyDescent="0.2">
      <c r="A92" s="372">
        <f>+SUBTOTAL(3,$G$7:$G92)</f>
        <v>0</v>
      </c>
      <c r="B92" s="366">
        <v>45536</v>
      </c>
      <c r="C92" s="368" t="s">
        <v>99</v>
      </c>
      <c r="D92" s="368" t="str">
        <f>+VLOOKUP(C92,Foundation!$C$8:$D$531,2,FALSE)</f>
        <v>DB2+0</v>
      </c>
      <c r="E92" s="368" t="str">
        <f>+VLOOKUP(C92,Foundation!$C$8:$E$495,3,FALSE)</f>
        <v>DRY</v>
      </c>
      <c r="F92" s="350">
        <v>45535</v>
      </c>
      <c r="G92" s="350">
        <v>45543</v>
      </c>
      <c r="H92" s="370" t="s">
        <v>891</v>
      </c>
      <c r="I92" s="373"/>
      <c r="J92" s="693">
        <f t="shared" si="2"/>
        <v>57.597240999999997</v>
      </c>
      <c r="K92" s="370"/>
      <c r="M92" s="645">
        <f t="shared" si="3"/>
        <v>8</v>
      </c>
    </row>
    <row r="93" spans="1:13" hidden="1" x14ac:dyDescent="0.2">
      <c r="A93" s="372">
        <f>+SUBTOTAL(3,$G$7:$G93)</f>
        <v>0</v>
      </c>
      <c r="B93" s="366">
        <v>45536</v>
      </c>
      <c r="C93" s="368" t="s">
        <v>707</v>
      </c>
      <c r="D93" s="368" t="str">
        <f>+VLOOKUP(C93,Foundation!$C$8:$D$531,2,FALSE)</f>
        <v>DA+0</v>
      </c>
      <c r="E93" s="368" t="str">
        <f>+VLOOKUP(C93,Foundation!$C$8:$E$495,3,FALSE)</f>
        <v>Sandy</v>
      </c>
      <c r="F93" s="350">
        <v>45532</v>
      </c>
      <c r="G93" s="350">
        <v>45544</v>
      </c>
      <c r="H93" s="370" t="s">
        <v>903</v>
      </c>
      <c r="I93" s="373"/>
      <c r="J93" s="693">
        <f t="shared" si="2"/>
        <v>37.504372000000004</v>
      </c>
      <c r="K93" s="370"/>
      <c r="M93" s="645">
        <f t="shared" si="3"/>
        <v>12</v>
      </c>
    </row>
    <row r="94" spans="1:13" hidden="1" x14ac:dyDescent="0.2">
      <c r="A94" s="372">
        <f>+SUBTOTAL(3,$G$7:$G94)</f>
        <v>0</v>
      </c>
      <c r="B94" s="366">
        <v>45536</v>
      </c>
      <c r="C94" s="368" t="s">
        <v>173</v>
      </c>
      <c r="D94" s="368" t="str">
        <f>+VLOOKUP(C94,Foundation!$C$8:$D$531,2,FALSE)</f>
        <v>DA+3</v>
      </c>
      <c r="E94" s="368" t="str">
        <f>+VLOOKUP(C94,Foundation!$C$8:$E$495,3,FALSE)</f>
        <v>DRY</v>
      </c>
      <c r="F94" s="350">
        <v>45541</v>
      </c>
      <c r="G94" s="350">
        <v>45548</v>
      </c>
      <c r="H94" s="370" t="s">
        <v>593</v>
      </c>
      <c r="I94" s="373"/>
      <c r="J94" s="693">
        <f t="shared" si="2"/>
        <v>38.847605999999992</v>
      </c>
      <c r="K94" s="370"/>
      <c r="M94" s="645">
        <f t="shared" si="3"/>
        <v>7</v>
      </c>
    </row>
    <row r="95" spans="1:13" hidden="1" x14ac:dyDescent="0.2">
      <c r="A95" s="372">
        <f>+SUBTOTAL(3,$G$7:$G95)</f>
        <v>0</v>
      </c>
      <c r="B95" s="366">
        <v>45536</v>
      </c>
      <c r="C95" s="368" t="s">
        <v>169</v>
      </c>
      <c r="D95" s="368" t="str">
        <f>+VLOOKUP(C95,Foundation!$C$8:$D$531,2,FALSE)</f>
        <v>DA+0</v>
      </c>
      <c r="E95" s="368" t="str">
        <f>+VLOOKUP(C95,Foundation!$C$8:$E$495,3,FALSE)</f>
        <v>DRY</v>
      </c>
      <c r="F95" s="350">
        <v>45544</v>
      </c>
      <c r="G95" s="350">
        <v>45553</v>
      </c>
      <c r="H95" s="370" t="s">
        <v>589</v>
      </c>
      <c r="I95" s="373"/>
      <c r="J95" s="693">
        <f t="shared" si="2"/>
        <v>37.504372000000004</v>
      </c>
      <c r="K95" s="370"/>
      <c r="M95" s="645">
        <f t="shared" si="3"/>
        <v>9</v>
      </c>
    </row>
    <row r="96" spans="1:13" hidden="1" x14ac:dyDescent="0.2">
      <c r="A96" s="372">
        <f>+SUBTOTAL(3,$G$7:$G96)</f>
        <v>0</v>
      </c>
      <c r="B96" s="366">
        <v>45536</v>
      </c>
      <c r="C96" s="368" t="s">
        <v>717</v>
      </c>
      <c r="D96" s="368" t="str">
        <f>+VLOOKUP(C96,Foundation!$C$8:$D$531,2,FALSE)</f>
        <v>DA+9</v>
      </c>
      <c r="E96" s="368" t="str">
        <f>+VLOOKUP(C96,Foundation!$C$8:$E$495,3,FALSE)</f>
        <v>Sandy</v>
      </c>
      <c r="F96" s="350">
        <v>45531</v>
      </c>
      <c r="G96" s="350">
        <v>45554</v>
      </c>
      <c r="H96" s="370" t="s">
        <v>895</v>
      </c>
      <c r="I96" s="373"/>
      <c r="J96" s="693">
        <f t="shared" si="2"/>
        <v>47.184350000000002</v>
      </c>
      <c r="K96" s="370"/>
      <c r="M96" s="645">
        <f t="shared" si="3"/>
        <v>23</v>
      </c>
    </row>
    <row r="97" spans="1:13" hidden="1" x14ac:dyDescent="0.2">
      <c r="A97" s="372">
        <f>+SUBTOTAL(3,$G$7:$G97)</f>
        <v>0</v>
      </c>
      <c r="B97" s="366">
        <v>45536</v>
      </c>
      <c r="C97" s="368" t="s">
        <v>708</v>
      </c>
      <c r="D97" s="368" t="str">
        <f>+VLOOKUP(C97,Foundation!$C$8:$D$531,2,FALSE)</f>
        <v>DA+0</v>
      </c>
      <c r="E97" s="368" t="str">
        <f>+VLOOKUP(C97,Foundation!$C$8:$E$495,3,FALSE)</f>
        <v>Sandy</v>
      </c>
      <c r="F97" s="350">
        <v>45545</v>
      </c>
      <c r="G97" s="350">
        <v>45554</v>
      </c>
      <c r="H97" s="370" t="s">
        <v>903</v>
      </c>
      <c r="I97" s="373"/>
      <c r="J97" s="693">
        <f t="shared" si="2"/>
        <v>37.504372000000004</v>
      </c>
      <c r="K97" s="370"/>
      <c r="M97" s="645">
        <f t="shared" si="3"/>
        <v>9</v>
      </c>
    </row>
    <row r="98" spans="1:13" hidden="1" x14ac:dyDescent="0.2">
      <c r="A98" s="372">
        <f>+SUBTOTAL(3,$G$7:$G98)</f>
        <v>0</v>
      </c>
      <c r="B98" s="366">
        <v>45536</v>
      </c>
      <c r="C98" s="368" t="s">
        <v>511</v>
      </c>
      <c r="D98" s="368" t="str">
        <f>+VLOOKUP(C98,Foundation!$C$8:$D$531,2,FALSE)</f>
        <v>DA+0</v>
      </c>
      <c r="E98" s="368" t="str">
        <f>+VLOOKUP(C98,Foundation!$C$8:$E$495,3,FALSE)</f>
        <v>DRY</v>
      </c>
      <c r="F98" s="350">
        <v>45553</v>
      </c>
      <c r="G98" s="350">
        <v>45557</v>
      </c>
      <c r="H98" s="370" t="s">
        <v>595</v>
      </c>
      <c r="I98" s="373"/>
      <c r="J98" s="693">
        <f t="shared" si="2"/>
        <v>37.504372000000004</v>
      </c>
      <c r="K98" s="370"/>
      <c r="M98" s="645">
        <f t="shared" si="3"/>
        <v>4</v>
      </c>
    </row>
    <row r="99" spans="1:13" hidden="1" x14ac:dyDescent="0.2">
      <c r="A99" s="372">
        <f>+SUBTOTAL(3,$G$7:$G99)</f>
        <v>0</v>
      </c>
      <c r="B99" s="366">
        <v>45536</v>
      </c>
      <c r="C99" s="368" t="s">
        <v>472</v>
      </c>
      <c r="D99" s="368" t="str">
        <f>+VLOOKUP(C99,Foundation!$C$8:$D$531,2,FALSE)</f>
        <v>DA+3</v>
      </c>
      <c r="E99" s="368" t="str">
        <f>+VLOOKUP(C99,Foundation!$C$8:$E$495,3,FALSE)</f>
        <v>DFR</v>
      </c>
      <c r="F99" s="350">
        <v>45554</v>
      </c>
      <c r="G99" s="350">
        <v>45560</v>
      </c>
      <c r="H99" s="370" t="s">
        <v>589</v>
      </c>
      <c r="I99" s="373"/>
      <c r="J99" s="693">
        <f t="shared" si="2"/>
        <v>38.847605999999992</v>
      </c>
      <c r="K99" s="370"/>
      <c r="M99" s="645">
        <f t="shared" si="3"/>
        <v>6</v>
      </c>
    </row>
    <row r="100" spans="1:13" hidden="1" x14ac:dyDescent="0.2">
      <c r="A100" s="372">
        <f>+SUBTOTAL(3,$G$7:$G100)</f>
        <v>0</v>
      </c>
      <c r="B100" s="366">
        <v>45536</v>
      </c>
      <c r="C100" s="368" t="s">
        <v>691</v>
      </c>
      <c r="D100" s="368" t="str">
        <f>+VLOOKUP(C100,Foundation!$C$8:$D$531,2,FALSE)</f>
        <v>DA+9</v>
      </c>
      <c r="E100" s="368" t="str">
        <f>+VLOOKUP(C100,Foundation!$C$8:$E$495,3,FALSE)</f>
        <v>Sandy</v>
      </c>
      <c r="F100" s="350">
        <v>45543</v>
      </c>
      <c r="G100" s="350">
        <v>45560</v>
      </c>
      <c r="H100" s="370" t="s">
        <v>904</v>
      </c>
      <c r="I100" s="373"/>
      <c r="J100" s="693">
        <f t="shared" si="2"/>
        <v>47.184350000000002</v>
      </c>
      <c r="K100" s="370"/>
      <c r="M100" s="645">
        <f t="shared" si="3"/>
        <v>17</v>
      </c>
    </row>
    <row r="101" spans="1:13" hidden="1" x14ac:dyDescent="0.2">
      <c r="A101" s="372">
        <f>+SUBTOTAL(3,$G$7:$G101)</f>
        <v>0</v>
      </c>
      <c r="B101" s="366">
        <v>45536</v>
      </c>
      <c r="C101" s="368" t="s">
        <v>498</v>
      </c>
      <c r="D101" s="368" t="str">
        <f>+VLOOKUP(C101,Foundation!$C$8:$D$531,2,FALSE)</f>
        <v>DA+3</v>
      </c>
      <c r="E101" s="368" t="str">
        <f>+VLOOKUP(C101,Foundation!$C$8:$E$495,3,FALSE)</f>
        <v>DRY</v>
      </c>
      <c r="F101" s="350">
        <v>45556</v>
      </c>
      <c r="G101" s="350">
        <v>45561</v>
      </c>
      <c r="H101" s="370" t="s">
        <v>598</v>
      </c>
      <c r="I101" s="373"/>
      <c r="J101" s="693">
        <f t="shared" si="2"/>
        <v>38.847605999999992</v>
      </c>
      <c r="K101" s="370"/>
      <c r="M101" s="645">
        <f t="shared" si="3"/>
        <v>5</v>
      </c>
    </row>
    <row r="102" spans="1:13" hidden="1" x14ac:dyDescent="0.2">
      <c r="A102" s="372">
        <f>+SUBTOTAL(3,$G$7:$G102)</f>
        <v>0</v>
      </c>
      <c r="B102" s="366">
        <v>45536</v>
      </c>
      <c r="C102" s="367" t="s">
        <v>710</v>
      </c>
      <c r="D102" s="368" t="str">
        <f>+VLOOKUP(C102,Foundation!$C$8:$D$531,2,FALSE)</f>
        <v>DA+0</v>
      </c>
      <c r="E102" s="368" t="str">
        <f>+VLOOKUP(C102,Foundation!$C$8:$E$495,3,FALSE)</f>
        <v>Sandy</v>
      </c>
      <c r="F102" s="350">
        <v>45554</v>
      </c>
      <c r="G102" s="350">
        <v>45561</v>
      </c>
      <c r="H102" s="370" t="s">
        <v>903</v>
      </c>
      <c r="I102" s="373"/>
      <c r="J102" s="693">
        <f t="shared" si="2"/>
        <v>37.504372000000004</v>
      </c>
      <c r="K102" s="370"/>
      <c r="M102" s="645">
        <f t="shared" si="3"/>
        <v>7</v>
      </c>
    </row>
    <row r="103" spans="1:13" hidden="1" x14ac:dyDescent="0.2">
      <c r="A103" s="372">
        <f>+SUBTOTAL(3,$G$7:$G103)</f>
        <v>0</v>
      </c>
      <c r="B103" s="366">
        <v>45536</v>
      </c>
      <c r="C103" s="367" t="s">
        <v>513</v>
      </c>
      <c r="D103" s="368" t="str">
        <f>+VLOOKUP(C103,Foundation!$C$8:$D$531,2,FALSE)</f>
        <v>DA+0</v>
      </c>
      <c r="E103" s="368" t="str">
        <f>+VLOOKUP(C103,Foundation!$C$8:$E$495,3,FALSE)</f>
        <v>DRY</v>
      </c>
      <c r="F103" s="350">
        <v>45558</v>
      </c>
      <c r="G103" s="350">
        <v>45562</v>
      </c>
      <c r="H103" s="370" t="s">
        <v>595</v>
      </c>
      <c r="I103" s="373"/>
      <c r="J103" s="693">
        <f t="shared" si="2"/>
        <v>37.504372000000004</v>
      </c>
      <c r="K103" s="370"/>
      <c r="M103" s="645">
        <f t="shared" si="3"/>
        <v>4</v>
      </c>
    </row>
    <row r="104" spans="1:13" hidden="1" x14ac:dyDescent="0.2">
      <c r="A104" s="372">
        <f>+SUBTOTAL(3,$G$7:$G104)</f>
        <v>0</v>
      </c>
      <c r="B104" s="366">
        <v>45536</v>
      </c>
      <c r="C104" s="367" t="s">
        <v>158</v>
      </c>
      <c r="D104" s="368" t="str">
        <f>+VLOOKUP(C104,Foundation!$C$8:$D$531,2,FALSE)</f>
        <v>DA+0</v>
      </c>
      <c r="E104" s="368" t="str">
        <f>+VLOOKUP(C104,Foundation!$C$8:$E$495,3,FALSE)</f>
        <v>DFR</v>
      </c>
      <c r="F104" s="350">
        <v>45560</v>
      </c>
      <c r="G104" s="350">
        <v>45564</v>
      </c>
      <c r="H104" s="370" t="s">
        <v>596</v>
      </c>
      <c r="I104" s="373"/>
      <c r="J104" s="693">
        <f t="shared" si="2"/>
        <v>37.504372000000004</v>
      </c>
      <c r="K104" s="370"/>
      <c r="M104" s="645">
        <f t="shared" si="3"/>
        <v>4</v>
      </c>
    </row>
    <row r="105" spans="1:13" hidden="1" x14ac:dyDescent="0.2">
      <c r="A105" s="372">
        <f>+SUBTOTAL(3,$G$7:$G105)</f>
        <v>0</v>
      </c>
      <c r="B105" s="366">
        <v>45536</v>
      </c>
      <c r="C105" s="367" t="s">
        <v>718</v>
      </c>
      <c r="D105" s="368" t="str">
        <f>+VLOOKUP(C105,Foundation!$C$8:$D$531,2,FALSE)</f>
        <v>DA+6</v>
      </c>
      <c r="E105" s="368" t="str">
        <f>+VLOOKUP(C105,Foundation!$C$8:$E$495,3,FALSE)</f>
        <v>Sandy</v>
      </c>
      <c r="F105" s="350">
        <v>45554</v>
      </c>
      <c r="G105" s="350">
        <v>45565</v>
      </c>
      <c r="H105" s="370" t="s">
        <v>895</v>
      </c>
      <c r="I105" s="373"/>
      <c r="J105" s="693">
        <f t="shared" si="2"/>
        <v>45.413028000000004</v>
      </c>
      <c r="K105" s="370"/>
      <c r="M105" s="645">
        <f t="shared" si="3"/>
        <v>11</v>
      </c>
    </row>
    <row r="106" spans="1:13" hidden="1" x14ac:dyDescent="0.2">
      <c r="A106" s="372">
        <f>+SUBTOTAL(3,$G$7:$G106)</f>
        <v>0</v>
      </c>
      <c r="B106" s="366">
        <v>45566</v>
      </c>
      <c r="C106" s="367" t="s">
        <v>753</v>
      </c>
      <c r="D106" s="368" t="str">
        <f>+VLOOKUP(C106,Foundation!$C$8:$D$531,2,FALSE)</f>
        <v>DA+3</v>
      </c>
      <c r="E106" s="368" t="str">
        <f>+VLOOKUP(C106,Foundation!$C$8:$E$495,3,FALSE)</f>
        <v>DFR</v>
      </c>
      <c r="F106" s="350">
        <v>45562</v>
      </c>
      <c r="G106" s="350">
        <v>45566</v>
      </c>
      <c r="H106" s="370" t="s">
        <v>891</v>
      </c>
      <c r="I106" s="373"/>
      <c r="J106" s="693">
        <f t="shared" si="2"/>
        <v>38.847605999999992</v>
      </c>
      <c r="K106" s="370"/>
      <c r="M106" s="645">
        <f t="shared" si="3"/>
        <v>4</v>
      </c>
    </row>
    <row r="107" spans="1:13" hidden="1" x14ac:dyDescent="0.2">
      <c r="A107" s="372">
        <f>+SUBTOTAL(3,$G$7:$G107)</f>
        <v>0</v>
      </c>
      <c r="B107" s="366">
        <v>45566</v>
      </c>
      <c r="C107" s="367" t="s">
        <v>174</v>
      </c>
      <c r="D107" s="368" t="str">
        <f>+VLOOKUP(C107,Foundation!$C$8:$D$531,2,FALSE)</f>
        <v>DA+0</v>
      </c>
      <c r="E107" s="368" t="str">
        <f>+VLOOKUP(C107,Foundation!$C$8:$E$495,3,FALSE)</f>
        <v>DRY</v>
      </c>
      <c r="F107" s="350">
        <v>45563</v>
      </c>
      <c r="G107" s="350">
        <v>45568</v>
      </c>
      <c r="H107" s="370" t="s">
        <v>593</v>
      </c>
      <c r="I107" s="373"/>
      <c r="J107" s="693">
        <f t="shared" si="2"/>
        <v>37.504372000000004</v>
      </c>
      <c r="K107" s="370"/>
      <c r="M107" s="645">
        <f t="shared" si="3"/>
        <v>5</v>
      </c>
    </row>
    <row r="108" spans="1:13" hidden="1" x14ac:dyDescent="0.2">
      <c r="A108" s="372">
        <f>+SUBTOTAL(3,$G$7:$G108)</f>
        <v>0</v>
      </c>
      <c r="B108" s="366">
        <v>45566</v>
      </c>
      <c r="C108" s="374" t="s">
        <v>495</v>
      </c>
      <c r="D108" s="368" t="str">
        <f>+VLOOKUP(C108,Foundation!$C$8:$D$531,2,FALSE)</f>
        <v>DA+3</v>
      </c>
      <c r="E108" s="368" t="str">
        <f>+VLOOKUP(C108,Foundation!$C$8:$E$495,3,FALSE)</f>
        <v>DRY</v>
      </c>
      <c r="F108" s="350">
        <v>45563</v>
      </c>
      <c r="G108" s="350">
        <v>45568</v>
      </c>
      <c r="H108" s="370" t="s">
        <v>598</v>
      </c>
      <c r="I108" s="373"/>
      <c r="J108" s="693">
        <f t="shared" si="2"/>
        <v>38.847605999999992</v>
      </c>
      <c r="K108" s="370"/>
      <c r="M108" s="645">
        <f t="shared" si="3"/>
        <v>5</v>
      </c>
    </row>
    <row r="109" spans="1:13" hidden="1" x14ac:dyDescent="0.2">
      <c r="A109" s="372">
        <f>+SUBTOTAL(3,$G$7:$G109)</f>
        <v>0</v>
      </c>
      <c r="B109" s="366">
        <v>45566</v>
      </c>
      <c r="C109" s="368" t="s">
        <v>711</v>
      </c>
      <c r="D109" s="368" t="str">
        <f>+VLOOKUP(C109,Foundation!$C$8:$D$531,2,FALSE)</f>
        <v>DA+0</v>
      </c>
      <c r="E109" s="368" t="str">
        <f>+VLOOKUP(C109,Foundation!$C$8:$E$495,3,FALSE)</f>
        <v>Sandy</v>
      </c>
      <c r="F109" s="350">
        <v>45561</v>
      </c>
      <c r="G109" s="350">
        <v>45569</v>
      </c>
      <c r="H109" s="370" t="s">
        <v>903</v>
      </c>
      <c r="I109" s="373"/>
      <c r="J109" s="693">
        <f t="shared" si="2"/>
        <v>37.504372000000004</v>
      </c>
      <c r="K109" s="370"/>
      <c r="M109" s="645">
        <f t="shared" si="3"/>
        <v>8</v>
      </c>
    </row>
    <row r="110" spans="1:13" hidden="1" x14ac:dyDescent="0.2">
      <c r="A110" s="372">
        <f>+SUBTOTAL(3,$G$7:$G110)</f>
        <v>0</v>
      </c>
      <c r="B110" s="366">
        <v>45566</v>
      </c>
      <c r="C110" s="368" t="s">
        <v>166</v>
      </c>
      <c r="D110" s="368" t="str">
        <f>+VLOOKUP(C110,Foundation!$C$8:$D$531,2,FALSE)</f>
        <v>DA+3</v>
      </c>
      <c r="E110" s="368" t="str">
        <f>+VLOOKUP(C110,Foundation!$C$8:$E$495,3,FALSE)</f>
        <v>DRY</v>
      </c>
      <c r="F110" s="350">
        <v>45562</v>
      </c>
      <c r="G110" s="350">
        <v>45571</v>
      </c>
      <c r="H110" s="370" t="s">
        <v>600</v>
      </c>
      <c r="I110" s="373"/>
      <c r="J110" s="693">
        <f t="shared" si="2"/>
        <v>38.847605999999992</v>
      </c>
      <c r="K110" s="370"/>
      <c r="M110" s="645">
        <f t="shared" si="3"/>
        <v>9</v>
      </c>
    </row>
    <row r="111" spans="1:13" hidden="1" x14ac:dyDescent="0.2">
      <c r="A111" s="372">
        <f>+SUBTOTAL(3,$G$7:$G111)</f>
        <v>0</v>
      </c>
      <c r="B111" s="366">
        <v>45566</v>
      </c>
      <c r="C111" s="348" t="s">
        <v>482</v>
      </c>
      <c r="D111" s="368" t="str">
        <f>+VLOOKUP(C111,Foundation!$C$8:$D$531,2,FALSE)</f>
        <v>DA+0</v>
      </c>
      <c r="E111" s="368" t="str">
        <f>+VLOOKUP(C111,Foundation!$C$8:$E$495,3,FALSE)</f>
        <v>DRY</v>
      </c>
      <c r="F111" s="350">
        <v>45562</v>
      </c>
      <c r="G111" s="350">
        <v>45572</v>
      </c>
      <c r="H111" s="370" t="s">
        <v>605</v>
      </c>
      <c r="I111" s="373"/>
      <c r="J111" s="693">
        <f t="shared" si="2"/>
        <v>37.504372000000004</v>
      </c>
      <c r="K111" s="370"/>
      <c r="M111" s="645">
        <f t="shared" si="3"/>
        <v>10</v>
      </c>
    </row>
    <row r="112" spans="1:13" hidden="1" x14ac:dyDescent="0.2">
      <c r="A112" s="372">
        <f>+SUBTOTAL(3,$G$7:$G112)</f>
        <v>0</v>
      </c>
      <c r="B112" s="366">
        <v>45566</v>
      </c>
      <c r="C112" s="367" t="s">
        <v>92</v>
      </c>
      <c r="D112" s="368" t="str">
        <f>+VLOOKUP(C112,Foundation!$C$8:$D$531,2,FALSE)</f>
        <v>DB2+0</v>
      </c>
      <c r="E112" s="368" t="str">
        <f>+VLOOKUP(C112,Foundation!$C$8:$E$495,3,FALSE)</f>
        <v>Sandy</v>
      </c>
      <c r="F112" s="350">
        <v>45567</v>
      </c>
      <c r="G112" s="350">
        <v>45572</v>
      </c>
      <c r="H112" s="370" t="s">
        <v>891</v>
      </c>
      <c r="I112" s="373"/>
      <c r="J112" s="693">
        <f t="shared" si="2"/>
        <v>57.597240999999997</v>
      </c>
      <c r="K112" s="370"/>
      <c r="M112" s="645">
        <f t="shared" si="3"/>
        <v>5</v>
      </c>
    </row>
    <row r="113" spans="1:13" hidden="1" x14ac:dyDescent="0.2">
      <c r="A113" s="372">
        <f>+SUBTOTAL(3,$G$7:$G113)</f>
        <v>0</v>
      </c>
      <c r="B113" s="366">
        <v>45566</v>
      </c>
      <c r="C113" s="348" t="s">
        <v>719</v>
      </c>
      <c r="D113" s="368" t="str">
        <f>+VLOOKUP(C113,Foundation!$C$8:$D$531,2,FALSE)</f>
        <v>DA+3</v>
      </c>
      <c r="E113" s="368" t="str">
        <f>+VLOOKUP(C113,Foundation!$C$8:$E$495,3,FALSE)</f>
        <v>Sandy</v>
      </c>
      <c r="F113" s="350">
        <v>45566</v>
      </c>
      <c r="G113" s="350">
        <v>45572</v>
      </c>
      <c r="H113" s="370" t="s">
        <v>895</v>
      </c>
      <c r="I113" s="373"/>
      <c r="J113" s="693">
        <f t="shared" si="2"/>
        <v>38.847605999999992</v>
      </c>
      <c r="K113" s="370"/>
      <c r="M113" s="645">
        <f t="shared" si="3"/>
        <v>6</v>
      </c>
    </row>
    <row r="114" spans="1:13" hidden="1" x14ac:dyDescent="0.2">
      <c r="A114" s="372">
        <f>+SUBTOTAL(3,$G$7:$G114)</f>
        <v>0</v>
      </c>
      <c r="B114" s="366">
        <v>45566</v>
      </c>
      <c r="C114" s="375" t="s">
        <v>161</v>
      </c>
      <c r="D114" s="368" t="str">
        <f>+VLOOKUP(C114,Foundation!$C$8:$D$531,2,FALSE)</f>
        <v>DA+0</v>
      </c>
      <c r="E114" s="368" t="str">
        <f>+VLOOKUP(C114,Foundation!$C$8:$E$495,3,FALSE)</f>
        <v>DRY</v>
      </c>
      <c r="F114" s="350">
        <v>45570</v>
      </c>
      <c r="G114" s="350">
        <v>45573</v>
      </c>
      <c r="H114" s="370" t="s">
        <v>596</v>
      </c>
      <c r="I114" s="373"/>
      <c r="J114" s="693">
        <f t="shared" si="2"/>
        <v>37.504372000000004</v>
      </c>
      <c r="K114" s="370"/>
      <c r="M114" s="645">
        <f t="shared" si="3"/>
        <v>3</v>
      </c>
    </row>
    <row r="115" spans="1:13" hidden="1" x14ac:dyDescent="0.2">
      <c r="A115" s="372">
        <f>+SUBTOTAL(3,$G$7:$G115)</f>
        <v>0</v>
      </c>
      <c r="B115" s="366">
        <v>45566</v>
      </c>
      <c r="C115" s="374" t="s">
        <v>510</v>
      </c>
      <c r="D115" s="368" t="str">
        <f>+VLOOKUP(C115,Foundation!$C$8:$D$531,2,FALSE)</f>
        <v>DA+0</v>
      </c>
      <c r="E115" s="368" t="str">
        <f>+VLOOKUP(C115,Foundation!$C$8:$E$495,3,FALSE)</f>
        <v>DRY</v>
      </c>
      <c r="F115" s="350">
        <v>45569</v>
      </c>
      <c r="G115" s="350">
        <v>45573</v>
      </c>
      <c r="H115" s="370" t="s">
        <v>595</v>
      </c>
      <c r="I115" s="373"/>
      <c r="J115" s="693">
        <f t="shared" si="2"/>
        <v>37.504372000000004</v>
      </c>
      <c r="K115" s="370"/>
      <c r="M115" s="645">
        <f t="shared" si="3"/>
        <v>4</v>
      </c>
    </row>
    <row r="116" spans="1:13" hidden="1" x14ac:dyDescent="0.2">
      <c r="A116" s="372">
        <f>+SUBTOTAL(3,$G$7:$G116)</f>
        <v>0</v>
      </c>
      <c r="B116" s="366">
        <v>45566</v>
      </c>
      <c r="C116" s="374" t="s">
        <v>473</v>
      </c>
      <c r="D116" s="368" t="str">
        <f>+VLOOKUP(C116,Foundation!$C$8:$D$531,2,FALSE)</f>
        <v>DA+3</v>
      </c>
      <c r="E116" s="368" t="str">
        <f>+VLOOKUP(C116,Foundation!$C$8:$E$495,3,FALSE)</f>
        <v>DFR</v>
      </c>
      <c r="F116" s="350">
        <v>45572</v>
      </c>
      <c r="G116" s="350">
        <v>45575</v>
      </c>
      <c r="H116" s="370" t="s">
        <v>599</v>
      </c>
      <c r="I116" s="373"/>
      <c r="J116" s="693">
        <f t="shared" si="2"/>
        <v>38.847605999999992</v>
      </c>
      <c r="K116" s="370"/>
      <c r="M116" s="645">
        <f t="shared" si="3"/>
        <v>3</v>
      </c>
    </row>
    <row r="117" spans="1:13" hidden="1" x14ac:dyDescent="0.2">
      <c r="A117" s="372">
        <f>+SUBTOTAL(3,$G$7:$G117)</f>
        <v>0</v>
      </c>
      <c r="B117" s="366">
        <v>45566</v>
      </c>
      <c r="C117" s="374" t="s">
        <v>504</v>
      </c>
      <c r="D117" s="368" t="str">
        <f>+VLOOKUP(C117,Foundation!$C$8:$D$531,2,FALSE)</f>
        <v>DA+3</v>
      </c>
      <c r="E117" s="368" t="str">
        <f>+VLOOKUP(C117,Foundation!$C$8:$E$495,3,FALSE)</f>
        <v>DRY</v>
      </c>
      <c r="F117" s="350">
        <v>45570</v>
      </c>
      <c r="G117" s="350">
        <v>45575</v>
      </c>
      <c r="H117" s="370" t="s">
        <v>593</v>
      </c>
      <c r="I117" s="373"/>
      <c r="J117" s="693">
        <f t="shared" si="2"/>
        <v>38.847605999999992</v>
      </c>
      <c r="K117" s="370"/>
      <c r="M117" s="645">
        <f t="shared" si="3"/>
        <v>5</v>
      </c>
    </row>
    <row r="118" spans="1:13" hidden="1" x14ac:dyDescent="0.2">
      <c r="A118" s="372">
        <f>+SUBTOTAL(3,$G$7:$G118)</f>
        <v>0</v>
      </c>
      <c r="B118" s="366">
        <v>45566</v>
      </c>
      <c r="C118" s="374" t="s">
        <v>699</v>
      </c>
      <c r="D118" s="368" t="str">
        <f>+VLOOKUP(C118,Foundation!$C$8:$D$531,2,FALSE)</f>
        <v>DA+6</v>
      </c>
      <c r="E118" s="368" t="str">
        <f>+VLOOKUP(C118,Foundation!$C$8:$E$495,3,FALSE)</f>
        <v>Sandy</v>
      </c>
      <c r="F118" s="350">
        <v>45572</v>
      </c>
      <c r="G118" s="350">
        <v>45580</v>
      </c>
      <c r="H118" s="370" t="s">
        <v>886</v>
      </c>
      <c r="I118" s="373"/>
      <c r="J118" s="693">
        <f t="shared" si="2"/>
        <v>45.413028000000004</v>
      </c>
      <c r="K118" s="370"/>
      <c r="M118" s="645">
        <f t="shared" si="3"/>
        <v>8</v>
      </c>
    </row>
    <row r="119" spans="1:13" hidden="1" x14ac:dyDescent="0.2">
      <c r="A119" s="372">
        <f>+SUBTOTAL(3,$G$7:$G119)</f>
        <v>0</v>
      </c>
      <c r="B119" s="366">
        <v>45566</v>
      </c>
      <c r="C119" s="374" t="s">
        <v>706</v>
      </c>
      <c r="D119" s="368" t="str">
        <f>+VLOOKUP(C119,Foundation!$C$8:$D$531,2,FALSE)</f>
        <v>DA+9</v>
      </c>
      <c r="E119" s="368" t="str">
        <f>+VLOOKUP(C119,Foundation!$C$8:$E$495,3,FALSE)</f>
        <v>Sandy</v>
      </c>
      <c r="F119" s="350">
        <v>45572</v>
      </c>
      <c r="G119" s="350">
        <v>45581</v>
      </c>
      <c r="H119" s="370" t="s">
        <v>903</v>
      </c>
      <c r="I119" s="373"/>
      <c r="J119" s="693">
        <f t="shared" si="2"/>
        <v>47.184350000000002</v>
      </c>
      <c r="K119" s="370"/>
      <c r="M119" s="645">
        <f t="shared" si="3"/>
        <v>9</v>
      </c>
    </row>
    <row r="120" spans="1:13" hidden="1" x14ac:dyDescent="0.2">
      <c r="A120" s="372">
        <f>+SUBTOTAL(3,$G$7:$G120)</f>
        <v>0</v>
      </c>
      <c r="B120" s="366">
        <v>45566</v>
      </c>
      <c r="C120" s="374" t="s">
        <v>469</v>
      </c>
      <c r="D120" s="368" t="str">
        <f>+VLOOKUP(C120,Foundation!$C$8:$D$531,2,FALSE)</f>
        <v>DA+3</v>
      </c>
      <c r="E120" s="368" t="str">
        <f>+VLOOKUP(C120,Foundation!$C$8:$E$495,3,FALSE)</f>
        <v>DFR</v>
      </c>
      <c r="F120" s="350">
        <v>45577</v>
      </c>
      <c r="G120" s="350">
        <v>45582</v>
      </c>
      <c r="H120" s="370" t="s">
        <v>596</v>
      </c>
      <c r="I120" s="373"/>
      <c r="J120" s="693">
        <f t="shared" si="2"/>
        <v>38.847605999999992</v>
      </c>
      <c r="K120" s="370"/>
      <c r="M120" s="645">
        <f t="shared" si="3"/>
        <v>5</v>
      </c>
    </row>
    <row r="121" spans="1:13" hidden="1" x14ac:dyDescent="0.2">
      <c r="A121" s="372">
        <f>+SUBTOTAL(3,$G$7:$G121)</f>
        <v>0</v>
      </c>
      <c r="B121" s="366">
        <v>45566</v>
      </c>
      <c r="C121" s="375" t="s">
        <v>701</v>
      </c>
      <c r="D121" s="368" t="str">
        <f>+VLOOKUP(C121,Foundation!$C$8:$D$531,2,FALSE)</f>
        <v>DA+6</v>
      </c>
      <c r="E121" s="368" t="str">
        <f>+VLOOKUP(C121,Foundation!$C$8:$E$495,3,FALSE)</f>
        <v>Sandy</v>
      </c>
      <c r="F121" s="350">
        <v>45578</v>
      </c>
      <c r="G121" s="350">
        <v>45583</v>
      </c>
      <c r="H121" s="370" t="s">
        <v>886</v>
      </c>
      <c r="I121" s="373"/>
      <c r="J121" s="693">
        <f t="shared" si="2"/>
        <v>45.413028000000004</v>
      </c>
      <c r="K121" s="370"/>
      <c r="M121" s="645">
        <f t="shared" si="3"/>
        <v>5</v>
      </c>
    </row>
    <row r="122" spans="1:13" hidden="1" x14ac:dyDescent="0.2">
      <c r="A122" s="372">
        <f>+SUBTOTAL(3,$G$7:$G122)</f>
        <v>0</v>
      </c>
      <c r="B122" s="366">
        <v>45566</v>
      </c>
      <c r="C122" s="375" t="s">
        <v>505</v>
      </c>
      <c r="D122" s="368" t="str">
        <f>+VLOOKUP(C122,Foundation!$C$8:$D$531,2,FALSE)</f>
        <v>DA+6</v>
      </c>
      <c r="E122" s="368" t="str">
        <f>+VLOOKUP(C122,Foundation!$C$8:$E$495,3,FALSE)</f>
        <v>DRY</v>
      </c>
      <c r="F122" s="350">
        <v>45576</v>
      </c>
      <c r="G122" s="350">
        <v>45584</v>
      </c>
      <c r="H122" s="370" t="s">
        <v>593</v>
      </c>
      <c r="I122" s="373"/>
      <c r="J122" s="693">
        <f t="shared" si="2"/>
        <v>45.413028000000004</v>
      </c>
      <c r="K122" s="370"/>
      <c r="M122" s="645">
        <f t="shared" si="3"/>
        <v>8</v>
      </c>
    </row>
    <row r="123" spans="1:13" hidden="1" x14ac:dyDescent="0.2">
      <c r="A123" s="372">
        <f>+SUBTOTAL(3,$G$7:$G123)</f>
        <v>0</v>
      </c>
      <c r="B123" s="366">
        <v>45566</v>
      </c>
      <c r="C123" s="374" t="s">
        <v>690</v>
      </c>
      <c r="D123" s="368" t="str">
        <f>+VLOOKUP(C123,Foundation!$C$8:$D$531,2,FALSE)</f>
        <v>DC2+0</v>
      </c>
      <c r="E123" s="368" t="str">
        <f>+VLOOKUP(C123,Foundation!$C$8:$E$495,3,FALSE)</f>
        <v>Sandy</v>
      </c>
      <c r="F123" s="350">
        <v>45563</v>
      </c>
      <c r="G123" s="350">
        <v>45584</v>
      </c>
      <c r="H123" s="370" t="s">
        <v>904</v>
      </c>
      <c r="I123" s="373"/>
      <c r="J123" s="693">
        <f t="shared" si="2"/>
        <v>66.381106999999986</v>
      </c>
      <c r="K123" s="370"/>
      <c r="M123" s="645">
        <f t="shared" si="3"/>
        <v>21</v>
      </c>
    </row>
    <row r="124" spans="1:13" hidden="1" x14ac:dyDescent="0.2">
      <c r="A124" s="372">
        <f>+SUBTOTAL(3,$G$7:$G124)</f>
        <v>0</v>
      </c>
      <c r="B124" s="366">
        <v>45566</v>
      </c>
      <c r="C124" s="374" t="s">
        <v>720</v>
      </c>
      <c r="D124" s="368" t="str">
        <f>+VLOOKUP(C124,Foundation!$C$8:$D$531,2,FALSE)</f>
        <v>DA+6</v>
      </c>
      <c r="E124" s="368" t="str">
        <f>+VLOOKUP(C124,Foundation!$C$8:$E$495,3,FALSE)</f>
        <v>Sandy</v>
      </c>
      <c r="F124" s="350">
        <v>45573</v>
      </c>
      <c r="G124" s="350">
        <v>45584</v>
      </c>
      <c r="H124" s="370" t="s">
        <v>895</v>
      </c>
      <c r="I124" s="373"/>
      <c r="J124" s="693">
        <f t="shared" si="2"/>
        <v>45.413028000000004</v>
      </c>
      <c r="K124" s="370"/>
      <c r="M124" s="645">
        <f t="shared" si="3"/>
        <v>11</v>
      </c>
    </row>
    <row r="125" spans="1:13" hidden="1" x14ac:dyDescent="0.2">
      <c r="A125" s="372">
        <f>+SUBTOTAL(3,$G$7:$G125)</f>
        <v>0</v>
      </c>
      <c r="B125" s="366">
        <v>45566</v>
      </c>
      <c r="C125" s="374" t="s">
        <v>857</v>
      </c>
      <c r="D125" s="368" t="str">
        <f>+VLOOKUP(C125,Foundation!$C$8:$D$531,2,FALSE)</f>
        <v>DA+0</v>
      </c>
      <c r="E125" s="368" t="str">
        <f>+VLOOKUP(C125,Foundation!$C$8:$E$495,3,FALSE)</f>
        <v>DRY</v>
      </c>
      <c r="F125" s="350">
        <v>45575</v>
      </c>
      <c r="G125" s="350">
        <v>45585</v>
      </c>
      <c r="H125" s="370" t="s">
        <v>894</v>
      </c>
      <c r="I125" s="373"/>
      <c r="J125" s="693">
        <f t="shared" si="2"/>
        <v>37.504372000000004</v>
      </c>
      <c r="K125" s="370"/>
      <c r="M125" s="645">
        <f t="shared" si="3"/>
        <v>10</v>
      </c>
    </row>
    <row r="126" spans="1:13" hidden="1" x14ac:dyDescent="0.2">
      <c r="A126" s="372">
        <f>+SUBTOTAL(3,$G$7:$G126)</f>
        <v>0</v>
      </c>
      <c r="B126" s="366">
        <v>45566</v>
      </c>
      <c r="C126" s="374" t="s">
        <v>160</v>
      </c>
      <c r="D126" s="368" t="str">
        <f>+VLOOKUP(C126,Foundation!$C$8:$D$531,2,FALSE)</f>
        <v>DA+3</v>
      </c>
      <c r="E126" s="368" t="str">
        <f>+VLOOKUP(C126,Foundation!$C$8:$E$495,3,FALSE)</f>
        <v>DFR</v>
      </c>
      <c r="F126" s="350">
        <v>45584</v>
      </c>
      <c r="G126" s="350">
        <v>45587</v>
      </c>
      <c r="H126" s="370" t="s">
        <v>596</v>
      </c>
      <c r="I126" s="373"/>
      <c r="J126" s="693">
        <f t="shared" si="2"/>
        <v>38.847605999999992</v>
      </c>
      <c r="K126" s="370"/>
      <c r="M126" s="645">
        <f t="shared" si="3"/>
        <v>3</v>
      </c>
    </row>
    <row r="127" spans="1:13" hidden="1" x14ac:dyDescent="0.2">
      <c r="A127" s="372">
        <f>+SUBTOTAL(3,$G$7:$G127)</f>
        <v>0</v>
      </c>
      <c r="B127" s="366">
        <v>45566</v>
      </c>
      <c r="C127" s="374" t="s">
        <v>700</v>
      </c>
      <c r="D127" s="368" t="str">
        <f>+VLOOKUP(C127,Foundation!$C$8:$D$531,2,FALSE)</f>
        <v>DA+9</v>
      </c>
      <c r="E127" s="368" t="str">
        <f>+VLOOKUP(C127,Foundation!$C$8:$E$495,3,FALSE)</f>
        <v>Sandy</v>
      </c>
      <c r="F127" s="350">
        <v>45583</v>
      </c>
      <c r="G127" s="350">
        <v>45589</v>
      </c>
      <c r="H127" s="370" t="s">
        <v>886</v>
      </c>
      <c r="I127" s="373"/>
      <c r="J127" s="693">
        <f t="shared" si="2"/>
        <v>47.184350000000002</v>
      </c>
      <c r="K127" s="370"/>
      <c r="M127" s="645">
        <f t="shared" si="3"/>
        <v>6</v>
      </c>
    </row>
    <row r="128" spans="1:13" hidden="1" x14ac:dyDescent="0.2">
      <c r="A128" s="372">
        <f>+SUBTOTAL(3,$G$7:$G128)</f>
        <v>0</v>
      </c>
      <c r="B128" s="366">
        <v>45566</v>
      </c>
      <c r="C128" s="374" t="s">
        <v>819</v>
      </c>
      <c r="D128" s="368" t="str">
        <f>+VLOOKUP(C128,Foundation!$C$8:$D$531,2,FALSE)</f>
        <v>DA+3</v>
      </c>
      <c r="E128" s="368" t="str">
        <f>+VLOOKUP(C128,Foundation!$C$8:$E$495,3,FALSE)</f>
        <v>DRY</v>
      </c>
      <c r="F128" s="350">
        <v>45585</v>
      </c>
      <c r="G128" s="350">
        <v>45589</v>
      </c>
      <c r="H128" s="370" t="s">
        <v>890</v>
      </c>
      <c r="I128" s="373"/>
      <c r="J128" s="693">
        <f t="shared" si="2"/>
        <v>38.847605999999992</v>
      </c>
      <c r="K128" s="370"/>
      <c r="M128" s="645">
        <f t="shared" si="3"/>
        <v>4</v>
      </c>
    </row>
    <row r="129" spans="1:13" hidden="1" x14ac:dyDescent="0.2">
      <c r="A129" s="372">
        <f>+SUBTOTAL(3,$G$7:$G129)</f>
        <v>0</v>
      </c>
      <c r="B129" s="366">
        <v>45566</v>
      </c>
      <c r="C129" s="374" t="s">
        <v>501</v>
      </c>
      <c r="D129" s="368" t="str">
        <f>+VLOOKUP(C129,Foundation!$C$8:$D$531,2,FALSE)</f>
        <v>DA+0</v>
      </c>
      <c r="E129" s="368" t="str">
        <f>+VLOOKUP(C129,Foundation!$C$8:$E$495,3,FALSE)</f>
        <v>DRY</v>
      </c>
      <c r="F129" s="350">
        <v>45585</v>
      </c>
      <c r="G129" s="350">
        <v>45591</v>
      </c>
      <c r="H129" s="370" t="s">
        <v>593</v>
      </c>
      <c r="I129" s="373"/>
      <c r="J129" s="693">
        <f t="shared" si="2"/>
        <v>37.504372000000004</v>
      </c>
      <c r="K129" s="370"/>
      <c r="M129" s="645">
        <f t="shared" si="3"/>
        <v>6</v>
      </c>
    </row>
    <row r="130" spans="1:13" hidden="1" x14ac:dyDescent="0.2">
      <c r="A130" s="372">
        <f>+SUBTOTAL(3,$G$7:$G130)</f>
        <v>0</v>
      </c>
      <c r="B130" s="366">
        <v>45566</v>
      </c>
      <c r="C130" s="374" t="s">
        <v>514</v>
      </c>
      <c r="D130" s="368" t="str">
        <f>+VLOOKUP(C130,Foundation!$C$8:$D$531,2,FALSE)</f>
        <v>DC2+0</v>
      </c>
      <c r="E130" s="368" t="str">
        <f>+VLOOKUP(C130,Foundation!$C$8:$E$495,3,FALSE)</f>
        <v>DRY</v>
      </c>
      <c r="F130" s="350">
        <v>45584</v>
      </c>
      <c r="G130" s="350">
        <v>45591</v>
      </c>
      <c r="H130" s="370" t="s">
        <v>595</v>
      </c>
      <c r="I130" s="373"/>
      <c r="J130" s="693">
        <f t="shared" si="2"/>
        <v>66.381106999999986</v>
      </c>
      <c r="K130" s="370"/>
      <c r="M130" s="645">
        <f t="shared" si="3"/>
        <v>7</v>
      </c>
    </row>
    <row r="131" spans="1:13" hidden="1" x14ac:dyDescent="0.2">
      <c r="A131" s="372">
        <f>+SUBTOTAL(3,$G$7:$G131)</f>
        <v>0</v>
      </c>
      <c r="B131" s="366">
        <v>45566</v>
      </c>
      <c r="C131" s="374" t="s">
        <v>762</v>
      </c>
      <c r="D131" s="368" t="str">
        <f>+VLOOKUP(C131,Foundation!$C$8:$D$531,2,FALSE)</f>
        <v>DA+6</v>
      </c>
      <c r="E131" s="368" t="str">
        <f>+VLOOKUP(C131,Foundation!$C$8:$E$495,3,FALSE)</f>
        <v>DFR</v>
      </c>
      <c r="F131" s="350">
        <v>45582</v>
      </c>
      <c r="G131" s="350">
        <v>45591</v>
      </c>
      <c r="H131" s="370" t="s">
        <v>903</v>
      </c>
      <c r="I131" s="373"/>
      <c r="J131" s="693">
        <f t="shared" si="2"/>
        <v>45.413028000000004</v>
      </c>
      <c r="K131" s="370"/>
      <c r="M131" s="645">
        <f t="shared" si="3"/>
        <v>9</v>
      </c>
    </row>
    <row r="132" spans="1:13" s="377" customFormat="1" hidden="1" x14ac:dyDescent="0.2">
      <c r="A132" s="372">
        <f>+SUBTOTAL(3,$G$7:$G132)</f>
        <v>0</v>
      </c>
      <c r="B132" s="366">
        <v>45566</v>
      </c>
      <c r="C132" s="374" t="s">
        <v>499</v>
      </c>
      <c r="D132" s="368" t="str">
        <f>+VLOOKUP(C132,Foundation!$C$8:$D$531,2,FALSE)</f>
        <v>DC1+0</v>
      </c>
      <c r="E132" s="368" t="str">
        <f>+VLOOKUP(C132,Foundation!$C$8:$E$495,3,FALSE)</f>
        <v>DRY</v>
      </c>
      <c r="F132" s="350">
        <v>45583</v>
      </c>
      <c r="G132" s="350">
        <v>45592</v>
      </c>
      <c r="H132" s="370" t="s">
        <v>598</v>
      </c>
      <c r="I132" s="373"/>
      <c r="J132" s="693">
        <f t="shared" si="2"/>
        <v>66.381106999999986</v>
      </c>
      <c r="K132" s="370"/>
      <c r="L132" s="358"/>
      <c r="M132" s="645">
        <f t="shared" si="3"/>
        <v>9</v>
      </c>
    </row>
    <row r="133" spans="1:13" s="377" customFormat="1" hidden="1" x14ac:dyDescent="0.2">
      <c r="A133" s="372">
        <f>+SUBTOTAL(3,$G$7:$G133)</f>
        <v>0</v>
      </c>
      <c r="B133" s="366">
        <v>45566</v>
      </c>
      <c r="C133" s="374" t="s">
        <v>506</v>
      </c>
      <c r="D133" s="368" t="str">
        <f>+VLOOKUP(C133,Foundation!$C$8:$D$531,2,FALSE)</f>
        <v>DA+0</v>
      </c>
      <c r="E133" s="368" t="str">
        <f>+VLOOKUP(C133,Foundation!$C$8:$E$495,3,FALSE)</f>
        <v>DRY</v>
      </c>
      <c r="F133" s="350">
        <v>45586</v>
      </c>
      <c r="G133" s="350">
        <v>45592</v>
      </c>
      <c r="H133" s="370" t="s">
        <v>599</v>
      </c>
      <c r="I133" s="373"/>
      <c r="J133" s="693">
        <f t="shared" si="2"/>
        <v>37.504372000000004</v>
      </c>
      <c r="K133" s="370"/>
      <c r="L133" s="358"/>
      <c r="M133" s="645">
        <f t="shared" si="3"/>
        <v>6</v>
      </c>
    </row>
    <row r="134" spans="1:13" hidden="1" x14ac:dyDescent="0.2">
      <c r="A134" s="372">
        <f>+SUBTOTAL(3,$G$7:$G134)</f>
        <v>0</v>
      </c>
      <c r="B134" s="366">
        <v>45566</v>
      </c>
      <c r="C134" s="374" t="s">
        <v>856</v>
      </c>
      <c r="D134" s="368" t="str">
        <f>+VLOOKUP(C134,Foundation!$C$8:$D$531,2,FALSE)</f>
        <v>DA+0</v>
      </c>
      <c r="E134" s="368" t="str">
        <f>+VLOOKUP(C134,Foundation!$C$8:$E$495,3,FALSE)</f>
        <v>DRY</v>
      </c>
      <c r="F134" s="350">
        <v>45586</v>
      </c>
      <c r="G134" s="350">
        <v>45594</v>
      </c>
      <c r="H134" s="370" t="s">
        <v>894</v>
      </c>
      <c r="I134" s="373"/>
      <c r="J134" s="693">
        <f t="shared" si="2"/>
        <v>37.504372000000004</v>
      </c>
      <c r="K134" s="370"/>
      <c r="M134" s="645">
        <f t="shared" si="3"/>
        <v>8</v>
      </c>
    </row>
    <row r="135" spans="1:13" hidden="1" x14ac:dyDescent="0.2">
      <c r="A135" s="372">
        <f>+SUBTOTAL(3,$G$7:$G135)</f>
        <v>0</v>
      </c>
      <c r="B135" s="366">
        <v>45566</v>
      </c>
      <c r="C135" s="374" t="s">
        <v>702</v>
      </c>
      <c r="D135" s="368" t="str">
        <f>+VLOOKUP(C135,Foundation!$C$8:$D$531,2,FALSE)</f>
        <v>DA+9</v>
      </c>
      <c r="E135" s="368" t="str">
        <f>+VLOOKUP(C135,Foundation!$C$8:$E$495,3,FALSE)</f>
        <v>Sandy</v>
      </c>
      <c r="F135" s="350">
        <v>45589</v>
      </c>
      <c r="G135" s="350">
        <v>45595</v>
      </c>
      <c r="H135" s="370" t="s">
        <v>886</v>
      </c>
      <c r="I135" s="373"/>
      <c r="J135" s="693">
        <f t="shared" si="2"/>
        <v>47.184350000000002</v>
      </c>
      <c r="K135" s="370"/>
      <c r="M135" s="645">
        <f t="shared" si="3"/>
        <v>6</v>
      </c>
    </row>
    <row r="136" spans="1:13" s="377" customFormat="1" hidden="1" x14ac:dyDescent="0.2">
      <c r="A136" s="372">
        <f>+SUBTOTAL(3,$G$7:$G136)</f>
        <v>0</v>
      </c>
      <c r="B136" s="366">
        <v>45597</v>
      </c>
      <c r="C136" s="376" t="s">
        <v>744</v>
      </c>
      <c r="D136" s="368" t="str">
        <f>+VLOOKUP(C136,Foundation!$C$8:$D$531,2,FALSE)</f>
        <v>DA+0</v>
      </c>
      <c r="E136" s="368" t="str">
        <f>+VLOOKUP(C136,Foundation!$C$8:$E$495,3,FALSE)</f>
        <v>Sandy</v>
      </c>
      <c r="F136" s="350">
        <v>45588</v>
      </c>
      <c r="G136" s="350">
        <v>45597</v>
      </c>
      <c r="H136" s="370" t="s">
        <v>893</v>
      </c>
      <c r="I136" s="373"/>
      <c r="J136" s="693">
        <f t="shared" ref="J136:J199" si="4">+VLOOKUP(D136,$AB$7:$AC$35,2,FALSE)</f>
        <v>37.504372000000004</v>
      </c>
      <c r="K136" s="370"/>
      <c r="L136" s="358"/>
      <c r="M136" s="645">
        <f t="shared" ref="M136:M199" si="5">G136-F136</f>
        <v>9</v>
      </c>
    </row>
    <row r="137" spans="1:13" hidden="1" x14ac:dyDescent="0.2">
      <c r="A137" s="372">
        <f>+SUBTOTAL(3,$G$7:$G137)</f>
        <v>0</v>
      </c>
      <c r="B137" s="366">
        <v>45597</v>
      </c>
      <c r="C137" s="374" t="s">
        <v>171</v>
      </c>
      <c r="D137" s="368" t="str">
        <f>+VLOOKUP(C137,Foundation!$C$8:$D$531,2,FALSE)</f>
        <v>DB1+0</v>
      </c>
      <c r="E137" s="368" t="str">
        <f>+VLOOKUP(C137,Foundation!$C$8:$E$495,3,FALSE)</f>
        <v>DRY</v>
      </c>
      <c r="F137" s="350">
        <v>45581</v>
      </c>
      <c r="G137" s="350">
        <v>45598</v>
      </c>
      <c r="H137" s="370" t="s">
        <v>605</v>
      </c>
      <c r="I137" s="373"/>
      <c r="J137" s="693">
        <f t="shared" si="4"/>
        <v>57.597240999999997</v>
      </c>
      <c r="K137" s="370"/>
      <c r="M137" s="645">
        <f t="shared" si="5"/>
        <v>17</v>
      </c>
    </row>
    <row r="138" spans="1:13" hidden="1" x14ac:dyDescent="0.2">
      <c r="A138" s="372">
        <f>+SUBTOTAL(3,$G$7:$G138)</f>
        <v>0</v>
      </c>
      <c r="B138" s="366">
        <v>45597</v>
      </c>
      <c r="C138" s="374" t="s">
        <v>218</v>
      </c>
      <c r="D138" s="368" t="str">
        <f>+VLOOKUP(C138,Foundation!$C$8:$D$531,2,FALSE)</f>
        <v>DA+3</v>
      </c>
      <c r="E138" s="368" t="str">
        <f>+VLOOKUP(C138,Foundation!$C$8:$E$495,3,FALSE)</f>
        <v>DFR</v>
      </c>
      <c r="F138" s="350">
        <v>45592</v>
      </c>
      <c r="G138" s="350">
        <v>45598</v>
      </c>
      <c r="H138" s="370" t="s">
        <v>903</v>
      </c>
      <c r="I138" s="373"/>
      <c r="J138" s="693">
        <f t="shared" si="4"/>
        <v>38.847605999999992</v>
      </c>
      <c r="K138" s="370"/>
      <c r="M138" s="645">
        <f t="shared" si="5"/>
        <v>6</v>
      </c>
    </row>
    <row r="139" spans="1:13" hidden="1" x14ac:dyDescent="0.2">
      <c r="A139" s="372">
        <f>+SUBTOTAL(3,$G$7:$G139)</f>
        <v>0</v>
      </c>
      <c r="B139" s="366">
        <v>45597</v>
      </c>
      <c r="C139" s="374" t="s">
        <v>705</v>
      </c>
      <c r="D139" s="368" t="str">
        <f>+VLOOKUP(C139,Foundation!$C$8:$D$531,2,FALSE)</f>
        <v>DA+0</v>
      </c>
      <c r="E139" s="368" t="str">
        <f>+VLOOKUP(C139,Foundation!$C$8:$E$495,3,FALSE)</f>
        <v>Sandy</v>
      </c>
      <c r="F139" s="350">
        <v>45597</v>
      </c>
      <c r="G139" s="350">
        <v>45600</v>
      </c>
      <c r="H139" s="370" t="s">
        <v>886</v>
      </c>
      <c r="I139" s="373"/>
      <c r="J139" s="693">
        <f t="shared" si="4"/>
        <v>37.504372000000004</v>
      </c>
      <c r="K139" s="370"/>
      <c r="M139" s="645">
        <f t="shared" si="5"/>
        <v>3</v>
      </c>
    </row>
    <row r="140" spans="1:13" hidden="1" x14ac:dyDescent="0.2">
      <c r="A140" s="372">
        <f>+SUBTOTAL(3,$G$7:$G140)</f>
        <v>0</v>
      </c>
      <c r="B140" s="366">
        <v>45597</v>
      </c>
      <c r="C140" s="374" t="s">
        <v>163</v>
      </c>
      <c r="D140" s="368" t="str">
        <f>+VLOOKUP(C140,Foundation!$C$8:$D$531,2,FALSE)</f>
        <v>DA+3</v>
      </c>
      <c r="E140" s="368" t="str">
        <f>+VLOOKUP(C140,Foundation!$C$8:$E$495,3,FALSE)</f>
        <v>DRY</v>
      </c>
      <c r="F140" s="350">
        <v>45598</v>
      </c>
      <c r="G140" s="350">
        <v>45601</v>
      </c>
      <c r="H140" s="370" t="s">
        <v>596</v>
      </c>
      <c r="I140" s="373"/>
      <c r="J140" s="693">
        <f t="shared" si="4"/>
        <v>38.847605999999992</v>
      </c>
      <c r="K140" s="370"/>
      <c r="M140" s="645">
        <f t="shared" si="5"/>
        <v>3</v>
      </c>
    </row>
    <row r="141" spans="1:13" hidden="1" x14ac:dyDescent="0.2">
      <c r="A141" s="372">
        <f>+SUBTOTAL(3,$G$7:$G141)</f>
        <v>0</v>
      </c>
      <c r="B141" s="366">
        <v>45597</v>
      </c>
      <c r="C141" s="374" t="s">
        <v>481</v>
      </c>
      <c r="D141" s="368" t="str">
        <f>+VLOOKUP(C141,Foundation!$C$8:$D$531,2,FALSE)</f>
        <v>DA+3</v>
      </c>
      <c r="E141" s="368" t="str">
        <f>+VLOOKUP(C141,Foundation!$C$8:$E$495,3,FALSE)</f>
        <v>DRY</v>
      </c>
      <c r="F141" s="350">
        <v>45583</v>
      </c>
      <c r="G141" s="350">
        <v>45604</v>
      </c>
      <c r="H141" s="370" t="s">
        <v>605</v>
      </c>
      <c r="I141" s="373"/>
      <c r="J141" s="693">
        <f t="shared" si="4"/>
        <v>38.847605999999992</v>
      </c>
      <c r="K141" s="370"/>
      <c r="M141" s="645">
        <f t="shared" si="5"/>
        <v>21</v>
      </c>
    </row>
    <row r="142" spans="1:13" hidden="1" x14ac:dyDescent="0.2">
      <c r="A142" s="372">
        <f>+SUBTOTAL(3,$G$7:$G142)</f>
        <v>0</v>
      </c>
      <c r="B142" s="366">
        <v>45597</v>
      </c>
      <c r="C142" s="374" t="s">
        <v>502</v>
      </c>
      <c r="D142" s="368" t="str">
        <f>+VLOOKUP(C142,Foundation!$C$8:$D$531,2,FALSE)</f>
        <v>DA+3</v>
      </c>
      <c r="E142" s="368" t="str">
        <f>+VLOOKUP(C142,Foundation!$C$8:$E$495,3,FALSE)</f>
        <v>DRY</v>
      </c>
      <c r="F142" s="350">
        <v>45599</v>
      </c>
      <c r="G142" s="350">
        <v>45605</v>
      </c>
      <c r="H142" s="370" t="s">
        <v>599</v>
      </c>
      <c r="I142" s="373"/>
      <c r="J142" s="693">
        <f t="shared" si="4"/>
        <v>38.847605999999992</v>
      </c>
      <c r="K142" s="370"/>
      <c r="M142" s="645">
        <f t="shared" si="5"/>
        <v>6</v>
      </c>
    </row>
    <row r="143" spans="1:13" hidden="1" x14ac:dyDescent="0.2">
      <c r="A143" s="372">
        <f>+SUBTOTAL(3,$G$7:$G143)</f>
        <v>0</v>
      </c>
      <c r="B143" s="366">
        <v>45597</v>
      </c>
      <c r="C143" s="374" t="s">
        <v>500</v>
      </c>
      <c r="D143" s="368" t="str">
        <f>+VLOOKUP(C143,Foundation!$C$8:$D$531,2,FALSE)</f>
        <v>DA+0</v>
      </c>
      <c r="E143" s="368" t="str">
        <f>+VLOOKUP(C143,Foundation!$C$8:$E$495,3,FALSE)</f>
        <v>DRY</v>
      </c>
      <c r="F143" s="350">
        <v>45601</v>
      </c>
      <c r="G143" s="350">
        <v>45605</v>
      </c>
      <c r="H143" s="370" t="s">
        <v>598</v>
      </c>
      <c r="I143" s="373"/>
      <c r="J143" s="693">
        <f t="shared" si="4"/>
        <v>37.504372000000004</v>
      </c>
      <c r="K143" s="370"/>
      <c r="M143" s="645">
        <f t="shared" si="5"/>
        <v>4</v>
      </c>
    </row>
    <row r="144" spans="1:13" hidden="1" x14ac:dyDescent="0.2">
      <c r="A144" s="372">
        <f>+SUBTOTAL(3,$G$7:$G144)</f>
        <v>0</v>
      </c>
      <c r="B144" s="366">
        <v>45597</v>
      </c>
      <c r="C144" s="374" t="s">
        <v>755</v>
      </c>
      <c r="D144" s="368" t="str">
        <f>+VLOOKUP(C144,Foundation!$C$8:$D$531,2,FALSE)</f>
        <v>DA+3</v>
      </c>
      <c r="E144" s="368" t="str">
        <f>+VLOOKUP(C144,Foundation!$C$8:$E$495,3,FALSE)</f>
        <v>DFR</v>
      </c>
      <c r="F144" s="350">
        <v>45597</v>
      </c>
      <c r="G144" s="350">
        <v>45605</v>
      </c>
      <c r="H144" s="370" t="s">
        <v>903</v>
      </c>
      <c r="I144" s="373"/>
      <c r="J144" s="693">
        <f t="shared" si="4"/>
        <v>38.847605999999992</v>
      </c>
      <c r="K144" s="370"/>
      <c r="M144" s="645">
        <f t="shared" si="5"/>
        <v>8</v>
      </c>
    </row>
    <row r="145" spans="1:13" hidden="1" x14ac:dyDescent="0.2">
      <c r="A145" s="372">
        <f>+SUBTOTAL(3,$G$7:$G145)</f>
        <v>0</v>
      </c>
      <c r="B145" s="366">
        <v>45597</v>
      </c>
      <c r="C145" s="374" t="s">
        <v>704</v>
      </c>
      <c r="D145" s="368" t="str">
        <f>+VLOOKUP(C145,Foundation!$C$8:$D$531,2,FALSE)</f>
        <v>DA+9</v>
      </c>
      <c r="E145" s="368" t="str">
        <f>+VLOOKUP(C145,Foundation!$C$8:$E$495,3,FALSE)</f>
        <v>Sandy</v>
      </c>
      <c r="F145" s="350">
        <v>45600</v>
      </c>
      <c r="G145" s="350">
        <v>45606</v>
      </c>
      <c r="H145" s="370" t="s">
        <v>886</v>
      </c>
      <c r="I145" s="373"/>
      <c r="J145" s="693">
        <f t="shared" si="4"/>
        <v>47.184350000000002</v>
      </c>
      <c r="K145" s="370"/>
      <c r="M145" s="645">
        <f t="shared" si="5"/>
        <v>6</v>
      </c>
    </row>
    <row r="146" spans="1:13" hidden="1" x14ac:dyDescent="0.2">
      <c r="A146" s="372">
        <f>+SUBTOTAL(3,$G$7:$G146)</f>
        <v>0</v>
      </c>
      <c r="B146" s="366">
        <v>45597</v>
      </c>
      <c r="C146" s="374" t="s">
        <v>743</v>
      </c>
      <c r="D146" s="368" t="str">
        <f>+VLOOKUP(C146,Foundation!$C$8:$D$531,2,FALSE)</f>
        <v>DA+0</v>
      </c>
      <c r="E146" s="368" t="str">
        <f>+VLOOKUP(C146,Foundation!$C$8:$E$495,3,FALSE)</f>
        <v>Sandy</v>
      </c>
      <c r="F146" s="350">
        <v>45597</v>
      </c>
      <c r="G146" s="350">
        <v>45608</v>
      </c>
      <c r="H146" s="370" t="s">
        <v>893</v>
      </c>
      <c r="I146" s="373"/>
      <c r="J146" s="693">
        <f t="shared" si="4"/>
        <v>37.504372000000004</v>
      </c>
      <c r="K146" s="370"/>
      <c r="M146" s="645">
        <f t="shared" si="5"/>
        <v>11</v>
      </c>
    </row>
    <row r="147" spans="1:13" hidden="1" x14ac:dyDescent="0.2">
      <c r="A147" s="372">
        <f>+SUBTOTAL(3,$G$7:$G147)</f>
        <v>0</v>
      </c>
      <c r="B147" s="366">
        <v>45597</v>
      </c>
      <c r="C147" s="367" t="s">
        <v>864</v>
      </c>
      <c r="D147" s="368" t="str">
        <f>+VLOOKUP(C147,Foundation!$C$8:$D$531,2,FALSE)</f>
        <v>DA+0</v>
      </c>
      <c r="E147" s="368" t="str">
        <f>+VLOOKUP(C147,Foundation!$C$8:$E$495,3,FALSE)</f>
        <v>DRY</v>
      </c>
      <c r="F147" s="350">
        <v>45605</v>
      </c>
      <c r="G147" s="350">
        <v>45609</v>
      </c>
      <c r="H147" s="370" t="s">
        <v>890</v>
      </c>
      <c r="I147" s="373"/>
      <c r="J147" s="693">
        <f t="shared" si="4"/>
        <v>37.504372000000004</v>
      </c>
      <c r="K147" s="370"/>
      <c r="M147" s="645">
        <f t="shared" si="5"/>
        <v>4</v>
      </c>
    </row>
    <row r="148" spans="1:13" s="377" customFormat="1" hidden="1" x14ac:dyDescent="0.2">
      <c r="A148" s="372">
        <f>+SUBTOTAL(3,$G$7:$G148)</f>
        <v>0</v>
      </c>
      <c r="B148" s="366">
        <v>45597</v>
      </c>
      <c r="C148" s="374" t="s">
        <v>503</v>
      </c>
      <c r="D148" s="368" t="str">
        <f>+VLOOKUP(C148,Foundation!$C$8:$D$531,2,FALSE)</f>
        <v>DB2+3</v>
      </c>
      <c r="E148" s="368" t="str">
        <f>+VLOOKUP(C148,Foundation!$C$8:$E$495,3,FALSE)</f>
        <v>DRY</v>
      </c>
      <c r="F148" s="350">
        <v>45600</v>
      </c>
      <c r="G148" s="350">
        <v>45610</v>
      </c>
      <c r="H148" s="370" t="s">
        <v>593</v>
      </c>
      <c r="I148" s="373"/>
      <c r="J148" s="693">
        <f t="shared" si="4"/>
        <v>60.096777000000003</v>
      </c>
      <c r="K148" s="370"/>
      <c r="L148" s="358"/>
      <c r="M148" s="645">
        <f t="shared" si="5"/>
        <v>10</v>
      </c>
    </row>
    <row r="149" spans="1:13" s="377" customFormat="1" hidden="1" x14ac:dyDescent="0.2">
      <c r="A149" s="372">
        <f>+SUBTOTAL(3,$G$7:$G149)</f>
        <v>0</v>
      </c>
      <c r="B149" s="366">
        <v>45597</v>
      </c>
      <c r="C149" s="374" t="s">
        <v>698</v>
      </c>
      <c r="D149" s="368" t="str">
        <f>+VLOOKUP(C149,Foundation!$C$8:$D$531,2,FALSE)</f>
        <v>DA+0</v>
      </c>
      <c r="E149" s="368" t="str">
        <f>+VLOOKUP(C149,Foundation!$C$8:$E$495,3,FALSE)</f>
        <v>Sandy</v>
      </c>
      <c r="F149" s="350">
        <v>45607</v>
      </c>
      <c r="G149" s="350">
        <v>45610</v>
      </c>
      <c r="H149" s="370" t="s">
        <v>886</v>
      </c>
      <c r="I149" s="373"/>
      <c r="J149" s="693">
        <f t="shared" si="4"/>
        <v>37.504372000000004</v>
      </c>
      <c r="K149" s="370"/>
      <c r="L149" s="358"/>
      <c r="M149" s="645">
        <f t="shared" si="5"/>
        <v>3</v>
      </c>
    </row>
    <row r="150" spans="1:13" hidden="1" x14ac:dyDescent="0.2">
      <c r="A150" s="372">
        <f>+SUBTOTAL(3,$G$7:$G150)</f>
        <v>0</v>
      </c>
      <c r="B150" s="366">
        <v>45597</v>
      </c>
      <c r="C150" s="367" t="s">
        <v>863</v>
      </c>
      <c r="D150" s="368" t="str">
        <f>+VLOOKUP(C150,Foundation!$C$8:$D$531,2,FALSE)</f>
        <v>DA+3</v>
      </c>
      <c r="E150" s="368" t="str">
        <f>+VLOOKUP(C150,Foundation!$C$8:$E$495,3,FALSE)</f>
        <v>DRY</v>
      </c>
      <c r="F150" s="350">
        <v>45609</v>
      </c>
      <c r="G150" s="350">
        <v>45613</v>
      </c>
      <c r="H150" s="370" t="s">
        <v>890</v>
      </c>
      <c r="I150" s="373"/>
      <c r="J150" s="693">
        <f t="shared" si="4"/>
        <v>38.847605999999992</v>
      </c>
      <c r="K150" s="370"/>
      <c r="M150" s="645">
        <f t="shared" si="5"/>
        <v>4</v>
      </c>
    </row>
    <row r="151" spans="1:13" hidden="1" x14ac:dyDescent="0.2">
      <c r="A151" s="372">
        <f>+SUBTOTAL(3,$G$7:$G151)</f>
        <v>0</v>
      </c>
      <c r="B151" s="366">
        <v>45597</v>
      </c>
      <c r="C151" s="367" t="s">
        <v>170</v>
      </c>
      <c r="D151" s="368" t="str">
        <f>+VLOOKUP(C151,Foundation!$C$8:$D$531,2,FALSE)</f>
        <v>DA+0</v>
      </c>
      <c r="E151" s="368" t="str">
        <f>+VLOOKUP(C151,Foundation!$C$8:$E$495,3,FALSE)</f>
        <v>DFR</v>
      </c>
      <c r="F151" s="350">
        <v>45606</v>
      </c>
      <c r="G151" s="350">
        <v>45614</v>
      </c>
      <c r="H151" s="370" t="s">
        <v>605</v>
      </c>
      <c r="I151" s="373"/>
      <c r="J151" s="693">
        <f t="shared" si="4"/>
        <v>37.504372000000004</v>
      </c>
      <c r="K151" s="370"/>
      <c r="M151" s="645">
        <f t="shared" si="5"/>
        <v>8</v>
      </c>
    </row>
    <row r="152" spans="1:13" hidden="1" x14ac:dyDescent="0.2">
      <c r="A152" s="372">
        <f>+SUBTOTAL(3,$G$7:$G152)</f>
        <v>0</v>
      </c>
      <c r="B152" s="366">
        <v>45597</v>
      </c>
      <c r="C152" s="367" t="s">
        <v>491</v>
      </c>
      <c r="D152" s="368" t="str">
        <f>+VLOOKUP(C152,Foundation!$C$8:$D$531,2,FALSE)</f>
        <v>DA+3</v>
      </c>
      <c r="E152" s="368" t="str">
        <f>+VLOOKUP(C152,Foundation!$C$8:$E$495,3,FALSE)</f>
        <v>DRY</v>
      </c>
      <c r="F152" s="350">
        <v>45607</v>
      </c>
      <c r="G152" s="350">
        <v>45614</v>
      </c>
      <c r="H152" s="370" t="s">
        <v>598</v>
      </c>
      <c r="I152" s="373"/>
      <c r="J152" s="693">
        <f t="shared" si="4"/>
        <v>38.847605999999992</v>
      </c>
      <c r="K152" s="370"/>
      <c r="M152" s="645">
        <f t="shared" si="5"/>
        <v>7</v>
      </c>
    </row>
    <row r="153" spans="1:13" hidden="1" x14ac:dyDescent="0.2">
      <c r="A153" s="372">
        <f>+SUBTOTAL(3,$G$7:$G153)</f>
        <v>0</v>
      </c>
      <c r="B153" s="366">
        <v>45597</v>
      </c>
      <c r="C153" s="367" t="s">
        <v>573</v>
      </c>
      <c r="D153" s="368" t="str">
        <f>+VLOOKUP(C153,Foundation!$C$8:$D$531,2,FALSE)</f>
        <v>DA+9</v>
      </c>
      <c r="E153" s="368" t="str">
        <f>+VLOOKUP(C153,Foundation!$C$8:$E$495,3,FALSE)</f>
        <v>Sandy</v>
      </c>
      <c r="F153" s="350">
        <v>45603</v>
      </c>
      <c r="G153" s="350">
        <v>45614</v>
      </c>
      <c r="H153" s="370" t="s">
        <v>589</v>
      </c>
      <c r="I153" s="373"/>
      <c r="J153" s="693">
        <f t="shared" si="4"/>
        <v>47.184350000000002</v>
      </c>
      <c r="K153" s="370"/>
      <c r="M153" s="645">
        <f t="shared" si="5"/>
        <v>11</v>
      </c>
    </row>
    <row r="154" spans="1:13" hidden="1" x14ac:dyDescent="0.2">
      <c r="A154" s="372">
        <f>+SUBTOTAL(3,$G$7:$G154)</f>
        <v>0</v>
      </c>
      <c r="B154" s="366">
        <v>45597</v>
      </c>
      <c r="C154" s="367" t="s">
        <v>697</v>
      </c>
      <c r="D154" s="368" t="str">
        <f>+VLOOKUP(C154,Foundation!$C$8:$D$531,2,FALSE)</f>
        <v>DA+0</v>
      </c>
      <c r="E154" s="368" t="str">
        <f>+VLOOKUP(C154,Foundation!$C$8:$E$495,3,FALSE)</f>
        <v>Sandy</v>
      </c>
      <c r="F154" s="350">
        <v>45611</v>
      </c>
      <c r="G154" s="350">
        <v>45614</v>
      </c>
      <c r="H154" s="370" t="s">
        <v>886</v>
      </c>
      <c r="I154" s="373"/>
      <c r="J154" s="693">
        <f t="shared" si="4"/>
        <v>37.504372000000004</v>
      </c>
      <c r="K154" s="370"/>
      <c r="M154" s="645">
        <f t="shared" si="5"/>
        <v>3</v>
      </c>
    </row>
    <row r="155" spans="1:13" hidden="1" x14ac:dyDescent="0.2">
      <c r="A155" s="372">
        <f>+SUBTOTAL(3,$G$7:$G155)</f>
        <v>0</v>
      </c>
      <c r="B155" s="366">
        <v>45597</v>
      </c>
      <c r="C155" s="378" t="s">
        <v>861</v>
      </c>
      <c r="D155" s="368" t="str">
        <f>+VLOOKUP(C155,Foundation!$C$8:$D$531,2,FALSE)</f>
        <v>DA+0</v>
      </c>
      <c r="E155" s="368" t="str">
        <f>+VLOOKUP(C155,Foundation!$C$8:$E$495,3,FALSE)</f>
        <v>DRY</v>
      </c>
      <c r="F155" s="350">
        <v>45613</v>
      </c>
      <c r="G155" s="350">
        <v>45616</v>
      </c>
      <c r="H155" s="370" t="s">
        <v>890</v>
      </c>
      <c r="I155" s="373"/>
      <c r="J155" s="693">
        <f t="shared" si="4"/>
        <v>37.504372000000004</v>
      </c>
      <c r="K155" s="370"/>
      <c r="M155" s="645">
        <f t="shared" si="5"/>
        <v>3</v>
      </c>
    </row>
    <row r="156" spans="1:13" hidden="1" x14ac:dyDescent="0.2">
      <c r="A156" s="372">
        <f>+SUBTOTAL(3,$G$7:$G156)</f>
        <v>0</v>
      </c>
      <c r="B156" s="366">
        <v>45597</v>
      </c>
      <c r="C156" s="378" t="s">
        <v>689</v>
      </c>
      <c r="D156" s="368" t="str">
        <f>+VLOOKUP(C156,Foundation!$C$8:$D$531,2,FALSE)</f>
        <v>DA+6</v>
      </c>
      <c r="E156" s="368" t="str">
        <f>+VLOOKUP(C156,Foundation!$C$8:$E$495,3,FALSE)</f>
        <v>Sandy</v>
      </c>
      <c r="F156" s="350">
        <v>45598</v>
      </c>
      <c r="G156" s="350">
        <v>45618</v>
      </c>
      <c r="H156" s="370" t="s">
        <v>904</v>
      </c>
      <c r="I156" s="373"/>
      <c r="J156" s="693">
        <f t="shared" si="4"/>
        <v>45.413028000000004</v>
      </c>
      <c r="K156" s="370"/>
      <c r="M156" s="645">
        <f t="shared" si="5"/>
        <v>20</v>
      </c>
    </row>
    <row r="157" spans="1:13" hidden="1" x14ac:dyDescent="0.2">
      <c r="A157" s="372">
        <f>+SUBTOTAL(3,$G$7:$G157)</f>
        <v>0</v>
      </c>
      <c r="B157" s="366">
        <v>45597</v>
      </c>
      <c r="C157" s="378" t="s">
        <v>695</v>
      </c>
      <c r="D157" s="368" t="str">
        <f>+VLOOKUP(C157,Foundation!$C$8:$D$531,2,FALSE)</f>
        <v>DA+3</v>
      </c>
      <c r="E157" s="368" t="str">
        <f>+VLOOKUP(C157,Foundation!$C$8:$E$495,3,FALSE)</f>
        <v>Sandy</v>
      </c>
      <c r="F157" s="350">
        <v>45614</v>
      </c>
      <c r="G157" s="350">
        <v>45618</v>
      </c>
      <c r="H157" s="370" t="s">
        <v>886</v>
      </c>
      <c r="I157" s="373"/>
      <c r="J157" s="693">
        <f t="shared" si="4"/>
        <v>38.847605999999992</v>
      </c>
      <c r="K157" s="370"/>
      <c r="M157" s="645">
        <f t="shared" si="5"/>
        <v>4</v>
      </c>
    </row>
    <row r="158" spans="1:13" hidden="1" x14ac:dyDescent="0.2">
      <c r="A158" s="372">
        <f>+SUBTOTAL(3,$G$7:$G158)</f>
        <v>0</v>
      </c>
      <c r="B158" s="366">
        <v>45597</v>
      </c>
      <c r="C158" s="367" t="s">
        <v>96</v>
      </c>
      <c r="D158" s="368" t="str">
        <f>+VLOOKUP(C158,Foundation!$C$8:$D$531,2,FALSE)</f>
        <v>DA+3</v>
      </c>
      <c r="E158" s="368" t="str">
        <f>+VLOOKUP(C158,Foundation!$C$8:$E$495,3,FALSE)</f>
        <v>DFR</v>
      </c>
      <c r="F158" s="350">
        <v>45608</v>
      </c>
      <c r="G158" s="350">
        <v>45620</v>
      </c>
      <c r="H158" s="370" t="s">
        <v>893</v>
      </c>
      <c r="I158" s="373"/>
      <c r="J158" s="693">
        <f t="shared" si="4"/>
        <v>38.847605999999992</v>
      </c>
      <c r="K158" s="370"/>
      <c r="M158" s="645">
        <f t="shared" si="5"/>
        <v>12</v>
      </c>
    </row>
    <row r="159" spans="1:13" hidden="1" x14ac:dyDescent="0.2">
      <c r="A159" s="372">
        <f>+SUBTOTAL(3,$G$7:$G159)</f>
        <v>0</v>
      </c>
      <c r="B159" s="366">
        <v>45597</v>
      </c>
      <c r="C159" s="367" t="s">
        <v>722</v>
      </c>
      <c r="D159" s="368" t="str">
        <f>+VLOOKUP(C159,Foundation!$C$8:$D$531,2,FALSE)</f>
        <v>DA+9</v>
      </c>
      <c r="E159" s="368" t="str">
        <f>+VLOOKUP(C159,Foundation!$C$8:$E$495,3,FALSE)</f>
        <v>Sandy</v>
      </c>
      <c r="F159" s="350">
        <v>45609</v>
      </c>
      <c r="G159" s="350">
        <v>45621</v>
      </c>
      <c r="H159" s="370" t="s">
        <v>895</v>
      </c>
      <c r="I159" s="373"/>
      <c r="J159" s="693">
        <f t="shared" si="4"/>
        <v>47.184350000000002</v>
      </c>
      <c r="K159" s="370"/>
      <c r="M159" s="645">
        <f t="shared" si="5"/>
        <v>12</v>
      </c>
    </row>
    <row r="160" spans="1:13" hidden="1" x14ac:dyDescent="0.2">
      <c r="A160" s="372">
        <f>+SUBTOTAL(3,$G$7:$G160)</f>
        <v>0</v>
      </c>
      <c r="B160" s="366">
        <v>45597</v>
      </c>
      <c r="C160" s="367" t="s">
        <v>572</v>
      </c>
      <c r="D160" s="368" t="str">
        <f>+VLOOKUP(C160,Foundation!$C$8:$D$531,2,FALSE)</f>
        <v>DA+9</v>
      </c>
      <c r="E160" s="368" t="str">
        <f>+VLOOKUP(C160,Foundation!$C$8:$E$495,3,FALSE)</f>
        <v>Sandy</v>
      </c>
      <c r="F160" s="350">
        <v>45615</v>
      </c>
      <c r="G160" s="350">
        <v>45623</v>
      </c>
      <c r="H160" s="370" t="s">
        <v>589</v>
      </c>
      <c r="I160" s="373"/>
      <c r="J160" s="693">
        <f t="shared" si="4"/>
        <v>47.184350000000002</v>
      </c>
      <c r="K160" s="370"/>
      <c r="M160" s="645">
        <f t="shared" si="5"/>
        <v>8</v>
      </c>
    </row>
    <row r="161" spans="1:13" hidden="1" x14ac:dyDescent="0.2">
      <c r="A161" s="372">
        <f>+SUBTOTAL(3,$G$7:$G161)</f>
        <v>0</v>
      </c>
      <c r="B161" s="366">
        <v>45597</v>
      </c>
      <c r="C161" s="367" t="s">
        <v>696</v>
      </c>
      <c r="D161" s="368" t="str">
        <f>+VLOOKUP(C161,Foundation!$C$8:$D$531,2,FALSE)</f>
        <v>DA+3</v>
      </c>
      <c r="E161" s="368" t="str">
        <f>+VLOOKUP(C161,Foundation!$C$8:$E$495,3,FALSE)</f>
        <v>Sandy</v>
      </c>
      <c r="F161" s="350">
        <v>45619</v>
      </c>
      <c r="G161" s="350">
        <v>45623</v>
      </c>
      <c r="H161" s="370" t="s">
        <v>886</v>
      </c>
      <c r="I161" s="373"/>
      <c r="J161" s="693">
        <f t="shared" si="4"/>
        <v>38.847605999999992</v>
      </c>
      <c r="K161" s="370"/>
      <c r="M161" s="645">
        <f t="shared" si="5"/>
        <v>4</v>
      </c>
    </row>
    <row r="162" spans="1:13" hidden="1" x14ac:dyDescent="0.2">
      <c r="A162" s="372">
        <f>+SUBTOTAL(3,$G$7:$G162)</f>
        <v>0</v>
      </c>
      <c r="B162" s="366">
        <v>45597</v>
      </c>
      <c r="C162" s="367" t="s">
        <v>508</v>
      </c>
      <c r="D162" s="368" t="str">
        <f>+VLOOKUP(C162,Foundation!$C$8:$D$531,2,FALSE)</f>
        <v>DA+3</v>
      </c>
      <c r="E162" s="368" t="str">
        <f>+VLOOKUP(C162,Foundation!$C$8:$E$495,3,FALSE)</f>
        <v>DRY</v>
      </c>
      <c r="F162" s="350">
        <v>45618</v>
      </c>
      <c r="G162" s="350">
        <v>45626</v>
      </c>
      <c r="H162" s="370" t="s">
        <v>599</v>
      </c>
      <c r="I162" s="373"/>
      <c r="J162" s="693">
        <f t="shared" si="4"/>
        <v>38.847605999999992</v>
      </c>
      <c r="K162" s="370"/>
      <c r="M162" s="645">
        <f t="shared" si="5"/>
        <v>8</v>
      </c>
    </row>
    <row r="163" spans="1:13" hidden="1" x14ac:dyDescent="0.2">
      <c r="A163" s="372">
        <f>+SUBTOTAL(3,$G$7:$G163)</f>
        <v>0</v>
      </c>
      <c r="B163" s="366">
        <v>45597</v>
      </c>
      <c r="C163" s="367" t="s">
        <v>489</v>
      </c>
      <c r="D163" s="368" t="str">
        <f>+VLOOKUP(C163,Foundation!$C$8:$D$531,2,FALSE)</f>
        <v>DA+3</v>
      </c>
      <c r="E163" s="368" t="str">
        <f>+VLOOKUP(C163,Foundation!$C$8:$E$495,3,FALSE)</f>
        <v>DRY</v>
      </c>
      <c r="F163" s="350">
        <v>45620</v>
      </c>
      <c r="G163" s="350">
        <v>45626</v>
      </c>
      <c r="H163" s="370" t="s">
        <v>595</v>
      </c>
      <c r="I163" s="373"/>
      <c r="J163" s="693">
        <f t="shared" si="4"/>
        <v>38.847605999999992</v>
      </c>
      <c r="K163" s="370"/>
      <c r="M163" s="645">
        <f t="shared" si="5"/>
        <v>6</v>
      </c>
    </row>
    <row r="164" spans="1:13" hidden="1" x14ac:dyDescent="0.2">
      <c r="A164" s="372">
        <f>+SUBTOTAL(3,$G$7:$G164)</f>
        <v>0</v>
      </c>
      <c r="B164" s="366">
        <v>45597</v>
      </c>
      <c r="C164" s="367" t="s">
        <v>693</v>
      </c>
      <c r="D164" s="368" t="str">
        <f>+VLOOKUP(C164,Foundation!$C$8:$D$531,2,FALSE)</f>
        <v>DA+3</v>
      </c>
      <c r="E164" s="368" t="str">
        <f>+VLOOKUP(C164,Foundation!$C$8:$E$495,3,FALSE)</f>
        <v>Sandy</v>
      </c>
      <c r="F164" s="350">
        <v>45623</v>
      </c>
      <c r="G164" s="350">
        <v>45626</v>
      </c>
      <c r="H164" s="370" t="s">
        <v>886</v>
      </c>
      <c r="I164" s="373"/>
      <c r="J164" s="693">
        <f t="shared" si="4"/>
        <v>38.847605999999992</v>
      </c>
      <c r="K164" s="370"/>
      <c r="M164" s="645">
        <f t="shared" si="5"/>
        <v>3</v>
      </c>
    </row>
    <row r="165" spans="1:13" hidden="1" x14ac:dyDescent="0.2">
      <c r="A165" s="372">
        <f>+SUBTOTAL(3,$G$7:$G165)</f>
        <v>0</v>
      </c>
      <c r="B165" s="366">
        <v>45597</v>
      </c>
      <c r="C165" s="367" t="s">
        <v>221</v>
      </c>
      <c r="D165" s="368" t="str">
        <f>+VLOOKUP(C165,Foundation!$C$8:$D$531,2,FALSE)</f>
        <v>DA+3</v>
      </c>
      <c r="E165" s="368" t="str">
        <f>+VLOOKUP(C165,Foundation!$C$8:$E$495,3,FALSE)</f>
        <v>DRY</v>
      </c>
      <c r="F165" s="350">
        <v>45620</v>
      </c>
      <c r="G165" s="350">
        <v>45626</v>
      </c>
      <c r="H165" s="370" t="s">
        <v>894</v>
      </c>
      <c r="I165" s="373"/>
      <c r="J165" s="693">
        <f t="shared" si="4"/>
        <v>38.847605999999992</v>
      </c>
      <c r="K165" s="370"/>
      <c r="M165" s="645">
        <f t="shared" si="5"/>
        <v>6</v>
      </c>
    </row>
    <row r="166" spans="1:13" hidden="1" x14ac:dyDescent="0.2">
      <c r="A166" s="372">
        <f>+SUBTOTAL(3,$G$7:$G166)</f>
        <v>0</v>
      </c>
      <c r="B166" s="366">
        <v>45627</v>
      </c>
      <c r="C166" s="379" t="s">
        <v>754</v>
      </c>
      <c r="D166" s="368" t="str">
        <f>+VLOOKUP(C166,Foundation!$C$8:$D$531,2,FALSE)</f>
        <v>DA+3</v>
      </c>
      <c r="E166" s="368" t="str">
        <f>+VLOOKUP(C166,Foundation!$C$8:$E$495,3,FALSE)</f>
        <v>DRY</v>
      </c>
      <c r="F166" s="350">
        <v>45621</v>
      </c>
      <c r="G166" s="350">
        <v>45629</v>
      </c>
      <c r="H166" s="370" t="s">
        <v>893</v>
      </c>
      <c r="I166" s="373"/>
      <c r="J166" s="693">
        <f t="shared" si="4"/>
        <v>38.847605999999992</v>
      </c>
      <c r="K166" s="370"/>
      <c r="M166" s="645">
        <f t="shared" si="5"/>
        <v>8</v>
      </c>
    </row>
    <row r="167" spans="1:13" hidden="1" x14ac:dyDescent="0.2">
      <c r="A167" s="372">
        <f>+SUBTOTAL(3,$G$7:$G167)</f>
        <v>0</v>
      </c>
      <c r="B167" s="366">
        <v>45627</v>
      </c>
      <c r="C167" s="379" t="s">
        <v>721</v>
      </c>
      <c r="D167" s="368" t="str">
        <f>+VLOOKUP(C167,Foundation!$C$8:$D$531,2,FALSE)</f>
        <v>DA+3</v>
      </c>
      <c r="E167" s="368" t="str">
        <f>+VLOOKUP(C167,Foundation!$C$8:$E$495,3,FALSE)</f>
        <v>Sandy</v>
      </c>
      <c r="F167" s="350">
        <v>45622</v>
      </c>
      <c r="G167" s="350">
        <v>45631</v>
      </c>
      <c r="H167" s="370" t="s">
        <v>895</v>
      </c>
      <c r="I167" s="373"/>
      <c r="J167" s="693">
        <f t="shared" si="4"/>
        <v>38.847605999999992</v>
      </c>
      <c r="K167" s="370"/>
      <c r="M167" s="645">
        <f t="shared" si="5"/>
        <v>9</v>
      </c>
    </row>
    <row r="168" spans="1:13" hidden="1" x14ac:dyDescent="0.2">
      <c r="A168" s="372">
        <f>+SUBTOTAL(3,$G$7:$G168)</f>
        <v>0</v>
      </c>
      <c r="B168" s="366">
        <v>45627</v>
      </c>
      <c r="C168" s="379" t="s">
        <v>694</v>
      </c>
      <c r="D168" s="368" t="str">
        <f>+VLOOKUP(C168,Foundation!$C$8:$D$531,2,FALSE)</f>
        <v>DA+3</v>
      </c>
      <c r="E168" s="368" t="str">
        <f>+VLOOKUP(C168,Foundation!$C$8:$E$495,3,FALSE)</f>
        <v>Sandy</v>
      </c>
      <c r="F168" s="350">
        <v>45628</v>
      </c>
      <c r="G168" s="350">
        <v>45631</v>
      </c>
      <c r="H168" s="370" t="s">
        <v>886</v>
      </c>
      <c r="I168" s="373"/>
      <c r="J168" s="693">
        <f t="shared" si="4"/>
        <v>38.847605999999992</v>
      </c>
      <c r="K168" s="370"/>
      <c r="M168" s="645">
        <f t="shared" si="5"/>
        <v>3</v>
      </c>
    </row>
    <row r="169" spans="1:13" hidden="1" x14ac:dyDescent="0.2">
      <c r="A169" s="372">
        <f>+SUBTOTAL(3,$G$7:$G169)</f>
        <v>0</v>
      </c>
      <c r="B169" s="366">
        <v>45627</v>
      </c>
      <c r="C169" s="379" t="s">
        <v>487</v>
      </c>
      <c r="D169" s="368" t="str">
        <f>+VLOOKUP(C169,Foundation!$C$8:$D$531,2,FALSE)</f>
        <v>DA+9</v>
      </c>
      <c r="E169" s="368" t="str">
        <f>+VLOOKUP(C169,Foundation!$C$8:$E$495,3,FALSE)</f>
        <v>Sandy</v>
      </c>
      <c r="F169" s="350">
        <v>45624</v>
      </c>
      <c r="G169" s="350">
        <v>45632</v>
      </c>
      <c r="H169" s="370" t="s">
        <v>598</v>
      </c>
      <c r="I169" s="373"/>
      <c r="J169" s="693">
        <f t="shared" si="4"/>
        <v>47.184350000000002</v>
      </c>
      <c r="K169" s="370"/>
      <c r="M169" s="645">
        <f t="shared" si="5"/>
        <v>8</v>
      </c>
    </row>
    <row r="170" spans="1:13" hidden="1" x14ac:dyDescent="0.2">
      <c r="A170" s="372">
        <f>+SUBTOTAL(3,$G$7:$G170)</f>
        <v>0</v>
      </c>
      <c r="B170" s="366">
        <v>45627</v>
      </c>
      <c r="C170" s="379" t="s">
        <v>483</v>
      </c>
      <c r="D170" s="368" t="str">
        <f>+VLOOKUP(C170,Foundation!$C$8:$D$531,2,FALSE)</f>
        <v>DA+3</v>
      </c>
      <c r="E170" s="368" t="str">
        <f>+VLOOKUP(C170,Foundation!$C$8:$E$495,3,FALSE)</f>
        <v>DRY</v>
      </c>
      <c r="F170" s="350">
        <v>45627</v>
      </c>
      <c r="G170" s="350">
        <v>45633</v>
      </c>
      <c r="H170" s="370" t="s">
        <v>595</v>
      </c>
      <c r="I170" s="373"/>
      <c r="J170" s="693">
        <f t="shared" si="4"/>
        <v>38.847605999999992</v>
      </c>
      <c r="K170" s="370"/>
      <c r="M170" s="645">
        <f t="shared" si="5"/>
        <v>6</v>
      </c>
    </row>
    <row r="171" spans="1:13" hidden="1" x14ac:dyDescent="0.2">
      <c r="A171" s="372">
        <f>+SUBTOTAL(3,$G$7:$G171)</f>
        <v>0</v>
      </c>
      <c r="B171" s="366">
        <v>45627</v>
      </c>
      <c r="C171" s="379" t="s">
        <v>692</v>
      </c>
      <c r="D171" s="368" t="str">
        <f>+VLOOKUP(C171,Foundation!$C$8:$D$531,2,FALSE)</f>
        <v>DA+0</v>
      </c>
      <c r="E171" s="368" t="str">
        <f>+VLOOKUP(C171,Foundation!$C$8:$E$495,3,FALSE)</f>
        <v>Sandy</v>
      </c>
      <c r="F171" s="350">
        <v>45632</v>
      </c>
      <c r="G171" s="350">
        <v>45635</v>
      </c>
      <c r="H171" s="370" t="s">
        <v>886</v>
      </c>
      <c r="I171" s="373"/>
      <c r="J171" s="693">
        <f t="shared" si="4"/>
        <v>37.504372000000004</v>
      </c>
      <c r="K171" s="370"/>
      <c r="M171" s="645">
        <f t="shared" si="5"/>
        <v>3</v>
      </c>
    </row>
    <row r="172" spans="1:13" hidden="1" x14ac:dyDescent="0.2">
      <c r="A172" s="372">
        <f>+SUBTOTAL(3,$G$7:$G172)</f>
        <v>0</v>
      </c>
      <c r="B172" s="366">
        <v>45627</v>
      </c>
      <c r="C172" s="379" t="s">
        <v>164</v>
      </c>
      <c r="D172" s="368" t="str">
        <f>+VLOOKUP(C172,Foundation!$C$8:$D$531,2,FALSE)</f>
        <v>DB1+0</v>
      </c>
      <c r="E172" s="368" t="str">
        <f>+VLOOKUP(C172,Foundation!$C$8:$E$495,3,FALSE)</f>
        <v>DRY</v>
      </c>
      <c r="F172" s="350">
        <v>45626</v>
      </c>
      <c r="G172" s="350">
        <v>45637</v>
      </c>
      <c r="H172" s="370" t="s">
        <v>596</v>
      </c>
      <c r="I172" s="373"/>
      <c r="J172" s="693">
        <f t="shared" si="4"/>
        <v>57.597240999999997</v>
      </c>
      <c r="K172" s="370"/>
      <c r="M172" s="645">
        <f t="shared" si="5"/>
        <v>11</v>
      </c>
    </row>
    <row r="173" spans="1:13" hidden="1" x14ac:dyDescent="0.2">
      <c r="A173" s="372">
        <f>+SUBTOTAL(3,$G$7:$G173)</f>
        <v>0</v>
      </c>
      <c r="B173" s="366">
        <v>45627</v>
      </c>
      <c r="C173" s="379" t="s">
        <v>858</v>
      </c>
      <c r="D173" s="368" t="str">
        <f>+VLOOKUP(C173,Foundation!$C$8:$D$531,2,FALSE)</f>
        <v>DA+0</v>
      </c>
      <c r="E173" s="368" t="str">
        <f>+VLOOKUP(C173,Foundation!$C$8:$E$495,3,FALSE)</f>
        <v>DRY</v>
      </c>
      <c r="F173" s="350">
        <v>45635</v>
      </c>
      <c r="G173" s="350">
        <v>45639</v>
      </c>
      <c r="H173" s="370" t="s">
        <v>890</v>
      </c>
      <c r="I173" s="373"/>
      <c r="J173" s="693">
        <f t="shared" si="4"/>
        <v>37.504372000000004</v>
      </c>
      <c r="K173" s="370"/>
      <c r="M173" s="645">
        <f t="shared" si="5"/>
        <v>4</v>
      </c>
    </row>
    <row r="174" spans="1:13" hidden="1" x14ac:dyDescent="0.2">
      <c r="A174" s="372">
        <f>+SUBTOTAL(3,$G$7:$G174)</f>
        <v>0</v>
      </c>
      <c r="B174" s="366">
        <v>45627</v>
      </c>
      <c r="C174" s="367" t="s">
        <v>486</v>
      </c>
      <c r="D174" s="368" t="str">
        <f>+VLOOKUP(C174,Foundation!$C$8:$D$531,2,FALSE)</f>
        <v>DA+6</v>
      </c>
      <c r="E174" s="368" t="str">
        <f>+VLOOKUP(C174,Foundation!$C$8:$E$495,3,FALSE)</f>
        <v>DRY</v>
      </c>
      <c r="F174" s="350">
        <v>45635</v>
      </c>
      <c r="G174" s="350">
        <v>45642</v>
      </c>
      <c r="H174" s="370" t="s">
        <v>595</v>
      </c>
      <c r="I174" s="373"/>
      <c r="J174" s="693">
        <f t="shared" si="4"/>
        <v>45.413028000000004</v>
      </c>
      <c r="K174" s="370"/>
      <c r="M174" s="645">
        <f t="shared" si="5"/>
        <v>7</v>
      </c>
    </row>
    <row r="175" spans="1:13" hidden="1" x14ac:dyDescent="0.2">
      <c r="A175" s="372">
        <f>+SUBTOTAL(3,$G$7:$G175)</f>
        <v>0</v>
      </c>
      <c r="B175" s="366">
        <v>45627</v>
      </c>
      <c r="C175" s="367" t="s">
        <v>35</v>
      </c>
      <c r="D175" s="368" t="str">
        <f>+VLOOKUP(C175,Foundation!$C$8:$D$531,2,FALSE)</f>
        <v>DC2+0</v>
      </c>
      <c r="E175" s="368" t="str">
        <f>+VLOOKUP(C175,Foundation!$C$8:$E$495,3,FALSE)</f>
        <v>DRY</v>
      </c>
      <c r="F175" s="350">
        <v>45629</v>
      </c>
      <c r="G175" s="350">
        <v>45642</v>
      </c>
      <c r="H175" s="370" t="s">
        <v>893</v>
      </c>
      <c r="I175" s="373"/>
      <c r="J175" s="693">
        <f t="shared" si="4"/>
        <v>66.381106999999986</v>
      </c>
      <c r="K175" s="370"/>
      <c r="M175" s="645">
        <f t="shared" si="5"/>
        <v>13</v>
      </c>
    </row>
    <row r="176" spans="1:13" hidden="1" x14ac:dyDescent="0.2">
      <c r="A176" s="372">
        <f>+SUBTOTAL(3,$G$7:$G176)</f>
        <v>0</v>
      </c>
      <c r="B176" s="366">
        <v>45627</v>
      </c>
      <c r="C176" s="367" t="s">
        <v>220</v>
      </c>
      <c r="D176" s="368" t="str">
        <f>+VLOOKUP(C176,Foundation!$C$8:$D$531,2,FALSE)</f>
        <v>DA+0</v>
      </c>
      <c r="E176" s="368" t="str">
        <f>+VLOOKUP(C176,Foundation!$C$8:$E$495,3,FALSE)</f>
        <v>DRY</v>
      </c>
      <c r="F176" s="350">
        <v>45646</v>
      </c>
      <c r="G176" s="350">
        <v>45653</v>
      </c>
      <c r="H176" s="370" t="s">
        <v>894</v>
      </c>
      <c r="I176" s="373"/>
      <c r="J176" s="693">
        <f t="shared" si="4"/>
        <v>37.504372000000004</v>
      </c>
      <c r="K176" s="370"/>
      <c r="M176" s="645">
        <f t="shared" si="5"/>
        <v>7</v>
      </c>
    </row>
    <row r="177" spans="1:13" hidden="1" x14ac:dyDescent="0.2">
      <c r="A177" s="372">
        <f>+SUBTOTAL(3,$G$7:$G177)</f>
        <v>0</v>
      </c>
      <c r="B177" s="366">
        <v>45658</v>
      </c>
      <c r="C177" s="367" t="s">
        <v>485</v>
      </c>
      <c r="D177" s="368" t="str">
        <f>+VLOOKUP(C177,Foundation!$C$8:$D$531,2,FALSE)</f>
        <v>DA+3</v>
      </c>
      <c r="E177" s="368" t="str">
        <f>+VLOOKUP(C177,Foundation!$C$8:$E$495,3,FALSE)</f>
        <v>DRY</v>
      </c>
      <c r="F177" s="350">
        <v>45651</v>
      </c>
      <c r="G177" s="350">
        <v>45661</v>
      </c>
      <c r="H177" s="370" t="s">
        <v>595</v>
      </c>
      <c r="I177" s="373"/>
      <c r="J177" s="693">
        <f t="shared" si="4"/>
        <v>38.847605999999992</v>
      </c>
      <c r="K177" s="370"/>
      <c r="M177" s="645">
        <f t="shared" si="5"/>
        <v>10</v>
      </c>
    </row>
    <row r="178" spans="1:13" hidden="1" x14ac:dyDescent="0.2">
      <c r="A178" s="372">
        <f>+SUBTOTAL(3,$G$7:$G178)</f>
        <v>0</v>
      </c>
      <c r="B178" s="366">
        <v>45658</v>
      </c>
      <c r="C178" s="367" t="s">
        <v>219</v>
      </c>
      <c r="D178" s="368" t="str">
        <f>+VLOOKUP(C178,Foundation!$C$8:$D$531,2,FALSE)</f>
        <v>DA+0</v>
      </c>
      <c r="E178" s="368" t="str">
        <f>+VLOOKUP(C178,Foundation!$C$8:$E$495,3,FALSE)</f>
        <v>DRY</v>
      </c>
      <c r="F178" s="350">
        <v>45654</v>
      </c>
      <c r="G178" s="350">
        <v>45661</v>
      </c>
      <c r="H178" s="370" t="s">
        <v>894</v>
      </c>
      <c r="I178" s="373"/>
      <c r="J178" s="693">
        <f t="shared" si="4"/>
        <v>37.504372000000004</v>
      </c>
      <c r="K178" s="370"/>
      <c r="M178" s="645">
        <f t="shared" si="5"/>
        <v>7</v>
      </c>
    </row>
    <row r="179" spans="1:13" hidden="1" x14ac:dyDescent="0.2">
      <c r="A179" s="372">
        <f>+SUBTOTAL(3,$G$7:$G179)</f>
        <v>0</v>
      </c>
      <c r="B179" s="366">
        <v>45658</v>
      </c>
      <c r="C179" s="367" t="s">
        <v>565</v>
      </c>
      <c r="D179" s="368" t="str">
        <f>+VLOOKUP(C179,Foundation!$C$8:$D$531,2,FALSE)</f>
        <v>DB1+0</v>
      </c>
      <c r="E179" s="368" t="str">
        <f>+VLOOKUP(C179,Foundation!$C$8:$E$495,3,FALSE)</f>
        <v>Sandy</v>
      </c>
      <c r="F179" s="350">
        <v>45651</v>
      </c>
      <c r="G179" s="350">
        <v>45664</v>
      </c>
      <c r="H179" s="370" t="s">
        <v>589</v>
      </c>
      <c r="I179" s="373"/>
      <c r="J179" s="693">
        <f t="shared" si="4"/>
        <v>57.597240999999997</v>
      </c>
      <c r="K179" s="370"/>
      <c r="M179" s="645">
        <f t="shared" si="5"/>
        <v>13</v>
      </c>
    </row>
    <row r="180" spans="1:13" hidden="1" x14ac:dyDescent="0.2">
      <c r="A180" s="372">
        <f>+SUBTOTAL(3,$G$7:$G180)</f>
        <v>0</v>
      </c>
      <c r="B180" s="366">
        <v>45658</v>
      </c>
      <c r="C180" s="367" t="s">
        <v>855</v>
      </c>
      <c r="D180" s="368" t="str">
        <f>+VLOOKUP(C180,Foundation!$C$8:$D$531,2,FALSE)</f>
        <v>DB2+0</v>
      </c>
      <c r="E180" s="368" t="str">
        <f>+VLOOKUP(C180,Foundation!$C$8:$E$495,3,FALSE)</f>
        <v>DRY</v>
      </c>
      <c r="F180" s="350">
        <v>45660</v>
      </c>
      <c r="G180" s="350">
        <v>45666</v>
      </c>
      <c r="H180" s="370" t="s">
        <v>890</v>
      </c>
      <c r="I180" s="373"/>
      <c r="J180" s="693">
        <f t="shared" si="4"/>
        <v>57.597240999999997</v>
      </c>
      <c r="K180" s="370"/>
      <c r="M180" s="645">
        <f t="shared" si="5"/>
        <v>6</v>
      </c>
    </row>
    <row r="181" spans="1:13" hidden="1" x14ac:dyDescent="0.2">
      <c r="A181" s="372">
        <f>+SUBTOTAL(3,$G$7:$G181)</f>
        <v>0</v>
      </c>
      <c r="B181" s="366">
        <v>45658</v>
      </c>
      <c r="C181" s="367" t="s">
        <v>731</v>
      </c>
      <c r="D181" s="368" t="str">
        <f>+VLOOKUP(C181,Foundation!$C$8:$D$531,2,FALSE)</f>
        <v>DA+3</v>
      </c>
      <c r="E181" s="368" t="str">
        <f>+VLOOKUP(C181,Foundation!$C$8:$E$495,3,FALSE)</f>
        <v>Sandy</v>
      </c>
      <c r="F181" s="350">
        <v>45661</v>
      </c>
      <c r="G181" s="350">
        <v>45666</v>
      </c>
      <c r="H181" s="370" t="s">
        <v>895</v>
      </c>
      <c r="I181" s="373"/>
      <c r="J181" s="693">
        <f t="shared" si="4"/>
        <v>38.847605999999992</v>
      </c>
      <c r="K181" s="370"/>
      <c r="M181" s="645">
        <f t="shared" si="5"/>
        <v>5</v>
      </c>
    </row>
    <row r="182" spans="1:13" hidden="1" x14ac:dyDescent="0.2">
      <c r="A182" s="372">
        <f>+SUBTOTAL(3,$G$7:$G182)</f>
        <v>0</v>
      </c>
      <c r="B182" s="366">
        <v>45658</v>
      </c>
      <c r="C182" s="379" t="s">
        <v>865</v>
      </c>
      <c r="D182" s="368" t="str">
        <f>+VLOOKUP(C182,Foundation!$C$8:$D$531,2,FALSE)</f>
        <v>DB2+0</v>
      </c>
      <c r="E182" s="368" t="str">
        <f>+VLOOKUP(C182,Foundation!$C$8:$E$495,3,FALSE)</f>
        <v>Sandy</v>
      </c>
      <c r="F182" s="350">
        <v>45662</v>
      </c>
      <c r="G182" s="350">
        <v>45670</v>
      </c>
      <c r="H182" s="370" t="s">
        <v>887</v>
      </c>
      <c r="I182" s="373"/>
      <c r="J182" s="693">
        <f t="shared" si="4"/>
        <v>57.597240999999997</v>
      </c>
      <c r="K182" s="370"/>
      <c r="M182" s="645">
        <f t="shared" si="5"/>
        <v>8</v>
      </c>
    </row>
    <row r="183" spans="1:13" hidden="1" x14ac:dyDescent="0.2">
      <c r="A183" s="372">
        <f>+SUBTOTAL(3,$G$7:$G183)</f>
        <v>0</v>
      </c>
      <c r="B183" s="366">
        <v>45658</v>
      </c>
      <c r="C183" s="379" t="s">
        <v>859</v>
      </c>
      <c r="D183" s="368" t="str">
        <f>+VLOOKUP(C183,Foundation!$C$8:$D$531,2,FALSE)</f>
        <v>DA+0</v>
      </c>
      <c r="E183" s="368" t="str">
        <f>+VLOOKUP(C183,Foundation!$C$8:$E$495,3,FALSE)</f>
        <v>DRY</v>
      </c>
      <c r="F183" s="350">
        <v>45667</v>
      </c>
      <c r="G183" s="350">
        <v>45671</v>
      </c>
      <c r="H183" s="370" t="s">
        <v>890</v>
      </c>
      <c r="I183" s="373"/>
      <c r="J183" s="693">
        <f t="shared" si="4"/>
        <v>37.504372000000004</v>
      </c>
      <c r="K183" s="370"/>
      <c r="M183" s="645">
        <f t="shared" si="5"/>
        <v>4</v>
      </c>
    </row>
    <row r="184" spans="1:13" hidden="1" x14ac:dyDescent="0.2">
      <c r="A184" s="372">
        <f>+SUBTOTAL(3,$G$7:$G184)</f>
        <v>0</v>
      </c>
      <c r="B184" s="366">
        <v>45658</v>
      </c>
      <c r="C184" s="379" t="s">
        <v>566</v>
      </c>
      <c r="D184" s="368" t="str">
        <f>+VLOOKUP(C184,Foundation!$C$8:$D$531,2,FALSE)</f>
        <v>DA+3</v>
      </c>
      <c r="E184" s="368" t="str">
        <f>+VLOOKUP(C184,Foundation!$C$8:$E$495,3,FALSE)</f>
        <v>Sandy</v>
      </c>
      <c r="F184" s="350">
        <v>45665</v>
      </c>
      <c r="G184" s="350">
        <v>45674</v>
      </c>
      <c r="H184" s="370" t="s">
        <v>589</v>
      </c>
      <c r="I184" s="373"/>
      <c r="J184" s="693">
        <f t="shared" si="4"/>
        <v>38.847605999999992</v>
      </c>
      <c r="K184" s="370"/>
      <c r="M184" s="645">
        <f t="shared" si="5"/>
        <v>9</v>
      </c>
    </row>
    <row r="185" spans="1:13" hidden="1" x14ac:dyDescent="0.2">
      <c r="A185" s="372">
        <f>+SUBTOTAL(3,$G$7:$G185)</f>
        <v>0</v>
      </c>
      <c r="B185" s="366">
        <v>45658</v>
      </c>
      <c r="C185" s="379" t="s">
        <v>571</v>
      </c>
      <c r="D185" s="368" t="str">
        <f>+VLOOKUP(C185,Foundation!$C$8:$D$531,2,FALSE)</f>
        <v>DA+3</v>
      </c>
      <c r="E185" s="368" t="str">
        <f>+VLOOKUP(C185,Foundation!$C$8:$E$495,3,FALSE)</f>
        <v>Sandy</v>
      </c>
      <c r="F185" s="350">
        <v>45668</v>
      </c>
      <c r="G185" s="350">
        <v>45675</v>
      </c>
      <c r="H185" s="370" t="s">
        <v>599</v>
      </c>
      <c r="I185" s="373"/>
      <c r="J185" s="693">
        <f t="shared" si="4"/>
        <v>38.847605999999992</v>
      </c>
      <c r="K185" s="370"/>
      <c r="M185" s="645">
        <f t="shared" si="5"/>
        <v>7</v>
      </c>
    </row>
    <row r="186" spans="1:13" hidden="1" x14ac:dyDescent="0.2">
      <c r="A186" s="372">
        <f>+SUBTOTAL(3,$G$7:$G186)</f>
        <v>0</v>
      </c>
      <c r="B186" s="366">
        <v>45658</v>
      </c>
      <c r="C186" s="367" t="s">
        <v>730</v>
      </c>
      <c r="D186" s="368" t="str">
        <f>+VLOOKUP(C186,Foundation!$C$8:$D$531,2,FALSE)</f>
        <v>DA+3</v>
      </c>
      <c r="E186" s="368" t="str">
        <f>+VLOOKUP(C186,Foundation!$C$8:$E$495,3,FALSE)</f>
        <v>Sandy</v>
      </c>
      <c r="F186" s="350">
        <v>45667</v>
      </c>
      <c r="G186" s="350">
        <v>45675</v>
      </c>
      <c r="H186" s="370" t="s">
        <v>895</v>
      </c>
      <c r="I186" s="373"/>
      <c r="J186" s="693">
        <f t="shared" si="4"/>
        <v>38.847605999999992</v>
      </c>
      <c r="K186" s="370"/>
      <c r="M186" s="645">
        <f t="shared" si="5"/>
        <v>8</v>
      </c>
    </row>
    <row r="187" spans="1:13" hidden="1" x14ac:dyDescent="0.2">
      <c r="A187" s="372">
        <f>+SUBTOTAL(3,$G$7:$G187)</f>
        <v>0</v>
      </c>
      <c r="B187" s="366">
        <v>45658</v>
      </c>
      <c r="C187" s="367" t="s">
        <v>860</v>
      </c>
      <c r="D187" s="368" t="str">
        <f>+VLOOKUP(C187,Foundation!$C$8:$D$531,2,FALSE)</f>
        <v>DA+0</v>
      </c>
      <c r="E187" s="368" t="str">
        <f>+VLOOKUP(C187,Foundation!$C$8:$E$495,3,FALSE)</f>
        <v>DRY</v>
      </c>
      <c r="F187" s="350">
        <v>45672</v>
      </c>
      <c r="G187" s="350">
        <v>45676</v>
      </c>
      <c r="H187" s="370" t="s">
        <v>890</v>
      </c>
      <c r="I187" s="373"/>
      <c r="J187" s="693">
        <f t="shared" si="4"/>
        <v>37.504372000000004</v>
      </c>
      <c r="K187" s="370"/>
      <c r="M187" s="645">
        <f t="shared" si="5"/>
        <v>4</v>
      </c>
    </row>
    <row r="188" spans="1:13" hidden="1" x14ac:dyDescent="0.2">
      <c r="A188" s="372">
        <f>+SUBTOTAL(3,$G$7:$G188)</f>
        <v>0</v>
      </c>
      <c r="B188" s="366">
        <v>45658</v>
      </c>
      <c r="C188" s="379" t="s">
        <v>862</v>
      </c>
      <c r="D188" s="368" t="str">
        <f>+VLOOKUP(C188,Foundation!$C$8:$D$531,2,FALSE)</f>
        <v>DA+0</v>
      </c>
      <c r="E188" s="368" t="str">
        <f>+VLOOKUP(C188,Foundation!$C$8:$E$495,3,FALSE)</f>
        <v>DRY</v>
      </c>
      <c r="F188" s="350">
        <v>45671</v>
      </c>
      <c r="G188" s="350">
        <v>45676</v>
      </c>
      <c r="H188" s="370" t="s">
        <v>887</v>
      </c>
      <c r="I188" s="373"/>
      <c r="J188" s="693">
        <f t="shared" si="4"/>
        <v>37.504372000000004</v>
      </c>
      <c r="K188" s="370"/>
      <c r="M188" s="645">
        <f t="shared" si="5"/>
        <v>5</v>
      </c>
    </row>
    <row r="189" spans="1:13" hidden="1" x14ac:dyDescent="0.2">
      <c r="A189" s="372">
        <f>+SUBTOTAL(3,$G$7:$G189)</f>
        <v>0</v>
      </c>
      <c r="B189" s="366">
        <v>45658</v>
      </c>
      <c r="C189" s="379" t="s">
        <v>852</v>
      </c>
      <c r="D189" s="368" t="str">
        <f>+VLOOKUP(C189,Foundation!$C$8:$D$531,2,FALSE)</f>
        <v>DB2+3</v>
      </c>
      <c r="E189" s="368" t="str">
        <f>+VLOOKUP(C189,Foundation!$C$8:$E$495,3,FALSE)</f>
        <v>DRY</v>
      </c>
      <c r="F189" s="350">
        <v>45678</v>
      </c>
      <c r="G189" s="350">
        <v>45684</v>
      </c>
      <c r="H189" s="370" t="s">
        <v>892</v>
      </c>
      <c r="I189" s="373"/>
      <c r="J189" s="693">
        <f t="shared" si="4"/>
        <v>60.096777000000003</v>
      </c>
      <c r="K189" s="370"/>
      <c r="M189" s="645">
        <f t="shared" si="5"/>
        <v>6</v>
      </c>
    </row>
    <row r="190" spans="1:13" hidden="1" x14ac:dyDescent="0.2">
      <c r="A190" s="372">
        <f>+SUBTOTAL(3,$G$7:$G190)</f>
        <v>0</v>
      </c>
      <c r="B190" s="366">
        <v>45658</v>
      </c>
      <c r="C190" s="379" t="s">
        <v>217</v>
      </c>
      <c r="D190" s="368" t="str">
        <f>+VLOOKUP(C190,Foundation!$C$8:$D$531,2,FALSE)</f>
        <v>DA+3</v>
      </c>
      <c r="E190" s="368" t="str">
        <f>+VLOOKUP(C190,Foundation!$C$8:$E$495,3,FALSE)</f>
        <v>Sandy</v>
      </c>
      <c r="F190" s="350">
        <v>45676</v>
      </c>
      <c r="G190" s="350">
        <v>45686</v>
      </c>
      <c r="H190" s="370" t="s">
        <v>599</v>
      </c>
      <c r="I190" s="373"/>
      <c r="J190" s="693">
        <f t="shared" si="4"/>
        <v>38.847605999999992</v>
      </c>
      <c r="K190" s="370"/>
      <c r="M190" s="645">
        <f t="shared" si="5"/>
        <v>10</v>
      </c>
    </row>
    <row r="191" spans="1:13" hidden="1" x14ac:dyDescent="0.2">
      <c r="A191" s="372">
        <f>+SUBTOTAL(3,$G$7:$G191)</f>
        <v>0</v>
      </c>
      <c r="B191" s="366">
        <v>45658</v>
      </c>
      <c r="C191" s="379" t="s">
        <v>101</v>
      </c>
      <c r="D191" s="368" t="str">
        <f>+VLOOKUP(C191,Foundation!$C$8:$D$531,2,FALSE)</f>
        <v>DC2+6</v>
      </c>
      <c r="E191" s="368" t="str">
        <f>+VLOOKUP(C191,Foundation!$C$8:$E$495,3,FALSE)</f>
        <v>DRY</v>
      </c>
      <c r="F191" s="350">
        <v>45668</v>
      </c>
      <c r="G191" s="350">
        <v>45686</v>
      </c>
      <c r="H191" s="370" t="s">
        <v>894</v>
      </c>
      <c r="I191" s="373"/>
      <c r="J191" s="693">
        <f t="shared" si="4"/>
        <v>78.132046999999986</v>
      </c>
      <c r="K191" s="370"/>
      <c r="M191" s="645">
        <f t="shared" si="5"/>
        <v>18</v>
      </c>
    </row>
    <row r="192" spans="1:13" hidden="1" x14ac:dyDescent="0.2">
      <c r="A192" s="372">
        <f>+SUBTOTAL(3,$G$7:$G192)</f>
        <v>0</v>
      </c>
      <c r="B192" s="366">
        <v>45658</v>
      </c>
      <c r="C192" s="379" t="s">
        <v>729</v>
      </c>
      <c r="D192" s="368" t="str">
        <f>+VLOOKUP(C192,Foundation!$C$8:$D$531,2,FALSE)</f>
        <v>DA+6</v>
      </c>
      <c r="E192" s="368" t="str">
        <f>+VLOOKUP(C192,Foundation!$C$8:$E$495,3,FALSE)</f>
        <v>Sandy</v>
      </c>
      <c r="F192" s="350">
        <v>45676</v>
      </c>
      <c r="G192" s="350">
        <v>45687</v>
      </c>
      <c r="H192" s="370" t="s">
        <v>895</v>
      </c>
      <c r="I192" s="373"/>
      <c r="J192" s="693">
        <f t="shared" si="4"/>
        <v>45.413028000000004</v>
      </c>
      <c r="K192" s="370"/>
      <c r="M192" s="645">
        <f t="shared" si="5"/>
        <v>11</v>
      </c>
    </row>
    <row r="193" spans="1:13" hidden="1" x14ac:dyDescent="0.2">
      <c r="A193" s="372">
        <f>+SUBTOTAL(3,$G$7:$G193)</f>
        <v>0</v>
      </c>
      <c r="B193" s="366">
        <v>45689</v>
      </c>
      <c r="C193" s="379" t="s">
        <v>853</v>
      </c>
      <c r="D193" s="368" t="str">
        <f>+VLOOKUP(C193,Foundation!$C$8:$D$531,2,FALSE)</f>
        <v>DA+3</v>
      </c>
      <c r="E193" s="368" t="str">
        <f>+VLOOKUP(C193,Foundation!$C$8:$E$495,3,FALSE)</f>
        <v>DRY</v>
      </c>
      <c r="F193" s="350">
        <v>45685</v>
      </c>
      <c r="G193" s="350">
        <v>45690</v>
      </c>
      <c r="H193" s="370" t="s">
        <v>892</v>
      </c>
      <c r="I193" s="373"/>
      <c r="J193" s="693">
        <f t="shared" si="4"/>
        <v>38.847605999999992</v>
      </c>
      <c r="K193" s="370"/>
      <c r="M193" s="645">
        <f t="shared" si="5"/>
        <v>5</v>
      </c>
    </row>
    <row r="194" spans="1:13" hidden="1" x14ac:dyDescent="0.2">
      <c r="A194" s="372">
        <f>+SUBTOTAL(3,$G$7:$G194)</f>
        <v>0</v>
      </c>
      <c r="B194" s="366">
        <v>45689</v>
      </c>
      <c r="C194" s="379" t="s">
        <v>828</v>
      </c>
      <c r="D194" s="368" t="str">
        <f>+VLOOKUP(C194,Foundation!$C$8:$D$531,2,FALSE)</f>
        <v>DA+0</v>
      </c>
      <c r="E194" s="368" t="str">
        <f>+VLOOKUP(C194,Foundation!$C$8:$E$495,3,FALSE)</f>
        <v>DRY</v>
      </c>
      <c r="F194" s="350">
        <v>45686</v>
      </c>
      <c r="G194" s="350">
        <v>45694</v>
      </c>
      <c r="H194" s="370" t="s">
        <v>894</v>
      </c>
      <c r="I194" s="373"/>
      <c r="J194" s="693">
        <f t="shared" si="4"/>
        <v>37.504372000000004</v>
      </c>
      <c r="K194" s="370"/>
      <c r="M194" s="645">
        <f t="shared" si="5"/>
        <v>8</v>
      </c>
    </row>
    <row r="195" spans="1:13" hidden="1" x14ac:dyDescent="0.2">
      <c r="A195" s="372">
        <f>+SUBTOTAL(3,$G$7:$G195)</f>
        <v>0</v>
      </c>
      <c r="B195" s="366">
        <v>45689</v>
      </c>
      <c r="C195" s="379" t="s">
        <v>854</v>
      </c>
      <c r="D195" s="368" t="str">
        <f>+VLOOKUP(C195,Foundation!$C$8:$D$531,2,FALSE)</f>
        <v>DA+0</v>
      </c>
      <c r="E195" s="368" t="str">
        <f>+VLOOKUP(C195,Foundation!$C$8:$E$495,3,FALSE)</f>
        <v>DRY</v>
      </c>
      <c r="F195" s="350">
        <v>45690</v>
      </c>
      <c r="G195" s="350">
        <v>45694</v>
      </c>
      <c r="H195" s="370" t="s">
        <v>892</v>
      </c>
      <c r="I195" s="373"/>
      <c r="J195" s="693">
        <f t="shared" si="4"/>
        <v>37.504372000000004</v>
      </c>
      <c r="K195" s="370"/>
      <c r="M195" s="645">
        <f t="shared" si="5"/>
        <v>4</v>
      </c>
    </row>
    <row r="196" spans="1:13" hidden="1" x14ac:dyDescent="0.2">
      <c r="A196" s="372">
        <f>+SUBTOTAL(3,$G$7:$G196)</f>
        <v>0</v>
      </c>
      <c r="B196" s="366">
        <v>45689</v>
      </c>
      <c r="C196" s="379" t="s">
        <v>709</v>
      </c>
      <c r="D196" s="368" t="str">
        <f>+VLOOKUP(C196,Foundation!$C$8:$D$531,2,FALSE)</f>
        <v>DC2+0</v>
      </c>
      <c r="E196" s="368" t="str">
        <f>+VLOOKUP(C196,Foundation!$C$8:$E$495,3,FALSE)</f>
        <v>Sandy</v>
      </c>
      <c r="F196" s="350">
        <v>45688</v>
      </c>
      <c r="G196" s="350">
        <v>45695</v>
      </c>
      <c r="H196" s="370" t="s">
        <v>897</v>
      </c>
      <c r="I196" s="373"/>
      <c r="J196" s="693">
        <f t="shared" si="4"/>
        <v>66.381106999999986</v>
      </c>
      <c r="K196" s="370"/>
      <c r="M196" s="645">
        <f t="shared" si="5"/>
        <v>7</v>
      </c>
    </row>
    <row r="197" spans="1:13" hidden="1" x14ac:dyDescent="0.2">
      <c r="A197" s="372">
        <f>+SUBTOTAL(3,$G$7:$G197)</f>
        <v>0</v>
      </c>
      <c r="B197" s="366">
        <v>45689</v>
      </c>
      <c r="C197" s="379" t="s">
        <v>627</v>
      </c>
      <c r="D197" s="368" t="str">
        <f>+VLOOKUP(C197,Foundation!$C$8:$D$531,2,FALSE)</f>
        <v>DA+6</v>
      </c>
      <c r="E197" s="368" t="str">
        <f>+VLOOKUP(C197,Foundation!$C$8:$E$495,3,FALSE)</f>
        <v>DFR</v>
      </c>
      <c r="F197" s="350">
        <v>45688</v>
      </c>
      <c r="G197" s="350">
        <v>45698</v>
      </c>
      <c r="H197" s="370" t="s">
        <v>599</v>
      </c>
      <c r="I197" s="373"/>
      <c r="J197" s="693">
        <f t="shared" si="4"/>
        <v>45.413028000000004</v>
      </c>
      <c r="K197" s="370"/>
      <c r="M197" s="645">
        <f t="shared" si="5"/>
        <v>10</v>
      </c>
    </row>
    <row r="198" spans="1:13" hidden="1" x14ac:dyDescent="0.2">
      <c r="A198" s="372">
        <f>+SUBTOTAL(3,$G$7:$G198)</f>
        <v>0</v>
      </c>
      <c r="B198" s="366">
        <v>45689</v>
      </c>
      <c r="C198" s="379" t="s">
        <v>851</v>
      </c>
      <c r="D198" s="368" t="str">
        <f>+VLOOKUP(C198,Foundation!$C$8:$D$531,2,FALSE)</f>
        <v>DA+3</v>
      </c>
      <c r="E198" s="368" t="str">
        <f>+VLOOKUP(C198,Foundation!$C$8:$E$495,3,FALSE)</f>
        <v>DRY</v>
      </c>
      <c r="F198" s="350">
        <v>45695</v>
      </c>
      <c r="G198" s="350">
        <v>45698</v>
      </c>
      <c r="H198" s="370" t="s">
        <v>892</v>
      </c>
      <c r="I198" s="373"/>
      <c r="J198" s="693">
        <f t="shared" si="4"/>
        <v>38.847605999999992</v>
      </c>
      <c r="K198" s="370"/>
      <c r="M198" s="645">
        <f t="shared" si="5"/>
        <v>3</v>
      </c>
    </row>
    <row r="199" spans="1:13" hidden="1" x14ac:dyDescent="0.2">
      <c r="A199" s="372">
        <f>+SUBTOTAL(3,$G$7:$G199)</f>
        <v>0</v>
      </c>
      <c r="B199" s="366">
        <v>45689</v>
      </c>
      <c r="C199" s="379" t="s">
        <v>712</v>
      </c>
      <c r="D199" s="368" t="str">
        <f>+VLOOKUP(C199,Foundation!$C$8:$D$531,2,FALSE)</f>
        <v>DC2+0</v>
      </c>
      <c r="E199" s="368" t="str">
        <f>+VLOOKUP(C199,Foundation!$C$8:$E$495,3,FALSE)</f>
        <v>Sandy</v>
      </c>
      <c r="F199" s="350">
        <v>45696</v>
      </c>
      <c r="G199" s="350">
        <v>45702</v>
      </c>
      <c r="H199" s="370" t="s">
        <v>897</v>
      </c>
      <c r="I199" s="373"/>
      <c r="J199" s="693">
        <f t="shared" si="4"/>
        <v>66.381106999999986</v>
      </c>
      <c r="K199" s="370"/>
      <c r="M199" s="645">
        <f t="shared" si="5"/>
        <v>6</v>
      </c>
    </row>
    <row r="200" spans="1:13" hidden="1" x14ac:dyDescent="0.2">
      <c r="A200" s="372">
        <f>+SUBTOTAL(3,$G$7:$G200)</f>
        <v>0</v>
      </c>
      <c r="B200" s="366">
        <v>45689</v>
      </c>
      <c r="C200" s="379" t="s">
        <v>91</v>
      </c>
      <c r="D200" s="368" t="str">
        <f>+VLOOKUP(C200,Foundation!$C$8:$D$531,2,FALSE)</f>
        <v>DD45+0</v>
      </c>
      <c r="E200" s="368" t="str">
        <f>+VLOOKUP(C200,Foundation!$C$8:$E$495,3,FALSE)</f>
        <v>Sandy</v>
      </c>
      <c r="F200" s="350">
        <v>45693</v>
      </c>
      <c r="G200" s="350">
        <v>45702</v>
      </c>
      <c r="H200" s="370" t="s">
        <v>886</v>
      </c>
      <c r="I200" s="373"/>
      <c r="J200" s="693">
        <f t="shared" ref="J200:J234" si="6">+VLOOKUP(D200,$AB$7:$AC$35,2,FALSE)</f>
        <v>86.129278999999997</v>
      </c>
      <c r="K200" s="370"/>
      <c r="M200" s="645">
        <f t="shared" ref="M200:M263" si="7">G200-F200</f>
        <v>9</v>
      </c>
    </row>
    <row r="201" spans="1:13" hidden="1" x14ac:dyDescent="0.2">
      <c r="A201" s="372">
        <f>+SUBTOTAL(3,$G$7:$G201)</f>
        <v>0</v>
      </c>
      <c r="B201" s="366">
        <v>45689</v>
      </c>
      <c r="C201" s="379" t="s">
        <v>850</v>
      </c>
      <c r="D201" s="368" t="str">
        <f>+VLOOKUP(C201,Foundation!$C$8:$D$531,2,FALSE)</f>
        <v>DA+3</v>
      </c>
      <c r="E201" s="368" t="str">
        <f>+VLOOKUP(C201,Foundation!$C$8:$E$495,3,FALSE)</f>
        <v>DRY</v>
      </c>
      <c r="F201" s="350">
        <v>45699</v>
      </c>
      <c r="G201" s="350">
        <v>45703</v>
      </c>
      <c r="H201" s="370" t="s">
        <v>892</v>
      </c>
      <c r="I201" s="373"/>
      <c r="J201" s="693">
        <f t="shared" si="6"/>
        <v>38.847605999999992</v>
      </c>
      <c r="K201" s="370"/>
      <c r="M201" s="645">
        <f t="shared" si="7"/>
        <v>4</v>
      </c>
    </row>
    <row r="202" spans="1:13" hidden="1" x14ac:dyDescent="0.2">
      <c r="A202" s="372">
        <f>+SUBTOTAL(3,$G$7:$G202)</f>
        <v>0</v>
      </c>
      <c r="B202" s="366">
        <v>45689</v>
      </c>
      <c r="C202" s="379" t="s">
        <v>628</v>
      </c>
      <c r="D202" s="368" t="str">
        <f>+VLOOKUP(C202,Foundation!$C$8:$D$531,2,FALSE)</f>
        <v>DA+0</v>
      </c>
      <c r="E202" s="368" t="str">
        <f>+VLOOKUP(C202,Foundation!$C$8:$E$495,3,FALSE)</f>
        <v>DRY</v>
      </c>
      <c r="F202" s="350">
        <v>45699</v>
      </c>
      <c r="G202" s="350">
        <v>45706</v>
      </c>
      <c r="H202" s="370" t="s">
        <v>599</v>
      </c>
      <c r="I202" s="373"/>
      <c r="J202" s="693">
        <f t="shared" si="6"/>
        <v>37.504372000000004</v>
      </c>
      <c r="K202" s="370"/>
      <c r="M202" s="645">
        <f t="shared" si="7"/>
        <v>7</v>
      </c>
    </row>
    <row r="203" spans="1:13" hidden="1" x14ac:dyDescent="0.2">
      <c r="A203" s="372">
        <f>+SUBTOTAL(3,$G$7:$G203)</f>
        <v>0</v>
      </c>
      <c r="B203" s="366">
        <v>45689</v>
      </c>
      <c r="C203" s="379" t="s">
        <v>849</v>
      </c>
      <c r="D203" s="368" t="str">
        <f>+VLOOKUP(C203,Foundation!$C$8:$D$531,2,FALSE)</f>
        <v>DA+0</v>
      </c>
      <c r="E203" s="368" t="str">
        <f>+VLOOKUP(C203,Foundation!$C$8:$E$495,3,FALSE)</f>
        <v>DRY</v>
      </c>
      <c r="F203" s="350">
        <v>45704</v>
      </c>
      <c r="G203" s="350">
        <v>45707</v>
      </c>
      <c r="H203" s="370" t="s">
        <v>892</v>
      </c>
      <c r="I203" s="373"/>
      <c r="J203" s="693">
        <f t="shared" si="6"/>
        <v>37.504372000000004</v>
      </c>
      <c r="K203" s="370"/>
      <c r="M203" s="645">
        <f t="shared" si="7"/>
        <v>3</v>
      </c>
    </row>
    <row r="204" spans="1:13" hidden="1" x14ac:dyDescent="0.2">
      <c r="A204" s="372">
        <f>+SUBTOTAL(3,$G$7:$G204)</f>
        <v>0</v>
      </c>
      <c r="B204" s="366">
        <v>45689</v>
      </c>
      <c r="C204" s="379" t="s">
        <v>703</v>
      </c>
      <c r="D204" s="368" t="str">
        <f>+VLOOKUP(C204,Foundation!$C$8:$D$531,2,FALSE)</f>
        <v>DA+9</v>
      </c>
      <c r="E204" s="368" t="str">
        <f>+VLOOKUP(C204,Foundation!$C$8:$E$495,3,FALSE)</f>
        <v>Sandy</v>
      </c>
      <c r="F204" s="350">
        <v>45703</v>
      </c>
      <c r="G204" s="350">
        <v>45708</v>
      </c>
      <c r="H204" s="370" t="s">
        <v>886</v>
      </c>
      <c r="I204" s="373"/>
      <c r="J204" s="693">
        <f t="shared" si="6"/>
        <v>47.184350000000002</v>
      </c>
      <c r="K204" s="370"/>
      <c r="M204" s="645">
        <f t="shared" si="7"/>
        <v>5</v>
      </c>
    </row>
    <row r="205" spans="1:13" hidden="1" x14ac:dyDescent="0.2">
      <c r="A205" s="372">
        <f>+SUBTOTAL(3,$G$7:$G205)</f>
        <v>0</v>
      </c>
      <c r="B205" s="366">
        <v>45689</v>
      </c>
      <c r="C205" s="379" t="s">
        <v>848</v>
      </c>
      <c r="D205" s="368" t="str">
        <f>+VLOOKUP(C205,Foundation!$C$8:$D$531,2,FALSE)</f>
        <v>DA+3</v>
      </c>
      <c r="E205" s="368" t="str">
        <f>+VLOOKUP(C205,Foundation!$C$8:$E$495,3,FALSE)</f>
        <v>DRY</v>
      </c>
      <c r="F205" s="350">
        <v>45708</v>
      </c>
      <c r="G205" s="350">
        <v>45712</v>
      </c>
      <c r="H205" s="370" t="s">
        <v>892</v>
      </c>
      <c r="I205" s="373"/>
      <c r="J205" s="693">
        <f t="shared" si="6"/>
        <v>38.847605999999992</v>
      </c>
      <c r="K205" s="370"/>
      <c r="M205" s="645">
        <f t="shared" si="7"/>
        <v>4</v>
      </c>
    </row>
    <row r="206" spans="1:13" hidden="1" x14ac:dyDescent="0.2">
      <c r="A206" s="372">
        <f>+SUBTOTAL(3,$G$7:$G206)</f>
        <v>0</v>
      </c>
      <c r="B206" s="366">
        <v>45689</v>
      </c>
      <c r="C206" s="379" t="s">
        <v>629</v>
      </c>
      <c r="D206" s="368" t="str">
        <f>+VLOOKUP(C206,Foundation!$C$8:$D$531,2,FALSE)</f>
        <v>DA+0</v>
      </c>
      <c r="E206" s="368" t="str">
        <f>+VLOOKUP(C206,Foundation!$C$8:$E$495,3,FALSE)</f>
        <v>DRY</v>
      </c>
      <c r="F206" s="350">
        <v>45707</v>
      </c>
      <c r="G206" s="350">
        <v>45716</v>
      </c>
      <c r="H206" s="370" t="s">
        <v>599</v>
      </c>
      <c r="I206" s="373"/>
      <c r="J206" s="693">
        <f t="shared" si="6"/>
        <v>37.504372000000004</v>
      </c>
      <c r="K206" s="370"/>
      <c r="M206" s="645">
        <f t="shared" si="7"/>
        <v>9</v>
      </c>
    </row>
    <row r="207" spans="1:13" hidden="1" x14ac:dyDescent="0.2">
      <c r="A207" s="372">
        <f>+SUBTOTAL(3,$G$7:$G207)</f>
        <v>0</v>
      </c>
      <c r="B207" s="366">
        <v>45717</v>
      </c>
      <c r="C207" s="379" t="s">
        <v>847</v>
      </c>
      <c r="D207" s="368" t="str">
        <f>+VLOOKUP(C207,Foundation!$C$8:$D$531,2,FALSE)</f>
        <v>DA+3</v>
      </c>
      <c r="E207" s="368" t="str">
        <f>+VLOOKUP(C207,Foundation!$C$8:$E$495,3,FALSE)</f>
        <v>DRY</v>
      </c>
      <c r="F207" s="350">
        <v>45713</v>
      </c>
      <c r="G207" s="350">
        <v>45717</v>
      </c>
      <c r="H207" s="370" t="s">
        <v>892</v>
      </c>
      <c r="I207" s="373"/>
      <c r="J207" s="693">
        <f t="shared" si="6"/>
        <v>38.847605999999992</v>
      </c>
      <c r="K207" s="370"/>
      <c r="M207" s="645">
        <f t="shared" si="7"/>
        <v>4</v>
      </c>
    </row>
    <row r="208" spans="1:13" hidden="1" x14ac:dyDescent="0.2">
      <c r="A208" s="372">
        <f>+SUBTOTAL(3,$G$7:$G208)</f>
        <v>0</v>
      </c>
      <c r="B208" s="366">
        <v>45717</v>
      </c>
      <c r="C208" s="379" t="s">
        <v>728</v>
      </c>
      <c r="D208" s="368" t="str">
        <f>+VLOOKUP(C208,Foundation!$C$8:$D$531,2,FALSE)</f>
        <v>DA+3</v>
      </c>
      <c r="E208" s="368" t="str">
        <f>+VLOOKUP(C208,Foundation!$C$8:$E$495,3,FALSE)</f>
        <v>Sandy</v>
      </c>
      <c r="F208" s="350">
        <v>45717</v>
      </c>
      <c r="G208" s="350">
        <v>45723</v>
      </c>
      <c r="H208" s="370" t="s">
        <v>895</v>
      </c>
      <c r="I208" s="373"/>
      <c r="J208" s="693">
        <f t="shared" si="6"/>
        <v>38.847605999999992</v>
      </c>
      <c r="K208" s="370"/>
      <c r="M208" s="645">
        <f t="shared" si="7"/>
        <v>6</v>
      </c>
    </row>
    <row r="209" spans="1:13" hidden="1" x14ac:dyDescent="0.2">
      <c r="A209" s="372">
        <f>+SUBTOTAL(3,$G$7:$G209)</f>
        <v>0</v>
      </c>
      <c r="B209" s="366">
        <v>45717</v>
      </c>
      <c r="C209" s="367" t="s">
        <v>846</v>
      </c>
      <c r="D209" s="368" t="str">
        <f>+VLOOKUP(C209,Foundation!$C$8:$D$531,2,FALSE)</f>
        <v>DA+6</v>
      </c>
      <c r="E209" s="368" t="str">
        <f>+VLOOKUP(C209,Foundation!$C$8:$E$495,3,FALSE)</f>
        <v>DRY</v>
      </c>
      <c r="F209" s="350">
        <v>45718</v>
      </c>
      <c r="G209" s="350">
        <v>45723</v>
      </c>
      <c r="H209" s="370" t="s">
        <v>892</v>
      </c>
      <c r="I209" s="373"/>
      <c r="J209" s="693">
        <f t="shared" si="6"/>
        <v>45.413028000000004</v>
      </c>
      <c r="K209" s="370"/>
      <c r="M209" s="645">
        <f t="shared" si="7"/>
        <v>5</v>
      </c>
    </row>
    <row r="210" spans="1:13" hidden="1" x14ac:dyDescent="0.2">
      <c r="A210" s="372">
        <f>+SUBTOTAL(3,$G$7:$G210)</f>
        <v>0</v>
      </c>
      <c r="B210" s="366">
        <v>45717</v>
      </c>
      <c r="C210" s="367" t="s">
        <v>95</v>
      </c>
      <c r="D210" s="368" t="str">
        <f>+VLOOKUP(C210,Foundation!$C$8:$D$531,2,FALSE)</f>
        <v>DC1+3</v>
      </c>
      <c r="E210" s="368" t="str">
        <f>+VLOOKUP(C210,Foundation!$C$8:$E$495,3,FALSE)</f>
        <v>DFR</v>
      </c>
      <c r="F210" s="350">
        <v>45714</v>
      </c>
      <c r="G210" s="350">
        <v>45726</v>
      </c>
      <c r="H210" s="370" t="s">
        <v>893</v>
      </c>
      <c r="I210" s="373"/>
      <c r="J210" s="693">
        <f t="shared" si="6"/>
        <v>69.228687000000008</v>
      </c>
      <c r="K210" s="370"/>
      <c r="M210" s="645">
        <f t="shared" si="7"/>
        <v>12</v>
      </c>
    </row>
    <row r="211" spans="1:13" hidden="1" x14ac:dyDescent="0.2">
      <c r="A211" s="372">
        <f>+SUBTOTAL(3,$G$7:$G211)</f>
        <v>0</v>
      </c>
      <c r="B211" s="366">
        <v>45717</v>
      </c>
      <c r="C211" s="367" t="s">
        <v>845</v>
      </c>
      <c r="D211" s="368" t="str">
        <f>+VLOOKUP(C211,Foundation!$C$8:$D$531,2,FALSE)</f>
        <v>DA+3</v>
      </c>
      <c r="E211" s="368" t="str">
        <f>+VLOOKUP(C211,Foundation!$C$8:$E$495,3,FALSE)</f>
        <v>DRY</v>
      </c>
      <c r="F211" s="350">
        <v>45724</v>
      </c>
      <c r="G211" s="350">
        <v>45728</v>
      </c>
      <c r="H211" s="370" t="s">
        <v>892</v>
      </c>
      <c r="I211" s="373"/>
      <c r="J211" s="693">
        <f t="shared" si="6"/>
        <v>38.847605999999992</v>
      </c>
      <c r="K211" s="370"/>
      <c r="M211" s="645">
        <f t="shared" si="7"/>
        <v>4</v>
      </c>
    </row>
    <row r="212" spans="1:13" hidden="1" x14ac:dyDescent="0.2">
      <c r="A212" s="372">
        <f>+SUBTOTAL(3,$G$7:$G212)</f>
        <v>0</v>
      </c>
      <c r="B212" s="366">
        <v>45717</v>
      </c>
      <c r="C212" s="367" t="s">
        <v>835</v>
      </c>
      <c r="D212" s="368" t="str">
        <f>+VLOOKUP(C212,Foundation!$C$8:$D$531,2,FALSE)</f>
        <v>DA+3</v>
      </c>
      <c r="E212" s="368" t="str">
        <f>+VLOOKUP(C212,Foundation!$C$8:$E$495,3,FALSE)</f>
        <v>DRY</v>
      </c>
      <c r="F212" s="350">
        <v>45724</v>
      </c>
      <c r="G212" s="350">
        <v>45732</v>
      </c>
      <c r="H212" s="370" t="s">
        <v>896</v>
      </c>
      <c r="I212" s="373"/>
      <c r="J212" s="693">
        <f t="shared" si="6"/>
        <v>38.847605999999992</v>
      </c>
      <c r="K212" s="370"/>
      <c r="M212" s="645">
        <f t="shared" si="7"/>
        <v>8</v>
      </c>
    </row>
    <row r="213" spans="1:13" hidden="1" x14ac:dyDescent="0.2">
      <c r="A213" s="372">
        <f>+SUBTOTAL(3,$G$7:$G213)</f>
        <v>0</v>
      </c>
      <c r="B213" s="366">
        <v>45717</v>
      </c>
      <c r="C213" s="367" t="s">
        <v>727</v>
      </c>
      <c r="D213" s="368" t="str">
        <f>+VLOOKUP(C213,Foundation!$C$8:$D$531,2,FALSE)</f>
        <v>DA+0</v>
      </c>
      <c r="E213" s="368" t="str">
        <f>+VLOOKUP(C213,Foundation!$C$8:$E$495,3,FALSE)</f>
        <v>Sandy</v>
      </c>
      <c r="F213" s="350">
        <v>45725</v>
      </c>
      <c r="G213" s="350">
        <v>45733</v>
      </c>
      <c r="H213" s="370" t="s">
        <v>895</v>
      </c>
      <c r="I213" s="373"/>
      <c r="J213" s="693">
        <f t="shared" si="6"/>
        <v>37.504372000000004</v>
      </c>
      <c r="K213" s="370"/>
      <c r="M213" s="645">
        <f t="shared" si="7"/>
        <v>8</v>
      </c>
    </row>
    <row r="214" spans="1:13" hidden="1" x14ac:dyDescent="0.2">
      <c r="A214" s="372">
        <f>+SUBTOTAL(3,$G$7:$G214)</f>
        <v>0</v>
      </c>
      <c r="B214" s="366">
        <v>45717</v>
      </c>
      <c r="C214" s="367" t="s">
        <v>844</v>
      </c>
      <c r="D214" s="368" t="str">
        <f>+VLOOKUP(C214,Foundation!$C$8:$D$531,2,FALSE)</f>
        <v>DA+3</v>
      </c>
      <c r="E214" s="368" t="str">
        <f>+VLOOKUP(C214,Foundation!$C$8:$E$495,3,FALSE)</f>
        <v>DRY</v>
      </c>
      <c r="F214" s="350">
        <v>45729</v>
      </c>
      <c r="G214" s="350">
        <v>45734</v>
      </c>
      <c r="H214" s="370" t="s">
        <v>892</v>
      </c>
      <c r="I214" s="373"/>
      <c r="J214" s="693">
        <f t="shared" si="6"/>
        <v>38.847605999999992</v>
      </c>
      <c r="K214" s="370"/>
      <c r="M214" s="645">
        <f t="shared" si="7"/>
        <v>5</v>
      </c>
    </row>
    <row r="215" spans="1:13" hidden="1" x14ac:dyDescent="0.2">
      <c r="A215" s="372">
        <f>+SUBTOTAL(3,$G$7:$G215)</f>
        <v>0</v>
      </c>
      <c r="B215" s="366">
        <v>45717</v>
      </c>
      <c r="C215" s="367" t="s">
        <v>726</v>
      </c>
      <c r="D215" s="368" t="str">
        <f>+VLOOKUP(C215,Foundation!$C$8:$D$531,2,FALSE)</f>
        <v>DA+6</v>
      </c>
      <c r="E215" s="368" t="str">
        <f>+VLOOKUP(C215,Foundation!$C$8:$E$495,3,FALSE)</f>
        <v>Sandy</v>
      </c>
      <c r="F215" s="350">
        <v>45734</v>
      </c>
      <c r="G215" s="350">
        <v>45741</v>
      </c>
      <c r="H215" s="370" t="s">
        <v>895</v>
      </c>
      <c r="I215" s="373"/>
      <c r="J215" s="693">
        <f t="shared" si="6"/>
        <v>45.413028000000004</v>
      </c>
      <c r="K215" s="370"/>
      <c r="M215" s="645">
        <f t="shared" si="7"/>
        <v>7</v>
      </c>
    </row>
    <row r="216" spans="1:13" hidden="1" x14ac:dyDescent="0.2">
      <c r="A216" s="372">
        <f>+SUBTOTAL(3,$G$7:$G216)</f>
        <v>0</v>
      </c>
      <c r="B216" s="366">
        <v>45717</v>
      </c>
      <c r="C216" s="367" t="s">
        <v>106</v>
      </c>
      <c r="D216" s="368" t="str">
        <f>+VLOOKUP(C216,Foundation!$C$8:$D$531,2,FALSE)</f>
        <v>DB2+3</v>
      </c>
      <c r="E216" s="368" t="str">
        <f>+VLOOKUP(C216,Foundation!$C$8:$E$495,3,FALSE)</f>
        <v>DRY</v>
      </c>
      <c r="F216" s="350">
        <v>45735</v>
      </c>
      <c r="G216" s="350">
        <v>45741</v>
      </c>
      <c r="H216" s="370" t="s">
        <v>892</v>
      </c>
      <c r="I216" s="373"/>
      <c r="J216" s="693">
        <f t="shared" si="6"/>
        <v>60.096777000000003</v>
      </c>
      <c r="K216" s="370"/>
      <c r="M216" s="645">
        <f t="shared" si="7"/>
        <v>6</v>
      </c>
    </row>
    <row r="217" spans="1:13" hidden="1" x14ac:dyDescent="0.2">
      <c r="A217" s="372">
        <f>+SUBTOTAL(3,$G$7:$G217)</f>
        <v>0</v>
      </c>
      <c r="B217" s="366">
        <v>45717</v>
      </c>
      <c r="C217" s="367" t="s">
        <v>837</v>
      </c>
      <c r="D217" s="368" t="str">
        <f>+VLOOKUP(C217,Foundation!$C$8:$D$531,2,FALSE)</f>
        <v>DA+3</v>
      </c>
      <c r="E217" s="368" t="str">
        <f>+VLOOKUP(C217,Foundation!$C$8:$E$495,3,FALSE)</f>
        <v>DRY</v>
      </c>
      <c r="F217" s="350">
        <v>45736</v>
      </c>
      <c r="G217" s="350">
        <v>45745</v>
      </c>
      <c r="H217" s="370" t="s">
        <v>896</v>
      </c>
      <c r="I217" s="373"/>
      <c r="J217" s="693">
        <f t="shared" si="6"/>
        <v>38.847605999999992</v>
      </c>
      <c r="K217" s="370"/>
      <c r="M217" s="645">
        <f t="shared" si="7"/>
        <v>9</v>
      </c>
    </row>
    <row r="218" spans="1:13" hidden="1" x14ac:dyDescent="0.2">
      <c r="A218" s="372">
        <f>+SUBTOTAL(3,$G$7:$G218)</f>
        <v>0</v>
      </c>
      <c r="B218" s="366">
        <v>45717</v>
      </c>
      <c r="C218" s="367" t="s">
        <v>725</v>
      </c>
      <c r="D218" s="368" t="str">
        <f>+VLOOKUP(C218,Foundation!$C$8:$D$531,2,FALSE)</f>
        <v>DA+0</v>
      </c>
      <c r="E218" s="368" t="str">
        <f>+VLOOKUP(C218,Foundation!$C$8:$E$495,3,FALSE)</f>
        <v>Sandy</v>
      </c>
      <c r="F218" s="350">
        <v>45742</v>
      </c>
      <c r="G218" s="350">
        <v>45747</v>
      </c>
      <c r="H218" s="370" t="s">
        <v>895</v>
      </c>
      <c r="I218" s="373"/>
      <c r="J218" s="693">
        <f t="shared" si="6"/>
        <v>37.504372000000004</v>
      </c>
      <c r="K218" s="370"/>
      <c r="M218" s="645">
        <f t="shared" si="7"/>
        <v>5</v>
      </c>
    </row>
    <row r="219" spans="1:13" hidden="1" x14ac:dyDescent="0.2">
      <c r="A219" s="372">
        <f>+SUBTOTAL(3,$G$7:$G219)</f>
        <v>0</v>
      </c>
      <c r="B219" s="366">
        <v>45717</v>
      </c>
      <c r="C219" s="367" t="s">
        <v>843</v>
      </c>
      <c r="D219" s="368" t="str">
        <f>+VLOOKUP(C219,Foundation!$C$8:$D$531,2,FALSE)</f>
        <v>DA+3</v>
      </c>
      <c r="E219" s="368" t="str">
        <f>+VLOOKUP(C219,Foundation!$C$8:$E$495,3,FALSE)</f>
        <v>DRY</v>
      </c>
      <c r="F219" s="350">
        <v>45742</v>
      </c>
      <c r="G219" s="350">
        <v>45747</v>
      </c>
      <c r="H219" s="370" t="s">
        <v>892</v>
      </c>
      <c r="I219" s="373"/>
      <c r="J219" s="693">
        <f t="shared" si="6"/>
        <v>38.847605999999992</v>
      </c>
      <c r="K219" s="370"/>
      <c r="M219" s="645">
        <f t="shared" si="7"/>
        <v>5</v>
      </c>
    </row>
    <row r="220" spans="1:13" hidden="1" x14ac:dyDescent="0.2">
      <c r="A220" s="372">
        <f>+SUBTOTAL(3,$G$7:$G220)</f>
        <v>0</v>
      </c>
      <c r="B220" s="366">
        <v>45748</v>
      </c>
      <c r="C220" s="367" t="s">
        <v>688</v>
      </c>
      <c r="D220" s="368" t="str">
        <f>+VLOOKUP(C220,Foundation!$C$8:$D$531,2,FALSE)</f>
        <v>DA+3</v>
      </c>
      <c r="E220" s="368" t="str">
        <f>+VLOOKUP(C220,Foundation!$C$8:$E$495,3,FALSE)</f>
        <v>Sandy</v>
      </c>
      <c r="F220" s="350">
        <v>45747</v>
      </c>
      <c r="G220" s="350">
        <v>45749</v>
      </c>
      <c r="H220" s="370" t="s">
        <v>886</v>
      </c>
      <c r="I220" s="373"/>
      <c r="J220" s="693">
        <f t="shared" si="6"/>
        <v>38.847605999999992</v>
      </c>
      <c r="K220" s="370"/>
      <c r="M220" s="645">
        <f t="shared" si="7"/>
        <v>2</v>
      </c>
    </row>
    <row r="221" spans="1:13" hidden="1" x14ac:dyDescent="0.2">
      <c r="A221" s="372">
        <f>+SUBTOTAL(3,$G$7:$G221)</f>
        <v>0</v>
      </c>
      <c r="B221" s="366">
        <v>45748</v>
      </c>
      <c r="C221" s="380" t="s">
        <v>842</v>
      </c>
      <c r="D221" s="368" t="str">
        <f>+VLOOKUP(C221,Foundation!$C$8:$D$531,2,FALSE)</f>
        <v>DA+3</v>
      </c>
      <c r="E221" s="368" t="str">
        <f>+VLOOKUP(C221,Foundation!$C$8:$E$495,3,FALSE)</f>
        <v>DRY</v>
      </c>
      <c r="F221" s="350">
        <v>45747</v>
      </c>
      <c r="G221" s="350">
        <v>45751</v>
      </c>
      <c r="H221" s="370" t="s">
        <v>892</v>
      </c>
      <c r="I221" s="373"/>
      <c r="J221" s="693">
        <f t="shared" si="6"/>
        <v>38.847605999999992</v>
      </c>
      <c r="K221" s="370"/>
      <c r="M221" s="645">
        <f t="shared" si="7"/>
        <v>4</v>
      </c>
    </row>
    <row r="222" spans="1:13" hidden="1" x14ac:dyDescent="0.2">
      <c r="A222" s="372">
        <f>+SUBTOTAL(3,$G$7:$G222)</f>
        <v>0</v>
      </c>
      <c r="B222" s="366">
        <v>45748</v>
      </c>
      <c r="C222" s="367" t="s">
        <v>687</v>
      </c>
      <c r="D222" s="368" t="str">
        <f>+VLOOKUP(C222,Foundation!$C$8:$D$531,2,FALSE)</f>
        <v>DA+0</v>
      </c>
      <c r="E222" s="368" t="str">
        <f>+VLOOKUP(C222,Foundation!$C$8:$E$495,3,FALSE)</f>
        <v>Sandy</v>
      </c>
      <c r="F222" s="350">
        <v>45750</v>
      </c>
      <c r="G222" s="350">
        <v>45753</v>
      </c>
      <c r="H222" s="370" t="s">
        <v>886</v>
      </c>
      <c r="I222" s="373"/>
      <c r="J222" s="693">
        <f t="shared" si="6"/>
        <v>37.504372000000004</v>
      </c>
      <c r="K222" s="370"/>
      <c r="M222" s="645">
        <f t="shared" si="7"/>
        <v>3</v>
      </c>
    </row>
    <row r="223" spans="1:13" hidden="1" x14ac:dyDescent="0.2">
      <c r="A223" s="372">
        <f>+SUBTOTAL(3,$G$7:$G223)</f>
        <v>0</v>
      </c>
      <c r="B223" s="366">
        <v>45748</v>
      </c>
      <c r="C223" s="367" t="s">
        <v>841</v>
      </c>
      <c r="D223" s="368" t="str">
        <f>+VLOOKUP(C223,Foundation!$C$8:$D$531,2,FALSE)</f>
        <v>DA+3</v>
      </c>
      <c r="E223" s="368" t="str">
        <f>+VLOOKUP(C223,Foundation!$C$8:$E$495,3,FALSE)</f>
        <v>DRY</v>
      </c>
      <c r="F223" s="350">
        <v>45753</v>
      </c>
      <c r="G223" s="350">
        <v>45756</v>
      </c>
      <c r="H223" s="373" t="s">
        <v>892</v>
      </c>
      <c r="I223" s="381"/>
      <c r="J223" s="693">
        <f t="shared" si="6"/>
        <v>38.847605999999992</v>
      </c>
      <c r="K223" s="373"/>
      <c r="M223" s="645">
        <f t="shared" si="7"/>
        <v>3</v>
      </c>
    </row>
    <row r="224" spans="1:13" hidden="1" x14ac:dyDescent="0.2">
      <c r="A224" s="372">
        <f>+SUBTOTAL(3,$G$7:$G224)</f>
        <v>0</v>
      </c>
      <c r="B224" s="366">
        <v>45748</v>
      </c>
      <c r="C224" s="367" t="s">
        <v>724</v>
      </c>
      <c r="D224" s="368" t="str">
        <f>+VLOOKUP(C224,Foundation!$C$8:$D$531,2,FALSE)</f>
        <v>DA+9</v>
      </c>
      <c r="E224" s="368" t="str">
        <f>+VLOOKUP(C224,Foundation!$C$8:$E$495,3,FALSE)</f>
        <v>Sandy</v>
      </c>
      <c r="F224" s="350">
        <v>45749</v>
      </c>
      <c r="G224" s="350">
        <v>45758</v>
      </c>
      <c r="H224" s="370" t="s">
        <v>895</v>
      </c>
      <c r="I224" s="381"/>
      <c r="J224" s="693">
        <f t="shared" si="6"/>
        <v>47.184350000000002</v>
      </c>
      <c r="K224" s="370"/>
      <c r="M224" s="645">
        <f t="shared" si="7"/>
        <v>9</v>
      </c>
    </row>
    <row r="225" spans="1:13" hidden="1" x14ac:dyDescent="0.2">
      <c r="A225" s="372">
        <f>+SUBTOTAL(3,$G$7:$G225)</f>
        <v>0</v>
      </c>
      <c r="B225" s="366">
        <v>45748</v>
      </c>
      <c r="C225" s="367" t="s">
        <v>103</v>
      </c>
      <c r="D225" s="368" t="str">
        <f>+VLOOKUP(C225,Foundation!$C$8:$D$531,2,FALSE)</f>
        <v>DD45+0</v>
      </c>
      <c r="E225" s="368" t="str">
        <f>+VLOOKUP(C225,Foundation!$C$8:$E$495,3,FALSE)</f>
        <v>DRY</v>
      </c>
      <c r="F225" s="350">
        <v>45729</v>
      </c>
      <c r="G225" s="350">
        <v>45761</v>
      </c>
      <c r="H225" s="373" t="s">
        <v>897</v>
      </c>
      <c r="I225" s="381"/>
      <c r="J225" s="693">
        <f t="shared" si="6"/>
        <v>86.129278999999997</v>
      </c>
      <c r="K225" s="373"/>
      <c r="M225" s="645">
        <f t="shared" si="7"/>
        <v>32</v>
      </c>
    </row>
    <row r="226" spans="1:13" hidden="1" x14ac:dyDescent="0.2">
      <c r="A226" s="372">
        <f>+SUBTOTAL(3,$G$7:$G226)</f>
        <v>0</v>
      </c>
      <c r="B226" s="366">
        <v>45748</v>
      </c>
      <c r="C226" s="367" t="s">
        <v>723</v>
      </c>
      <c r="D226" s="368" t="str">
        <f>+VLOOKUP(C226,Foundation!$C$8:$D$531,2,FALSE)</f>
        <v>DB2+9</v>
      </c>
      <c r="E226" s="368" t="str">
        <f>+VLOOKUP(C226,Foundation!$C$8:$E$495,3,FALSE)</f>
        <v>Sandy</v>
      </c>
      <c r="F226" s="350">
        <v>45759</v>
      </c>
      <c r="G226" s="350">
        <v>45775</v>
      </c>
      <c r="H226" s="370" t="s">
        <v>895</v>
      </c>
      <c r="I226" s="381"/>
      <c r="J226" s="693">
        <f t="shared" si="6"/>
        <v>70.701702999999995</v>
      </c>
      <c r="K226" s="370"/>
      <c r="M226" s="645">
        <f t="shared" si="7"/>
        <v>16</v>
      </c>
    </row>
    <row r="227" spans="1:13" hidden="1" x14ac:dyDescent="0.2">
      <c r="A227" s="372">
        <f>+SUBTOTAL(3,$G$7:$G227)</f>
        <v>0</v>
      </c>
      <c r="B227" s="366">
        <v>45778</v>
      </c>
      <c r="C227" s="367" t="s">
        <v>836</v>
      </c>
      <c r="D227" s="368" t="str">
        <f>+VLOOKUP(C227,Foundation!$C$8:$D$531,2,FALSE)</f>
        <v>DA+3</v>
      </c>
      <c r="E227" s="368" t="str">
        <f>+VLOOKUP(C227,Foundation!$C$8:$E$495,3,FALSE)</f>
        <v>DRY</v>
      </c>
      <c r="F227" s="350">
        <v>45774</v>
      </c>
      <c r="G227" s="350">
        <v>45779</v>
      </c>
      <c r="H227" s="370" t="s">
        <v>890</v>
      </c>
      <c r="I227" s="381"/>
      <c r="J227" s="693">
        <f t="shared" si="6"/>
        <v>38.847605999999992</v>
      </c>
      <c r="K227" s="370"/>
      <c r="M227" s="645">
        <f t="shared" si="7"/>
        <v>5</v>
      </c>
    </row>
    <row r="228" spans="1:13" hidden="1" x14ac:dyDescent="0.2">
      <c r="A228" s="372">
        <f>+SUBTOTAL(3,$G$7:$G228)</f>
        <v>0</v>
      </c>
      <c r="B228" s="366">
        <v>45778</v>
      </c>
      <c r="C228" s="367" t="s">
        <v>102</v>
      </c>
      <c r="D228" s="368" t="str">
        <f>+VLOOKUP(C228,Foundation!$C$8:$D$531,2,FALSE)</f>
        <v>DC1+9</v>
      </c>
      <c r="E228" s="368" t="str">
        <f>+VLOOKUP(C228,Foundation!$C$8:$E$495,3,FALSE)</f>
        <v>DRY</v>
      </c>
      <c r="F228" s="350">
        <v>45797</v>
      </c>
      <c r="G228" s="350">
        <v>45806</v>
      </c>
      <c r="H228" s="373" t="s">
        <v>1379</v>
      </c>
      <c r="I228" s="381"/>
      <c r="J228" s="693">
        <f t="shared" si="6"/>
        <v>81.494626999999994</v>
      </c>
      <c r="K228" s="373"/>
      <c r="M228" s="645">
        <f t="shared" si="7"/>
        <v>9</v>
      </c>
    </row>
    <row r="229" spans="1:13" hidden="1" x14ac:dyDescent="0.2">
      <c r="A229" s="372">
        <f>+SUBTOTAL(3,$G$7:$G229)</f>
        <v>0</v>
      </c>
      <c r="B229" s="366">
        <v>45809</v>
      </c>
      <c r="C229" s="367" t="s">
        <v>630</v>
      </c>
      <c r="D229" s="368" t="str">
        <f>+VLOOKUP(C229,Foundation!$C$8:$D$531,2,FALSE)</f>
        <v>DA+3</v>
      </c>
      <c r="E229" s="368" t="str">
        <f>+VLOOKUP(C229,Foundation!$C$8:$E$495,3,FALSE)</f>
        <v>DFR</v>
      </c>
      <c r="F229" s="350">
        <v>45787</v>
      </c>
      <c r="G229" s="350">
        <v>45819</v>
      </c>
      <c r="H229" s="373" t="s">
        <v>1371</v>
      </c>
      <c r="I229" s="381"/>
      <c r="J229" s="693">
        <f t="shared" si="6"/>
        <v>38.847605999999992</v>
      </c>
      <c r="K229" s="373" t="s">
        <v>1389</v>
      </c>
      <c r="M229" s="645">
        <f t="shared" si="7"/>
        <v>32</v>
      </c>
    </row>
    <row r="230" spans="1:13" hidden="1" x14ac:dyDescent="0.2">
      <c r="A230" s="372">
        <f>+SUBTOTAL(3,$G$7:$G230)</f>
        <v>0</v>
      </c>
      <c r="B230" s="366">
        <v>45809</v>
      </c>
      <c r="C230" s="348" t="s">
        <v>632</v>
      </c>
      <c r="D230" s="368" t="str">
        <f>+VLOOKUP(C230,Foundation!$C$8:$D$531,2,FALSE)</f>
        <v>DA+0</v>
      </c>
      <c r="E230" s="368" t="str">
        <f>+VLOOKUP(C230,Foundation!$C$8:$E$495,3,FALSE)</f>
        <v>Sandy</v>
      </c>
      <c r="F230" s="350">
        <v>45819</v>
      </c>
      <c r="G230" s="350">
        <v>45828</v>
      </c>
      <c r="H230" s="373" t="s">
        <v>1371</v>
      </c>
      <c r="I230" s="381"/>
      <c r="J230" s="693">
        <f t="shared" si="6"/>
        <v>37.504372000000004</v>
      </c>
      <c r="K230" s="373" t="s">
        <v>1389</v>
      </c>
      <c r="M230" s="645">
        <f t="shared" si="7"/>
        <v>9</v>
      </c>
    </row>
    <row r="231" spans="1:13" hidden="1" x14ac:dyDescent="0.2">
      <c r="A231" s="372">
        <f>+SUBTOTAL(3,$G$7:$G231)</f>
        <v>0</v>
      </c>
      <c r="B231" s="366">
        <v>45809</v>
      </c>
      <c r="C231" s="348" t="s">
        <v>839</v>
      </c>
      <c r="D231" s="368" t="str">
        <f>+VLOOKUP(C231,Foundation!$C$8:$D$531,2,FALSE)</f>
        <v>DA+3</v>
      </c>
      <c r="E231" s="368" t="str">
        <f>+VLOOKUP(C231,Foundation!$C$8:$E$495,3,FALSE)</f>
        <v>DRY</v>
      </c>
      <c r="F231" s="350">
        <v>45825</v>
      </c>
      <c r="G231" s="350">
        <v>45830</v>
      </c>
      <c r="H231" s="373" t="s">
        <v>1394</v>
      </c>
      <c r="I231" s="381"/>
      <c r="J231" s="693">
        <f t="shared" si="6"/>
        <v>38.847605999999992</v>
      </c>
      <c r="K231" s="373" t="s">
        <v>1395</v>
      </c>
      <c r="M231" s="645">
        <f t="shared" si="7"/>
        <v>5</v>
      </c>
    </row>
    <row r="232" spans="1:13" hidden="1" x14ac:dyDescent="0.2">
      <c r="A232" s="372">
        <f>+SUBTOTAL(3,$G$7:$G232)</f>
        <v>0</v>
      </c>
      <c r="B232" s="366">
        <v>45809</v>
      </c>
      <c r="C232" s="367" t="s">
        <v>838</v>
      </c>
      <c r="D232" s="368" t="str">
        <f>+VLOOKUP(C232,Foundation!$C$8:$D$531,2,FALSE)</f>
        <v>DA+3</v>
      </c>
      <c r="E232" s="368" t="str">
        <f>+VLOOKUP(C232,Foundation!$C$8:$E$495,3,FALSE)</f>
        <v>DRY</v>
      </c>
      <c r="F232" s="350">
        <v>45796</v>
      </c>
      <c r="G232" s="350">
        <v>45836</v>
      </c>
      <c r="H232" s="373" t="s">
        <v>1396</v>
      </c>
      <c r="I232" s="381"/>
      <c r="J232" s="693">
        <f t="shared" si="6"/>
        <v>38.847605999999992</v>
      </c>
      <c r="K232" s="373" t="s">
        <v>1395</v>
      </c>
      <c r="M232" s="645">
        <f t="shared" si="7"/>
        <v>40</v>
      </c>
    </row>
    <row r="233" spans="1:13" hidden="1" x14ac:dyDescent="0.2">
      <c r="A233" s="372">
        <f>+SUBTOTAL(3,$G$7:$G233)</f>
        <v>0</v>
      </c>
      <c r="B233" s="366">
        <v>45809</v>
      </c>
      <c r="C233" s="367" t="s">
        <v>633</v>
      </c>
      <c r="D233" s="368" t="str">
        <f>+VLOOKUP(C233,Foundation!$C$8:$D$531,2,FALSE)</f>
        <v>DA+3</v>
      </c>
      <c r="E233" s="368" t="str">
        <f>+VLOOKUP(C233,Foundation!$C$8:$E$495,3,FALSE)</f>
        <v>Sandy</v>
      </c>
      <c r="F233" s="350">
        <v>45812</v>
      </c>
      <c r="G233" s="350">
        <v>45838</v>
      </c>
      <c r="H233" s="373" t="s">
        <v>1414</v>
      </c>
      <c r="I233" s="381"/>
      <c r="J233" s="693">
        <f t="shared" si="6"/>
        <v>38.847605999999992</v>
      </c>
      <c r="K233" s="373" t="s">
        <v>1389</v>
      </c>
      <c r="M233" s="645">
        <f t="shared" si="7"/>
        <v>26</v>
      </c>
    </row>
    <row r="234" spans="1:13" hidden="1" x14ac:dyDescent="0.2">
      <c r="A234" s="372">
        <f>+SUBTOTAL(3,$G$7:$G234)</f>
        <v>0</v>
      </c>
      <c r="B234" s="366">
        <v>45809</v>
      </c>
      <c r="C234" s="367" t="s">
        <v>834</v>
      </c>
      <c r="D234" s="368" t="str">
        <f>+VLOOKUP(C234,Foundation!$C$8:$D$531,2,FALSE)</f>
        <v>DA+3</v>
      </c>
      <c r="E234" s="368" t="str">
        <f>+VLOOKUP(C234,Foundation!$C$8:$E$495,3,FALSE)</f>
        <v>DRY</v>
      </c>
      <c r="F234" s="350">
        <v>45830</v>
      </c>
      <c r="G234" s="350">
        <v>45838</v>
      </c>
      <c r="H234" s="373" t="s">
        <v>1412</v>
      </c>
      <c r="I234" s="381"/>
      <c r="J234" s="693">
        <f t="shared" si="6"/>
        <v>38.847605999999992</v>
      </c>
      <c r="K234" s="373" t="s">
        <v>1395</v>
      </c>
      <c r="M234" s="645">
        <f t="shared" si="7"/>
        <v>8</v>
      </c>
    </row>
    <row r="235" spans="1:13" hidden="1" x14ac:dyDescent="0.2">
      <c r="A235" s="372">
        <f>+SUBTOTAL(3,$G$7:$G235)</f>
        <v>0</v>
      </c>
      <c r="B235" s="366">
        <v>45839</v>
      </c>
      <c r="C235" s="367" t="s">
        <v>465</v>
      </c>
      <c r="D235" s="368" t="str">
        <f>+VLOOKUP(C235,Foundation!$C$8:$D$531,2,FALSE)</f>
        <v>DA+3</v>
      </c>
      <c r="E235" s="368" t="str">
        <f>+VLOOKUP(C235,Foundation!$C$8:$E$495,3,FALSE)</f>
        <v>DFR</v>
      </c>
      <c r="F235" s="350">
        <v>45835</v>
      </c>
      <c r="G235" s="350">
        <v>45839</v>
      </c>
      <c r="H235" s="373" t="s">
        <v>1394</v>
      </c>
      <c r="I235" s="381"/>
      <c r="J235" s="693">
        <f t="shared" ref="J235" si="8">+VLOOKUP(D235,$AB$7:$AC$35,2,FALSE)</f>
        <v>38.847605999999992</v>
      </c>
      <c r="K235" s="373" t="s">
        <v>1395</v>
      </c>
      <c r="M235" s="645">
        <f t="shared" si="7"/>
        <v>4</v>
      </c>
    </row>
    <row r="236" spans="1:13" hidden="1" x14ac:dyDescent="0.2">
      <c r="A236" s="372">
        <f>+SUBTOTAL(3,$G$7:$G236)</f>
        <v>0</v>
      </c>
      <c r="B236" s="366">
        <v>45839</v>
      </c>
      <c r="C236" s="367" t="s">
        <v>832</v>
      </c>
      <c r="D236" s="368" t="str">
        <f>+VLOOKUP(C236,Foundation!$C$8:$D$531,2,FALSE)</f>
        <v>DA+3</v>
      </c>
      <c r="E236" s="368" t="str">
        <f>+VLOOKUP(C236,Foundation!$C$8:$E$495,3,FALSE)</f>
        <v>DRY</v>
      </c>
      <c r="F236" s="350">
        <v>45836</v>
      </c>
      <c r="G236" s="350">
        <v>45841</v>
      </c>
      <c r="H236" s="373" t="s">
        <v>1417</v>
      </c>
      <c r="I236" s="381"/>
      <c r="J236" s="693">
        <f t="shared" ref="J236:J246" si="9">+VLOOKUP(D236,$AB$7:$AC$35,2,FALSE)</f>
        <v>38.847605999999992</v>
      </c>
      <c r="K236" s="373" t="s">
        <v>1395</v>
      </c>
      <c r="M236" s="645">
        <f t="shared" si="7"/>
        <v>5</v>
      </c>
    </row>
    <row r="237" spans="1:13" hidden="1" x14ac:dyDescent="0.2">
      <c r="A237" s="372">
        <f>+SUBTOTAL(3,$G$7:$G237)</f>
        <v>0</v>
      </c>
      <c r="B237" s="366">
        <v>45839</v>
      </c>
      <c r="C237" s="367" t="s">
        <v>833</v>
      </c>
      <c r="D237" s="368" t="str">
        <f>+VLOOKUP(C237,Foundation!$C$8:$D$531,2,FALSE)</f>
        <v>DA+3</v>
      </c>
      <c r="E237" s="368" t="str">
        <f>+VLOOKUP(C237,Foundation!$C$8:$E$495,3,FALSE)</f>
        <v>DRY</v>
      </c>
      <c r="F237" s="350">
        <v>45839</v>
      </c>
      <c r="G237" s="350">
        <v>45846</v>
      </c>
      <c r="H237" s="373" t="s">
        <v>1412</v>
      </c>
      <c r="I237" s="381"/>
      <c r="J237" s="693">
        <f t="shared" ref="J237" si="10">+VLOOKUP(D237,$AB$7:$AC$35,2,FALSE)</f>
        <v>38.847605999999992</v>
      </c>
      <c r="K237" s="373" t="s">
        <v>1395</v>
      </c>
      <c r="M237" s="645">
        <f t="shared" si="7"/>
        <v>7</v>
      </c>
    </row>
    <row r="238" spans="1:13" hidden="1" x14ac:dyDescent="0.2">
      <c r="A238" s="372">
        <f>+SUBTOTAL(3,$G$7:$G238)</f>
        <v>0</v>
      </c>
      <c r="B238" s="366">
        <v>45839</v>
      </c>
      <c r="C238" s="367" t="s">
        <v>154</v>
      </c>
      <c r="D238" s="368" t="str">
        <f>+VLOOKUP(C238,Foundation!$C$8:$D$531,2,FALSE)</f>
        <v>DA+3</v>
      </c>
      <c r="E238" s="368" t="str">
        <f>+VLOOKUP(C238,Foundation!$C$8:$E$495,3,FALSE)</f>
        <v>DFR</v>
      </c>
      <c r="F238" s="350">
        <v>45845</v>
      </c>
      <c r="G238" s="350">
        <v>45857</v>
      </c>
      <c r="H238" s="373" t="s">
        <v>1394</v>
      </c>
      <c r="I238" s="381"/>
      <c r="J238" s="693">
        <f t="shared" ref="J238:J242" si="11">+VLOOKUP(D238,$AB$7:$AC$35,2,FALSE)</f>
        <v>38.847605999999992</v>
      </c>
      <c r="K238" s="373" t="s">
        <v>1395</v>
      </c>
      <c r="M238" s="645">
        <f t="shared" si="7"/>
        <v>12</v>
      </c>
    </row>
    <row r="239" spans="1:13" hidden="1" x14ac:dyDescent="0.2">
      <c r="A239" s="372">
        <f>+SUBTOTAL(3,$G$7:$G239)</f>
        <v>0</v>
      </c>
      <c r="B239" s="366">
        <v>45839</v>
      </c>
      <c r="C239" s="367" t="s">
        <v>105</v>
      </c>
      <c r="D239" s="368" t="str">
        <f>+VLOOKUP(C239,Foundation!$C$8:$D$531,2,FALSE)</f>
        <v>DC1+0</v>
      </c>
      <c r="E239" s="368" t="str">
        <f>+VLOOKUP(C239,Foundation!$C$8:$E$495,3,FALSE)</f>
        <v>DRY</v>
      </c>
      <c r="F239" s="350">
        <v>45841</v>
      </c>
      <c r="G239" s="350">
        <v>45852</v>
      </c>
      <c r="H239" s="373" t="s">
        <v>1417</v>
      </c>
      <c r="I239" s="381"/>
      <c r="J239" s="693">
        <f t="shared" si="11"/>
        <v>66.381106999999986</v>
      </c>
      <c r="K239" s="373" t="s">
        <v>1395</v>
      </c>
      <c r="M239" s="645">
        <f t="shared" si="7"/>
        <v>11</v>
      </c>
    </row>
    <row r="240" spans="1:13" hidden="1" x14ac:dyDescent="0.2">
      <c r="A240" s="372">
        <f>+SUBTOTAL(3,$G$7:$G240)</f>
        <v>0</v>
      </c>
      <c r="B240" s="366">
        <v>45839</v>
      </c>
      <c r="C240" s="367" t="s">
        <v>840</v>
      </c>
      <c r="D240" s="368" t="str">
        <f>+VLOOKUP(C240,Foundation!$C$8:$D$531,2,FALSE)</f>
        <v>DA+3</v>
      </c>
      <c r="E240" s="368" t="str">
        <f>+VLOOKUP(C240,Foundation!$C$8:$E$495,3,FALSE)</f>
        <v>DRY</v>
      </c>
      <c r="F240" s="350">
        <v>45846</v>
      </c>
      <c r="G240" s="350">
        <v>45852</v>
      </c>
      <c r="H240" s="373" t="s">
        <v>1412</v>
      </c>
      <c r="I240" s="381"/>
      <c r="J240" s="693">
        <f t="shared" si="11"/>
        <v>38.847605999999992</v>
      </c>
      <c r="K240" s="373" t="s">
        <v>1395</v>
      </c>
      <c r="M240" s="645">
        <f t="shared" si="7"/>
        <v>6</v>
      </c>
    </row>
    <row r="241" spans="1:13" hidden="1" x14ac:dyDescent="0.2">
      <c r="A241" s="372">
        <f>+SUBTOTAL(3,$G$7:$G241)</f>
        <v>0</v>
      </c>
      <c r="B241" s="366">
        <v>45839</v>
      </c>
      <c r="C241" s="367" t="s">
        <v>634</v>
      </c>
      <c r="D241" s="368" t="str">
        <f>+VLOOKUP(C241,Foundation!$C$8:$D$531,2,FALSE)</f>
        <v>DA+0</v>
      </c>
      <c r="E241" s="368" t="str">
        <f>+VLOOKUP(C241,Foundation!$C$8:$E$495,3,FALSE)</f>
        <v>Sandy</v>
      </c>
      <c r="F241" s="350">
        <v>45819</v>
      </c>
      <c r="G241" s="350">
        <v>45853</v>
      </c>
      <c r="H241" s="373" t="s">
        <v>1414</v>
      </c>
      <c r="I241" s="381"/>
      <c r="J241" s="693">
        <f t="shared" si="11"/>
        <v>37.504372000000004</v>
      </c>
      <c r="K241" s="373" t="s">
        <v>1389</v>
      </c>
      <c r="M241" s="645">
        <f t="shared" si="7"/>
        <v>34</v>
      </c>
    </row>
    <row r="242" spans="1:13" hidden="1" x14ac:dyDescent="0.2">
      <c r="A242" s="372">
        <f>+SUBTOTAL(3,$G$7:$G242)</f>
        <v>0</v>
      </c>
      <c r="B242" s="366">
        <v>45839</v>
      </c>
      <c r="C242" s="367" t="s">
        <v>454</v>
      </c>
      <c r="D242" s="368" t="str">
        <f>+VLOOKUP(C242,Foundation!$C$8:$D$531,2,FALSE)</f>
        <v>DA+0</v>
      </c>
      <c r="E242" s="368" t="str">
        <f>+VLOOKUP(C242,Foundation!$C$8:$E$495,3,FALSE)</f>
        <v>Sandy</v>
      </c>
      <c r="F242" s="350">
        <v>45849</v>
      </c>
      <c r="G242" s="350">
        <v>45854</v>
      </c>
      <c r="H242" s="373" t="s">
        <v>1431</v>
      </c>
      <c r="I242" s="381"/>
      <c r="J242" s="693">
        <f t="shared" si="11"/>
        <v>37.504372000000004</v>
      </c>
      <c r="K242" s="373" t="s">
        <v>1395</v>
      </c>
      <c r="M242" s="645">
        <f t="shared" si="7"/>
        <v>5</v>
      </c>
    </row>
    <row r="243" spans="1:13" hidden="1" x14ac:dyDescent="0.2">
      <c r="A243" s="372">
        <f>+SUBTOTAL(3,$G$7:$G243)</f>
        <v>0</v>
      </c>
      <c r="B243" s="366">
        <v>45839</v>
      </c>
      <c r="C243" s="367" t="s">
        <v>104</v>
      </c>
      <c r="D243" s="368" t="str">
        <f>+VLOOKUP(C243,Foundation!$C$8:$D$531,2,FALSE)</f>
        <v>DB2+0</v>
      </c>
      <c r="E243" s="368" t="str">
        <f>+VLOOKUP(C243,Foundation!$C$8:$E$495,3,FALSE)</f>
        <v>DFR</v>
      </c>
      <c r="F243" s="599">
        <v>45852</v>
      </c>
      <c r="G243" s="599">
        <v>45859</v>
      </c>
      <c r="H243" s="373" t="s">
        <v>1417</v>
      </c>
      <c r="I243" s="600"/>
      <c r="J243" s="693">
        <f t="shared" si="9"/>
        <v>57.597240999999997</v>
      </c>
      <c r="K243" s="373" t="s">
        <v>1395</v>
      </c>
      <c r="M243" s="645">
        <f t="shared" si="7"/>
        <v>7</v>
      </c>
    </row>
    <row r="244" spans="1:13" hidden="1" x14ac:dyDescent="0.2">
      <c r="A244" s="372">
        <f>+SUBTOTAL(3,$G$7:$G244)</f>
        <v>0</v>
      </c>
      <c r="B244" s="366">
        <v>45839</v>
      </c>
      <c r="C244" s="367" t="s">
        <v>669</v>
      </c>
      <c r="D244" s="368" t="str">
        <f>+VLOOKUP(C244,Foundation!$C$8:$D$531,2,FALSE)</f>
        <v>DA+0</v>
      </c>
      <c r="E244" s="368" t="str">
        <f>+VLOOKUP(C244,Foundation!$C$8:$E$495,3,FALSE)</f>
        <v>Sandy</v>
      </c>
      <c r="F244" s="599">
        <v>45857</v>
      </c>
      <c r="G244" s="599">
        <v>45860</v>
      </c>
      <c r="H244" s="373" t="s">
        <v>1489</v>
      </c>
      <c r="I244" s="600"/>
      <c r="J244" s="693">
        <f t="shared" si="9"/>
        <v>37.504372000000004</v>
      </c>
      <c r="K244" s="373" t="s">
        <v>1395</v>
      </c>
      <c r="M244" s="645">
        <f t="shared" si="7"/>
        <v>3</v>
      </c>
    </row>
    <row r="245" spans="1:13" hidden="1" x14ac:dyDescent="0.2">
      <c r="A245" s="372">
        <f>+SUBTOTAL(3,$G$7:$G245)</f>
        <v>0</v>
      </c>
      <c r="B245" s="366">
        <v>45839</v>
      </c>
      <c r="C245" s="367" t="s">
        <v>455</v>
      </c>
      <c r="D245" s="368" t="str">
        <f>+VLOOKUP(C245,Foundation!$C$8:$D$531,2,FALSE)</f>
        <v>DA+0</v>
      </c>
      <c r="E245" s="368" t="str">
        <f>+VLOOKUP(C245,Foundation!$C$8:$E$495,3,FALSE)</f>
        <v>DRY</v>
      </c>
      <c r="F245" s="350">
        <v>45854</v>
      </c>
      <c r="G245" s="350">
        <v>45861</v>
      </c>
      <c r="H245" s="373" t="s">
        <v>1431</v>
      </c>
      <c r="I245" s="381"/>
      <c r="J245" s="693">
        <f t="shared" si="9"/>
        <v>37.504372000000004</v>
      </c>
      <c r="K245" s="373" t="s">
        <v>1395</v>
      </c>
      <c r="M245" s="645">
        <f t="shared" si="7"/>
        <v>7</v>
      </c>
    </row>
    <row r="246" spans="1:13" hidden="1" x14ac:dyDescent="0.2">
      <c r="A246" s="372">
        <f>+SUBTOTAL(3,$G$7:$G246)</f>
        <v>0</v>
      </c>
      <c r="B246" s="366">
        <v>45839</v>
      </c>
      <c r="C246" s="367" t="s">
        <v>512</v>
      </c>
      <c r="D246" s="368" t="str">
        <f>+VLOOKUP(C246,Foundation!$C$8:$D$531,2,FALSE)</f>
        <v>DA+0</v>
      </c>
      <c r="E246" s="368" t="str">
        <f>+VLOOKUP(C246,Foundation!$C$8:$E$495,3,FALSE)</f>
        <v>DRY</v>
      </c>
      <c r="F246" s="350">
        <v>45852</v>
      </c>
      <c r="G246" s="350">
        <v>45861</v>
      </c>
      <c r="H246" s="373" t="s">
        <v>1434</v>
      </c>
      <c r="I246" s="381"/>
      <c r="J246" s="693">
        <f t="shared" si="9"/>
        <v>37.504372000000004</v>
      </c>
      <c r="K246" s="373" t="s">
        <v>1395</v>
      </c>
      <c r="M246" s="645">
        <f t="shared" si="7"/>
        <v>9</v>
      </c>
    </row>
    <row r="247" spans="1:13" hidden="1" x14ac:dyDescent="0.2">
      <c r="A247" s="372">
        <f>+SUBTOTAL(3,$G$7:$G247)</f>
        <v>0</v>
      </c>
      <c r="B247" s="366">
        <v>45839</v>
      </c>
      <c r="C247" s="367" t="s">
        <v>59</v>
      </c>
      <c r="D247" s="368" t="str">
        <f>+VLOOKUP(C247,Foundation!$C$8:$D$531,2,FALSE)</f>
        <v>DA+3</v>
      </c>
      <c r="E247" s="368" t="str">
        <f>+VLOOKUP(C247,Foundation!$C$8:$E$495,3,FALSE)</f>
        <v>DFR</v>
      </c>
      <c r="F247" s="350">
        <v>45859</v>
      </c>
      <c r="G247" s="350">
        <v>45862</v>
      </c>
      <c r="H247" s="373" t="s">
        <v>1440</v>
      </c>
      <c r="I247" s="381"/>
      <c r="J247" s="693">
        <f t="shared" ref="J247" si="12">+VLOOKUP(D247,$AB$7:$AC$35,2,FALSE)</f>
        <v>38.847605999999992</v>
      </c>
      <c r="K247" s="373" t="s">
        <v>1395</v>
      </c>
      <c r="M247" s="645">
        <f t="shared" si="7"/>
        <v>3</v>
      </c>
    </row>
    <row r="248" spans="1:13" hidden="1" x14ac:dyDescent="0.2">
      <c r="A248" s="372">
        <f>+SUBTOTAL(3,$G$7:$G248)</f>
        <v>0</v>
      </c>
      <c r="B248" s="366">
        <v>45839</v>
      </c>
      <c r="C248" s="367" t="s">
        <v>631</v>
      </c>
      <c r="D248" s="368" t="str">
        <f>+VLOOKUP(C248,Foundation!$C$8:$D$531,2,FALSE)</f>
        <v>DA+0</v>
      </c>
      <c r="E248" s="368" t="str">
        <f>+VLOOKUP(C248,Foundation!$C$8:$E$495,3,FALSE)</f>
        <v>DRY</v>
      </c>
      <c r="F248" s="599">
        <v>45848</v>
      </c>
      <c r="G248" s="350">
        <v>45864</v>
      </c>
      <c r="H248" s="634" t="s">
        <v>1436</v>
      </c>
      <c r="I248" s="381"/>
      <c r="J248" s="693">
        <f t="shared" ref="J248" si="13">+VLOOKUP(D248,$AB$7:$AC$35,2,FALSE)</f>
        <v>37.504372000000004</v>
      </c>
      <c r="K248" s="634" t="s">
        <v>1395</v>
      </c>
      <c r="M248" s="645">
        <f t="shared" si="7"/>
        <v>16</v>
      </c>
    </row>
    <row r="249" spans="1:13" hidden="1" x14ac:dyDescent="0.2">
      <c r="A249" s="372">
        <f>+SUBTOTAL(3,$G$7:$G249)</f>
        <v>0</v>
      </c>
      <c r="B249" s="366">
        <v>45839</v>
      </c>
      <c r="C249" s="367" t="s">
        <v>668</v>
      </c>
      <c r="D249" s="368" t="str">
        <f>+VLOOKUP(C249,Foundation!$C$8:$D$531,2,FALSE)</f>
        <v>DA+0</v>
      </c>
      <c r="E249" s="368" t="str">
        <f>+VLOOKUP(C249,Foundation!$C$8:$E$495,3,FALSE)</f>
        <v>Sandy</v>
      </c>
      <c r="F249" s="350">
        <v>45861</v>
      </c>
      <c r="G249" s="350">
        <v>45864</v>
      </c>
      <c r="H249" s="373" t="s">
        <v>1489</v>
      </c>
      <c r="I249" s="381"/>
      <c r="J249" s="693">
        <f t="shared" ref="J249:J250" si="14">+VLOOKUP(D249,$AB$7:$AC$35,2,FALSE)</f>
        <v>37.504372000000004</v>
      </c>
      <c r="K249" s="373" t="s">
        <v>1395</v>
      </c>
      <c r="M249" s="645">
        <f t="shared" si="7"/>
        <v>3</v>
      </c>
    </row>
    <row r="250" spans="1:13" hidden="1" x14ac:dyDescent="0.2">
      <c r="A250" s="372">
        <f>+SUBTOTAL(3,$G$7:$G250)</f>
        <v>0</v>
      </c>
      <c r="B250" s="366">
        <v>45839</v>
      </c>
      <c r="C250" s="367" t="s">
        <v>60</v>
      </c>
      <c r="D250" s="368" t="str">
        <f>+VLOOKUP(C250,Foundation!$C$8:$D$531,2,FALSE)</f>
        <v>DA+0</v>
      </c>
      <c r="E250" s="368" t="str">
        <f>+VLOOKUP(C250,Foundation!$C$8:$E$495,3,FALSE)</f>
        <v>DRY</v>
      </c>
      <c r="F250" s="599">
        <v>45863</v>
      </c>
      <c r="G250" s="350">
        <v>45866</v>
      </c>
      <c r="H250" s="634" t="s">
        <v>1440</v>
      </c>
      <c r="I250" s="381"/>
      <c r="J250" s="693">
        <f t="shared" si="14"/>
        <v>37.504372000000004</v>
      </c>
      <c r="K250" s="634" t="s">
        <v>1395</v>
      </c>
      <c r="M250" s="645">
        <f t="shared" si="7"/>
        <v>3</v>
      </c>
    </row>
    <row r="251" spans="1:13" hidden="1" x14ac:dyDescent="0.2">
      <c r="A251" s="372">
        <f>+SUBTOTAL(3,$G$7:$G251)</f>
        <v>0</v>
      </c>
      <c r="B251" s="366">
        <v>45839</v>
      </c>
      <c r="C251" s="367" t="s">
        <v>670</v>
      </c>
      <c r="D251" s="368" t="str">
        <f>+VLOOKUP(C251,Foundation!$C$8:$D$531,2,FALSE)</f>
        <v>DA+9</v>
      </c>
      <c r="E251" s="368" t="str">
        <f>+VLOOKUP(C251,Foundation!$C$8:$E$495,3,FALSE)</f>
        <v>Sandy</v>
      </c>
      <c r="F251" s="350">
        <v>45861</v>
      </c>
      <c r="G251" s="350">
        <v>45866</v>
      </c>
      <c r="H251" s="373" t="s">
        <v>1489</v>
      </c>
      <c r="I251" s="381"/>
      <c r="J251" s="693">
        <f t="shared" ref="J251:J252" si="15">+VLOOKUP(D251,$AB$7:$AC$35,2,FALSE)</f>
        <v>47.184350000000002</v>
      </c>
      <c r="K251" s="373" t="s">
        <v>1395</v>
      </c>
      <c r="M251" s="645">
        <f t="shared" si="7"/>
        <v>5</v>
      </c>
    </row>
    <row r="252" spans="1:13" hidden="1" x14ac:dyDescent="0.2">
      <c r="A252" s="372">
        <f>+SUBTOTAL(3,$G$7:$G252)</f>
        <v>0</v>
      </c>
      <c r="B252" s="366">
        <v>45839</v>
      </c>
      <c r="C252" s="367" t="s">
        <v>667</v>
      </c>
      <c r="D252" s="368" t="str">
        <f>+VLOOKUP(C252,Foundation!$C$8:$D$531,2,FALSE)</f>
        <v>DA+0</v>
      </c>
      <c r="E252" s="368" t="str">
        <f>+VLOOKUP(C252,Foundation!$C$8:$E$495,3,FALSE)</f>
        <v>Sandy</v>
      </c>
      <c r="F252" s="350">
        <v>45864</v>
      </c>
      <c r="G252" s="350">
        <v>45867</v>
      </c>
      <c r="H252" s="373" t="s">
        <v>1489</v>
      </c>
      <c r="I252" s="381"/>
      <c r="J252" s="693">
        <f t="shared" si="15"/>
        <v>37.504372000000004</v>
      </c>
      <c r="K252" s="373" t="s">
        <v>1395</v>
      </c>
      <c r="M252" s="645">
        <f t="shared" si="7"/>
        <v>3</v>
      </c>
    </row>
    <row r="253" spans="1:13" hidden="1" x14ac:dyDescent="0.2">
      <c r="A253" s="372">
        <f>+SUBTOTAL(3,$G$7:$G253)</f>
        <v>0</v>
      </c>
      <c r="B253" s="366">
        <v>45839</v>
      </c>
      <c r="C253" s="367" t="s">
        <v>626</v>
      </c>
      <c r="D253" s="368" t="str">
        <f>+VLOOKUP(C253,Foundation!$C$8:$D$531,2,FALSE)</f>
        <v>DD60+0</v>
      </c>
      <c r="E253" s="368" t="str">
        <f>+VLOOKUP(C253,Foundation!$C$8:$E$495,3,FALSE)</f>
        <v>DRY</v>
      </c>
      <c r="F253" s="350">
        <v>45839</v>
      </c>
      <c r="G253" s="350">
        <v>45867</v>
      </c>
      <c r="H253" s="373" t="s">
        <v>1492</v>
      </c>
      <c r="I253" s="381"/>
      <c r="J253" s="693">
        <f t="shared" ref="J253:J254" si="16">+VLOOKUP(D253,$AB$7:$AC$35,2,FALSE)</f>
        <v>86.129278999999997</v>
      </c>
      <c r="K253" s="373" t="s">
        <v>1435</v>
      </c>
      <c r="M253" s="645">
        <f t="shared" si="7"/>
        <v>28</v>
      </c>
    </row>
    <row r="254" spans="1:13" hidden="1" x14ac:dyDescent="0.2">
      <c r="A254" s="372">
        <f>+SUBTOTAL(3,$G$7:$G254)</f>
        <v>0</v>
      </c>
      <c r="B254" s="366">
        <v>45839</v>
      </c>
      <c r="C254" s="367" t="s">
        <v>453</v>
      </c>
      <c r="D254" s="368" t="str">
        <f>+VLOOKUP(C254,Foundation!$C$8:$D$531,2,FALSE)</f>
        <v>DA+3</v>
      </c>
      <c r="E254" s="368" t="str">
        <f>+VLOOKUP(C254,Foundation!$C$8:$E$495,3,FALSE)</f>
        <v>Sandy</v>
      </c>
      <c r="F254" s="599">
        <v>45861</v>
      </c>
      <c r="G254" s="350">
        <v>45868</v>
      </c>
      <c r="H254" s="634" t="s">
        <v>1431</v>
      </c>
      <c r="I254" s="381"/>
      <c r="J254" s="693">
        <f t="shared" si="16"/>
        <v>38.847605999999992</v>
      </c>
      <c r="K254" s="634" t="s">
        <v>1395</v>
      </c>
      <c r="M254" s="645">
        <f t="shared" si="7"/>
        <v>7</v>
      </c>
    </row>
    <row r="255" spans="1:13" hidden="1" x14ac:dyDescent="0.2">
      <c r="A255" s="372">
        <f>+SUBTOTAL(3,$G$7:$G255)</f>
        <v>0</v>
      </c>
      <c r="B255" s="366">
        <v>45839</v>
      </c>
      <c r="C255" s="367" t="s">
        <v>182</v>
      </c>
      <c r="D255" s="368" t="str">
        <f>+VLOOKUP(C255,Foundation!$C$8:$D$531,2,FALSE)</f>
        <v>DA+0</v>
      </c>
      <c r="E255" s="368" t="str">
        <f>+VLOOKUP(C255,Foundation!$C$8:$E$495,3,FALSE)</f>
        <v>Sandy</v>
      </c>
      <c r="F255" s="599">
        <v>45865</v>
      </c>
      <c r="G255" s="350">
        <v>45869</v>
      </c>
      <c r="H255" s="634" t="s">
        <v>1451</v>
      </c>
      <c r="I255" s="381"/>
      <c r="J255" s="693">
        <f t="shared" ref="J255" si="17">+VLOOKUP(D255,$AB$7:$AC$35,2,FALSE)</f>
        <v>37.504372000000004</v>
      </c>
      <c r="K255" s="634" t="s">
        <v>1395</v>
      </c>
      <c r="M255" s="645">
        <f t="shared" si="7"/>
        <v>4</v>
      </c>
    </row>
    <row r="256" spans="1:13" hidden="1" x14ac:dyDescent="0.2">
      <c r="A256" s="372">
        <f>+SUBTOTAL(3,$G$7:$G256)</f>
        <v>0</v>
      </c>
      <c r="B256" s="366">
        <v>45839</v>
      </c>
      <c r="C256" s="367" t="s">
        <v>65</v>
      </c>
      <c r="D256" s="368" t="str">
        <f>+VLOOKUP(C256,Foundation!$C$8:$D$531,2,FALSE)</f>
        <v>DA+3</v>
      </c>
      <c r="E256" s="368" t="str">
        <f>+VLOOKUP(C256,Foundation!$C$8:$E$495,3,FALSE)</f>
        <v>DFR</v>
      </c>
      <c r="F256" s="599">
        <v>45859</v>
      </c>
      <c r="G256" s="350">
        <v>45869</v>
      </c>
      <c r="H256" s="634" t="s">
        <v>1491</v>
      </c>
      <c r="I256" s="381"/>
      <c r="J256" s="693">
        <f t="shared" ref="J256" si="18">+VLOOKUP(D256,$AB$7:$AC$35,2,FALSE)</f>
        <v>38.847605999999992</v>
      </c>
      <c r="K256" s="634" t="s">
        <v>1395</v>
      </c>
      <c r="M256" s="645">
        <f t="shared" si="7"/>
        <v>10</v>
      </c>
    </row>
    <row r="257" spans="1:13" hidden="1" x14ac:dyDescent="0.2">
      <c r="A257" s="372">
        <f>+SUBTOTAL(3,$G$7:$G257)</f>
        <v>0</v>
      </c>
      <c r="B257" s="366">
        <v>45839</v>
      </c>
      <c r="C257" s="367" t="s">
        <v>66</v>
      </c>
      <c r="D257" s="368" t="str">
        <f>+VLOOKUP(C257,Foundation!$C$8:$D$531,2,FALSE)</f>
        <v>DA+3</v>
      </c>
      <c r="E257" s="368" t="str">
        <f>+VLOOKUP(C257,Foundation!$C$8:$E$495,3,FALSE)</f>
        <v>DFR</v>
      </c>
      <c r="F257" s="599">
        <v>45865</v>
      </c>
      <c r="G257" s="350">
        <v>45869</v>
      </c>
      <c r="H257" s="634" t="s">
        <v>1452</v>
      </c>
      <c r="I257" s="381"/>
      <c r="J257" s="693">
        <f t="shared" ref="J257" si="19">+VLOOKUP(D257,$AB$7:$AC$35,2,FALSE)</f>
        <v>38.847605999999992</v>
      </c>
      <c r="K257" s="634" t="s">
        <v>1395</v>
      </c>
      <c r="M257" s="645">
        <f t="shared" si="7"/>
        <v>4</v>
      </c>
    </row>
    <row r="258" spans="1:13" hidden="1" x14ac:dyDescent="0.2">
      <c r="A258" s="372">
        <f>+SUBTOTAL(3,$G$7:$G258)</f>
        <v>0</v>
      </c>
      <c r="B258" s="366">
        <v>45870</v>
      </c>
      <c r="C258" s="367" t="s">
        <v>666</v>
      </c>
      <c r="D258" s="368" t="str">
        <f>+VLOOKUP(C258,Foundation!$C$8:$D$531,2,FALSE)</f>
        <v>DB1+3</v>
      </c>
      <c r="E258" s="368" t="str">
        <f>+VLOOKUP(C258,Foundation!$C$8:$E$495,3,FALSE)</f>
        <v>Sandy</v>
      </c>
      <c r="F258" s="350">
        <v>45867</v>
      </c>
      <c r="G258" s="350">
        <v>45872</v>
      </c>
      <c r="H258" s="373" t="s">
        <v>1489</v>
      </c>
      <c r="I258" s="381"/>
      <c r="J258" s="693">
        <f t="shared" ref="J258" si="20">+VLOOKUP(D258,$AB$7:$AC$35,2,FALSE)</f>
        <v>60.096777000000003</v>
      </c>
      <c r="K258" s="373" t="s">
        <v>1395</v>
      </c>
      <c r="M258" s="645">
        <f t="shared" si="7"/>
        <v>5</v>
      </c>
    </row>
    <row r="259" spans="1:13" hidden="1" x14ac:dyDescent="0.2">
      <c r="A259" s="372">
        <f>+SUBTOTAL(3,$G$7:$G259)</f>
        <v>0</v>
      </c>
      <c r="B259" s="366">
        <v>45870</v>
      </c>
      <c r="C259" s="367" t="s">
        <v>47</v>
      </c>
      <c r="D259" s="368" t="str">
        <f>+VLOOKUP(C259,Foundation!$C$8:$D$531,2,FALSE)</f>
        <v>DD60+0</v>
      </c>
      <c r="E259" s="368" t="str">
        <f>+VLOOKUP(C259,Foundation!$C$8:$E$495,3,FALSE)</f>
        <v>DRY</v>
      </c>
      <c r="F259" s="350">
        <v>45863</v>
      </c>
      <c r="G259" s="350">
        <v>45871</v>
      </c>
      <c r="H259" s="373" t="s">
        <v>1442</v>
      </c>
      <c r="I259" s="381"/>
      <c r="J259" s="693">
        <f t="shared" ref="J259:J260" si="21">+VLOOKUP(D259,$AB$7:$AC$35,2,FALSE)</f>
        <v>86.129278999999997</v>
      </c>
      <c r="K259" s="373" t="s">
        <v>1395</v>
      </c>
      <c r="M259" s="645">
        <f t="shared" si="7"/>
        <v>8</v>
      </c>
    </row>
    <row r="260" spans="1:13" hidden="1" x14ac:dyDescent="0.2">
      <c r="A260" s="372">
        <f>+SUBTOTAL(3,$G$7:$G260)</f>
        <v>0</v>
      </c>
      <c r="B260" s="366">
        <v>45870</v>
      </c>
      <c r="C260" s="367" t="s">
        <v>195</v>
      </c>
      <c r="D260" s="368" t="str">
        <f>+VLOOKUP(C260,Foundation!$C$8:$D$531,2,FALSE)</f>
        <v>DA+3</v>
      </c>
      <c r="E260" s="368" t="str">
        <f>+VLOOKUP(C260,Foundation!$C$8:$E$495,3,FALSE)</f>
        <v>DRY</v>
      </c>
      <c r="F260" s="350">
        <v>45868</v>
      </c>
      <c r="G260" s="350">
        <v>45873</v>
      </c>
      <c r="H260" s="373" t="s">
        <v>1394</v>
      </c>
      <c r="I260" s="381"/>
      <c r="J260" s="693">
        <f t="shared" si="21"/>
        <v>38.847605999999992</v>
      </c>
      <c r="K260" s="373" t="s">
        <v>1395</v>
      </c>
      <c r="M260" s="645">
        <f t="shared" si="7"/>
        <v>5</v>
      </c>
    </row>
    <row r="261" spans="1:13" hidden="1" x14ac:dyDescent="0.2">
      <c r="A261" s="372">
        <f>+SUBTOTAL(3,$G$7:$G261)</f>
        <v>0</v>
      </c>
      <c r="B261" s="366">
        <v>45870</v>
      </c>
      <c r="C261" s="367" t="s">
        <v>673</v>
      </c>
      <c r="D261" s="368" t="str">
        <f>+VLOOKUP(C261,Foundation!$C$8:$D$531,2,FALSE)</f>
        <v>DA+9</v>
      </c>
      <c r="E261" s="368" t="str">
        <f>+VLOOKUP(C261,Foundation!$C$8:$E$495,3,FALSE)</f>
        <v>Sandy</v>
      </c>
      <c r="F261" s="350">
        <v>45866</v>
      </c>
      <c r="G261" s="350">
        <v>45872</v>
      </c>
      <c r="H261" s="373" t="s">
        <v>1489</v>
      </c>
      <c r="I261" s="381"/>
      <c r="J261" s="693">
        <f t="shared" ref="J261" si="22">+VLOOKUP(D261,$AB$7:$AC$35,2,FALSE)</f>
        <v>47.184350000000002</v>
      </c>
      <c r="K261" s="373" t="s">
        <v>1395</v>
      </c>
      <c r="M261" s="645">
        <f t="shared" si="7"/>
        <v>6</v>
      </c>
    </row>
    <row r="262" spans="1:13" hidden="1" x14ac:dyDescent="0.2">
      <c r="A262" s="372">
        <f>+SUBTOTAL(3,$G$7:$G262)</f>
        <v>0</v>
      </c>
      <c r="B262" s="366">
        <v>45870</v>
      </c>
      <c r="C262" s="367" t="s">
        <v>686</v>
      </c>
      <c r="D262" s="368" t="str">
        <f>+VLOOKUP(C262,Foundation!$C$8:$D$531,2,FALSE)</f>
        <v>DA+3</v>
      </c>
      <c r="E262" s="368" t="str">
        <f>+VLOOKUP(C262,Foundation!$C$8:$E$495,3,FALSE)</f>
        <v>Sandy</v>
      </c>
      <c r="F262" s="350">
        <v>45864</v>
      </c>
      <c r="G262" s="350">
        <v>45874</v>
      </c>
      <c r="H262" s="373" t="s">
        <v>1490</v>
      </c>
      <c r="I262" s="381"/>
      <c r="J262" s="693">
        <f t="shared" ref="J262" si="23">+VLOOKUP(D262,$AB$7:$AC$35,2,FALSE)</f>
        <v>38.847605999999992</v>
      </c>
      <c r="K262" s="373" t="s">
        <v>1395</v>
      </c>
      <c r="M262" s="645">
        <f t="shared" si="7"/>
        <v>10</v>
      </c>
    </row>
    <row r="263" spans="1:13" hidden="1" x14ac:dyDescent="0.2">
      <c r="A263" s="372">
        <f>+SUBTOTAL(3,$G$7:$G263)</f>
        <v>0</v>
      </c>
      <c r="B263" s="366">
        <v>45870</v>
      </c>
      <c r="C263" s="367" t="s">
        <v>519</v>
      </c>
      <c r="D263" s="368" t="str">
        <f>+VLOOKUP(C263,Foundation!$C$8:$D$531,2,FALSE)</f>
        <v>DA+0</v>
      </c>
      <c r="E263" s="368" t="str">
        <f>+VLOOKUP(C263,Foundation!$C$8:$E$495,3,FALSE)</f>
        <v>DRY</v>
      </c>
      <c r="F263" s="599">
        <v>45870</v>
      </c>
      <c r="G263" s="350">
        <v>45874</v>
      </c>
      <c r="H263" s="634" t="s">
        <v>1453</v>
      </c>
      <c r="I263" s="381"/>
      <c r="J263" s="693">
        <f t="shared" ref="J263" si="24">+VLOOKUP(D263,$AB$7:$AC$35,2,FALSE)</f>
        <v>37.504372000000004</v>
      </c>
      <c r="K263" s="634" t="s">
        <v>1395</v>
      </c>
      <c r="M263" s="645">
        <f t="shared" si="7"/>
        <v>4</v>
      </c>
    </row>
    <row r="264" spans="1:13" hidden="1" x14ac:dyDescent="0.2">
      <c r="A264" s="372">
        <f>+SUBTOTAL(3,$G$7:$G264)</f>
        <v>0</v>
      </c>
      <c r="B264" s="366">
        <v>45870</v>
      </c>
      <c r="C264" s="367" t="s">
        <v>200</v>
      </c>
      <c r="D264" s="368" t="str">
        <f>+VLOOKUP(C264,Foundation!$C$8:$D$531,2,FALSE)</f>
        <v>DA+3</v>
      </c>
      <c r="E264" s="368" t="str">
        <f>+VLOOKUP(C264,Foundation!$C$8:$E$495,3,FALSE)</f>
        <v>Sandy</v>
      </c>
      <c r="F264" s="350">
        <v>45870</v>
      </c>
      <c r="G264" s="350">
        <v>45875</v>
      </c>
      <c r="H264" s="373" t="s">
        <v>1452</v>
      </c>
      <c r="I264" s="381"/>
      <c r="J264" s="693">
        <f t="shared" ref="J264:J265" si="25">+VLOOKUP(D264,$AB$7:$AC$35,2,FALSE)</f>
        <v>38.847605999999992</v>
      </c>
      <c r="K264" s="373" t="s">
        <v>1395</v>
      </c>
      <c r="M264" s="645">
        <f t="shared" ref="M264:M327" si="26">G264-F264</f>
        <v>5</v>
      </c>
    </row>
    <row r="265" spans="1:13" hidden="1" x14ac:dyDescent="0.2">
      <c r="A265" s="372">
        <f>+SUBTOTAL(3,$G$7:$G265)</f>
        <v>0</v>
      </c>
      <c r="B265" s="366">
        <v>45870</v>
      </c>
      <c r="C265" s="367" t="s">
        <v>676</v>
      </c>
      <c r="D265" s="368" t="str">
        <f>+VLOOKUP(C265,Foundation!$C$8:$D$531,2,FALSE)</f>
        <v>DB1+9</v>
      </c>
      <c r="E265" s="368" t="str">
        <f>+VLOOKUP(C265,Foundation!$C$8:$E$495,3,FALSE)</f>
        <v>Sandy</v>
      </c>
      <c r="F265" s="350">
        <v>45866</v>
      </c>
      <c r="G265" s="350">
        <v>45875</v>
      </c>
      <c r="H265" s="373" t="s">
        <v>1489</v>
      </c>
      <c r="I265" s="381"/>
      <c r="J265" s="693">
        <f t="shared" si="25"/>
        <v>70.701702999999995</v>
      </c>
      <c r="K265" s="373" t="s">
        <v>1395</v>
      </c>
      <c r="M265" s="645">
        <f t="shared" si="26"/>
        <v>9</v>
      </c>
    </row>
    <row r="266" spans="1:13" hidden="1" x14ac:dyDescent="0.2">
      <c r="A266" s="372">
        <f>+SUBTOTAL(3,$G$7:$G266)</f>
        <v>0</v>
      </c>
      <c r="B266" s="366">
        <v>45870</v>
      </c>
      <c r="C266" s="367" t="s">
        <v>181</v>
      </c>
      <c r="D266" s="368" t="str">
        <f>+VLOOKUP(C266,Foundation!$C$8:$D$531,2,FALSE)</f>
        <v>DA+0</v>
      </c>
      <c r="E266" s="368" t="str">
        <f>+VLOOKUP(C266,Foundation!$C$8:$E$495,3,FALSE)</f>
        <v>Sandy</v>
      </c>
      <c r="F266" s="350">
        <v>45869</v>
      </c>
      <c r="G266" s="350">
        <v>45878</v>
      </c>
      <c r="H266" s="373" t="s">
        <v>1451</v>
      </c>
      <c r="I266" s="381"/>
      <c r="J266" s="693">
        <f t="shared" ref="J266:J267" si="27">+VLOOKUP(D266,$AB$7:$AC$35,2,FALSE)</f>
        <v>37.504372000000004</v>
      </c>
      <c r="K266" s="373" t="s">
        <v>1395</v>
      </c>
      <c r="M266" s="645">
        <f t="shared" si="26"/>
        <v>9</v>
      </c>
    </row>
    <row r="267" spans="1:13" hidden="1" x14ac:dyDescent="0.2">
      <c r="A267" s="372">
        <f>+SUBTOTAL(3,$G$7:$G267)</f>
        <v>0</v>
      </c>
      <c r="B267" s="366">
        <v>45870</v>
      </c>
      <c r="C267" s="367" t="s">
        <v>671</v>
      </c>
      <c r="D267" s="368" t="str">
        <f>+VLOOKUP(C267,Foundation!$C$8:$D$531,2,FALSE)</f>
        <v>DA+9</v>
      </c>
      <c r="E267" s="368" t="str">
        <f>+VLOOKUP(C267,Foundation!$C$8:$E$495,3,FALSE)</f>
        <v>Sandy</v>
      </c>
      <c r="F267" s="350">
        <v>45873</v>
      </c>
      <c r="G267" s="350">
        <v>45878</v>
      </c>
      <c r="H267" s="373" t="s">
        <v>1489</v>
      </c>
      <c r="I267" s="381"/>
      <c r="J267" s="693">
        <f t="shared" si="27"/>
        <v>47.184350000000002</v>
      </c>
      <c r="K267" s="373" t="s">
        <v>1395</v>
      </c>
      <c r="M267" s="645">
        <f t="shared" si="26"/>
        <v>5</v>
      </c>
    </row>
    <row r="268" spans="1:13" hidden="1" x14ac:dyDescent="0.2">
      <c r="A268" s="372">
        <f>+SUBTOTAL(3,$G$7:$G268)</f>
        <v>0</v>
      </c>
      <c r="B268" s="366">
        <v>45870</v>
      </c>
      <c r="C268" s="367" t="s">
        <v>456</v>
      </c>
      <c r="D268" s="368" t="str">
        <f>+VLOOKUP(C268,Foundation!$C$8:$D$531,2,FALSE)</f>
        <v>DA+0</v>
      </c>
      <c r="E268" s="368" t="str">
        <f>+VLOOKUP(C268,Foundation!$C$8:$E$495,3,FALSE)</f>
        <v>DRY</v>
      </c>
      <c r="F268" s="350">
        <v>45863</v>
      </c>
      <c r="G268" s="350">
        <v>45878</v>
      </c>
      <c r="H268" s="373" t="s">
        <v>1371</v>
      </c>
      <c r="I268" s="381"/>
      <c r="J268" s="693">
        <f t="shared" ref="J268:J269" si="28">+VLOOKUP(D268,$AB$7:$AC$35,2,FALSE)</f>
        <v>37.504372000000004</v>
      </c>
      <c r="K268" s="373" t="s">
        <v>1395</v>
      </c>
      <c r="M268" s="645">
        <f t="shared" si="26"/>
        <v>15</v>
      </c>
    </row>
    <row r="269" spans="1:13" hidden="1" x14ac:dyDescent="0.2">
      <c r="A269" s="372">
        <f>+SUBTOTAL(3,$G$7:$G269)</f>
        <v>0</v>
      </c>
      <c r="B269" s="366">
        <v>45870</v>
      </c>
      <c r="C269" s="367" t="s">
        <v>466</v>
      </c>
      <c r="D269" s="368" t="str">
        <f>+VLOOKUP(C269,Foundation!$C$8:$D$531,2,FALSE)</f>
        <v>DA+0</v>
      </c>
      <c r="E269" s="368" t="str">
        <f>+VLOOKUP(C269,Foundation!$C$8:$E$495,3,FALSE)</f>
        <v>DRY</v>
      </c>
      <c r="F269" s="350">
        <v>45873</v>
      </c>
      <c r="G269" s="350">
        <v>45878</v>
      </c>
      <c r="H269" s="373" t="s">
        <v>1394</v>
      </c>
      <c r="I269" s="381"/>
      <c r="J269" s="693">
        <f t="shared" si="28"/>
        <v>37.504372000000004</v>
      </c>
      <c r="K269" s="373" t="s">
        <v>1395</v>
      </c>
      <c r="M269" s="645">
        <f t="shared" si="26"/>
        <v>5</v>
      </c>
    </row>
    <row r="270" spans="1:13" hidden="1" x14ac:dyDescent="0.2">
      <c r="A270" s="372">
        <f>+SUBTOTAL(3,$G$7:$G270)</f>
        <v>0</v>
      </c>
      <c r="B270" s="366">
        <v>45870</v>
      </c>
      <c r="C270" s="367" t="s">
        <v>76</v>
      </c>
      <c r="D270" s="368" t="str">
        <f>+VLOOKUP(C270,Foundation!$C$8:$D$531,2,FALSE)</f>
        <v>DB1+0</v>
      </c>
      <c r="E270" s="368" t="str">
        <f>+VLOOKUP(C270,Foundation!$C$8:$E$495,3,FALSE)</f>
        <v>DRY</v>
      </c>
      <c r="F270" s="350">
        <v>45868</v>
      </c>
      <c r="G270" s="350">
        <v>45881</v>
      </c>
      <c r="H270" s="373" t="s">
        <v>1394</v>
      </c>
      <c r="I270" s="381"/>
      <c r="J270" s="693">
        <f t="shared" ref="J270" si="29">+VLOOKUP(D270,$AB$7:$AC$35,2,FALSE)</f>
        <v>57.597240999999997</v>
      </c>
      <c r="K270" s="373" t="s">
        <v>1395</v>
      </c>
      <c r="M270" s="645">
        <f t="shared" si="26"/>
        <v>13</v>
      </c>
    </row>
    <row r="271" spans="1:13" hidden="1" x14ac:dyDescent="0.2">
      <c r="A271" s="372">
        <f>+SUBTOTAL(3,$G$7:$G271)</f>
        <v>0</v>
      </c>
      <c r="B271" s="366">
        <v>45870</v>
      </c>
      <c r="C271" s="367" t="s">
        <v>746</v>
      </c>
      <c r="D271" s="368" t="str">
        <f>+VLOOKUP(C271,Foundation!$C$8:$D$531,2,FALSE)</f>
        <v>DA+6</v>
      </c>
      <c r="E271" s="368" t="str">
        <f>+VLOOKUP(C271,Foundation!$C$8:$E$495,3,FALSE)</f>
        <v>Sandy</v>
      </c>
      <c r="F271" s="350">
        <v>45876</v>
      </c>
      <c r="G271" s="350">
        <v>45882</v>
      </c>
      <c r="H271" s="382" t="s">
        <v>1488</v>
      </c>
      <c r="I271" s="381"/>
      <c r="J271" s="693">
        <f t="shared" ref="J271" si="30">+VLOOKUP(D271,$AB$7:$AC$35,2,FALSE)</f>
        <v>45.413028000000004</v>
      </c>
      <c r="K271" s="382" t="s">
        <v>1395</v>
      </c>
      <c r="M271" s="645">
        <f t="shared" si="26"/>
        <v>6</v>
      </c>
    </row>
    <row r="272" spans="1:13" hidden="1" x14ac:dyDescent="0.2">
      <c r="A272" s="372">
        <f>+SUBTOTAL(3,$G$7:$G272)</f>
        <v>0</v>
      </c>
      <c r="B272" s="366">
        <v>45870</v>
      </c>
      <c r="C272" s="367" t="s">
        <v>446</v>
      </c>
      <c r="D272" s="368" t="str">
        <f>+VLOOKUP(C272,Foundation!$C$8:$D$531,2,FALSE)</f>
        <v>DC1+0</v>
      </c>
      <c r="E272" s="368" t="str">
        <f>+VLOOKUP(C272,Foundation!$C$8:$E$495,3,FALSE)</f>
        <v>DRY</v>
      </c>
      <c r="F272" s="350">
        <v>45867</v>
      </c>
      <c r="G272" s="350">
        <v>45882</v>
      </c>
      <c r="H272" s="382" t="s">
        <v>1493</v>
      </c>
      <c r="I272" s="381"/>
      <c r="J272" s="693">
        <f t="shared" ref="J272" si="31">+VLOOKUP(D272,$AB$7:$AC$35,2,FALSE)</f>
        <v>66.381106999999986</v>
      </c>
      <c r="K272" s="382" t="s">
        <v>1395</v>
      </c>
      <c r="M272" s="645">
        <f t="shared" si="26"/>
        <v>15</v>
      </c>
    </row>
    <row r="273" spans="1:13" hidden="1" x14ac:dyDescent="0.2">
      <c r="A273" s="372">
        <f>+SUBTOTAL(3,$G$7:$G273)</f>
        <v>0</v>
      </c>
      <c r="B273" s="366">
        <v>45870</v>
      </c>
      <c r="C273" s="367" t="s">
        <v>672</v>
      </c>
      <c r="D273" s="368" t="str">
        <f>+VLOOKUP(C273,Foundation!$C$8:$D$531,2,FALSE)</f>
        <v>DB1+3</v>
      </c>
      <c r="E273" s="368" t="str">
        <f>+VLOOKUP(C273,Foundation!$C$8:$E$495,3,FALSE)</f>
        <v>Sandy</v>
      </c>
      <c r="F273" s="350">
        <v>45878</v>
      </c>
      <c r="G273" s="350">
        <v>45885</v>
      </c>
      <c r="H273" s="382" t="s">
        <v>1489</v>
      </c>
      <c r="I273" s="381"/>
      <c r="J273" s="693">
        <f t="shared" ref="J273:J277" si="32">+VLOOKUP(D273,$AB$7:$AC$35,2,FALSE)</f>
        <v>60.096777000000003</v>
      </c>
      <c r="K273" s="382" t="s">
        <v>1395</v>
      </c>
      <c r="M273" s="645">
        <f t="shared" si="26"/>
        <v>7</v>
      </c>
    </row>
    <row r="274" spans="1:13" hidden="1" x14ac:dyDescent="0.2">
      <c r="A274" s="372">
        <f>+SUBTOTAL(3,$G$7:$G274)</f>
        <v>0</v>
      </c>
      <c r="B274" s="366">
        <v>45870</v>
      </c>
      <c r="C274" s="367" t="s">
        <v>681</v>
      </c>
      <c r="D274" s="368" t="str">
        <f>+VLOOKUP(C274,Foundation!$C$8:$D$531,2,FALSE)</f>
        <v>DA+9</v>
      </c>
      <c r="E274" s="368" t="str">
        <f>+VLOOKUP(C274,Foundation!$C$8:$E$495,3,FALSE)</f>
        <v>Sandy</v>
      </c>
      <c r="F274" s="350">
        <v>45873</v>
      </c>
      <c r="G274" s="350">
        <v>45885</v>
      </c>
      <c r="H274" s="382" t="s">
        <v>1490</v>
      </c>
      <c r="I274" s="381"/>
      <c r="J274" s="693">
        <f t="shared" si="32"/>
        <v>47.184350000000002</v>
      </c>
      <c r="K274" s="382" t="s">
        <v>1395</v>
      </c>
      <c r="M274" s="645">
        <f t="shared" si="26"/>
        <v>12</v>
      </c>
    </row>
    <row r="275" spans="1:13" hidden="1" x14ac:dyDescent="0.2">
      <c r="A275" s="372">
        <f>+SUBTOTAL(3,$G$7:$G275)</f>
        <v>0</v>
      </c>
      <c r="B275" s="366">
        <v>45870</v>
      </c>
      <c r="C275" s="367" t="s">
        <v>554</v>
      </c>
      <c r="D275" s="368" t="str">
        <f>+VLOOKUP(C275,Foundation!$C$8:$D$531,2,FALSE)</f>
        <v>DA+3</v>
      </c>
      <c r="E275" s="368" t="str">
        <f>+VLOOKUP(C275,Foundation!$C$8:$E$495,3,FALSE)</f>
        <v>Sandy</v>
      </c>
      <c r="F275" s="350">
        <v>45879</v>
      </c>
      <c r="G275" s="350">
        <v>45886</v>
      </c>
      <c r="H275" s="382" t="s">
        <v>1496</v>
      </c>
      <c r="I275" s="381"/>
      <c r="J275" s="693">
        <f t="shared" si="32"/>
        <v>38.847605999999992</v>
      </c>
      <c r="K275" s="382" t="s">
        <v>1395</v>
      </c>
      <c r="M275" s="645">
        <f t="shared" si="26"/>
        <v>7</v>
      </c>
    </row>
    <row r="276" spans="1:13" hidden="1" x14ac:dyDescent="0.2">
      <c r="A276" s="372">
        <f>+SUBTOTAL(3,$G$7:$G276)</f>
        <v>0</v>
      </c>
      <c r="B276" s="366">
        <v>45870</v>
      </c>
      <c r="C276" s="367" t="s">
        <v>678</v>
      </c>
      <c r="D276" s="368" t="str">
        <f>+VLOOKUP(C276,Foundation!$C$8:$D$531,2,FALSE)</f>
        <v>DC2+0</v>
      </c>
      <c r="E276" s="368" t="str">
        <f>+VLOOKUP(C276,Foundation!$C$8:$E$495,3,FALSE)</f>
        <v>Sandy</v>
      </c>
      <c r="F276" s="350">
        <v>45875</v>
      </c>
      <c r="G276" s="350">
        <v>45886</v>
      </c>
      <c r="H276" s="382" t="s">
        <v>1450</v>
      </c>
      <c r="I276" s="381"/>
      <c r="J276" s="693">
        <f t="shared" si="32"/>
        <v>66.381106999999986</v>
      </c>
      <c r="K276" s="382" t="s">
        <v>1395</v>
      </c>
      <c r="M276" s="645">
        <f t="shared" si="26"/>
        <v>11</v>
      </c>
    </row>
    <row r="277" spans="1:13" hidden="1" x14ac:dyDescent="0.2">
      <c r="A277" s="372">
        <f>+SUBTOTAL(3,$G$7:$G277)</f>
        <v>0</v>
      </c>
      <c r="B277" s="366">
        <v>45870</v>
      </c>
      <c r="C277" s="367" t="s">
        <v>745</v>
      </c>
      <c r="D277" s="368" t="str">
        <f>+VLOOKUP(C277,Foundation!$C$8:$D$531,2,FALSE)</f>
        <v>DA+0</v>
      </c>
      <c r="E277" s="368" t="str">
        <f>+VLOOKUP(C277,Foundation!$C$8:$E$495,3,FALSE)</f>
        <v>Sandy</v>
      </c>
      <c r="F277" s="350">
        <v>45882</v>
      </c>
      <c r="G277" s="350">
        <v>45886</v>
      </c>
      <c r="H277" s="382" t="s">
        <v>1488</v>
      </c>
      <c r="I277" s="381"/>
      <c r="J277" s="693">
        <f t="shared" si="32"/>
        <v>37.504372000000004</v>
      </c>
      <c r="K277" s="382" t="s">
        <v>1395</v>
      </c>
      <c r="M277" s="645">
        <f t="shared" si="26"/>
        <v>4</v>
      </c>
    </row>
    <row r="278" spans="1:13" hidden="1" x14ac:dyDescent="0.2">
      <c r="A278" s="372">
        <f>+SUBTOTAL(3,$G$7:$G278)</f>
        <v>0</v>
      </c>
      <c r="B278" s="366">
        <v>45870</v>
      </c>
      <c r="C278" s="367" t="s">
        <v>449</v>
      </c>
      <c r="D278" s="368" t="str">
        <f>+VLOOKUP(C278,Foundation!$C$8:$D$531,2,FALSE)</f>
        <v>DA+3</v>
      </c>
      <c r="E278" s="368" t="str">
        <f>+VLOOKUP(C278,Foundation!$C$8:$E$495,3,FALSE)</f>
        <v>Sandy</v>
      </c>
      <c r="F278" s="350">
        <v>45873</v>
      </c>
      <c r="G278" s="350">
        <v>45886</v>
      </c>
      <c r="H278" s="382" t="s">
        <v>1484</v>
      </c>
      <c r="I278" s="381"/>
      <c r="J278" s="693">
        <f t="shared" ref="J278" si="33">+VLOOKUP(D278,$AB$7:$AC$35,2,FALSE)</f>
        <v>38.847605999999992</v>
      </c>
      <c r="K278" s="382" t="s">
        <v>1395</v>
      </c>
      <c r="M278" s="645">
        <f t="shared" si="26"/>
        <v>13</v>
      </c>
    </row>
    <row r="279" spans="1:13" hidden="1" x14ac:dyDescent="0.2">
      <c r="A279" s="372">
        <f>+SUBTOTAL(3,$G$7:$G279)</f>
        <v>0</v>
      </c>
      <c r="B279" s="366">
        <v>45870</v>
      </c>
      <c r="C279" s="367" t="s">
        <v>202</v>
      </c>
      <c r="D279" s="368" t="str">
        <f>+VLOOKUP(C279,Foundation!$C$8:$D$531,2,FALSE)</f>
        <v>DA+3</v>
      </c>
      <c r="E279" s="368" t="str">
        <f>+VLOOKUP(C279,Foundation!$C$8:$E$495,3,FALSE)</f>
        <v>DRY</v>
      </c>
      <c r="F279" s="350">
        <v>45875</v>
      </c>
      <c r="G279" s="350">
        <v>45886</v>
      </c>
      <c r="H279" s="382" t="s">
        <v>1452</v>
      </c>
      <c r="I279" s="381"/>
      <c r="J279" s="693">
        <f t="shared" ref="J279" si="34">+VLOOKUP(D279,$AB$7:$AC$35,2,FALSE)</f>
        <v>38.847605999999992</v>
      </c>
      <c r="K279" s="382" t="s">
        <v>1395</v>
      </c>
      <c r="M279" s="645">
        <f t="shared" si="26"/>
        <v>11</v>
      </c>
    </row>
    <row r="280" spans="1:13" hidden="1" x14ac:dyDescent="0.2">
      <c r="A280" s="372">
        <f>+SUBTOTAL(3,$G$7:$G280)</f>
        <v>0</v>
      </c>
      <c r="B280" s="366">
        <v>45870</v>
      </c>
      <c r="C280" s="367" t="s">
        <v>67</v>
      </c>
      <c r="D280" s="368" t="str">
        <f>+VLOOKUP(C280,Foundation!$C$8:$D$531,2,FALSE)</f>
        <v>DA+3</v>
      </c>
      <c r="E280" s="368" t="str">
        <f>+VLOOKUP(C280,Foundation!$C$8:$E$495,3,FALSE)</f>
        <v>DFR</v>
      </c>
      <c r="F280" s="350">
        <v>45878</v>
      </c>
      <c r="G280" s="350">
        <v>45886</v>
      </c>
      <c r="H280" s="382" t="s">
        <v>1494</v>
      </c>
      <c r="I280" s="381"/>
      <c r="J280" s="693">
        <f t="shared" ref="J280" si="35">+VLOOKUP(D280,$AB$7:$AC$35,2,FALSE)</f>
        <v>38.847605999999992</v>
      </c>
      <c r="K280" s="382" t="s">
        <v>1395</v>
      </c>
      <c r="M280" s="645">
        <f t="shared" si="26"/>
        <v>8</v>
      </c>
    </row>
    <row r="281" spans="1:13" hidden="1" x14ac:dyDescent="0.2">
      <c r="A281" s="372">
        <f>+SUBTOTAL(3,$G$7:$G281)</f>
        <v>0</v>
      </c>
      <c r="B281" s="366">
        <v>45870</v>
      </c>
      <c r="C281" s="367" t="s">
        <v>575</v>
      </c>
      <c r="D281" s="368" t="str">
        <f>+VLOOKUP(C281,Foundation!$C$8:$D$531,2,FALSE)</f>
        <v>DA+3</v>
      </c>
      <c r="E281" s="368" t="str">
        <f>+VLOOKUP(C281,Foundation!$C$8:$E$495,3,FALSE)</f>
        <v>Sandy</v>
      </c>
      <c r="F281" s="350">
        <v>45881</v>
      </c>
      <c r="G281" s="350">
        <v>45887</v>
      </c>
      <c r="H281" s="382" t="s">
        <v>1499</v>
      </c>
      <c r="I281" s="381"/>
      <c r="J281" s="693">
        <f t="shared" ref="J281:J282" si="36">+VLOOKUP(D281,$AB$7:$AC$35,2,FALSE)</f>
        <v>38.847605999999992</v>
      </c>
      <c r="K281" s="382" t="s">
        <v>1395</v>
      </c>
      <c r="M281" s="645">
        <f t="shared" si="26"/>
        <v>6</v>
      </c>
    </row>
    <row r="282" spans="1:13" hidden="1" x14ac:dyDescent="0.2">
      <c r="A282" s="372">
        <f>+SUBTOTAL(3,$G$7:$G282)</f>
        <v>0</v>
      </c>
      <c r="B282" s="366">
        <v>45870</v>
      </c>
      <c r="C282" s="367" t="s">
        <v>507</v>
      </c>
      <c r="D282" s="368" t="str">
        <f>+VLOOKUP(C282,Foundation!$C$8:$D$531,2,FALSE)</f>
        <v>DA+3</v>
      </c>
      <c r="E282" s="368" t="str">
        <f>+VLOOKUP(C282,Foundation!$C$8:$E$495,3,FALSE)</f>
        <v>DRY</v>
      </c>
      <c r="F282" s="350">
        <v>45882</v>
      </c>
      <c r="G282" s="350">
        <v>45887</v>
      </c>
      <c r="H282" s="382" t="s">
        <v>1502</v>
      </c>
      <c r="I282" s="381"/>
      <c r="J282" s="693">
        <f t="shared" si="36"/>
        <v>38.847605999999992</v>
      </c>
      <c r="K282" s="382" t="s">
        <v>1395</v>
      </c>
      <c r="M282" s="645">
        <f t="shared" si="26"/>
        <v>5</v>
      </c>
    </row>
    <row r="283" spans="1:13" hidden="1" x14ac:dyDescent="0.2">
      <c r="A283" s="372">
        <f>+SUBTOTAL(3,$G$7:$G283)</f>
        <v>0</v>
      </c>
      <c r="B283" s="366">
        <v>45870</v>
      </c>
      <c r="C283" s="367" t="s">
        <v>75</v>
      </c>
      <c r="D283" s="368" t="str">
        <f>+VLOOKUP(C283,Foundation!$C$8:$D$531,2,FALSE)</f>
        <v>DA+9</v>
      </c>
      <c r="E283" s="368" t="str">
        <f>+VLOOKUP(C283,Foundation!$C$8:$E$495,3,FALSE)</f>
        <v>Sandy</v>
      </c>
      <c r="F283" s="350">
        <v>45881</v>
      </c>
      <c r="G283" s="350">
        <v>45888</v>
      </c>
      <c r="H283" s="382" t="s">
        <v>1394</v>
      </c>
      <c r="I283" s="381"/>
      <c r="J283" s="693">
        <f t="shared" ref="J283" si="37">+VLOOKUP(D283,$AB$7:$AC$35,2,FALSE)</f>
        <v>47.184350000000002</v>
      </c>
      <c r="K283" s="382" t="s">
        <v>1395</v>
      </c>
      <c r="M283" s="645">
        <f t="shared" si="26"/>
        <v>7</v>
      </c>
    </row>
    <row r="284" spans="1:13" hidden="1" x14ac:dyDescent="0.2">
      <c r="A284" s="372">
        <f>+SUBTOTAL(3,$G$7:$G284)</f>
        <v>0</v>
      </c>
      <c r="B284" s="366">
        <v>45870</v>
      </c>
      <c r="C284" s="367" t="s">
        <v>451</v>
      </c>
      <c r="D284" s="368" t="str">
        <f>+VLOOKUP(C284,Foundation!$C$8:$D$531,2,FALSE)</f>
        <v>DA+3</v>
      </c>
      <c r="E284" s="368" t="str">
        <f>+VLOOKUP(C284,Foundation!$C$8:$E$495,3,FALSE)</f>
        <v>Sandy</v>
      </c>
      <c r="F284" s="350">
        <v>45873</v>
      </c>
      <c r="G284" s="350">
        <v>45888</v>
      </c>
      <c r="H284" s="382" t="s">
        <v>1485</v>
      </c>
      <c r="I284" s="381"/>
      <c r="J284" s="693">
        <f t="shared" ref="J284" si="38">+VLOOKUP(D284,$AB$7:$AC$35,2,FALSE)</f>
        <v>38.847605999999992</v>
      </c>
      <c r="K284" s="382" t="s">
        <v>1395</v>
      </c>
      <c r="M284" s="645">
        <f t="shared" si="26"/>
        <v>15</v>
      </c>
    </row>
    <row r="285" spans="1:13" hidden="1" x14ac:dyDescent="0.2">
      <c r="A285" s="372">
        <f>+SUBTOTAL(3,$G$7:$G285)</f>
        <v>0</v>
      </c>
      <c r="B285" s="366">
        <v>45870</v>
      </c>
      <c r="C285" s="367" t="s">
        <v>445</v>
      </c>
      <c r="D285" s="368" t="str">
        <f>+VLOOKUP(C285,Foundation!$C$8:$D$531,2,FALSE)</f>
        <v>DD60+0</v>
      </c>
      <c r="E285" s="368" t="str">
        <f>+VLOOKUP(C285,Foundation!$C$8:$E$495,3,FALSE)</f>
        <v>DRY</v>
      </c>
      <c r="F285" s="350">
        <v>45845</v>
      </c>
      <c r="G285" s="350">
        <v>45889</v>
      </c>
      <c r="H285" s="382" t="s">
        <v>1436</v>
      </c>
      <c r="I285" s="381"/>
      <c r="J285" s="693">
        <f t="shared" ref="J285" si="39">+VLOOKUP(D285,$AB$7:$AC$35,2,FALSE)</f>
        <v>86.129278999999997</v>
      </c>
      <c r="K285" s="382" t="s">
        <v>1395</v>
      </c>
      <c r="M285" s="645">
        <f t="shared" si="26"/>
        <v>44</v>
      </c>
    </row>
    <row r="286" spans="1:13" hidden="1" x14ac:dyDescent="0.2">
      <c r="A286" s="372">
        <f>+SUBTOTAL(3,$G$7:$G286)</f>
        <v>0</v>
      </c>
      <c r="B286" s="366">
        <v>45870</v>
      </c>
      <c r="C286" s="367" t="s">
        <v>556</v>
      </c>
      <c r="D286" s="368" t="str">
        <f>+VLOOKUP(C286,Foundation!$C$8:$D$531,2,FALSE)</f>
        <v>DB1+9</v>
      </c>
      <c r="E286" s="368" t="str">
        <f>+VLOOKUP(C286,Foundation!$C$8:$E$495,3,FALSE)</f>
        <v>Sandy</v>
      </c>
      <c r="F286" s="350">
        <v>45879</v>
      </c>
      <c r="G286" s="350">
        <v>45890</v>
      </c>
      <c r="H286" s="382" t="s">
        <v>1497</v>
      </c>
      <c r="I286" s="381"/>
      <c r="J286" s="693">
        <f t="shared" ref="J286" si="40">+VLOOKUP(D286,$AB$7:$AC$35,2,FALSE)</f>
        <v>70.701702999999995</v>
      </c>
      <c r="K286" s="382" t="s">
        <v>1395</v>
      </c>
      <c r="M286" s="645">
        <f t="shared" si="26"/>
        <v>11</v>
      </c>
    </row>
    <row r="287" spans="1:13" hidden="1" x14ac:dyDescent="0.2">
      <c r="A287" s="372">
        <f>+SUBTOTAL(3,$G$7:$G287)</f>
        <v>0</v>
      </c>
      <c r="B287" s="366">
        <v>45870</v>
      </c>
      <c r="C287" s="367" t="s">
        <v>203</v>
      </c>
      <c r="D287" s="368" t="str">
        <f>+VLOOKUP(C287,Foundation!$C$8:$D$531,2,FALSE)</f>
        <v>DA+0</v>
      </c>
      <c r="E287" s="368" t="str">
        <f>+VLOOKUP(C287,Foundation!$C$8:$E$495,3,FALSE)</f>
        <v>DRY</v>
      </c>
      <c r="F287" s="350">
        <v>45886</v>
      </c>
      <c r="G287" s="350">
        <v>45890</v>
      </c>
      <c r="H287" s="382" t="s">
        <v>1452</v>
      </c>
      <c r="I287" s="381"/>
      <c r="J287" s="693">
        <f t="shared" ref="J287" si="41">+VLOOKUP(D287,$AB$7:$AC$35,2,FALSE)</f>
        <v>37.504372000000004</v>
      </c>
      <c r="K287" s="382" t="s">
        <v>1395</v>
      </c>
      <c r="M287" s="645">
        <f t="shared" si="26"/>
        <v>4</v>
      </c>
    </row>
    <row r="288" spans="1:13" hidden="1" x14ac:dyDescent="0.2">
      <c r="A288" s="372">
        <f>+SUBTOTAL(3,$G$7:$G288)</f>
        <v>0</v>
      </c>
      <c r="B288" s="366">
        <v>45870</v>
      </c>
      <c r="C288" s="367" t="s">
        <v>457</v>
      </c>
      <c r="D288" s="368" t="str">
        <f>+VLOOKUP(C288,Foundation!$C$8:$D$531,2,FALSE)</f>
        <v>DA+0</v>
      </c>
      <c r="E288" s="368" t="str">
        <f>+VLOOKUP(C288,Foundation!$C$8:$E$495,3,FALSE)</f>
        <v>DRY</v>
      </c>
      <c r="F288" s="350">
        <v>45868</v>
      </c>
      <c r="G288" s="350">
        <v>45891</v>
      </c>
      <c r="H288" s="382" t="s">
        <v>1371</v>
      </c>
      <c r="I288" s="381"/>
      <c r="J288" s="693">
        <f t="shared" ref="J288" si="42">+VLOOKUP(D288,$AB$7:$AC$35,2,FALSE)</f>
        <v>37.504372000000004</v>
      </c>
      <c r="K288" s="382" t="s">
        <v>1395</v>
      </c>
      <c r="M288" s="645">
        <f t="shared" si="26"/>
        <v>23</v>
      </c>
    </row>
    <row r="289" spans="1:13" hidden="1" x14ac:dyDescent="0.2">
      <c r="A289" s="372">
        <f>+SUBTOTAL(3,$G$7:$G289)</f>
        <v>0</v>
      </c>
      <c r="B289" s="366">
        <v>45870</v>
      </c>
      <c r="C289" s="367" t="s">
        <v>683</v>
      </c>
      <c r="D289" s="368" t="str">
        <f>+VLOOKUP(C289,Foundation!$C$8:$D$531,2,FALSE)</f>
        <v>DA+3</v>
      </c>
      <c r="E289" s="368" t="str">
        <f>+VLOOKUP(C289,Foundation!$C$8:$E$495,3,FALSE)</f>
        <v>Sandy</v>
      </c>
      <c r="F289" s="350">
        <v>45875</v>
      </c>
      <c r="G289" s="350">
        <v>45891</v>
      </c>
      <c r="H289" s="382" t="s">
        <v>1490</v>
      </c>
      <c r="I289" s="381"/>
      <c r="J289" s="693">
        <f t="shared" ref="J289" si="43">+VLOOKUP(D289,$AB$7:$AC$35,2,FALSE)</f>
        <v>38.847605999999992</v>
      </c>
      <c r="K289" s="382" t="s">
        <v>1395</v>
      </c>
      <c r="M289" s="645">
        <f t="shared" si="26"/>
        <v>16</v>
      </c>
    </row>
    <row r="290" spans="1:13" hidden="1" x14ac:dyDescent="0.2">
      <c r="A290" s="372">
        <f>+SUBTOTAL(3,$G$7:$G290)</f>
        <v>0</v>
      </c>
      <c r="B290" s="366">
        <v>45870</v>
      </c>
      <c r="C290" s="367" t="s">
        <v>64</v>
      </c>
      <c r="D290" s="368" t="str">
        <f>+VLOOKUP(C290,Foundation!$C$8:$D$531,2,FALSE)</f>
        <v>DA+3</v>
      </c>
      <c r="E290" s="368" t="str">
        <f>+VLOOKUP(C290,Foundation!$C$8:$E$495,3,FALSE)</f>
        <v>DFR</v>
      </c>
      <c r="F290" s="350">
        <v>45885</v>
      </c>
      <c r="G290" s="350">
        <v>45892</v>
      </c>
      <c r="H290" s="382" t="s">
        <v>1503</v>
      </c>
      <c r="I290" s="381"/>
      <c r="J290" s="693">
        <f t="shared" ref="J290" si="44">+VLOOKUP(D290,$AB$7:$AC$35,2,FALSE)</f>
        <v>38.847605999999992</v>
      </c>
      <c r="K290" s="382" t="s">
        <v>1395</v>
      </c>
      <c r="M290" s="645">
        <f t="shared" si="26"/>
        <v>7</v>
      </c>
    </row>
    <row r="291" spans="1:13" hidden="1" x14ac:dyDescent="0.2">
      <c r="A291" s="372">
        <f>+SUBTOTAL(3,$G$7:$G291)</f>
        <v>0</v>
      </c>
      <c r="B291" s="366">
        <v>45870</v>
      </c>
      <c r="C291" s="367" t="s">
        <v>675</v>
      </c>
      <c r="D291" s="368" t="str">
        <f>+VLOOKUP(C291,Foundation!$C$8:$D$531,2,FALSE)</f>
        <v>DA+9</v>
      </c>
      <c r="E291" s="368" t="str">
        <f>+VLOOKUP(C291,Foundation!$C$8:$E$495,3,FALSE)</f>
        <v>Sandy</v>
      </c>
      <c r="F291" s="350">
        <v>45886</v>
      </c>
      <c r="G291" s="350">
        <v>45893</v>
      </c>
      <c r="H291" s="382" t="s">
        <v>1489</v>
      </c>
      <c r="I291" s="381"/>
      <c r="J291" s="693">
        <f t="shared" ref="J291:J293" si="45">+VLOOKUP(D291,$AB$7:$AC$35,2,FALSE)</f>
        <v>47.184350000000002</v>
      </c>
      <c r="K291" s="382" t="s">
        <v>1395</v>
      </c>
      <c r="M291" s="645">
        <f t="shared" si="26"/>
        <v>7</v>
      </c>
    </row>
    <row r="292" spans="1:13" hidden="1" x14ac:dyDescent="0.2">
      <c r="A292" s="372">
        <f>+SUBTOTAL(3,$G$7:$G292)</f>
        <v>0</v>
      </c>
      <c r="B292" s="366">
        <v>45870</v>
      </c>
      <c r="C292" s="367" t="s">
        <v>739</v>
      </c>
      <c r="D292" s="368" t="str">
        <f>+VLOOKUP(C292,Foundation!$C$8:$D$531,2,FALSE)</f>
        <v>DA+0</v>
      </c>
      <c r="E292" s="368" t="str">
        <f>+VLOOKUP(C292,Foundation!$C$8:$E$495,3,FALSE)</f>
        <v>WFR</v>
      </c>
      <c r="F292" s="350">
        <v>45886</v>
      </c>
      <c r="G292" s="350">
        <v>45893</v>
      </c>
      <c r="H292" s="382" t="s">
        <v>1379</v>
      </c>
      <c r="I292" s="381"/>
      <c r="J292" s="693">
        <f t="shared" si="45"/>
        <v>37.504372000000004</v>
      </c>
      <c r="K292" s="382" t="s">
        <v>1395</v>
      </c>
      <c r="M292" s="645">
        <f t="shared" si="26"/>
        <v>7</v>
      </c>
    </row>
    <row r="293" spans="1:13" hidden="1" x14ac:dyDescent="0.2">
      <c r="A293" s="372">
        <f>+SUBTOTAL(3,$G$7:$G293)</f>
        <v>0</v>
      </c>
      <c r="B293" s="366">
        <v>45870</v>
      </c>
      <c r="C293" s="367" t="s">
        <v>553</v>
      </c>
      <c r="D293" s="368" t="str">
        <f>+VLOOKUP(C293,Foundation!$C$8:$D$531,2,FALSE)</f>
        <v>DA+3</v>
      </c>
      <c r="E293" s="368" t="str">
        <f>+VLOOKUP(C293,Foundation!$C$8:$E$495,3,FALSE)</f>
        <v>Sandy</v>
      </c>
      <c r="F293" s="350">
        <v>45887</v>
      </c>
      <c r="G293" s="350">
        <v>45893</v>
      </c>
      <c r="H293" s="373" t="s">
        <v>1496</v>
      </c>
      <c r="I293" s="381"/>
      <c r="J293" s="693">
        <f t="shared" si="45"/>
        <v>38.847605999999992</v>
      </c>
      <c r="K293" s="373" t="s">
        <v>1395</v>
      </c>
      <c r="M293" s="645">
        <f t="shared" si="26"/>
        <v>6</v>
      </c>
    </row>
    <row r="294" spans="1:13" hidden="1" x14ac:dyDescent="0.2">
      <c r="A294" s="372">
        <f>+SUBTOTAL(3,$G$7:$G294)</f>
        <v>0</v>
      </c>
      <c r="B294" s="366">
        <v>45870</v>
      </c>
      <c r="C294" s="367" t="s">
        <v>72</v>
      </c>
      <c r="D294" s="368" t="str">
        <f>+VLOOKUP(C294,Foundation!$C$8:$D$531,2,FALSE)</f>
        <v>DA+0</v>
      </c>
      <c r="E294" s="368" t="str">
        <f>+VLOOKUP(C294,Foundation!$C$8:$E$495,3,FALSE)</f>
        <v>DFR</v>
      </c>
      <c r="F294" s="350">
        <v>45888</v>
      </c>
      <c r="G294" s="350">
        <v>45894</v>
      </c>
      <c r="H294" s="373" t="s">
        <v>1394</v>
      </c>
      <c r="I294" s="381"/>
      <c r="J294" s="693">
        <f t="shared" ref="J294" si="46">+VLOOKUP(D294,$AB$7:$AC$35,2,FALSE)</f>
        <v>37.504372000000004</v>
      </c>
      <c r="K294" s="373" t="s">
        <v>1395</v>
      </c>
      <c r="M294" s="645">
        <f t="shared" si="26"/>
        <v>6</v>
      </c>
    </row>
    <row r="295" spans="1:13" hidden="1" x14ac:dyDescent="0.2">
      <c r="A295" s="372">
        <f>+SUBTOTAL(3,$G$7:$G295)</f>
        <v>0</v>
      </c>
      <c r="B295" s="366">
        <v>45870</v>
      </c>
      <c r="C295" s="367" t="s">
        <v>509</v>
      </c>
      <c r="D295" s="368" t="str">
        <f>+VLOOKUP(C295,Foundation!$C$8:$D$531,2,FALSE)</f>
        <v>DC2+0</v>
      </c>
      <c r="E295" s="368" t="str">
        <f>+VLOOKUP(C295,Foundation!$C$8:$E$495,3,FALSE)</f>
        <v>DRY</v>
      </c>
      <c r="F295" s="350">
        <v>45887</v>
      </c>
      <c r="G295" s="350">
        <v>45894</v>
      </c>
      <c r="H295" s="373" t="s">
        <v>1500</v>
      </c>
      <c r="I295" s="381"/>
      <c r="J295" s="693">
        <f t="shared" ref="J295" si="47">+VLOOKUP(D295,$AB$7:$AC$35,2,FALSE)</f>
        <v>66.381106999999986</v>
      </c>
      <c r="K295" s="373" t="s">
        <v>1395</v>
      </c>
      <c r="M295" s="645">
        <f t="shared" si="26"/>
        <v>7</v>
      </c>
    </row>
    <row r="296" spans="1:13" hidden="1" x14ac:dyDescent="0.2">
      <c r="A296" s="372">
        <f>+SUBTOTAL(3,$G$7:$G296)</f>
        <v>0</v>
      </c>
      <c r="B296" s="366">
        <v>45870</v>
      </c>
      <c r="C296" s="367" t="s">
        <v>459</v>
      </c>
      <c r="D296" s="368" t="str">
        <f>+VLOOKUP(C296,Foundation!$C$8:$D$531,2,FALSE)</f>
        <v>DA+0</v>
      </c>
      <c r="E296" s="368" t="str">
        <f>+VLOOKUP(C296,Foundation!$C$8:$E$495,3,FALSE)</f>
        <v>DRY</v>
      </c>
      <c r="F296" s="350">
        <v>45889</v>
      </c>
      <c r="G296" s="350">
        <v>45894</v>
      </c>
      <c r="H296" s="373" t="s">
        <v>1504</v>
      </c>
      <c r="I296" s="381"/>
      <c r="J296" s="693">
        <f t="shared" ref="J296" si="48">+VLOOKUP(D296,$AB$7:$AC$35,2,FALSE)</f>
        <v>37.504372000000004</v>
      </c>
      <c r="K296" s="373" t="s">
        <v>1395</v>
      </c>
      <c r="M296" s="645">
        <f t="shared" si="26"/>
        <v>5</v>
      </c>
    </row>
    <row r="297" spans="1:13" hidden="1" x14ac:dyDescent="0.2">
      <c r="A297" s="372">
        <f>+SUBTOTAL(3,$G$7:$G297)</f>
        <v>0</v>
      </c>
      <c r="B297" s="366">
        <v>45870</v>
      </c>
      <c r="C297" s="367" t="s">
        <v>748</v>
      </c>
      <c r="D297" s="368" t="str">
        <f>+VLOOKUP(C297,Foundation!$C$8:$D$531,2,FALSE)</f>
        <v>DA+3</v>
      </c>
      <c r="E297" s="368" t="str">
        <f>+VLOOKUP(C297,Foundation!$C$8:$E$495,3,FALSE)</f>
        <v>DRY</v>
      </c>
      <c r="F297" s="350">
        <v>45890</v>
      </c>
      <c r="G297" s="350">
        <v>45894</v>
      </c>
      <c r="H297" s="373" t="s">
        <v>886</v>
      </c>
      <c r="I297" s="381"/>
      <c r="J297" s="693">
        <f t="shared" ref="J297" si="49">+VLOOKUP(D297,$AB$7:$AC$35,2,FALSE)</f>
        <v>38.847605999999992</v>
      </c>
      <c r="K297" s="373" t="s">
        <v>1395</v>
      </c>
      <c r="M297" s="645">
        <f t="shared" si="26"/>
        <v>4</v>
      </c>
    </row>
    <row r="298" spans="1:13" hidden="1" x14ac:dyDescent="0.2">
      <c r="A298" s="372">
        <f>+SUBTOTAL(3,$G$7:$G298)</f>
        <v>0</v>
      </c>
      <c r="B298" s="366">
        <v>45870</v>
      </c>
      <c r="C298" s="367" t="s">
        <v>677</v>
      </c>
      <c r="D298" s="368" t="str">
        <f>+VLOOKUP(C298,Foundation!$C$8:$D$531,2,FALSE)</f>
        <v>DA+0</v>
      </c>
      <c r="E298" s="368" t="str">
        <f>+VLOOKUP(C298,Foundation!$C$8:$E$495,3,FALSE)</f>
        <v>Sandy</v>
      </c>
      <c r="F298" s="350">
        <v>45888</v>
      </c>
      <c r="G298" s="350">
        <v>45894</v>
      </c>
      <c r="H298" s="373" t="s">
        <v>892</v>
      </c>
      <c r="I298" s="381"/>
      <c r="J298" s="693">
        <f t="shared" ref="J298" si="50">+VLOOKUP(D298,$AB$7:$AC$35,2,FALSE)</f>
        <v>37.504372000000004</v>
      </c>
      <c r="K298" s="373" t="s">
        <v>1395</v>
      </c>
      <c r="M298" s="645">
        <f t="shared" si="26"/>
        <v>6</v>
      </c>
    </row>
    <row r="299" spans="1:13" hidden="1" x14ac:dyDescent="0.2">
      <c r="A299" s="372">
        <f>+SUBTOTAL(3,$G$7:$G299)</f>
        <v>0</v>
      </c>
      <c r="B299" s="366">
        <v>45870</v>
      </c>
      <c r="C299" s="367" t="s">
        <v>27</v>
      </c>
      <c r="D299" s="368" t="str">
        <f>+VLOOKUP(C299,Foundation!$C$8:$D$531,2,FALSE)</f>
        <v>DA+0</v>
      </c>
      <c r="E299" s="368" t="str">
        <f>+VLOOKUP(C299,Foundation!$C$8:$E$495,3,FALSE)</f>
        <v>DRY</v>
      </c>
      <c r="F299" s="350">
        <v>45891</v>
      </c>
      <c r="G299" s="350">
        <v>45895</v>
      </c>
      <c r="H299" s="373" t="s">
        <v>1452</v>
      </c>
      <c r="I299" s="381"/>
      <c r="J299" s="693">
        <f t="shared" ref="J299" si="51">+VLOOKUP(D299,$AB$7:$AC$35,2,FALSE)</f>
        <v>37.504372000000004</v>
      </c>
      <c r="K299" s="373" t="s">
        <v>1395</v>
      </c>
      <c r="M299" s="645">
        <f t="shared" si="26"/>
        <v>4</v>
      </c>
    </row>
    <row r="300" spans="1:13" hidden="1" x14ac:dyDescent="0.2">
      <c r="A300" s="372">
        <f>+SUBTOTAL(3,$G$7:$G300)</f>
        <v>0</v>
      </c>
      <c r="B300" s="366">
        <v>45870</v>
      </c>
      <c r="C300" s="367" t="s">
        <v>682</v>
      </c>
      <c r="D300" s="368" t="str">
        <f>+VLOOKUP(C300,Foundation!$C$8:$D$531,2,FALSE)</f>
        <v>DA+9</v>
      </c>
      <c r="E300" s="368" t="str">
        <f>+VLOOKUP(C300,Foundation!$C$8:$E$495,3,FALSE)</f>
        <v>Sandy</v>
      </c>
      <c r="F300" s="350">
        <v>45886</v>
      </c>
      <c r="G300" s="350">
        <v>45898</v>
      </c>
      <c r="H300" s="373" t="s">
        <v>1490</v>
      </c>
      <c r="I300" s="381"/>
      <c r="J300" s="693">
        <f t="shared" ref="J300:J301" si="52">+VLOOKUP(D300,$AB$7:$AC$35,2,FALSE)</f>
        <v>47.184350000000002</v>
      </c>
      <c r="K300" s="373" t="s">
        <v>1395</v>
      </c>
      <c r="M300" s="645">
        <f t="shared" si="26"/>
        <v>12</v>
      </c>
    </row>
    <row r="301" spans="1:13" hidden="1" x14ac:dyDescent="0.2">
      <c r="A301" s="372">
        <f>+SUBTOTAL(3,$G$7:$G301)</f>
        <v>0</v>
      </c>
      <c r="B301" s="366">
        <v>45870</v>
      </c>
      <c r="C301" s="367" t="s">
        <v>747</v>
      </c>
      <c r="D301" s="368" t="str">
        <f>+VLOOKUP(C301,Foundation!$C$8:$D$531,2,FALSE)</f>
        <v>DA+0</v>
      </c>
      <c r="E301" s="368" t="str">
        <f>+VLOOKUP(C301,Foundation!$C$8:$E$495,3,FALSE)</f>
        <v>Sandy</v>
      </c>
      <c r="F301" s="350">
        <v>45890</v>
      </c>
      <c r="G301" s="350">
        <v>45898</v>
      </c>
      <c r="H301" s="373" t="s">
        <v>886</v>
      </c>
      <c r="I301" s="381"/>
      <c r="J301" s="693">
        <f t="shared" si="52"/>
        <v>37.504372000000004</v>
      </c>
      <c r="K301" s="373" t="s">
        <v>1395</v>
      </c>
      <c r="M301" s="645">
        <f t="shared" si="26"/>
        <v>8</v>
      </c>
    </row>
    <row r="302" spans="1:13" hidden="1" x14ac:dyDescent="0.2">
      <c r="A302" s="372">
        <f>+SUBTOTAL(3,$G$7:$G302)</f>
        <v>0</v>
      </c>
      <c r="B302" s="366">
        <v>45870</v>
      </c>
      <c r="C302" s="367" t="s">
        <v>77</v>
      </c>
      <c r="D302" s="368" t="str">
        <f>+VLOOKUP(C302,Foundation!$C$8:$D$531,2,FALSE)</f>
        <v>DA+0</v>
      </c>
      <c r="E302" s="368" t="str">
        <f>+VLOOKUP(C302,Foundation!$C$8:$E$495,3,FALSE)</f>
        <v>Sandy</v>
      </c>
      <c r="F302" s="350">
        <v>45894</v>
      </c>
      <c r="G302" s="350">
        <v>45899</v>
      </c>
      <c r="H302" s="373" t="s">
        <v>1507</v>
      </c>
      <c r="I302" s="381"/>
      <c r="J302" s="693">
        <f t="shared" ref="J302" si="53">+VLOOKUP(D302,$AB$7:$AC$35,2,FALSE)</f>
        <v>37.504372000000004</v>
      </c>
      <c r="K302" s="373" t="s">
        <v>1395</v>
      </c>
      <c r="M302" s="645">
        <f t="shared" si="26"/>
        <v>5</v>
      </c>
    </row>
    <row r="303" spans="1:13" hidden="1" x14ac:dyDescent="0.2">
      <c r="A303" s="372">
        <f>+SUBTOTAL(3,$G$7:$G303)</f>
        <v>0</v>
      </c>
      <c r="B303" s="366">
        <v>45870</v>
      </c>
      <c r="C303" s="367" t="s">
        <v>574</v>
      </c>
      <c r="D303" s="368" t="str">
        <f>+VLOOKUP(C303,Foundation!$C$8:$D$531,2,FALSE)</f>
        <v>DA+3</v>
      </c>
      <c r="E303" s="368" t="str">
        <f>+VLOOKUP(C303,Foundation!$C$8:$E$495,3,FALSE)</f>
        <v>Sandy</v>
      </c>
      <c r="F303" s="350">
        <v>45894</v>
      </c>
      <c r="G303" s="350">
        <v>45899</v>
      </c>
      <c r="H303" s="373" t="s">
        <v>1509</v>
      </c>
      <c r="I303" s="381"/>
      <c r="J303" s="693">
        <f t="shared" ref="J303" si="54">+VLOOKUP(D303,$AB$7:$AC$35,2,FALSE)</f>
        <v>38.847605999999992</v>
      </c>
      <c r="K303" s="373" t="s">
        <v>1395</v>
      </c>
      <c r="M303" s="645">
        <f t="shared" si="26"/>
        <v>5</v>
      </c>
    </row>
    <row r="304" spans="1:13" hidden="1" x14ac:dyDescent="0.2">
      <c r="A304" s="372">
        <f>+SUBTOTAL(3,$G$7:$G304)</f>
        <v>0</v>
      </c>
      <c r="B304" s="366">
        <v>45870</v>
      </c>
      <c r="C304" s="367" t="s">
        <v>86</v>
      </c>
      <c r="D304" s="368" t="str">
        <f>+VLOOKUP(C304,Foundation!$C$8:$D$531,2,FALSE)</f>
        <v>DA+0</v>
      </c>
      <c r="E304" s="368" t="str">
        <f>+VLOOKUP(C304,Foundation!$C$8:$E$495,3,FALSE)</f>
        <v>Sandy</v>
      </c>
      <c r="F304" s="350">
        <v>45891</v>
      </c>
      <c r="G304" s="350">
        <v>45899</v>
      </c>
      <c r="H304" s="373" t="s">
        <v>895</v>
      </c>
      <c r="I304" s="381"/>
      <c r="J304" s="693">
        <f t="shared" ref="J304" si="55">+VLOOKUP(D304,$AB$7:$AC$35,2,FALSE)</f>
        <v>37.504372000000004</v>
      </c>
      <c r="K304" s="373" t="s">
        <v>1395</v>
      </c>
      <c r="M304" s="645">
        <f t="shared" si="26"/>
        <v>8</v>
      </c>
    </row>
    <row r="305" spans="1:13" hidden="1" x14ac:dyDescent="0.2">
      <c r="A305" s="372">
        <f>+SUBTOTAL(3,$G$7:$G305)</f>
        <v>0</v>
      </c>
      <c r="B305" s="366">
        <v>45870</v>
      </c>
      <c r="C305" s="367" t="s">
        <v>715</v>
      </c>
      <c r="D305" s="368" t="str">
        <f>+VLOOKUP(C305,Foundation!$C$8:$D$531,2,FALSE)</f>
        <v>DA+9</v>
      </c>
      <c r="E305" s="368" t="str">
        <f>+VLOOKUP(C305,Foundation!$C$8:$E$495,3,FALSE)</f>
        <v>Sandy</v>
      </c>
      <c r="F305" s="350">
        <v>45886</v>
      </c>
      <c r="G305" s="350">
        <v>45899</v>
      </c>
      <c r="H305" s="373" t="s">
        <v>893</v>
      </c>
      <c r="I305" s="381"/>
      <c r="J305" s="693">
        <f t="shared" ref="J305" si="56">+VLOOKUP(D305,$AB$7:$AC$35,2,FALSE)</f>
        <v>47.184350000000002</v>
      </c>
      <c r="K305" s="373" t="s">
        <v>1395</v>
      </c>
      <c r="M305" s="645">
        <f t="shared" si="26"/>
        <v>13</v>
      </c>
    </row>
    <row r="306" spans="1:13" hidden="1" x14ac:dyDescent="0.2">
      <c r="A306" s="372">
        <f>+SUBTOTAL(3,$G$7:$G306)</f>
        <v>0</v>
      </c>
      <c r="B306" s="366">
        <v>45870</v>
      </c>
      <c r="C306" s="367" t="s">
        <v>150</v>
      </c>
      <c r="D306" s="368" t="str">
        <f>+VLOOKUP(C306,Foundation!$C$8:$D$531,2,FALSE)</f>
        <v>DA+3</v>
      </c>
      <c r="E306" s="368" t="str">
        <f>+VLOOKUP(C306,Foundation!$C$8:$E$495,3,FALSE)</f>
        <v>DRY</v>
      </c>
      <c r="F306" s="350">
        <v>45892</v>
      </c>
      <c r="G306" s="350">
        <v>45900</v>
      </c>
      <c r="H306" s="373" t="s">
        <v>1371</v>
      </c>
      <c r="I306" s="381"/>
      <c r="J306" s="693">
        <f t="shared" ref="J306" si="57">+VLOOKUP(D306,$AB$7:$AC$35,2,FALSE)</f>
        <v>38.847605999999992</v>
      </c>
      <c r="K306" s="373" t="s">
        <v>1395</v>
      </c>
      <c r="M306" s="645">
        <f t="shared" si="26"/>
        <v>8</v>
      </c>
    </row>
    <row r="307" spans="1:13" hidden="1" x14ac:dyDescent="0.2">
      <c r="A307" s="372">
        <f>+SUBTOTAL(3,$G$7:$G307)</f>
        <v>0</v>
      </c>
      <c r="B307" s="366">
        <v>45870</v>
      </c>
      <c r="C307" s="367" t="s">
        <v>737</v>
      </c>
      <c r="D307" s="368" t="str">
        <f>+VLOOKUP(C307,Foundation!$C$8:$D$531,2,FALSE)</f>
        <v>DA+9</v>
      </c>
      <c r="E307" s="368" t="str">
        <f>+VLOOKUP(C307,Foundation!$C$8:$E$495,3,FALSE)</f>
        <v>Sandy</v>
      </c>
      <c r="F307" s="350">
        <v>45886</v>
      </c>
      <c r="G307" s="350">
        <v>45900</v>
      </c>
      <c r="H307" s="373" t="s">
        <v>1379</v>
      </c>
      <c r="I307" s="381"/>
      <c r="J307" s="693">
        <f t="shared" ref="J307:J309" si="58">+VLOOKUP(D307,$AB$7:$AC$35,2,FALSE)</f>
        <v>47.184350000000002</v>
      </c>
      <c r="K307" s="373" t="s">
        <v>1395</v>
      </c>
      <c r="M307" s="645">
        <f t="shared" si="26"/>
        <v>14</v>
      </c>
    </row>
    <row r="308" spans="1:13" hidden="1" x14ac:dyDescent="0.2">
      <c r="A308" s="372">
        <f>+SUBTOTAL(3,$G$7:$G308)</f>
        <v>0</v>
      </c>
      <c r="B308" s="366">
        <v>45870</v>
      </c>
      <c r="C308" s="367" t="s">
        <v>458</v>
      </c>
      <c r="D308" s="368" t="str">
        <f>+VLOOKUP(C308,Foundation!$C$8:$D$531,2,FALSE)</f>
        <v>DA+0</v>
      </c>
      <c r="E308" s="368" t="str">
        <f>+VLOOKUP(C308,Foundation!$C$8:$E$495,3,FALSE)</f>
        <v>DRY</v>
      </c>
      <c r="F308" s="350">
        <v>45898</v>
      </c>
      <c r="G308" s="350">
        <v>45900</v>
      </c>
      <c r="H308" s="373" t="s">
        <v>1504</v>
      </c>
      <c r="I308" s="381"/>
      <c r="J308" s="693">
        <f t="shared" si="58"/>
        <v>37.504372000000004</v>
      </c>
      <c r="K308" s="373" t="s">
        <v>1395</v>
      </c>
      <c r="M308" s="645">
        <f t="shared" si="26"/>
        <v>2</v>
      </c>
    </row>
    <row r="309" spans="1:13" hidden="1" x14ac:dyDescent="0.2">
      <c r="A309" s="372">
        <f>+SUBTOTAL(3,$G$7:$G309)</f>
        <v>0</v>
      </c>
      <c r="B309" s="366">
        <v>45870</v>
      </c>
      <c r="C309" s="367" t="s">
        <v>679</v>
      </c>
      <c r="D309" s="368" t="str">
        <f>+VLOOKUP(C309,Foundation!$C$8:$D$531,2,FALSE)</f>
        <v>DA+9</v>
      </c>
      <c r="E309" s="368" t="str">
        <f>+VLOOKUP(C309,Foundation!$C$8:$E$495,3,FALSE)</f>
        <v>Sandy</v>
      </c>
      <c r="F309" s="350">
        <v>45894</v>
      </c>
      <c r="G309" s="350">
        <v>45900</v>
      </c>
      <c r="H309" s="373" t="s">
        <v>892</v>
      </c>
      <c r="I309" s="381"/>
      <c r="J309" s="693">
        <f t="shared" si="58"/>
        <v>47.184350000000002</v>
      </c>
      <c r="K309" s="373" t="s">
        <v>1395</v>
      </c>
      <c r="M309" s="645">
        <f t="shared" si="26"/>
        <v>6</v>
      </c>
    </row>
    <row r="310" spans="1:13" hidden="1" x14ac:dyDescent="0.2">
      <c r="A310" s="372">
        <f>+SUBTOTAL(3,$G$7:$G310)</f>
        <v>0</v>
      </c>
      <c r="B310" s="366">
        <v>45901</v>
      </c>
      <c r="C310" s="367" t="s">
        <v>494</v>
      </c>
      <c r="D310" s="368" t="str">
        <f>+VLOOKUP(C310,Foundation!$C$8:$D$531,2,FALSE)</f>
        <v>DC1+0</v>
      </c>
      <c r="E310" s="368" t="str">
        <f>+VLOOKUP(C310,Foundation!$C$8:$E$495,3,FALSE)</f>
        <v>DRY</v>
      </c>
      <c r="F310" s="350">
        <v>45895</v>
      </c>
      <c r="G310" s="350">
        <v>45903</v>
      </c>
      <c r="H310" s="373" t="s">
        <v>1528</v>
      </c>
      <c r="I310" s="381"/>
      <c r="J310" s="693">
        <f t="shared" ref="J310:J314" si="59">+VLOOKUP(D310,$AB$7:$AC$35,2,FALSE)</f>
        <v>66.381106999999986</v>
      </c>
      <c r="K310" s="373" t="s">
        <v>1395</v>
      </c>
      <c r="M310" s="645">
        <f t="shared" si="26"/>
        <v>8</v>
      </c>
    </row>
    <row r="311" spans="1:13" hidden="1" x14ac:dyDescent="0.2">
      <c r="A311" s="372">
        <f>+SUBTOTAL(3,$G$7:$G311)</f>
        <v>0</v>
      </c>
      <c r="B311" s="366">
        <v>45901</v>
      </c>
      <c r="C311" s="367" t="s">
        <v>522</v>
      </c>
      <c r="D311" s="368" t="str">
        <f>+VLOOKUP(C311,Foundation!$C$8:$D$531,2,FALSE)</f>
        <v>DA+0</v>
      </c>
      <c r="E311" s="368" t="str">
        <f>+VLOOKUP(C311,Foundation!$C$8:$E$495,3,FALSE)</f>
        <v>DRY</v>
      </c>
      <c r="F311" s="350">
        <v>45895</v>
      </c>
      <c r="G311" s="350">
        <v>45903</v>
      </c>
      <c r="H311" s="373" t="s">
        <v>1511</v>
      </c>
      <c r="I311" s="381"/>
      <c r="J311" s="693">
        <f t="shared" si="59"/>
        <v>37.504372000000004</v>
      </c>
      <c r="K311" s="373" t="s">
        <v>1395</v>
      </c>
      <c r="M311" s="645">
        <f t="shared" si="26"/>
        <v>8</v>
      </c>
    </row>
    <row r="312" spans="1:13" hidden="1" x14ac:dyDescent="0.2">
      <c r="A312" s="372">
        <f>+SUBTOTAL(3,$G$7:$G312)</f>
        <v>0</v>
      </c>
      <c r="B312" s="366">
        <v>45901</v>
      </c>
      <c r="C312" s="367" t="s">
        <v>79</v>
      </c>
      <c r="D312" s="368" t="str">
        <f>+VLOOKUP(C312,Foundation!$C$8:$D$531,2,FALSE)</f>
        <v>DA+0</v>
      </c>
      <c r="E312" s="368" t="str">
        <f>+VLOOKUP(C312,Foundation!$C$8:$E$495,3,FALSE)</f>
        <v>DRY</v>
      </c>
      <c r="F312" s="350">
        <v>45895</v>
      </c>
      <c r="G312" s="350">
        <v>45902</v>
      </c>
      <c r="H312" s="373" t="s">
        <v>1452</v>
      </c>
      <c r="I312" s="381"/>
      <c r="J312" s="693">
        <f t="shared" si="59"/>
        <v>37.504372000000004</v>
      </c>
      <c r="K312" s="373" t="s">
        <v>1395</v>
      </c>
      <c r="M312" s="645">
        <f t="shared" si="26"/>
        <v>7</v>
      </c>
    </row>
    <row r="313" spans="1:13" hidden="1" x14ac:dyDescent="0.2">
      <c r="A313" s="372">
        <f>+SUBTOTAL(3,$G$7:$G313)</f>
        <v>0</v>
      </c>
      <c r="B313" s="366">
        <v>45901</v>
      </c>
      <c r="C313" s="367" t="s">
        <v>63</v>
      </c>
      <c r="D313" s="368" t="str">
        <f>+VLOOKUP(C313,Foundation!$C$8:$D$531,2,FALSE)</f>
        <v>DC1+0</v>
      </c>
      <c r="E313" s="368" t="str">
        <f>+VLOOKUP(C313,Foundation!$C$8:$E$495,3,FALSE)</f>
        <v>DFR</v>
      </c>
      <c r="F313" s="350">
        <v>45892</v>
      </c>
      <c r="G313" s="350">
        <v>45903</v>
      </c>
      <c r="H313" s="373" t="s">
        <v>1503</v>
      </c>
      <c r="I313" s="381"/>
      <c r="J313" s="693">
        <f t="shared" si="59"/>
        <v>66.381106999999986</v>
      </c>
      <c r="K313" s="373" t="s">
        <v>1395</v>
      </c>
      <c r="M313" s="645">
        <f t="shared" si="26"/>
        <v>11</v>
      </c>
    </row>
    <row r="314" spans="1:13" hidden="1" x14ac:dyDescent="0.2">
      <c r="A314" s="372">
        <f>+SUBTOTAL(3,$G$7:$G314)</f>
        <v>0</v>
      </c>
      <c r="B314" s="366">
        <v>45901</v>
      </c>
      <c r="C314" s="367" t="s">
        <v>570</v>
      </c>
      <c r="D314" s="368" t="str">
        <f>+VLOOKUP(C314,Foundation!$C$8:$D$531,2,FALSE)</f>
        <v>DA+3</v>
      </c>
      <c r="E314" s="368" t="str">
        <f>+VLOOKUP(C314,Foundation!$C$8:$E$495,3,FALSE)</f>
        <v>DRY</v>
      </c>
      <c r="F314" s="350">
        <v>45898</v>
      </c>
      <c r="G314" s="350">
        <v>45903</v>
      </c>
      <c r="H314" s="373" t="s">
        <v>1527</v>
      </c>
      <c r="I314" s="381"/>
      <c r="J314" s="693">
        <f t="shared" si="59"/>
        <v>38.847605999999992</v>
      </c>
      <c r="K314" s="373" t="s">
        <v>1395</v>
      </c>
      <c r="M314" s="645">
        <f t="shared" si="26"/>
        <v>5</v>
      </c>
    </row>
    <row r="315" spans="1:13" hidden="1" x14ac:dyDescent="0.2">
      <c r="A315" s="372">
        <f>+SUBTOTAL(3,$G$7:$G315)</f>
        <v>0</v>
      </c>
      <c r="B315" s="366">
        <v>45901</v>
      </c>
      <c r="C315" s="367" t="s">
        <v>463</v>
      </c>
      <c r="D315" s="368" t="str">
        <f>+VLOOKUP(C315,Foundation!$C$8:$D$531,2,FALSE)</f>
        <v>DA+3</v>
      </c>
      <c r="E315" s="368" t="str">
        <f>+VLOOKUP(C315,Foundation!$C$8:$E$495,3,FALSE)</f>
        <v>DRY</v>
      </c>
      <c r="F315" s="350">
        <v>45898</v>
      </c>
      <c r="G315" s="350">
        <v>45904</v>
      </c>
      <c r="H315" s="373" t="s">
        <v>1394</v>
      </c>
      <c r="I315" s="381"/>
      <c r="J315" s="693">
        <f t="shared" ref="J315" si="60">+VLOOKUP(D315,$AB$7:$AC$35,2,FALSE)</f>
        <v>38.847605999999992</v>
      </c>
      <c r="K315" s="373" t="s">
        <v>1395</v>
      </c>
      <c r="M315" s="645">
        <f t="shared" si="26"/>
        <v>6</v>
      </c>
    </row>
    <row r="316" spans="1:13" hidden="1" x14ac:dyDescent="0.2">
      <c r="A316" s="372">
        <f>+SUBTOTAL(3,$G$7:$G316)</f>
        <v>0</v>
      </c>
      <c r="B316" s="366">
        <v>45901</v>
      </c>
      <c r="C316" s="367" t="s">
        <v>49</v>
      </c>
      <c r="D316" s="368" t="str">
        <f>+VLOOKUP(C316,Foundation!$C$8:$D$531,2,FALSE)</f>
        <v>DB2+0</v>
      </c>
      <c r="E316" s="368" t="str">
        <f>+VLOOKUP(C316,Foundation!$C$8:$E$495,3,FALSE)</f>
        <v>DRY</v>
      </c>
      <c r="F316" s="350">
        <v>45902</v>
      </c>
      <c r="G316" s="350">
        <v>45905</v>
      </c>
      <c r="H316" s="373" t="s">
        <v>1535</v>
      </c>
      <c r="I316" s="381"/>
      <c r="J316" s="693">
        <f t="shared" ref="J316" si="61">+VLOOKUP(D316,$AB$7:$AC$35,2,FALSE)</f>
        <v>57.597240999999997</v>
      </c>
      <c r="K316" s="373" t="s">
        <v>1395</v>
      </c>
      <c r="M316" s="645">
        <f t="shared" si="26"/>
        <v>3</v>
      </c>
    </row>
    <row r="317" spans="1:13" hidden="1" x14ac:dyDescent="0.2">
      <c r="A317" s="372">
        <f>+SUBTOTAL(3,$G$7:$G317)</f>
        <v>0</v>
      </c>
      <c r="B317" s="366">
        <v>45901</v>
      </c>
      <c r="C317" s="367" t="s">
        <v>87</v>
      </c>
      <c r="D317" s="368" t="str">
        <f>+VLOOKUP(C317,Foundation!$C$8:$D$531,2,FALSE)</f>
        <v>DA+0</v>
      </c>
      <c r="E317" s="368" t="str">
        <f>+VLOOKUP(C317,Foundation!$C$8:$E$495,3,FALSE)</f>
        <v>Sandy</v>
      </c>
      <c r="F317" s="350">
        <v>45899</v>
      </c>
      <c r="G317" s="350">
        <v>45906</v>
      </c>
      <c r="H317" s="373" t="s">
        <v>895</v>
      </c>
      <c r="I317" s="381"/>
      <c r="J317" s="693">
        <f t="shared" ref="J317:J319" si="62">+VLOOKUP(D317,$AB$7:$AC$35,2,FALSE)</f>
        <v>37.504372000000004</v>
      </c>
      <c r="K317" s="373" t="s">
        <v>1395</v>
      </c>
      <c r="M317" s="645">
        <f t="shared" si="26"/>
        <v>7</v>
      </c>
    </row>
    <row r="318" spans="1:13" hidden="1" x14ac:dyDescent="0.2">
      <c r="A318" s="372">
        <f>+SUBTOTAL(3,$G$7:$G318)</f>
        <v>0</v>
      </c>
      <c r="B318" s="366">
        <v>45901</v>
      </c>
      <c r="C318" s="367" t="s">
        <v>685</v>
      </c>
      <c r="D318" s="368" t="str">
        <f>+VLOOKUP(C318,Foundation!$C$8:$D$531,2,FALSE)</f>
        <v>DA+3</v>
      </c>
      <c r="E318" s="368" t="str">
        <f>+VLOOKUP(C318,Foundation!$C$8:$E$495,3,FALSE)</f>
        <v>Sandy</v>
      </c>
      <c r="F318" s="350">
        <v>45891</v>
      </c>
      <c r="G318" s="350">
        <v>45906</v>
      </c>
      <c r="H318" s="373" t="s">
        <v>1490</v>
      </c>
      <c r="I318" s="381"/>
      <c r="J318" s="693">
        <f t="shared" si="62"/>
        <v>38.847605999999992</v>
      </c>
      <c r="K318" s="373" t="s">
        <v>1395</v>
      </c>
      <c r="M318" s="645">
        <f t="shared" si="26"/>
        <v>15</v>
      </c>
    </row>
    <row r="319" spans="1:13" hidden="1" x14ac:dyDescent="0.2">
      <c r="A319" s="372">
        <f>+SUBTOTAL(3,$G$7:$G319)</f>
        <v>0</v>
      </c>
      <c r="B319" s="366">
        <v>45901</v>
      </c>
      <c r="C319" s="367" t="s">
        <v>736</v>
      </c>
      <c r="D319" s="368" t="str">
        <f>+VLOOKUP(C319,Foundation!$C$8:$D$531,2,FALSE)</f>
        <v>DA+9</v>
      </c>
      <c r="E319" s="368" t="str">
        <f>+VLOOKUP(C319,Foundation!$C$8:$E$495,3,FALSE)</f>
        <v>Sandy</v>
      </c>
      <c r="F319" s="350">
        <v>45901</v>
      </c>
      <c r="G319" s="350">
        <v>45906</v>
      </c>
      <c r="H319" s="373" t="s">
        <v>1379</v>
      </c>
      <c r="I319" s="381"/>
      <c r="J319" s="693">
        <f t="shared" si="62"/>
        <v>47.184350000000002</v>
      </c>
      <c r="K319" s="373" t="s">
        <v>1395</v>
      </c>
      <c r="M319" s="645">
        <f t="shared" si="26"/>
        <v>5</v>
      </c>
    </row>
    <row r="320" spans="1:13" hidden="1" x14ac:dyDescent="0.2">
      <c r="A320" s="372">
        <f>+SUBTOTAL(3,$G$7:$G320)</f>
        <v>0</v>
      </c>
      <c r="B320" s="366">
        <v>45901</v>
      </c>
      <c r="C320" s="367" t="s">
        <v>36</v>
      </c>
      <c r="D320" s="368" t="str">
        <f>+VLOOKUP(C320,Foundation!$C$8:$D$531,2,FALSE)</f>
        <v>DB1+0</v>
      </c>
      <c r="E320" s="368" t="str">
        <f>+VLOOKUP(C320,Foundation!$C$8:$E$495,3,FALSE)</f>
        <v>DFR</v>
      </c>
      <c r="F320" s="350">
        <v>45895</v>
      </c>
      <c r="G320" s="350">
        <v>45906</v>
      </c>
      <c r="H320" s="373" t="s">
        <v>1513</v>
      </c>
      <c r="I320" s="381"/>
      <c r="J320" s="693">
        <f t="shared" ref="J320:J321" si="63">+VLOOKUP(D320,$AB$7:$AC$35,2,FALSE)</f>
        <v>57.597240999999997</v>
      </c>
      <c r="K320" s="373" t="s">
        <v>1395</v>
      </c>
      <c r="M320" s="645">
        <f t="shared" si="26"/>
        <v>11</v>
      </c>
    </row>
    <row r="321" spans="1:13" hidden="1" x14ac:dyDescent="0.2">
      <c r="A321" s="372">
        <f>+SUBTOTAL(3,$G$7:$G321)</f>
        <v>0</v>
      </c>
      <c r="B321" s="366">
        <v>45901</v>
      </c>
      <c r="C321" s="367" t="s">
        <v>680</v>
      </c>
      <c r="D321" s="368" t="str">
        <f>+VLOOKUP(C321,Foundation!$C$8:$D$531,2,FALSE)</f>
        <v>DA+3</v>
      </c>
      <c r="E321" s="368" t="str">
        <f>+VLOOKUP(C321,Foundation!$C$8:$E$495,3,FALSE)</f>
        <v>Sandy</v>
      </c>
      <c r="F321" s="350">
        <v>45901</v>
      </c>
      <c r="G321" s="350">
        <v>45907</v>
      </c>
      <c r="H321" s="373" t="s">
        <v>892</v>
      </c>
      <c r="I321" s="381"/>
      <c r="J321" s="693">
        <f t="shared" si="63"/>
        <v>38.847605999999992</v>
      </c>
      <c r="K321" s="373" t="s">
        <v>1395</v>
      </c>
      <c r="M321" s="645">
        <f t="shared" si="26"/>
        <v>6</v>
      </c>
    </row>
    <row r="322" spans="1:13" hidden="1" x14ac:dyDescent="0.2">
      <c r="A322" s="372">
        <f>+SUBTOTAL(3,$G$7:$G322)</f>
        <v>0</v>
      </c>
      <c r="B322" s="366">
        <v>45901</v>
      </c>
      <c r="C322" s="367" t="s">
        <v>521</v>
      </c>
      <c r="D322" s="368" t="str">
        <f>+VLOOKUP(C322,Foundation!$C$8:$D$531,2,FALSE)</f>
        <v>DA+0</v>
      </c>
      <c r="E322" s="368" t="str">
        <f>+VLOOKUP(C322,Foundation!$C$8:$E$495,3,FALSE)</f>
        <v>DRY</v>
      </c>
      <c r="F322" s="350">
        <v>45902</v>
      </c>
      <c r="G322" s="350">
        <v>45907</v>
      </c>
      <c r="H322" s="373" t="s">
        <v>1538</v>
      </c>
      <c r="I322" s="381"/>
      <c r="J322" s="693">
        <f t="shared" ref="J322" si="64">+VLOOKUP(D322,$AB$7:$AC$35,2,FALSE)</f>
        <v>37.504372000000004</v>
      </c>
      <c r="K322" s="373" t="s">
        <v>1395</v>
      </c>
      <c r="M322" s="645">
        <f t="shared" si="26"/>
        <v>5</v>
      </c>
    </row>
    <row r="323" spans="1:13" hidden="1" x14ac:dyDescent="0.2">
      <c r="A323" s="372">
        <f>+SUBTOTAL(3,$G$7:$G323)</f>
        <v>0</v>
      </c>
      <c r="B323" s="366">
        <v>45901</v>
      </c>
      <c r="C323" s="367" t="s">
        <v>33</v>
      </c>
      <c r="D323" s="368" t="str">
        <f>+VLOOKUP(C323,Foundation!$C$8:$D$531,2,FALSE)</f>
        <v>DD45+3</v>
      </c>
      <c r="E323" s="368" t="str">
        <f>+VLOOKUP(C323,Foundation!$C$8:$E$495,3,FALSE)</f>
        <v>DRY</v>
      </c>
      <c r="F323" s="350">
        <v>45895</v>
      </c>
      <c r="G323" s="350">
        <v>45907</v>
      </c>
      <c r="H323" s="373" t="s">
        <v>1512</v>
      </c>
      <c r="I323" s="381"/>
      <c r="J323" s="693">
        <f t="shared" ref="J323" si="65">+VLOOKUP(D323,$AB$7:$AC$35,2,FALSE)</f>
        <v>89.909625000000005</v>
      </c>
      <c r="K323" s="373" t="s">
        <v>1395</v>
      </c>
      <c r="M323" s="645">
        <f t="shared" si="26"/>
        <v>12</v>
      </c>
    </row>
    <row r="324" spans="1:13" hidden="1" x14ac:dyDescent="0.2">
      <c r="A324" s="372">
        <f>+SUBTOTAL(3,$G$7:$G324)</f>
        <v>0</v>
      </c>
      <c r="B324" s="366">
        <v>45901</v>
      </c>
      <c r="C324" s="367" t="s">
        <v>450</v>
      </c>
      <c r="D324" s="368" t="str">
        <f>+VLOOKUP(C324,Foundation!$C$8:$D$531,2,FALSE)</f>
        <v>DA+3</v>
      </c>
      <c r="E324" s="368" t="str">
        <f>+VLOOKUP(C324,Foundation!$C$8:$E$495,3,FALSE)</f>
        <v>Sandy</v>
      </c>
      <c r="F324" s="350">
        <v>45893</v>
      </c>
      <c r="G324" s="350">
        <v>45909</v>
      </c>
      <c r="H324" s="373" t="s">
        <v>1534</v>
      </c>
      <c r="I324" s="381"/>
      <c r="J324" s="693">
        <f t="shared" ref="J324" si="66">+VLOOKUP(D324,$AB$7:$AC$35,2,FALSE)</f>
        <v>38.847605999999992</v>
      </c>
      <c r="K324" s="373" t="s">
        <v>1395</v>
      </c>
      <c r="M324" s="645">
        <f t="shared" si="26"/>
        <v>16</v>
      </c>
    </row>
    <row r="325" spans="1:13" hidden="1" x14ac:dyDescent="0.2">
      <c r="A325" s="372">
        <f>+SUBTOTAL(3,$G$7:$G325)</f>
        <v>0</v>
      </c>
      <c r="B325" s="366">
        <v>45901</v>
      </c>
      <c r="C325" s="367" t="s">
        <v>452</v>
      </c>
      <c r="D325" s="368" t="str">
        <f>+VLOOKUP(C325,Foundation!$C$8:$D$531,2,FALSE)</f>
        <v>DA+3</v>
      </c>
      <c r="E325" s="368" t="str">
        <f>+VLOOKUP(C325,Foundation!$C$8:$E$495,3,FALSE)</f>
        <v>Sandy</v>
      </c>
      <c r="F325" s="350">
        <v>45893</v>
      </c>
      <c r="G325" s="350">
        <v>45909</v>
      </c>
      <c r="H325" s="373" t="s">
        <v>1508</v>
      </c>
      <c r="I325" s="381"/>
      <c r="J325" s="693">
        <f t="shared" ref="J325" si="67">+VLOOKUP(D325,$AB$7:$AC$35,2,FALSE)</f>
        <v>38.847605999999992</v>
      </c>
      <c r="K325" s="373" t="s">
        <v>1395</v>
      </c>
      <c r="M325" s="645">
        <f t="shared" si="26"/>
        <v>16</v>
      </c>
    </row>
    <row r="326" spans="1:13" hidden="1" x14ac:dyDescent="0.2">
      <c r="A326" s="372">
        <f>+SUBTOTAL(3,$G$7:$G326)</f>
        <v>0</v>
      </c>
      <c r="B326" s="366">
        <v>45901</v>
      </c>
      <c r="C326" s="367" t="s">
        <v>81</v>
      </c>
      <c r="D326" s="368" t="str">
        <f>+VLOOKUP(C326,Foundation!$C$8:$D$531,2,FALSE)</f>
        <v>DA+3</v>
      </c>
      <c r="E326" s="368" t="str">
        <f>+VLOOKUP(C326,Foundation!$C$8:$E$495,3,FALSE)</f>
        <v>Sandy</v>
      </c>
      <c r="F326" s="350">
        <v>45903</v>
      </c>
      <c r="G326" s="350">
        <v>45910</v>
      </c>
      <c r="H326" s="373" t="s">
        <v>1452</v>
      </c>
      <c r="I326" s="381"/>
      <c r="J326" s="693">
        <f t="shared" ref="J326" si="68">+VLOOKUP(D326,$AB$7:$AC$35,2,FALSE)</f>
        <v>38.847605999999992</v>
      </c>
      <c r="K326" s="373" t="s">
        <v>1395</v>
      </c>
      <c r="M326" s="645">
        <f t="shared" si="26"/>
        <v>7</v>
      </c>
    </row>
    <row r="327" spans="1:13" hidden="1" x14ac:dyDescent="0.2">
      <c r="A327" s="372">
        <f>+SUBTOTAL(3,$G$7:$G327)</f>
        <v>0</v>
      </c>
      <c r="B327" s="366">
        <v>45901</v>
      </c>
      <c r="C327" s="367" t="s">
        <v>716</v>
      </c>
      <c r="D327" s="368" t="str">
        <f>+VLOOKUP(C327,Foundation!$C$8:$D$531,2,FALSE)</f>
        <v>DA+9</v>
      </c>
      <c r="E327" s="368" t="str">
        <f>+VLOOKUP(C327,Foundation!$C$8:$E$495,3,FALSE)</f>
        <v>Sandy</v>
      </c>
      <c r="F327" s="350">
        <v>45901</v>
      </c>
      <c r="G327" s="350">
        <v>45910</v>
      </c>
      <c r="H327" s="373" t="s">
        <v>893</v>
      </c>
      <c r="I327" s="381"/>
      <c r="J327" s="693">
        <f t="shared" ref="J327" si="69">+VLOOKUP(D327,$AB$7:$AC$35,2,FALSE)</f>
        <v>47.184350000000002</v>
      </c>
      <c r="K327" s="373" t="s">
        <v>1395</v>
      </c>
      <c r="M327" s="645">
        <f t="shared" si="26"/>
        <v>9</v>
      </c>
    </row>
    <row r="328" spans="1:13" hidden="1" x14ac:dyDescent="0.2">
      <c r="A328" s="372">
        <f>+SUBTOTAL(3,$G$7:$G328)</f>
        <v>0</v>
      </c>
      <c r="B328" s="366">
        <v>45901</v>
      </c>
      <c r="C328" s="367" t="s">
        <v>208</v>
      </c>
      <c r="D328" s="368" t="str">
        <f>+VLOOKUP(C328,Foundation!$C$8:$D$531,2,FALSE)</f>
        <v>DA+0</v>
      </c>
      <c r="E328" s="368" t="str">
        <f>+VLOOKUP(C328,Foundation!$C$8:$E$495,3,FALSE)</f>
        <v>Sandy</v>
      </c>
      <c r="F328" s="350">
        <v>45903</v>
      </c>
      <c r="G328" s="350">
        <v>45911</v>
      </c>
      <c r="H328" s="373" t="s">
        <v>1412</v>
      </c>
      <c r="I328" s="381"/>
      <c r="J328" s="693">
        <f t="shared" ref="J328:J330" si="70">+VLOOKUP(D328,$AB$7:$AC$35,2,FALSE)</f>
        <v>37.504372000000004</v>
      </c>
      <c r="K328" s="373" t="s">
        <v>1395</v>
      </c>
      <c r="M328" s="645">
        <f t="shared" ref="M328:M391" si="71">G328-F328</f>
        <v>8</v>
      </c>
    </row>
    <row r="329" spans="1:13" hidden="1" x14ac:dyDescent="0.2">
      <c r="A329" s="372">
        <f>+SUBTOTAL(3,$G$7:$G329)</f>
        <v>0</v>
      </c>
      <c r="B329" s="366">
        <v>45901</v>
      </c>
      <c r="C329" s="367" t="s">
        <v>526</v>
      </c>
      <c r="D329" s="368" t="str">
        <f>+VLOOKUP(C329,Foundation!$C$8:$D$531,2,FALSE)</f>
        <v>DA+3</v>
      </c>
      <c r="E329" s="368" t="str">
        <f>+VLOOKUP(C329,Foundation!$C$8:$E$495,3,FALSE)</f>
        <v>Sandy</v>
      </c>
      <c r="F329" s="350">
        <v>45909</v>
      </c>
      <c r="G329" s="350">
        <v>45912</v>
      </c>
      <c r="H329" s="373" t="s">
        <v>1538</v>
      </c>
      <c r="I329" s="381"/>
      <c r="J329" s="693">
        <f t="shared" si="70"/>
        <v>38.847605999999992</v>
      </c>
      <c r="K329" s="373" t="s">
        <v>1395</v>
      </c>
      <c r="M329" s="645">
        <f t="shared" si="71"/>
        <v>3</v>
      </c>
    </row>
    <row r="330" spans="1:13" hidden="1" x14ac:dyDescent="0.2">
      <c r="A330" s="372">
        <f>+SUBTOTAL(3,$G$7:$G330)</f>
        <v>0</v>
      </c>
      <c r="B330" s="366">
        <v>45901</v>
      </c>
      <c r="C330" s="367" t="s">
        <v>70</v>
      </c>
      <c r="D330" s="368" t="str">
        <f>+VLOOKUP(C330,Foundation!$C$8:$D$531,2,FALSE)</f>
        <v>DB2+0</v>
      </c>
      <c r="E330" s="368" t="str">
        <f>+VLOOKUP(C330,Foundation!$C$8:$E$495,3,FALSE)</f>
        <v>DFR</v>
      </c>
      <c r="F330" s="350">
        <v>45903</v>
      </c>
      <c r="G330" s="350">
        <v>45912</v>
      </c>
      <c r="H330" s="373" t="s">
        <v>1536</v>
      </c>
      <c r="I330" s="381"/>
      <c r="J330" s="693">
        <f t="shared" si="70"/>
        <v>57.597240999999997</v>
      </c>
      <c r="K330" s="373" t="s">
        <v>1395</v>
      </c>
      <c r="M330" s="645">
        <f t="shared" si="71"/>
        <v>9</v>
      </c>
    </row>
    <row r="331" spans="1:13" hidden="1" x14ac:dyDescent="0.2">
      <c r="A331" s="372">
        <f>+SUBTOTAL(3,$G$7:$G331)</f>
        <v>0</v>
      </c>
      <c r="B331" s="366">
        <v>45901</v>
      </c>
      <c r="C331" s="367" t="s">
        <v>42</v>
      </c>
      <c r="D331" s="368" t="str">
        <f>+VLOOKUP(C331,Foundation!$C$8:$D$531,2,FALSE)</f>
        <v>DA+0</v>
      </c>
      <c r="E331" s="368" t="str">
        <f>+VLOOKUP(C331,Foundation!$C$8:$E$495,3,FALSE)</f>
        <v>DFR</v>
      </c>
      <c r="F331" s="350">
        <v>45905</v>
      </c>
      <c r="G331" s="350">
        <v>45912</v>
      </c>
      <c r="H331" s="373" t="s">
        <v>1485</v>
      </c>
      <c r="I331" s="381"/>
      <c r="J331" s="693">
        <f t="shared" ref="J331" si="72">+VLOOKUP(D331,$AB$7:$AC$35,2,FALSE)</f>
        <v>37.504372000000004</v>
      </c>
      <c r="K331" s="373" t="s">
        <v>1395</v>
      </c>
      <c r="M331" s="645">
        <f t="shared" si="71"/>
        <v>7</v>
      </c>
    </row>
    <row r="332" spans="1:13" hidden="1" x14ac:dyDescent="0.2">
      <c r="A332" s="372">
        <f>+SUBTOTAL(3,$G$7:$G332)</f>
        <v>0</v>
      </c>
      <c r="B332" s="366">
        <v>45901</v>
      </c>
      <c r="C332" s="367" t="s">
        <v>735</v>
      </c>
      <c r="D332" s="368" t="str">
        <f>+VLOOKUP(C332,Foundation!$C$8:$D$531,2,FALSE)</f>
        <v>DA+6</v>
      </c>
      <c r="E332" s="368" t="str">
        <f>+VLOOKUP(C332,Foundation!$C$8:$E$495,3,FALSE)</f>
        <v>Sandy</v>
      </c>
      <c r="F332" s="350">
        <v>45907</v>
      </c>
      <c r="G332" s="350">
        <v>45912</v>
      </c>
      <c r="H332" s="373" t="s">
        <v>1379</v>
      </c>
      <c r="I332" s="381"/>
      <c r="J332" s="693">
        <f t="shared" ref="J332" si="73">+VLOOKUP(D332,$AB$7:$AC$35,2,FALSE)</f>
        <v>45.413028000000004</v>
      </c>
      <c r="K332" s="373" t="s">
        <v>1395</v>
      </c>
      <c r="M332" s="645">
        <f t="shared" si="71"/>
        <v>5</v>
      </c>
    </row>
    <row r="333" spans="1:13" hidden="1" x14ac:dyDescent="0.2">
      <c r="A333" s="372">
        <f>+SUBTOTAL(3,$G$7:$G333)</f>
        <v>0</v>
      </c>
      <c r="B333" s="366">
        <v>45901</v>
      </c>
      <c r="C333" s="367" t="s">
        <v>447</v>
      </c>
      <c r="D333" s="368" t="str">
        <f>+VLOOKUP(C333,Foundation!$C$8:$D$531,2,FALSE)</f>
        <v>DA+3</v>
      </c>
      <c r="E333" s="368" t="str">
        <f>+VLOOKUP(C333,Foundation!$C$8:$E$495,3,FALSE)</f>
        <v>Sandy</v>
      </c>
      <c r="F333" s="350">
        <v>45903</v>
      </c>
      <c r="G333" s="350">
        <v>45913</v>
      </c>
      <c r="H333" s="373" t="s">
        <v>1533</v>
      </c>
      <c r="I333" s="381"/>
      <c r="J333" s="693">
        <f t="shared" ref="J333" si="74">+VLOOKUP(D333,$AB$7:$AC$35,2,FALSE)</f>
        <v>38.847605999999992</v>
      </c>
      <c r="K333" s="373" t="s">
        <v>1395</v>
      </c>
      <c r="M333" s="645">
        <f t="shared" si="71"/>
        <v>10</v>
      </c>
    </row>
    <row r="334" spans="1:13" hidden="1" x14ac:dyDescent="0.2">
      <c r="A334" s="372">
        <f>+SUBTOTAL(3,$G$7:$G334)</f>
        <v>0</v>
      </c>
      <c r="B334" s="366">
        <v>45901</v>
      </c>
      <c r="C334" s="367" t="s">
        <v>93</v>
      </c>
      <c r="D334" s="368" t="str">
        <f>+VLOOKUP(C334,Foundation!$C$8:$D$531,2,FALSE)</f>
        <v>DD60+25</v>
      </c>
      <c r="E334" s="368" t="str">
        <f>+VLOOKUP(C334,Foundation!$C$8:$E$495,3,FALSE)</f>
        <v>Sandy</v>
      </c>
      <c r="F334" s="350">
        <v>45899</v>
      </c>
      <c r="G334" s="350">
        <v>45914</v>
      </c>
      <c r="H334" s="373" t="s">
        <v>1488</v>
      </c>
      <c r="I334" s="381"/>
      <c r="J334" s="693">
        <f t="shared" ref="J334" si="75">+VLOOKUP(D334,$AB$7:$AC$35,2,FALSE)</f>
        <v>143.60187300000001</v>
      </c>
      <c r="K334" s="373" t="s">
        <v>1590</v>
      </c>
      <c r="M334" s="645">
        <f t="shared" si="71"/>
        <v>15</v>
      </c>
    </row>
    <row r="335" spans="1:13" hidden="1" x14ac:dyDescent="0.2">
      <c r="A335" s="372">
        <f>+SUBTOTAL(3,$G$7:$G335)</f>
        <v>0</v>
      </c>
      <c r="B335" s="366">
        <v>45901</v>
      </c>
      <c r="C335" s="367" t="s">
        <v>58</v>
      </c>
      <c r="D335" s="368" t="str">
        <f>+VLOOKUP(C335,Foundation!$C$8:$D$531,2,FALSE)</f>
        <v>DA+0</v>
      </c>
      <c r="E335" s="368" t="str">
        <f>+VLOOKUP(C335,Foundation!$C$8:$E$495,3,FALSE)</f>
        <v>DRY</v>
      </c>
      <c r="F335" s="350">
        <v>45907</v>
      </c>
      <c r="G335" s="350">
        <v>45916</v>
      </c>
      <c r="H335" s="373" t="s">
        <v>1513</v>
      </c>
      <c r="I335" s="381"/>
      <c r="J335" s="693">
        <f t="shared" ref="J335:J337" si="76">+VLOOKUP(D335,$AB$7:$AC$35,2,FALSE)</f>
        <v>37.504372000000004</v>
      </c>
      <c r="K335" s="373" t="s">
        <v>1395</v>
      </c>
      <c r="M335" s="645">
        <f t="shared" si="71"/>
        <v>9</v>
      </c>
    </row>
    <row r="336" spans="1:13" hidden="1" x14ac:dyDescent="0.2">
      <c r="A336" s="372">
        <f>+SUBTOTAL(3,$G$7:$G336)</f>
        <v>0</v>
      </c>
      <c r="B336" s="366">
        <v>45901</v>
      </c>
      <c r="C336" s="367" t="s">
        <v>85</v>
      </c>
      <c r="D336" s="368" t="str">
        <f>+VLOOKUP(C336,Foundation!$C$8:$D$531,2,FALSE)</f>
        <v>DA+3</v>
      </c>
      <c r="E336" s="368" t="str">
        <f>+VLOOKUP(C336,Foundation!$C$8:$E$495,3,FALSE)</f>
        <v>Sandy</v>
      </c>
      <c r="F336" s="350">
        <v>45898</v>
      </c>
      <c r="G336" s="350">
        <v>45916</v>
      </c>
      <c r="H336" s="373" t="s">
        <v>593</v>
      </c>
      <c r="I336" s="381"/>
      <c r="J336" s="693">
        <f t="shared" si="76"/>
        <v>38.847605999999992</v>
      </c>
      <c r="K336" s="373" t="s">
        <v>1395</v>
      </c>
      <c r="M336" s="645">
        <f t="shared" si="71"/>
        <v>18</v>
      </c>
    </row>
    <row r="337" spans="1:13" hidden="1" x14ac:dyDescent="0.2">
      <c r="A337" s="372">
        <f>+SUBTOTAL(3,$G$7:$G337)</f>
        <v>0</v>
      </c>
      <c r="B337" s="366">
        <v>45901</v>
      </c>
      <c r="C337" s="367" t="s">
        <v>215</v>
      </c>
      <c r="D337" s="368" t="str">
        <f>+VLOOKUP(C337,Foundation!$C$8:$D$531,2,FALSE)</f>
        <v>DA+6</v>
      </c>
      <c r="E337" s="368" t="str">
        <f>+VLOOKUP(C337,Foundation!$C$8:$E$495,3,FALSE)</f>
        <v>Sandy</v>
      </c>
      <c r="F337" s="350">
        <v>45907</v>
      </c>
      <c r="G337" s="350">
        <v>45916</v>
      </c>
      <c r="H337" s="373" t="s">
        <v>895</v>
      </c>
      <c r="I337" s="381"/>
      <c r="J337" s="693">
        <f t="shared" si="76"/>
        <v>45.413028000000004</v>
      </c>
      <c r="K337" s="373" t="s">
        <v>1395</v>
      </c>
      <c r="M337" s="645">
        <f t="shared" si="71"/>
        <v>9</v>
      </c>
    </row>
    <row r="338" spans="1:13" hidden="1" x14ac:dyDescent="0.2">
      <c r="A338" s="372">
        <f>+SUBTOTAL(3,$G$7:$G338)</f>
        <v>0</v>
      </c>
      <c r="B338" s="366">
        <v>45901</v>
      </c>
      <c r="C338" s="367" t="s">
        <v>733</v>
      </c>
      <c r="D338" s="368" t="str">
        <f>+VLOOKUP(C338,Foundation!$C$8:$D$531,2,FALSE)</f>
        <v>DA+3</v>
      </c>
      <c r="E338" s="368" t="str">
        <f>+VLOOKUP(C338,Foundation!$C$8:$E$495,3,FALSE)</f>
        <v>Sandy</v>
      </c>
      <c r="F338" s="350">
        <v>45913</v>
      </c>
      <c r="G338" s="350">
        <v>45918</v>
      </c>
      <c r="H338" s="373" t="s">
        <v>1379</v>
      </c>
      <c r="I338" s="381"/>
      <c r="J338" s="693">
        <f t="shared" ref="J338" si="77">+VLOOKUP(D338,$AB$7:$AC$35,2,FALSE)</f>
        <v>38.847605999999992</v>
      </c>
      <c r="K338" s="373" t="s">
        <v>1395</v>
      </c>
      <c r="M338" s="645">
        <f t="shared" si="71"/>
        <v>5</v>
      </c>
    </row>
    <row r="339" spans="1:13" hidden="1" x14ac:dyDescent="0.2">
      <c r="A339" s="372">
        <f>+SUBTOTAL(3,$G$7:$G339)</f>
        <v>0</v>
      </c>
      <c r="B339" s="366">
        <v>45901</v>
      </c>
      <c r="C339" s="367" t="s">
        <v>464</v>
      </c>
      <c r="D339" s="368" t="str">
        <f>+VLOOKUP(C339,Foundation!$C$8:$D$531,2,FALSE)</f>
        <v>DA+3</v>
      </c>
      <c r="E339" s="368" t="str">
        <f>+VLOOKUP(C339,Foundation!$C$8:$E$495,3,FALSE)</f>
        <v>DRY</v>
      </c>
      <c r="F339" s="350">
        <v>45912</v>
      </c>
      <c r="G339" s="350">
        <v>45918</v>
      </c>
      <c r="H339" s="373" t="s">
        <v>1582</v>
      </c>
      <c r="I339" s="381"/>
      <c r="J339" s="693">
        <f t="shared" ref="J339" si="78">+VLOOKUP(D339,$AB$7:$AC$35,2,FALSE)</f>
        <v>38.847605999999992</v>
      </c>
      <c r="K339" s="373" t="s">
        <v>1395</v>
      </c>
      <c r="M339" s="645">
        <f t="shared" si="71"/>
        <v>6</v>
      </c>
    </row>
    <row r="340" spans="1:13" hidden="1" x14ac:dyDescent="0.2">
      <c r="A340" s="372">
        <f>+SUBTOTAL(3,$G$7:$G340)</f>
        <v>0</v>
      </c>
      <c r="B340" s="366">
        <v>45901</v>
      </c>
      <c r="C340" s="367" t="s">
        <v>714</v>
      </c>
      <c r="D340" s="368" t="str">
        <f>+VLOOKUP(C340,Foundation!$C$8:$D$531,2,FALSE)</f>
        <v>DA+6</v>
      </c>
      <c r="E340" s="368" t="str">
        <f>+VLOOKUP(C340,Foundation!$C$8:$E$495,3,FALSE)</f>
        <v>Sandy</v>
      </c>
      <c r="F340" s="350">
        <v>45910</v>
      </c>
      <c r="G340" s="350">
        <v>45920</v>
      </c>
      <c r="H340" s="373" t="s">
        <v>893</v>
      </c>
      <c r="I340" s="381"/>
      <c r="J340" s="693">
        <f t="shared" ref="J340:J343" si="79">+VLOOKUP(D340,$AB$7:$AC$35,2,FALSE)</f>
        <v>45.413028000000004</v>
      </c>
      <c r="K340" s="373" t="s">
        <v>1395</v>
      </c>
      <c r="M340" s="645">
        <f t="shared" si="71"/>
        <v>10</v>
      </c>
    </row>
    <row r="341" spans="1:13" hidden="1" x14ac:dyDescent="0.2">
      <c r="A341" s="372">
        <f>+SUBTOTAL(3,$G$7:$G341)</f>
        <v>0</v>
      </c>
      <c r="B341" s="366">
        <v>45901</v>
      </c>
      <c r="C341" s="367" t="s">
        <v>448</v>
      </c>
      <c r="D341" s="368" t="str">
        <f>+VLOOKUP(C341,Foundation!$C$8:$D$531,2,FALSE)</f>
        <v>DA+3</v>
      </c>
      <c r="E341" s="368" t="str">
        <f>+VLOOKUP(C341,Foundation!$C$8:$E$495,3,FALSE)</f>
        <v>Sandy</v>
      </c>
      <c r="F341" s="350">
        <v>45909</v>
      </c>
      <c r="G341" s="350">
        <v>45922</v>
      </c>
      <c r="H341" s="373" t="s">
        <v>1493</v>
      </c>
      <c r="I341" s="381"/>
      <c r="J341" s="693">
        <f t="shared" si="79"/>
        <v>38.847605999999992</v>
      </c>
      <c r="K341" s="373" t="s">
        <v>1395</v>
      </c>
      <c r="M341" s="645">
        <f t="shared" si="71"/>
        <v>13</v>
      </c>
    </row>
    <row r="342" spans="1:13" hidden="1" x14ac:dyDescent="0.2">
      <c r="A342" s="372">
        <f>+SUBTOTAL(3,$G$7:$G342)</f>
        <v>0</v>
      </c>
      <c r="B342" s="366">
        <v>45901</v>
      </c>
      <c r="C342" s="367" t="s">
        <v>527</v>
      </c>
      <c r="D342" s="368" t="str">
        <f>+VLOOKUP(C342,Foundation!$C$8:$D$531,2,FALSE)</f>
        <v>DA+6</v>
      </c>
      <c r="E342" s="368" t="str">
        <f>+VLOOKUP(C342,Foundation!$C$8:$E$495,3,FALSE)</f>
        <v>DFR</v>
      </c>
      <c r="F342" s="350">
        <v>45919</v>
      </c>
      <c r="G342" s="350">
        <v>45922</v>
      </c>
      <c r="H342" s="373" t="s">
        <v>1538</v>
      </c>
      <c r="I342" s="381"/>
      <c r="J342" s="693">
        <f t="shared" si="79"/>
        <v>45.413028000000004</v>
      </c>
      <c r="K342" s="373" t="s">
        <v>1395</v>
      </c>
      <c r="M342" s="645">
        <f t="shared" si="71"/>
        <v>3</v>
      </c>
    </row>
    <row r="343" spans="1:13" hidden="1" x14ac:dyDescent="0.2">
      <c r="A343" s="372">
        <f>+SUBTOTAL(3,$G$7:$G343)</f>
        <v>0</v>
      </c>
      <c r="B343" s="366">
        <v>45901</v>
      </c>
      <c r="C343" s="367" t="s">
        <v>734</v>
      </c>
      <c r="D343" s="368" t="str">
        <f>+VLOOKUP(C343,Foundation!$C$8:$D$531,2,FALSE)</f>
        <v>DA+3</v>
      </c>
      <c r="E343" s="368" t="str">
        <f>+VLOOKUP(C343,Foundation!$C$8:$E$495,3,FALSE)</f>
        <v>Sandy</v>
      </c>
      <c r="F343" s="350">
        <v>45919</v>
      </c>
      <c r="G343" s="350">
        <v>45922</v>
      </c>
      <c r="H343" s="373" t="s">
        <v>1379</v>
      </c>
      <c r="I343" s="381"/>
      <c r="J343" s="693">
        <f t="shared" si="79"/>
        <v>38.847605999999992</v>
      </c>
      <c r="K343" s="373" t="s">
        <v>1395</v>
      </c>
      <c r="M343" s="645">
        <f t="shared" si="71"/>
        <v>3</v>
      </c>
    </row>
    <row r="344" spans="1:13" hidden="1" x14ac:dyDescent="0.2">
      <c r="A344" s="372">
        <f>+SUBTOTAL(3,$G$7:$G344)</f>
        <v>0</v>
      </c>
      <c r="B344" s="366">
        <v>45901</v>
      </c>
      <c r="C344" s="367" t="s">
        <v>568</v>
      </c>
      <c r="D344" s="368" t="str">
        <f>+VLOOKUP(C344,Foundation!$C$8:$D$531,2,FALSE)</f>
        <v>DA+0</v>
      </c>
      <c r="E344" s="368" t="str">
        <f>+VLOOKUP(C344,Foundation!$C$8:$E$495,3,FALSE)</f>
        <v>DRY</v>
      </c>
      <c r="F344" s="350">
        <v>45909</v>
      </c>
      <c r="G344" s="350">
        <v>45922</v>
      </c>
      <c r="H344" s="373" t="s">
        <v>1573</v>
      </c>
      <c r="I344" s="381"/>
      <c r="J344" s="693">
        <f t="shared" ref="J344" si="80">+VLOOKUP(D344,$AB$7:$AC$35,2,FALSE)</f>
        <v>37.504372000000004</v>
      </c>
      <c r="K344" s="373" t="s">
        <v>1395</v>
      </c>
      <c r="M344" s="645">
        <f t="shared" si="71"/>
        <v>13</v>
      </c>
    </row>
    <row r="345" spans="1:13" hidden="1" x14ac:dyDescent="0.2">
      <c r="A345" s="372">
        <f>+SUBTOTAL(3,$G$7:$G345)</f>
        <v>0</v>
      </c>
      <c r="B345" s="366">
        <v>45901</v>
      </c>
      <c r="C345" s="367" t="s">
        <v>197</v>
      </c>
      <c r="D345" s="368" t="str">
        <f>+VLOOKUP(C345,Foundation!$C$8:$D$531,2,FALSE)</f>
        <v>DA+0</v>
      </c>
      <c r="E345" s="368" t="str">
        <f>+VLOOKUP(C345,Foundation!$C$8:$E$495,3,FALSE)</f>
        <v>Sandy</v>
      </c>
      <c r="F345" s="350">
        <v>45910</v>
      </c>
      <c r="G345" s="350">
        <v>45923</v>
      </c>
      <c r="H345" s="373" t="s">
        <v>1536</v>
      </c>
      <c r="I345" s="381"/>
      <c r="J345" s="693">
        <f t="shared" ref="J345" si="81">+VLOOKUP(D345,$AB$7:$AC$35,2,FALSE)</f>
        <v>37.504372000000004</v>
      </c>
      <c r="K345" s="373" t="s">
        <v>1395</v>
      </c>
      <c r="M345" s="645">
        <f t="shared" si="71"/>
        <v>13</v>
      </c>
    </row>
    <row r="346" spans="1:13" hidden="1" x14ac:dyDescent="0.2">
      <c r="A346" s="372">
        <f>+SUBTOTAL(3,$G$7:$G346)</f>
        <v>0</v>
      </c>
      <c r="B346" s="366">
        <v>45901</v>
      </c>
      <c r="C346" s="367" t="s">
        <v>461</v>
      </c>
      <c r="D346" s="368" t="str">
        <f>+VLOOKUP(C346,Foundation!$C$8:$D$531,2,FALSE)</f>
        <v>DA+3</v>
      </c>
      <c r="E346" s="368" t="str">
        <f>+VLOOKUP(C346,Foundation!$C$8:$E$495,3,FALSE)</f>
        <v>DRY</v>
      </c>
      <c r="F346" s="350">
        <v>45912</v>
      </c>
      <c r="G346" s="350">
        <v>45923</v>
      </c>
      <c r="H346" s="373" t="s">
        <v>1371</v>
      </c>
      <c r="I346" s="381"/>
      <c r="J346" s="693">
        <f t="shared" ref="J346" si="82">+VLOOKUP(D346,$AB$7:$AC$35,2,FALSE)</f>
        <v>38.847605999999992</v>
      </c>
      <c r="K346" s="373" t="s">
        <v>1395</v>
      </c>
      <c r="M346" s="645">
        <f t="shared" si="71"/>
        <v>11</v>
      </c>
    </row>
    <row r="347" spans="1:13" hidden="1" x14ac:dyDescent="0.2">
      <c r="A347" s="372">
        <f>+SUBTOTAL(3,$G$7:$G347)</f>
        <v>0</v>
      </c>
      <c r="B347" s="366">
        <v>45901</v>
      </c>
      <c r="C347" s="367" t="s">
        <v>90</v>
      </c>
      <c r="D347" s="368" t="str">
        <f>+VLOOKUP(C347,Foundation!$C$8:$D$531,2,FALSE)</f>
        <v>DD60+25</v>
      </c>
      <c r="E347" s="368" t="str">
        <f>+VLOOKUP(C347,Foundation!$C$8:$E$495,3,FALSE)</f>
        <v>Sandy</v>
      </c>
      <c r="F347" s="350">
        <v>45909</v>
      </c>
      <c r="G347" s="350">
        <v>45925</v>
      </c>
      <c r="H347" s="373" t="s">
        <v>892</v>
      </c>
      <c r="I347" s="381"/>
      <c r="J347" s="693">
        <f t="shared" ref="J347" si="83">+VLOOKUP(D347,$AB$7:$AC$35,2,FALSE)</f>
        <v>143.60187300000001</v>
      </c>
      <c r="K347" s="373" t="s">
        <v>1590</v>
      </c>
      <c r="M347" s="645">
        <f t="shared" si="71"/>
        <v>16</v>
      </c>
    </row>
    <row r="348" spans="1:13" hidden="1" x14ac:dyDescent="0.2">
      <c r="A348" s="372">
        <f>+SUBTOTAL(3,$G$7:$G348)</f>
        <v>0</v>
      </c>
      <c r="B348" s="366">
        <v>45901</v>
      </c>
      <c r="C348" s="367" t="s">
        <v>190</v>
      </c>
      <c r="D348" s="368" t="str">
        <f>+VLOOKUP(C348,Foundation!$C$8:$D$531,2,FALSE)</f>
        <v>DA+3</v>
      </c>
      <c r="E348" s="368" t="str">
        <f>+VLOOKUP(C348,Foundation!$C$8:$E$495,3,FALSE)</f>
        <v>DRY</v>
      </c>
      <c r="F348" s="350">
        <v>45898</v>
      </c>
      <c r="G348" s="350">
        <v>45926</v>
      </c>
      <c r="H348" s="373" t="s">
        <v>1494</v>
      </c>
      <c r="I348" s="381"/>
      <c r="J348" s="693">
        <f t="shared" ref="J348" si="84">+VLOOKUP(D348,$AB$7:$AC$35,2,FALSE)</f>
        <v>38.847605999999992</v>
      </c>
      <c r="K348" s="373" t="s">
        <v>1395</v>
      </c>
      <c r="M348" s="645">
        <f t="shared" si="71"/>
        <v>28</v>
      </c>
    </row>
    <row r="349" spans="1:13" hidden="1" x14ac:dyDescent="0.2">
      <c r="A349" s="372">
        <f>+SUBTOTAL(3,$G$7:$G349)</f>
        <v>0</v>
      </c>
      <c r="B349" s="366">
        <v>45901</v>
      </c>
      <c r="C349" s="367" t="s">
        <v>30</v>
      </c>
      <c r="D349" s="368" t="str">
        <f>+VLOOKUP(C349,Foundation!$C$8:$D$531,2,FALSE)</f>
        <v>DB2+0</v>
      </c>
      <c r="E349" s="368" t="str">
        <f>+VLOOKUP(C349,Foundation!$C$8:$E$495,3,FALSE)</f>
        <v>Sandy</v>
      </c>
      <c r="F349" s="350">
        <v>45916</v>
      </c>
      <c r="G349" s="350">
        <v>45927</v>
      </c>
      <c r="H349" s="373" t="s">
        <v>593</v>
      </c>
      <c r="I349" s="381"/>
      <c r="J349" s="693">
        <f t="shared" ref="J349:J350" si="85">+VLOOKUP(D349,$AB$7:$AC$35,2,FALSE)</f>
        <v>57.597240999999997</v>
      </c>
      <c r="K349" s="373" t="s">
        <v>1395</v>
      </c>
      <c r="M349" s="645">
        <f t="shared" si="71"/>
        <v>11</v>
      </c>
    </row>
    <row r="350" spans="1:13" hidden="1" x14ac:dyDescent="0.2">
      <c r="A350" s="372">
        <f>+SUBTOTAL(3,$G$7:$G350)</f>
        <v>0</v>
      </c>
      <c r="B350" s="366">
        <v>45901</v>
      </c>
      <c r="C350" s="367" t="s">
        <v>88</v>
      </c>
      <c r="D350" s="368" t="str">
        <f>+VLOOKUP(C350,Foundation!$C$8:$D$531,2,FALSE)</f>
        <v>DB2+0</v>
      </c>
      <c r="E350" s="368" t="str">
        <f>+VLOOKUP(C350,Foundation!$C$8:$E$495,3,FALSE)</f>
        <v>Sandy</v>
      </c>
      <c r="F350" s="350">
        <v>45916</v>
      </c>
      <c r="G350" s="350">
        <v>45927</v>
      </c>
      <c r="H350" s="373" t="s">
        <v>895</v>
      </c>
      <c r="I350" s="381"/>
      <c r="J350" s="693">
        <f t="shared" si="85"/>
        <v>57.597240999999997</v>
      </c>
      <c r="K350" s="373" t="s">
        <v>1395</v>
      </c>
      <c r="M350" s="645">
        <f t="shared" si="71"/>
        <v>11</v>
      </c>
    </row>
    <row r="351" spans="1:13" hidden="1" x14ac:dyDescent="0.2">
      <c r="A351" s="372">
        <f>+SUBTOTAL(3,$G$7:$G351)</f>
        <v>0</v>
      </c>
      <c r="B351" s="366">
        <v>45901</v>
      </c>
      <c r="C351" s="367" t="s">
        <v>31</v>
      </c>
      <c r="D351" s="368" t="str">
        <f>+VLOOKUP(C351,Foundation!$C$8:$D$531,2,FALSE)</f>
        <v>DB2+0</v>
      </c>
      <c r="E351" s="368" t="str">
        <f>+VLOOKUP(C351,Foundation!$C$8:$E$495,3,FALSE)</f>
        <v>Sandy</v>
      </c>
      <c r="F351" s="350">
        <v>45920</v>
      </c>
      <c r="G351" s="350">
        <v>45929</v>
      </c>
      <c r="H351" s="373" t="s">
        <v>1583</v>
      </c>
      <c r="I351" s="381"/>
      <c r="J351" s="693">
        <f t="shared" ref="J351" si="86">+VLOOKUP(D351,$AB$7:$AC$35,2,FALSE)</f>
        <v>57.597240999999997</v>
      </c>
      <c r="K351" s="373" t="s">
        <v>1395</v>
      </c>
      <c r="M351" s="645">
        <f t="shared" si="71"/>
        <v>9</v>
      </c>
    </row>
    <row r="352" spans="1:13" hidden="1" x14ac:dyDescent="0.2">
      <c r="A352" s="372">
        <f>+SUBTOTAL(3,$G$7:$G352)</f>
        <v>0</v>
      </c>
      <c r="B352" s="366">
        <v>45901</v>
      </c>
      <c r="C352" s="367" t="s">
        <v>684</v>
      </c>
      <c r="D352" s="368" t="str">
        <f>+VLOOKUP(C352,Foundation!$C$8:$D$531,2,FALSE)</f>
        <v>DA+0</v>
      </c>
      <c r="E352" s="368" t="str">
        <f>+VLOOKUP(C352,Foundation!$C$8:$E$495,3,FALSE)</f>
        <v>Sandy</v>
      </c>
      <c r="F352" s="350">
        <v>45907</v>
      </c>
      <c r="G352" s="350">
        <v>45929</v>
      </c>
      <c r="H352" s="373" t="s">
        <v>1585</v>
      </c>
      <c r="I352" s="381"/>
      <c r="J352" s="693">
        <f t="shared" ref="J352:J353" si="87">+VLOOKUP(D352,$AB$7:$AC$35,2,FALSE)</f>
        <v>37.504372000000004</v>
      </c>
      <c r="K352" s="373" t="s">
        <v>1395</v>
      </c>
      <c r="M352" s="645">
        <f t="shared" si="71"/>
        <v>22</v>
      </c>
    </row>
    <row r="353" spans="1:13" hidden="1" x14ac:dyDescent="0.2">
      <c r="A353" s="372">
        <f>+SUBTOTAL(3,$G$7:$G353)</f>
        <v>0</v>
      </c>
      <c r="B353" s="366">
        <v>45901</v>
      </c>
      <c r="C353" s="367" t="s">
        <v>94</v>
      </c>
      <c r="D353" s="368" t="str">
        <f>+VLOOKUP(C353,Foundation!$C$8:$D$531,2,FALSE)</f>
        <v>DD60+25</v>
      </c>
      <c r="E353" s="368" t="str">
        <f>+VLOOKUP(C353,Foundation!$C$8:$E$495,3,FALSE)</f>
        <v>Sandy</v>
      </c>
      <c r="F353" s="350">
        <v>45915</v>
      </c>
      <c r="G353" s="350">
        <v>45929</v>
      </c>
      <c r="H353" s="373" t="s">
        <v>1488</v>
      </c>
      <c r="I353" s="381"/>
      <c r="J353" s="693">
        <f t="shared" si="87"/>
        <v>143.60187300000001</v>
      </c>
      <c r="K353" s="373" t="s">
        <v>1590</v>
      </c>
      <c r="M353" s="645">
        <f t="shared" si="71"/>
        <v>14</v>
      </c>
    </row>
    <row r="354" spans="1:13" hidden="1" x14ac:dyDescent="0.2">
      <c r="A354" s="372">
        <f>+SUBTOTAL(3,$G$7:$G354)</f>
        <v>0</v>
      </c>
      <c r="B354" s="366">
        <v>45901</v>
      </c>
      <c r="C354" s="367" t="s">
        <v>713</v>
      </c>
      <c r="D354" s="368" t="str">
        <f>+VLOOKUP(C354,Foundation!$C$8:$D$531,2,FALSE)</f>
        <v>DA+6</v>
      </c>
      <c r="E354" s="368" t="str">
        <f>+VLOOKUP(C354,Foundation!$C$8:$E$495,3,FALSE)</f>
        <v>Sandy</v>
      </c>
      <c r="F354" s="350">
        <v>45920</v>
      </c>
      <c r="G354" s="350">
        <v>45930</v>
      </c>
      <c r="H354" s="373" t="s">
        <v>893</v>
      </c>
      <c r="I354" s="381"/>
      <c r="J354" s="693">
        <f t="shared" ref="J354:J356" si="88">+VLOOKUP(D354,$AB$7:$AC$35,2,FALSE)</f>
        <v>45.413028000000004</v>
      </c>
      <c r="K354" s="373" t="s">
        <v>1395</v>
      </c>
      <c r="M354" s="645">
        <f t="shared" si="71"/>
        <v>10</v>
      </c>
    </row>
    <row r="355" spans="1:13" hidden="1" x14ac:dyDescent="0.2">
      <c r="A355" s="372">
        <f>+SUBTOTAL(3,$G$7:$G355)</f>
        <v>0</v>
      </c>
      <c r="B355" s="366">
        <v>45901</v>
      </c>
      <c r="C355" s="367" t="s">
        <v>732</v>
      </c>
      <c r="D355" s="368" t="str">
        <f>+VLOOKUP(C355,Foundation!$C$8:$D$531,2,FALSE)</f>
        <v>DB1+6</v>
      </c>
      <c r="E355" s="368" t="str">
        <f>+VLOOKUP(C355,Foundation!$C$8:$E$495,3,FALSE)</f>
        <v>Sandy</v>
      </c>
      <c r="F355" s="350">
        <v>45922</v>
      </c>
      <c r="G355" s="350">
        <v>45930</v>
      </c>
      <c r="H355" s="373" t="s">
        <v>1379</v>
      </c>
      <c r="I355" s="381"/>
      <c r="J355" s="693">
        <f t="shared" si="88"/>
        <v>67.873650999999995</v>
      </c>
      <c r="K355" s="373" t="s">
        <v>1395</v>
      </c>
      <c r="M355" s="645">
        <f t="shared" si="71"/>
        <v>8</v>
      </c>
    </row>
    <row r="356" spans="1:13" hidden="1" x14ac:dyDescent="0.2">
      <c r="A356" s="372">
        <f>+SUBTOTAL(3,$G$7:$G356)</f>
        <v>0</v>
      </c>
      <c r="B356" s="366">
        <v>45901</v>
      </c>
      <c r="C356" s="367" t="s">
        <v>525</v>
      </c>
      <c r="D356" s="368" t="str">
        <f>+VLOOKUP(C356,Foundation!$C$8:$D$531,2,FALSE)</f>
        <v>DA+6</v>
      </c>
      <c r="E356" s="368" t="str">
        <f>+VLOOKUP(C356,Foundation!$C$8:$E$495,3,FALSE)</f>
        <v>Sandy</v>
      </c>
      <c r="F356" s="350">
        <v>45910</v>
      </c>
      <c r="G356" s="350">
        <v>45930</v>
      </c>
      <c r="H356" s="373" t="s">
        <v>1575</v>
      </c>
      <c r="I356" s="381"/>
      <c r="J356" s="693">
        <f t="shared" si="88"/>
        <v>45.413028000000004</v>
      </c>
      <c r="K356" s="373" t="s">
        <v>1395</v>
      </c>
      <c r="M356" s="645">
        <f t="shared" si="71"/>
        <v>20</v>
      </c>
    </row>
    <row r="357" spans="1:13" hidden="1" x14ac:dyDescent="0.2">
      <c r="A357" s="372">
        <f>+SUBTOTAL(3,$G$7:$G357)</f>
        <v>0</v>
      </c>
      <c r="B357" s="366">
        <v>45931</v>
      </c>
      <c r="C357" s="367" t="s">
        <v>460</v>
      </c>
      <c r="D357" s="368" t="str">
        <f>+VLOOKUP(C357,Foundation!$C$8:$D$531,2,FALSE)</f>
        <v>DA+0</v>
      </c>
      <c r="E357" s="368" t="str">
        <f>+VLOOKUP(C357,Foundation!$C$8:$E$495,3,FALSE)</f>
        <v>DFR</v>
      </c>
      <c r="F357" s="350">
        <v>45925</v>
      </c>
      <c r="G357" s="350">
        <v>45933</v>
      </c>
      <c r="H357" s="373" t="s">
        <v>1533</v>
      </c>
      <c r="I357" s="381"/>
      <c r="J357" s="693">
        <f t="shared" ref="J357" si="89">+VLOOKUP(D357,$AB$7:$AC$35,2,FALSE)</f>
        <v>37.504372000000004</v>
      </c>
      <c r="K357" s="373" t="s">
        <v>1395</v>
      </c>
      <c r="M357" s="645">
        <f t="shared" si="71"/>
        <v>8</v>
      </c>
    </row>
    <row r="358" spans="1:13" hidden="1" x14ac:dyDescent="0.2">
      <c r="A358" s="372">
        <f>+SUBTOTAL(3,$G$7:$G358)</f>
        <v>0</v>
      </c>
      <c r="B358" s="366">
        <v>45931</v>
      </c>
      <c r="C358" s="367" t="s">
        <v>214</v>
      </c>
      <c r="D358" s="368" t="str">
        <f>+VLOOKUP(C358,Foundation!$C$8:$D$531,2,FALSE)</f>
        <v>DA+0</v>
      </c>
      <c r="E358" s="368" t="str">
        <f>+VLOOKUP(C358,Foundation!$C$8:$E$495,3,FALSE)</f>
        <v>Sandy</v>
      </c>
      <c r="F358" s="350">
        <v>45927</v>
      </c>
      <c r="G358" s="350">
        <v>45936</v>
      </c>
      <c r="H358" s="373" t="s">
        <v>593</v>
      </c>
      <c r="I358" s="381"/>
      <c r="J358" s="693">
        <f t="shared" ref="J358" si="90">+VLOOKUP(D358,$AB$7:$AC$35,2,FALSE)</f>
        <v>37.504372000000004</v>
      </c>
      <c r="K358" s="373" t="s">
        <v>1395</v>
      </c>
      <c r="M358" s="645">
        <f t="shared" si="71"/>
        <v>9</v>
      </c>
    </row>
    <row r="359" spans="1:13" hidden="1" x14ac:dyDescent="0.2">
      <c r="A359" s="372">
        <f>+SUBTOTAL(3,$G$7:$G359)</f>
        <v>0</v>
      </c>
      <c r="B359" s="366">
        <v>45931</v>
      </c>
      <c r="C359" s="367" t="s">
        <v>564</v>
      </c>
      <c r="D359" s="368" t="str">
        <f>+VLOOKUP(C359,Foundation!$C$8:$D$531,2,FALSE)</f>
        <v>DA+0</v>
      </c>
      <c r="E359" s="368" t="str">
        <f>+VLOOKUP(C359,Foundation!$C$8:$E$495,3,FALSE)</f>
        <v>Sandy</v>
      </c>
      <c r="F359" s="350">
        <v>45922</v>
      </c>
      <c r="G359" s="350">
        <v>45937</v>
      </c>
      <c r="H359" s="373" t="s">
        <v>1573</v>
      </c>
      <c r="I359" s="381"/>
      <c r="J359" s="693">
        <f t="shared" ref="J359" si="91">+VLOOKUP(D359,$AB$7:$AC$35,2,FALSE)</f>
        <v>37.504372000000004</v>
      </c>
      <c r="K359" s="373" t="s">
        <v>1395</v>
      </c>
      <c r="M359" s="645">
        <f t="shared" si="71"/>
        <v>15</v>
      </c>
    </row>
    <row r="360" spans="1:13" hidden="1" x14ac:dyDescent="0.2">
      <c r="A360" s="372">
        <f>+SUBTOTAL(3,$G$7:$G360)</f>
        <v>0</v>
      </c>
      <c r="B360" s="366">
        <v>45931</v>
      </c>
      <c r="C360" s="367" t="s">
        <v>542</v>
      </c>
      <c r="D360" s="368" t="str">
        <f>+VLOOKUP(C360,Foundation!$C$8:$D$531,2,FALSE)</f>
        <v>DC2+0</v>
      </c>
      <c r="E360" s="368" t="str">
        <f>+VLOOKUP(C360,Foundation!$C$8:$E$495,3,FALSE)</f>
        <v>Sandy</v>
      </c>
      <c r="F360" s="350">
        <v>45929</v>
      </c>
      <c r="G360" s="350">
        <v>45938</v>
      </c>
      <c r="H360" s="373" t="s">
        <v>1488</v>
      </c>
      <c r="I360" s="381"/>
      <c r="J360" s="693">
        <f t="shared" ref="J360" si="92">+VLOOKUP(D360,$AB$7:$AC$35,2,FALSE)</f>
        <v>66.381106999999986</v>
      </c>
      <c r="K360" s="373" t="s">
        <v>1395</v>
      </c>
      <c r="M360" s="645">
        <f t="shared" si="71"/>
        <v>9</v>
      </c>
    </row>
    <row r="361" spans="1:13" hidden="1" x14ac:dyDescent="0.2">
      <c r="A361" s="372">
        <f>+SUBTOTAL(3,$G$7:$G361)</f>
        <v>0</v>
      </c>
      <c r="B361" s="366">
        <v>45931</v>
      </c>
      <c r="C361" s="367" t="s">
        <v>467</v>
      </c>
      <c r="D361" s="368" t="str">
        <f>+VLOOKUP(C361,Foundation!$C$8:$D$531,2,FALSE)</f>
        <v>DA+0</v>
      </c>
      <c r="E361" s="368" t="str">
        <f>+VLOOKUP(C361,Foundation!$C$8:$E$495,3,FALSE)</f>
        <v>DRY</v>
      </c>
      <c r="F361" s="350">
        <v>45933</v>
      </c>
      <c r="G361" s="350">
        <v>45940</v>
      </c>
      <c r="H361" s="373" t="s">
        <v>1493</v>
      </c>
      <c r="I361" s="381"/>
      <c r="J361" s="693">
        <f t="shared" ref="J361" si="93">+VLOOKUP(D361,$AB$7:$AC$35,2,FALSE)</f>
        <v>37.504372000000004</v>
      </c>
      <c r="K361" s="373" t="s">
        <v>1395</v>
      </c>
      <c r="M361" s="645">
        <f t="shared" si="71"/>
        <v>7</v>
      </c>
    </row>
    <row r="362" spans="1:13" hidden="1" x14ac:dyDescent="0.2">
      <c r="A362" s="372">
        <f>+SUBTOTAL(3,$G$7:$G362)</f>
        <v>0</v>
      </c>
      <c r="B362" s="366">
        <v>45931</v>
      </c>
      <c r="C362" s="367" t="s">
        <v>738</v>
      </c>
      <c r="D362" s="368" t="str">
        <f>+VLOOKUP(C362,Foundation!$C$8:$D$531,2,FALSE)</f>
        <v>DB1+6</v>
      </c>
      <c r="E362" s="368" t="str">
        <f>+VLOOKUP(C362,Foundation!$C$8:$E$495,3,FALSE)</f>
        <v>Sandy</v>
      </c>
      <c r="F362" s="350">
        <v>45930</v>
      </c>
      <c r="G362" s="350">
        <v>45941</v>
      </c>
      <c r="H362" s="373" t="s">
        <v>1379</v>
      </c>
      <c r="I362" s="381"/>
      <c r="J362" s="693">
        <f t="shared" ref="J362" si="94">+VLOOKUP(D362,$AB$7:$AC$35,2,FALSE)</f>
        <v>67.873650999999995</v>
      </c>
      <c r="K362" s="373" t="s">
        <v>1395</v>
      </c>
      <c r="M362" s="645">
        <f t="shared" si="71"/>
        <v>11</v>
      </c>
    </row>
    <row r="363" spans="1:13" hidden="1" x14ac:dyDescent="0.2">
      <c r="A363" s="372">
        <f>+SUBTOTAL(3,$G$7:$G363)</f>
        <v>0</v>
      </c>
      <c r="B363" s="366">
        <v>45931</v>
      </c>
      <c r="C363" s="367" t="s">
        <v>199</v>
      </c>
      <c r="D363" s="368" t="str">
        <f>+VLOOKUP(C363,Foundation!$C$8:$D$531,2,FALSE)</f>
        <v>DA+0</v>
      </c>
      <c r="E363" s="368" t="str">
        <f>+VLOOKUP(C363,Foundation!$C$8:$E$495,3,FALSE)</f>
        <v>Sandy</v>
      </c>
      <c r="F363" s="350">
        <v>45930</v>
      </c>
      <c r="G363" s="350">
        <v>45942</v>
      </c>
      <c r="H363" s="373" t="s">
        <v>893</v>
      </c>
      <c r="I363" s="381"/>
      <c r="J363" s="693">
        <f t="shared" ref="J363" si="95">+VLOOKUP(D363,$AB$7:$AC$35,2,FALSE)</f>
        <v>37.504372000000004</v>
      </c>
      <c r="K363" s="373" t="s">
        <v>1395</v>
      </c>
      <c r="M363" s="645">
        <f t="shared" si="71"/>
        <v>12</v>
      </c>
    </row>
    <row r="364" spans="1:13" hidden="1" x14ac:dyDescent="0.2">
      <c r="A364" s="372">
        <f>+SUBTOTAL(3,$G$7:$G364)</f>
        <v>0</v>
      </c>
      <c r="B364" s="366">
        <v>45931</v>
      </c>
      <c r="C364" s="367" t="s">
        <v>213</v>
      </c>
      <c r="D364" s="368" t="str">
        <f>+VLOOKUP(C364,Foundation!$C$8:$D$531,2,FALSE)</f>
        <v>DA+0</v>
      </c>
      <c r="E364" s="368" t="str">
        <f>+VLOOKUP(C364,Foundation!$C$8:$E$495,3,FALSE)</f>
        <v>DRY</v>
      </c>
      <c r="F364" s="350">
        <v>45937</v>
      </c>
      <c r="G364" s="350">
        <v>45943</v>
      </c>
      <c r="H364" s="373" t="s">
        <v>593</v>
      </c>
      <c r="I364" s="381"/>
      <c r="J364" s="693">
        <f t="shared" ref="J364" si="96">+VLOOKUP(D364,$AB$7:$AC$35,2,FALSE)</f>
        <v>37.504372000000004</v>
      </c>
      <c r="K364" s="373" t="s">
        <v>1395</v>
      </c>
      <c r="M364" s="645">
        <f t="shared" si="71"/>
        <v>6</v>
      </c>
    </row>
    <row r="365" spans="1:13" hidden="1" x14ac:dyDescent="0.2">
      <c r="A365" s="372">
        <f>+SUBTOTAL(3,$G$7:$G365)</f>
        <v>0</v>
      </c>
      <c r="B365" s="366">
        <v>45931</v>
      </c>
      <c r="C365" s="367" t="s">
        <v>740</v>
      </c>
      <c r="D365" s="368" t="str">
        <f>+VLOOKUP(C365,Foundation!$C$8:$D$531,2,FALSE)</f>
        <v>DA+0</v>
      </c>
      <c r="E365" s="368" t="str">
        <f>+VLOOKUP(C365,Foundation!$C$8:$E$495,3,FALSE)</f>
        <v>WFR</v>
      </c>
      <c r="F365" s="350">
        <v>45942</v>
      </c>
      <c r="G365" s="350">
        <v>45944</v>
      </c>
      <c r="H365" s="373" t="s">
        <v>1379</v>
      </c>
      <c r="I365" s="381"/>
      <c r="J365" s="693">
        <f t="shared" ref="J365" si="97">+VLOOKUP(D365,$AB$7:$AC$35,2,FALSE)</f>
        <v>37.504372000000004</v>
      </c>
      <c r="K365" s="373" t="s">
        <v>1395</v>
      </c>
      <c r="M365" s="645">
        <f t="shared" si="71"/>
        <v>2</v>
      </c>
    </row>
    <row r="366" spans="1:13" s="341" customFormat="1" hidden="1" x14ac:dyDescent="0.2">
      <c r="A366" s="708">
        <f>+SUBTOTAL(3,$G$7:$G366)</f>
        <v>0</v>
      </c>
      <c r="B366" s="555">
        <v>45931</v>
      </c>
      <c r="C366" s="347" t="s">
        <v>534</v>
      </c>
      <c r="D366" s="344" t="str">
        <f>+VLOOKUP(C366,Foundation!$C$8:$D$531,2,FALSE)</f>
        <v>DA+9</v>
      </c>
      <c r="E366" s="344" t="str">
        <f>+VLOOKUP(C366,Foundation!$C$8:$E$495,3,FALSE)</f>
        <v>Sandy</v>
      </c>
      <c r="F366" s="599">
        <v>45940</v>
      </c>
      <c r="G366" s="599">
        <v>45947</v>
      </c>
      <c r="H366" s="634" t="s">
        <v>895</v>
      </c>
      <c r="I366" s="600"/>
      <c r="J366" s="709">
        <f t="shared" ref="J366" si="98">+VLOOKUP(D366,$AB$7:$AC$35,2,FALSE)</f>
        <v>47.184350000000002</v>
      </c>
      <c r="K366" s="634" t="s">
        <v>1395</v>
      </c>
      <c r="M366" s="645">
        <f t="shared" si="71"/>
        <v>7</v>
      </c>
    </row>
    <row r="367" spans="1:13" hidden="1" x14ac:dyDescent="0.2">
      <c r="A367" s="372">
        <f>+SUBTOTAL(3,$G$7:$G367)</f>
        <v>0</v>
      </c>
      <c r="B367" s="366">
        <v>45931</v>
      </c>
      <c r="C367" s="367" t="s">
        <v>540</v>
      </c>
      <c r="D367" s="368" t="str">
        <f>+VLOOKUP(C367,Foundation!$C$8:$D$531,2,FALSE)</f>
        <v>DB2+6</v>
      </c>
      <c r="E367" s="368" t="str">
        <f>+VLOOKUP(C367,Foundation!$C$8:$E$495,3,FALSE)</f>
        <v>Sandy</v>
      </c>
      <c r="F367" s="350">
        <v>45944</v>
      </c>
      <c r="G367" s="350">
        <v>45948</v>
      </c>
      <c r="H367" s="373" t="s">
        <v>1488</v>
      </c>
      <c r="I367" s="381"/>
      <c r="J367" s="693">
        <f t="shared" ref="J367:J368" si="99">+VLOOKUP(D367,$AB$7:$AC$35,2,FALSE)</f>
        <v>67.873650999999995</v>
      </c>
      <c r="K367" s="373" t="s">
        <v>1395</v>
      </c>
      <c r="M367" s="645">
        <f t="shared" si="71"/>
        <v>4</v>
      </c>
    </row>
    <row r="368" spans="1:13" hidden="1" x14ac:dyDescent="0.2">
      <c r="A368" s="372">
        <f>+SUBTOTAL(3,$G$7:$G368)</f>
        <v>0</v>
      </c>
      <c r="B368" s="366">
        <v>45931</v>
      </c>
      <c r="C368" s="367" t="s">
        <v>89</v>
      </c>
      <c r="D368" s="368" t="str">
        <f>+VLOOKUP(C368,Foundation!$C$8:$D$531,2,FALSE)</f>
        <v>DD60+25</v>
      </c>
      <c r="E368" s="368" t="str">
        <f>+VLOOKUP(C368,Foundation!$C$8:$E$495,3,FALSE)</f>
        <v>Sandy</v>
      </c>
      <c r="F368" s="350">
        <v>45929</v>
      </c>
      <c r="G368" s="350">
        <v>45948</v>
      </c>
      <c r="H368" s="373" t="s">
        <v>892</v>
      </c>
      <c r="I368" s="381"/>
      <c r="J368" s="693">
        <f t="shared" si="99"/>
        <v>143.60187300000001</v>
      </c>
      <c r="K368" s="373" t="s">
        <v>1395</v>
      </c>
      <c r="M368" s="645">
        <f t="shared" si="71"/>
        <v>19</v>
      </c>
    </row>
    <row r="369" spans="1:13" hidden="1" x14ac:dyDescent="0.2">
      <c r="A369" s="372">
        <f>+SUBTOTAL(3,$G$7:$G369)</f>
        <v>0</v>
      </c>
      <c r="B369" s="366">
        <v>45931</v>
      </c>
      <c r="C369" s="367" t="s">
        <v>211</v>
      </c>
      <c r="D369" s="368" t="str">
        <f>+VLOOKUP(C369,Foundation!$C$8:$D$531,2,FALSE)</f>
        <v>DB1+0</v>
      </c>
      <c r="E369" s="368" t="str">
        <f>+VLOOKUP(C369,Foundation!$C$8:$E$495,3,FALSE)</f>
        <v>Sandy</v>
      </c>
      <c r="F369" s="350">
        <v>45944</v>
      </c>
      <c r="G369" s="350">
        <v>45952</v>
      </c>
      <c r="H369" s="373" t="s">
        <v>593</v>
      </c>
      <c r="I369" s="381"/>
      <c r="J369" s="693">
        <f t="shared" ref="J369:J370" si="100">+VLOOKUP(D369,$AB$7:$AC$35,2,FALSE)</f>
        <v>57.597240999999997</v>
      </c>
      <c r="K369" s="373" t="s">
        <v>1395</v>
      </c>
      <c r="M369" s="645">
        <f t="shared" si="71"/>
        <v>8</v>
      </c>
    </row>
    <row r="370" spans="1:13" hidden="1" x14ac:dyDescent="0.2">
      <c r="A370" s="372">
        <f>+SUBTOTAL(3,$G$7:$G370)</f>
        <v>0</v>
      </c>
      <c r="B370" s="366">
        <v>45931</v>
      </c>
      <c r="C370" s="367" t="s">
        <v>541</v>
      </c>
      <c r="D370" s="368" t="str">
        <f>+VLOOKUP(C370,Foundation!$C$8:$D$531,2,FALSE)</f>
        <v>DA+0</v>
      </c>
      <c r="E370" s="368" t="str">
        <f>+VLOOKUP(C370,Foundation!$C$8:$E$495,3,FALSE)</f>
        <v>Sandy</v>
      </c>
      <c r="F370" s="350">
        <v>45948</v>
      </c>
      <c r="G370" s="350">
        <v>45952</v>
      </c>
      <c r="H370" s="373" t="s">
        <v>1488</v>
      </c>
      <c r="I370" s="381"/>
      <c r="J370" s="693">
        <f t="shared" si="100"/>
        <v>37.504372000000004</v>
      </c>
      <c r="K370" s="373" t="s">
        <v>1395</v>
      </c>
      <c r="M370" s="645">
        <f t="shared" si="71"/>
        <v>4</v>
      </c>
    </row>
    <row r="371" spans="1:13" hidden="1" x14ac:dyDescent="0.2">
      <c r="A371" s="372">
        <f>+SUBTOTAL(3,$G$7:$G371)</f>
        <v>0</v>
      </c>
      <c r="B371" s="366">
        <v>45931</v>
      </c>
      <c r="C371" s="367" t="s">
        <v>198</v>
      </c>
      <c r="D371" s="368" t="str">
        <f>+VLOOKUP(C371,Foundation!$C$8:$D$531,2,FALSE)</f>
        <v>DA+6</v>
      </c>
      <c r="E371" s="368" t="str">
        <f>+VLOOKUP(C371,Foundation!$C$8:$E$495,3,FALSE)</f>
        <v>DRY</v>
      </c>
      <c r="F371" s="350">
        <v>45943</v>
      </c>
      <c r="G371" s="350">
        <v>45953</v>
      </c>
      <c r="H371" s="373" t="s">
        <v>893</v>
      </c>
      <c r="I371" s="381"/>
      <c r="J371" s="693">
        <f t="shared" ref="J371" si="101">+VLOOKUP(D371,$AB$7:$AC$35,2,FALSE)</f>
        <v>45.413028000000004</v>
      </c>
      <c r="K371" s="373" t="s">
        <v>1395</v>
      </c>
      <c r="M371" s="645">
        <f t="shared" si="71"/>
        <v>10</v>
      </c>
    </row>
    <row r="372" spans="1:13" hidden="1" x14ac:dyDescent="0.2">
      <c r="A372" s="372">
        <f>+SUBTOTAL(3,$G$7:$G372)</f>
        <v>0</v>
      </c>
      <c r="B372" s="366">
        <v>45931</v>
      </c>
      <c r="C372" s="367" t="s">
        <v>216</v>
      </c>
      <c r="D372" s="368" t="str">
        <f>+VLOOKUP(C372,Foundation!$C$8:$D$531,2,FALSE)</f>
        <v>DA+3</v>
      </c>
      <c r="E372" s="368" t="str">
        <f>+VLOOKUP(C372,Foundation!$C$8:$E$495,3,FALSE)</f>
        <v>Sandy</v>
      </c>
      <c r="F372" s="350">
        <v>45948</v>
      </c>
      <c r="G372" s="350">
        <v>45954</v>
      </c>
      <c r="H372" s="373" t="s">
        <v>895</v>
      </c>
      <c r="I372" s="381"/>
      <c r="J372" s="693">
        <f t="shared" ref="J372:J373" si="102">+VLOOKUP(D372,$AB$7:$AC$35,2,FALSE)</f>
        <v>38.847605999999992</v>
      </c>
      <c r="K372" s="373" t="s">
        <v>1395</v>
      </c>
      <c r="M372" s="645">
        <f t="shared" si="71"/>
        <v>6</v>
      </c>
    </row>
    <row r="373" spans="1:13" hidden="1" x14ac:dyDescent="0.2">
      <c r="A373" s="372">
        <f>+SUBTOTAL(3,$G$7:$G373)</f>
        <v>0</v>
      </c>
      <c r="B373" s="366">
        <v>45931</v>
      </c>
      <c r="C373" s="367" t="s">
        <v>480</v>
      </c>
      <c r="D373" s="368" t="str">
        <f>+VLOOKUP(C373,Foundation!$C$8:$D$531,2,FALSE)</f>
        <v>DA+0</v>
      </c>
      <c r="E373" s="368" t="str">
        <f>+VLOOKUP(C373,Foundation!$C$8:$E$495,3,FALSE)</f>
        <v>Sandy</v>
      </c>
      <c r="F373" s="350">
        <v>45947</v>
      </c>
      <c r="G373" s="350">
        <v>45954</v>
      </c>
      <c r="H373" s="373" t="s">
        <v>1606</v>
      </c>
      <c r="I373" s="381"/>
      <c r="J373" s="693">
        <f t="shared" si="102"/>
        <v>37.504372000000004</v>
      </c>
      <c r="K373" s="373" t="s">
        <v>1395</v>
      </c>
      <c r="M373" s="645">
        <f t="shared" si="71"/>
        <v>7</v>
      </c>
    </row>
    <row r="374" spans="1:13" hidden="1" x14ac:dyDescent="0.2">
      <c r="A374" s="372">
        <f>+SUBTOTAL(3,$G$7:$G374)</f>
        <v>0</v>
      </c>
      <c r="B374" s="366">
        <v>45931</v>
      </c>
      <c r="C374" s="367" t="s">
        <v>29</v>
      </c>
      <c r="D374" s="368" t="str">
        <f>+VLOOKUP(C374,Foundation!$C$8:$D$531,2,FALSE)</f>
        <v>DB2+6</v>
      </c>
      <c r="E374" s="368" t="str">
        <f>+VLOOKUP(C374,Foundation!$C$8:$E$495,3,FALSE)</f>
        <v>Sandy</v>
      </c>
      <c r="F374" s="350">
        <v>45946</v>
      </c>
      <c r="G374" s="350">
        <v>45956</v>
      </c>
      <c r="H374" s="373" t="s">
        <v>894</v>
      </c>
      <c r="I374" s="381"/>
      <c r="J374" s="693">
        <f t="shared" ref="J374:J376" si="103">+VLOOKUP(D374,$AB$7:$AC$35,2,FALSE)</f>
        <v>67.873650999999995</v>
      </c>
      <c r="K374" s="373" t="s">
        <v>1395</v>
      </c>
      <c r="M374" s="645">
        <f t="shared" si="71"/>
        <v>10</v>
      </c>
    </row>
    <row r="375" spans="1:13" hidden="1" x14ac:dyDescent="0.2">
      <c r="A375" s="372">
        <f>+SUBTOTAL(3,$G$7:$G375)</f>
        <v>0</v>
      </c>
      <c r="B375" s="366">
        <v>45931</v>
      </c>
      <c r="C375" s="367" t="s">
        <v>539</v>
      </c>
      <c r="D375" s="368" t="str">
        <f>+VLOOKUP(C375,Foundation!$C$8:$D$531,2,FALSE)</f>
        <v>DA+9</v>
      </c>
      <c r="E375" s="368" t="str">
        <f>+VLOOKUP(C375,Foundation!$C$8:$E$495,3,FALSE)</f>
        <v>Sandy</v>
      </c>
      <c r="F375" s="350">
        <v>45952</v>
      </c>
      <c r="G375" s="350">
        <v>45956</v>
      </c>
      <c r="H375" s="373" t="s">
        <v>1488</v>
      </c>
      <c r="I375" s="381"/>
      <c r="J375" s="693">
        <f t="shared" si="103"/>
        <v>47.184350000000002</v>
      </c>
      <c r="K375" s="373" t="s">
        <v>1395</v>
      </c>
      <c r="M375" s="645">
        <f t="shared" si="71"/>
        <v>4</v>
      </c>
    </row>
    <row r="376" spans="1:13" hidden="1" x14ac:dyDescent="0.2">
      <c r="A376" s="372">
        <f>+SUBTOTAL(3,$G$7:$G376)</f>
        <v>0</v>
      </c>
      <c r="B376" s="366">
        <v>45931</v>
      </c>
      <c r="C376" s="367" t="s">
        <v>557</v>
      </c>
      <c r="D376" s="368" t="str">
        <f>+VLOOKUP(C376,Foundation!$C$8:$D$531,2,FALSE)</f>
        <v>DA+0</v>
      </c>
      <c r="E376" s="368" t="str">
        <f>+VLOOKUP(C376,Foundation!$C$8:$E$495,3,FALSE)</f>
        <v>Sandy</v>
      </c>
      <c r="F376" s="350">
        <v>45940</v>
      </c>
      <c r="G376" s="350">
        <v>45957</v>
      </c>
      <c r="H376" s="373" t="s">
        <v>1490</v>
      </c>
      <c r="I376" s="381"/>
      <c r="J376" s="693">
        <f t="shared" si="103"/>
        <v>37.504372000000004</v>
      </c>
      <c r="K376" s="373" t="s">
        <v>1395</v>
      </c>
      <c r="M376" s="645">
        <f t="shared" si="71"/>
        <v>17</v>
      </c>
    </row>
    <row r="377" spans="1:13" hidden="1" x14ac:dyDescent="0.2">
      <c r="A377" s="372">
        <f>+SUBTOTAL(3,$G$7:$G377)</f>
        <v>0</v>
      </c>
      <c r="B377" s="366">
        <v>45931</v>
      </c>
      <c r="C377" s="367" t="s">
        <v>665</v>
      </c>
      <c r="D377" s="368" t="str">
        <f>+VLOOKUP(C377,Foundation!$C$8:$D$531,2,FALSE)</f>
        <v>DA+0</v>
      </c>
      <c r="E377" s="368" t="str">
        <f>+VLOOKUP(C377,Foundation!$C$8:$E$495,3,FALSE)</f>
        <v>Sandy</v>
      </c>
      <c r="F377" s="350">
        <v>45955</v>
      </c>
      <c r="G377" s="350">
        <v>45960</v>
      </c>
      <c r="H377" s="373" t="s">
        <v>895</v>
      </c>
      <c r="I377" s="381"/>
      <c r="J377" s="693">
        <f t="shared" ref="J377" si="104">+VLOOKUP(D377,$AB$7:$AC$35,2,FALSE)</f>
        <v>37.504372000000004</v>
      </c>
      <c r="K377" s="373" t="s">
        <v>1395</v>
      </c>
      <c r="M377" s="645">
        <f t="shared" si="71"/>
        <v>5</v>
      </c>
    </row>
    <row r="378" spans="1:13" hidden="1" x14ac:dyDescent="0.2">
      <c r="A378" s="372">
        <f>+SUBTOTAL(3,$G$7:$G378)</f>
        <v>0</v>
      </c>
      <c r="B378" s="366">
        <v>45931</v>
      </c>
      <c r="C378" s="367" t="s">
        <v>210</v>
      </c>
      <c r="D378" s="368" t="str">
        <f>+VLOOKUP(C378,Foundation!$C$8:$D$531,2,FALSE)</f>
        <v>DA+9</v>
      </c>
      <c r="E378" s="368" t="str">
        <f>+VLOOKUP(C378,Foundation!$C$8:$E$495,3,FALSE)</f>
        <v>Sandy</v>
      </c>
      <c r="F378" s="350">
        <v>45952</v>
      </c>
      <c r="G378" s="350">
        <v>45961</v>
      </c>
      <c r="H378" s="373" t="s">
        <v>593</v>
      </c>
      <c r="I378" s="381"/>
      <c r="J378" s="693">
        <f t="shared" ref="J378:J379" si="105">+VLOOKUP(D378,$AB$7:$AC$35,2,FALSE)</f>
        <v>47.184350000000002</v>
      </c>
      <c r="K378" s="373" t="s">
        <v>1395</v>
      </c>
      <c r="M378" s="645">
        <f t="shared" si="71"/>
        <v>9</v>
      </c>
    </row>
    <row r="379" spans="1:13" hidden="1" x14ac:dyDescent="0.2">
      <c r="A379" s="372">
        <f>+SUBTOTAL(3,$G$7:$G379)</f>
        <v>0</v>
      </c>
      <c r="B379" s="366">
        <v>45931</v>
      </c>
      <c r="C379" s="367" t="s">
        <v>516</v>
      </c>
      <c r="D379" s="368" t="str">
        <f>+VLOOKUP(C379,Foundation!$C$8:$D$531,2,FALSE)</f>
        <v>DA+0</v>
      </c>
      <c r="E379" s="368" t="str">
        <f>+VLOOKUP(C379,Foundation!$C$8:$E$495,3,FALSE)</f>
        <v>DRY</v>
      </c>
      <c r="F379" s="350">
        <v>45950</v>
      </c>
      <c r="G379" s="350">
        <v>45961</v>
      </c>
      <c r="H379" s="373" t="s">
        <v>1575</v>
      </c>
      <c r="I379" s="381"/>
      <c r="J379" s="693">
        <f t="shared" si="105"/>
        <v>37.504372000000004</v>
      </c>
      <c r="K379" s="373" t="s">
        <v>1395</v>
      </c>
      <c r="M379" s="645">
        <f t="shared" si="71"/>
        <v>11</v>
      </c>
    </row>
    <row r="380" spans="1:13" hidden="1" x14ac:dyDescent="0.2">
      <c r="A380" s="372">
        <f>+SUBTOTAL(3,$G$7:$G380)</f>
        <v>0</v>
      </c>
      <c r="B380" s="366">
        <v>45931</v>
      </c>
      <c r="C380" s="367" t="s">
        <v>674</v>
      </c>
      <c r="D380" s="368" t="str">
        <f>+VLOOKUP(C380,Foundation!$C$8:$D$531,2,FALSE)</f>
        <v>DCT+0</v>
      </c>
      <c r="E380" s="368" t="str">
        <f>+VLOOKUP(C380,Foundation!$C$8:$E$495,3,FALSE)</f>
        <v>Sandy</v>
      </c>
      <c r="F380" s="350">
        <v>45948</v>
      </c>
      <c r="G380" s="350">
        <v>45961</v>
      </c>
      <c r="H380" s="373" t="s">
        <v>892</v>
      </c>
      <c r="I380" s="381"/>
      <c r="J380" s="693">
        <f t="shared" ref="J380:J381" si="106">+VLOOKUP(D380,$AB$7:$AC$35,2,FALSE)</f>
        <v>94.219902999999988</v>
      </c>
      <c r="K380" s="373" t="s">
        <v>1395</v>
      </c>
      <c r="M380" s="645">
        <f t="shared" si="71"/>
        <v>13</v>
      </c>
    </row>
    <row r="381" spans="1:13" hidden="1" x14ac:dyDescent="0.2">
      <c r="A381" s="372">
        <f>+SUBTOTAL(3,$G$7:$G381)</f>
        <v>0</v>
      </c>
      <c r="B381" s="366">
        <v>45931</v>
      </c>
      <c r="C381" s="367" t="s">
        <v>535</v>
      </c>
      <c r="D381" s="368" t="str">
        <f>+VLOOKUP(C381,Foundation!$C$8:$D$531,2,FALSE)</f>
        <v>DB2+6</v>
      </c>
      <c r="E381" s="368" t="str">
        <f>+VLOOKUP(C381,Foundation!$C$8:$E$495,3,FALSE)</f>
        <v>Sandy</v>
      </c>
      <c r="F381" s="350">
        <v>45957</v>
      </c>
      <c r="G381" s="350">
        <v>45961</v>
      </c>
      <c r="H381" s="373" t="s">
        <v>1488</v>
      </c>
      <c r="I381" s="381"/>
      <c r="J381" s="693">
        <f t="shared" si="106"/>
        <v>67.873650999999995</v>
      </c>
      <c r="K381" s="373" t="s">
        <v>1395</v>
      </c>
      <c r="M381" s="645">
        <f t="shared" si="71"/>
        <v>4</v>
      </c>
    </row>
    <row r="382" spans="1:13" hidden="1" x14ac:dyDescent="0.2">
      <c r="A382" s="372">
        <f>+SUBTOTAL(3,$G$7:$G382)</f>
        <v>0</v>
      </c>
      <c r="B382" s="366">
        <v>45962</v>
      </c>
      <c r="C382" s="367" t="s">
        <v>209</v>
      </c>
      <c r="D382" s="368" t="str">
        <f>+VLOOKUP(C382,Foundation!$C$8:$D$531,2,FALSE)</f>
        <v>DA+0</v>
      </c>
      <c r="E382" s="368" t="str">
        <f>+VLOOKUP(C382,Foundation!$C$8:$E$495,3,FALSE)</f>
        <v>Sandy</v>
      </c>
      <c r="F382" s="350">
        <v>45957</v>
      </c>
      <c r="G382" s="350">
        <v>45965</v>
      </c>
      <c r="H382" s="373" t="s">
        <v>894</v>
      </c>
      <c r="I382" s="381"/>
      <c r="J382" s="693">
        <f t="shared" ref="J382" si="107">+VLOOKUP(D382,$AB$7:$AC$35,2,FALSE)</f>
        <v>37.504372000000004</v>
      </c>
      <c r="K382" s="373" t="s">
        <v>1395</v>
      </c>
      <c r="M382" s="645">
        <f t="shared" si="71"/>
        <v>8</v>
      </c>
    </row>
    <row r="383" spans="1:13" hidden="1" x14ac:dyDescent="0.2">
      <c r="A383" s="372">
        <f>+SUBTOTAL(3,$G$7:$G383)</f>
        <v>0</v>
      </c>
      <c r="B383" s="366">
        <v>45962</v>
      </c>
      <c r="C383" s="367" t="s">
        <v>552</v>
      </c>
      <c r="D383" s="368" t="str">
        <f>+VLOOKUP(C383,Foundation!$C$8:$D$531,2,FALSE)</f>
        <v>DA+6</v>
      </c>
      <c r="E383" s="368" t="str">
        <f>+VLOOKUP(C383,Foundation!$C$8:$E$495,3,FALSE)</f>
        <v>Sandy</v>
      </c>
      <c r="F383" s="350">
        <v>45962</v>
      </c>
      <c r="G383" s="350">
        <v>45967</v>
      </c>
      <c r="H383" s="373" t="s">
        <v>1488</v>
      </c>
      <c r="I383" s="381"/>
      <c r="J383" s="693">
        <f t="shared" ref="J383" si="108">+VLOOKUP(D383,$AB$7:$AC$35,2,FALSE)</f>
        <v>45.413028000000004</v>
      </c>
      <c r="K383" s="373" t="s">
        <v>1395</v>
      </c>
      <c r="M383" s="645">
        <f t="shared" si="71"/>
        <v>5</v>
      </c>
    </row>
    <row r="384" spans="1:13" hidden="1" x14ac:dyDescent="0.2">
      <c r="A384" s="372">
        <f>+SUBTOTAL(3,$G$7:$G384)</f>
        <v>0</v>
      </c>
      <c r="B384" s="366">
        <v>45962</v>
      </c>
      <c r="C384" s="367" t="s">
        <v>538</v>
      </c>
      <c r="D384" s="368" t="str">
        <f>+VLOOKUP(C384,Foundation!$C$8:$D$531,2,FALSE)</f>
        <v>DA+9</v>
      </c>
      <c r="E384" s="368" t="str">
        <f>+VLOOKUP(C384,Foundation!$C$8:$E$495,3,FALSE)</f>
        <v>Sandy</v>
      </c>
      <c r="F384" s="350">
        <v>45939</v>
      </c>
      <c r="G384" s="350">
        <v>45968</v>
      </c>
      <c r="H384" s="373" t="s">
        <v>1488</v>
      </c>
      <c r="I384" s="381"/>
      <c r="J384" s="693">
        <f t="shared" ref="J384" si="109">+VLOOKUP(D384,$AB$7:$AC$35,2,FALSE)</f>
        <v>47.184350000000002</v>
      </c>
      <c r="K384" s="373" t="s">
        <v>1395</v>
      </c>
      <c r="M384" s="645">
        <f t="shared" si="71"/>
        <v>29</v>
      </c>
    </row>
    <row r="385" spans="1:13" hidden="1" x14ac:dyDescent="0.2">
      <c r="A385" s="372">
        <f>+SUBTOTAL(3,$G$7:$G385)</f>
        <v>0</v>
      </c>
      <c r="B385" s="366">
        <v>45962</v>
      </c>
      <c r="C385" s="367" t="s">
        <v>206</v>
      </c>
      <c r="D385" s="368" t="str">
        <f>+VLOOKUP(C385,Foundation!$C$8:$D$531,2,FALSE)</f>
        <v>DA+9</v>
      </c>
      <c r="E385" s="368" t="str">
        <f>+VLOOKUP(C385,Foundation!$C$8:$E$495,3,FALSE)</f>
        <v>Sandy</v>
      </c>
      <c r="F385" s="350">
        <v>45961</v>
      </c>
      <c r="G385" s="350">
        <v>45968</v>
      </c>
      <c r="H385" s="373" t="s">
        <v>593</v>
      </c>
      <c r="I385" s="381"/>
      <c r="J385" s="693">
        <f t="shared" ref="J385:J386" si="110">+VLOOKUP(D385,$AB$7:$AC$35,2,FALSE)</f>
        <v>47.184350000000002</v>
      </c>
      <c r="K385" s="373" t="s">
        <v>1395</v>
      </c>
      <c r="M385" s="645">
        <f t="shared" si="71"/>
        <v>7</v>
      </c>
    </row>
    <row r="386" spans="1:13" hidden="1" x14ac:dyDescent="0.2">
      <c r="A386" s="372">
        <f>+SUBTOTAL(3,$G$7:$G386)</f>
        <v>0</v>
      </c>
      <c r="B386" s="366">
        <v>45962</v>
      </c>
      <c r="C386" s="367" t="s">
        <v>204</v>
      </c>
      <c r="D386" s="368" t="str">
        <f>+VLOOKUP(C386,Foundation!$C$8:$D$531,2,FALSE)</f>
        <v>DA+0</v>
      </c>
      <c r="E386" s="368" t="str">
        <f>+VLOOKUP(C386,Foundation!$C$8:$E$495,3,FALSE)</f>
        <v>Sandy</v>
      </c>
      <c r="F386" s="350">
        <v>45961</v>
      </c>
      <c r="G386" s="350">
        <v>45968</v>
      </c>
      <c r="H386" s="373" t="s">
        <v>895</v>
      </c>
      <c r="I386" s="381"/>
      <c r="J386" s="693">
        <f t="shared" si="110"/>
        <v>37.504372000000004</v>
      </c>
      <c r="K386" s="373" t="s">
        <v>1395</v>
      </c>
      <c r="M386" s="645">
        <f t="shared" si="71"/>
        <v>7</v>
      </c>
    </row>
    <row r="387" spans="1:13" hidden="1" x14ac:dyDescent="0.2">
      <c r="A387" s="372">
        <f>+SUBTOTAL(3,$G$7:$G387)</f>
        <v>0</v>
      </c>
      <c r="B387" s="366">
        <v>45962</v>
      </c>
      <c r="C387" s="367" t="s">
        <v>39</v>
      </c>
      <c r="D387" s="368" t="str">
        <f>+VLOOKUP(C387,Foundation!$C$8:$D$531,2,FALSE)</f>
        <v>DD60+6</v>
      </c>
      <c r="E387" s="368" t="str">
        <f>+VLOOKUP(C387,Foundation!$C$8:$E$495,3,FALSE)</f>
        <v>DRY</v>
      </c>
      <c r="F387" s="350">
        <v>45955</v>
      </c>
      <c r="G387" s="350">
        <v>45969</v>
      </c>
      <c r="H387" s="373" t="s">
        <v>1606</v>
      </c>
      <c r="I387" s="381"/>
      <c r="J387" s="693">
        <f t="shared" ref="J387" si="111">+VLOOKUP(D387,$AB$7:$AC$35,2,FALSE)</f>
        <v>100.96800900000001</v>
      </c>
      <c r="K387" s="373" t="s">
        <v>1395</v>
      </c>
      <c r="M387" s="645">
        <f t="shared" si="71"/>
        <v>14</v>
      </c>
    </row>
    <row r="388" spans="1:13" hidden="1" x14ac:dyDescent="0.2">
      <c r="A388" s="372">
        <f>+SUBTOTAL(3,$G$7:$G388)</f>
        <v>0</v>
      </c>
      <c r="B388" s="366">
        <v>45962</v>
      </c>
      <c r="C388" s="367" t="s">
        <v>83</v>
      </c>
      <c r="D388" s="368" t="str">
        <f>+VLOOKUP(C388,Foundation!$C$8:$D$531,2,FALSE)</f>
        <v>DC1+0</v>
      </c>
      <c r="E388" s="368" t="str">
        <f>+VLOOKUP(C388,Foundation!$C$8:$E$495,3,FALSE)</f>
        <v>DRY</v>
      </c>
      <c r="F388" s="350">
        <v>45952</v>
      </c>
      <c r="G388" s="350">
        <v>45969</v>
      </c>
      <c r="H388" s="373" t="s">
        <v>1605</v>
      </c>
      <c r="I388" s="381"/>
      <c r="J388" s="693">
        <f t="shared" ref="J388" si="112">+VLOOKUP(D388,$AB$7:$AC$35,2,FALSE)</f>
        <v>66.381106999999986</v>
      </c>
      <c r="K388" s="373" t="s">
        <v>1395</v>
      </c>
      <c r="M388" s="645">
        <f t="shared" si="71"/>
        <v>17</v>
      </c>
    </row>
    <row r="389" spans="1:13" hidden="1" x14ac:dyDescent="0.2">
      <c r="A389" s="372">
        <f>+SUBTOTAL(3,$G$7:$G389)</f>
        <v>0</v>
      </c>
      <c r="B389" s="366">
        <v>45962</v>
      </c>
      <c r="C389" s="367" t="s">
        <v>558</v>
      </c>
      <c r="D389" s="368" t="str">
        <f>+VLOOKUP(C389,Foundation!$C$8:$D$531,2,FALSE)</f>
        <v>DC1+0</v>
      </c>
      <c r="E389" s="368" t="str">
        <f>+VLOOKUP(C389,Foundation!$C$8:$E$495,3,FALSE)</f>
        <v>Sandy</v>
      </c>
      <c r="F389" s="350">
        <v>45957</v>
      </c>
      <c r="G389" s="350">
        <v>45970</v>
      </c>
      <c r="H389" s="373" t="s">
        <v>892</v>
      </c>
      <c r="I389" s="381"/>
      <c r="J389" s="693">
        <f t="shared" ref="J389:J390" si="113">+VLOOKUP(D389,$AB$7:$AC$35,2,FALSE)</f>
        <v>66.381106999999986</v>
      </c>
      <c r="K389" s="373" t="s">
        <v>1395</v>
      </c>
      <c r="M389" s="645">
        <f t="shared" si="71"/>
        <v>13</v>
      </c>
    </row>
    <row r="390" spans="1:13" hidden="1" x14ac:dyDescent="0.2">
      <c r="A390" s="372">
        <f>+SUBTOTAL(3,$G$7:$G390)</f>
        <v>0</v>
      </c>
      <c r="B390" s="366">
        <v>45962</v>
      </c>
      <c r="C390" s="367" t="s">
        <v>560</v>
      </c>
      <c r="D390" s="368" t="str">
        <f>+VLOOKUP(C390,Foundation!$C$8:$D$531,2,FALSE)</f>
        <v>DA+6</v>
      </c>
      <c r="E390" s="368" t="str">
        <f>+VLOOKUP(C390,Foundation!$C$8:$E$495,3,FALSE)</f>
        <v>Sandy</v>
      </c>
      <c r="F390" s="350">
        <v>45957</v>
      </c>
      <c r="G390" s="350">
        <v>45970</v>
      </c>
      <c r="H390" s="373" t="s">
        <v>1490</v>
      </c>
      <c r="I390" s="381"/>
      <c r="J390" s="693">
        <f t="shared" si="113"/>
        <v>45.413028000000004</v>
      </c>
      <c r="K390" s="373" t="s">
        <v>1395</v>
      </c>
      <c r="M390" s="645">
        <f t="shared" si="71"/>
        <v>13</v>
      </c>
    </row>
    <row r="391" spans="1:13" hidden="1" x14ac:dyDescent="0.2">
      <c r="A391" s="372">
        <f>+SUBTOTAL(3,$G$7:$G391)</f>
        <v>0</v>
      </c>
      <c r="B391" s="366">
        <v>45962</v>
      </c>
      <c r="C391" s="367" t="s">
        <v>38</v>
      </c>
      <c r="D391" s="368" t="str">
        <f>+VLOOKUP(C391,Foundation!$C$8:$D$531,2,FALSE)</f>
        <v>DD60+6</v>
      </c>
      <c r="E391" s="368" t="str">
        <f>+VLOOKUP(C391,Foundation!$C$8:$E$495,3,FALSE)</f>
        <v>DRY</v>
      </c>
      <c r="F391" s="350">
        <v>45937</v>
      </c>
      <c r="G391" s="350">
        <v>45971</v>
      </c>
      <c r="H391" s="373" t="s">
        <v>1596</v>
      </c>
      <c r="I391" s="381"/>
      <c r="J391" s="693">
        <f t="shared" ref="J391:J392" si="114">+VLOOKUP(D391,$AB$7:$AC$35,2,FALSE)</f>
        <v>100.96800900000001</v>
      </c>
      <c r="K391" s="373" t="s">
        <v>1395</v>
      </c>
      <c r="M391" s="645">
        <f t="shared" si="71"/>
        <v>34</v>
      </c>
    </row>
    <row r="392" spans="1:13" hidden="1" x14ac:dyDescent="0.2">
      <c r="A392" s="372">
        <f>+SUBTOTAL(3,$G$7:$G392)</f>
        <v>0</v>
      </c>
      <c r="B392" s="366">
        <v>45962</v>
      </c>
      <c r="C392" s="367" t="s">
        <v>230</v>
      </c>
      <c r="D392" s="368" t="str">
        <f>+VLOOKUP(C392,Foundation!$C$8:$D$531,2,FALSE)</f>
        <v>DA+0</v>
      </c>
      <c r="E392" s="368" t="str">
        <f>+VLOOKUP(C392,Foundation!$C$8:$E$495,3,FALSE)</f>
        <v>DRY</v>
      </c>
      <c r="F392" s="350">
        <v>45966</v>
      </c>
      <c r="G392" s="350">
        <v>45972</v>
      </c>
      <c r="H392" s="373" t="s">
        <v>894</v>
      </c>
      <c r="I392" s="381"/>
      <c r="J392" s="693">
        <f t="shared" si="114"/>
        <v>37.504372000000004</v>
      </c>
      <c r="K392" s="373" t="s">
        <v>1395</v>
      </c>
      <c r="M392" s="645">
        <f t="shared" ref="M392:M455" si="115">G392-F392</f>
        <v>6</v>
      </c>
    </row>
    <row r="393" spans="1:13" hidden="1" x14ac:dyDescent="0.2">
      <c r="A393" s="372">
        <f>+SUBTOTAL(3,$G$7:$G393)</f>
        <v>0</v>
      </c>
      <c r="B393" s="366">
        <v>45962</v>
      </c>
      <c r="C393" s="367" t="s">
        <v>82</v>
      </c>
      <c r="D393" s="368" t="str">
        <f>+VLOOKUP(C393,Foundation!$C$8:$D$531,2,FALSE)</f>
        <v>DA+3</v>
      </c>
      <c r="E393" s="368" t="str">
        <f>+VLOOKUP(C393,Foundation!$C$8:$E$495,3,FALSE)</f>
        <v>DRY</v>
      </c>
      <c r="F393" s="350">
        <v>45969</v>
      </c>
      <c r="G393" s="350">
        <v>45974</v>
      </c>
      <c r="H393" s="373" t="s">
        <v>895</v>
      </c>
      <c r="I393" s="381"/>
      <c r="J393" s="693">
        <f t="shared" ref="J393" si="116">+VLOOKUP(D393,$AB$7:$AC$35,2,FALSE)</f>
        <v>38.847605999999992</v>
      </c>
      <c r="K393" s="373" t="s">
        <v>1395</v>
      </c>
      <c r="M393" s="645">
        <f t="shared" si="115"/>
        <v>5</v>
      </c>
    </row>
    <row r="394" spans="1:13" hidden="1" x14ac:dyDescent="0.2">
      <c r="A394" s="372">
        <f>+SUBTOTAL(3,$G$7:$G394)</f>
        <v>0</v>
      </c>
      <c r="B394" s="366">
        <v>45962</v>
      </c>
      <c r="C394" s="367" t="s">
        <v>196</v>
      </c>
      <c r="D394" s="368" t="str">
        <f>+VLOOKUP(C394,Foundation!$C$8:$D$531,2,FALSE)</f>
        <v>DA+3</v>
      </c>
      <c r="E394" s="368" t="str">
        <f>+VLOOKUP(C394,Foundation!$C$8:$E$495,3,FALSE)</f>
        <v>DRY</v>
      </c>
      <c r="F394" s="350">
        <v>45971</v>
      </c>
      <c r="G394" s="350">
        <v>45974</v>
      </c>
      <c r="H394" s="373" t="s">
        <v>892</v>
      </c>
      <c r="I394" s="381"/>
      <c r="J394" s="693">
        <f t="shared" ref="J394" si="117">+VLOOKUP(D394,$AB$7:$AC$35,2,FALSE)</f>
        <v>38.847605999999992</v>
      </c>
      <c r="K394" s="373" t="s">
        <v>1395</v>
      </c>
      <c r="M394" s="645">
        <f t="shared" si="115"/>
        <v>3</v>
      </c>
    </row>
    <row r="395" spans="1:13" hidden="1" x14ac:dyDescent="0.2">
      <c r="A395" s="372">
        <f>+SUBTOTAL(3,$G$7:$G395)</f>
        <v>0</v>
      </c>
      <c r="B395" s="366">
        <v>45962</v>
      </c>
      <c r="C395" s="367" t="s">
        <v>562</v>
      </c>
      <c r="D395" s="368" t="str">
        <f>+VLOOKUP(C395,Foundation!$C$8:$D$531,2,FALSE)</f>
        <v>DA+0</v>
      </c>
      <c r="E395" s="368" t="str">
        <f>+VLOOKUP(C395,Foundation!$C$8:$E$495,3,FALSE)</f>
        <v>Sandy</v>
      </c>
      <c r="F395" s="350">
        <v>45969</v>
      </c>
      <c r="G395" s="350">
        <v>45975</v>
      </c>
      <c r="H395" s="373" t="s">
        <v>1488</v>
      </c>
      <c r="I395" s="381"/>
      <c r="J395" s="693">
        <f t="shared" ref="J395" si="118">+VLOOKUP(D395,$AB$7:$AC$35,2,FALSE)</f>
        <v>37.504372000000004</v>
      </c>
      <c r="K395" s="373" t="s">
        <v>1395</v>
      </c>
      <c r="M395" s="645">
        <f t="shared" si="115"/>
        <v>6</v>
      </c>
    </row>
    <row r="396" spans="1:13" hidden="1" x14ac:dyDescent="0.2">
      <c r="A396" s="372">
        <f>+SUBTOTAL(3,$G$7:$G396)</f>
        <v>0</v>
      </c>
      <c r="B396" s="366">
        <v>45962</v>
      </c>
      <c r="C396" s="367" t="s">
        <v>40</v>
      </c>
      <c r="D396" s="368" t="str">
        <f>+VLOOKUP(C396,Foundation!$C$8:$D$531,2,FALSE)</f>
        <v>DB1+9</v>
      </c>
      <c r="E396" s="368" t="str">
        <f>+VLOOKUP(C396,Foundation!$C$8:$E$495,3,FALSE)</f>
        <v>DRY</v>
      </c>
      <c r="F396" s="350">
        <v>45959</v>
      </c>
      <c r="G396" s="350">
        <v>45977</v>
      </c>
      <c r="H396" s="373" t="s">
        <v>1610</v>
      </c>
      <c r="I396" s="381"/>
      <c r="J396" s="693">
        <f t="shared" ref="J396" si="119">+VLOOKUP(D396,$AB$7:$AC$35,2,FALSE)</f>
        <v>70.701702999999995</v>
      </c>
      <c r="K396" s="373" t="s">
        <v>1395</v>
      </c>
      <c r="M396" s="645">
        <f t="shared" si="115"/>
        <v>18</v>
      </c>
    </row>
    <row r="397" spans="1:13" hidden="1" x14ac:dyDescent="0.2">
      <c r="A397" s="372">
        <f>+SUBTOTAL(3,$G$7:$G397)</f>
        <v>0</v>
      </c>
      <c r="B397" s="366">
        <v>45962</v>
      </c>
      <c r="C397" s="367" t="s">
        <v>561</v>
      </c>
      <c r="D397" s="368" t="str">
        <f>+VLOOKUP(C397,Foundation!$C$8:$D$531,2,FALSE)</f>
        <v>DA+0</v>
      </c>
      <c r="E397" s="368" t="str">
        <f>+VLOOKUP(C397,Foundation!$C$8:$E$495,3,FALSE)</f>
        <v>Sandy</v>
      </c>
      <c r="F397" s="350">
        <v>45976</v>
      </c>
      <c r="G397" s="350">
        <v>45978</v>
      </c>
      <c r="H397" s="373" t="s">
        <v>886</v>
      </c>
      <c r="I397" s="381"/>
      <c r="J397" s="693">
        <f t="shared" ref="J397" si="120">+VLOOKUP(D397,$AB$7:$AC$35,2,FALSE)</f>
        <v>37.504372000000004</v>
      </c>
      <c r="K397" s="373" t="s">
        <v>1395</v>
      </c>
      <c r="M397" s="645">
        <f t="shared" si="115"/>
        <v>2</v>
      </c>
    </row>
    <row r="398" spans="1:13" hidden="1" x14ac:dyDescent="0.2">
      <c r="A398" s="372">
        <f>+SUBTOTAL(3,$G$7:$G398)</f>
        <v>0</v>
      </c>
      <c r="B398" s="366">
        <v>45962</v>
      </c>
      <c r="C398" s="367" t="s">
        <v>71</v>
      </c>
      <c r="D398" s="368" t="str">
        <f>+VLOOKUP(C398,Foundation!$C$8:$D$531,2,FALSE)</f>
        <v>DA+0</v>
      </c>
      <c r="E398" s="368" t="str">
        <f>+VLOOKUP(C398,Foundation!$C$8:$E$495,3,FALSE)</f>
        <v>DRY</v>
      </c>
      <c r="F398" s="350">
        <v>45971</v>
      </c>
      <c r="G398" s="350">
        <v>45978</v>
      </c>
      <c r="H398" s="373" t="s">
        <v>892</v>
      </c>
      <c r="I398" s="381"/>
      <c r="J398" s="693">
        <f t="shared" ref="J398" si="121">+VLOOKUP(D398,$AB$7:$AC$35,2,FALSE)</f>
        <v>37.504372000000004</v>
      </c>
      <c r="K398" s="373" t="s">
        <v>1395</v>
      </c>
      <c r="M398" s="645">
        <f t="shared" si="115"/>
        <v>7</v>
      </c>
    </row>
    <row r="399" spans="1:13" hidden="1" x14ac:dyDescent="0.2">
      <c r="A399" s="372">
        <f>+SUBTOTAL(3,$G$7:$G399)</f>
        <v>0</v>
      </c>
      <c r="B399" s="366">
        <v>45962</v>
      </c>
      <c r="C399" s="367" t="s">
        <v>44</v>
      </c>
      <c r="D399" s="368" t="str">
        <f>+VLOOKUP(C399,Foundation!$C$8:$D$531,2,FALSE)</f>
        <v>DB1+0</v>
      </c>
      <c r="E399" s="368" t="str">
        <f>+VLOOKUP(C399,Foundation!$C$8:$E$495,3,FALSE)</f>
        <v>DRY</v>
      </c>
      <c r="F399" s="350">
        <v>45970</v>
      </c>
      <c r="G399" s="350">
        <v>45979</v>
      </c>
      <c r="H399" s="373" t="s">
        <v>1606</v>
      </c>
      <c r="I399" s="381"/>
      <c r="J399" s="693">
        <f t="shared" ref="J399" si="122">+VLOOKUP(D399,$AB$7:$AC$35,2,FALSE)</f>
        <v>57.597240999999997</v>
      </c>
      <c r="K399" s="373" t="s">
        <v>1395</v>
      </c>
      <c r="M399" s="645">
        <f t="shared" si="115"/>
        <v>9</v>
      </c>
    </row>
    <row r="400" spans="1:13" hidden="1" x14ac:dyDescent="0.2">
      <c r="A400" s="372">
        <f>+SUBTOTAL(3,$G$7:$G400)</f>
        <v>0</v>
      </c>
      <c r="B400" s="366">
        <v>45962</v>
      </c>
      <c r="C400" s="367" t="s">
        <v>205</v>
      </c>
      <c r="D400" s="368" t="str">
        <f>+VLOOKUP(C400,Foundation!$C$8:$D$531,2,FALSE)</f>
        <v>DA+0</v>
      </c>
      <c r="E400" s="368" t="str">
        <f>+VLOOKUP(C400,Foundation!$C$8:$E$495,3,FALSE)</f>
        <v>Sandy</v>
      </c>
      <c r="F400" s="350">
        <v>45972</v>
      </c>
      <c r="G400" s="350">
        <v>45979</v>
      </c>
      <c r="H400" s="373" t="s">
        <v>1605</v>
      </c>
      <c r="I400" s="381"/>
      <c r="J400" s="693">
        <f t="shared" ref="J400" si="123">+VLOOKUP(D400,$AB$7:$AC$35,2,FALSE)</f>
        <v>37.504372000000004</v>
      </c>
      <c r="K400" s="373" t="s">
        <v>1395</v>
      </c>
      <c r="M400" s="645">
        <f t="shared" si="115"/>
        <v>7</v>
      </c>
    </row>
    <row r="401" spans="1:13" hidden="1" x14ac:dyDescent="0.2">
      <c r="A401" s="372">
        <f>+SUBTOTAL(3,$G$7:$G401)</f>
        <v>0</v>
      </c>
      <c r="B401" s="366">
        <v>45962</v>
      </c>
      <c r="C401" s="367" t="s">
        <v>80</v>
      </c>
      <c r="D401" s="368" t="str">
        <f>+VLOOKUP(C401,Foundation!$C$8:$D$531,2,FALSE)</f>
        <v>DC1+0</v>
      </c>
      <c r="E401" s="368" t="str">
        <f>+VLOOKUP(C401,Foundation!$C$8:$E$495,3,FALSE)</f>
        <v>DRY</v>
      </c>
      <c r="F401" s="350">
        <v>45969</v>
      </c>
      <c r="G401" s="350">
        <v>45979</v>
      </c>
      <c r="H401" s="373" t="s">
        <v>893</v>
      </c>
      <c r="I401" s="381"/>
      <c r="J401" s="693">
        <f t="shared" ref="J401" si="124">+VLOOKUP(D401,$AB$7:$AC$35,2,FALSE)</f>
        <v>66.381106999999986</v>
      </c>
      <c r="K401" s="373" t="s">
        <v>1395</v>
      </c>
      <c r="M401" s="645">
        <f t="shared" si="115"/>
        <v>10</v>
      </c>
    </row>
    <row r="402" spans="1:13" hidden="1" x14ac:dyDescent="0.2">
      <c r="A402" s="372">
        <f>+SUBTOTAL(3,$G$7:$G402)</f>
        <v>0</v>
      </c>
      <c r="B402" s="366">
        <v>45962</v>
      </c>
      <c r="C402" s="367" t="s">
        <v>207</v>
      </c>
      <c r="D402" s="368" t="str">
        <f>+VLOOKUP(C402,Foundation!$C$8:$D$531,2,FALSE)</f>
        <v>DA+6</v>
      </c>
      <c r="E402" s="368" t="str">
        <f>+VLOOKUP(C402,Foundation!$C$8:$E$495,3,FALSE)</f>
        <v>Sandy</v>
      </c>
      <c r="F402" s="350">
        <v>45972</v>
      </c>
      <c r="G402" s="350">
        <v>45982</v>
      </c>
      <c r="H402" s="373" t="s">
        <v>894</v>
      </c>
      <c r="I402" s="381"/>
      <c r="J402" s="693">
        <f t="shared" ref="J402" si="125">+VLOOKUP(D402,$AB$7:$AC$35,2,FALSE)</f>
        <v>45.413028000000004</v>
      </c>
      <c r="K402" s="373" t="s">
        <v>1395</v>
      </c>
      <c r="M402" s="645">
        <f t="shared" si="115"/>
        <v>10</v>
      </c>
    </row>
    <row r="403" spans="1:13" hidden="1" x14ac:dyDescent="0.2">
      <c r="A403" s="372">
        <f>+SUBTOTAL(3,$G$7:$G403)</f>
        <v>0</v>
      </c>
      <c r="B403" s="366">
        <v>45962</v>
      </c>
      <c r="C403" s="367" t="s">
        <v>559</v>
      </c>
      <c r="D403" s="368" t="str">
        <f>+VLOOKUP(C403,Foundation!$C$8:$D$531,2,FALSE)</f>
        <v>DA+6</v>
      </c>
      <c r="E403" s="368" t="str">
        <f>+VLOOKUP(C403,Foundation!$C$8:$E$495,3,FALSE)</f>
        <v>Sandy</v>
      </c>
      <c r="F403" s="350">
        <v>45971</v>
      </c>
      <c r="G403" s="350">
        <v>45982</v>
      </c>
      <c r="H403" s="373" t="s">
        <v>1490</v>
      </c>
      <c r="I403" s="381"/>
      <c r="J403" s="693">
        <f t="shared" ref="J403" si="126">+VLOOKUP(D403,$AB$7:$AC$35,2,FALSE)</f>
        <v>45.413028000000004</v>
      </c>
      <c r="K403" s="373" t="s">
        <v>1395</v>
      </c>
      <c r="M403" s="645">
        <f t="shared" si="115"/>
        <v>11</v>
      </c>
    </row>
    <row r="404" spans="1:13" hidden="1" x14ac:dyDescent="0.2">
      <c r="A404" s="372">
        <f>+SUBTOTAL(3,$G$7:$G404)</f>
        <v>0</v>
      </c>
      <c r="B404" s="366">
        <v>45962</v>
      </c>
      <c r="C404" s="367" t="s">
        <v>537</v>
      </c>
      <c r="D404" s="368" t="str">
        <f>+VLOOKUP(C404,Foundation!$C$8:$D$531,2,FALSE)</f>
        <v>DA+6</v>
      </c>
      <c r="E404" s="368" t="str">
        <f>+VLOOKUP(C404,Foundation!$C$8:$E$495,3,FALSE)</f>
        <v>Sandy</v>
      </c>
      <c r="F404" s="350">
        <v>45979</v>
      </c>
      <c r="G404" s="350">
        <v>45983</v>
      </c>
      <c r="H404" s="373" t="s">
        <v>1488</v>
      </c>
      <c r="I404" s="381"/>
      <c r="J404" s="693">
        <f t="shared" ref="J404" si="127">+VLOOKUP(D404,$AB$7:$AC$35,2,FALSE)</f>
        <v>45.413028000000004</v>
      </c>
      <c r="K404" s="373" t="s">
        <v>1395</v>
      </c>
      <c r="M404" s="645">
        <f t="shared" si="115"/>
        <v>4</v>
      </c>
    </row>
    <row r="405" spans="1:13" hidden="1" x14ac:dyDescent="0.2">
      <c r="A405" s="372">
        <f>+SUBTOTAL(3,$G$7:$G405)</f>
        <v>0</v>
      </c>
      <c r="B405" s="366">
        <v>45962</v>
      </c>
      <c r="C405" s="367" t="s">
        <v>187</v>
      </c>
      <c r="D405" s="368" t="str">
        <f>+VLOOKUP(C405,Foundation!$C$8:$D$531,2,FALSE)</f>
        <v>DA+0</v>
      </c>
      <c r="E405" s="368" t="str">
        <f>+VLOOKUP(C405,Foundation!$C$8:$E$495,3,FALSE)</f>
        <v>DFR</v>
      </c>
      <c r="F405" s="350">
        <v>45979</v>
      </c>
      <c r="G405" s="350">
        <v>45987</v>
      </c>
      <c r="H405" s="373" t="s">
        <v>893</v>
      </c>
      <c r="I405" s="381"/>
      <c r="J405" s="693">
        <f t="shared" ref="J405:J408" si="128">+VLOOKUP(D405,$AB$7:$AC$35,2,FALSE)</f>
        <v>37.504372000000004</v>
      </c>
      <c r="K405" s="373" t="s">
        <v>1395</v>
      </c>
      <c r="M405" s="645">
        <f t="shared" si="115"/>
        <v>8</v>
      </c>
    </row>
    <row r="406" spans="1:13" hidden="1" x14ac:dyDescent="0.2">
      <c r="A406" s="372">
        <f>+SUBTOTAL(3,$G$7:$G406)</f>
        <v>0</v>
      </c>
      <c r="B406" s="366">
        <v>45962</v>
      </c>
      <c r="C406" s="367" t="s">
        <v>26</v>
      </c>
      <c r="D406" s="368" t="str">
        <f>+VLOOKUP(C406,Foundation!$C$8:$D$531,2,FALSE)</f>
        <v>DC1+0</v>
      </c>
      <c r="E406" s="368" t="str">
        <f>+VLOOKUP(C406,Foundation!$C$8:$E$495,3,FALSE)</f>
        <v>DRY</v>
      </c>
      <c r="F406" s="350">
        <v>45975</v>
      </c>
      <c r="G406" s="350">
        <v>45987</v>
      </c>
      <c r="H406" s="373" t="s">
        <v>895</v>
      </c>
      <c r="I406" s="381"/>
      <c r="J406" s="693">
        <f t="shared" si="128"/>
        <v>66.381106999999986</v>
      </c>
      <c r="K406" s="373" t="s">
        <v>1395</v>
      </c>
      <c r="M406" s="645">
        <f t="shared" si="115"/>
        <v>12</v>
      </c>
    </row>
    <row r="407" spans="1:13" hidden="1" x14ac:dyDescent="0.2">
      <c r="A407" s="372">
        <f>+SUBTOTAL(3,$G$7:$G407)</f>
        <v>0</v>
      </c>
      <c r="B407" s="366">
        <v>45962</v>
      </c>
      <c r="C407" s="367" t="s">
        <v>62</v>
      </c>
      <c r="D407" s="368" t="str">
        <f>+VLOOKUP(C407,Foundation!$C$8:$D$531,2,FALSE)</f>
        <v>DA+6</v>
      </c>
      <c r="E407" s="368" t="str">
        <f>+VLOOKUP(C407,Foundation!$C$8:$E$495,3,FALSE)</f>
        <v>Sandy</v>
      </c>
      <c r="F407" s="350">
        <v>45982</v>
      </c>
      <c r="G407" s="350">
        <v>45988</v>
      </c>
      <c r="H407" s="373" t="s">
        <v>892</v>
      </c>
      <c r="I407" s="381"/>
      <c r="J407" s="693">
        <f t="shared" si="128"/>
        <v>45.413028000000004</v>
      </c>
      <c r="K407" s="373" t="s">
        <v>1395</v>
      </c>
      <c r="M407" s="645">
        <f t="shared" si="115"/>
        <v>6</v>
      </c>
    </row>
    <row r="408" spans="1:13" hidden="1" x14ac:dyDescent="0.2">
      <c r="A408" s="372">
        <f>+SUBTOTAL(3,$G$7:$G408)</f>
        <v>0</v>
      </c>
      <c r="B408" s="366">
        <v>45962</v>
      </c>
      <c r="C408" s="367" t="s">
        <v>462</v>
      </c>
      <c r="D408" s="368" t="str">
        <f>+VLOOKUP(C408,Foundation!$C$8:$D$531,2,FALSE)</f>
        <v>DA+0</v>
      </c>
      <c r="E408" s="368" t="str">
        <f>+VLOOKUP(C408,Foundation!$C$8:$E$495,3,FALSE)</f>
        <v>DRY</v>
      </c>
      <c r="F408" s="350">
        <v>45971</v>
      </c>
      <c r="G408" s="350">
        <v>45988</v>
      </c>
      <c r="H408" s="373" t="s">
        <v>1453</v>
      </c>
      <c r="I408" s="381"/>
      <c r="J408" s="693">
        <f t="shared" si="128"/>
        <v>37.504372000000004</v>
      </c>
      <c r="K408" s="373" t="s">
        <v>1395</v>
      </c>
      <c r="M408" s="645">
        <f t="shared" si="115"/>
        <v>17</v>
      </c>
    </row>
    <row r="409" spans="1:13" hidden="1" x14ac:dyDescent="0.2">
      <c r="A409" s="372">
        <f>+SUBTOTAL(3,$G$7:$G409)</f>
        <v>0</v>
      </c>
      <c r="B409" s="366">
        <v>45962</v>
      </c>
      <c r="C409" s="367" t="s">
        <v>43</v>
      </c>
      <c r="D409" s="368" t="str">
        <f>+VLOOKUP(C409,Foundation!$C$8:$D$531,2,FALSE)</f>
        <v>DB1+0</v>
      </c>
      <c r="E409" s="368" t="str">
        <f>+VLOOKUP(C409,Foundation!$C$8:$E$495,3,FALSE)</f>
        <v>DRY</v>
      </c>
      <c r="F409" s="350">
        <v>45980</v>
      </c>
      <c r="G409" s="350">
        <v>45989</v>
      </c>
      <c r="H409" s="373" t="s">
        <v>1606</v>
      </c>
      <c r="I409" s="381"/>
      <c r="J409" s="693">
        <f t="shared" ref="J409" si="129">+VLOOKUP(D409,$AB$7:$AC$35,2,FALSE)</f>
        <v>57.597240999999997</v>
      </c>
      <c r="K409" s="373" t="s">
        <v>1395</v>
      </c>
      <c r="M409" s="645">
        <f t="shared" si="115"/>
        <v>9</v>
      </c>
    </row>
    <row r="410" spans="1:13" hidden="1" x14ac:dyDescent="0.2">
      <c r="A410" s="372">
        <f>+SUBTOTAL(3,$G$7:$G410)</f>
        <v>0</v>
      </c>
      <c r="B410" s="366">
        <v>45962</v>
      </c>
      <c r="C410" s="367" t="s">
        <v>68</v>
      </c>
      <c r="D410" s="368" t="str">
        <f>+VLOOKUP(C410,Foundation!$C$8:$D$531,2,FALSE)</f>
        <v>DA+0</v>
      </c>
      <c r="E410" s="368" t="str">
        <f>+VLOOKUP(C410,Foundation!$C$8:$E$495,3,FALSE)</f>
        <v>DRY</v>
      </c>
      <c r="F410" s="350">
        <v>45969</v>
      </c>
      <c r="G410" s="350">
        <v>45991</v>
      </c>
      <c r="H410" s="373" t="s">
        <v>1633</v>
      </c>
      <c r="I410" s="381"/>
      <c r="J410" s="693">
        <f t="shared" ref="J410:J412" si="130">+VLOOKUP(D410,$AB$7:$AC$35,2,FALSE)</f>
        <v>37.504372000000004</v>
      </c>
      <c r="K410" s="373" t="s">
        <v>1395</v>
      </c>
      <c r="M410" s="645">
        <f t="shared" si="115"/>
        <v>22</v>
      </c>
    </row>
    <row r="411" spans="1:13" hidden="1" x14ac:dyDescent="0.2">
      <c r="A411" s="372">
        <f>+SUBTOTAL(3,$G$7:$G411)</f>
        <v>0</v>
      </c>
      <c r="B411" s="366">
        <v>45962</v>
      </c>
      <c r="C411" s="367" t="s">
        <v>555</v>
      </c>
      <c r="D411" s="368" t="str">
        <f>+VLOOKUP(C411,Foundation!$C$8:$D$531,2,FALSE)</f>
        <v>DC1+6</v>
      </c>
      <c r="E411" s="368" t="str">
        <f>+VLOOKUP(C411,Foundation!$C$8:$E$495,3,FALSE)</f>
        <v>Sandy</v>
      </c>
      <c r="F411" s="350">
        <v>45984</v>
      </c>
      <c r="G411" s="350">
        <v>45991</v>
      </c>
      <c r="H411" s="373" t="s">
        <v>1488</v>
      </c>
      <c r="I411" s="381"/>
      <c r="J411" s="693">
        <f t="shared" si="130"/>
        <v>78.132046999999986</v>
      </c>
      <c r="K411" s="373" t="s">
        <v>1395</v>
      </c>
      <c r="M411" s="645">
        <f t="shared" si="115"/>
        <v>7</v>
      </c>
    </row>
    <row r="412" spans="1:13" hidden="1" x14ac:dyDescent="0.2">
      <c r="A412" s="372">
        <f>+SUBTOTAL(3,$G$7:$G412)</f>
        <v>0</v>
      </c>
      <c r="B412" s="366">
        <v>45962</v>
      </c>
      <c r="C412" s="367" t="s">
        <v>567</v>
      </c>
      <c r="D412" s="368" t="str">
        <f>+VLOOKUP(C412,Foundation!$C$8:$D$531,2,FALSE)</f>
        <v>DA+0</v>
      </c>
      <c r="E412" s="368" t="str">
        <f>+VLOOKUP(C412,Foundation!$C$8:$E$495,3,FALSE)</f>
        <v>Sandy</v>
      </c>
      <c r="F412" s="350">
        <v>45983</v>
      </c>
      <c r="G412" s="350">
        <v>45991</v>
      </c>
      <c r="H412" s="373" t="s">
        <v>1490</v>
      </c>
      <c r="I412" s="381"/>
      <c r="J412" s="693">
        <f t="shared" si="130"/>
        <v>37.504372000000004</v>
      </c>
      <c r="K412" s="373" t="s">
        <v>1395</v>
      </c>
      <c r="M412" s="645">
        <f t="shared" si="115"/>
        <v>8</v>
      </c>
    </row>
    <row r="413" spans="1:13" hidden="1" x14ac:dyDescent="0.2">
      <c r="A413" s="372">
        <f>+SUBTOTAL(3,$G$7:$G413)</f>
        <v>0</v>
      </c>
      <c r="B413" s="366">
        <v>45962</v>
      </c>
      <c r="C413" s="367" t="s">
        <v>471</v>
      </c>
      <c r="D413" s="368" t="str">
        <f>+VLOOKUP(C413,Foundation!$C$8:$D$531,2,FALSE)</f>
        <v>DA+3</v>
      </c>
      <c r="E413" s="368" t="str">
        <f>+VLOOKUP(C413,Foundation!$C$8:$E$495,3,FALSE)</f>
        <v>DRY</v>
      </c>
      <c r="F413" s="350">
        <v>45978</v>
      </c>
      <c r="G413" s="350">
        <v>45991</v>
      </c>
      <c r="H413" s="373" t="s">
        <v>1610</v>
      </c>
      <c r="I413" s="381"/>
      <c r="J413" s="693">
        <f t="shared" ref="J413:J414" si="131">+VLOOKUP(D413,$AB$7:$AC$35,2,FALSE)</f>
        <v>38.847605999999992</v>
      </c>
      <c r="K413" s="373" t="s">
        <v>1395</v>
      </c>
      <c r="M413" s="645">
        <f t="shared" si="115"/>
        <v>13</v>
      </c>
    </row>
    <row r="414" spans="1:13" hidden="1" x14ac:dyDescent="0.2">
      <c r="A414" s="372">
        <f>+SUBTOTAL(3,$G$7:$G414)</f>
        <v>0</v>
      </c>
      <c r="B414" s="366">
        <v>45962</v>
      </c>
      <c r="C414" s="367" t="s">
        <v>185</v>
      </c>
      <c r="D414" s="368" t="str">
        <f>+VLOOKUP(C414,Foundation!$C$8:$D$531,2,FALSE)</f>
        <v>DA+6</v>
      </c>
      <c r="E414" s="368" t="str">
        <f>+VLOOKUP(C414,Foundation!$C$8:$E$495,3,FALSE)</f>
        <v>DFR</v>
      </c>
      <c r="F414" s="350">
        <v>45987</v>
      </c>
      <c r="G414" s="350">
        <v>45991</v>
      </c>
      <c r="H414" s="373" t="s">
        <v>895</v>
      </c>
      <c r="I414" s="381"/>
      <c r="J414" s="693">
        <f t="shared" si="131"/>
        <v>45.413028000000004</v>
      </c>
      <c r="K414" s="373" t="s">
        <v>1395</v>
      </c>
      <c r="M414" s="645">
        <f t="shared" si="115"/>
        <v>4</v>
      </c>
    </row>
    <row r="415" spans="1:13" hidden="1" x14ac:dyDescent="0.2">
      <c r="A415" s="372">
        <f>+SUBTOTAL(3,$G$7:$G415)</f>
        <v>0</v>
      </c>
      <c r="B415" s="366">
        <v>45992</v>
      </c>
      <c r="C415" s="367" t="s">
        <v>191</v>
      </c>
      <c r="D415" s="368" t="str">
        <f>+VLOOKUP(C415,Foundation!$C$8:$D$531,2,FALSE)</f>
        <v>DA+3</v>
      </c>
      <c r="E415" s="368" t="str">
        <f>+VLOOKUP(C415,Foundation!$C$8:$E$495,3,FALSE)</f>
        <v>Sandy</v>
      </c>
      <c r="F415" s="350">
        <v>45988</v>
      </c>
      <c r="G415" s="350">
        <v>45995</v>
      </c>
      <c r="H415" s="373" t="s">
        <v>893</v>
      </c>
      <c r="I415" s="381"/>
      <c r="J415" s="693">
        <f t="shared" ref="J415" si="132">+VLOOKUP(D415,$AB$7:$AC$35,2,FALSE)</f>
        <v>38.847605999999992</v>
      </c>
      <c r="K415" s="373" t="s">
        <v>1395</v>
      </c>
      <c r="M415" s="645">
        <f t="shared" si="115"/>
        <v>7</v>
      </c>
    </row>
    <row r="416" spans="1:13" hidden="1" x14ac:dyDescent="0.2">
      <c r="A416" s="372">
        <f>+SUBTOTAL(3,$G$7:$G416)</f>
        <v>0</v>
      </c>
      <c r="B416" s="366">
        <v>45992</v>
      </c>
      <c r="C416" s="367" t="s">
        <v>84</v>
      </c>
      <c r="D416" s="368" t="str">
        <f>+VLOOKUP(C416,Foundation!$C$8:$D$531,2,FALSE)</f>
        <v>DB2+0</v>
      </c>
      <c r="E416" s="368" t="str">
        <f>+VLOOKUP(C416,Foundation!$C$8:$E$495,3,FALSE)</f>
        <v>DRY</v>
      </c>
      <c r="F416" s="350">
        <v>45983</v>
      </c>
      <c r="G416" s="350">
        <v>45996</v>
      </c>
      <c r="H416" s="373" t="s">
        <v>894</v>
      </c>
      <c r="I416" s="381"/>
      <c r="J416" s="693">
        <f t="shared" ref="J416" si="133">+VLOOKUP(D416,$AB$7:$AC$35,2,FALSE)</f>
        <v>57.597240999999997</v>
      </c>
      <c r="K416" s="373" t="s">
        <v>1395</v>
      </c>
      <c r="M416" s="645">
        <f t="shared" si="115"/>
        <v>13</v>
      </c>
    </row>
    <row r="417" spans="1:13" hidden="1" x14ac:dyDescent="0.2">
      <c r="A417" s="372">
        <f>+SUBTOTAL(3,$G$7:$G417)</f>
        <v>0</v>
      </c>
      <c r="B417" s="366">
        <v>45992</v>
      </c>
      <c r="C417" s="367" t="s">
        <v>563</v>
      </c>
      <c r="D417" s="368" t="str">
        <f>+VLOOKUP(C417,Foundation!$C$8:$D$531,2,FALSE)</f>
        <v>DA+9</v>
      </c>
      <c r="E417" s="368" t="str">
        <f>+VLOOKUP(C417,Foundation!$C$8:$E$495,3,FALSE)</f>
        <v>Sandy</v>
      </c>
      <c r="F417" s="350">
        <v>45994</v>
      </c>
      <c r="G417" s="350">
        <v>45997</v>
      </c>
      <c r="H417" s="373" t="s">
        <v>1488</v>
      </c>
      <c r="I417" s="381"/>
      <c r="J417" s="693">
        <f t="shared" ref="J417" si="134">+VLOOKUP(D417,$AB$7:$AC$35,2,FALSE)</f>
        <v>47.184350000000002</v>
      </c>
      <c r="K417" s="373" t="s">
        <v>1395</v>
      </c>
      <c r="M417" s="645">
        <f t="shared" si="115"/>
        <v>3</v>
      </c>
    </row>
    <row r="418" spans="1:13" hidden="1" x14ac:dyDescent="0.2">
      <c r="A418" s="372">
        <f>+SUBTOTAL(3,$G$7:$G418)</f>
        <v>0</v>
      </c>
      <c r="B418" s="366">
        <v>45992</v>
      </c>
      <c r="C418" s="367" t="s">
        <v>159</v>
      </c>
      <c r="D418" s="368" t="str">
        <f>+VLOOKUP(C418,Foundation!$C$8:$D$531,2,FALSE)</f>
        <v>DA+3</v>
      </c>
      <c r="E418" s="368" t="str">
        <f>+VLOOKUP(C418,Foundation!$C$8:$E$495,3,FALSE)</f>
        <v>DRY</v>
      </c>
      <c r="F418" s="350">
        <v>45989</v>
      </c>
      <c r="G418" s="350">
        <v>45997</v>
      </c>
      <c r="H418" s="373" t="s">
        <v>1453</v>
      </c>
      <c r="I418" s="381"/>
      <c r="J418" s="693">
        <f t="shared" ref="J418" si="135">+VLOOKUP(D418,$AB$7:$AC$35,2,FALSE)</f>
        <v>38.847605999999992</v>
      </c>
      <c r="K418" s="373" t="s">
        <v>1395</v>
      </c>
      <c r="M418" s="645">
        <f t="shared" si="115"/>
        <v>8</v>
      </c>
    </row>
    <row r="419" spans="1:13" hidden="1" x14ac:dyDescent="0.2">
      <c r="A419" s="372">
        <f>+SUBTOTAL(3,$G$7:$G419)</f>
        <v>0</v>
      </c>
      <c r="B419" s="366">
        <v>45992</v>
      </c>
      <c r="C419" s="367" t="s">
        <v>41</v>
      </c>
      <c r="D419" s="368" t="str">
        <f>+VLOOKUP(C419,Foundation!$C$8:$D$531,2,FALSE)</f>
        <v>DB2+9</v>
      </c>
      <c r="E419" s="368" t="str">
        <f>+VLOOKUP(C419,Foundation!$C$8:$E$495,3,FALSE)</f>
        <v>DRY</v>
      </c>
      <c r="F419" s="350">
        <v>45984</v>
      </c>
      <c r="G419" s="350">
        <v>45998</v>
      </c>
      <c r="H419" s="373" t="s">
        <v>1596</v>
      </c>
      <c r="I419" s="381"/>
      <c r="J419" s="693">
        <f t="shared" ref="J419" si="136">+VLOOKUP(D419,$AB$7:$AC$35,2,FALSE)</f>
        <v>70.701702999999995</v>
      </c>
      <c r="K419" s="373" t="s">
        <v>1395</v>
      </c>
      <c r="M419" s="645">
        <f t="shared" si="115"/>
        <v>14</v>
      </c>
    </row>
    <row r="420" spans="1:13" hidden="1" x14ac:dyDescent="0.2">
      <c r="A420" s="372">
        <f>+SUBTOTAL(3,$G$7:$G420)</f>
        <v>0</v>
      </c>
      <c r="B420" s="366">
        <v>45992</v>
      </c>
      <c r="C420" s="367" t="s">
        <v>569</v>
      </c>
      <c r="D420" s="368" t="str">
        <f>+VLOOKUP(C420,Foundation!$C$8:$D$531,2,FALSE)</f>
        <v>DA+3</v>
      </c>
      <c r="E420" s="368" t="str">
        <f>+VLOOKUP(C420,Foundation!$C$8:$E$495,3,FALSE)</f>
        <v>Sandy</v>
      </c>
      <c r="F420" s="350">
        <v>45994</v>
      </c>
      <c r="G420" s="350">
        <v>46001</v>
      </c>
      <c r="H420" s="373" t="s">
        <v>1490</v>
      </c>
      <c r="I420" s="381"/>
      <c r="J420" s="693">
        <f t="shared" ref="J420" si="137">+VLOOKUP(D420,$AB$7:$AC$35,2,FALSE)</f>
        <v>38.847605999999992</v>
      </c>
      <c r="K420" s="373" t="s">
        <v>1395</v>
      </c>
      <c r="M420" s="645">
        <f t="shared" si="115"/>
        <v>7</v>
      </c>
    </row>
    <row r="421" spans="1:13" hidden="1" x14ac:dyDescent="0.2">
      <c r="A421" s="372">
        <f>+SUBTOTAL(3,$G$7:$G421)</f>
        <v>0</v>
      </c>
      <c r="B421" s="366">
        <v>45992</v>
      </c>
      <c r="C421" s="367" t="s">
        <v>474</v>
      </c>
      <c r="D421" s="368" t="str">
        <f>+VLOOKUP(C421,Foundation!$C$8:$D$531,2,FALSE)</f>
        <v>DA+0</v>
      </c>
      <c r="E421" s="368" t="str">
        <f>+VLOOKUP(C421,Foundation!$C$8:$E$495,3,FALSE)</f>
        <v>Sandy</v>
      </c>
      <c r="F421" s="350">
        <v>45934</v>
      </c>
      <c r="G421" s="350">
        <v>46001</v>
      </c>
      <c r="H421" s="373" t="s">
        <v>1635</v>
      </c>
      <c r="I421" s="381"/>
      <c r="J421" s="693">
        <f t="shared" ref="J421" si="138">+VLOOKUP(D421,$AB$7:$AC$35,2,FALSE)</f>
        <v>37.504372000000004</v>
      </c>
      <c r="K421" s="373" t="s">
        <v>1395</v>
      </c>
      <c r="M421" s="645">
        <f t="shared" si="115"/>
        <v>67</v>
      </c>
    </row>
    <row r="422" spans="1:13" hidden="1" x14ac:dyDescent="0.2">
      <c r="A422" s="372">
        <f>+SUBTOTAL(3,$G$7:$G422)</f>
        <v>0</v>
      </c>
      <c r="B422" s="366">
        <v>45992</v>
      </c>
      <c r="C422" s="367" t="s">
        <v>184</v>
      </c>
      <c r="D422" s="368" t="str">
        <f>+VLOOKUP(C422,Foundation!$C$8:$D$531,2,FALSE)</f>
        <v>DA+0</v>
      </c>
      <c r="E422" s="368" t="str">
        <f>+VLOOKUP(C422,Foundation!$C$8:$E$495,3,FALSE)</f>
        <v>DFR</v>
      </c>
      <c r="F422" s="350">
        <v>45998</v>
      </c>
      <c r="G422" s="350">
        <v>46002</v>
      </c>
      <c r="H422" s="373" t="s">
        <v>892</v>
      </c>
      <c r="I422" s="381"/>
      <c r="J422" s="693">
        <f t="shared" ref="J422" si="139">+VLOOKUP(D422,$AB$7:$AC$35,2,FALSE)</f>
        <v>37.504372000000004</v>
      </c>
      <c r="K422" s="373" t="s">
        <v>1395</v>
      </c>
      <c r="M422" s="645">
        <f t="shared" si="115"/>
        <v>4</v>
      </c>
    </row>
    <row r="423" spans="1:13" hidden="1" x14ac:dyDescent="0.2">
      <c r="A423" s="372">
        <f>+SUBTOTAL(3,$G$7:$G423)</f>
        <v>0</v>
      </c>
      <c r="B423" s="366">
        <v>45992</v>
      </c>
      <c r="C423" s="367" t="s">
        <v>536</v>
      </c>
      <c r="D423" s="368" t="str">
        <f>+VLOOKUP(C423,Foundation!$C$8:$D$531,2,FALSE)</f>
        <v>DA+0</v>
      </c>
      <c r="E423" s="368" t="str">
        <f>+VLOOKUP(C423,Foundation!$C$8:$E$495,3,FALSE)</f>
        <v>Sandy</v>
      </c>
      <c r="F423" s="350">
        <v>45998</v>
      </c>
      <c r="G423" s="350">
        <v>46003</v>
      </c>
      <c r="H423" s="373" t="s">
        <v>1488</v>
      </c>
      <c r="I423" s="381"/>
      <c r="J423" s="693">
        <f t="shared" ref="J423" si="140">+VLOOKUP(D423,$AB$7:$AC$35,2,FALSE)</f>
        <v>37.504372000000004</v>
      </c>
      <c r="K423" s="373" t="s">
        <v>1395</v>
      </c>
      <c r="M423" s="645">
        <f t="shared" si="115"/>
        <v>5</v>
      </c>
    </row>
    <row r="424" spans="1:13" hidden="1" x14ac:dyDescent="0.2">
      <c r="A424" s="372">
        <f>+SUBTOTAL(3,$G$7:$G424)</f>
        <v>0</v>
      </c>
      <c r="B424" s="366">
        <v>45992</v>
      </c>
      <c r="C424" s="367" t="s">
        <v>477</v>
      </c>
      <c r="D424" s="368" t="str">
        <f>+VLOOKUP(C424,Foundation!$C$8:$D$531,2,FALSE)</f>
        <v>DA+0</v>
      </c>
      <c r="E424" s="368" t="str">
        <f>+VLOOKUP(C424,Foundation!$C$8:$E$495,3,FALSE)</f>
        <v>Sandy</v>
      </c>
      <c r="F424" s="350">
        <v>45996</v>
      </c>
      <c r="G424" s="350">
        <v>46003</v>
      </c>
      <c r="H424" s="373" t="s">
        <v>593</v>
      </c>
      <c r="I424" s="381"/>
      <c r="J424" s="693">
        <f t="shared" ref="J424" si="141">+VLOOKUP(D424,$AB$7:$AC$35,2,FALSE)</f>
        <v>37.504372000000004</v>
      </c>
      <c r="K424" s="373" t="s">
        <v>1395</v>
      </c>
      <c r="M424" s="645">
        <f t="shared" si="115"/>
        <v>7</v>
      </c>
    </row>
    <row r="425" spans="1:13" hidden="1" x14ac:dyDescent="0.2">
      <c r="A425" s="372">
        <f>+SUBTOTAL(3,$G$7:$G425)</f>
        <v>0</v>
      </c>
      <c r="B425" s="366">
        <v>45992</v>
      </c>
      <c r="C425" s="367" t="s">
        <v>162</v>
      </c>
      <c r="D425" s="368" t="str">
        <f>+VLOOKUP(C425,Foundation!$C$8:$D$531,2,FALSE)</f>
        <v>DA+3</v>
      </c>
      <c r="E425" s="368" t="str">
        <f>+VLOOKUP(C425,Foundation!$C$8:$E$495,3,FALSE)</f>
        <v>Sandy</v>
      </c>
      <c r="F425" s="350">
        <v>45998</v>
      </c>
      <c r="G425" s="350">
        <v>46005</v>
      </c>
      <c r="H425" s="373" t="s">
        <v>1453</v>
      </c>
      <c r="I425" s="381"/>
      <c r="J425" s="693">
        <f t="shared" ref="J425:J426" si="142">+VLOOKUP(D425,$AB$7:$AC$35,2,FALSE)</f>
        <v>38.847605999999992</v>
      </c>
      <c r="K425" s="373" t="s">
        <v>1395</v>
      </c>
      <c r="M425" s="645">
        <f t="shared" si="115"/>
        <v>7</v>
      </c>
    </row>
    <row r="426" spans="1:13" hidden="1" x14ac:dyDescent="0.2">
      <c r="A426" s="372">
        <f>+SUBTOTAL(3,$G$7:$G426)</f>
        <v>0</v>
      </c>
      <c r="B426" s="366">
        <v>45992</v>
      </c>
      <c r="C426" s="367" t="s">
        <v>470</v>
      </c>
      <c r="D426" s="368" t="str">
        <f>+VLOOKUP(C426,Foundation!$C$8:$D$531,2,FALSE)</f>
        <v>DA+3</v>
      </c>
      <c r="E426" s="368" t="str">
        <f>+VLOOKUP(C426,Foundation!$C$8:$E$495,3,FALSE)</f>
        <v>DRY</v>
      </c>
      <c r="F426" s="350">
        <v>45994</v>
      </c>
      <c r="G426" s="350">
        <v>46005</v>
      </c>
      <c r="H426" s="373" t="s">
        <v>1610</v>
      </c>
      <c r="I426" s="381"/>
      <c r="J426" s="693">
        <f t="shared" si="142"/>
        <v>38.847605999999992</v>
      </c>
      <c r="K426" s="373" t="s">
        <v>1395</v>
      </c>
      <c r="M426" s="645">
        <f t="shared" si="115"/>
        <v>11</v>
      </c>
    </row>
    <row r="427" spans="1:13" hidden="1" x14ac:dyDescent="0.2">
      <c r="A427" s="372">
        <f>+SUBTOTAL(3,$G$7:$G427)</f>
        <v>0</v>
      </c>
      <c r="B427" s="366">
        <v>45992</v>
      </c>
      <c r="C427" s="367" t="s">
        <v>488</v>
      </c>
      <c r="D427" s="368" t="str">
        <f>+VLOOKUP(C427,Foundation!$C$8:$D$531,2,FALSE)</f>
        <v>DA+6</v>
      </c>
      <c r="E427" s="368" t="str">
        <f>+VLOOKUP(C427,Foundation!$C$8:$E$495,3,FALSE)</f>
        <v>Sandy</v>
      </c>
      <c r="F427" s="350">
        <v>45996</v>
      </c>
      <c r="G427" s="350">
        <v>46007</v>
      </c>
      <c r="H427" s="373" t="s">
        <v>1484</v>
      </c>
      <c r="I427" s="381"/>
      <c r="J427" s="693">
        <f t="shared" ref="J427" si="143">+VLOOKUP(D427,$AB$7:$AC$35,2,FALSE)</f>
        <v>45.413028000000004</v>
      </c>
      <c r="K427" s="373" t="s">
        <v>1395</v>
      </c>
      <c r="M427" s="645">
        <f t="shared" si="115"/>
        <v>11</v>
      </c>
    </row>
    <row r="428" spans="1:13" hidden="1" x14ac:dyDescent="0.2">
      <c r="A428" s="372">
        <f>+SUBTOTAL(3,$G$7:$G428)</f>
        <v>0</v>
      </c>
      <c r="B428" s="366">
        <v>45992</v>
      </c>
      <c r="C428" s="367" t="s">
        <v>475</v>
      </c>
      <c r="D428" s="368" t="str">
        <f>+VLOOKUP(C428,Foundation!$C$8:$D$531,2,FALSE)</f>
        <v>DA+0</v>
      </c>
      <c r="E428" s="368" t="str">
        <f>+VLOOKUP(C428,Foundation!$C$8:$E$495,3,FALSE)</f>
        <v>Sandy</v>
      </c>
      <c r="F428" s="350">
        <v>46002</v>
      </c>
      <c r="G428" s="350">
        <v>46008</v>
      </c>
      <c r="H428" s="373" t="s">
        <v>1635</v>
      </c>
      <c r="I428" s="381"/>
      <c r="J428" s="693">
        <f t="shared" ref="J428" si="144">+VLOOKUP(D428,$AB$7:$AC$35,2,FALSE)</f>
        <v>37.504372000000004</v>
      </c>
      <c r="K428" s="373" t="s">
        <v>1395</v>
      </c>
      <c r="M428" s="645">
        <f t="shared" si="115"/>
        <v>6</v>
      </c>
    </row>
    <row r="429" spans="1:13" hidden="1" x14ac:dyDescent="0.2">
      <c r="A429" s="372">
        <f>+SUBTOTAL(3,$G$7:$G429)</f>
        <v>0</v>
      </c>
      <c r="B429" s="366">
        <v>45992</v>
      </c>
      <c r="C429" s="367" t="s">
        <v>478</v>
      </c>
      <c r="D429" s="368" t="str">
        <f>+VLOOKUP(C429,Foundation!$C$8:$D$531,2,FALSE)</f>
        <v>DA+0</v>
      </c>
      <c r="E429" s="368" t="str">
        <f>+VLOOKUP(C429,Foundation!$C$8:$E$495,3,FALSE)</f>
        <v>Sandy</v>
      </c>
      <c r="F429" s="350">
        <v>46003</v>
      </c>
      <c r="G429" s="350">
        <v>46009</v>
      </c>
      <c r="H429" s="373" t="s">
        <v>593</v>
      </c>
      <c r="I429" s="381"/>
      <c r="J429" s="693">
        <f t="shared" ref="J429:J430" si="145">+VLOOKUP(D429,$AB$7:$AC$35,2,FALSE)</f>
        <v>37.504372000000004</v>
      </c>
      <c r="K429" s="373" t="s">
        <v>1395</v>
      </c>
      <c r="M429" s="645">
        <f t="shared" si="115"/>
        <v>6</v>
      </c>
    </row>
    <row r="430" spans="1:13" hidden="1" x14ac:dyDescent="0.2">
      <c r="A430" s="372">
        <f>+SUBTOTAL(3,$G$7:$G430)</f>
        <v>0</v>
      </c>
      <c r="B430" s="366">
        <v>45992</v>
      </c>
      <c r="C430" s="367" t="s">
        <v>490</v>
      </c>
      <c r="D430" s="368" t="str">
        <f>+VLOOKUP(C430,Foundation!$C$8:$D$531,2,FALSE)</f>
        <v>DA+9</v>
      </c>
      <c r="E430" s="368" t="str">
        <f>+VLOOKUP(C430,Foundation!$C$8:$E$495,3,FALSE)</f>
        <v>DRY</v>
      </c>
      <c r="F430" s="350">
        <v>46004</v>
      </c>
      <c r="G430" s="350">
        <v>46009</v>
      </c>
      <c r="H430" s="373" t="s">
        <v>1639</v>
      </c>
      <c r="I430" s="381"/>
      <c r="J430" s="693">
        <f t="shared" si="145"/>
        <v>47.184350000000002</v>
      </c>
      <c r="K430" s="373" t="s">
        <v>1395</v>
      </c>
      <c r="M430" s="645">
        <f t="shared" si="115"/>
        <v>5</v>
      </c>
    </row>
    <row r="431" spans="1:13" hidden="1" x14ac:dyDescent="0.2">
      <c r="A431" s="372">
        <f>+SUBTOTAL(3,$G$7:$G431)</f>
        <v>0</v>
      </c>
      <c r="B431" s="366">
        <v>45992</v>
      </c>
      <c r="C431" s="367" t="s">
        <v>188</v>
      </c>
      <c r="D431" s="368" t="str">
        <f>+VLOOKUP(C431,Foundation!$C$8:$D$531,2,FALSE)</f>
        <v>DA+0</v>
      </c>
      <c r="E431" s="368" t="str">
        <f>+VLOOKUP(C431,Foundation!$C$8:$E$495,3,FALSE)</f>
        <v>DFR</v>
      </c>
      <c r="F431" s="350">
        <v>46004</v>
      </c>
      <c r="G431" s="350">
        <v>46010</v>
      </c>
      <c r="H431" s="373" t="s">
        <v>895</v>
      </c>
      <c r="I431" s="381"/>
      <c r="J431" s="693">
        <f t="shared" ref="J431:J432" si="146">+VLOOKUP(D431,$AB$7:$AC$35,2,FALSE)</f>
        <v>37.504372000000004</v>
      </c>
      <c r="K431" s="373" t="s">
        <v>1395</v>
      </c>
      <c r="M431" s="645">
        <f t="shared" si="115"/>
        <v>6</v>
      </c>
    </row>
    <row r="432" spans="1:13" hidden="1" x14ac:dyDescent="0.2">
      <c r="A432" s="372">
        <f>+SUBTOTAL(3,$G$7:$G432)</f>
        <v>0</v>
      </c>
      <c r="B432" s="366">
        <v>45992</v>
      </c>
      <c r="C432" s="367" t="s">
        <v>212</v>
      </c>
      <c r="D432" s="368" t="str">
        <f>+VLOOKUP(C432,Foundation!$C$8:$D$531,2,FALSE)</f>
        <v>DB1+6</v>
      </c>
      <c r="E432" s="368" t="str">
        <f>+VLOOKUP(C432,Foundation!$C$8:$E$495,3,FALSE)</f>
        <v>Sandy</v>
      </c>
      <c r="F432" s="350">
        <v>46004</v>
      </c>
      <c r="G432" s="350">
        <v>46010</v>
      </c>
      <c r="H432" s="373" t="s">
        <v>1488</v>
      </c>
      <c r="I432" s="381"/>
      <c r="J432" s="693">
        <f t="shared" si="146"/>
        <v>67.873650999999995</v>
      </c>
      <c r="K432" s="373" t="s">
        <v>1395</v>
      </c>
      <c r="M432" s="645">
        <f t="shared" si="115"/>
        <v>6</v>
      </c>
    </row>
    <row r="433" spans="1:13" hidden="1" x14ac:dyDescent="0.2">
      <c r="A433" s="372">
        <f>+SUBTOTAL(3,$G$7:$G433)</f>
        <v>0</v>
      </c>
      <c r="B433" s="366">
        <v>45992</v>
      </c>
      <c r="C433" s="367" t="s">
        <v>186</v>
      </c>
      <c r="D433" s="368" t="str">
        <f>+VLOOKUP(C433,Foundation!$C$8:$D$531,2,FALSE)</f>
        <v>DB1+0</v>
      </c>
      <c r="E433" s="368" t="str">
        <f>+VLOOKUP(C433,Foundation!$C$8:$E$495,3,FALSE)</f>
        <v>DFR</v>
      </c>
      <c r="F433" s="350">
        <v>46003</v>
      </c>
      <c r="G433" s="350">
        <v>46011</v>
      </c>
      <c r="H433" s="373" t="s">
        <v>892</v>
      </c>
      <c r="I433" s="381"/>
      <c r="J433" s="693">
        <f t="shared" ref="J433" si="147">+VLOOKUP(D433,$AB$7:$AC$35,2,FALSE)</f>
        <v>57.597240999999997</v>
      </c>
      <c r="K433" s="373" t="s">
        <v>1395</v>
      </c>
      <c r="M433" s="645">
        <f t="shared" si="115"/>
        <v>8</v>
      </c>
    </row>
    <row r="434" spans="1:13" hidden="1" x14ac:dyDescent="0.2">
      <c r="A434" s="372">
        <f>+SUBTOTAL(3,$G$7:$G434)</f>
        <v>0</v>
      </c>
      <c r="B434" s="366">
        <v>45992</v>
      </c>
      <c r="C434" s="367" t="s">
        <v>193</v>
      </c>
      <c r="D434" s="368" t="str">
        <f>+VLOOKUP(C434,Foundation!$C$8:$D$531,2,FALSE)</f>
        <v>DA+3</v>
      </c>
      <c r="E434" s="368" t="str">
        <f>+VLOOKUP(C434,Foundation!$C$8:$E$495,3,FALSE)</f>
        <v>Sandy</v>
      </c>
      <c r="F434" s="350">
        <v>46001</v>
      </c>
      <c r="G434" s="350">
        <v>46011</v>
      </c>
      <c r="H434" s="373" t="s">
        <v>1596</v>
      </c>
      <c r="I434" s="381"/>
      <c r="J434" s="693">
        <f t="shared" ref="J434:J435" si="148">+VLOOKUP(D434,$AB$7:$AC$35,2,FALSE)</f>
        <v>38.847605999999992</v>
      </c>
      <c r="K434" s="373" t="s">
        <v>1395</v>
      </c>
      <c r="M434" s="645">
        <f t="shared" si="115"/>
        <v>10</v>
      </c>
    </row>
    <row r="435" spans="1:13" hidden="1" x14ac:dyDescent="0.2">
      <c r="A435" s="372">
        <f>+SUBTOTAL(3,$G$7:$G435)</f>
        <v>0</v>
      </c>
      <c r="B435" s="366">
        <v>45992</v>
      </c>
      <c r="C435" s="367" t="s">
        <v>78</v>
      </c>
      <c r="D435" s="368" t="str">
        <f>+VLOOKUP(C435,Foundation!$C$8:$D$531,2,FALSE)</f>
        <v>DB2+0</v>
      </c>
      <c r="E435" s="368" t="str">
        <f>+VLOOKUP(C435,Foundation!$C$8:$E$495,3,FALSE)</f>
        <v>Sandy</v>
      </c>
      <c r="F435" s="350">
        <v>46007</v>
      </c>
      <c r="G435" s="350">
        <v>46011</v>
      </c>
      <c r="H435" s="373" t="s">
        <v>893</v>
      </c>
      <c r="I435" s="381"/>
      <c r="J435" s="693">
        <f t="shared" si="148"/>
        <v>57.597240999999997</v>
      </c>
      <c r="K435" s="373" t="s">
        <v>1395</v>
      </c>
      <c r="M435" s="645">
        <f t="shared" si="115"/>
        <v>4</v>
      </c>
    </row>
    <row r="436" spans="1:13" hidden="1" x14ac:dyDescent="0.2">
      <c r="A436" s="372">
        <f>+SUBTOTAL(3,$G$7:$G436)</f>
        <v>0</v>
      </c>
      <c r="B436" s="366">
        <v>45992</v>
      </c>
      <c r="C436" s="367" t="s">
        <v>55</v>
      </c>
      <c r="D436" s="368" t="str">
        <f>+VLOOKUP(C436,Foundation!$C$8:$D$531,2,FALSE)</f>
        <v>DA+0</v>
      </c>
      <c r="E436" s="368" t="str">
        <f>+VLOOKUP(C436,Foundation!$C$8:$E$495,3,FALSE)</f>
        <v>Sandy</v>
      </c>
      <c r="F436" s="350">
        <v>46007</v>
      </c>
      <c r="G436" s="350">
        <v>46012</v>
      </c>
      <c r="H436" s="373" t="s">
        <v>1379</v>
      </c>
      <c r="I436" s="381"/>
      <c r="J436" s="693">
        <f t="shared" ref="J436" si="149">+VLOOKUP(D436,$AB$7:$AC$35,2,FALSE)</f>
        <v>37.504372000000004</v>
      </c>
      <c r="K436" s="373" t="s">
        <v>1395</v>
      </c>
      <c r="M436" s="645">
        <f t="shared" si="115"/>
        <v>5</v>
      </c>
    </row>
    <row r="437" spans="1:13" hidden="1" x14ac:dyDescent="0.2">
      <c r="A437" s="372">
        <f>+SUBTOTAL(3,$G$7:$G437)</f>
        <v>0</v>
      </c>
      <c r="B437" s="366">
        <v>45992</v>
      </c>
      <c r="C437" s="367" t="s">
        <v>45</v>
      </c>
      <c r="D437" s="368" t="str">
        <f>+VLOOKUP(C437,Foundation!$C$8:$D$531,2,FALSE)</f>
        <v>DD60+18</v>
      </c>
      <c r="E437" s="368" t="str">
        <f>+VLOOKUP(C437,Foundation!$C$8:$E$495,3,FALSE)</f>
        <v>DRY</v>
      </c>
      <c r="F437" s="350">
        <v>45993</v>
      </c>
      <c r="G437" s="350">
        <v>46013</v>
      </c>
      <c r="H437" s="373" t="s">
        <v>1606</v>
      </c>
      <c r="I437" s="381"/>
      <c r="J437" s="693">
        <f t="shared" ref="J437" si="150">+VLOOKUP(D437,$AB$7:$AC$35,2,FALSE)</f>
        <v>129.110961</v>
      </c>
      <c r="K437" s="373" t="s">
        <v>1395</v>
      </c>
      <c r="M437" s="645">
        <f t="shared" si="115"/>
        <v>20</v>
      </c>
    </row>
    <row r="438" spans="1:13" hidden="1" x14ac:dyDescent="0.2">
      <c r="A438" s="372">
        <f>+SUBTOTAL(3,$G$7:$G438)</f>
        <v>0</v>
      </c>
      <c r="B438" s="366">
        <v>45992</v>
      </c>
      <c r="C438" s="367" t="s">
        <v>492</v>
      </c>
      <c r="D438" s="368" t="str">
        <f>+VLOOKUP(C438,Foundation!$C$8:$D$531,2,FALSE)</f>
        <v>DA+3</v>
      </c>
      <c r="E438" s="368" t="str">
        <f>+VLOOKUP(C438,Foundation!$C$8:$E$495,3,FALSE)</f>
        <v>Sandy</v>
      </c>
      <c r="F438" s="350">
        <v>46007</v>
      </c>
      <c r="G438" s="350">
        <v>46014</v>
      </c>
      <c r="H438" s="373" t="s">
        <v>1573</v>
      </c>
      <c r="I438" s="381"/>
      <c r="J438" s="693">
        <f t="shared" ref="J438" si="151">+VLOOKUP(D438,$AB$7:$AC$35,2,FALSE)</f>
        <v>38.847605999999992</v>
      </c>
      <c r="K438" s="373" t="s">
        <v>1395</v>
      </c>
      <c r="M438" s="645">
        <f t="shared" si="115"/>
        <v>7</v>
      </c>
    </row>
    <row r="439" spans="1:13" hidden="1" x14ac:dyDescent="0.2">
      <c r="A439" s="372">
        <f>+SUBTOTAL(3,$G$7:$G439)</f>
        <v>0</v>
      </c>
      <c r="B439" s="366">
        <v>45992</v>
      </c>
      <c r="C439" s="367" t="s">
        <v>518</v>
      </c>
      <c r="D439" s="368" t="str">
        <f>+VLOOKUP(C439,Foundation!$C$8:$D$531,2,FALSE)</f>
        <v>DA+0</v>
      </c>
      <c r="E439" s="368" t="str">
        <f>+VLOOKUP(C439,Foundation!$C$8:$E$495,3,FALSE)</f>
        <v>DRY</v>
      </c>
      <c r="F439" s="350">
        <v>46010</v>
      </c>
      <c r="G439" s="350">
        <v>46015</v>
      </c>
      <c r="H439" s="373" t="s">
        <v>1635</v>
      </c>
      <c r="I439" s="381"/>
      <c r="J439" s="693">
        <f t="shared" ref="J439" si="152">+VLOOKUP(D439,$AB$7:$AC$35,2,FALSE)</f>
        <v>37.504372000000004</v>
      </c>
      <c r="K439" s="373" t="s">
        <v>1395</v>
      </c>
      <c r="M439" s="645">
        <f t="shared" si="115"/>
        <v>5</v>
      </c>
    </row>
    <row r="440" spans="1:13" hidden="1" x14ac:dyDescent="0.2">
      <c r="A440" s="372">
        <f>+SUBTOTAL(3,$G$7:$G440)</f>
        <v>0</v>
      </c>
      <c r="B440" s="366">
        <v>45992</v>
      </c>
      <c r="C440" s="367" t="s">
        <v>73</v>
      </c>
      <c r="D440" s="368" t="str">
        <f>+VLOOKUP(C440,Foundation!$C$8:$D$531,2,FALSE)</f>
        <v>DA+0</v>
      </c>
      <c r="E440" s="368" t="str">
        <f>+VLOOKUP(C440,Foundation!$C$8:$E$495,3,FALSE)</f>
        <v>DFR</v>
      </c>
      <c r="F440" s="350">
        <v>46012</v>
      </c>
      <c r="G440" s="350">
        <v>46015</v>
      </c>
      <c r="H440" s="373" t="s">
        <v>892</v>
      </c>
      <c r="I440" s="381"/>
      <c r="J440" s="693">
        <f t="shared" ref="J440" si="153">+VLOOKUP(D440,$AB$7:$AC$35,2,FALSE)</f>
        <v>37.504372000000004</v>
      </c>
      <c r="K440" s="373" t="s">
        <v>1395</v>
      </c>
      <c r="M440" s="645">
        <f t="shared" si="115"/>
        <v>3</v>
      </c>
    </row>
    <row r="441" spans="1:13" hidden="1" x14ac:dyDescent="0.2">
      <c r="A441" s="372">
        <f>+SUBTOTAL(3,$G$7:$G441)</f>
        <v>0</v>
      </c>
      <c r="B441" s="366">
        <v>45992</v>
      </c>
      <c r="C441" s="367" t="s">
        <v>479</v>
      </c>
      <c r="D441" s="368" t="str">
        <f>+VLOOKUP(C441,Foundation!$C$8:$D$531,2,FALSE)</f>
        <v>DA+0</v>
      </c>
      <c r="E441" s="368" t="str">
        <f>+VLOOKUP(C441,Foundation!$C$8:$E$495,3,FALSE)</f>
        <v>Sandy</v>
      </c>
      <c r="F441" s="350">
        <v>46009</v>
      </c>
      <c r="G441" s="350">
        <v>46016</v>
      </c>
      <c r="H441" s="373" t="s">
        <v>593</v>
      </c>
      <c r="I441" s="381"/>
      <c r="J441" s="693">
        <f t="shared" ref="J441" si="154">+VLOOKUP(D441,$AB$7:$AC$35,2,FALSE)</f>
        <v>37.504372000000004</v>
      </c>
      <c r="K441" s="373" t="s">
        <v>1395</v>
      </c>
      <c r="M441" s="645">
        <f t="shared" si="115"/>
        <v>7</v>
      </c>
    </row>
    <row r="442" spans="1:13" hidden="1" x14ac:dyDescent="0.2">
      <c r="A442" s="372">
        <f>+SUBTOTAL(3,$G$7:$G442)</f>
        <v>0</v>
      </c>
      <c r="B442" s="366">
        <v>45992</v>
      </c>
      <c r="C442" s="367" t="s">
        <v>25</v>
      </c>
      <c r="D442" s="368" t="str">
        <f>+VLOOKUP(C442,Foundation!$C$8:$D$531,2,FALSE)</f>
        <v>DA+0</v>
      </c>
      <c r="E442" s="368" t="str">
        <f>+VLOOKUP(C442,Foundation!$C$8:$E$495,3,FALSE)</f>
        <v>Sandy</v>
      </c>
      <c r="F442" s="350">
        <v>46012</v>
      </c>
      <c r="G442" s="350">
        <v>46017</v>
      </c>
      <c r="H442" s="373" t="s">
        <v>1379</v>
      </c>
      <c r="I442" s="381"/>
      <c r="J442" s="693">
        <f t="shared" ref="J442" si="155">+VLOOKUP(D442,$AB$7:$AC$35,2,FALSE)</f>
        <v>37.504372000000004</v>
      </c>
      <c r="K442" s="373" t="s">
        <v>1395</v>
      </c>
      <c r="M442" s="645">
        <f t="shared" si="115"/>
        <v>5</v>
      </c>
    </row>
    <row r="443" spans="1:13" hidden="1" x14ac:dyDescent="0.2">
      <c r="A443" s="372">
        <f>+SUBTOTAL(3,$G$7:$G443)</f>
        <v>0</v>
      </c>
      <c r="B443" s="366">
        <v>45992</v>
      </c>
      <c r="C443" s="367" t="s">
        <v>74</v>
      </c>
      <c r="D443" s="368" t="str">
        <f>+VLOOKUP(C443,Foundation!$C$8:$D$531,2,FALSE)</f>
        <v>DA+0</v>
      </c>
      <c r="E443" s="368" t="str">
        <f>+VLOOKUP(C443,Foundation!$C$8:$E$495,3,FALSE)</f>
        <v>Sandy</v>
      </c>
      <c r="F443" s="350">
        <v>46012</v>
      </c>
      <c r="G443" s="350">
        <v>46018</v>
      </c>
      <c r="H443" s="373" t="s">
        <v>895</v>
      </c>
      <c r="I443" s="381"/>
      <c r="J443" s="693">
        <f t="shared" ref="J443" si="156">+VLOOKUP(D443,$AB$7:$AC$35,2,FALSE)</f>
        <v>37.504372000000004</v>
      </c>
      <c r="K443" s="373" t="s">
        <v>1395</v>
      </c>
      <c r="M443" s="645">
        <f t="shared" si="115"/>
        <v>6</v>
      </c>
    </row>
    <row r="444" spans="1:13" hidden="1" x14ac:dyDescent="0.2">
      <c r="A444" s="372">
        <f>+SUBTOTAL(3,$G$7:$G444)</f>
        <v>0</v>
      </c>
      <c r="B444" s="366">
        <v>45992</v>
      </c>
      <c r="C444" s="367" t="s">
        <v>165</v>
      </c>
      <c r="D444" s="368" t="str">
        <f>+VLOOKUP(C444,Foundation!$C$8:$D$531,2,FALSE)</f>
        <v>DA+3</v>
      </c>
      <c r="E444" s="368" t="str">
        <f>+VLOOKUP(C444,Foundation!$C$8:$E$495,3,FALSE)</f>
        <v>DRY</v>
      </c>
      <c r="F444" s="350">
        <v>46006</v>
      </c>
      <c r="G444" s="350">
        <v>46018</v>
      </c>
      <c r="H444" s="373" t="s">
        <v>1610</v>
      </c>
      <c r="I444" s="381"/>
      <c r="J444" s="693">
        <f t="shared" ref="J444" si="157">+VLOOKUP(D444,$AB$7:$AC$35,2,FALSE)</f>
        <v>38.847605999999992</v>
      </c>
      <c r="K444" s="373" t="s">
        <v>1395</v>
      </c>
      <c r="M444" s="645">
        <f t="shared" si="115"/>
        <v>12</v>
      </c>
    </row>
    <row r="445" spans="1:13" hidden="1" x14ac:dyDescent="0.2">
      <c r="A445" s="372">
        <f>+SUBTOTAL(3,$G$7:$G445)</f>
        <v>0</v>
      </c>
      <c r="B445" s="366">
        <v>45992</v>
      </c>
      <c r="C445" s="367" t="s">
        <v>194</v>
      </c>
      <c r="D445" s="368" t="str">
        <f>+VLOOKUP(C445,Foundation!$C$8:$D$531,2,FALSE)</f>
        <v>DA+3</v>
      </c>
      <c r="E445" s="368" t="str">
        <f>+VLOOKUP(C445,Foundation!$C$8:$E$495,3,FALSE)</f>
        <v>Sandy</v>
      </c>
      <c r="F445" s="350">
        <v>46012</v>
      </c>
      <c r="G445" s="350">
        <v>46019</v>
      </c>
      <c r="H445" s="373" t="s">
        <v>1596</v>
      </c>
      <c r="I445" s="381"/>
      <c r="J445" s="693">
        <f t="shared" ref="J445" si="158">+VLOOKUP(D445,$AB$7:$AC$35,2,FALSE)</f>
        <v>38.847605999999992</v>
      </c>
      <c r="K445" s="373" t="s">
        <v>1395</v>
      </c>
      <c r="M445" s="645">
        <f t="shared" si="115"/>
        <v>7</v>
      </c>
    </row>
    <row r="446" spans="1:13" hidden="1" x14ac:dyDescent="0.2">
      <c r="A446" s="372">
        <f>+SUBTOTAL(3,$G$7:$G446)</f>
        <v>0</v>
      </c>
      <c r="B446" s="366">
        <v>45992</v>
      </c>
      <c r="C446" s="367" t="s">
        <v>172</v>
      </c>
      <c r="D446" s="368" t="str">
        <f>+VLOOKUP(C446,Foundation!$C$8:$D$531,2,FALSE)</f>
        <v>DA+3</v>
      </c>
      <c r="E446" s="368" t="str">
        <f>+VLOOKUP(C446,Foundation!$C$8:$E$495,3,FALSE)</f>
        <v>DRY</v>
      </c>
      <c r="F446" s="350">
        <v>46015</v>
      </c>
      <c r="G446" s="350">
        <v>46021</v>
      </c>
      <c r="H446" s="373" t="s">
        <v>1573</v>
      </c>
      <c r="I446" s="381"/>
      <c r="J446" s="693">
        <f t="shared" ref="J446:J448" si="159">+VLOOKUP(D446,$AB$7:$AC$35,2,FALSE)</f>
        <v>38.847605999999992</v>
      </c>
      <c r="K446" s="373" t="s">
        <v>1395</v>
      </c>
      <c r="M446" s="645">
        <f t="shared" si="115"/>
        <v>6</v>
      </c>
    </row>
    <row r="447" spans="1:13" hidden="1" x14ac:dyDescent="0.2">
      <c r="A447" s="372">
        <f>+SUBTOTAL(3,$G$7:$G447)</f>
        <v>0</v>
      </c>
      <c r="B447" s="366">
        <v>45992</v>
      </c>
      <c r="C447" s="367" t="s">
        <v>517</v>
      </c>
      <c r="D447" s="368" t="str">
        <f>+VLOOKUP(C447,Foundation!$C$8:$D$531,2,FALSE)</f>
        <v>DA+0</v>
      </c>
      <c r="E447" s="368" t="str">
        <f>+VLOOKUP(C447,Foundation!$C$8:$E$495,3,FALSE)</f>
        <v>DRY</v>
      </c>
      <c r="F447" s="350">
        <v>46016</v>
      </c>
      <c r="G447" s="350">
        <v>46021</v>
      </c>
      <c r="H447" s="373" t="s">
        <v>1635</v>
      </c>
      <c r="I447" s="381"/>
      <c r="J447" s="693">
        <f t="shared" si="159"/>
        <v>37.504372000000004</v>
      </c>
      <c r="K447" s="373" t="s">
        <v>1395</v>
      </c>
      <c r="M447" s="645">
        <f t="shared" si="115"/>
        <v>5</v>
      </c>
    </row>
    <row r="448" spans="1:13" hidden="1" x14ac:dyDescent="0.2">
      <c r="A448" s="372">
        <f>+SUBTOTAL(3,$G$7:$G448)</f>
        <v>0</v>
      </c>
      <c r="B448" s="366">
        <v>45992</v>
      </c>
      <c r="C448" s="367" t="s">
        <v>201</v>
      </c>
      <c r="D448" s="368" t="str">
        <f>+VLOOKUP(C448,Foundation!$C$8:$D$531,2,FALSE)</f>
        <v>DA+3</v>
      </c>
      <c r="E448" s="368" t="str">
        <f>+VLOOKUP(C448,Foundation!$C$8:$E$495,3,FALSE)</f>
        <v>DRY</v>
      </c>
      <c r="F448" s="350">
        <v>46017</v>
      </c>
      <c r="G448" s="350">
        <v>46021</v>
      </c>
      <c r="H448" s="373" t="s">
        <v>892</v>
      </c>
      <c r="I448" s="381"/>
      <c r="J448" s="693">
        <f t="shared" si="159"/>
        <v>38.847605999999992</v>
      </c>
      <c r="K448" s="373" t="s">
        <v>1395</v>
      </c>
      <c r="M448" s="645">
        <f t="shared" si="115"/>
        <v>4</v>
      </c>
    </row>
    <row r="449" spans="1:13" hidden="1" x14ac:dyDescent="0.2">
      <c r="A449" s="372">
        <f>+SUBTOTAL(3,$G$7:$G449)</f>
        <v>0</v>
      </c>
      <c r="B449" s="366">
        <v>45992</v>
      </c>
      <c r="C449" s="367" t="s">
        <v>157</v>
      </c>
      <c r="D449" s="368" t="str">
        <f>+VLOOKUP(C449,Foundation!$C$8:$D$531,2,FALSE)</f>
        <v>DA+3</v>
      </c>
      <c r="E449" s="368" t="str">
        <f>+VLOOKUP(C449,Foundation!$C$8:$E$495,3,FALSE)</f>
        <v>DRY</v>
      </c>
      <c r="F449" s="350">
        <v>46016</v>
      </c>
      <c r="G449" s="350">
        <v>46022</v>
      </c>
      <c r="H449" s="373" t="s">
        <v>1606</v>
      </c>
      <c r="I449" s="381"/>
      <c r="J449" s="693">
        <f t="shared" ref="J449:J451" si="160">+VLOOKUP(D449,$AB$7:$AC$35,2,FALSE)</f>
        <v>38.847605999999992</v>
      </c>
      <c r="K449" s="373" t="s">
        <v>1395</v>
      </c>
      <c r="M449" s="645">
        <f t="shared" si="115"/>
        <v>6</v>
      </c>
    </row>
    <row r="450" spans="1:13" hidden="1" x14ac:dyDescent="0.2">
      <c r="A450" s="372">
        <f>+SUBTOTAL(3,$G$7:$G450)</f>
        <v>0</v>
      </c>
      <c r="B450" s="366">
        <v>45992</v>
      </c>
      <c r="C450" s="367" t="s">
        <v>493</v>
      </c>
      <c r="D450" s="368" t="str">
        <f>+VLOOKUP(C450,Foundation!$C$8:$D$531,2,FALSE)</f>
        <v>DC2+0</v>
      </c>
      <c r="E450" s="368" t="str">
        <f>+VLOOKUP(C450,Foundation!$C$8:$E$495,3,FALSE)</f>
        <v>Sandy</v>
      </c>
      <c r="F450" s="350">
        <v>46008</v>
      </c>
      <c r="G450" s="350">
        <v>46022</v>
      </c>
      <c r="H450" s="373" t="s">
        <v>1484</v>
      </c>
      <c r="I450" s="381"/>
      <c r="J450" s="693">
        <f t="shared" si="160"/>
        <v>66.381106999999986</v>
      </c>
      <c r="K450" s="373" t="s">
        <v>1395</v>
      </c>
      <c r="M450" s="645">
        <f t="shared" si="115"/>
        <v>14</v>
      </c>
    </row>
    <row r="451" spans="1:13" hidden="1" x14ac:dyDescent="0.2">
      <c r="A451" s="372">
        <f>+SUBTOTAL(3,$G$7:$G451)</f>
        <v>0</v>
      </c>
      <c r="B451" s="366">
        <v>45992</v>
      </c>
      <c r="C451" s="367" t="s">
        <v>28</v>
      </c>
      <c r="D451" s="368" t="str">
        <f>+VLOOKUP(C451,Foundation!$C$8:$D$531,2,FALSE)</f>
        <v>DA+6</v>
      </c>
      <c r="E451" s="368" t="str">
        <f>+VLOOKUP(C451,Foundation!$C$8:$E$495,3,FALSE)</f>
        <v>Sandy</v>
      </c>
      <c r="F451" s="350">
        <v>46014</v>
      </c>
      <c r="G451" s="350">
        <v>46022</v>
      </c>
      <c r="H451" s="373" t="s">
        <v>1444</v>
      </c>
      <c r="I451" s="381"/>
      <c r="J451" s="693">
        <f t="shared" si="160"/>
        <v>45.413028000000004</v>
      </c>
      <c r="K451" s="373" t="s">
        <v>1395</v>
      </c>
      <c r="M451" s="645">
        <f t="shared" si="115"/>
        <v>8</v>
      </c>
    </row>
    <row r="452" spans="1:13" hidden="1" x14ac:dyDescent="0.2">
      <c r="A452" s="372">
        <f>+SUBTOTAL(3,$G$7:$G452)</f>
        <v>0</v>
      </c>
      <c r="B452" s="366">
        <v>45992</v>
      </c>
      <c r="C452" s="367" t="s">
        <v>531</v>
      </c>
      <c r="D452" s="368" t="str">
        <f>+VLOOKUP(C452,Foundation!$C$8:$D$531,2,FALSE)</f>
        <v>DA+6</v>
      </c>
      <c r="E452" s="368" t="str">
        <f>+VLOOKUP(C452,Foundation!$C$8:$E$495,3,FALSE)</f>
        <v>Sandy</v>
      </c>
      <c r="F452" s="350">
        <v>46018</v>
      </c>
      <c r="G452" s="350">
        <v>46022</v>
      </c>
      <c r="H452" s="373" t="s">
        <v>1488</v>
      </c>
      <c r="I452" s="381"/>
      <c r="J452" s="693">
        <f t="shared" ref="J452" si="161">+VLOOKUP(D452,$AB$7:$AC$35,2,FALSE)</f>
        <v>45.413028000000004</v>
      </c>
      <c r="K452" s="373" t="s">
        <v>1395</v>
      </c>
      <c r="M452" s="645">
        <f t="shared" si="115"/>
        <v>4</v>
      </c>
    </row>
    <row r="453" spans="1:13" hidden="1" x14ac:dyDescent="0.2">
      <c r="A453" s="372">
        <f>+SUBTOTAL(3,$G$7:$G453)</f>
        <v>0</v>
      </c>
      <c r="B453" s="366">
        <v>45992</v>
      </c>
      <c r="C453" s="367" t="s">
        <v>54</v>
      </c>
      <c r="D453" s="368" t="str">
        <f>+VLOOKUP(C453,Foundation!$C$8:$D$531,2,FALSE)</f>
        <v>DA+9</v>
      </c>
      <c r="E453" s="368" t="str">
        <f>+VLOOKUP(C453,Foundation!$C$8:$E$495,3,FALSE)</f>
        <v>DRY</v>
      </c>
      <c r="F453" s="350">
        <v>46018</v>
      </c>
      <c r="G453" s="350">
        <v>46022</v>
      </c>
      <c r="H453" s="373" t="s">
        <v>1379</v>
      </c>
      <c r="I453" s="381"/>
      <c r="J453" s="693">
        <f t="shared" ref="J453" si="162">+VLOOKUP(D453,$AB$7:$AC$35,2,FALSE)</f>
        <v>47.184350000000002</v>
      </c>
      <c r="K453" s="373" t="s">
        <v>1395</v>
      </c>
      <c r="M453" s="645">
        <f t="shared" si="115"/>
        <v>4</v>
      </c>
    </row>
    <row r="454" spans="1:13" hidden="1" x14ac:dyDescent="0.2">
      <c r="A454" s="372">
        <f>+SUBTOTAL(3,$G$7:$G454)</f>
        <v>0</v>
      </c>
      <c r="B454" s="366">
        <v>45992</v>
      </c>
      <c r="C454" s="367" t="s">
        <v>476</v>
      </c>
      <c r="D454" s="368" t="str">
        <f>+VLOOKUP(C454,Foundation!$C$8:$D$531,2,FALSE)</f>
        <v>DB1+0</v>
      </c>
      <c r="E454" s="368" t="str">
        <f>+VLOOKUP(C454,Foundation!$C$8:$E$495,3,FALSE)</f>
        <v>Sandy</v>
      </c>
      <c r="F454" s="350">
        <v>45986</v>
      </c>
      <c r="G454" s="350">
        <v>46022</v>
      </c>
      <c r="H454" s="373" t="s">
        <v>593</v>
      </c>
      <c r="I454" s="381"/>
      <c r="J454" s="693">
        <f t="shared" ref="J454" si="163">+VLOOKUP(D454,$AB$7:$AC$35,2,FALSE)</f>
        <v>57.597240999999997</v>
      </c>
      <c r="K454" s="373" t="s">
        <v>1395</v>
      </c>
      <c r="M454" s="645">
        <f t="shared" si="115"/>
        <v>36</v>
      </c>
    </row>
    <row r="455" spans="1:13" x14ac:dyDescent="0.2">
      <c r="A455" s="372">
        <f>+SUBTOTAL(3,$G$7:$G455)</f>
        <v>1</v>
      </c>
      <c r="B455" s="366">
        <v>46023</v>
      </c>
      <c r="C455" s="367" t="s">
        <v>69</v>
      </c>
      <c r="D455" s="368" t="str">
        <f>+VLOOKUP(C455,Foundation!$C$8:$D$531,2,FALSE)</f>
        <v>DA+0</v>
      </c>
      <c r="E455" s="368" t="str">
        <f>+VLOOKUP(C455,Foundation!$C$8:$E$495,3,FALSE)</f>
        <v>Sandy</v>
      </c>
      <c r="F455" s="350">
        <v>45995</v>
      </c>
      <c r="G455" s="350">
        <v>46027</v>
      </c>
      <c r="H455" s="373" t="s">
        <v>1633</v>
      </c>
      <c r="I455" s="381"/>
      <c r="J455" s="693">
        <f t="shared" ref="J455" si="164">+VLOOKUP(D455,$AB$7:$AC$35,2,FALSE)</f>
        <v>37.504372000000004</v>
      </c>
      <c r="K455" s="373" t="s">
        <v>1395</v>
      </c>
      <c r="M455" s="645">
        <f t="shared" si="115"/>
        <v>32</v>
      </c>
    </row>
    <row r="456" spans="1:13" x14ac:dyDescent="0.2">
      <c r="A456" s="372">
        <f>+SUBTOTAL(3,$G$7:$G456)</f>
        <v>2</v>
      </c>
      <c r="B456" s="366">
        <v>46023</v>
      </c>
      <c r="C456" s="367" t="s">
        <v>515</v>
      </c>
      <c r="D456" s="368" t="str">
        <f>+VLOOKUP(C456,Foundation!$C$8:$D$531,2,FALSE)</f>
        <v>DA+0</v>
      </c>
      <c r="E456" s="368" t="str">
        <f>+VLOOKUP(C456,Foundation!$C$8:$E$495,3,FALSE)</f>
        <v>DRY</v>
      </c>
      <c r="F456" s="350">
        <v>46022</v>
      </c>
      <c r="G456" s="350">
        <v>46029</v>
      </c>
      <c r="H456" s="373" t="s">
        <v>1635</v>
      </c>
      <c r="I456" s="381"/>
      <c r="J456" s="693">
        <f t="shared" ref="J456:J457" si="165">+VLOOKUP(D456,$AB$7:$AC$35,2,FALSE)</f>
        <v>37.504372000000004</v>
      </c>
      <c r="K456" s="373" t="s">
        <v>1395</v>
      </c>
      <c r="M456" s="645">
        <f t="shared" ref="M456:M467" si="166">G456-F456</f>
        <v>7</v>
      </c>
    </row>
    <row r="457" spans="1:13" x14ac:dyDescent="0.2">
      <c r="A457" s="372">
        <f>+SUBTOTAL(3,$G$7:$G457)</f>
        <v>3</v>
      </c>
      <c r="B457" s="366">
        <v>46023</v>
      </c>
      <c r="C457" s="367" t="s">
        <v>189</v>
      </c>
      <c r="D457" s="368" t="str">
        <f>+VLOOKUP(C457,Foundation!$C$8:$D$531,2,FALSE)</f>
        <v>DA+3</v>
      </c>
      <c r="E457" s="368" t="str">
        <f>+VLOOKUP(C457,Foundation!$C$8:$E$495,3,FALSE)</f>
        <v>DFR</v>
      </c>
      <c r="F457" s="350">
        <v>46019</v>
      </c>
      <c r="G457" s="350">
        <v>46029</v>
      </c>
      <c r="H457" s="373" t="s">
        <v>895</v>
      </c>
      <c r="I457" s="381"/>
      <c r="J457" s="693">
        <f t="shared" si="165"/>
        <v>38.847605999999992</v>
      </c>
      <c r="K457" s="373" t="s">
        <v>1395</v>
      </c>
      <c r="M457" s="645">
        <f t="shared" si="166"/>
        <v>10</v>
      </c>
    </row>
    <row r="458" spans="1:13" x14ac:dyDescent="0.2">
      <c r="A458" s="372">
        <f>+SUBTOTAL(3,$G$7:$G458)</f>
        <v>4</v>
      </c>
      <c r="B458" s="366">
        <v>46023</v>
      </c>
      <c r="C458" s="367" t="s">
        <v>192</v>
      </c>
      <c r="D458" s="368" t="str">
        <f>+VLOOKUP(C458,Foundation!$C$8:$D$531,2,FALSE)</f>
        <v>DA+6</v>
      </c>
      <c r="E458" s="368" t="str">
        <f>+VLOOKUP(C458,Foundation!$C$8:$E$495,3,FALSE)</f>
        <v>Sandy</v>
      </c>
      <c r="F458" s="350">
        <v>46020</v>
      </c>
      <c r="G458" s="350">
        <v>46030</v>
      </c>
      <c r="H458" s="373" t="s">
        <v>893</v>
      </c>
      <c r="I458" s="381"/>
      <c r="J458" s="693">
        <f t="shared" ref="J458" si="167">+VLOOKUP(D458,$AB$7:$AC$35,2,FALSE)</f>
        <v>45.413028000000004</v>
      </c>
      <c r="K458" s="373" t="s">
        <v>1395</v>
      </c>
      <c r="M458" s="645">
        <f t="shared" si="166"/>
        <v>10</v>
      </c>
    </row>
    <row r="459" spans="1:13" x14ac:dyDescent="0.2">
      <c r="A459" s="372">
        <f>+SUBTOTAL(3,$G$7:$G459)</f>
        <v>5</v>
      </c>
      <c r="B459" s="366">
        <v>46023</v>
      </c>
      <c r="C459" s="367" t="s">
        <v>52</v>
      </c>
      <c r="D459" s="368" t="str">
        <f>+VLOOKUP(C459,Foundation!$C$8:$D$531,2,FALSE)</f>
        <v>DA+9</v>
      </c>
      <c r="E459" s="368" t="str">
        <f>+VLOOKUP(C459,Foundation!$C$8:$E$495,3,FALSE)</f>
        <v>Sandy</v>
      </c>
      <c r="F459" s="350">
        <v>46025</v>
      </c>
      <c r="G459" s="350">
        <v>46031</v>
      </c>
      <c r="H459" s="373" t="s">
        <v>1379</v>
      </c>
      <c r="I459" s="381"/>
      <c r="J459" s="693">
        <f t="shared" ref="J459:J460" si="168">+VLOOKUP(D459,$AB$7:$AC$35,2,FALSE)</f>
        <v>47.184350000000002</v>
      </c>
      <c r="K459" s="373" t="s">
        <v>1395</v>
      </c>
      <c r="M459" s="645">
        <f t="shared" si="166"/>
        <v>6</v>
      </c>
    </row>
    <row r="460" spans="1:13" x14ac:dyDescent="0.2">
      <c r="A460" s="372">
        <f>+SUBTOTAL(3,$G$7:$G460)</f>
        <v>6</v>
      </c>
      <c r="B460" s="366">
        <v>46023</v>
      </c>
      <c r="C460" s="367" t="s">
        <v>533</v>
      </c>
      <c r="D460" s="368" t="str">
        <f>+VLOOKUP(C460,Foundation!$C$8:$D$531,2,FALSE)</f>
        <v>DA+6</v>
      </c>
      <c r="E460" s="368" t="str">
        <f>+VLOOKUP(C460,Foundation!$C$8:$E$495,3,FALSE)</f>
        <v>Sandy</v>
      </c>
      <c r="F460" s="350">
        <v>46025</v>
      </c>
      <c r="G460" s="350">
        <v>46031</v>
      </c>
      <c r="H460" s="373" t="s">
        <v>1488</v>
      </c>
      <c r="I460" s="381"/>
      <c r="J460" s="693">
        <f t="shared" si="168"/>
        <v>45.413028000000004</v>
      </c>
      <c r="K460" s="373" t="s">
        <v>1395</v>
      </c>
      <c r="M460" s="645">
        <f t="shared" si="166"/>
        <v>6</v>
      </c>
    </row>
    <row r="461" spans="1:13" x14ac:dyDescent="0.2">
      <c r="A461" s="372">
        <f>+SUBTOTAL(3,$G$7:$G461)</f>
        <v>7</v>
      </c>
      <c r="B461" s="366">
        <v>46023</v>
      </c>
      <c r="C461" s="367" t="s">
        <v>183</v>
      </c>
      <c r="D461" s="368" t="str">
        <f>+VLOOKUP(C461,Foundation!$C$8:$D$531,2,FALSE)</f>
        <v>DA+6</v>
      </c>
      <c r="E461" s="368" t="str">
        <f>+VLOOKUP(C461,Foundation!$C$8:$E$495,3,FALSE)</f>
        <v>Sandy</v>
      </c>
      <c r="F461" s="350">
        <v>45994</v>
      </c>
      <c r="G461" s="350">
        <v>46033</v>
      </c>
      <c r="H461" s="373" t="s">
        <v>892</v>
      </c>
      <c r="I461" s="381"/>
      <c r="J461" s="693">
        <f t="shared" ref="J461" si="169">+VLOOKUP(D461,$AB$7:$AC$35,2,FALSE)</f>
        <v>45.413028000000004</v>
      </c>
      <c r="K461" s="373" t="s">
        <v>1395</v>
      </c>
      <c r="M461" s="645">
        <f t="shared" si="166"/>
        <v>39</v>
      </c>
    </row>
    <row r="462" spans="1:13" x14ac:dyDescent="0.2">
      <c r="A462" s="372">
        <f>+SUBTOTAL(3,$G$7:$G462)</f>
        <v>8</v>
      </c>
      <c r="B462" s="366">
        <v>46023</v>
      </c>
      <c r="C462" s="367" t="s">
        <v>180</v>
      </c>
      <c r="D462" s="368" t="str">
        <f>+VLOOKUP(C462,Foundation!$C$8:$D$531,2,FALSE)</f>
        <v>DA+0</v>
      </c>
      <c r="E462" s="368" t="str">
        <f>+VLOOKUP(C462,Foundation!$C$8:$E$495,3,FALSE)</f>
        <v>DRY</v>
      </c>
      <c r="F462" s="350">
        <v>46028</v>
      </c>
      <c r="G462" s="350">
        <v>46035</v>
      </c>
      <c r="H462" s="373" t="s">
        <v>892</v>
      </c>
      <c r="I462" s="381"/>
      <c r="J462" s="693">
        <f t="shared" ref="J462" si="170">+VLOOKUP(D462,$AB$7:$AC$35,2,FALSE)</f>
        <v>37.504372000000004</v>
      </c>
      <c r="K462" s="373" t="s">
        <v>1395</v>
      </c>
      <c r="M462" s="645">
        <f t="shared" si="166"/>
        <v>7</v>
      </c>
    </row>
    <row r="463" spans="1:13" x14ac:dyDescent="0.2">
      <c r="A463" s="372">
        <f>+SUBTOTAL(3,$G$7:$G463)</f>
        <v>9</v>
      </c>
      <c r="B463" s="366">
        <v>46023</v>
      </c>
      <c r="C463" s="367" t="s">
        <v>496</v>
      </c>
      <c r="D463" s="368" t="str">
        <f>+VLOOKUP(C463,Foundation!$C$8:$D$531,2,FALSE)</f>
        <v>DA+0</v>
      </c>
      <c r="E463" s="368" t="str">
        <f>+VLOOKUP(C463,Foundation!$C$8:$E$495,3,FALSE)</f>
        <v>DRY</v>
      </c>
      <c r="F463" s="350">
        <v>46025</v>
      </c>
      <c r="G463" s="350">
        <v>46036</v>
      </c>
      <c r="H463" s="373" t="s">
        <v>1484</v>
      </c>
      <c r="I463" s="381"/>
      <c r="J463" s="693">
        <f t="shared" ref="J463" si="171">+VLOOKUP(D463,$AB$7:$AC$35,2,FALSE)</f>
        <v>37.504372000000004</v>
      </c>
      <c r="K463" s="373" t="s">
        <v>1395</v>
      </c>
      <c r="M463" s="645">
        <f t="shared" si="166"/>
        <v>11</v>
      </c>
    </row>
    <row r="464" spans="1:13" x14ac:dyDescent="0.2">
      <c r="A464" s="372">
        <f>+SUBTOTAL(3,$G$7:$G464)</f>
        <v>10</v>
      </c>
      <c r="B464" s="366">
        <v>46023</v>
      </c>
      <c r="C464" s="367" t="s">
        <v>179</v>
      </c>
      <c r="D464" s="368" t="str">
        <f>+VLOOKUP(C464,Foundation!$C$8:$D$531,2,FALSE)</f>
        <v>DA+3</v>
      </c>
      <c r="E464" s="368" t="str">
        <f>+VLOOKUP(C464,Foundation!$C$8:$E$495,3,FALSE)</f>
        <v>DRY</v>
      </c>
      <c r="F464" s="350">
        <v>46036</v>
      </c>
      <c r="G464" s="350">
        <v>46040</v>
      </c>
      <c r="H464" s="373" t="s">
        <v>892</v>
      </c>
      <c r="I464" s="381"/>
      <c r="J464" s="693">
        <f t="shared" ref="J464" si="172">+VLOOKUP(D464,$AB$7:$AC$35,2,FALSE)</f>
        <v>38.847605999999992</v>
      </c>
      <c r="K464" s="373" t="s">
        <v>1395</v>
      </c>
      <c r="M464" s="645">
        <f t="shared" si="166"/>
        <v>4</v>
      </c>
    </row>
    <row r="465" spans="1:13" x14ac:dyDescent="0.2">
      <c r="A465" s="372">
        <f>+SUBTOTAL(3,$G$7:$G465)</f>
        <v>11</v>
      </c>
      <c r="B465" s="366">
        <v>46023</v>
      </c>
      <c r="C465" s="367" t="s">
        <v>34</v>
      </c>
      <c r="D465" s="368" t="str">
        <f>+VLOOKUP(C465,Foundation!$C$8:$D$531,2,FALSE)</f>
        <v>DC1+6</v>
      </c>
      <c r="E465" s="368" t="str">
        <f>+VLOOKUP(C465,Foundation!$C$8:$E$495,3,FALSE)</f>
        <v>DRY</v>
      </c>
      <c r="F465" s="350">
        <v>46044</v>
      </c>
      <c r="G465" s="350">
        <v>46052</v>
      </c>
      <c r="H465" s="373" t="s">
        <v>892</v>
      </c>
      <c r="I465" s="381"/>
      <c r="J465" s="693">
        <f t="shared" ref="J465" si="173">+VLOOKUP(D465,$AB$7:$AC$35,2,FALSE)</f>
        <v>78.132046999999986</v>
      </c>
      <c r="K465" s="373" t="s">
        <v>1395</v>
      </c>
      <c r="M465" s="645">
        <f t="shared" si="166"/>
        <v>8</v>
      </c>
    </row>
    <row r="466" spans="1:13" x14ac:dyDescent="0.2">
      <c r="A466" s="372">
        <f>+SUBTOTAL(3,$G$7:$G466)</f>
        <v>12</v>
      </c>
      <c r="B466" s="366">
        <v>46054</v>
      </c>
      <c r="C466" s="367" t="s">
        <v>61</v>
      </c>
      <c r="D466" s="368" t="str">
        <f>+VLOOKUP(C466,Foundation!$C$8:$D$531,2,FALSE)</f>
        <v>DA+6</v>
      </c>
      <c r="E466" s="368" t="str">
        <f>+VLOOKUP(C466,Foundation!$C$8:$E$495,3,FALSE)</f>
        <v>Sandy</v>
      </c>
      <c r="F466" s="350">
        <v>46052</v>
      </c>
      <c r="G466" s="350">
        <v>46059</v>
      </c>
      <c r="H466" s="373" t="s">
        <v>892</v>
      </c>
      <c r="I466" s="381"/>
      <c r="J466" s="693">
        <f t="shared" ref="J466" si="174">+VLOOKUP(D466,$AB$7:$AC$35,2,FALSE)</f>
        <v>45.413028000000004</v>
      </c>
      <c r="K466" s="373" t="s">
        <v>1395</v>
      </c>
      <c r="M466" s="645">
        <f t="shared" si="166"/>
        <v>7</v>
      </c>
    </row>
    <row r="467" spans="1:13" x14ac:dyDescent="0.2">
      <c r="A467" s="372">
        <f>+SUBTOTAL(3,$G$7:$G467)</f>
        <v>13</v>
      </c>
      <c r="B467" s="366">
        <v>46054</v>
      </c>
      <c r="C467" s="367" t="s">
        <v>468</v>
      </c>
      <c r="D467" s="368" t="str">
        <f>+VLOOKUP(C467,Foundation!$C$8:$D$531,2,FALSE)</f>
        <v>DA+0</v>
      </c>
      <c r="E467" s="368" t="str">
        <f>+VLOOKUP(C467,Foundation!$C$8:$E$495,3,FALSE)</f>
        <v>DFR</v>
      </c>
      <c r="F467" s="350">
        <v>46069</v>
      </c>
      <c r="G467" s="350">
        <v>46072</v>
      </c>
      <c r="H467" s="373" t="s">
        <v>1379</v>
      </c>
      <c r="I467" s="381"/>
      <c r="J467" s="693">
        <f t="shared" ref="J467" si="175">+VLOOKUP(D467,$AB$7:$AC$35,2,FALSE)</f>
        <v>37.504372000000004</v>
      </c>
      <c r="K467" s="373" t="s">
        <v>1395</v>
      </c>
      <c r="M467" s="645">
        <f t="shared" si="166"/>
        <v>3</v>
      </c>
    </row>
    <row r="468" spans="1:13" hidden="1" x14ac:dyDescent="0.2">
      <c r="A468" s="372"/>
      <c r="B468" s="366"/>
      <c r="C468" s="367"/>
      <c r="D468" s="368"/>
      <c r="E468" s="368"/>
      <c r="F468" s="350"/>
      <c r="G468" s="350"/>
      <c r="H468" s="373"/>
      <c r="I468" s="381"/>
      <c r="J468" s="693"/>
      <c r="K468" s="373"/>
    </row>
    <row r="469" spans="1:13" hidden="1" x14ac:dyDescent="0.2">
      <c r="A469" s="372"/>
      <c r="B469" s="366"/>
      <c r="C469" s="367"/>
      <c r="D469" s="368"/>
      <c r="E469" s="368"/>
      <c r="F469" s="350"/>
      <c r="G469" s="350"/>
      <c r="H469" s="373"/>
      <c r="I469" s="381"/>
      <c r="J469" s="693"/>
      <c r="K469" s="373"/>
    </row>
    <row r="470" spans="1:13" s="643" customFormat="1" hidden="1" x14ac:dyDescent="0.2">
      <c r="A470" s="652"/>
      <c r="B470" s="653"/>
      <c r="C470" s="654"/>
      <c r="D470" s="655" t="s">
        <v>1191</v>
      </c>
      <c r="E470" s="655"/>
      <c r="F470" s="656" t="s">
        <v>6</v>
      </c>
      <c r="G470" s="656" t="s">
        <v>1167</v>
      </c>
      <c r="H470" s="657" t="s">
        <v>7</v>
      </c>
      <c r="I470" s="657"/>
      <c r="J470" s="657"/>
      <c r="K470" s="657" t="s">
        <v>1627</v>
      </c>
      <c r="L470" s="643" t="s">
        <v>1167</v>
      </c>
      <c r="M470" s="658" t="s">
        <v>1406</v>
      </c>
    </row>
    <row r="471" spans="1:13" s="740" customFormat="1" x14ac:dyDescent="0.2">
      <c r="A471" s="733"/>
      <c r="B471" s="734"/>
      <c r="C471" s="735"/>
      <c r="D471" s="741" t="s">
        <v>155</v>
      </c>
      <c r="E471" s="734"/>
      <c r="F471" s="736">
        <v>46072</v>
      </c>
      <c r="G471" s="734"/>
      <c r="H471" s="737" t="s">
        <v>1379</v>
      </c>
      <c r="I471" s="738"/>
      <c r="J471" s="738"/>
      <c r="K471" s="737" t="s">
        <v>1395</v>
      </c>
      <c r="M471" s="739"/>
    </row>
    <row r="472" spans="1:13" s="740" customFormat="1" x14ac:dyDescent="0.2">
      <c r="A472" s="733"/>
      <c r="B472" s="734"/>
      <c r="C472" s="735"/>
      <c r="D472" s="741" t="s">
        <v>56</v>
      </c>
      <c r="E472" s="734"/>
      <c r="F472" s="736">
        <v>46069</v>
      </c>
      <c r="G472" s="734"/>
      <c r="H472" s="737" t="s">
        <v>1484</v>
      </c>
      <c r="I472" s="738"/>
      <c r="J472" s="738"/>
      <c r="K472" s="737" t="s">
        <v>1395</v>
      </c>
      <c r="M472" s="739"/>
    </row>
    <row r="473" spans="1:13" s="740" customFormat="1" x14ac:dyDescent="0.2">
      <c r="A473" s="733"/>
      <c r="B473" s="734"/>
      <c r="C473" s="735"/>
      <c r="D473" s="741" t="s">
        <v>153</v>
      </c>
      <c r="E473" s="734"/>
      <c r="F473" s="736">
        <v>46070</v>
      </c>
      <c r="G473" s="734"/>
      <c r="H473" s="737" t="s">
        <v>1488</v>
      </c>
      <c r="I473" s="738"/>
      <c r="J473" s="738"/>
      <c r="K473" s="737" t="s">
        <v>1395</v>
      </c>
      <c r="M473" s="739"/>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filterColumn colId="6">
      <filters>
        <dateGroupItem year="2026" dateTimeGrouping="year"/>
      </filters>
    </filterColumn>
  </autoFilter>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89"/>
  <sheetViews>
    <sheetView view="pageBreakPreview" zoomScaleNormal="100" zoomScaleSheetLayoutView="100" workbookViewId="0">
      <pane ySplit="5" topLeftCell="A6" activePane="bottomLeft" state="frozen"/>
      <selection activeCell="N8" sqref="N8"/>
      <selection pane="bottomLeft" activeCell="F5" sqref="F5"/>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802" t="s">
        <v>107</v>
      </c>
      <c r="B5" s="800" t="s">
        <v>115</v>
      </c>
      <c r="C5" s="394" t="s">
        <v>134</v>
      </c>
      <c r="D5" s="394" t="s">
        <v>6</v>
      </c>
      <c r="E5" s="394" t="s">
        <v>140</v>
      </c>
      <c r="F5" s="394" t="s">
        <v>139</v>
      </c>
      <c r="G5" s="394" t="s">
        <v>1188</v>
      </c>
      <c r="H5" s="394" t="s">
        <v>1189</v>
      </c>
    </row>
    <row r="6" spans="1:14" x14ac:dyDescent="0.25">
      <c r="A6" s="801">
        <f>+SUBTOTAL(3,$E$6:$E6)</f>
        <v>1</v>
      </c>
      <c r="B6" s="346" t="s">
        <v>764</v>
      </c>
      <c r="C6" s="344" t="str">
        <f>+VLOOKUP(B6,'Erection Compiled'!$C$7:$D$653,2,FALSE)</f>
        <v>DA+3</v>
      </c>
      <c r="D6" s="350">
        <v>45342</v>
      </c>
      <c r="E6" s="350">
        <v>45342</v>
      </c>
      <c r="F6" s="344" t="s">
        <v>1025</v>
      </c>
      <c r="G6" s="344" t="s">
        <v>1027</v>
      </c>
      <c r="H6" s="344" t="s">
        <v>1027</v>
      </c>
    </row>
    <row r="7" spans="1:14" x14ac:dyDescent="0.25">
      <c r="A7" s="344">
        <f>+SUBTOTAL(3,$E$6:$E7)</f>
        <v>2</v>
      </c>
      <c r="B7" s="346" t="s">
        <v>765</v>
      </c>
      <c r="C7" s="344" t="str">
        <f>+VLOOKUP(B7,'Erection Compiled'!$C$7:$D$653,2,FALSE)</f>
        <v>DA+6</v>
      </c>
      <c r="D7" s="350">
        <v>45344</v>
      </c>
      <c r="E7" s="350">
        <v>45344</v>
      </c>
      <c r="F7" s="344" t="s">
        <v>1025</v>
      </c>
      <c r="G7" s="344" t="s">
        <v>1027</v>
      </c>
      <c r="H7" s="344" t="s">
        <v>1027</v>
      </c>
    </row>
    <row r="8" spans="1:14" x14ac:dyDescent="0.25">
      <c r="A8" s="344">
        <f>+SUBTOTAL(3,$E$6:$E8)</f>
        <v>3</v>
      </c>
      <c r="B8" s="346" t="s">
        <v>793</v>
      </c>
      <c r="C8" s="344" t="str">
        <f>+VLOOKUP(B8,'Erection Compiled'!$C$7:$D$653,2,FALSE)</f>
        <v>DA+0</v>
      </c>
      <c r="D8" s="350">
        <v>45349</v>
      </c>
      <c r="E8" s="350">
        <v>45349</v>
      </c>
      <c r="F8" s="344" t="s">
        <v>1025</v>
      </c>
      <c r="G8" s="344" t="s">
        <v>1027</v>
      </c>
      <c r="H8" s="344" t="s">
        <v>1027</v>
      </c>
      <c r="N8" s="756"/>
    </row>
    <row r="9" spans="1:14" x14ac:dyDescent="0.25">
      <c r="A9" s="344">
        <f>+SUBTOTAL(3,$E$6:$E9)</f>
        <v>4</v>
      </c>
      <c r="B9" s="346" t="s">
        <v>805</v>
      </c>
      <c r="C9" s="344" t="str">
        <f>+VLOOKUP(B9,'Erection Compiled'!$C$7:$D$653,2,FALSE)</f>
        <v>DA+3</v>
      </c>
      <c r="D9" s="350">
        <v>45350</v>
      </c>
      <c r="E9" s="350">
        <v>45350</v>
      </c>
      <c r="F9" s="344" t="s">
        <v>1025</v>
      </c>
      <c r="G9" s="344" t="s">
        <v>1027</v>
      </c>
      <c r="H9" s="344" t="s">
        <v>1027</v>
      </c>
    </row>
    <row r="10" spans="1:14" x14ac:dyDescent="0.25">
      <c r="A10" s="344">
        <f>+SUBTOTAL(3,$E$6:$E10)</f>
        <v>5</v>
      </c>
      <c r="B10" s="346" t="s">
        <v>807</v>
      </c>
      <c r="C10" s="344" t="str">
        <f>+VLOOKUP(B10,'Erection Compiled'!$C$7:$D$653,2,FALSE)</f>
        <v>DA+3</v>
      </c>
      <c r="D10" s="350">
        <v>45352</v>
      </c>
      <c r="E10" s="350">
        <v>45353</v>
      </c>
      <c r="F10" s="344" t="s">
        <v>1025</v>
      </c>
      <c r="G10" s="344" t="s">
        <v>1027</v>
      </c>
      <c r="H10" s="344" t="s">
        <v>1027</v>
      </c>
    </row>
    <row r="11" spans="1:14" x14ac:dyDescent="0.25">
      <c r="A11" s="344">
        <f>+SUBTOTAL(3,$E$6:$E11)</f>
        <v>6</v>
      </c>
      <c r="B11" s="346" t="s">
        <v>791</v>
      </c>
      <c r="C11" s="344" t="str">
        <f>+VLOOKUP(B11,'Erection Compiled'!$C$7:$D$653,2,FALSE)</f>
        <v>DA+0</v>
      </c>
      <c r="D11" s="350">
        <v>45325</v>
      </c>
      <c r="E11" s="350">
        <v>45325</v>
      </c>
      <c r="F11" s="344" t="s">
        <v>1025</v>
      </c>
      <c r="G11" s="344" t="s">
        <v>1027</v>
      </c>
      <c r="H11" s="344" t="s">
        <v>1027</v>
      </c>
    </row>
    <row r="12" spans="1:14" x14ac:dyDescent="0.25">
      <c r="A12" s="344">
        <f>+SUBTOTAL(3,$E$6:$E12)</f>
        <v>7</v>
      </c>
      <c r="B12" s="346" t="s">
        <v>792</v>
      </c>
      <c r="C12" s="344" t="str">
        <f>+VLOOKUP(B12,'Erection Compiled'!$C$7:$D$653,2,FALSE)</f>
        <v>DA+3</v>
      </c>
      <c r="D12" s="350">
        <v>45355</v>
      </c>
      <c r="E12" s="350">
        <v>45355</v>
      </c>
      <c r="F12" s="344" t="s">
        <v>1025</v>
      </c>
      <c r="G12" s="344" t="s">
        <v>1027</v>
      </c>
      <c r="H12" s="344" t="s">
        <v>1027</v>
      </c>
    </row>
    <row r="13" spans="1:14" x14ac:dyDescent="0.25">
      <c r="A13" s="344">
        <f>+SUBTOTAL(3,$E$6:$E13)</f>
        <v>8</v>
      </c>
      <c r="B13" s="346" t="s">
        <v>763</v>
      </c>
      <c r="C13" s="344" t="str">
        <f>+VLOOKUP(B13,'Erection Compiled'!$C$7:$D$653,2,FALSE)</f>
        <v>DA+6</v>
      </c>
      <c r="D13" s="350">
        <v>45356</v>
      </c>
      <c r="E13" s="350">
        <v>45356</v>
      </c>
      <c r="F13" s="344" t="s">
        <v>1025</v>
      </c>
      <c r="G13" s="344" t="s">
        <v>1027</v>
      </c>
      <c r="H13" s="344" t="s">
        <v>1027</v>
      </c>
    </row>
    <row r="14" spans="1:14" x14ac:dyDescent="0.25">
      <c r="A14" s="344">
        <f>+SUBTOTAL(3,$E$6:$E14)</f>
        <v>9</v>
      </c>
      <c r="B14" s="346" t="s">
        <v>761</v>
      </c>
      <c r="C14" s="344" t="str">
        <f>+VLOOKUP(B14,'Erection Compiled'!$C$7:$D$653,2,FALSE)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Compiled'!$C$7:$D$653,2,FALSE)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Compiled'!$C$7:$D$653,2,FALSE)</f>
        <v>DA+3</v>
      </c>
      <c r="D16" s="350">
        <v>45360</v>
      </c>
      <c r="E16" s="350">
        <v>45360</v>
      </c>
      <c r="F16" s="344" t="s">
        <v>1025</v>
      </c>
      <c r="G16" s="344" t="s">
        <v>1027</v>
      </c>
      <c r="H16" s="344" t="s">
        <v>1027</v>
      </c>
    </row>
    <row r="17" spans="1:8" x14ac:dyDescent="0.25">
      <c r="A17" s="344">
        <f>+SUBTOTAL(3,$E$6:$E17)</f>
        <v>12</v>
      </c>
      <c r="B17" s="344" t="s">
        <v>790</v>
      </c>
      <c r="C17" s="344" t="str">
        <f>+VLOOKUP(B17,'Erection Compiled'!$C$7:$D$653,2,FALSE)</f>
        <v>DA+3</v>
      </c>
      <c r="D17" s="350">
        <v>45361</v>
      </c>
      <c r="E17" s="350">
        <v>45361</v>
      </c>
      <c r="F17" s="344" t="s">
        <v>1025</v>
      </c>
      <c r="G17" s="344" t="s">
        <v>1027</v>
      </c>
      <c r="H17" s="344" t="s">
        <v>1027</v>
      </c>
    </row>
    <row r="18" spans="1:8" x14ac:dyDescent="0.25">
      <c r="A18" s="344">
        <f>+SUBTOTAL(3,$E$6:$E18)</f>
        <v>13</v>
      </c>
      <c r="B18" s="344" t="s">
        <v>795</v>
      </c>
      <c r="C18" s="344" t="str">
        <f>+VLOOKUP(B18,'Erection Compiled'!$C$7:$D$653,2,FALSE)</f>
        <v>DA+3</v>
      </c>
      <c r="D18" s="350">
        <v>45362</v>
      </c>
      <c r="E18" s="350">
        <v>45362</v>
      </c>
      <c r="F18" s="344" t="s">
        <v>1025</v>
      </c>
      <c r="G18" s="344" t="s">
        <v>1027</v>
      </c>
      <c r="H18" s="344" t="s">
        <v>1027</v>
      </c>
    </row>
    <row r="19" spans="1:8" x14ac:dyDescent="0.25">
      <c r="A19" s="344">
        <f>+SUBTOTAL(3,$E$6:$E19)</f>
        <v>14</v>
      </c>
      <c r="B19" s="344" t="s">
        <v>809</v>
      </c>
      <c r="C19" s="344" t="str">
        <f>+VLOOKUP(B19,'Erection Compiled'!$C$7:$D$653,2,FALSE)</f>
        <v>DA+0</v>
      </c>
      <c r="D19" s="350">
        <v>45363</v>
      </c>
      <c r="E19" s="350">
        <v>45363</v>
      </c>
      <c r="F19" s="344" t="s">
        <v>1025</v>
      </c>
      <c r="G19" s="344" t="s">
        <v>1027</v>
      </c>
      <c r="H19" s="344" t="s">
        <v>1027</v>
      </c>
    </row>
    <row r="20" spans="1:8" x14ac:dyDescent="0.25">
      <c r="A20" s="344">
        <f>+SUBTOTAL(3,$E$6:$E20)</f>
        <v>15</v>
      </c>
      <c r="B20" s="344" t="s">
        <v>758</v>
      </c>
      <c r="C20" s="344" t="str">
        <f>+VLOOKUP(B20,'Erection Compiled'!$C$7:$D$653,2,FALSE)</f>
        <v>DA+3</v>
      </c>
      <c r="D20" s="350">
        <v>45363</v>
      </c>
      <c r="E20" s="350">
        <v>45363</v>
      </c>
      <c r="F20" s="344" t="s">
        <v>1026</v>
      </c>
      <c r="G20" s="344" t="s">
        <v>1027</v>
      </c>
      <c r="H20" s="344" t="s">
        <v>1027</v>
      </c>
    </row>
    <row r="21" spans="1:8" x14ac:dyDescent="0.25">
      <c r="A21" s="344">
        <f>+SUBTOTAL(3,$E$6:$E21)</f>
        <v>16</v>
      </c>
      <c r="B21" s="344" t="s">
        <v>812</v>
      </c>
      <c r="C21" s="344" t="str">
        <f>+VLOOKUP(B21,'Erection Compiled'!$C$7:$D$653,2,FALSE)</f>
        <v>DA+3</v>
      </c>
      <c r="D21" s="350">
        <v>45364</v>
      </c>
      <c r="E21" s="350">
        <v>45364</v>
      </c>
      <c r="F21" s="344" t="s">
        <v>1025</v>
      </c>
      <c r="G21" s="344" t="s">
        <v>1027</v>
      </c>
      <c r="H21" s="344" t="s">
        <v>1027</v>
      </c>
    </row>
    <row r="22" spans="1:8" x14ac:dyDescent="0.25">
      <c r="A22" s="344">
        <f>+SUBTOTAL(3,$E$6:$E22)</f>
        <v>17</v>
      </c>
      <c r="B22" s="344" t="s">
        <v>778</v>
      </c>
      <c r="C22" s="344" t="str">
        <f>+VLOOKUP(B22,'Erection Compiled'!$C$7:$D$653,2,FALSE)</f>
        <v>DA+3</v>
      </c>
      <c r="D22" s="350">
        <v>45366</v>
      </c>
      <c r="E22" s="350">
        <v>45366</v>
      </c>
      <c r="F22" s="344" t="s">
        <v>1026</v>
      </c>
      <c r="G22" s="344" t="s">
        <v>1027</v>
      </c>
      <c r="H22" s="344" t="s">
        <v>1027</v>
      </c>
    </row>
    <row r="23" spans="1:8" x14ac:dyDescent="0.25">
      <c r="A23" s="344">
        <f>+SUBTOTAL(3,$E$6:$E23)</f>
        <v>18</v>
      </c>
      <c r="B23" s="344" t="s">
        <v>796</v>
      </c>
      <c r="C23" s="344" t="str">
        <f>+VLOOKUP(B23,'Erection Compiled'!$C$7:$D$653,2,FALSE)</f>
        <v>DA+0</v>
      </c>
      <c r="D23" s="350">
        <v>45366</v>
      </c>
      <c r="E23" s="350">
        <v>45366</v>
      </c>
      <c r="F23" s="344" t="s">
        <v>1025</v>
      </c>
      <c r="G23" s="344" t="s">
        <v>1027</v>
      </c>
      <c r="H23" s="344" t="s">
        <v>1027</v>
      </c>
    </row>
    <row r="24" spans="1:8" x14ac:dyDescent="0.25">
      <c r="A24" s="344">
        <f>+SUBTOTAL(3,$E$6:$E24)</f>
        <v>19</v>
      </c>
      <c r="B24" s="344" t="s">
        <v>822</v>
      </c>
      <c r="C24" s="344" t="str">
        <f>+VLOOKUP(B24,'Erection Compiled'!$C$7:$D$653,2,FALSE)</f>
        <v>DA+0</v>
      </c>
      <c r="D24" s="350">
        <v>45367</v>
      </c>
      <c r="E24" s="350">
        <v>45367</v>
      </c>
      <c r="F24" s="344" t="s">
        <v>1025</v>
      </c>
      <c r="G24" s="344" t="s">
        <v>1027</v>
      </c>
      <c r="H24" s="344" t="s">
        <v>1027</v>
      </c>
    </row>
    <row r="25" spans="1:8" x14ac:dyDescent="0.25">
      <c r="A25" s="344">
        <f>+SUBTOTAL(3,$E$6:$E25)</f>
        <v>20</v>
      </c>
      <c r="B25" s="344" t="s">
        <v>773</v>
      </c>
      <c r="C25" s="344" t="str">
        <f>+VLOOKUP(B25,'Erection Compiled'!$C$7:$D$653,2,FALSE)</f>
        <v>DA+0</v>
      </c>
      <c r="D25" s="350">
        <v>45367</v>
      </c>
      <c r="E25" s="350">
        <v>45367</v>
      </c>
      <c r="F25" s="344" t="s">
        <v>1026</v>
      </c>
      <c r="G25" s="344" t="s">
        <v>1027</v>
      </c>
      <c r="H25" s="344" t="s">
        <v>1027</v>
      </c>
    </row>
    <row r="26" spans="1:8" x14ac:dyDescent="0.25">
      <c r="A26" s="344">
        <f>+SUBTOTAL(3,$E$6:$E26)</f>
        <v>21</v>
      </c>
      <c r="B26" s="344" t="s">
        <v>824</v>
      </c>
      <c r="C26" s="344" t="str">
        <f>+VLOOKUP(B26,'Erection Compiled'!$C$7:$D$653,2,FALSE)</f>
        <v>DA+0</v>
      </c>
      <c r="D26" s="350">
        <v>45368</v>
      </c>
      <c r="E26" s="350">
        <v>45368</v>
      </c>
      <c r="F26" s="344" t="s">
        <v>1025</v>
      </c>
      <c r="G26" s="344" t="s">
        <v>1027</v>
      </c>
      <c r="H26" s="344" t="s">
        <v>1027</v>
      </c>
    </row>
    <row r="27" spans="1:8" x14ac:dyDescent="0.25">
      <c r="A27" s="344">
        <f>+SUBTOTAL(3,$E$6:$E27)</f>
        <v>22</v>
      </c>
      <c r="B27" s="344" t="s">
        <v>813</v>
      </c>
      <c r="C27" s="344" t="str">
        <f>+VLOOKUP(B27,'Erection Compiled'!$C$7:$D$653,2,FALSE)</f>
        <v>DA+3</v>
      </c>
      <c r="D27" s="350">
        <v>45369</v>
      </c>
      <c r="E27" s="350">
        <v>45369</v>
      </c>
      <c r="F27" s="344" t="s">
        <v>1025</v>
      </c>
      <c r="G27" s="344" t="s">
        <v>1027</v>
      </c>
      <c r="H27" s="344" t="s">
        <v>1027</v>
      </c>
    </row>
    <row r="28" spans="1:8" x14ac:dyDescent="0.25">
      <c r="A28" s="344">
        <f>+SUBTOTAL(3,$E$6:$E28)</f>
        <v>23</v>
      </c>
      <c r="B28" s="344" t="s">
        <v>797</v>
      </c>
      <c r="C28" s="344" t="str">
        <f>+VLOOKUP(B28,'Erection Compiled'!$C$7:$D$653,2,FALSE)</f>
        <v>DA+3</v>
      </c>
      <c r="D28" s="350">
        <v>45370</v>
      </c>
      <c r="E28" s="350">
        <v>45370</v>
      </c>
      <c r="F28" s="344" t="s">
        <v>1025</v>
      </c>
      <c r="G28" s="344" t="s">
        <v>1027</v>
      </c>
      <c r="H28" s="344" t="s">
        <v>1027</v>
      </c>
    </row>
    <row r="29" spans="1:8" x14ac:dyDescent="0.25">
      <c r="A29" s="344">
        <f>+SUBTOTAL(3,$E$6:$E29)</f>
        <v>24</v>
      </c>
      <c r="B29" s="344" t="s">
        <v>775</v>
      </c>
      <c r="C29" s="344" t="str">
        <f>+VLOOKUP(B29,'Erection Compiled'!$C$7:$D$653,2,FALSE)</f>
        <v>DA+0</v>
      </c>
      <c r="D29" s="350">
        <v>45370</v>
      </c>
      <c r="E29" s="350">
        <v>45370</v>
      </c>
      <c r="F29" s="344" t="s">
        <v>1026</v>
      </c>
      <c r="G29" s="344" t="s">
        <v>1027</v>
      </c>
      <c r="H29" s="344" t="s">
        <v>1027</v>
      </c>
    </row>
    <row r="30" spans="1:8" x14ac:dyDescent="0.25">
      <c r="A30" s="344">
        <f>+SUBTOTAL(3,$E$6:$E30)</f>
        <v>25</v>
      </c>
      <c r="B30" s="344" t="s">
        <v>798</v>
      </c>
      <c r="C30" s="344" t="str">
        <f>+VLOOKUP(B30,'Erection Compiled'!$C$7:$D$653,2,FALSE)</f>
        <v>DA+0</v>
      </c>
      <c r="D30" s="350">
        <v>45372</v>
      </c>
      <c r="E30" s="350">
        <v>45372</v>
      </c>
      <c r="F30" s="344" t="s">
        <v>1025</v>
      </c>
      <c r="G30" s="344" t="s">
        <v>1027</v>
      </c>
      <c r="H30" s="344" t="s">
        <v>1027</v>
      </c>
    </row>
    <row r="31" spans="1:8" x14ac:dyDescent="0.25">
      <c r="A31" s="344">
        <f>+SUBTOTAL(3,$E$6:$E31)</f>
        <v>26</v>
      </c>
      <c r="B31" s="344" t="s">
        <v>823</v>
      </c>
      <c r="C31" s="344" t="str">
        <f>+VLOOKUP(B31,'Erection Compiled'!$C$7:$D$653,2,FALSE)</f>
        <v>DA+3</v>
      </c>
      <c r="D31" s="350">
        <v>45373</v>
      </c>
      <c r="E31" s="350">
        <v>45373</v>
      </c>
      <c r="F31" s="344" t="s">
        <v>1025</v>
      </c>
      <c r="G31" s="344" t="s">
        <v>1027</v>
      </c>
      <c r="H31" s="344" t="s">
        <v>1027</v>
      </c>
    </row>
    <row r="32" spans="1:8" x14ac:dyDescent="0.25">
      <c r="A32" s="344">
        <f>+SUBTOTAL(3,$E$6:$E32)</f>
        <v>27</v>
      </c>
      <c r="B32" s="344" t="s">
        <v>757</v>
      </c>
      <c r="C32" s="344" t="str">
        <f>+VLOOKUP(B32,'Erection Compiled'!$C$7:$D$653,2,FALSE)</f>
        <v>DA+3</v>
      </c>
      <c r="D32" s="350">
        <v>45373</v>
      </c>
      <c r="E32" s="350">
        <v>45373</v>
      </c>
      <c r="F32" s="344" t="s">
        <v>1026</v>
      </c>
      <c r="G32" s="344" t="s">
        <v>1027</v>
      </c>
      <c r="H32" s="344" t="s">
        <v>1027</v>
      </c>
    </row>
    <row r="33" spans="1:8" x14ac:dyDescent="0.25">
      <c r="A33" s="344">
        <f>+SUBTOTAL(3,$E$6:$E33)</f>
        <v>28</v>
      </c>
      <c r="B33" s="344" t="s">
        <v>777</v>
      </c>
      <c r="C33" s="344" t="str">
        <f>+VLOOKUP(B33,'Erection Compiled'!$C$7:$D$653,2,FALSE)</f>
        <v>DA+0</v>
      </c>
      <c r="D33" s="350">
        <v>45375</v>
      </c>
      <c r="E33" s="350">
        <v>45375</v>
      </c>
      <c r="F33" s="344" t="s">
        <v>1025</v>
      </c>
      <c r="G33" s="344" t="s">
        <v>1027</v>
      </c>
      <c r="H33" s="344" t="s">
        <v>1027</v>
      </c>
    </row>
    <row r="34" spans="1:8" x14ac:dyDescent="0.25">
      <c r="A34" s="344">
        <f>+SUBTOTAL(3,$E$6:$E34)</f>
        <v>29</v>
      </c>
      <c r="B34" s="344" t="s">
        <v>784</v>
      </c>
      <c r="C34" s="344" t="str">
        <f>+VLOOKUP(B34,'Erection Compiled'!$C$7:$D$653,2,FALSE)</f>
        <v>DA+3</v>
      </c>
      <c r="D34" s="350">
        <v>45379</v>
      </c>
      <c r="E34" s="350">
        <v>45379</v>
      </c>
      <c r="F34" s="344" t="s">
        <v>1025</v>
      </c>
      <c r="G34" s="344" t="s">
        <v>1027</v>
      </c>
      <c r="H34" s="344" t="s">
        <v>1027</v>
      </c>
    </row>
    <row r="35" spans="1:8" x14ac:dyDescent="0.25">
      <c r="A35" s="344">
        <f>+SUBTOTAL(3,$E$6:$E35)</f>
        <v>30</v>
      </c>
      <c r="B35" s="344" t="s">
        <v>825</v>
      </c>
      <c r="C35" s="344" t="str">
        <f>+VLOOKUP(B35,'Erection Compiled'!$C$7:$D$653,2,FALSE)</f>
        <v>DA+0</v>
      </c>
      <c r="D35" s="350">
        <v>45380</v>
      </c>
      <c r="E35" s="350">
        <v>45380</v>
      </c>
      <c r="F35" s="344" t="s">
        <v>1025</v>
      </c>
      <c r="G35" s="344" t="s">
        <v>1027</v>
      </c>
      <c r="H35" s="344" t="s">
        <v>1027</v>
      </c>
    </row>
    <row r="36" spans="1:8" x14ac:dyDescent="0.25">
      <c r="A36" s="344">
        <f>+SUBTOTAL(3,$E$6:$E36)</f>
        <v>31</v>
      </c>
      <c r="B36" s="344" t="s">
        <v>814</v>
      </c>
      <c r="C36" s="344" t="str">
        <f>+VLOOKUP(B36,'Erection Compiled'!$C$7:$D$653,2,FALSE)</f>
        <v>DA+0</v>
      </c>
      <c r="D36" s="350">
        <v>45383</v>
      </c>
      <c r="E36" s="350">
        <v>45383</v>
      </c>
      <c r="F36" s="344" t="s">
        <v>1025</v>
      </c>
      <c r="G36" s="344" t="s">
        <v>1027</v>
      </c>
      <c r="H36" s="344" t="s">
        <v>1027</v>
      </c>
    </row>
    <row r="37" spans="1:8" x14ac:dyDescent="0.25">
      <c r="A37" s="344">
        <f>+SUBTOTAL(3,$E$6:$E37)</f>
        <v>32</v>
      </c>
      <c r="B37" s="344" t="s">
        <v>785</v>
      </c>
      <c r="C37" s="344" t="str">
        <f>+VLOOKUP(B37,'Erection Compiled'!$C$7:$D$653,2,FALSE)</f>
        <v>DA+9</v>
      </c>
      <c r="D37" s="350">
        <v>45385</v>
      </c>
      <c r="E37" s="350">
        <v>45385</v>
      </c>
      <c r="F37" s="344" t="s">
        <v>1025</v>
      </c>
      <c r="G37" s="344" t="s">
        <v>1027</v>
      </c>
      <c r="H37" s="344" t="s">
        <v>1027</v>
      </c>
    </row>
    <row r="38" spans="1:8" x14ac:dyDescent="0.25">
      <c r="A38" s="344">
        <f>+SUBTOTAL(3,$E$6:$E38)</f>
        <v>33</v>
      </c>
      <c r="B38" s="344" t="s">
        <v>826</v>
      </c>
      <c r="C38" s="344" t="str">
        <f>+VLOOKUP(B38,'Erection Compiled'!$C$7:$D$653,2,FALSE)</f>
        <v>DA+0</v>
      </c>
      <c r="D38" s="350">
        <v>45386</v>
      </c>
      <c r="E38" s="350">
        <v>45386</v>
      </c>
      <c r="F38" s="344" t="s">
        <v>1025</v>
      </c>
      <c r="G38" s="344" t="s">
        <v>1027</v>
      </c>
      <c r="H38" s="344" t="s">
        <v>1027</v>
      </c>
    </row>
    <row r="39" spans="1:8" x14ac:dyDescent="0.25">
      <c r="A39" s="344">
        <f>+SUBTOTAL(3,$E$6:$E39)</f>
        <v>34</v>
      </c>
      <c r="B39" s="344" t="s">
        <v>815</v>
      </c>
      <c r="C39" s="344" t="str">
        <f>+VLOOKUP(B39,'Erection Compiled'!$C$7:$D$653,2,FALSE)</f>
        <v>DA+3</v>
      </c>
      <c r="D39" s="350">
        <v>45388</v>
      </c>
      <c r="E39" s="350">
        <v>45388</v>
      </c>
      <c r="F39" s="344" t="s">
        <v>1025</v>
      </c>
      <c r="G39" s="344" t="s">
        <v>1027</v>
      </c>
      <c r="H39" s="344" t="s">
        <v>1027</v>
      </c>
    </row>
    <row r="40" spans="1:8" x14ac:dyDescent="0.25">
      <c r="A40" s="344">
        <f>+SUBTOTAL(3,$E$6:$E40)</f>
        <v>35</v>
      </c>
      <c r="B40" s="344" t="s">
        <v>806</v>
      </c>
      <c r="C40" s="344" t="str">
        <f>+VLOOKUP(B40,'Erection Compiled'!$C$7:$D$653,2,FALSE)</f>
        <v>DA+3</v>
      </c>
      <c r="D40" s="350">
        <v>45403</v>
      </c>
      <c r="E40" s="350">
        <v>45404</v>
      </c>
      <c r="F40" s="344" t="s">
        <v>1025</v>
      </c>
      <c r="G40" s="344" t="s">
        <v>1027</v>
      </c>
      <c r="H40" s="344" t="s">
        <v>1027</v>
      </c>
    </row>
    <row r="41" spans="1:8" x14ac:dyDescent="0.25">
      <c r="A41" s="344">
        <f>+SUBTOTAL(3,$E$6:$E41)</f>
        <v>36</v>
      </c>
      <c r="B41" s="344" t="s">
        <v>817</v>
      </c>
      <c r="C41" s="344" t="str">
        <f>+VLOOKUP(B41,'Erection Compiled'!$C$7:$D$653,2,FALSE)</f>
        <v>DA+3</v>
      </c>
      <c r="D41" s="350">
        <v>45406</v>
      </c>
      <c r="E41" s="350">
        <v>45406</v>
      </c>
      <c r="F41" s="344" t="s">
        <v>1025</v>
      </c>
      <c r="G41" s="344" t="s">
        <v>1027</v>
      </c>
      <c r="H41" s="344" t="s">
        <v>1027</v>
      </c>
    </row>
    <row r="42" spans="1:8" x14ac:dyDescent="0.25">
      <c r="A42" s="344">
        <f>+SUBTOTAL(3,$E$6:$E42)</f>
        <v>37</v>
      </c>
      <c r="B42" s="344" t="s">
        <v>98</v>
      </c>
      <c r="C42" s="344" t="str">
        <f>+VLOOKUP(B42,'Erection Compiled'!$C$7:$D$653,2,FALSE)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Compiled'!$C$7:$D$653,2,FALSE)</f>
        <v>DA+0</v>
      </c>
      <c r="D43" s="350">
        <v>45409</v>
      </c>
      <c r="E43" s="350">
        <v>45409</v>
      </c>
      <c r="F43" s="344" t="s">
        <v>1025</v>
      </c>
      <c r="G43" s="344" t="s">
        <v>1027</v>
      </c>
      <c r="H43" s="344" t="s">
        <v>1027</v>
      </c>
    </row>
    <row r="44" spans="1:8" x14ac:dyDescent="0.25">
      <c r="A44" s="344">
        <f>+SUBTOTAL(3,$E$6:$E44)</f>
        <v>39</v>
      </c>
      <c r="B44" s="344" t="s">
        <v>829</v>
      </c>
      <c r="C44" s="344" t="str">
        <f>+VLOOKUP(B44,'Erection Compiled'!$C$7:$D$653,2,FALSE)</f>
        <v>DA+0</v>
      </c>
      <c r="D44" s="350">
        <v>45410</v>
      </c>
      <c r="E44" s="350">
        <v>45410</v>
      </c>
      <c r="F44" s="344" t="s">
        <v>1025</v>
      </c>
      <c r="G44" s="344" t="s">
        <v>1027</v>
      </c>
      <c r="H44" s="344" t="s">
        <v>1027</v>
      </c>
    </row>
    <row r="45" spans="1:8" x14ac:dyDescent="0.25">
      <c r="A45" s="344">
        <f>+SUBTOTAL(3,$E$6:$E45)</f>
        <v>40</v>
      </c>
      <c r="B45" s="344" t="s">
        <v>831</v>
      </c>
      <c r="C45" s="344" t="str">
        <f>+VLOOKUP(B45,'Erection Compiled'!$C$7:$D$653,2,FALSE)</f>
        <v>DA+0</v>
      </c>
      <c r="D45" s="350">
        <v>45411</v>
      </c>
      <c r="E45" s="350">
        <v>45411</v>
      </c>
      <c r="F45" s="344" t="s">
        <v>1025</v>
      </c>
      <c r="G45" s="344" t="s">
        <v>1027</v>
      </c>
      <c r="H45" s="344" t="s">
        <v>1027</v>
      </c>
    </row>
    <row r="46" spans="1:8" x14ac:dyDescent="0.25">
      <c r="A46" s="344">
        <f>+SUBTOTAL(3,$E$6:$E46)</f>
        <v>41</v>
      </c>
      <c r="B46" s="344" t="s">
        <v>780</v>
      </c>
      <c r="C46" s="344" t="str">
        <f>+VLOOKUP(B46,'Erection Compiled'!$C$7:$D$653,2,FALSE)</f>
        <v>DA+6</v>
      </c>
      <c r="D46" s="350">
        <v>45411</v>
      </c>
      <c r="E46" s="350">
        <v>45412</v>
      </c>
      <c r="F46" s="344" t="s">
        <v>1026</v>
      </c>
      <c r="G46" s="344" t="s">
        <v>1027</v>
      </c>
      <c r="H46" s="344" t="s">
        <v>1027</v>
      </c>
    </row>
    <row r="47" spans="1:8" x14ac:dyDescent="0.25">
      <c r="A47" s="344">
        <f>+SUBTOTAL(3,$E$6:$E47)</f>
        <v>42</v>
      </c>
      <c r="B47" s="344" t="s">
        <v>818</v>
      </c>
      <c r="C47" s="344" t="str">
        <f>+VLOOKUP(B47,'Erection Compiled'!$C$7:$D$653,2,FALSE)</f>
        <v>DA+3</v>
      </c>
      <c r="D47" s="350">
        <v>45417</v>
      </c>
      <c r="E47" s="350">
        <v>45417</v>
      </c>
      <c r="F47" s="344" t="s">
        <v>1025</v>
      </c>
      <c r="G47" s="344" t="s">
        <v>1027</v>
      </c>
      <c r="H47" s="344" t="s">
        <v>1027</v>
      </c>
    </row>
    <row r="48" spans="1:8" x14ac:dyDescent="0.25">
      <c r="A48" s="344">
        <f>+SUBTOTAL(3,$E$6:$E48)</f>
        <v>43</v>
      </c>
      <c r="B48" s="344" t="s">
        <v>830</v>
      </c>
      <c r="C48" s="344" t="str">
        <f>+VLOOKUP(B48,'Erection Compiled'!$C$7:$D$653,2,FALSE)</f>
        <v>DA+0</v>
      </c>
      <c r="D48" s="350">
        <v>45419</v>
      </c>
      <c r="E48" s="350">
        <v>45419</v>
      </c>
      <c r="F48" s="344" t="s">
        <v>1025</v>
      </c>
      <c r="G48" s="344" t="s">
        <v>1027</v>
      </c>
      <c r="H48" s="344" t="s">
        <v>1027</v>
      </c>
    </row>
    <row r="49" spans="1:8" x14ac:dyDescent="0.25">
      <c r="A49" s="344">
        <f>+SUBTOTAL(3,$E$6:$E49)</f>
        <v>44</v>
      </c>
      <c r="B49" s="344" t="s">
        <v>816</v>
      </c>
      <c r="C49" s="344" t="str">
        <f>+VLOOKUP(B49,'Erection Compiled'!$C$7:$D$653,2,FALSE)</f>
        <v>DA+3</v>
      </c>
      <c r="D49" s="350">
        <v>45421</v>
      </c>
      <c r="E49" s="350">
        <v>45421</v>
      </c>
      <c r="F49" s="344" t="s">
        <v>1025</v>
      </c>
      <c r="G49" s="344" t="s">
        <v>1027</v>
      </c>
      <c r="H49" s="344" t="s">
        <v>1027</v>
      </c>
    </row>
    <row r="50" spans="1:8" x14ac:dyDescent="0.25">
      <c r="A50" s="344">
        <f>+SUBTOTAL(3,$E$6:$E50)</f>
        <v>45</v>
      </c>
      <c r="B50" s="344" t="s">
        <v>821</v>
      </c>
      <c r="C50" s="344" t="str">
        <f>+VLOOKUP(B50,'Erection Compiled'!$C$7:$D$653,2,FALSE)</f>
        <v>DA+0</v>
      </c>
      <c r="D50" s="350">
        <v>45422</v>
      </c>
      <c r="E50" s="350">
        <v>45422</v>
      </c>
      <c r="F50" s="344" t="s">
        <v>1025</v>
      </c>
      <c r="G50" s="344" t="s">
        <v>1027</v>
      </c>
      <c r="H50" s="344" t="s">
        <v>1027</v>
      </c>
    </row>
    <row r="51" spans="1:8" x14ac:dyDescent="0.25">
      <c r="A51" s="344">
        <f>+SUBTOTAL(3,$E$6:$E51)</f>
        <v>46</v>
      </c>
      <c r="B51" s="344" t="s">
        <v>820</v>
      </c>
      <c r="C51" s="344" t="str">
        <f>+VLOOKUP(B51,'Erection Compiled'!$C$7:$D$653,2,FALSE)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Compiled'!$C$7:$D$653,2,FALSE)</f>
        <v>DA+6</v>
      </c>
      <c r="D52" s="350">
        <v>45422</v>
      </c>
      <c r="E52" s="350">
        <v>45422</v>
      </c>
      <c r="F52" s="344" t="s">
        <v>1026</v>
      </c>
      <c r="G52" s="344" t="s">
        <v>1027</v>
      </c>
      <c r="H52" s="344" t="s">
        <v>1027</v>
      </c>
    </row>
    <row r="53" spans="1:8" x14ac:dyDescent="0.25">
      <c r="A53" s="344">
        <f>+SUBTOTAL(3,$E$6:$E53)</f>
        <v>48</v>
      </c>
      <c r="B53" s="344" t="s">
        <v>776</v>
      </c>
      <c r="C53" s="344" t="str">
        <f>+VLOOKUP(B53,'Erection Compiled'!$C$7:$D$653,2,FALSE)</f>
        <v>DA+3</v>
      </c>
      <c r="D53" s="350">
        <v>45423</v>
      </c>
      <c r="E53" s="350">
        <v>45423</v>
      </c>
      <c r="F53" s="344" t="s">
        <v>1026</v>
      </c>
      <c r="G53" s="344" t="s">
        <v>1027</v>
      </c>
      <c r="H53" s="344" t="s">
        <v>1027</v>
      </c>
    </row>
    <row r="54" spans="1:8" x14ac:dyDescent="0.25">
      <c r="A54" s="344">
        <f>+SUBTOTAL(3,$E$6:$E54)</f>
        <v>49</v>
      </c>
      <c r="B54" s="344" t="s">
        <v>803</v>
      </c>
      <c r="C54" s="344" t="str">
        <f>+VLOOKUP(B54,'Erection Compiled'!$C$7:$D$653,2,FALSE)</f>
        <v>DA+0</v>
      </c>
      <c r="D54" s="350">
        <v>45426</v>
      </c>
      <c r="E54" s="350">
        <v>45426</v>
      </c>
      <c r="F54" s="344" t="s">
        <v>1025</v>
      </c>
      <c r="G54" s="344" t="s">
        <v>1027</v>
      </c>
      <c r="H54" s="344" t="s">
        <v>1027</v>
      </c>
    </row>
    <row r="55" spans="1:8" x14ac:dyDescent="0.25">
      <c r="A55" s="344">
        <f>+SUBTOTAL(3,$E$6:$E55)</f>
        <v>50</v>
      </c>
      <c r="B55" s="344" t="s">
        <v>802</v>
      </c>
      <c r="C55" s="344" t="str">
        <f>+VLOOKUP(B55,'Erection Compiled'!$C$7:$D$653,2,FALSE)</f>
        <v>DA+3</v>
      </c>
      <c r="D55" s="350">
        <v>45427</v>
      </c>
      <c r="E55" s="350">
        <v>45427</v>
      </c>
      <c r="F55" s="344" t="s">
        <v>1025</v>
      </c>
      <c r="G55" s="344" t="s">
        <v>1027</v>
      </c>
      <c r="H55" s="344" t="s">
        <v>1027</v>
      </c>
    </row>
    <row r="56" spans="1:8" x14ac:dyDescent="0.25">
      <c r="A56" s="344">
        <f>+SUBTOTAL(3,$E$6:$E56)</f>
        <v>51</v>
      </c>
      <c r="B56" s="344" t="s">
        <v>804</v>
      </c>
      <c r="C56" s="344" t="str">
        <f>+VLOOKUP(B56,'Erection Compiled'!$C$7:$D$653,2,FALSE)</f>
        <v>DA+3</v>
      </c>
      <c r="D56" s="350">
        <v>45428</v>
      </c>
      <c r="E56" s="350">
        <v>45428</v>
      </c>
      <c r="F56" s="344" t="s">
        <v>1025</v>
      </c>
      <c r="G56" s="344" t="s">
        <v>1027</v>
      </c>
      <c r="H56" s="344" t="s">
        <v>1027</v>
      </c>
    </row>
    <row r="57" spans="1:8" x14ac:dyDescent="0.25">
      <c r="A57" s="344">
        <f>+SUBTOTAL(3,$E$6:$E57)</f>
        <v>52</v>
      </c>
      <c r="B57" s="344" t="s">
        <v>781</v>
      </c>
      <c r="C57" s="344" t="str">
        <f>+VLOOKUP(B57,'Erection Compiled'!$C$7:$D$653,2,FALSE)</f>
        <v>DA+6</v>
      </c>
      <c r="D57" s="350">
        <v>45429</v>
      </c>
      <c r="E57" s="350">
        <v>45429</v>
      </c>
      <c r="F57" s="344" t="s">
        <v>1026</v>
      </c>
      <c r="G57" s="344" t="s">
        <v>1027</v>
      </c>
      <c r="H57" s="344" t="s">
        <v>1027</v>
      </c>
    </row>
    <row r="58" spans="1:8" x14ac:dyDescent="0.25">
      <c r="A58" s="344">
        <f>+SUBTOTAL(3,$E$6:$E58)</f>
        <v>53</v>
      </c>
      <c r="B58" s="344" t="s">
        <v>799</v>
      </c>
      <c r="C58" s="344" t="str">
        <f>+VLOOKUP(B58,'Erection Compiled'!$C$7:$D$653,2,FALSE)</f>
        <v>DA+3</v>
      </c>
      <c r="D58" s="350">
        <v>45431</v>
      </c>
      <c r="E58" s="350">
        <v>45431</v>
      </c>
      <c r="F58" s="344" t="s">
        <v>1025</v>
      </c>
      <c r="G58" s="344" t="s">
        <v>1027</v>
      </c>
      <c r="H58" s="344" t="s">
        <v>1027</v>
      </c>
    </row>
    <row r="59" spans="1:8" x14ac:dyDescent="0.25">
      <c r="A59" s="344">
        <f>+SUBTOTAL(3,$E$6:$E59)</f>
        <v>54</v>
      </c>
      <c r="B59" s="344" t="s">
        <v>782</v>
      </c>
      <c r="C59" s="344" t="str">
        <f>+VLOOKUP(B59,'Erection Compiled'!$C$7:$D$653,2,FALSE)</f>
        <v>DA+3</v>
      </c>
      <c r="D59" s="350">
        <v>45435</v>
      </c>
      <c r="E59" s="350">
        <v>45435</v>
      </c>
      <c r="F59" s="344" t="s">
        <v>1025</v>
      </c>
      <c r="G59" s="344" t="s">
        <v>1027</v>
      </c>
      <c r="H59" s="344" t="s">
        <v>1027</v>
      </c>
    </row>
    <row r="60" spans="1:8" x14ac:dyDescent="0.25">
      <c r="A60" s="344">
        <f>+SUBTOTAL(3,$E$6:$E60)</f>
        <v>55</v>
      </c>
      <c r="B60" s="344" t="s">
        <v>783</v>
      </c>
      <c r="C60" s="344" t="str">
        <f>+VLOOKUP(B60,'Erection Compiled'!$C$7:$D$653,2,FALSE)</f>
        <v>DA+3</v>
      </c>
      <c r="D60" s="350">
        <v>45437</v>
      </c>
      <c r="E60" s="350">
        <v>45437</v>
      </c>
      <c r="F60" s="344" t="s">
        <v>1025</v>
      </c>
      <c r="G60" s="344" t="s">
        <v>1027</v>
      </c>
      <c r="H60" s="344" t="s">
        <v>1027</v>
      </c>
    </row>
    <row r="61" spans="1:8" x14ac:dyDescent="0.25">
      <c r="A61" s="344">
        <f>+SUBTOTAL(3,$E$6:$E61)</f>
        <v>56</v>
      </c>
      <c r="B61" s="344" t="s">
        <v>810</v>
      </c>
      <c r="C61" s="344" t="str">
        <f>+VLOOKUP(B61,'Erection Compiled'!$C$7:$D$653,2,FALSE)</f>
        <v>DA+3</v>
      </c>
      <c r="D61" s="350">
        <v>45446</v>
      </c>
      <c r="E61" s="350">
        <v>45446</v>
      </c>
      <c r="F61" s="344" t="s">
        <v>1025</v>
      </c>
      <c r="G61" s="344" t="s">
        <v>1027</v>
      </c>
      <c r="H61" s="344" t="s">
        <v>1027</v>
      </c>
    </row>
    <row r="62" spans="1:8" x14ac:dyDescent="0.25">
      <c r="A62" s="344">
        <f>+SUBTOTAL(3,$E$6:$E62)</f>
        <v>57</v>
      </c>
      <c r="B62" s="344" t="s">
        <v>811</v>
      </c>
      <c r="C62" s="344" t="str">
        <f>+VLOOKUP(B62,'Erection Compiled'!$C$7:$D$653,2,FALSE)</f>
        <v>DA+0</v>
      </c>
      <c r="D62" s="350">
        <v>45449</v>
      </c>
      <c r="E62" s="350">
        <v>45449</v>
      </c>
      <c r="F62" s="344" t="s">
        <v>1025</v>
      </c>
      <c r="G62" s="344" t="s">
        <v>1027</v>
      </c>
      <c r="H62" s="344" t="s">
        <v>1027</v>
      </c>
    </row>
    <row r="63" spans="1:8" x14ac:dyDescent="0.25">
      <c r="A63" s="344">
        <f>+SUBTOTAL(3,$E$6:$E63)</f>
        <v>58</v>
      </c>
      <c r="B63" s="344" t="s">
        <v>808</v>
      </c>
      <c r="C63" s="344" t="str">
        <f>+VLOOKUP(B63,'Erection Compiled'!$C$7:$D$653,2,FALSE)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Compiled'!$C$7:$D$653,2,FALSE)</f>
        <v>DA+9</v>
      </c>
      <c r="D64" s="350">
        <v>45450</v>
      </c>
      <c r="E64" s="350">
        <v>45450</v>
      </c>
      <c r="F64" s="344" t="s">
        <v>1025</v>
      </c>
      <c r="G64" s="344" t="s">
        <v>1027</v>
      </c>
      <c r="H64" s="344" t="s">
        <v>1027</v>
      </c>
    </row>
    <row r="65" spans="1:8" x14ac:dyDescent="0.25">
      <c r="A65" s="344">
        <f>+SUBTOTAL(3,$E$6:$E65)</f>
        <v>60</v>
      </c>
      <c r="B65" s="344" t="s">
        <v>786</v>
      </c>
      <c r="C65" s="344" t="str">
        <f>+VLOOKUP(B65,'Erection Compiled'!$C$7:$D$653,2,FALSE)</f>
        <v>DA+6</v>
      </c>
      <c r="D65" s="350">
        <v>45451</v>
      </c>
      <c r="E65" s="350">
        <v>45451</v>
      </c>
      <c r="F65" s="344" t="s">
        <v>1026</v>
      </c>
      <c r="G65" s="344" t="s">
        <v>1027</v>
      </c>
      <c r="H65" s="344" t="s">
        <v>1027</v>
      </c>
    </row>
    <row r="66" spans="1:8" x14ac:dyDescent="0.25">
      <c r="A66" s="344">
        <f>+SUBTOTAL(3,$E$6:$E66)</f>
        <v>61</v>
      </c>
      <c r="B66" s="344" t="s">
        <v>801</v>
      </c>
      <c r="C66" s="344" t="str">
        <f>+VLOOKUP(B66,'Erection Compiled'!$C$7:$D$653,2,FALSE)</f>
        <v>DA+0</v>
      </c>
      <c r="D66" s="350">
        <v>45451</v>
      </c>
      <c r="E66" s="350">
        <v>45451</v>
      </c>
      <c r="F66" s="344" t="s">
        <v>1025</v>
      </c>
      <c r="G66" s="344" t="s">
        <v>1027</v>
      </c>
      <c r="H66" s="344" t="s">
        <v>1027</v>
      </c>
    </row>
    <row r="67" spans="1:8" x14ac:dyDescent="0.25">
      <c r="A67" s="344">
        <f>+SUBTOTAL(3,$E$6:$E67)</f>
        <v>62</v>
      </c>
      <c r="B67" s="344" t="s">
        <v>787</v>
      </c>
      <c r="C67" s="344" t="str">
        <f>+VLOOKUP(B67,'Erection Compiled'!$C$7:$D$653,2,FALSE)</f>
        <v>DA+0</v>
      </c>
      <c r="D67" s="350">
        <v>45452</v>
      </c>
      <c r="E67" s="350">
        <v>45452</v>
      </c>
      <c r="F67" s="344" t="s">
        <v>1026</v>
      </c>
      <c r="G67" s="344" t="s">
        <v>1027</v>
      </c>
      <c r="H67" s="344" t="s">
        <v>1027</v>
      </c>
    </row>
    <row r="68" spans="1:8" x14ac:dyDescent="0.25">
      <c r="A68" s="344">
        <f>+SUBTOTAL(3,$E$6:$E68)</f>
        <v>63</v>
      </c>
      <c r="B68" s="344" t="s">
        <v>800</v>
      </c>
      <c r="C68" s="344" t="str">
        <f>+VLOOKUP(B68,'Erection Compiled'!$C$7:$D$653,2,FALSE)</f>
        <v>DA+3</v>
      </c>
      <c r="D68" s="350">
        <v>45452</v>
      </c>
      <c r="E68" s="350">
        <v>45452</v>
      </c>
      <c r="F68" s="344" t="s">
        <v>1025</v>
      </c>
      <c r="G68" s="344" t="s">
        <v>1027</v>
      </c>
      <c r="H68" s="344" t="s">
        <v>1027</v>
      </c>
    </row>
    <row r="69" spans="1:8" x14ac:dyDescent="0.25">
      <c r="A69" s="344">
        <f>+SUBTOTAL(3,$E$6:$E69)</f>
        <v>64</v>
      </c>
      <c r="B69" s="344" t="s">
        <v>756</v>
      </c>
      <c r="C69" s="344" t="str">
        <f>+VLOOKUP(B69,'Erection Compiled'!$C$7:$D$653,2,FALSE)</f>
        <v>DA+3</v>
      </c>
      <c r="D69" s="350">
        <v>45453</v>
      </c>
      <c r="E69" s="350">
        <v>45453</v>
      </c>
      <c r="F69" s="344" t="s">
        <v>1026</v>
      </c>
      <c r="G69" s="344" t="s">
        <v>1027</v>
      </c>
      <c r="H69" s="344" t="s">
        <v>1027</v>
      </c>
    </row>
    <row r="70" spans="1:8" x14ac:dyDescent="0.25">
      <c r="A70" s="344">
        <f>+SUBTOTAL(3,$E$6:$E70)</f>
        <v>65</v>
      </c>
      <c r="B70" s="344" t="s">
        <v>100</v>
      </c>
      <c r="C70" s="344" t="str">
        <f>+VLOOKUP(B70,'Erection Compiled'!$C$7:$D$653,2,FALSE)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Compiled'!$C$7:$D$653,2,FALSE)</f>
        <v>DA+3</v>
      </c>
      <c r="D71" s="350">
        <v>45454</v>
      </c>
      <c r="E71" s="350">
        <v>45454</v>
      </c>
      <c r="F71" s="344" t="s">
        <v>1026</v>
      </c>
      <c r="G71" s="344" t="s">
        <v>1027</v>
      </c>
      <c r="H71" s="344" t="s">
        <v>1027</v>
      </c>
    </row>
    <row r="72" spans="1:8" x14ac:dyDescent="0.25">
      <c r="A72" s="344">
        <f>+SUBTOTAL(3,$E$6:$E72)</f>
        <v>67</v>
      </c>
      <c r="B72" s="344" t="s">
        <v>771</v>
      </c>
      <c r="C72" s="344" t="str">
        <f>+VLOOKUP(B72,'Erection Compiled'!$C$7:$D$653,2,FALSE)</f>
        <v>DA+3</v>
      </c>
      <c r="D72" s="350">
        <v>45456</v>
      </c>
      <c r="E72" s="350">
        <v>45456</v>
      </c>
      <c r="F72" s="344" t="s">
        <v>1026</v>
      </c>
      <c r="G72" s="344" t="s">
        <v>1027</v>
      </c>
      <c r="H72" s="344" t="s">
        <v>1027</v>
      </c>
    </row>
    <row r="73" spans="1:8" x14ac:dyDescent="0.25">
      <c r="A73" s="344">
        <f>+SUBTOTAL(3,$E$6:$E73)</f>
        <v>68</v>
      </c>
      <c r="B73" s="344" t="s">
        <v>770</v>
      </c>
      <c r="C73" s="344" t="str">
        <f>+VLOOKUP(B73,'Erection Compiled'!$C$7:$D$653,2,FALSE)</f>
        <v>DA+3</v>
      </c>
      <c r="D73" s="350">
        <v>45466</v>
      </c>
      <c r="E73" s="350">
        <v>45466</v>
      </c>
      <c r="F73" s="344" t="s">
        <v>1026</v>
      </c>
      <c r="G73" s="344" t="s">
        <v>1027</v>
      </c>
      <c r="H73" s="344" t="s">
        <v>1027</v>
      </c>
    </row>
    <row r="74" spans="1:8" x14ac:dyDescent="0.25">
      <c r="A74" s="344">
        <f>+SUBTOTAL(3,$E$6:$E74)</f>
        <v>69</v>
      </c>
      <c r="B74" s="344" t="s">
        <v>769</v>
      </c>
      <c r="C74" s="344" t="str">
        <f>+VLOOKUP(B74,'Erection Compiled'!$C$7:$D$653,2,FALSE)</f>
        <v>DA+3</v>
      </c>
      <c r="D74" s="350">
        <v>45468</v>
      </c>
      <c r="E74" s="350">
        <v>45468</v>
      </c>
      <c r="F74" s="344" t="s">
        <v>1026</v>
      </c>
      <c r="G74" s="344" t="s">
        <v>1027</v>
      </c>
      <c r="H74" s="344" t="s">
        <v>1027</v>
      </c>
    </row>
    <row r="75" spans="1:8" x14ac:dyDescent="0.25">
      <c r="A75" s="344">
        <f>+SUBTOTAL(3,$E$6:$E75)</f>
        <v>70</v>
      </c>
      <c r="B75" s="344" t="s">
        <v>768</v>
      </c>
      <c r="C75" s="344" t="str">
        <f>+VLOOKUP(B75,'Erection Compiled'!$C$7:$D$653,2,FALSE)</f>
        <v>DA+6</v>
      </c>
      <c r="D75" s="350">
        <v>45473</v>
      </c>
      <c r="E75" s="350">
        <v>45473</v>
      </c>
      <c r="F75" s="344" t="s">
        <v>1026</v>
      </c>
      <c r="G75" s="344" t="s">
        <v>1027</v>
      </c>
      <c r="H75" s="344" t="s">
        <v>1027</v>
      </c>
    </row>
    <row r="76" spans="1:8" x14ac:dyDescent="0.25">
      <c r="A76" s="344">
        <f>+SUBTOTAL(3,$E$6:$E76)</f>
        <v>71</v>
      </c>
      <c r="B76" s="344" t="s">
        <v>767</v>
      </c>
      <c r="C76" s="344" t="str">
        <f>+VLOOKUP(B76,'Erection Compiled'!$C$7:$D$653,2,FALSE)</f>
        <v>DA+9</v>
      </c>
      <c r="D76" s="350">
        <v>45474</v>
      </c>
      <c r="E76" s="350">
        <v>45474</v>
      </c>
      <c r="F76" s="344" t="s">
        <v>1025</v>
      </c>
      <c r="G76" s="344" t="s">
        <v>1027</v>
      </c>
      <c r="H76" s="344" t="s">
        <v>1027</v>
      </c>
    </row>
    <row r="77" spans="1:8" x14ac:dyDescent="0.25">
      <c r="A77" s="344">
        <f>+SUBTOTAL(3,$E$6:$E77)</f>
        <v>72</v>
      </c>
      <c r="B77" s="344" t="s">
        <v>766</v>
      </c>
      <c r="C77" s="344" t="str">
        <f>+VLOOKUP(B77,'Erection Compiled'!$C$7:$D$653,2,FALSE)</f>
        <v>DA+6</v>
      </c>
      <c r="D77" s="350">
        <v>45475</v>
      </c>
      <c r="E77" s="350">
        <v>45475</v>
      </c>
      <c r="F77" s="344" t="s">
        <v>1025</v>
      </c>
      <c r="G77" s="344" t="s">
        <v>1027</v>
      </c>
      <c r="H77" s="344" t="s">
        <v>1027</v>
      </c>
    </row>
    <row r="78" spans="1:8" x14ac:dyDescent="0.25">
      <c r="A78" s="344">
        <f>+SUBTOTAL(3,$E$6:$E78)</f>
        <v>73</v>
      </c>
      <c r="B78" s="344" t="s">
        <v>97</v>
      </c>
      <c r="C78" s="344" t="str">
        <f>+VLOOKUP(B78,'Erection Compiled'!$C$7:$D$653,2,FALSE)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Compiled'!$C$7:$D$653,2,FALSE)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Compiled'!$C$7:$D$653,2,FALSE)</f>
        <v>DA+0</v>
      </c>
      <c r="D80" s="350">
        <v>45527</v>
      </c>
      <c r="E80" s="350">
        <v>45527</v>
      </c>
      <c r="F80" s="344" t="s">
        <v>1025</v>
      </c>
      <c r="G80" s="344" t="s">
        <v>1027</v>
      </c>
      <c r="H80" s="344" t="s">
        <v>1027</v>
      </c>
    </row>
    <row r="81" spans="1:8" x14ac:dyDescent="0.25">
      <c r="A81" s="344">
        <f>+SUBTOTAL(3,$E$6:$E81)</f>
        <v>76</v>
      </c>
      <c r="B81" s="344" t="s">
        <v>742</v>
      </c>
      <c r="C81" s="344" t="str">
        <f>+VLOOKUP(B81,'Erection Compiled'!$C$7:$D$653,2,FALSE)</f>
        <v>DA+0</v>
      </c>
      <c r="D81" s="350">
        <v>45528</v>
      </c>
      <c r="E81" s="350">
        <v>45528</v>
      </c>
      <c r="F81" s="344" t="s">
        <v>1025</v>
      </c>
      <c r="G81" s="344" t="s">
        <v>1027</v>
      </c>
      <c r="H81" s="344" t="s">
        <v>1027</v>
      </c>
    </row>
    <row r="82" spans="1:8" x14ac:dyDescent="0.25">
      <c r="A82" s="344">
        <f>+SUBTOTAL(3,$E$6:$E82)</f>
        <v>77</v>
      </c>
      <c r="B82" s="344" t="s">
        <v>752</v>
      </c>
      <c r="C82" s="344" t="str">
        <f>+VLOOKUP(B82,'Erection Compiled'!$C$7:$D$653,2,FALSE)</f>
        <v>DA+3</v>
      </c>
      <c r="D82" s="350">
        <v>45531</v>
      </c>
      <c r="E82" s="350">
        <v>45531</v>
      </c>
      <c r="F82" s="344" t="s">
        <v>1025</v>
      </c>
      <c r="G82" s="344" t="s">
        <v>1027</v>
      </c>
      <c r="H82" s="344" t="s">
        <v>1027</v>
      </c>
    </row>
    <row r="83" spans="1:8" x14ac:dyDescent="0.25">
      <c r="A83" s="344">
        <f>+SUBTOTAL(3,$E$6:$E83)</f>
        <v>78</v>
      </c>
      <c r="B83" s="344" t="s">
        <v>749</v>
      </c>
      <c r="C83" s="344" t="str">
        <f>+VLOOKUP(B83,'Erection Compiled'!$C$7:$D$653,2,FALSE)</f>
        <v>DA+0</v>
      </c>
      <c r="D83" s="350">
        <v>45532</v>
      </c>
      <c r="E83" s="350">
        <v>45532</v>
      </c>
      <c r="F83" s="344" t="s">
        <v>1025</v>
      </c>
      <c r="G83" s="344" t="s">
        <v>1027</v>
      </c>
      <c r="H83" s="344" t="s">
        <v>1027</v>
      </c>
    </row>
    <row r="84" spans="1:8" x14ac:dyDescent="0.25">
      <c r="A84" s="344">
        <f>+SUBTOTAL(3,$E$6:$E84)</f>
        <v>79</v>
      </c>
      <c r="B84" s="344" t="s">
        <v>750</v>
      </c>
      <c r="C84" s="344" t="str">
        <f>+VLOOKUP(B84,'Erection Compiled'!$C$7:$D$653,2,FALSE)</f>
        <v>DA+0</v>
      </c>
      <c r="D84" s="350">
        <v>45534</v>
      </c>
      <c r="E84" s="350">
        <v>45534</v>
      </c>
      <c r="F84" s="344" t="s">
        <v>1025</v>
      </c>
      <c r="G84" s="344" t="s">
        <v>1027</v>
      </c>
      <c r="H84" s="344" t="s">
        <v>1027</v>
      </c>
    </row>
    <row r="85" spans="1:8" x14ac:dyDescent="0.25">
      <c r="A85" s="344">
        <f>+SUBTOTAL(3,$E$6:$E85)</f>
        <v>80</v>
      </c>
      <c r="B85" s="344" t="s">
        <v>751</v>
      </c>
      <c r="C85" s="344" t="str">
        <f>+VLOOKUP(B85,'Erection Compiled'!$C$7:$D$653,2,FALSE)</f>
        <v>DA+3</v>
      </c>
      <c r="D85" s="350">
        <v>45534</v>
      </c>
      <c r="E85" s="350">
        <v>45534</v>
      </c>
      <c r="F85" s="344" t="s">
        <v>1025</v>
      </c>
      <c r="G85" s="344" t="s">
        <v>1027</v>
      </c>
      <c r="H85" s="344" t="s">
        <v>1027</v>
      </c>
    </row>
    <row r="86" spans="1:8" x14ac:dyDescent="0.25">
      <c r="A86" s="344">
        <f>+SUBTOTAL(3,$E$6:$E86)</f>
        <v>81</v>
      </c>
      <c r="B86" s="344" t="s">
        <v>99</v>
      </c>
      <c r="C86" s="344" t="str">
        <f>+VLOOKUP(B86,'Erection Compiled'!$C$7:$D$653,2,FALSE)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Compiled'!$C$7:$D$653,2,FALSE)</f>
        <v>DA+3</v>
      </c>
      <c r="D87" s="350">
        <v>45558</v>
      </c>
      <c r="E87" s="350">
        <v>45559</v>
      </c>
      <c r="F87" s="344" t="s">
        <v>1025</v>
      </c>
      <c r="G87" s="344" t="s">
        <v>1027</v>
      </c>
      <c r="H87" s="344" t="s">
        <v>1027</v>
      </c>
    </row>
    <row r="88" spans="1:8" x14ac:dyDescent="0.25">
      <c r="A88" s="344">
        <f>+SUBTOTAL(3,$E$6:$E88)</f>
        <v>83</v>
      </c>
      <c r="B88" s="344" t="s">
        <v>794</v>
      </c>
      <c r="C88" s="344" t="str">
        <f>+VLOOKUP(B88,'Erection Compiled'!$C$7:$D$653,2,FALSE)</f>
        <v>DA+3</v>
      </c>
      <c r="D88" s="350">
        <v>45560</v>
      </c>
      <c r="E88" s="350">
        <v>45561</v>
      </c>
      <c r="F88" s="344" t="s">
        <v>1025</v>
      </c>
      <c r="G88" s="344" t="s">
        <v>1027</v>
      </c>
      <c r="H88" s="344" t="s">
        <v>1027</v>
      </c>
    </row>
    <row r="89" spans="1:8" x14ac:dyDescent="0.25">
      <c r="A89" s="344">
        <f>+SUBTOTAL(3,$E$6:$E89)</f>
        <v>84</v>
      </c>
      <c r="B89" s="344" t="s">
        <v>753</v>
      </c>
      <c r="C89" s="344" t="str">
        <f>+VLOOKUP(B89,'Erection Compiled'!$C$7:$D$653,2,FALSE)</f>
        <v>DA+3</v>
      </c>
      <c r="D89" s="350">
        <v>45570</v>
      </c>
      <c r="E89" s="350">
        <v>45571</v>
      </c>
      <c r="F89" s="344" t="s">
        <v>1025</v>
      </c>
      <c r="G89" s="344" t="s">
        <v>1027</v>
      </c>
      <c r="H89" s="344" t="s">
        <v>1027</v>
      </c>
    </row>
    <row r="90" spans="1:8" x14ac:dyDescent="0.25">
      <c r="A90" s="344">
        <f>+SUBTOTAL(3,$E$6:$E90)</f>
        <v>85</v>
      </c>
      <c r="B90" s="344" t="s">
        <v>707</v>
      </c>
      <c r="C90" s="344" t="str">
        <f>+VLOOKUP(B90,'Erection Compiled'!$C$7:$D$653,2,FALSE)</f>
        <v>DA+0</v>
      </c>
      <c r="D90" s="350">
        <v>45571</v>
      </c>
      <c r="E90" s="350">
        <v>45572</v>
      </c>
      <c r="F90" s="344" t="s">
        <v>1025</v>
      </c>
      <c r="G90" s="344" t="s">
        <v>1027</v>
      </c>
      <c r="H90" s="344" t="s">
        <v>1027</v>
      </c>
    </row>
    <row r="91" spans="1:8" x14ac:dyDescent="0.25">
      <c r="A91" s="344">
        <f>+SUBTOTAL(3,$E$6:$E91)</f>
        <v>86</v>
      </c>
      <c r="B91" s="344" t="s">
        <v>708</v>
      </c>
      <c r="C91" s="344" t="str">
        <f>+VLOOKUP(B91,'Erection Compiled'!$C$7:$D$653,2,FALSE)</f>
        <v>DA+0</v>
      </c>
      <c r="D91" s="350">
        <v>45574</v>
      </c>
      <c r="E91" s="350">
        <v>45574</v>
      </c>
      <c r="F91" s="344" t="s">
        <v>1025</v>
      </c>
      <c r="G91" s="344" t="s">
        <v>1027</v>
      </c>
      <c r="H91" s="344" t="s">
        <v>1027</v>
      </c>
    </row>
    <row r="92" spans="1:8" x14ac:dyDescent="0.25">
      <c r="A92" s="344">
        <f>+SUBTOTAL(3,$E$6:$E92)</f>
        <v>87</v>
      </c>
      <c r="B92" s="344" t="s">
        <v>92</v>
      </c>
      <c r="C92" s="344" t="str">
        <f>+VLOOKUP(B92,'Erection Compiled'!$C$7:$D$653,2,FALSE)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Compiled'!$C$7:$D$653,2,FALSE)</f>
        <v>DA+6</v>
      </c>
      <c r="D93" s="350">
        <v>45589</v>
      </c>
      <c r="E93" s="350">
        <v>45589</v>
      </c>
      <c r="F93" s="344" t="s">
        <v>1025</v>
      </c>
      <c r="G93" s="344" t="s">
        <v>1027</v>
      </c>
      <c r="H93" s="344" t="s">
        <v>1027</v>
      </c>
    </row>
    <row r="94" spans="1:8" x14ac:dyDescent="0.25">
      <c r="A94" s="344">
        <f>+SUBTOTAL(3,$E$6:$E94)</f>
        <v>89</v>
      </c>
      <c r="B94" s="344" t="s">
        <v>699</v>
      </c>
      <c r="C94" s="344" t="str">
        <f>+VLOOKUP(B94,'Erection Compiled'!$C$7:$D$653,2,FALSE)</f>
        <v>DA+6</v>
      </c>
      <c r="D94" s="350">
        <v>45590</v>
      </c>
      <c r="E94" s="350">
        <v>45590</v>
      </c>
      <c r="F94" s="344" t="s">
        <v>1025</v>
      </c>
      <c r="G94" s="344" t="s">
        <v>1027</v>
      </c>
      <c r="H94" s="344" t="s">
        <v>1027</v>
      </c>
    </row>
    <row r="95" spans="1:8" x14ac:dyDescent="0.25">
      <c r="A95" s="344">
        <f>+SUBTOTAL(3,$E$6:$E95)</f>
        <v>90</v>
      </c>
      <c r="B95" s="344" t="s">
        <v>710</v>
      </c>
      <c r="C95" s="344" t="str">
        <f>+VLOOKUP(B95,'Erection Compiled'!$C$7:$D$653,2,FALSE)</f>
        <v>DA+0</v>
      </c>
      <c r="D95" s="350">
        <v>45590</v>
      </c>
      <c r="E95" s="350">
        <v>45590</v>
      </c>
      <c r="F95" s="344" t="s">
        <v>1025</v>
      </c>
      <c r="G95" s="344" t="s">
        <v>1027</v>
      </c>
      <c r="H95" s="344" t="s">
        <v>1027</v>
      </c>
    </row>
    <row r="96" spans="1:8" x14ac:dyDescent="0.25">
      <c r="A96" s="344">
        <f>+SUBTOTAL(3,$E$6:$E96)</f>
        <v>91</v>
      </c>
      <c r="B96" s="346" t="s">
        <v>173</v>
      </c>
      <c r="C96" s="344" t="str">
        <f>+VLOOKUP(B96,'Erection Compiled'!$C$7:$D$653,2,FALSE)</f>
        <v>DA+3</v>
      </c>
      <c r="D96" s="350">
        <v>45591</v>
      </c>
      <c r="E96" s="350">
        <v>45591</v>
      </c>
      <c r="F96" s="344" t="s">
        <v>1028</v>
      </c>
      <c r="G96" s="344" t="s">
        <v>1027</v>
      </c>
      <c r="H96" s="344"/>
    </row>
    <row r="97" spans="1:8" x14ac:dyDescent="0.25">
      <c r="A97" s="344">
        <f>+SUBTOTAL(3,$E$6:$E97)</f>
        <v>92</v>
      </c>
      <c r="B97" s="346" t="s">
        <v>700</v>
      </c>
      <c r="C97" s="344" t="str">
        <f>+VLOOKUP(B97,'Erection Compiled'!$C$7:$D$653,2,FALSE)</f>
        <v>DA+9</v>
      </c>
      <c r="D97" s="350">
        <v>45593</v>
      </c>
      <c r="E97" s="350">
        <v>45593</v>
      </c>
      <c r="F97" s="344" t="s">
        <v>1025</v>
      </c>
      <c r="G97" s="344" t="s">
        <v>1027</v>
      </c>
      <c r="H97" s="344" t="s">
        <v>1027</v>
      </c>
    </row>
    <row r="98" spans="1:8" x14ac:dyDescent="0.25">
      <c r="A98" s="344">
        <f>+SUBTOTAL(3,$E$6:$E98)</f>
        <v>93</v>
      </c>
      <c r="B98" s="346" t="s">
        <v>819</v>
      </c>
      <c r="C98" s="344" t="str">
        <f>+VLOOKUP(B98,'Erection Compiled'!$C$7:$D$653,2,FALSE)</f>
        <v>DA+3</v>
      </c>
      <c r="D98" s="350">
        <v>45594</v>
      </c>
      <c r="E98" s="350">
        <v>45594</v>
      </c>
      <c r="F98" s="344" t="s">
        <v>1025</v>
      </c>
      <c r="G98" s="344" t="s">
        <v>1027</v>
      </c>
      <c r="H98" s="344" t="s">
        <v>1027</v>
      </c>
    </row>
    <row r="99" spans="1:8" x14ac:dyDescent="0.25">
      <c r="A99" s="344">
        <f>+SUBTOTAL(3,$E$6:$E99)</f>
        <v>94</v>
      </c>
      <c r="B99" s="346" t="s">
        <v>498</v>
      </c>
      <c r="C99" s="344" t="str">
        <f>+VLOOKUP(B99,'Erection Compiled'!$C$7:$D$653,2,FALSE)</f>
        <v>DA+3</v>
      </c>
      <c r="D99" s="350">
        <v>45591</v>
      </c>
      <c r="E99" s="350">
        <v>45594</v>
      </c>
      <c r="F99" s="344" t="s">
        <v>615</v>
      </c>
      <c r="G99" s="344" t="s">
        <v>1027</v>
      </c>
      <c r="H99" s="344"/>
    </row>
    <row r="100" spans="1:8" x14ac:dyDescent="0.25">
      <c r="A100" s="344">
        <f>+SUBTOTAL(3,$E$6:$E100)</f>
        <v>95</v>
      </c>
      <c r="B100" s="346" t="s">
        <v>174</v>
      </c>
      <c r="C100" s="344" t="str">
        <f>+VLOOKUP(B100,'Erection Compiled'!$C$7:$D$653,2,FALSE)</f>
        <v>DA+0</v>
      </c>
      <c r="D100" s="350">
        <v>45606</v>
      </c>
      <c r="E100" s="350">
        <v>45606</v>
      </c>
      <c r="F100" s="344" t="s">
        <v>615</v>
      </c>
      <c r="G100" s="344" t="s">
        <v>1027</v>
      </c>
      <c r="H100" s="344"/>
    </row>
    <row r="101" spans="1:8" x14ac:dyDescent="0.25">
      <c r="A101" s="344">
        <f>+SUBTOTAL(3,$E$6:$E101)</f>
        <v>96</v>
      </c>
      <c r="B101" s="344" t="s">
        <v>762</v>
      </c>
      <c r="C101" s="344" t="str">
        <f>+VLOOKUP(B101,'Erection Compiled'!$C$7:$D$653,2,FALSE)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Compiled'!$C$7:$D$653,2,FALSE)</f>
        <v>DA+0</v>
      </c>
      <c r="D102" s="350">
        <v>45608</v>
      </c>
      <c r="E102" s="350">
        <v>45608</v>
      </c>
      <c r="F102" s="344" t="s">
        <v>615</v>
      </c>
      <c r="G102" s="344" t="s">
        <v>1027</v>
      </c>
      <c r="H102" s="344"/>
    </row>
    <row r="103" spans="1:8" x14ac:dyDescent="0.25">
      <c r="A103" s="344">
        <f>+SUBTOTAL(3,$E$6:$E103)</f>
        <v>98</v>
      </c>
      <c r="B103" s="344" t="s">
        <v>705</v>
      </c>
      <c r="C103" s="344" t="str">
        <f>+VLOOKUP(B103,'Erection Compiled'!$C$7:$D$653,2,FALSE)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Compiled'!$C$7:$D$653,2,FALSE)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Compiled'!$C$7:$D$653,2,FALSE)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Compiled'!$C$7:$D$653,2,FALSE)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Compiled'!$C$7:$D$653,2,FALSE)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Compiled'!$C$7:$D$653,2,FALSE)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Compiled'!$C$7:$D$653,2,FALSE)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Compiled'!$C$7:$D$653,2,FALSE)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Compiled'!$C$7:$D$653,2,FALSE)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Compiled'!$C$7:$D$653,2,FALSE)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Compiled'!$C$7:$D$653,2,FALSE)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Compiled'!$C$7:$D$653,2,FALSE)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Compiled'!$C$7:$D$653,2,FALSE)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Compiled'!$C$7:$D$653,2,FALSE)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Compiled'!$C$7:$D$653,2,FALSE)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Compiled'!$C$7:$D$653,2,FALSE)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Compiled'!$C$7:$D$653,2,FALSE)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Compiled'!$C$7:$D$653,2,FALSE)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Compiled'!$C$7:$D$653,2,FALSE)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Compiled'!$C$7:$D$653,2,FALSE)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Compiled'!$C$7:$D$653,2,FALSE)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Compiled'!$C$7:$D$653,2,FALSE)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Compiled'!$C$7:$D$653,2,FALSE)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Compiled'!$C$7:$D$653,2,FALSE)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Compiled'!$C$7:$D$653,2,FALSE)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Compiled'!$C$7:$D$653,2,FALSE)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Compiled'!$C$7:$D$653,2,FALSE)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Compiled'!$C$7:$D$653,2,FALSE)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Compiled'!$C$7:$D$653,2,FALSE)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Compiled'!$C$7:$D$653,2,FALSE)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Compiled'!$C$7:$D$653,2,FALSE)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Compiled'!$C$7:$D$653,2,FALSE)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Compiled'!$C$7:$D$653,2,FALSE)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Compiled'!$C$7:$D$653,2,FALSE)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Compiled'!$C$7:$D$653,2,FALSE)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Compiled'!$C$7:$D$653,2,FALSE)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Compiled'!$C$7:$D$653,2,FALSE)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Compiled'!$C$7:$D$653,2,FALSE)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Compiled'!$C$7:$D$653,2,FALSE)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Compiled'!$C$7:$D$653,2,FALSE)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Compiled'!$C$7:$D$653,2,FALSE)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Compiled'!$C$7:$D$653,2,FALSE)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Compiled'!$C$7:$D$653,2,FALSE)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Compiled'!$C$7:$D$653,2,FALSE)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Compiled'!$C$7:$D$653,2,FALSE)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Compiled'!$C$7:$D$653,2,FALSE)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Compiled'!$C$7:$D$653,2,FALSE)</f>
        <v>DA+3</v>
      </c>
      <c r="D149" s="350">
        <v>45763</v>
      </c>
      <c r="E149" s="350">
        <v>45763</v>
      </c>
      <c r="F149" s="344" t="s">
        <v>1025</v>
      </c>
      <c r="G149" s="344" t="s">
        <v>1027</v>
      </c>
      <c r="H149" s="344"/>
    </row>
    <row r="150" spans="1:8" x14ac:dyDescent="0.25">
      <c r="A150" s="344">
        <f>+SUBTOTAL(3,$E$6:$E150)</f>
        <v>145</v>
      </c>
      <c r="B150" s="346" t="s">
        <v>687</v>
      </c>
      <c r="C150" s="344" t="str">
        <f>+VLOOKUP(B150,'Erection Compiled'!$C$7:$D$653,2,FALSE)</f>
        <v>DA+0</v>
      </c>
      <c r="D150" s="350">
        <v>45763</v>
      </c>
      <c r="E150" s="350">
        <v>45763</v>
      </c>
      <c r="F150" s="344" t="s">
        <v>1025</v>
      </c>
      <c r="G150" s="344" t="s">
        <v>1027</v>
      </c>
      <c r="H150" s="344"/>
    </row>
    <row r="151" spans="1:8" x14ac:dyDescent="0.25">
      <c r="A151" s="344">
        <f>+SUBTOTAL(3,$E$6:$E151)</f>
        <v>146</v>
      </c>
      <c r="B151" s="346" t="s">
        <v>95</v>
      </c>
      <c r="C151" s="344" t="str">
        <f>+VLOOKUP(B151,'Erection Compiled'!$C$7:$D$653,2,FALSE)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Compiled'!$C$7:$D$653,2,FALSE)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Compiled'!$C$7:$D$653,2,FALSE)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Compiled'!$C$7:$D$653,2,FALSE)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Compiled'!$C$7:$D$653,2,FALSE)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Compiled'!$C$7:$D$653,2,FALSE)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Compiled'!$C$7:$D$653,2,FALSE)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Compiled'!$C$7:$D$653,2,FALSE)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Compiled'!$C$7:$D$653,2,FALSE)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Compiled'!$C$7:$D$653,2,FALSE)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Compiled'!$C$7:$D$653,2,FALSE)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Compiled'!$C$7:$D$653,2,FALSE)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Compiled'!$C$7:$D$653,2,FALSE)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Compiled'!$C$7:$D$653,2,FALSE)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Compiled'!$C$7:$D$653,2,FALSE)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Compiled'!$C$7:$D$653,2,FALSE)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Compiled'!$C$7:$D$653,2,FALSE)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Compiled'!$C$7:$D$653,2,FALSE)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Compiled'!$C$7:$D$653,2,FALSE)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Compiled'!$C$7:$D$653,2,FALSE)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Compiled'!$C$7:$D$653,2,FALSE)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Compiled'!$C$7:$D$653,2,FALSE)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Compiled'!$C$7:$D$653,2,FALSE)</f>
        <v>DA+0</v>
      </c>
      <c r="D173" s="350">
        <v>45818</v>
      </c>
      <c r="E173" s="350">
        <v>45818</v>
      </c>
      <c r="F173" s="344" t="s">
        <v>1392</v>
      </c>
      <c r="G173" s="344" t="s">
        <v>1027</v>
      </c>
      <c r="H173" s="344"/>
    </row>
    <row r="174" spans="1:8" x14ac:dyDescent="0.25">
      <c r="A174" s="344">
        <f>+SUBTOTAL(3,$E$6:$E174)</f>
        <v>169</v>
      </c>
      <c r="B174" s="346" t="s">
        <v>503</v>
      </c>
      <c r="C174" s="344" t="str">
        <f>+VLOOKUP(B174,'Erection Compiled'!$C$7:$D$653,2,FALSE)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Compiled'!$C$7:$D$653,2,FALSE)</f>
        <v>DA+3</v>
      </c>
      <c r="D175" s="350">
        <v>45851</v>
      </c>
      <c r="E175" s="350">
        <v>45852</v>
      </c>
      <c r="F175" s="344" t="s">
        <v>1025</v>
      </c>
      <c r="G175" s="344" t="s">
        <v>1027</v>
      </c>
      <c r="H175" s="344"/>
    </row>
    <row r="176" spans="1:8" x14ac:dyDescent="0.25">
      <c r="A176" s="344">
        <f>+SUBTOTAL(3,$E$6:$E176)</f>
        <v>171</v>
      </c>
      <c r="B176" s="346" t="s">
        <v>726</v>
      </c>
      <c r="C176" s="344" t="str">
        <f>+VLOOKUP(B176,'Erection Compiled'!$C$7:$D$653,2,FALSE)</f>
        <v>DA+6</v>
      </c>
      <c r="D176" s="350">
        <v>45861</v>
      </c>
      <c r="E176" s="350">
        <v>45861</v>
      </c>
      <c r="F176" s="344" t="s">
        <v>1025</v>
      </c>
      <c r="G176" s="344" t="s">
        <v>1027</v>
      </c>
      <c r="H176" s="344"/>
    </row>
    <row r="177" spans="1:8" x14ac:dyDescent="0.25">
      <c r="A177" s="344">
        <f>+SUBTOTAL(3,$E$6:$E177)</f>
        <v>172</v>
      </c>
      <c r="B177" s="346" t="s">
        <v>852</v>
      </c>
      <c r="C177" s="344" t="str">
        <f>+VLOOKUP(B177,'Erection Compiled'!$C$7:$D$653,2,FALSE)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Compiled'!$C$7:$D$653,2,FALSE)</f>
        <v>DA+3</v>
      </c>
      <c r="D178" s="350">
        <v>45861</v>
      </c>
      <c r="E178" s="350">
        <v>45861</v>
      </c>
      <c r="F178" s="344" t="s">
        <v>1611</v>
      </c>
      <c r="G178" s="344" t="s">
        <v>1027</v>
      </c>
      <c r="H178" s="344" t="s">
        <v>1027</v>
      </c>
    </row>
    <row r="179" spans="1:8" x14ac:dyDescent="0.25">
      <c r="A179" s="344">
        <f>+SUBTOTAL(3,$E$6:$E179)</f>
        <v>174</v>
      </c>
      <c r="B179" s="346" t="s">
        <v>745</v>
      </c>
      <c r="C179" s="344" t="str">
        <f>+VLOOKUP(B179,'Erection Compiled'!$C$7:$D$653,2,FALSE)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Compiled'!$C$7:$D$653,2,FALSE)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Compiled'!$C$7:$D$653,2,FALSE)</f>
        <v>DA+0</v>
      </c>
      <c r="D181" s="350">
        <v>45902</v>
      </c>
      <c r="E181" s="350">
        <v>45902</v>
      </c>
      <c r="F181" s="344" t="s">
        <v>1025</v>
      </c>
      <c r="G181" s="344" t="s">
        <v>1027</v>
      </c>
      <c r="H181" s="344"/>
    </row>
    <row r="182" spans="1:8" x14ac:dyDescent="0.25">
      <c r="A182" s="344">
        <f>+SUBTOTAL(3,$E$6:$E182)</f>
        <v>177</v>
      </c>
      <c r="B182" s="346" t="s">
        <v>748</v>
      </c>
      <c r="C182" s="344" t="str">
        <f>+VLOOKUP(B182,'Erection Compiled'!$C$7:$D$653,2,FALSE)</f>
        <v>DA+3</v>
      </c>
      <c r="D182" s="350">
        <v>45902</v>
      </c>
      <c r="E182" s="350">
        <v>45902</v>
      </c>
      <c r="F182" s="344" t="s">
        <v>1025</v>
      </c>
      <c r="G182" s="344" t="s">
        <v>1027</v>
      </c>
      <c r="H182" s="344"/>
    </row>
    <row r="183" spans="1:8" x14ac:dyDescent="0.25">
      <c r="A183" s="344">
        <f>+SUBTOTAL(3,$E$6:$E183)</f>
        <v>178</v>
      </c>
      <c r="B183" s="346" t="s">
        <v>739</v>
      </c>
      <c r="C183" s="344" t="str">
        <f>+VLOOKUP(B183,'Erection Compiled'!$C$7:$D$653,2,FALSE)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Compiled'!$C$7:$D$653,2,FALSE)</f>
        <v>DD60+0</v>
      </c>
      <c r="D184" s="350">
        <v>45902</v>
      </c>
      <c r="E184" s="350">
        <v>45902</v>
      </c>
      <c r="F184" s="344" t="s">
        <v>1574</v>
      </c>
      <c r="G184" s="344" t="s">
        <v>1027</v>
      </c>
      <c r="H184" s="344" t="s">
        <v>1027</v>
      </c>
    </row>
    <row r="185" spans="1:8" x14ac:dyDescent="0.25">
      <c r="A185" s="344">
        <f>+SUBTOTAL(3,$E$6:$E185)</f>
        <v>180</v>
      </c>
      <c r="B185" s="346" t="s">
        <v>627</v>
      </c>
      <c r="C185" s="344" t="str">
        <f>+VLOOKUP(B185,'Erection Compiled'!$C$7:$D$653,2,FALSE)</f>
        <v>DA+6</v>
      </c>
      <c r="D185" s="350">
        <v>45903</v>
      </c>
      <c r="E185" s="350">
        <v>45903</v>
      </c>
      <c r="F185" s="344" t="s">
        <v>1574</v>
      </c>
      <c r="G185" s="344" t="s">
        <v>1027</v>
      </c>
      <c r="H185" s="344" t="s">
        <v>1027</v>
      </c>
    </row>
    <row r="186" spans="1:8" x14ac:dyDescent="0.25">
      <c r="A186" s="344">
        <f>+SUBTOTAL(3,$E$6:$E186)</f>
        <v>181</v>
      </c>
      <c r="B186" s="344" t="s">
        <v>629</v>
      </c>
      <c r="C186" s="344" t="str">
        <f>+VLOOKUP(B186,'Erection Compiled'!$C$7:$D$653,2,FALSE)</f>
        <v>DA+0</v>
      </c>
      <c r="D186" s="350">
        <v>45904</v>
      </c>
      <c r="E186" s="350">
        <v>45904</v>
      </c>
      <c r="F186" s="344" t="s">
        <v>1574</v>
      </c>
      <c r="G186" s="344" t="s">
        <v>1027</v>
      </c>
      <c r="H186" s="344" t="s">
        <v>1027</v>
      </c>
    </row>
    <row r="187" spans="1:8" x14ac:dyDescent="0.25">
      <c r="A187" s="344">
        <f>+SUBTOTAL(3,$E$6:$E187)</f>
        <v>182</v>
      </c>
      <c r="B187" s="344" t="s">
        <v>630</v>
      </c>
      <c r="C187" s="344" t="str">
        <f>+VLOOKUP(B187,'Erection Compiled'!$C$7:$D$653,2,FALSE)</f>
        <v>DA+3</v>
      </c>
      <c r="D187" s="350">
        <v>45905</v>
      </c>
      <c r="E187" s="350">
        <v>45905</v>
      </c>
      <c r="F187" s="344" t="s">
        <v>1574</v>
      </c>
      <c r="G187" s="344" t="s">
        <v>1027</v>
      </c>
      <c r="H187" s="344" t="s">
        <v>1027</v>
      </c>
    </row>
    <row r="188" spans="1:8" x14ac:dyDescent="0.25">
      <c r="A188" s="344">
        <f>+SUBTOTAL(3,$E$6:$E188)</f>
        <v>183</v>
      </c>
      <c r="B188" s="344" t="s">
        <v>631</v>
      </c>
      <c r="C188" s="344" t="str">
        <f>+VLOOKUP(B188,'Erection Compiled'!$C$7:$D$653,2,FALSE)</f>
        <v>DA+0</v>
      </c>
      <c r="D188" s="350">
        <v>45906</v>
      </c>
      <c r="E188" s="350">
        <v>45906</v>
      </c>
      <c r="F188" s="344" t="s">
        <v>1574</v>
      </c>
      <c r="G188" s="344" t="s">
        <v>1027</v>
      </c>
      <c r="H188" s="344" t="s">
        <v>1027</v>
      </c>
    </row>
    <row r="189" spans="1:8" x14ac:dyDescent="0.25">
      <c r="A189" s="344">
        <f>+SUBTOTAL(3,$E$6:$E189)</f>
        <v>184</v>
      </c>
      <c r="B189" s="344" t="s">
        <v>632</v>
      </c>
      <c r="C189" s="344" t="str">
        <f>+VLOOKUP(B189,'Erection Compiled'!$C$7:$D$653,2,FALSE)</f>
        <v>DA+0</v>
      </c>
      <c r="D189" s="350">
        <v>45907</v>
      </c>
      <c r="E189" s="350">
        <v>45907</v>
      </c>
      <c r="F189" s="344" t="s">
        <v>1574</v>
      </c>
      <c r="G189" s="344" t="s">
        <v>1027</v>
      </c>
      <c r="H189" s="344" t="s">
        <v>1027</v>
      </c>
    </row>
    <row r="190" spans="1:8" x14ac:dyDescent="0.25">
      <c r="A190" s="344">
        <f>+SUBTOTAL(3,$E$6:$E190)</f>
        <v>185</v>
      </c>
      <c r="B190" s="344" t="s">
        <v>634</v>
      </c>
      <c r="C190" s="344" t="str">
        <f>+VLOOKUP(B190,'Erection Compiled'!$C$7:$D$653,2,FALSE)</f>
        <v>DA+0</v>
      </c>
      <c r="D190" s="350">
        <v>45908</v>
      </c>
      <c r="E190" s="350">
        <v>45908</v>
      </c>
      <c r="F190" s="344" t="s">
        <v>1574</v>
      </c>
      <c r="G190" s="344" t="s">
        <v>1027</v>
      </c>
      <c r="H190" s="344" t="s">
        <v>1027</v>
      </c>
    </row>
    <row r="191" spans="1:8" x14ac:dyDescent="0.25">
      <c r="A191" s="344">
        <f>+SUBTOTAL(3,$E$6:$E191)</f>
        <v>186</v>
      </c>
      <c r="B191" s="344" t="s">
        <v>446</v>
      </c>
      <c r="C191" s="344" t="str">
        <f>+VLOOKUP(B191,'Erection Compiled'!$C$7:$D$653,2,FALSE)</f>
        <v>DC1+0</v>
      </c>
      <c r="D191" s="350">
        <v>45909</v>
      </c>
      <c r="E191" s="350">
        <v>45909</v>
      </c>
      <c r="F191" s="344" t="s">
        <v>1574</v>
      </c>
      <c r="G191" s="344" t="s">
        <v>1027</v>
      </c>
      <c r="H191" s="344" t="s">
        <v>1027</v>
      </c>
    </row>
    <row r="192" spans="1:8" x14ac:dyDescent="0.25">
      <c r="A192" s="344">
        <f>+SUBTOTAL(3,$E$6:$E192)</f>
        <v>187</v>
      </c>
      <c r="B192" s="346" t="s">
        <v>735</v>
      </c>
      <c r="C192" s="344" t="str">
        <f>+VLOOKUP(B192,'Erection Compiled'!$C$7:$D$653,2,FALSE)</f>
        <v>DA+6</v>
      </c>
      <c r="D192" s="350">
        <v>45924</v>
      </c>
      <c r="E192" s="350">
        <v>45924</v>
      </c>
      <c r="F192" s="344" t="s">
        <v>1025</v>
      </c>
      <c r="G192" s="344" t="s">
        <v>1027</v>
      </c>
      <c r="H192" s="344"/>
    </row>
    <row r="193" spans="1:8" x14ac:dyDescent="0.25">
      <c r="A193" s="344">
        <f>+SUBTOTAL(3,$E$6:$E193)</f>
        <v>188</v>
      </c>
      <c r="B193" s="346" t="s">
        <v>840</v>
      </c>
      <c r="C193" s="344" t="str">
        <f>+VLOOKUP(B193,'Erection Compiled'!$C$7:$D$653,2,FALSE)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Compiled'!$C$7:$D$653,2,FALSE)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Compiled'!$C$7:$D$653,2,FALSE)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Compiled'!$C$7:$D$653,2,FALSE)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Compiled'!$C$7:$D$653,2,FALSE)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Compiled'!$C$7:$D$653,2,FALSE)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Compiled'!$C$7:$D$653,2,FALSE)</f>
        <v>DA+3</v>
      </c>
      <c r="D199" s="350">
        <v>45949</v>
      </c>
      <c r="E199" s="350">
        <v>45949</v>
      </c>
      <c r="F199" s="344" t="s">
        <v>1611</v>
      </c>
      <c r="G199" s="344" t="s">
        <v>1027</v>
      </c>
      <c r="H199" s="344" t="s">
        <v>1027</v>
      </c>
    </row>
    <row r="200" spans="1:8" x14ac:dyDescent="0.25">
      <c r="A200" s="344">
        <f>+SUBTOTAL(3,$E$6:$E200)</f>
        <v>195</v>
      </c>
      <c r="B200" s="344" t="s">
        <v>448</v>
      </c>
      <c r="C200" s="344" t="str">
        <f>+VLOOKUP(B200,'Erection Compiled'!$C$7:$D$653,2,FALSE)</f>
        <v>DA+3</v>
      </c>
      <c r="D200" s="350">
        <v>45952</v>
      </c>
      <c r="E200" s="350">
        <v>45952</v>
      </c>
      <c r="F200" s="344" t="s">
        <v>1611</v>
      </c>
      <c r="G200" s="344" t="s">
        <v>1027</v>
      </c>
      <c r="H200" s="344" t="s">
        <v>1027</v>
      </c>
    </row>
    <row r="201" spans="1:8" x14ac:dyDescent="0.25">
      <c r="A201" s="344">
        <f>+SUBTOTAL(3,$E$6:$E201)</f>
        <v>196</v>
      </c>
      <c r="B201" s="344" t="s">
        <v>449</v>
      </c>
      <c r="C201" s="344" t="str">
        <f>+VLOOKUP(B201,'Erection Compiled'!$C$7:$D$653,2,FALSE)</f>
        <v>DA+3</v>
      </c>
      <c r="D201" s="350">
        <v>45953</v>
      </c>
      <c r="E201" s="350">
        <v>45953</v>
      </c>
      <c r="F201" s="344" t="s">
        <v>1611</v>
      </c>
      <c r="G201" s="344" t="s">
        <v>1027</v>
      </c>
      <c r="H201" s="344" t="s">
        <v>1027</v>
      </c>
    </row>
    <row r="202" spans="1:8" x14ac:dyDescent="0.25">
      <c r="A202" s="344">
        <f>+SUBTOTAL(3,$E$6:$E202)</f>
        <v>197</v>
      </c>
      <c r="B202" s="344" t="s">
        <v>156</v>
      </c>
      <c r="C202" s="344" t="str">
        <f>+VLOOKUP(B202,'Erection Compiled'!$C$7:$D$653,2,FALSE)</f>
        <v>DA+0</v>
      </c>
      <c r="D202" s="350">
        <v>45955</v>
      </c>
      <c r="E202" s="350">
        <v>45955</v>
      </c>
      <c r="F202" s="344" t="s">
        <v>1611</v>
      </c>
      <c r="G202" s="344" t="s">
        <v>1027</v>
      </c>
      <c r="H202" s="344" t="s">
        <v>1027</v>
      </c>
    </row>
    <row r="203" spans="1:8" x14ac:dyDescent="0.25">
      <c r="A203" s="344">
        <f>+SUBTOTAL(3,$E$6:$E203)</f>
        <v>198</v>
      </c>
      <c r="B203" s="344" t="s">
        <v>469</v>
      </c>
      <c r="C203" s="344" t="str">
        <f>+VLOOKUP(B203,'Erection Compiled'!$C$7:$D$653,2,FALSE)</f>
        <v>DA+3</v>
      </c>
      <c r="D203" s="350">
        <v>45956</v>
      </c>
      <c r="E203" s="350">
        <v>45956</v>
      </c>
      <c r="F203" s="344" t="s">
        <v>1611</v>
      </c>
      <c r="G203" s="344" t="s">
        <v>1027</v>
      </c>
      <c r="H203" s="344" t="s">
        <v>1027</v>
      </c>
    </row>
    <row r="204" spans="1:8" x14ac:dyDescent="0.25">
      <c r="A204" s="344">
        <f>+SUBTOTAL(3,$E$6:$E204)</f>
        <v>199</v>
      </c>
      <c r="B204" s="344" t="s">
        <v>158</v>
      </c>
      <c r="C204" s="344" t="str">
        <f>+VLOOKUP(B204,'Erection Compiled'!$C$7:$D$653,2,FALSE)</f>
        <v>DA+0</v>
      </c>
      <c r="D204" s="350">
        <v>45957</v>
      </c>
      <c r="E204" s="350">
        <v>45957</v>
      </c>
      <c r="F204" s="344" t="s">
        <v>1611</v>
      </c>
      <c r="G204" s="344" t="s">
        <v>1027</v>
      </c>
      <c r="H204" s="344" t="s">
        <v>1027</v>
      </c>
    </row>
    <row r="205" spans="1:8" x14ac:dyDescent="0.25">
      <c r="A205" s="344">
        <f>+SUBTOTAL(3,$E$6:$E205)</f>
        <v>200</v>
      </c>
      <c r="B205" s="344" t="s">
        <v>164</v>
      </c>
      <c r="C205" s="344" t="str">
        <f>+VLOOKUP(B205,'Erection Compiled'!$C$7:$D$653,2,FALSE)</f>
        <v>DB1+0</v>
      </c>
      <c r="D205" s="350">
        <v>45958</v>
      </c>
      <c r="E205" s="350">
        <v>45958</v>
      </c>
      <c r="F205" s="344" t="s">
        <v>1611</v>
      </c>
      <c r="G205" s="344" t="s">
        <v>1027</v>
      </c>
      <c r="H205" s="344" t="s">
        <v>1027</v>
      </c>
    </row>
    <row r="206" spans="1:8" x14ac:dyDescent="0.25">
      <c r="A206" s="344">
        <f>+SUBTOTAL(3,$E$6:$E206)</f>
        <v>201</v>
      </c>
      <c r="B206" s="344" t="s">
        <v>170</v>
      </c>
      <c r="C206" s="344" t="str">
        <f>+VLOOKUP(B206,'Erection Compiled'!$C$7:$D$653,2,FALSE)</f>
        <v>DA+0</v>
      </c>
      <c r="D206" s="350">
        <v>45959</v>
      </c>
      <c r="E206" s="350">
        <v>45959</v>
      </c>
      <c r="F206" s="344" t="s">
        <v>1611</v>
      </c>
      <c r="G206" s="344" t="s">
        <v>1027</v>
      </c>
      <c r="H206" s="344" t="s">
        <v>1027</v>
      </c>
    </row>
    <row r="207" spans="1:8" x14ac:dyDescent="0.25">
      <c r="A207" s="344">
        <f>+SUBTOTAL(3,$E$6:$E207)</f>
        <v>202</v>
      </c>
      <c r="B207" s="344" t="s">
        <v>171</v>
      </c>
      <c r="C207" s="344" t="str">
        <f>+VLOOKUP(B207,'Erection Compiled'!$C$7:$D$653,2,FALSE)</f>
        <v>DB1+0</v>
      </c>
      <c r="D207" s="350">
        <v>45960</v>
      </c>
      <c r="E207" s="350">
        <v>45960</v>
      </c>
      <c r="F207" s="344" t="s">
        <v>1611</v>
      </c>
      <c r="G207" s="344" t="s">
        <v>1027</v>
      </c>
      <c r="H207" s="344"/>
    </row>
    <row r="208" spans="1:8" x14ac:dyDescent="0.25">
      <c r="A208" s="344">
        <f>+SUBTOTAL(3,$E$6:$E208)</f>
        <v>203</v>
      </c>
      <c r="B208" s="344" t="s">
        <v>489</v>
      </c>
      <c r="C208" s="344" t="str">
        <f>+VLOOKUP(B208,'Erection Compiled'!$C$7:$D$653,2,FALSE)</f>
        <v>DA+3</v>
      </c>
      <c r="D208" s="350">
        <v>45961</v>
      </c>
      <c r="E208" s="350">
        <v>45961</v>
      </c>
      <c r="F208" s="344" t="s">
        <v>1611</v>
      </c>
      <c r="G208" s="344" t="s">
        <v>1027</v>
      </c>
      <c r="H208" s="344" t="s">
        <v>1027</v>
      </c>
    </row>
    <row r="209" spans="1:8" x14ac:dyDescent="0.25">
      <c r="A209" s="344">
        <f>+SUBTOTAL(3,$E$6:$E209)</f>
        <v>204</v>
      </c>
      <c r="B209" s="346" t="s">
        <v>716</v>
      </c>
      <c r="C209" s="344" t="str">
        <f>+VLOOKUP(B209,'Erection Compiled'!$C$7:$D$653,2,FALSE)</f>
        <v>DA+9</v>
      </c>
      <c r="D209" s="350">
        <v>45968</v>
      </c>
      <c r="E209" s="350">
        <v>45968</v>
      </c>
      <c r="F209" s="344" t="s">
        <v>1025</v>
      </c>
      <c r="G209" s="344" t="s">
        <v>1027</v>
      </c>
      <c r="H209" s="344"/>
    </row>
    <row r="210" spans="1:8" x14ac:dyDescent="0.25">
      <c r="A210" s="344">
        <f>+SUBTOTAL(3,$E$6:$E210)</f>
        <v>205</v>
      </c>
      <c r="B210" s="346" t="s">
        <v>713</v>
      </c>
      <c r="C210" s="344" t="str">
        <f>+VLOOKUP(B210,'Erection Compiled'!$C$7:$D$653,2,FALSE)</f>
        <v>DA+6</v>
      </c>
      <c r="D210" s="350">
        <v>45968</v>
      </c>
      <c r="E210" s="350">
        <v>45968</v>
      </c>
      <c r="F210" s="344" t="s">
        <v>1025</v>
      </c>
      <c r="G210" s="344" t="s">
        <v>1027</v>
      </c>
      <c r="H210" s="344"/>
    </row>
    <row r="211" spans="1:8" x14ac:dyDescent="0.25">
      <c r="A211" s="344">
        <f>+SUBTOTAL(3,$E$6:$E211)</f>
        <v>206</v>
      </c>
      <c r="B211" s="346" t="s">
        <v>714</v>
      </c>
      <c r="C211" s="344" t="str">
        <f>+VLOOKUP(B211,'Erection Compiled'!$C$7:$D$653,2,FALSE)</f>
        <v>DA+6</v>
      </c>
      <c r="D211" s="350">
        <v>45968</v>
      </c>
      <c r="E211" s="350">
        <v>45968</v>
      </c>
      <c r="F211" s="344" t="s">
        <v>1025</v>
      </c>
      <c r="G211" s="344" t="s">
        <v>1027</v>
      </c>
      <c r="H211" s="344"/>
    </row>
    <row r="212" spans="1:8" x14ac:dyDescent="0.25">
      <c r="A212" s="344">
        <f>+SUBTOTAL(3,$E$6:$E212)</f>
        <v>207</v>
      </c>
      <c r="B212" s="346" t="s">
        <v>539</v>
      </c>
      <c r="C212" s="344" t="str">
        <f>+VLOOKUP(B212,'Erection Compiled'!$C$7:$D$653,2,FALSE)</f>
        <v>DA+9</v>
      </c>
      <c r="D212" s="350">
        <v>45973</v>
      </c>
      <c r="E212" s="350">
        <v>45973</v>
      </c>
      <c r="F212" s="344" t="s">
        <v>1025</v>
      </c>
      <c r="G212" s="344" t="s">
        <v>1027</v>
      </c>
      <c r="H212" s="344"/>
    </row>
    <row r="213" spans="1:8" x14ac:dyDescent="0.25">
      <c r="A213" s="344">
        <f>+SUBTOTAL(3,$E$6:$E213)</f>
        <v>208</v>
      </c>
      <c r="B213" s="346" t="s">
        <v>541</v>
      </c>
      <c r="C213" s="344" t="str">
        <f>+VLOOKUP(B213,'Erection Compiled'!$C$7:$D$653,2,FALSE)</f>
        <v>DA+0</v>
      </c>
      <c r="D213" s="350">
        <v>45975</v>
      </c>
      <c r="E213" s="350">
        <v>45975</v>
      </c>
      <c r="F213" s="344" t="s">
        <v>1025</v>
      </c>
      <c r="G213" s="344" t="s">
        <v>1027</v>
      </c>
      <c r="H213" s="344"/>
    </row>
    <row r="214" spans="1:8" x14ac:dyDescent="0.25">
      <c r="A214" s="344">
        <f>+SUBTOTAL(3,$E$6:$E214)</f>
        <v>209</v>
      </c>
      <c r="B214" s="346" t="s">
        <v>542</v>
      </c>
      <c r="C214" s="344" t="str">
        <f>+VLOOKUP(B214,'Erection Compiled'!$C$7:$D$653,2,FALSE)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Compiled'!$C$7:$D$653,2,FALSE)</f>
        <v>DA+0</v>
      </c>
      <c r="D215" s="350">
        <v>45977</v>
      </c>
      <c r="E215" s="350">
        <v>45977</v>
      </c>
      <c r="F215" s="344" t="s">
        <v>1629</v>
      </c>
      <c r="G215" s="344" t="s">
        <v>1027</v>
      </c>
      <c r="H215" s="344" t="s">
        <v>1027</v>
      </c>
    </row>
    <row r="216" spans="1:8" x14ac:dyDescent="0.25">
      <c r="A216" s="344">
        <f>+SUBTOTAL(3,$E$6:$E216)</f>
        <v>211</v>
      </c>
      <c r="B216" s="346" t="s">
        <v>198</v>
      </c>
      <c r="C216" s="344" t="str">
        <f>+VLOOKUP(B216,'Erection Compiled'!$C$7:$D$653,2,FALSE)</f>
        <v>DA+6</v>
      </c>
      <c r="D216" s="350">
        <v>45978</v>
      </c>
      <c r="E216" s="350">
        <v>45978</v>
      </c>
      <c r="F216" s="344" t="s">
        <v>1629</v>
      </c>
      <c r="G216" s="344" t="s">
        <v>1027</v>
      </c>
      <c r="H216" s="344" t="s">
        <v>1027</v>
      </c>
    </row>
    <row r="217" spans="1:8" x14ac:dyDescent="0.25">
      <c r="A217" s="344">
        <f>+SUBTOTAL(3,$E$6:$E217)</f>
        <v>212</v>
      </c>
      <c r="B217" s="346" t="s">
        <v>199</v>
      </c>
      <c r="C217" s="344" t="str">
        <f>+VLOOKUP(B217,'Erection Compiled'!$C$7:$D$653,2,FALSE)</f>
        <v>DA+0</v>
      </c>
      <c r="D217" s="350">
        <v>45979</v>
      </c>
      <c r="E217" s="350">
        <v>45979</v>
      </c>
      <c r="F217" s="344" t="s">
        <v>1629</v>
      </c>
      <c r="G217" s="344" t="s">
        <v>1027</v>
      </c>
      <c r="H217" s="344" t="s">
        <v>1027</v>
      </c>
    </row>
    <row r="218" spans="1:8" x14ac:dyDescent="0.25">
      <c r="A218" s="344">
        <f>+SUBTOTAL(3,$E$6:$E218)</f>
        <v>213</v>
      </c>
      <c r="B218" s="346" t="s">
        <v>200</v>
      </c>
      <c r="C218" s="344" t="str">
        <f>+VLOOKUP(B218,'Erection Compiled'!$C$7:$D$653,2,FALSE)</f>
        <v>DA+3</v>
      </c>
      <c r="D218" s="350">
        <v>45979</v>
      </c>
      <c r="E218" s="350">
        <v>45979</v>
      </c>
      <c r="F218" s="344" t="s">
        <v>1629</v>
      </c>
      <c r="G218" s="344" t="s">
        <v>1027</v>
      </c>
      <c r="H218" s="344" t="s">
        <v>1027</v>
      </c>
    </row>
    <row r="219" spans="1:8" x14ac:dyDescent="0.25">
      <c r="A219" s="344">
        <f>+SUBTOTAL(3,$E$6:$E219)</f>
        <v>214</v>
      </c>
      <c r="B219" s="344" t="s">
        <v>202</v>
      </c>
      <c r="C219" s="344" t="str">
        <f>+VLOOKUP(B219,'Erection Compiled'!$C$7:$D$653,2,FALSE)</f>
        <v>DA+3</v>
      </c>
      <c r="D219" s="350">
        <v>45980</v>
      </c>
      <c r="E219" s="350">
        <v>45980</v>
      </c>
      <c r="F219" s="344" t="s">
        <v>1629</v>
      </c>
      <c r="G219" s="344" t="s">
        <v>1027</v>
      </c>
      <c r="H219" s="344" t="s">
        <v>1027</v>
      </c>
    </row>
    <row r="220" spans="1:8" x14ac:dyDescent="0.25">
      <c r="A220" s="344">
        <f>+SUBTOTAL(3,$E$6:$E220)</f>
        <v>215</v>
      </c>
      <c r="B220" s="344" t="s">
        <v>27</v>
      </c>
      <c r="C220" s="344" t="str">
        <f>+VLOOKUP(B220,'Erection Compiled'!$C$7:$D$653,2,FALSE)</f>
        <v>DA+0</v>
      </c>
      <c r="D220" s="350">
        <v>45980</v>
      </c>
      <c r="E220" s="350">
        <v>45980</v>
      </c>
      <c r="F220" s="344" t="s">
        <v>1629</v>
      </c>
      <c r="G220" s="344" t="s">
        <v>1027</v>
      </c>
      <c r="H220" s="344" t="s">
        <v>1027</v>
      </c>
    </row>
    <row r="221" spans="1:8" x14ac:dyDescent="0.25">
      <c r="A221" s="344">
        <f>+SUBTOTAL(3,$E$6:$E221)</f>
        <v>216</v>
      </c>
      <c r="B221" s="344" t="s">
        <v>79</v>
      </c>
      <c r="C221" s="344" t="str">
        <f>+VLOOKUP(B221,'Erection Compiled'!$C$7:$D$653,2,FALSE)</f>
        <v>DA+0</v>
      </c>
      <c r="D221" s="350">
        <v>45980</v>
      </c>
      <c r="E221" s="350">
        <v>45980</v>
      </c>
      <c r="F221" s="344" t="s">
        <v>1629</v>
      </c>
      <c r="G221" s="344" t="s">
        <v>1027</v>
      </c>
      <c r="H221" s="344" t="s">
        <v>1027</v>
      </c>
    </row>
    <row r="222" spans="1:8" x14ac:dyDescent="0.25">
      <c r="A222" s="344">
        <f>+SUBTOTAL(3,$E$6:$E222)</f>
        <v>217</v>
      </c>
      <c r="B222" s="344" t="s">
        <v>81</v>
      </c>
      <c r="C222" s="344" t="str">
        <f>+VLOOKUP(B222,'Erection Compiled'!$C$7:$D$653,2,FALSE)</f>
        <v>DA+3</v>
      </c>
      <c r="D222" s="350">
        <v>45980</v>
      </c>
      <c r="E222" s="350">
        <v>45980</v>
      </c>
      <c r="F222" s="344" t="s">
        <v>1629</v>
      </c>
      <c r="G222" s="344" t="s">
        <v>1027</v>
      </c>
      <c r="H222" s="344" t="s">
        <v>1027</v>
      </c>
    </row>
    <row r="223" spans="1:8" x14ac:dyDescent="0.25">
      <c r="A223" s="344">
        <f>+SUBTOTAL(3,$E$6:$E223)</f>
        <v>218</v>
      </c>
      <c r="B223" s="346" t="s">
        <v>72</v>
      </c>
      <c r="C223" s="344" t="str">
        <f>+VLOOKUP(B223,'Erection Compiled'!$C$7:$D$653,2,FALSE)</f>
        <v>DA+0</v>
      </c>
      <c r="D223" s="350">
        <v>45987</v>
      </c>
      <c r="E223" s="350">
        <v>45987</v>
      </c>
      <c r="F223" s="344" t="s">
        <v>1629</v>
      </c>
      <c r="G223" s="344" t="s">
        <v>1027</v>
      </c>
      <c r="H223" s="344" t="s">
        <v>1027</v>
      </c>
    </row>
    <row r="224" spans="1:8" x14ac:dyDescent="0.25">
      <c r="A224" s="344">
        <f>+SUBTOTAL(3,$E$6:$E224)</f>
        <v>219</v>
      </c>
      <c r="B224" s="346" t="s">
        <v>70</v>
      </c>
      <c r="C224" s="344" t="str">
        <f>+VLOOKUP(B224,'Erection Compiled'!$C$7:$D$653,2,FALSE)</f>
        <v>DB2+0</v>
      </c>
      <c r="D224" s="350">
        <v>45988</v>
      </c>
      <c r="E224" s="350">
        <v>45988</v>
      </c>
      <c r="F224" s="344" t="s">
        <v>1629</v>
      </c>
      <c r="G224" s="344" t="s">
        <v>1027</v>
      </c>
      <c r="H224" s="344" t="s">
        <v>1027</v>
      </c>
    </row>
    <row r="225" spans="1:8" x14ac:dyDescent="0.25">
      <c r="A225" s="344">
        <f>+SUBTOTAL(3,$E$6:$E225)</f>
        <v>220</v>
      </c>
      <c r="B225" s="346" t="s">
        <v>66</v>
      </c>
      <c r="C225" s="344" t="str">
        <f>+VLOOKUP(B225,'Erection Compiled'!$C$7:$D$653,2,FALSE)</f>
        <v>DA+3</v>
      </c>
      <c r="D225" s="350">
        <v>45988</v>
      </c>
      <c r="E225" s="350">
        <v>45988</v>
      </c>
      <c r="F225" s="344" t="s">
        <v>1629</v>
      </c>
      <c r="G225" s="344" t="s">
        <v>1027</v>
      </c>
      <c r="H225" s="344" t="s">
        <v>1027</v>
      </c>
    </row>
    <row r="226" spans="1:8" x14ac:dyDescent="0.25">
      <c r="A226" s="344">
        <f>+SUBTOTAL(3,$E$6:$E226)</f>
        <v>221</v>
      </c>
      <c r="B226" s="346" t="s">
        <v>65</v>
      </c>
      <c r="C226" s="344" t="str">
        <f>+VLOOKUP(B226,'Erection Compiled'!$C$7:$D$653,2,FALSE)</f>
        <v>DA+3</v>
      </c>
      <c r="D226" s="350">
        <v>45988</v>
      </c>
      <c r="E226" s="350">
        <v>45988</v>
      </c>
      <c r="F226" s="344" t="s">
        <v>1629</v>
      </c>
      <c r="G226" s="344" t="s">
        <v>1027</v>
      </c>
      <c r="H226" s="344" t="s">
        <v>1027</v>
      </c>
    </row>
    <row r="227" spans="1:8" x14ac:dyDescent="0.25">
      <c r="A227" s="344">
        <f>+SUBTOTAL(3,$E$6:$E227)</f>
        <v>222</v>
      </c>
      <c r="B227" s="344" t="s">
        <v>105</v>
      </c>
      <c r="C227" s="344" t="str">
        <f>+VLOOKUP(B227,'Erection Compiled'!$C$7:$D$653,2,FALSE)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Compiled'!$C$7:$D$653,2,FALSE)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Compiled'!$C$7:$D$653,2,FALSE)</f>
        <v>DA+9</v>
      </c>
      <c r="D229" s="350">
        <v>45998</v>
      </c>
      <c r="E229" s="350">
        <v>45998</v>
      </c>
      <c r="F229" s="344" t="s">
        <v>1629</v>
      </c>
      <c r="G229" s="344" t="s">
        <v>1027</v>
      </c>
      <c r="H229" s="344" t="s">
        <v>1027</v>
      </c>
    </row>
    <row r="230" spans="1:8" x14ac:dyDescent="0.25">
      <c r="A230" s="344">
        <f>+SUBTOTAL(3,$E$6:$E230)</f>
        <v>225</v>
      </c>
      <c r="B230" s="344" t="s">
        <v>83</v>
      </c>
      <c r="C230" s="344" t="str">
        <f>+VLOOKUP(B230,'Erection Compiled'!$C$7:$D$653,2,FALSE)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Compiled'!$C$7:$D$653,2,FALSE)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Compiled'!$C$7:$D$653,2,FALSE)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Compiled'!$C$7:$D$653,2,FALSE)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Compiled'!$C$7:$D$653,2,FALSE)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Compiled'!$C$7:$D$653,2,FALSE)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Compiled'!$C$7:$D$653,2,FALSE)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Compiled'!$C$7:$D$653,2,FALSE)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Compiled'!$C$7:$D$653,2,FALSE)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Compiled'!$C$7:$D$653,2,FALSE)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Compiled'!$C$7:$D$653,2,FALSE)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Compiled'!$C$7:$D$653,2,FALSE)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Compiled'!$C$7:$D$653,2,FALSE)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Compiled'!$C$7:$D$653,2,FALSE)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Compiled'!$C$7:$D$653,2,FALSE)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Compiled'!$C$7:$D$653,2,FALSE)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Compiled'!$C$7:$D$653,2,FALSE)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Compiled'!$C$7:$D$653,2,FALSE)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Compiled'!$C$7:$D$653,2,FALSE)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Compiled'!$C$7:$D$653,2,FALSE)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Compiled'!$C$7:$D$653,2,FALSE)</f>
        <v>DA+3</v>
      </c>
      <c r="D250" s="350">
        <v>46006</v>
      </c>
      <c r="E250" s="350">
        <v>46006</v>
      </c>
      <c r="F250" s="344" t="s">
        <v>1611</v>
      </c>
      <c r="G250" s="344" t="s">
        <v>1027</v>
      </c>
      <c r="H250" s="344" t="s">
        <v>1027</v>
      </c>
    </row>
    <row r="251" spans="1:8" x14ac:dyDescent="0.25">
      <c r="A251" s="344">
        <f>+SUBTOTAL(3,$E$6:$E251)</f>
        <v>246</v>
      </c>
      <c r="B251" s="344" t="s">
        <v>452</v>
      </c>
      <c r="C251" s="344" t="str">
        <f>+VLOOKUP(B251,'Erection Compiled'!$C$7:$D$653,2,FALSE)</f>
        <v>DA+3</v>
      </c>
      <c r="D251" s="350">
        <v>46007</v>
      </c>
      <c r="E251" s="350">
        <v>46007</v>
      </c>
      <c r="F251" s="344" t="s">
        <v>1611</v>
      </c>
      <c r="G251" s="344" t="s">
        <v>1027</v>
      </c>
      <c r="H251" s="344" t="s">
        <v>1027</v>
      </c>
    </row>
    <row r="252" spans="1:8" x14ac:dyDescent="0.25">
      <c r="A252" s="344">
        <f>+SUBTOTAL(3,$E$6:$E252)</f>
        <v>247</v>
      </c>
      <c r="B252" s="344" t="s">
        <v>454</v>
      </c>
      <c r="C252" s="344" t="str">
        <f>+VLOOKUP(B252,'Erection Compiled'!$C$7:$D$653,2,FALSE)</f>
        <v>DA+0</v>
      </c>
      <c r="D252" s="350">
        <v>46008</v>
      </c>
      <c r="E252" s="350">
        <v>46008</v>
      </c>
      <c r="F252" s="344" t="s">
        <v>1611</v>
      </c>
      <c r="G252" s="344" t="s">
        <v>1027</v>
      </c>
      <c r="H252" s="344" t="s">
        <v>1027</v>
      </c>
    </row>
    <row r="253" spans="1:8" x14ac:dyDescent="0.25">
      <c r="A253" s="344">
        <f>+SUBTOTAL(3,$E$6:$E253)</f>
        <v>248</v>
      </c>
      <c r="B253" s="344" t="s">
        <v>154</v>
      </c>
      <c r="C253" s="344" t="str">
        <f>+VLOOKUP(B253,'Erection Compiled'!$C$7:$D$653,2,FALSE)</f>
        <v>DA+3</v>
      </c>
      <c r="D253" s="350">
        <v>46009</v>
      </c>
      <c r="E253" s="350">
        <v>46009</v>
      </c>
      <c r="F253" s="344" t="s">
        <v>1629</v>
      </c>
      <c r="G253" s="344" t="s">
        <v>1027</v>
      </c>
      <c r="H253" s="344" t="s">
        <v>1027</v>
      </c>
    </row>
    <row r="254" spans="1:8" x14ac:dyDescent="0.25">
      <c r="A254" s="344">
        <f>+SUBTOTAL(3,$E$6:$E254)</f>
        <v>249</v>
      </c>
      <c r="B254" s="344" t="s">
        <v>502</v>
      </c>
      <c r="C254" s="344" t="str">
        <f>+VLOOKUP(B254,'Erection Compiled'!$C$7:$D$653,2,FALSE)</f>
        <v>DA+3</v>
      </c>
      <c r="D254" s="350">
        <v>46010</v>
      </c>
      <c r="E254" s="350">
        <v>46010</v>
      </c>
      <c r="F254" s="344" t="s">
        <v>1646</v>
      </c>
      <c r="G254" s="344" t="s">
        <v>1027</v>
      </c>
      <c r="H254" s="344" t="s">
        <v>1027</v>
      </c>
    </row>
    <row r="255" spans="1:8" x14ac:dyDescent="0.25">
      <c r="A255" s="344">
        <f>+SUBTOTAL(3,$E$6:$E255)</f>
        <v>250</v>
      </c>
      <c r="B255" s="344" t="s">
        <v>64</v>
      </c>
      <c r="C255" s="344" t="str">
        <f>+VLOOKUP(B255,'Erection Compiled'!$C$7:$D$653,2,FALSE)</f>
        <v>DA+3</v>
      </c>
      <c r="D255" s="350">
        <v>46011</v>
      </c>
      <c r="E255" s="350">
        <v>46011</v>
      </c>
      <c r="F255" s="344" t="s">
        <v>1629</v>
      </c>
      <c r="G255" s="344" t="s">
        <v>1027</v>
      </c>
      <c r="H255" s="344" t="s">
        <v>1027</v>
      </c>
    </row>
    <row r="256" spans="1:8" x14ac:dyDescent="0.25">
      <c r="A256" s="344">
        <f>+SUBTOTAL(3,$E$6:$E256)</f>
        <v>251</v>
      </c>
      <c r="B256" s="344" t="s">
        <v>67</v>
      </c>
      <c r="C256" s="344" t="str">
        <f>+VLOOKUP(B256,'Erection Compiled'!$C$7:$D$653,2,FALSE)</f>
        <v>DA+3</v>
      </c>
      <c r="D256" s="350">
        <v>46012</v>
      </c>
      <c r="E256" s="350">
        <v>46012</v>
      </c>
      <c r="F256" s="344" t="s">
        <v>1629</v>
      </c>
      <c r="G256" s="344" t="s">
        <v>1027</v>
      </c>
      <c r="H256" s="344" t="s">
        <v>1027</v>
      </c>
    </row>
    <row r="257" spans="1:8" x14ac:dyDescent="0.25">
      <c r="A257" s="344">
        <f>+SUBTOTAL(3,$E$6:$E257)</f>
        <v>252</v>
      </c>
      <c r="B257" s="344" t="s">
        <v>187</v>
      </c>
      <c r="C257" s="344" t="str">
        <f>+VLOOKUP(B257,'Erection Compiled'!$C$7:$D$653,2,FALSE)</f>
        <v>DA+0</v>
      </c>
      <c r="D257" s="350">
        <v>46013</v>
      </c>
      <c r="E257" s="350">
        <v>46013</v>
      </c>
      <c r="F257" s="344" t="s">
        <v>1629</v>
      </c>
      <c r="G257" s="344" t="s">
        <v>1027</v>
      </c>
      <c r="H257" s="344" t="s">
        <v>1027</v>
      </c>
    </row>
    <row r="258" spans="1:8" x14ac:dyDescent="0.25">
      <c r="A258" s="344">
        <f>+SUBTOTAL(3,$E$6:$E258)</f>
        <v>253</v>
      </c>
      <c r="B258" s="344" t="s">
        <v>190</v>
      </c>
      <c r="C258" s="344" t="str">
        <f>+VLOOKUP(B258,'Erection Compiled'!$C$7:$D$653,2,FALSE)</f>
        <v>DA+3</v>
      </c>
      <c r="D258" s="350">
        <v>46014</v>
      </c>
      <c r="E258" s="350">
        <v>46014</v>
      </c>
      <c r="F258" s="344" t="s">
        <v>1629</v>
      </c>
      <c r="G258" s="344" t="s">
        <v>1027</v>
      </c>
      <c r="H258" s="344" t="s">
        <v>1027</v>
      </c>
    </row>
    <row r="259" spans="1:8" x14ac:dyDescent="0.25">
      <c r="A259" s="344">
        <f>+SUBTOTAL(3,$E$6:$E259)</f>
        <v>254</v>
      </c>
      <c r="B259" s="344" t="s">
        <v>71</v>
      </c>
      <c r="C259" s="344" t="str">
        <f>+VLOOKUP(B259,'Erection Compiled'!$C$7:$D$653,2,FALSE)</f>
        <v>DA+0</v>
      </c>
      <c r="D259" s="350">
        <v>46015</v>
      </c>
      <c r="E259" s="350">
        <v>46015</v>
      </c>
      <c r="F259" s="344" t="s">
        <v>1629</v>
      </c>
      <c r="G259" s="344" t="s">
        <v>1027</v>
      </c>
      <c r="H259" s="344" t="s">
        <v>1027</v>
      </c>
    </row>
    <row r="260" spans="1:8" x14ac:dyDescent="0.25">
      <c r="A260" s="344">
        <f>+SUBTOTAL(3,$E$6:$E260)</f>
        <v>255</v>
      </c>
      <c r="B260" s="344" t="s">
        <v>80</v>
      </c>
      <c r="C260" s="344" t="str">
        <f>+VLOOKUP(B260,'Erection Compiled'!$C$7:$D$653,2,FALSE)</f>
        <v>DC1+0</v>
      </c>
      <c r="D260" s="350">
        <v>46016</v>
      </c>
      <c r="E260" s="350">
        <v>46016</v>
      </c>
      <c r="F260" s="344" t="s">
        <v>1629</v>
      </c>
      <c r="G260" s="344" t="s">
        <v>1027</v>
      </c>
      <c r="H260" s="344" t="s">
        <v>1027</v>
      </c>
    </row>
    <row r="261" spans="1:8" x14ac:dyDescent="0.25">
      <c r="A261" s="344">
        <f>+SUBTOTAL(3,$E$6:$E261)</f>
        <v>256</v>
      </c>
      <c r="B261" s="344" t="s">
        <v>82</v>
      </c>
      <c r="C261" s="344" t="str">
        <f>+VLOOKUP(B261,'Erection Compiled'!$C$7:$D$653,2,FALSE)</f>
        <v>DA+3</v>
      </c>
      <c r="D261" s="350">
        <v>46017</v>
      </c>
      <c r="E261" s="350">
        <v>46017</v>
      </c>
      <c r="F261" s="344" t="s">
        <v>1629</v>
      </c>
      <c r="G261" s="344" t="s">
        <v>1027</v>
      </c>
      <c r="H261" s="344" t="s">
        <v>1027</v>
      </c>
    </row>
    <row r="262" spans="1:8" x14ac:dyDescent="0.25">
      <c r="A262" s="344">
        <f>+SUBTOTAL(3,$E$6:$E262)</f>
        <v>257</v>
      </c>
      <c r="B262" s="346" t="s">
        <v>196</v>
      </c>
      <c r="C262" s="344" t="str">
        <f>+VLOOKUP(B262,'Erection Compiled'!$C$7:$D$653,2,FALSE)</f>
        <v>DA+3</v>
      </c>
      <c r="D262" s="350">
        <v>46018</v>
      </c>
      <c r="E262" s="350">
        <v>46018</v>
      </c>
      <c r="F262" s="344" t="s">
        <v>1629</v>
      </c>
      <c r="G262" s="344" t="s">
        <v>1027</v>
      </c>
      <c r="H262" s="344" t="s">
        <v>1027</v>
      </c>
    </row>
    <row r="263" spans="1:8" x14ac:dyDescent="0.25">
      <c r="A263" s="344">
        <f>+SUBTOTAL(3,$E$6:$E263)</f>
        <v>258</v>
      </c>
      <c r="B263" s="346" t="s">
        <v>460</v>
      </c>
      <c r="C263" s="344" t="str">
        <f>+VLOOKUP(B263,'Erection Compiled'!$C$7:$D$653,2,FALSE)</f>
        <v>DA+0</v>
      </c>
      <c r="D263" s="350">
        <v>46024</v>
      </c>
      <c r="E263" s="599">
        <v>46024</v>
      </c>
      <c r="F263" s="344" t="s">
        <v>1629</v>
      </c>
      <c r="G263" s="344" t="s">
        <v>1027</v>
      </c>
      <c r="H263" s="344" t="s">
        <v>1027</v>
      </c>
    </row>
    <row r="264" spans="1:8" x14ac:dyDescent="0.25">
      <c r="A264" s="344">
        <f>+SUBTOTAL(3,$E$6:$E264)</f>
        <v>259</v>
      </c>
      <c r="B264" s="346" t="s">
        <v>42</v>
      </c>
      <c r="C264" s="344" t="str">
        <f>+VLOOKUP(B264,'Erection Compiled'!$C$7:$D$653,2,FALSE)</f>
        <v>DA+0</v>
      </c>
      <c r="D264" s="599">
        <v>46024</v>
      </c>
      <c r="E264" s="599">
        <v>46024</v>
      </c>
      <c r="F264" s="344" t="s">
        <v>1629</v>
      </c>
      <c r="G264" s="344" t="s">
        <v>1027</v>
      </c>
      <c r="H264" s="344" t="s">
        <v>1027</v>
      </c>
    </row>
    <row r="265" spans="1:8" x14ac:dyDescent="0.25">
      <c r="A265" s="344">
        <f>+SUBTOTAL(3,$E$6:$E265)</f>
        <v>260</v>
      </c>
      <c r="B265" s="346" t="s">
        <v>40</v>
      </c>
      <c r="C265" s="344" t="str">
        <f>+VLOOKUP(B265,'Erection Compiled'!$C$7:$D$653,2,FALSE)</f>
        <v>DB1+9</v>
      </c>
      <c r="D265" s="599">
        <v>46025</v>
      </c>
      <c r="E265" s="599">
        <v>46025</v>
      </c>
      <c r="F265" s="344" t="s">
        <v>1629</v>
      </c>
      <c r="G265" s="344" t="s">
        <v>1027</v>
      </c>
      <c r="H265" s="344" t="s">
        <v>1027</v>
      </c>
    </row>
    <row r="266" spans="1:8" x14ac:dyDescent="0.25">
      <c r="A266" s="344">
        <f>+SUBTOTAL(3,$E$6:$E266)</f>
        <v>261</v>
      </c>
      <c r="B266" s="346" t="s">
        <v>44</v>
      </c>
      <c r="C266" s="344" t="str">
        <f>+VLOOKUP(B266,'Erection Compiled'!$C$7:$D$653,2,FALSE)</f>
        <v>DB1+0</v>
      </c>
      <c r="D266" s="599">
        <v>46026</v>
      </c>
      <c r="E266" s="599">
        <v>46026</v>
      </c>
      <c r="F266" s="344" t="s">
        <v>1629</v>
      </c>
      <c r="G266" s="344" t="s">
        <v>1027</v>
      </c>
      <c r="H266" s="344" t="s">
        <v>1027</v>
      </c>
    </row>
    <row r="267" spans="1:8" x14ac:dyDescent="0.25">
      <c r="A267" s="344">
        <f>+SUBTOTAL(3,$E$6:$E267)</f>
        <v>262</v>
      </c>
      <c r="B267" s="346" t="s">
        <v>456</v>
      </c>
      <c r="C267" s="344" t="str">
        <f>+VLOOKUP(B267,'Erection Compiled'!$C$7:$D$653,2,FALSE)</f>
        <v>DA+0</v>
      </c>
      <c r="D267" s="599">
        <v>46027</v>
      </c>
      <c r="E267" s="599">
        <v>46027</v>
      </c>
      <c r="F267" s="344" t="s">
        <v>1629</v>
      </c>
      <c r="G267" s="344" t="s">
        <v>1027</v>
      </c>
      <c r="H267" s="344" t="s">
        <v>1027</v>
      </c>
    </row>
    <row r="268" spans="1:8" x14ac:dyDescent="0.25">
      <c r="A268" s="344">
        <f>+SUBTOTAL(3,$E$6:$E268)</f>
        <v>263</v>
      </c>
      <c r="B268" s="346" t="s">
        <v>39</v>
      </c>
      <c r="C268" s="344" t="str">
        <f>+VLOOKUP(B268,'Erection Compiled'!$C$7:$D$653,2,FALSE)</f>
        <v>DD60+6</v>
      </c>
      <c r="D268" s="599">
        <v>46028</v>
      </c>
      <c r="E268" s="599">
        <v>46028</v>
      </c>
      <c r="F268" s="344" t="s">
        <v>1629</v>
      </c>
      <c r="G268" s="344" t="s">
        <v>1027</v>
      </c>
      <c r="H268" s="344" t="s">
        <v>1027</v>
      </c>
    </row>
    <row r="269" spans="1:8" x14ac:dyDescent="0.25">
      <c r="A269" s="344">
        <f>+SUBTOTAL(3,$E$6:$E269)</f>
        <v>264</v>
      </c>
      <c r="B269" s="346" t="s">
        <v>471</v>
      </c>
      <c r="C269" s="344" t="str">
        <f>+VLOOKUP(B269,'Erection Compiled'!$C$7:$D$653,2,FALSE)</f>
        <v>DA+3</v>
      </c>
      <c r="D269" s="599">
        <v>46030</v>
      </c>
      <c r="E269" s="599">
        <v>46030</v>
      </c>
      <c r="F269" s="344" t="s">
        <v>1629</v>
      </c>
      <c r="G269" s="344" t="s">
        <v>1027</v>
      </c>
      <c r="H269" s="344" t="s">
        <v>1027</v>
      </c>
    </row>
    <row r="270" spans="1:8" x14ac:dyDescent="0.25">
      <c r="A270" s="344">
        <f>+SUBTOTAL(3,$E$6:$E270)</f>
        <v>265</v>
      </c>
      <c r="B270" s="344" t="s">
        <v>450</v>
      </c>
      <c r="C270" s="344" t="str">
        <f>+VLOOKUP(B270,'Erection Compiled'!$C$7:$D$653,2,FALSE)</f>
        <v>DA+3</v>
      </c>
      <c r="D270" s="599">
        <v>46030</v>
      </c>
      <c r="E270" s="599">
        <v>46030</v>
      </c>
      <c r="F270" s="344" t="s">
        <v>1611</v>
      </c>
      <c r="G270" s="344" t="s">
        <v>1027</v>
      </c>
      <c r="H270" s="344" t="s">
        <v>1027</v>
      </c>
    </row>
    <row r="271" spans="1:8" x14ac:dyDescent="0.25">
      <c r="A271" s="344">
        <f>+SUBTOTAL(3,$E$6:$E271)</f>
        <v>266</v>
      </c>
      <c r="B271" s="344" t="s">
        <v>453</v>
      </c>
      <c r="C271" s="344" t="str">
        <f>+VLOOKUP(B271,'Erection Compiled'!$C$7:$D$653,2,FALSE)</f>
        <v>DA+3</v>
      </c>
      <c r="D271" s="599">
        <v>46030</v>
      </c>
      <c r="E271" s="599">
        <v>46030</v>
      </c>
      <c r="F271" s="344" t="s">
        <v>1611</v>
      </c>
      <c r="G271" s="344" t="s">
        <v>1027</v>
      </c>
      <c r="H271" s="344"/>
    </row>
    <row r="272" spans="1:8" x14ac:dyDescent="0.25">
      <c r="A272" s="344">
        <f>+SUBTOTAL(3,$E$6:$E272)</f>
        <v>267</v>
      </c>
      <c r="B272" s="344" t="s">
        <v>455</v>
      </c>
      <c r="C272" s="344" t="str">
        <f>+VLOOKUP(B272,'Erection Compiled'!$C$7:$D$653,2,FALSE)</f>
        <v>DA+0</v>
      </c>
      <c r="D272" s="599">
        <v>46030</v>
      </c>
      <c r="E272" s="599">
        <v>46030</v>
      </c>
      <c r="F272" s="344" t="s">
        <v>1611</v>
      </c>
      <c r="G272" s="344" t="s">
        <v>1027</v>
      </c>
      <c r="H272" s="344" t="s">
        <v>1027</v>
      </c>
    </row>
    <row r="273" spans="1:8" x14ac:dyDescent="0.25">
      <c r="A273" s="344">
        <f>+SUBTOTAL(3,$E$6:$E273)</f>
        <v>268</v>
      </c>
      <c r="B273" s="344" t="s">
        <v>160</v>
      </c>
      <c r="C273" s="344" t="str">
        <f>+VLOOKUP(B273,'Erection Compiled'!$C$7:$D$653,2,FALSE)</f>
        <v>DA+3</v>
      </c>
      <c r="D273" s="599">
        <v>46030</v>
      </c>
      <c r="E273" s="599">
        <v>46030</v>
      </c>
      <c r="F273" s="344" t="s">
        <v>1611</v>
      </c>
      <c r="G273" s="344" t="s">
        <v>1027</v>
      </c>
      <c r="H273" s="344"/>
    </row>
    <row r="274" spans="1:8" x14ac:dyDescent="0.25">
      <c r="A274" s="344">
        <f>+SUBTOTAL(3,$E$6:$E274)</f>
        <v>269</v>
      </c>
      <c r="B274" s="344" t="s">
        <v>167</v>
      </c>
      <c r="C274" s="344" t="str">
        <f>+VLOOKUP(B274,'Erection Compiled'!$C$7:$D$653,2,FALSE)</f>
        <v>DA+3</v>
      </c>
      <c r="D274" s="599">
        <v>46030</v>
      </c>
      <c r="E274" s="599">
        <v>46030</v>
      </c>
      <c r="F274" s="344" t="s">
        <v>1629</v>
      </c>
      <c r="G274" s="344" t="s">
        <v>1027</v>
      </c>
      <c r="H274" s="344" t="s">
        <v>1027</v>
      </c>
    </row>
    <row r="275" spans="1:8" x14ac:dyDescent="0.25">
      <c r="A275" s="344">
        <f>+SUBTOTAL(3,$E$6:$E275)</f>
        <v>270</v>
      </c>
      <c r="B275" s="344" t="s">
        <v>168</v>
      </c>
      <c r="C275" s="344" t="str">
        <f>+VLOOKUP(B275,'Erection Compiled'!$C$7:$D$653,2,FALSE)</f>
        <v>DA+3</v>
      </c>
      <c r="D275" s="599">
        <v>46030</v>
      </c>
      <c r="E275" s="599">
        <v>46030</v>
      </c>
      <c r="F275" s="344" t="s">
        <v>1629</v>
      </c>
      <c r="G275" s="344" t="s">
        <v>1027</v>
      </c>
      <c r="H275" s="344" t="s">
        <v>1027</v>
      </c>
    </row>
    <row r="276" spans="1:8" x14ac:dyDescent="0.25">
      <c r="A276" s="344">
        <f>+SUBTOTAL(3,$E$6:$E276)</f>
        <v>271</v>
      </c>
      <c r="B276" s="346" t="s">
        <v>204</v>
      </c>
      <c r="C276" s="344" t="str">
        <f>+VLOOKUP(B276,'Erection Compiled'!$C$7:$D$653,2,FALSE)</f>
        <v>DA+0</v>
      </c>
      <c r="D276" s="599">
        <v>46031</v>
      </c>
      <c r="E276" s="599">
        <v>46031</v>
      </c>
      <c r="F276" s="344" t="s">
        <v>1661</v>
      </c>
      <c r="G276" s="344" t="s">
        <v>1027</v>
      </c>
      <c r="H276" s="344"/>
    </row>
    <row r="277" spans="1:8" x14ac:dyDescent="0.25">
      <c r="A277" s="344">
        <f>+SUBTOTAL(3,$E$6:$E277)</f>
        <v>272</v>
      </c>
      <c r="B277" s="346" t="s">
        <v>205</v>
      </c>
      <c r="C277" s="344" t="str">
        <f>+VLOOKUP(B277,'Erection Compiled'!$C$7:$D$653,2,FALSE)</f>
        <v>DA+0</v>
      </c>
      <c r="D277" s="599">
        <v>46035</v>
      </c>
      <c r="E277" s="599">
        <v>46035</v>
      </c>
      <c r="F277" s="344" t="s">
        <v>1661</v>
      </c>
      <c r="G277" s="344" t="s">
        <v>1027</v>
      </c>
      <c r="H277" s="344"/>
    </row>
    <row r="278" spans="1:8" x14ac:dyDescent="0.25">
      <c r="A278" s="344">
        <f>+SUBTOTAL(3,$E$6:$E278)</f>
        <v>273</v>
      </c>
      <c r="B278" s="346" t="s">
        <v>185</v>
      </c>
      <c r="C278" s="344" t="str">
        <f>+VLOOKUP(B278,'Erection Compiled'!$C$7:$D$653,2,FALSE)</f>
        <v>DA+6</v>
      </c>
      <c r="D278" s="599">
        <v>46038</v>
      </c>
      <c r="E278" s="599">
        <v>46038</v>
      </c>
      <c r="F278" s="344" t="s">
        <v>1661</v>
      </c>
      <c r="G278" s="344" t="s">
        <v>1027</v>
      </c>
      <c r="H278" s="344"/>
    </row>
    <row r="279" spans="1:8" x14ac:dyDescent="0.25">
      <c r="A279" s="344">
        <f>+SUBTOTAL(3,$E$6:$E279)</f>
        <v>274</v>
      </c>
      <c r="B279" s="346" t="s">
        <v>84</v>
      </c>
      <c r="C279" s="344" t="str">
        <f>+VLOOKUP(B279,'Erection Compiled'!$C$7:$D$653,2,FALSE)</f>
        <v>DB2+0</v>
      </c>
      <c r="D279" s="599">
        <v>46028</v>
      </c>
      <c r="E279" s="599">
        <v>46028</v>
      </c>
      <c r="F279" s="344" t="s">
        <v>1025</v>
      </c>
      <c r="G279" s="344" t="s">
        <v>1027</v>
      </c>
      <c r="H279" s="344" t="s">
        <v>1027</v>
      </c>
    </row>
    <row r="280" spans="1:8" x14ac:dyDescent="0.25">
      <c r="A280" s="344">
        <f>+SUBTOTAL(3,$E$6:$E280)</f>
        <v>275</v>
      </c>
      <c r="B280" s="346" t="s">
        <v>207</v>
      </c>
      <c r="C280" s="344" t="str">
        <f>+VLOOKUP(B280,'Erection Compiled'!$C$7:$D$653,2,FALSE)</f>
        <v>DA+6</v>
      </c>
      <c r="D280" s="599">
        <v>46029</v>
      </c>
      <c r="E280" s="599">
        <v>46029</v>
      </c>
      <c r="F280" s="344" t="s">
        <v>1025</v>
      </c>
      <c r="G280" s="344" t="s">
        <v>1027</v>
      </c>
      <c r="H280" s="344" t="s">
        <v>1027</v>
      </c>
    </row>
    <row r="281" spans="1:8" x14ac:dyDescent="0.25">
      <c r="A281" s="344">
        <f>+SUBTOTAL(3,$E$6:$E281)</f>
        <v>276</v>
      </c>
      <c r="B281" s="346" t="s">
        <v>667</v>
      </c>
      <c r="C281" s="344" t="str">
        <f>+VLOOKUP(B281,'Erection Compiled'!$C$7:$D$653,2,FALSE)</f>
        <v>DA+0</v>
      </c>
      <c r="D281" s="599">
        <v>46030</v>
      </c>
      <c r="E281" s="599">
        <v>46030</v>
      </c>
      <c r="F281" s="344" t="s">
        <v>1025</v>
      </c>
      <c r="G281" s="344" t="s">
        <v>1027</v>
      </c>
      <c r="H281" s="344" t="s">
        <v>1027</v>
      </c>
    </row>
    <row r="282" spans="1:8" x14ac:dyDescent="0.25">
      <c r="A282" s="344">
        <f>+SUBTOTAL(3,$E$6:$E282)</f>
        <v>277</v>
      </c>
      <c r="B282" s="346" t="s">
        <v>669</v>
      </c>
      <c r="C282" s="344" t="str">
        <f>+VLOOKUP(B282,'Erection Compiled'!$C$7:$D$653,2,FALSE)</f>
        <v>DA+0</v>
      </c>
      <c r="D282" s="599">
        <v>46031</v>
      </c>
      <c r="E282" s="599">
        <v>46031</v>
      </c>
      <c r="F282" s="344" t="s">
        <v>1025</v>
      </c>
      <c r="G282" s="344" t="s">
        <v>1027</v>
      </c>
      <c r="H282" s="344" t="s">
        <v>1027</v>
      </c>
    </row>
    <row r="283" spans="1:8" x14ac:dyDescent="0.25">
      <c r="A283" s="344">
        <f>+SUBTOTAL(3,$E$6:$E283)</f>
        <v>278</v>
      </c>
      <c r="B283" s="346" t="s">
        <v>670</v>
      </c>
      <c r="C283" s="344" t="str">
        <f>+VLOOKUP(B283,'Erection Compiled'!$C$7:$D$653,2,FALSE)</f>
        <v>DA+9</v>
      </c>
      <c r="D283" s="599">
        <v>46032</v>
      </c>
      <c r="E283" s="599">
        <v>46032</v>
      </c>
      <c r="F283" s="344" t="s">
        <v>1025</v>
      </c>
      <c r="G283" s="344" t="s">
        <v>1027</v>
      </c>
      <c r="H283" s="344" t="s">
        <v>1027</v>
      </c>
    </row>
    <row r="284" spans="1:8" x14ac:dyDescent="0.25">
      <c r="A284" s="344">
        <f>+SUBTOTAL(3,$E$6:$E284)</f>
        <v>279</v>
      </c>
      <c r="B284" s="346" t="s">
        <v>671</v>
      </c>
      <c r="C284" s="344" t="str">
        <f>+VLOOKUP(B284,'Erection Compiled'!$C$7:$D$653,2,FALSE)</f>
        <v>DA+9</v>
      </c>
      <c r="D284" s="599">
        <v>46033</v>
      </c>
      <c r="E284" s="599">
        <v>46033</v>
      </c>
      <c r="F284" s="344" t="s">
        <v>1025</v>
      </c>
      <c r="G284" s="344" t="s">
        <v>1027</v>
      </c>
      <c r="H284" s="344" t="s">
        <v>1027</v>
      </c>
    </row>
    <row r="285" spans="1:8" x14ac:dyDescent="0.25">
      <c r="A285" s="344">
        <f>+SUBTOTAL(3,$E$6:$E285)</f>
        <v>280</v>
      </c>
      <c r="B285" s="346" t="s">
        <v>673</v>
      </c>
      <c r="C285" s="344" t="str">
        <f>+VLOOKUP(B285,'Erection Compiled'!$C$7:$D$653,2,FALSE)</f>
        <v>DA+9</v>
      </c>
      <c r="D285" s="599">
        <v>46034</v>
      </c>
      <c r="E285" s="599">
        <v>46034</v>
      </c>
      <c r="F285" s="344" t="s">
        <v>1025</v>
      </c>
      <c r="G285" s="344" t="s">
        <v>1027</v>
      </c>
      <c r="H285" s="344" t="s">
        <v>1027</v>
      </c>
    </row>
    <row r="286" spans="1:8" x14ac:dyDescent="0.25">
      <c r="A286" s="344">
        <f>+SUBTOTAL(3,$E$6:$E286)</f>
        <v>281</v>
      </c>
      <c r="B286" s="346" t="s">
        <v>89</v>
      </c>
      <c r="C286" s="344" t="str">
        <f>+VLOOKUP(B286,'Erection Compiled'!$C$7:$D$653,2,FALSE)</f>
        <v>DD60+25</v>
      </c>
      <c r="D286" s="599">
        <v>46035</v>
      </c>
      <c r="E286" s="599">
        <v>46035</v>
      </c>
      <c r="F286" s="344" t="s">
        <v>1025</v>
      </c>
      <c r="G286" s="344" t="s">
        <v>1027</v>
      </c>
      <c r="H286" s="344" t="s">
        <v>1027</v>
      </c>
    </row>
    <row r="287" spans="1:8" x14ac:dyDescent="0.25">
      <c r="A287" s="344">
        <f>+SUBTOTAL(3,$E$6:$E287)</f>
        <v>282</v>
      </c>
      <c r="B287" s="346" t="s">
        <v>90</v>
      </c>
      <c r="C287" s="344" t="str">
        <f>+VLOOKUP(B287,'Erection Compiled'!$C$7:$D$653,2,FALSE)</f>
        <v>DD60+25</v>
      </c>
      <c r="D287" s="599">
        <v>46036</v>
      </c>
      <c r="E287" s="599">
        <v>46036</v>
      </c>
      <c r="F287" s="344" t="s">
        <v>1025</v>
      </c>
      <c r="G287" s="344" t="s">
        <v>1027</v>
      </c>
      <c r="H287" s="344" t="s">
        <v>1027</v>
      </c>
    </row>
    <row r="288" spans="1:8" x14ac:dyDescent="0.25">
      <c r="A288" s="344">
        <f>+SUBTOTAL(3,$E$6:$E288)</f>
        <v>283</v>
      </c>
      <c r="B288" s="346" t="s">
        <v>680</v>
      </c>
      <c r="C288" s="344" t="str">
        <f>+VLOOKUP(B288,'Erection Compiled'!$C$7:$D$653,2,FALSE)</f>
        <v>DA+3</v>
      </c>
      <c r="D288" s="599">
        <v>46037</v>
      </c>
      <c r="E288" s="599">
        <v>46037</v>
      </c>
      <c r="F288" s="344" t="s">
        <v>1025</v>
      </c>
      <c r="G288" s="344" t="s">
        <v>1027</v>
      </c>
      <c r="H288" s="344" t="s">
        <v>1027</v>
      </c>
    </row>
    <row r="289" spans="1:8" x14ac:dyDescent="0.25">
      <c r="A289" s="344">
        <f>+SUBTOTAL(3,$E$6:$E289)</f>
        <v>284</v>
      </c>
      <c r="B289" s="346" t="s">
        <v>681</v>
      </c>
      <c r="C289" s="344" t="str">
        <f>+VLOOKUP(B289,'Erection Compiled'!$C$7:$D$653,2,FALSE)</f>
        <v>DA+9</v>
      </c>
      <c r="D289" s="599">
        <v>46038</v>
      </c>
      <c r="E289" s="599">
        <v>46038</v>
      </c>
      <c r="F289" s="344" t="s">
        <v>1025</v>
      </c>
      <c r="G289" s="344" t="s">
        <v>1027</v>
      </c>
      <c r="H289" s="344" t="s">
        <v>1027</v>
      </c>
    </row>
    <row r="290" spans="1:8" x14ac:dyDescent="0.25">
      <c r="A290" s="344">
        <f>+SUBTOTAL(3,$E$6:$E290)</f>
        <v>285</v>
      </c>
      <c r="B290" s="346" t="s">
        <v>682</v>
      </c>
      <c r="C290" s="344" t="str">
        <f>+VLOOKUP(B290,'Erection Compiled'!$C$7:$D$653,2,FALSE)</f>
        <v>DA+9</v>
      </c>
      <c r="D290" s="599">
        <v>46039</v>
      </c>
      <c r="E290" s="599">
        <v>46039</v>
      </c>
      <c r="F290" s="344" t="s">
        <v>1025</v>
      </c>
      <c r="G290" s="344" t="s">
        <v>1027</v>
      </c>
      <c r="H290" s="344" t="s">
        <v>1027</v>
      </c>
    </row>
    <row r="291" spans="1:8" x14ac:dyDescent="0.25">
      <c r="A291" s="344">
        <f>+SUBTOTAL(3,$E$6:$E291)</f>
        <v>286</v>
      </c>
      <c r="B291" s="346" t="s">
        <v>683</v>
      </c>
      <c r="C291" s="344" t="str">
        <f>+VLOOKUP(B291,'Erection Compiled'!$C$7:$D$653,2,FALSE)</f>
        <v>DA+3</v>
      </c>
      <c r="D291" s="599">
        <v>46040</v>
      </c>
      <c r="E291" s="599">
        <v>46040</v>
      </c>
      <c r="F291" s="344" t="s">
        <v>1025</v>
      </c>
      <c r="G291" s="344" t="s">
        <v>1027</v>
      </c>
      <c r="H291" s="344" t="s">
        <v>1027</v>
      </c>
    </row>
    <row r="292" spans="1:8" x14ac:dyDescent="0.25">
      <c r="A292" s="344">
        <f>+SUBTOTAL(3,$E$6:$E292)</f>
        <v>287</v>
      </c>
      <c r="B292" s="346" t="s">
        <v>685</v>
      </c>
      <c r="C292" s="344" t="str">
        <f>+VLOOKUP(B292,'Erection Compiled'!$C$7:$D$653,2,FALSE)</f>
        <v>DA+3</v>
      </c>
      <c r="D292" s="599">
        <v>46041</v>
      </c>
      <c r="E292" s="599">
        <v>46041</v>
      </c>
      <c r="F292" s="344" t="s">
        <v>1025</v>
      </c>
      <c r="G292" s="344" t="s">
        <v>1027</v>
      </c>
      <c r="H292" s="344" t="s">
        <v>1027</v>
      </c>
    </row>
    <row r="293" spans="1:8" x14ac:dyDescent="0.25">
      <c r="A293" s="344">
        <f>+SUBTOTAL(3,$E$6:$E293)</f>
        <v>288</v>
      </c>
      <c r="B293" s="346" t="s">
        <v>686</v>
      </c>
      <c r="C293" s="344" t="str">
        <f>+VLOOKUP(B293,'Erection Compiled'!$C$7:$D$653,2,FALSE)</f>
        <v>DA+3</v>
      </c>
      <c r="D293" s="599">
        <v>46042</v>
      </c>
      <c r="E293" s="599">
        <v>46042</v>
      </c>
      <c r="F293" s="344" t="s">
        <v>1025</v>
      </c>
      <c r="G293" s="344" t="s">
        <v>1027</v>
      </c>
      <c r="H293" s="344" t="s">
        <v>1027</v>
      </c>
    </row>
    <row r="294" spans="1:8" x14ac:dyDescent="0.25">
      <c r="A294" s="344">
        <f>+SUBTOTAL(3,$E$6:$E294)</f>
        <v>289</v>
      </c>
      <c r="B294" s="346" t="s">
        <v>212</v>
      </c>
      <c r="C294" s="344" t="str">
        <f>+VLOOKUP(B294,'Erection Compiled'!$C$7:$D$653,2,FALSE)</f>
        <v>DB1+6</v>
      </c>
      <c r="D294" s="599">
        <v>46043</v>
      </c>
      <c r="E294" s="599">
        <v>46043</v>
      </c>
      <c r="F294" s="344" t="s">
        <v>1025</v>
      </c>
      <c r="G294" s="344" t="s">
        <v>1027</v>
      </c>
      <c r="H294" s="344" t="s">
        <v>1027</v>
      </c>
    </row>
    <row r="295" spans="1:8" x14ac:dyDescent="0.25">
      <c r="A295" s="344">
        <f>+SUBTOTAL(3,$E$6:$E295)</f>
        <v>290</v>
      </c>
      <c r="B295" s="346" t="s">
        <v>213</v>
      </c>
      <c r="C295" s="344" t="str">
        <f>+VLOOKUP(B295,'Erection Compiled'!$C$7:$D$653,2,FALSE)</f>
        <v>DA+0</v>
      </c>
      <c r="D295" s="599">
        <v>46044</v>
      </c>
      <c r="E295" s="599">
        <v>46044</v>
      </c>
      <c r="F295" s="344" t="s">
        <v>1025</v>
      </c>
      <c r="G295" s="344" t="s">
        <v>1027</v>
      </c>
      <c r="H295" s="344" t="s">
        <v>1027</v>
      </c>
    </row>
    <row r="296" spans="1:8" x14ac:dyDescent="0.25">
      <c r="A296" s="344">
        <f>+SUBTOTAL(3,$E$6:$E296)</f>
        <v>291</v>
      </c>
      <c r="B296" s="346" t="s">
        <v>214</v>
      </c>
      <c r="C296" s="344" t="str">
        <f>+VLOOKUP(B296,'Erection Compiled'!$C$7:$D$653,2,FALSE)</f>
        <v>DA+0</v>
      </c>
      <c r="D296" s="599">
        <v>46045</v>
      </c>
      <c r="E296" s="599">
        <v>46045</v>
      </c>
      <c r="F296" s="344" t="s">
        <v>1025</v>
      </c>
      <c r="G296" s="344" t="s">
        <v>1027</v>
      </c>
      <c r="H296" s="344" t="s">
        <v>1027</v>
      </c>
    </row>
    <row r="297" spans="1:8" x14ac:dyDescent="0.25">
      <c r="A297" s="344">
        <f>+SUBTOTAL(3,$E$6:$E297)</f>
        <v>292</v>
      </c>
      <c r="B297" s="346" t="s">
        <v>30</v>
      </c>
      <c r="C297" s="344" t="str">
        <f>+VLOOKUP(B297,'Erection Compiled'!$C$7:$D$653,2,FALSE)</f>
        <v>DB2+0</v>
      </c>
      <c r="D297" s="599">
        <v>46046</v>
      </c>
      <c r="E297" s="599">
        <v>46046</v>
      </c>
      <c r="F297" s="344" t="s">
        <v>1025</v>
      </c>
      <c r="G297" s="344" t="s">
        <v>1027</v>
      </c>
      <c r="H297" s="344" t="s">
        <v>1027</v>
      </c>
    </row>
    <row r="298" spans="1:8" x14ac:dyDescent="0.25">
      <c r="A298" s="344">
        <f>+SUBTOTAL(3,$E$6:$E298)</f>
        <v>293</v>
      </c>
      <c r="B298" s="346" t="s">
        <v>85</v>
      </c>
      <c r="C298" s="344" t="str">
        <f>+VLOOKUP(B298,'Erection Compiled'!$C$7:$D$653,2,FALSE)</f>
        <v>DA+3</v>
      </c>
      <c r="D298" s="599">
        <v>46047</v>
      </c>
      <c r="E298" s="599">
        <v>46047</v>
      </c>
      <c r="F298" s="344" t="s">
        <v>1025</v>
      </c>
      <c r="G298" s="344" t="s">
        <v>1027</v>
      </c>
      <c r="H298" s="344" t="s">
        <v>1027</v>
      </c>
    </row>
    <row r="299" spans="1:8" x14ac:dyDescent="0.25">
      <c r="A299" s="344">
        <f>+SUBTOTAL(3,$E$6:$E299)</f>
        <v>294</v>
      </c>
      <c r="B299" s="346" t="s">
        <v>86</v>
      </c>
      <c r="C299" s="344" t="str">
        <f>+VLOOKUP(B299,'Erection Compiled'!$C$7:$D$653,2,FALSE)</f>
        <v>DA+0</v>
      </c>
      <c r="D299" s="599">
        <v>46049</v>
      </c>
      <c r="E299" s="599">
        <v>46049</v>
      </c>
      <c r="F299" s="344" t="s">
        <v>1025</v>
      </c>
      <c r="G299" s="344" t="s">
        <v>1027</v>
      </c>
      <c r="H299" s="344" t="s">
        <v>1027</v>
      </c>
    </row>
    <row r="300" spans="1:8" x14ac:dyDescent="0.25">
      <c r="A300" s="344">
        <f>+SUBTOTAL(3,$E$6:$E300)</f>
        <v>295</v>
      </c>
      <c r="B300" s="346" t="s">
        <v>553</v>
      </c>
      <c r="C300" s="344" t="str">
        <f>+VLOOKUP(B300,'Erection Compiled'!$C$7:$D$653,2,FALSE)</f>
        <v>DA+3</v>
      </c>
      <c r="D300" s="599">
        <v>46050</v>
      </c>
      <c r="E300" s="599">
        <v>46050</v>
      </c>
      <c r="F300" s="344" t="s">
        <v>1025</v>
      </c>
      <c r="G300" s="344" t="s">
        <v>1027</v>
      </c>
      <c r="H300" s="344" t="s">
        <v>1027</v>
      </c>
    </row>
    <row r="301" spans="1:8" x14ac:dyDescent="0.25">
      <c r="A301" s="344">
        <f>+SUBTOTAL(3,$E$6:$E301)</f>
        <v>296</v>
      </c>
      <c r="B301" s="346" t="s">
        <v>461</v>
      </c>
      <c r="C301" s="344" t="str">
        <f>+VLOOKUP(B301,'Erection Compiled'!$C$7:$D$653,2,FALSE)</f>
        <v>DA+3</v>
      </c>
      <c r="D301" s="599">
        <v>46054</v>
      </c>
      <c r="E301" s="599">
        <v>46054</v>
      </c>
      <c r="F301" s="344" t="s">
        <v>1629</v>
      </c>
      <c r="G301" s="344" t="s">
        <v>1027</v>
      </c>
      <c r="H301" s="344" t="s">
        <v>1027</v>
      </c>
    </row>
    <row r="302" spans="1:8" x14ac:dyDescent="0.25">
      <c r="A302" s="344">
        <f>+SUBTOTAL(3,$E$6:$E302)</f>
        <v>297</v>
      </c>
      <c r="B302" s="346" t="s">
        <v>462</v>
      </c>
      <c r="C302" s="344" t="str">
        <f>+VLOOKUP(B302,'Erection Compiled'!$C$7:$D$653,2,FALSE)</f>
        <v>DA+0</v>
      </c>
      <c r="D302" s="599">
        <v>46055</v>
      </c>
      <c r="E302" s="599">
        <v>46055</v>
      </c>
      <c r="F302" s="344" t="s">
        <v>1629</v>
      </c>
      <c r="G302" s="344" t="s">
        <v>1027</v>
      </c>
      <c r="H302" s="344" t="s">
        <v>1027</v>
      </c>
    </row>
    <row r="303" spans="1:8" x14ac:dyDescent="0.25">
      <c r="A303" s="344">
        <f>+SUBTOTAL(3,$E$6:$E303)</f>
        <v>298</v>
      </c>
      <c r="B303" s="346" t="s">
        <v>181</v>
      </c>
      <c r="C303" s="344" t="str">
        <f>+VLOOKUP(B303,'Erection Compiled'!$C$7:$D$653,2,FALSE)</f>
        <v>DA+0</v>
      </c>
      <c r="D303" s="599">
        <v>46055</v>
      </c>
      <c r="E303" s="599">
        <v>46055</v>
      </c>
      <c r="F303" s="344" t="s">
        <v>1661</v>
      </c>
      <c r="G303" s="344" t="s">
        <v>1027</v>
      </c>
      <c r="H303" s="344"/>
    </row>
    <row r="304" spans="1:8" x14ac:dyDescent="0.25">
      <c r="A304" s="344">
        <f>+SUBTOTAL(3,$E$6:$E304)</f>
        <v>299</v>
      </c>
      <c r="B304" s="346" t="s">
        <v>179</v>
      </c>
      <c r="C304" s="344" t="str">
        <f>+VLOOKUP(B304,'Erection Compiled'!$C$7:$D$653,2,FALSE)</f>
        <v>DA+3</v>
      </c>
      <c r="D304" s="599">
        <v>46055</v>
      </c>
      <c r="E304" s="599">
        <v>46055</v>
      </c>
      <c r="F304" s="344" t="s">
        <v>1661</v>
      </c>
      <c r="G304" s="344" t="s">
        <v>1027</v>
      </c>
      <c r="H304" s="344"/>
    </row>
    <row r="305" spans="1:8" x14ac:dyDescent="0.25">
      <c r="A305" s="344">
        <f>+SUBTOTAL(3,$E$6:$E305)</f>
        <v>300</v>
      </c>
      <c r="B305" s="346" t="s">
        <v>445</v>
      </c>
      <c r="C305" s="344" t="str">
        <f>+VLOOKUP(B305,'Erection Compiled'!$C$7:$D$653,2,FALSE)</f>
        <v>DD60+0</v>
      </c>
      <c r="D305" s="599">
        <v>46056</v>
      </c>
      <c r="E305" s="599">
        <v>46056</v>
      </c>
      <c r="F305" s="344" t="s">
        <v>1629</v>
      </c>
      <c r="G305" s="344" t="s">
        <v>1027</v>
      </c>
      <c r="H305" s="344" t="s">
        <v>1027</v>
      </c>
    </row>
    <row r="306" spans="1:8" x14ac:dyDescent="0.25">
      <c r="A306" s="344">
        <f>+SUBTOTAL(3,$E$6:$E306)</f>
        <v>301</v>
      </c>
      <c r="B306" s="346" t="s">
        <v>628</v>
      </c>
      <c r="C306" s="344" t="str">
        <f>+VLOOKUP(B306,'Erection Compiled'!$C$7:$D$653,2,FALSE)</f>
        <v>DA+0</v>
      </c>
      <c r="D306" s="599">
        <v>46056</v>
      </c>
      <c r="E306" s="599">
        <v>46056</v>
      </c>
      <c r="F306" s="344" t="s">
        <v>1611</v>
      </c>
      <c r="G306" s="344" t="s">
        <v>1027</v>
      </c>
      <c r="H306" s="344" t="s">
        <v>1027</v>
      </c>
    </row>
    <row r="307" spans="1:8" x14ac:dyDescent="0.25">
      <c r="A307" s="344">
        <f>+SUBTOTAL(3,$E$6:$E307)</f>
        <v>302</v>
      </c>
      <c r="B307" s="346" t="s">
        <v>633</v>
      </c>
      <c r="C307" s="344" t="str">
        <f>+VLOOKUP(B307,'Erection Compiled'!$C$7:$D$653,2,FALSE)</f>
        <v>DA+3</v>
      </c>
      <c r="D307" s="599">
        <v>46056</v>
      </c>
      <c r="E307" s="599">
        <v>46056</v>
      </c>
      <c r="F307" s="344" t="s">
        <v>1611</v>
      </c>
      <c r="G307" s="344" t="s">
        <v>1027</v>
      </c>
      <c r="H307" s="344" t="s">
        <v>1027</v>
      </c>
    </row>
    <row r="308" spans="1:8" x14ac:dyDescent="0.25">
      <c r="A308" s="344">
        <f>+SUBTOTAL(3,$E$6:$E308)</f>
        <v>303</v>
      </c>
      <c r="B308" s="346" t="s">
        <v>38</v>
      </c>
      <c r="C308" s="344" t="str">
        <f>+VLOOKUP(B308,'Erection Compiled'!$C$7:$D$653,2,FALSE)</f>
        <v>DD60+6</v>
      </c>
      <c r="D308" s="599">
        <v>46056</v>
      </c>
      <c r="E308" s="599">
        <v>46056</v>
      </c>
      <c r="F308" s="344" t="s">
        <v>1629</v>
      </c>
      <c r="G308" s="344" t="s">
        <v>1027</v>
      </c>
      <c r="H308" s="344" t="s">
        <v>1027</v>
      </c>
    </row>
    <row r="309" spans="1:8" x14ac:dyDescent="0.25">
      <c r="A309" s="344">
        <f>+SUBTOTAL(3,$E$6:$E309)</f>
        <v>304</v>
      </c>
      <c r="B309" s="346" t="s">
        <v>457</v>
      </c>
      <c r="C309" s="344" t="str">
        <f>+VLOOKUP(B309,'Erection Compiled'!$C$7:$D$653,2,FALSE)</f>
        <v>DA+0</v>
      </c>
      <c r="D309" s="599">
        <v>46056</v>
      </c>
      <c r="E309" s="599">
        <v>46056</v>
      </c>
      <c r="F309" s="344" t="s">
        <v>1629</v>
      </c>
      <c r="G309" s="344" t="s">
        <v>1027</v>
      </c>
      <c r="H309" s="344" t="s">
        <v>1027</v>
      </c>
    </row>
    <row r="310" spans="1:8" x14ac:dyDescent="0.25">
      <c r="A310" s="344">
        <f>+SUBTOTAL(3,$E$6:$E310)</f>
        <v>305</v>
      </c>
      <c r="B310" s="346" t="s">
        <v>458</v>
      </c>
      <c r="C310" s="344" t="str">
        <f>+VLOOKUP(B310,'Erection Compiled'!$C$7:$D$653,2,FALSE)</f>
        <v>DA+0</v>
      </c>
      <c r="D310" s="599">
        <v>46057</v>
      </c>
      <c r="E310" s="599">
        <v>46057</v>
      </c>
      <c r="F310" s="344" t="s">
        <v>1629</v>
      </c>
      <c r="G310" s="344" t="s">
        <v>1027</v>
      </c>
      <c r="H310" s="344" t="s">
        <v>1027</v>
      </c>
    </row>
    <row r="311" spans="1:8" x14ac:dyDescent="0.25">
      <c r="A311" s="344">
        <f>+SUBTOTAL(3,$E$6:$E311)</f>
        <v>306</v>
      </c>
      <c r="B311" s="346" t="s">
        <v>459</v>
      </c>
      <c r="C311" s="344" t="str">
        <f>+VLOOKUP(B311,'Erection Compiled'!$C$7:$D$653,2,FALSE)</f>
        <v>DA+0</v>
      </c>
      <c r="D311" s="599">
        <v>46057</v>
      </c>
      <c r="E311" s="599">
        <v>46057</v>
      </c>
      <c r="F311" s="344" t="s">
        <v>1629</v>
      </c>
      <c r="G311" s="344" t="s">
        <v>1027</v>
      </c>
      <c r="H311" s="344" t="s">
        <v>1027</v>
      </c>
    </row>
    <row r="312" spans="1:8" x14ac:dyDescent="0.25">
      <c r="A312" s="344">
        <f>+SUBTOTAL(3,$E$6:$E312)</f>
        <v>307</v>
      </c>
      <c r="B312" s="346" t="s">
        <v>41</v>
      </c>
      <c r="C312" s="344" t="str">
        <f>+VLOOKUP(B312,'Erection Compiled'!$C$7:$D$653,2,FALSE)</f>
        <v>DB2+9</v>
      </c>
      <c r="D312" s="599">
        <v>46057</v>
      </c>
      <c r="E312" s="599">
        <v>46057</v>
      </c>
      <c r="F312" s="344" t="s">
        <v>1629</v>
      </c>
      <c r="G312" s="344" t="s">
        <v>1027</v>
      </c>
      <c r="H312" s="344" t="s">
        <v>1027</v>
      </c>
    </row>
    <row r="313" spans="1:8" x14ac:dyDescent="0.25">
      <c r="A313" s="344">
        <f>+SUBTOTAL(3,$E$6:$E313)</f>
        <v>308</v>
      </c>
      <c r="B313" s="346" t="s">
        <v>43</v>
      </c>
      <c r="C313" s="344" t="str">
        <f>+VLOOKUP(B313,'Erection Compiled'!$C$7:$D$653,2,FALSE)</f>
        <v>DB1+0</v>
      </c>
      <c r="D313" s="599">
        <v>46057</v>
      </c>
      <c r="E313" s="599">
        <v>46057</v>
      </c>
      <c r="F313" s="344" t="s">
        <v>1629</v>
      </c>
      <c r="G313" s="344" t="s">
        <v>1027</v>
      </c>
      <c r="H313" s="344" t="s">
        <v>1027</v>
      </c>
    </row>
    <row r="314" spans="1:8" x14ac:dyDescent="0.25">
      <c r="A314" s="344">
        <f>+SUBTOTAL(3,$E$6:$E314)</f>
        <v>309</v>
      </c>
      <c r="B314" s="346" t="s">
        <v>150</v>
      </c>
      <c r="C314" s="344" t="str">
        <f>+VLOOKUP(B314,'Erection Compiled'!$C$7:$D$653,2,FALSE)</f>
        <v>DA+3</v>
      </c>
      <c r="D314" s="599">
        <v>46058</v>
      </c>
      <c r="E314" s="599">
        <v>46058</v>
      </c>
      <c r="F314" s="344" t="s">
        <v>1629</v>
      </c>
      <c r="G314" s="344" t="s">
        <v>1027</v>
      </c>
      <c r="H314" s="344" t="s">
        <v>1027</v>
      </c>
    </row>
    <row r="315" spans="1:8" x14ac:dyDescent="0.25">
      <c r="A315" s="344">
        <f>+SUBTOTAL(3,$E$6:$E315)</f>
        <v>310</v>
      </c>
      <c r="B315" s="346" t="s">
        <v>465</v>
      </c>
      <c r="C315" s="344" t="str">
        <f>+VLOOKUP(B315,'Erection Compiled'!$C$7:$D$653,2,FALSE)</f>
        <v>DA+3</v>
      </c>
      <c r="D315" s="599">
        <v>46058</v>
      </c>
      <c r="E315" s="599">
        <v>46058</v>
      </c>
      <c r="F315" s="344" t="s">
        <v>1611</v>
      </c>
      <c r="G315" s="344" t="s">
        <v>1027</v>
      </c>
      <c r="H315" s="344" t="s">
        <v>1027</v>
      </c>
    </row>
    <row r="316" spans="1:8" x14ac:dyDescent="0.25">
      <c r="A316" s="344">
        <f>+SUBTOTAL(3,$E$6:$E316)</f>
        <v>311</v>
      </c>
      <c r="B316" s="346" t="s">
        <v>467</v>
      </c>
      <c r="C316" s="344" t="str">
        <f>+VLOOKUP(B316,'Erection Compiled'!$C$7:$D$653,2,FALSE)</f>
        <v>DA+0</v>
      </c>
      <c r="D316" s="599">
        <v>46058</v>
      </c>
      <c r="E316" s="599">
        <v>46058</v>
      </c>
      <c r="F316" s="344" t="s">
        <v>1629</v>
      </c>
      <c r="G316" s="344" t="s">
        <v>1027</v>
      </c>
      <c r="H316" s="344" t="s">
        <v>1027</v>
      </c>
    </row>
    <row r="317" spans="1:8" x14ac:dyDescent="0.25">
      <c r="A317" s="344">
        <f>+SUBTOTAL(3,$E$6:$E317)</f>
        <v>312</v>
      </c>
      <c r="B317" s="346" t="s">
        <v>157</v>
      </c>
      <c r="C317" s="344" t="str">
        <f>+VLOOKUP(B317,'Erection Compiled'!$C$7:$D$653,2,FALSE)</f>
        <v>DA+3</v>
      </c>
      <c r="D317" s="599">
        <v>46058</v>
      </c>
      <c r="E317" s="599">
        <v>46058</v>
      </c>
      <c r="F317" s="344" t="s">
        <v>1629</v>
      </c>
      <c r="G317" s="344" t="s">
        <v>1027</v>
      </c>
      <c r="H317" s="344" t="s">
        <v>1027</v>
      </c>
    </row>
    <row r="318" spans="1:8" x14ac:dyDescent="0.25">
      <c r="A318" s="344">
        <f>+SUBTOTAL(3,$E$6:$E318)</f>
        <v>313</v>
      </c>
      <c r="B318" s="346" t="s">
        <v>165</v>
      </c>
      <c r="C318" s="344" t="str">
        <f>+VLOOKUP(B318,'Erection Compiled'!$C$7:$D$653,2,FALSE)</f>
        <v>DA+3</v>
      </c>
      <c r="D318" s="599">
        <v>46058</v>
      </c>
      <c r="E318" s="599">
        <v>46058</v>
      </c>
      <c r="F318" s="344" t="s">
        <v>1629</v>
      </c>
      <c r="G318" s="344" t="s">
        <v>1027</v>
      </c>
      <c r="H318" s="344" t="s">
        <v>1027</v>
      </c>
    </row>
    <row r="319" spans="1:8" x14ac:dyDescent="0.25">
      <c r="A319" s="344">
        <f>+SUBTOTAL(3,$E$6:$E319)</f>
        <v>314</v>
      </c>
      <c r="B319" s="346" t="s">
        <v>470</v>
      </c>
      <c r="C319" s="344" t="str">
        <f>+VLOOKUP(B319,'Erection Compiled'!$C$7:$D$653,2,FALSE)</f>
        <v>DA+3</v>
      </c>
      <c r="D319" s="599">
        <v>46058</v>
      </c>
      <c r="E319" s="599">
        <v>46058</v>
      </c>
      <c r="F319" s="344" t="s">
        <v>1629</v>
      </c>
      <c r="G319" s="344" t="s">
        <v>1027</v>
      </c>
      <c r="H319" s="344" t="s">
        <v>1027</v>
      </c>
    </row>
    <row r="320" spans="1:8" x14ac:dyDescent="0.25">
      <c r="A320" s="344">
        <f>+SUBTOTAL(3,$E$6:$E320)</f>
        <v>315</v>
      </c>
      <c r="B320" s="346" t="s">
        <v>169</v>
      </c>
      <c r="C320" s="344" t="str">
        <f>+VLOOKUP(B320,'Erection Compiled'!$C$7:$D$653,2,FALSE)</f>
        <v>DA+0</v>
      </c>
      <c r="D320" s="599">
        <v>46059</v>
      </c>
      <c r="E320" s="599">
        <v>46059</v>
      </c>
      <c r="F320" s="344" t="s">
        <v>1629</v>
      </c>
      <c r="G320" s="344" t="s">
        <v>1027</v>
      </c>
      <c r="H320" s="344" t="s">
        <v>1027</v>
      </c>
    </row>
    <row r="321" spans="1:8" x14ac:dyDescent="0.25">
      <c r="A321" s="344">
        <f>+SUBTOTAL(3,$E$6:$E321)</f>
        <v>316</v>
      </c>
      <c r="B321" s="346" t="s">
        <v>472</v>
      </c>
      <c r="C321" s="344" t="str">
        <f>+VLOOKUP(B321,'Erection Compiled'!$C$7:$D$653,2,FALSE)</f>
        <v>DA+3</v>
      </c>
      <c r="D321" s="599">
        <v>46059</v>
      </c>
      <c r="E321" s="599">
        <v>46059</v>
      </c>
      <c r="F321" s="344" t="s">
        <v>1629</v>
      </c>
      <c r="G321" s="344" t="s">
        <v>1027</v>
      </c>
      <c r="H321" s="344" t="s">
        <v>1027</v>
      </c>
    </row>
    <row r="322" spans="1:8" x14ac:dyDescent="0.25">
      <c r="A322" s="344">
        <f>+SUBTOTAL(3,$E$6:$E322)</f>
        <v>317</v>
      </c>
      <c r="B322" s="346" t="s">
        <v>473</v>
      </c>
      <c r="C322" s="344" t="str">
        <f>+VLOOKUP(B322,'Erection Compiled'!$C$7:$D$653,2,FALSE)</f>
        <v>DA+3</v>
      </c>
      <c r="D322" s="599">
        <v>46059</v>
      </c>
      <c r="E322" s="599">
        <v>46059</v>
      </c>
      <c r="F322" s="344" t="s">
        <v>1629</v>
      </c>
      <c r="G322" s="344" t="s">
        <v>1027</v>
      </c>
      <c r="H322" s="344" t="s">
        <v>1027</v>
      </c>
    </row>
    <row r="323" spans="1:8" x14ac:dyDescent="0.25">
      <c r="A323" s="344">
        <f>+SUBTOTAL(3,$E$6:$E323)</f>
        <v>318</v>
      </c>
      <c r="B323" s="346" t="s">
        <v>474</v>
      </c>
      <c r="C323" s="344" t="str">
        <f>+VLOOKUP(B323,'Erection Compiled'!$C$7:$D$653,2,FALSE)</f>
        <v>DA+0</v>
      </c>
      <c r="D323" s="599">
        <v>46059</v>
      </c>
      <c r="E323" s="599">
        <v>46059</v>
      </c>
      <c r="F323" s="344" t="s">
        <v>1629</v>
      </c>
      <c r="G323" s="344" t="s">
        <v>1027</v>
      </c>
      <c r="H323" s="344" t="s">
        <v>1027</v>
      </c>
    </row>
    <row r="324" spans="1:8" x14ac:dyDescent="0.25">
      <c r="A324" s="344">
        <f>+SUBTOTAL(3,$E$6:$E324)</f>
        <v>319</v>
      </c>
      <c r="B324" s="346" t="s">
        <v>475</v>
      </c>
      <c r="C324" s="344" t="str">
        <f>+VLOOKUP(B324,'Erection Compiled'!$C$7:$D$653,2,FALSE)</f>
        <v>DA+0</v>
      </c>
      <c r="D324" s="599">
        <v>46059</v>
      </c>
      <c r="E324" s="599">
        <v>46059</v>
      </c>
      <c r="F324" s="344" t="s">
        <v>1629</v>
      </c>
      <c r="G324" s="344" t="s">
        <v>1027</v>
      </c>
      <c r="H324" s="344" t="s">
        <v>1027</v>
      </c>
    </row>
    <row r="325" spans="1:8" x14ac:dyDescent="0.25">
      <c r="A325" s="344">
        <f>+SUBTOTAL(3,$E$6:$E325)</f>
        <v>320</v>
      </c>
      <c r="B325" s="346" t="s">
        <v>180</v>
      </c>
      <c r="C325" s="344" t="str">
        <f>+VLOOKUP(B325,'Erection Compiled'!$C$7:$D$653,2,FALSE)</f>
        <v>DA+0</v>
      </c>
      <c r="D325" s="599">
        <v>46060</v>
      </c>
      <c r="E325" s="599">
        <v>46060</v>
      </c>
      <c r="F325" s="344" t="s">
        <v>1661</v>
      </c>
      <c r="G325" s="344" t="s">
        <v>1027</v>
      </c>
      <c r="H325" s="344" t="s">
        <v>1027</v>
      </c>
    </row>
    <row r="326" spans="1:8" x14ac:dyDescent="0.25">
      <c r="A326" s="344">
        <f>+SUBTOTAL(3,$E$6:$E326)</f>
        <v>321</v>
      </c>
      <c r="B326" s="346" t="s">
        <v>68</v>
      </c>
      <c r="C326" s="344" t="str">
        <f>+VLOOKUP(B326,'Erection Compiled'!$C$7:$D$653,2,FALSE)</f>
        <v>DA+0</v>
      </c>
      <c r="D326" s="599">
        <v>46060</v>
      </c>
      <c r="E326" s="599">
        <v>46060</v>
      </c>
      <c r="F326" s="344" t="s">
        <v>1661</v>
      </c>
      <c r="G326" s="344" t="s">
        <v>1027</v>
      </c>
      <c r="H326" s="344" t="s">
        <v>1027</v>
      </c>
    </row>
    <row r="327" spans="1:8" x14ac:dyDescent="0.25">
      <c r="A327" s="344">
        <f>+SUBTOTAL(3,$E$6:$E327)</f>
        <v>322</v>
      </c>
      <c r="B327" s="346" t="s">
        <v>87</v>
      </c>
      <c r="C327" s="344" t="str">
        <f>+VLOOKUP(B327,'Erection Compiled'!$C$7:$D$653,2,FALSE)</f>
        <v>DA+0</v>
      </c>
      <c r="D327" s="599">
        <v>46060</v>
      </c>
      <c r="E327" s="599">
        <v>46060</v>
      </c>
      <c r="F327" s="344" t="s">
        <v>1025</v>
      </c>
      <c r="G327" s="344" t="s">
        <v>1027</v>
      </c>
      <c r="H327" s="344" t="s">
        <v>1027</v>
      </c>
    </row>
    <row r="328" spans="1:8" x14ac:dyDescent="0.25">
      <c r="A328" s="344">
        <f>+SUBTOTAL(3,$E$6:$E328)</f>
        <v>323</v>
      </c>
      <c r="B328" s="346" t="s">
        <v>215</v>
      </c>
      <c r="C328" s="344" t="str">
        <f>+VLOOKUP(B328,'Erection Compiled'!$C$7:$D$653,2,FALSE)</f>
        <v>DA+6</v>
      </c>
      <c r="D328" s="599">
        <v>46060</v>
      </c>
      <c r="E328" s="599">
        <v>46060</v>
      </c>
      <c r="F328" s="344" t="s">
        <v>1025</v>
      </c>
      <c r="G328" s="344" t="s">
        <v>1027</v>
      </c>
      <c r="H328" s="344" t="s">
        <v>1027</v>
      </c>
    </row>
    <row r="329" spans="1:8" x14ac:dyDescent="0.25">
      <c r="A329" s="344">
        <f>+SUBTOTAL(3,$E$6:$E329)</f>
        <v>324</v>
      </c>
      <c r="B329" s="346" t="s">
        <v>552</v>
      </c>
      <c r="C329" s="344" t="str">
        <f>+VLOOKUP(B329,'Erection Compiled'!$C$7:$D$653,2,FALSE)</f>
        <v>DA+6</v>
      </c>
      <c r="D329" s="599">
        <v>46061</v>
      </c>
      <c r="E329" s="599">
        <v>46061</v>
      </c>
      <c r="F329" s="344" t="s">
        <v>1025</v>
      </c>
      <c r="G329" s="344" t="s">
        <v>1027</v>
      </c>
      <c r="H329" s="344" t="s">
        <v>1027</v>
      </c>
    </row>
    <row r="330" spans="1:8" x14ac:dyDescent="0.25">
      <c r="A330" s="344">
        <f>+SUBTOTAL(3,$E$6:$E330)</f>
        <v>325</v>
      </c>
      <c r="B330" s="346" t="s">
        <v>554</v>
      </c>
      <c r="C330" s="344" t="str">
        <f>+VLOOKUP(B330,'Erection Compiled'!$C$7:$D$653,2,FALSE)</f>
        <v>DA+3</v>
      </c>
      <c r="D330" s="599">
        <v>46061</v>
      </c>
      <c r="E330" s="599">
        <v>46061</v>
      </c>
      <c r="F330" s="344" t="s">
        <v>1025</v>
      </c>
      <c r="G330" s="344" t="s">
        <v>1027</v>
      </c>
      <c r="H330" s="344" t="s">
        <v>1027</v>
      </c>
    </row>
    <row r="331" spans="1:8" x14ac:dyDescent="0.25">
      <c r="A331" s="344">
        <f>+SUBTOTAL(3,$E$6:$E331)</f>
        <v>326</v>
      </c>
      <c r="B331" s="346" t="s">
        <v>556</v>
      </c>
      <c r="C331" s="344" t="str">
        <f>+VLOOKUP(B331,'Erection Compiled'!$C$7:$D$653,2,FALSE)</f>
        <v>DB1+9</v>
      </c>
      <c r="D331" s="599">
        <v>46061</v>
      </c>
      <c r="E331" s="599">
        <v>46061</v>
      </c>
      <c r="F331" s="344" t="s">
        <v>1025</v>
      </c>
      <c r="G331" s="344" t="s">
        <v>1027</v>
      </c>
      <c r="H331" s="344" t="s">
        <v>1027</v>
      </c>
    </row>
    <row r="332" spans="1:8" x14ac:dyDescent="0.25">
      <c r="A332" s="344">
        <f>+SUBTOTAL(3,$E$6:$E332)</f>
        <v>327</v>
      </c>
      <c r="B332" s="346" t="s">
        <v>557</v>
      </c>
      <c r="C332" s="344" t="str">
        <f>+VLOOKUP(B332,'Erection Compiled'!$C$7:$D$653,2,FALSE)</f>
        <v>DA+0</v>
      </c>
      <c r="D332" s="599">
        <v>46062</v>
      </c>
      <c r="E332" s="599">
        <v>46062</v>
      </c>
      <c r="F332" s="344" t="s">
        <v>1025</v>
      </c>
      <c r="G332" s="344" t="s">
        <v>1027</v>
      </c>
      <c r="H332" s="344" t="s">
        <v>1027</v>
      </c>
    </row>
    <row r="333" spans="1:8" x14ac:dyDescent="0.25">
      <c r="A333" s="344">
        <f>+SUBTOTAL(3,$E$6:$E333)</f>
        <v>328</v>
      </c>
      <c r="B333" s="346" t="s">
        <v>559</v>
      </c>
      <c r="C333" s="344" t="str">
        <f>+VLOOKUP(B333,'Erection Compiled'!$C$7:$D$653,2,FALSE)</f>
        <v>DA+6</v>
      </c>
      <c r="D333" s="599">
        <v>46062</v>
      </c>
      <c r="E333" s="599">
        <v>46062</v>
      </c>
      <c r="F333" s="344" t="s">
        <v>1025</v>
      </c>
      <c r="G333" s="344" t="s">
        <v>1027</v>
      </c>
      <c r="H333" s="344" t="s">
        <v>1027</v>
      </c>
    </row>
    <row r="334" spans="1:8" x14ac:dyDescent="0.25">
      <c r="A334" s="344">
        <f>+SUBTOTAL(3,$E$6:$E334)</f>
        <v>329</v>
      </c>
      <c r="B334" s="346" t="s">
        <v>560</v>
      </c>
      <c r="C334" s="344" t="str">
        <f>+VLOOKUP(B334,'Erection Compiled'!$C$7:$D$653,2,FALSE)</f>
        <v>DA+6</v>
      </c>
      <c r="D334" s="599">
        <v>46062</v>
      </c>
      <c r="E334" s="599">
        <v>46062</v>
      </c>
      <c r="F334" s="344" t="s">
        <v>1025</v>
      </c>
      <c r="G334" s="344" t="s">
        <v>1027</v>
      </c>
      <c r="H334" s="344" t="s">
        <v>1027</v>
      </c>
    </row>
    <row r="335" spans="1:8" x14ac:dyDescent="0.25">
      <c r="A335" s="344">
        <f>+SUBTOTAL(3,$E$6:$E335)</f>
        <v>330</v>
      </c>
      <c r="B335" s="346" t="s">
        <v>564</v>
      </c>
      <c r="C335" s="344" t="str">
        <f>+VLOOKUP(B335,'Erection Compiled'!$C$7:$D$653,2,FALSE)</f>
        <v>DA+0</v>
      </c>
      <c r="D335" s="599">
        <v>46063</v>
      </c>
      <c r="E335" s="599">
        <v>46063</v>
      </c>
      <c r="F335" s="344" t="s">
        <v>1025</v>
      </c>
      <c r="G335" s="344" t="s">
        <v>1027</v>
      </c>
      <c r="H335" s="344" t="s">
        <v>1027</v>
      </c>
    </row>
    <row r="336" spans="1:8" x14ac:dyDescent="0.25">
      <c r="A336" s="344">
        <f>+SUBTOTAL(3,$E$6:$E336)</f>
        <v>331</v>
      </c>
      <c r="B336" s="346" t="s">
        <v>565</v>
      </c>
      <c r="C336" s="344" t="str">
        <f>+VLOOKUP(B336,'Erection Compiled'!$C$7:$D$653,2,FALSE)</f>
        <v>DB1+0</v>
      </c>
      <c r="D336" s="599">
        <v>46063</v>
      </c>
      <c r="E336" s="599">
        <v>46063</v>
      </c>
      <c r="F336" s="344" t="s">
        <v>1025</v>
      </c>
      <c r="G336" s="344" t="s">
        <v>1027</v>
      </c>
      <c r="H336" s="344" t="s">
        <v>1027</v>
      </c>
    </row>
    <row r="337" spans="1:8" x14ac:dyDescent="0.25">
      <c r="A337" s="344">
        <f>+SUBTOTAL(3,$E$6:$E337)</f>
        <v>332</v>
      </c>
      <c r="B337" s="346" t="s">
        <v>477</v>
      </c>
      <c r="C337" s="344" t="str">
        <f>+VLOOKUP(B337,'Erection Compiled'!$C$7:$D$653,2,FALSE)</f>
        <v>DA+0</v>
      </c>
      <c r="D337" s="599">
        <v>46063</v>
      </c>
      <c r="E337" s="599">
        <v>46063</v>
      </c>
      <c r="F337" s="344" t="s">
        <v>1611</v>
      </c>
      <c r="G337" s="344" t="s">
        <v>1027</v>
      </c>
      <c r="H337" s="344" t="s">
        <v>1027</v>
      </c>
    </row>
    <row r="338" spans="1:8" x14ac:dyDescent="0.25">
      <c r="A338" s="344">
        <f>+SUBTOTAL(3,$E$6:$E338)</f>
        <v>333</v>
      </c>
      <c r="B338" s="346" t="s">
        <v>478</v>
      </c>
      <c r="C338" s="344" t="str">
        <f>+VLOOKUP(B338,'Erection Compiled'!$C$7:$D$653,2,FALSE)</f>
        <v>DA+0</v>
      </c>
      <c r="D338" s="599">
        <v>46063</v>
      </c>
      <c r="E338" s="599">
        <v>46063</v>
      </c>
      <c r="F338" s="344" t="s">
        <v>1611</v>
      </c>
      <c r="G338" s="344" t="s">
        <v>1027</v>
      </c>
      <c r="H338" s="344" t="s">
        <v>1027</v>
      </c>
    </row>
    <row r="339" spans="1:8" x14ac:dyDescent="0.25">
      <c r="A339" s="344">
        <f>+SUBTOTAL(3,$E$6:$E339)</f>
        <v>334</v>
      </c>
      <c r="B339" s="346" t="s">
        <v>488</v>
      </c>
      <c r="C339" s="344" t="str">
        <f>+VLOOKUP(B339,'Erection Compiled'!$C$7:$D$653,2,FALSE)</f>
        <v>DA+6</v>
      </c>
      <c r="D339" s="599">
        <v>46063</v>
      </c>
      <c r="E339" s="599">
        <v>46063</v>
      </c>
      <c r="F339" s="344" t="s">
        <v>1611</v>
      </c>
      <c r="G339" s="344" t="s">
        <v>1027</v>
      </c>
      <c r="H339" s="344" t="s">
        <v>1027</v>
      </c>
    </row>
    <row r="340" spans="1:8" x14ac:dyDescent="0.25">
      <c r="A340" s="344">
        <f>+SUBTOTAL(3,$E$6:$E340)</f>
        <v>335</v>
      </c>
      <c r="B340" s="346" t="s">
        <v>47</v>
      </c>
      <c r="C340" s="344" t="str">
        <f>+VLOOKUP(B340,'Erection Compiled'!$C$7:$D$653,2,FALSE)</f>
        <v>DD60+0</v>
      </c>
      <c r="D340" s="599">
        <v>46063</v>
      </c>
      <c r="E340" s="599">
        <v>46063</v>
      </c>
      <c r="F340" s="344" t="s">
        <v>1611</v>
      </c>
      <c r="G340" s="344" t="s">
        <v>1027</v>
      </c>
      <c r="H340" s="344" t="s">
        <v>1027</v>
      </c>
    </row>
    <row r="341" spans="1:8" x14ac:dyDescent="0.25">
      <c r="A341" s="344">
        <f>+SUBTOTAL(3,$E$6:$E341)</f>
        <v>336</v>
      </c>
      <c r="B341" s="346" t="s">
        <v>507</v>
      </c>
      <c r="C341" s="344" t="str">
        <f>+VLOOKUP(B341,'Erection Compiled'!$C$7:$D$653,2,FALSE)</f>
        <v>DA+3</v>
      </c>
      <c r="D341" s="599">
        <v>46063</v>
      </c>
      <c r="E341" s="599">
        <v>46063</v>
      </c>
      <c r="F341" s="344" t="s">
        <v>1611</v>
      </c>
      <c r="G341" s="344" t="s">
        <v>1027</v>
      </c>
      <c r="H341" s="344" t="s">
        <v>1027</v>
      </c>
    </row>
    <row r="342" spans="1:8" x14ac:dyDescent="0.25">
      <c r="A342" s="344">
        <f>+SUBTOTAL(3,$E$6:$E342)</f>
        <v>337</v>
      </c>
      <c r="B342" s="346" t="s">
        <v>509</v>
      </c>
      <c r="C342" s="344" t="str">
        <f>+VLOOKUP(B342,'Erection Compiled'!$C$7:$D$653,2,FALSE)</f>
        <v>DC2+0</v>
      </c>
      <c r="D342" s="599">
        <v>46064</v>
      </c>
      <c r="E342" s="599">
        <v>46064</v>
      </c>
      <c r="F342" s="344" t="s">
        <v>1611</v>
      </c>
      <c r="G342" s="344" t="s">
        <v>1027</v>
      </c>
      <c r="H342" s="344" t="s">
        <v>1027</v>
      </c>
    </row>
    <row r="343" spans="1:8" x14ac:dyDescent="0.25">
      <c r="A343" s="344">
        <f>+SUBTOTAL(3,$E$6:$E343)</f>
        <v>338</v>
      </c>
      <c r="B343" s="346" t="s">
        <v>521</v>
      </c>
      <c r="C343" s="344" t="str">
        <f>+VLOOKUP(B343,'Erection Compiled'!$C$7:$D$653,2,FALSE)</f>
        <v>DA+0</v>
      </c>
      <c r="D343" s="599">
        <v>46064</v>
      </c>
      <c r="E343" s="599">
        <v>46064</v>
      </c>
      <c r="F343" s="344" t="s">
        <v>1611</v>
      </c>
      <c r="G343" s="344" t="s">
        <v>1027</v>
      </c>
      <c r="H343" s="344" t="s">
        <v>1027</v>
      </c>
    </row>
    <row r="344" spans="1:8" x14ac:dyDescent="0.25">
      <c r="A344" s="344">
        <f>+SUBTOTAL(3,$E$6:$E344)</f>
        <v>339</v>
      </c>
      <c r="B344" s="346" t="s">
        <v>522</v>
      </c>
      <c r="C344" s="344" t="str">
        <f>+VLOOKUP(B344,'Erection Compiled'!$C$7:$D$653,2,FALSE)</f>
        <v>DA+0</v>
      </c>
      <c r="D344" s="599">
        <v>46064</v>
      </c>
      <c r="E344" s="599">
        <v>46064</v>
      </c>
      <c r="F344" s="344" t="s">
        <v>1611</v>
      </c>
      <c r="G344" s="344" t="s">
        <v>1027</v>
      </c>
      <c r="H344" s="344" t="s">
        <v>1027</v>
      </c>
    </row>
    <row r="345" spans="1:8" x14ac:dyDescent="0.25">
      <c r="A345" s="344">
        <f>+SUBTOTAL(3,$E$6:$E345)</f>
        <v>340</v>
      </c>
      <c r="B345" s="346" t="s">
        <v>526</v>
      </c>
      <c r="C345" s="344" t="str">
        <f>+VLOOKUP(B345,'Erection Compiled'!$C$7:$D$653,2,FALSE)</f>
        <v>DA+3</v>
      </c>
      <c r="D345" s="599">
        <v>46064</v>
      </c>
      <c r="E345" s="599">
        <v>46064</v>
      </c>
      <c r="F345" s="344" t="s">
        <v>1611</v>
      </c>
      <c r="G345" s="344" t="s">
        <v>1027</v>
      </c>
      <c r="H345" s="344" t="s">
        <v>1027</v>
      </c>
    </row>
    <row r="346" spans="1:8" x14ac:dyDescent="0.25">
      <c r="A346" s="344">
        <f>+SUBTOTAL(3,$E$6:$E346)</f>
        <v>341</v>
      </c>
      <c r="B346" s="346" t="s">
        <v>527</v>
      </c>
      <c r="C346" s="344" t="str">
        <f>+VLOOKUP(B346,'Erection Compiled'!$C$7:$D$653,2,FALSE)</f>
        <v>DA+6</v>
      </c>
      <c r="D346" s="599">
        <v>46064</v>
      </c>
      <c r="E346" s="599">
        <v>46064</v>
      </c>
      <c r="F346" s="344" t="s">
        <v>1611</v>
      </c>
      <c r="G346" s="344" t="s">
        <v>1027</v>
      </c>
      <c r="H346" s="344" t="s">
        <v>1027</v>
      </c>
    </row>
    <row r="347" spans="1:8" x14ac:dyDescent="0.25">
      <c r="A347" s="344">
        <f>+SUBTOTAL(3,$E$6:$E347)</f>
        <v>342</v>
      </c>
      <c r="B347" s="346" t="s">
        <v>533</v>
      </c>
      <c r="C347" s="344" t="str">
        <f>+VLOOKUP(B347,'Erection Compiled'!$C$7:$D$653,2,FALSE)</f>
        <v>DA+6</v>
      </c>
      <c r="D347" s="599">
        <v>46064</v>
      </c>
      <c r="E347" s="599">
        <v>46064</v>
      </c>
      <c r="F347" s="344" t="s">
        <v>1611</v>
      </c>
      <c r="G347" s="344" t="s">
        <v>1027</v>
      </c>
      <c r="H347" s="344" t="s">
        <v>1027</v>
      </c>
    </row>
    <row r="348" spans="1:8" x14ac:dyDescent="0.25">
      <c r="A348" s="344">
        <f>+SUBTOTAL(3,$E$6:$E348)</f>
        <v>343</v>
      </c>
      <c r="B348" s="346" t="s">
        <v>566</v>
      </c>
      <c r="C348" s="344" t="str">
        <f>+VLOOKUP(B348,'Erection Compiled'!$C$7:$D$653,2,FALSE)</f>
        <v>DA+3</v>
      </c>
      <c r="D348" s="599">
        <v>46064</v>
      </c>
      <c r="E348" s="599">
        <v>46064</v>
      </c>
      <c r="F348" s="344" t="s">
        <v>1025</v>
      </c>
      <c r="G348" s="344" t="s">
        <v>1027</v>
      </c>
      <c r="H348" s="344" t="s">
        <v>1027</v>
      </c>
    </row>
    <row r="349" spans="1:8" x14ac:dyDescent="0.25">
      <c r="A349" s="344">
        <f>+SUBTOTAL(3,$E$6:$E349)</f>
        <v>344</v>
      </c>
      <c r="B349" s="346" t="s">
        <v>567</v>
      </c>
      <c r="C349" s="344" t="str">
        <f>+VLOOKUP(B349,'Erection Compiled'!$C$7:$D$653,2,FALSE)</f>
        <v>DA+0</v>
      </c>
      <c r="D349" s="599">
        <v>46064</v>
      </c>
      <c r="E349" s="599">
        <v>46064</v>
      </c>
      <c r="F349" s="344" t="s">
        <v>1025</v>
      </c>
      <c r="G349" s="344" t="s">
        <v>1027</v>
      </c>
      <c r="H349" s="344" t="s">
        <v>1027</v>
      </c>
    </row>
    <row r="350" spans="1:8" x14ac:dyDescent="0.25">
      <c r="A350" s="344">
        <f>+SUBTOTAL(3,$E$6:$E350)</f>
        <v>345</v>
      </c>
      <c r="B350" s="346" t="s">
        <v>568</v>
      </c>
      <c r="C350" s="344" t="str">
        <f>+VLOOKUP(B350,'Erection Compiled'!$C$7:$D$653,2,FALSE)</f>
        <v>DA+0</v>
      </c>
      <c r="D350" s="599">
        <v>46064</v>
      </c>
      <c r="E350" s="599">
        <v>46064</v>
      </c>
      <c r="F350" s="344" t="s">
        <v>1025</v>
      </c>
      <c r="G350" s="344" t="s">
        <v>1027</v>
      </c>
      <c r="H350" s="344" t="s">
        <v>1027</v>
      </c>
    </row>
    <row r="351" spans="1:8" x14ac:dyDescent="0.25">
      <c r="A351" s="344">
        <f>+SUBTOTAL(3,$E$6:$E351)</f>
        <v>346</v>
      </c>
      <c r="B351" s="346" t="s">
        <v>569</v>
      </c>
      <c r="C351" s="344" t="str">
        <f>+VLOOKUP(B351,'Erection Compiled'!$C$7:$D$653,2,FALSE)</f>
        <v>DA+3</v>
      </c>
      <c r="D351" s="599">
        <v>46065</v>
      </c>
      <c r="E351" s="599">
        <v>46065</v>
      </c>
      <c r="F351" s="344" t="s">
        <v>1025</v>
      </c>
      <c r="G351" s="344" t="s">
        <v>1027</v>
      </c>
      <c r="H351" s="344" t="s">
        <v>1027</v>
      </c>
    </row>
    <row r="352" spans="1:8" x14ac:dyDescent="0.25">
      <c r="A352" s="344">
        <f>+SUBTOTAL(3,$E$6:$E352)</f>
        <v>347</v>
      </c>
      <c r="B352" s="346" t="s">
        <v>570</v>
      </c>
      <c r="C352" s="344" t="str">
        <f>+VLOOKUP(B352,'Erection Compiled'!$C$7:$D$653,2,FALSE)</f>
        <v>DA+3</v>
      </c>
      <c r="D352" s="599">
        <v>46065</v>
      </c>
      <c r="E352" s="599">
        <v>46065</v>
      </c>
      <c r="F352" s="344" t="s">
        <v>1025</v>
      </c>
      <c r="G352" s="344" t="s">
        <v>1027</v>
      </c>
      <c r="H352" s="344" t="s">
        <v>1027</v>
      </c>
    </row>
    <row r="353" spans="1:8" x14ac:dyDescent="0.25">
      <c r="A353" s="344">
        <f>+SUBTOTAL(3,$E$6:$E353)</f>
        <v>348</v>
      </c>
      <c r="B353" s="346" t="s">
        <v>217</v>
      </c>
      <c r="C353" s="344" t="str">
        <f>+VLOOKUP(B353,'Erection Compiled'!$C$7:$D$653,2,FALSE)</f>
        <v>DA+3</v>
      </c>
      <c r="D353" s="599">
        <v>46065</v>
      </c>
      <c r="E353" s="599">
        <v>46065</v>
      </c>
      <c r="F353" s="344" t="s">
        <v>1025</v>
      </c>
      <c r="G353" s="344" t="s">
        <v>1027</v>
      </c>
      <c r="H353" s="344" t="s">
        <v>1027</v>
      </c>
    </row>
    <row r="354" spans="1:8" x14ac:dyDescent="0.25">
      <c r="A354" s="344">
        <f>+SUBTOTAL(3,$E$6:$E354)</f>
        <v>349</v>
      </c>
      <c r="B354" s="346" t="s">
        <v>571</v>
      </c>
      <c r="C354" s="344" t="str">
        <f>+VLOOKUP(B354,'Erection Compiled'!$C$7:$D$653,2,FALSE)</f>
        <v>DA+3</v>
      </c>
      <c r="D354" s="599">
        <v>46066</v>
      </c>
      <c r="E354" s="599">
        <v>46066</v>
      </c>
      <c r="F354" s="344" t="s">
        <v>1025</v>
      </c>
      <c r="G354" s="344" t="s">
        <v>1027</v>
      </c>
      <c r="H354" s="344" t="s">
        <v>1027</v>
      </c>
    </row>
    <row r="355" spans="1:8" x14ac:dyDescent="0.25">
      <c r="A355" s="344">
        <f>+SUBTOTAL(3,$E$6:$E355)</f>
        <v>350</v>
      </c>
      <c r="B355" s="346" t="s">
        <v>666</v>
      </c>
      <c r="C355" s="344" t="str">
        <f>+VLOOKUP(B355,'Erection Compiled'!$C$7:$D$653,2,FALSE)</f>
        <v>DB1+3</v>
      </c>
      <c r="D355" s="599">
        <v>46066</v>
      </c>
      <c r="E355" s="599">
        <v>46066</v>
      </c>
      <c r="F355" s="344" t="s">
        <v>1025</v>
      </c>
      <c r="G355" s="344" t="s">
        <v>1027</v>
      </c>
      <c r="H355" s="344" t="s">
        <v>1027</v>
      </c>
    </row>
    <row r="356" spans="1:8" x14ac:dyDescent="0.25">
      <c r="A356" s="344">
        <f>+SUBTOTAL(3,$E$6:$E356)</f>
        <v>351</v>
      </c>
      <c r="B356" s="346" t="s">
        <v>668</v>
      </c>
      <c r="C356" s="344" t="str">
        <f>+VLOOKUP(B356,'Erection Compiled'!$C$7:$D$653,2,FALSE)</f>
        <v>DA+0</v>
      </c>
      <c r="D356" s="599">
        <v>46067</v>
      </c>
      <c r="E356" s="599">
        <v>46067</v>
      </c>
      <c r="F356" s="344" t="s">
        <v>1025</v>
      </c>
      <c r="G356" s="344" t="s">
        <v>1027</v>
      </c>
      <c r="H356" s="344" t="s">
        <v>1027</v>
      </c>
    </row>
    <row r="357" spans="1:8" x14ac:dyDescent="0.25">
      <c r="A357" s="344">
        <f>+SUBTOTAL(3,$E$6:$E357)</f>
        <v>352</v>
      </c>
      <c r="B357" s="346" t="s">
        <v>672</v>
      </c>
      <c r="C357" s="344" t="str">
        <f>+VLOOKUP(B357,'Erection Compiled'!$C$7:$D$653,2,FALSE)</f>
        <v>DB1+3</v>
      </c>
      <c r="D357" s="599">
        <v>46067</v>
      </c>
      <c r="E357" s="599">
        <v>46067</v>
      </c>
      <c r="F357" s="344" t="s">
        <v>1025</v>
      </c>
      <c r="G357" s="344" t="s">
        <v>1027</v>
      </c>
      <c r="H357" s="344" t="s">
        <v>1027</v>
      </c>
    </row>
    <row r="358" spans="1:8" x14ac:dyDescent="0.25">
      <c r="A358" s="344"/>
      <c r="B358" s="346"/>
      <c r="C358" s="344"/>
      <c r="D358" s="599"/>
      <c r="E358" s="599"/>
      <c r="F358" s="344"/>
      <c r="G358" s="344"/>
      <c r="H358" s="344"/>
    </row>
    <row r="359" spans="1:8" x14ac:dyDescent="0.25">
      <c r="A359" s="344"/>
      <c r="B359" s="346"/>
      <c r="C359" s="344"/>
      <c r="D359" s="599"/>
      <c r="E359" s="599"/>
      <c r="F359" s="344"/>
      <c r="G359" s="344"/>
      <c r="H359" s="344"/>
    </row>
    <row r="360" spans="1:8" x14ac:dyDescent="0.25">
      <c r="A360" s="344"/>
      <c r="B360" s="346"/>
      <c r="C360" s="344"/>
      <c r="D360" s="599"/>
      <c r="E360" s="599"/>
      <c r="F360" s="344"/>
      <c r="G360" s="344"/>
      <c r="H360" s="344"/>
    </row>
    <row r="361" spans="1:8" x14ac:dyDescent="0.25">
      <c r="A361" s="344"/>
      <c r="B361" s="346"/>
      <c r="C361" s="344"/>
      <c r="D361" s="599"/>
      <c r="E361" s="599"/>
      <c r="F361" s="344"/>
      <c r="G361" s="344"/>
      <c r="H361" s="344"/>
    </row>
    <row r="362" spans="1:8" x14ac:dyDescent="0.25">
      <c r="A362" s="344"/>
      <c r="B362" s="344"/>
      <c r="C362" s="344"/>
      <c r="D362" s="344"/>
      <c r="E362" s="344"/>
      <c r="F362" s="344"/>
      <c r="G362" s="344"/>
      <c r="H362" s="344"/>
    </row>
    <row r="363" spans="1:8" x14ac:dyDescent="0.25">
      <c r="A363" s="344"/>
      <c r="B363" s="396"/>
      <c r="C363" s="396"/>
      <c r="D363" s="396"/>
      <c r="E363" s="396"/>
      <c r="F363" s="396"/>
      <c r="G363" s="396"/>
      <c r="H363" s="396"/>
    </row>
    <row r="365" spans="1:8" x14ac:dyDescent="0.25">
      <c r="F365" s="344"/>
    </row>
    <row r="368" spans="1:8" x14ac:dyDescent="0.25">
      <c r="F368" s="344"/>
    </row>
    <row r="369" spans="2:2" x14ac:dyDescent="0.25">
      <c r="B369" s="393" t="s">
        <v>477</v>
      </c>
    </row>
    <row r="370" spans="2:2" x14ac:dyDescent="0.25">
      <c r="B370" s="393" t="s">
        <v>478</v>
      </c>
    </row>
    <row r="371" spans="2:2" x14ac:dyDescent="0.25">
      <c r="B371" s="393" t="s">
        <v>488</v>
      </c>
    </row>
    <row r="372" spans="2:2" x14ac:dyDescent="0.25">
      <c r="B372" s="393" t="s">
        <v>47</v>
      </c>
    </row>
    <row r="373" spans="2:2" x14ac:dyDescent="0.25">
      <c r="B373" s="393" t="s">
        <v>507</v>
      </c>
    </row>
    <row r="374" spans="2:2" x14ac:dyDescent="0.25">
      <c r="B374" s="393" t="s">
        <v>509</v>
      </c>
    </row>
    <row r="375" spans="2:2" x14ac:dyDescent="0.25">
      <c r="B375" s="393" t="s">
        <v>521</v>
      </c>
    </row>
    <row r="376" spans="2:2" x14ac:dyDescent="0.25">
      <c r="B376" s="393" t="s">
        <v>522</v>
      </c>
    </row>
    <row r="377" spans="2:2" x14ac:dyDescent="0.25">
      <c r="B377" s="393" t="s">
        <v>526</v>
      </c>
    </row>
    <row r="378" spans="2:2" x14ac:dyDescent="0.25">
      <c r="B378" s="393" t="s">
        <v>527</v>
      </c>
    </row>
    <row r="379" spans="2:2" x14ac:dyDescent="0.25">
      <c r="B379" s="393" t="s">
        <v>533</v>
      </c>
    </row>
    <row r="380" spans="2:2" x14ac:dyDescent="0.25">
      <c r="B380" s="393" t="s">
        <v>566</v>
      </c>
    </row>
    <row r="381" spans="2:2" x14ac:dyDescent="0.25">
      <c r="B381" s="393" t="s">
        <v>567</v>
      </c>
    </row>
    <row r="382" spans="2:2" x14ac:dyDescent="0.25">
      <c r="B382" s="393" t="s">
        <v>568</v>
      </c>
    </row>
    <row r="383" spans="2:2" x14ac:dyDescent="0.25">
      <c r="B383" s="393" t="s">
        <v>569</v>
      </c>
    </row>
    <row r="384" spans="2:2" x14ac:dyDescent="0.25">
      <c r="B384" s="393" t="s">
        <v>570</v>
      </c>
    </row>
    <row r="385" spans="2:2" x14ac:dyDescent="0.25">
      <c r="B385" s="393" t="s">
        <v>217</v>
      </c>
    </row>
    <row r="386" spans="2:2" x14ac:dyDescent="0.25">
      <c r="B386" s="393" t="s">
        <v>571</v>
      </c>
    </row>
    <row r="387" spans="2:2" x14ac:dyDescent="0.25">
      <c r="B387" s="393" t="s">
        <v>666</v>
      </c>
    </row>
    <row r="388" spans="2:2" x14ac:dyDescent="0.25">
      <c r="B388" s="393" t="s">
        <v>668</v>
      </c>
    </row>
    <row r="389" spans="2:2" x14ac:dyDescent="0.25">
      <c r="B389" s="393" t="s">
        <v>672</v>
      </c>
    </row>
  </sheetData>
  <autoFilter ref="F1:F363"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5"/>
  <sheetViews>
    <sheetView workbookViewId="0">
      <pane ySplit="5" topLeftCell="A34" activePane="bottomLeft" state="frozen"/>
      <selection activeCell="N9" sqref="N9"/>
      <selection pane="bottomLeft" activeCell="A36" sqref="A36:XFD36"/>
    </sheetView>
  </sheetViews>
  <sheetFormatPr defaultRowHeight="12.75" x14ac:dyDescent="0.25"/>
  <cols>
    <col min="1" max="1" width="4" style="397" customWidth="1"/>
    <col min="2" max="2" width="5.7109375" style="397" bestFit="1" customWidth="1"/>
    <col min="3" max="3" width="5.140625" style="397" bestFit="1" customWidth="1"/>
    <col min="4" max="4" width="7.5703125" style="397" customWidth="1"/>
    <col min="5" max="5" width="22.7109375" style="397" bestFit="1" customWidth="1"/>
    <col min="6" max="6" width="8.42578125" style="397" customWidth="1"/>
    <col min="7" max="7" width="8.85546875" style="471" customWidth="1"/>
    <col min="8" max="9" width="10.42578125" style="397" bestFit="1" customWidth="1"/>
    <col min="10" max="10" width="8" style="397" customWidth="1"/>
    <col min="11" max="12" width="10.42578125" style="397" bestFit="1" customWidth="1"/>
    <col min="13" max="13" width="17.42578125" style="397" bestFit="1" customWidth="1"/>
    <col min="14" max="14" width="9.140625" style="397"/>
    <col min="15" max="15" width="3" style="471" bestFit="1" customWidth="1"/>
    <col min="16" max="16384" width="9.140625" style="397"/>
  </cols>
  <sheetData>
    <row r="1" spans="1:14" x14ac:dyDescent="0.25">
      <c r="A1" s="409" t="s">
        <v>1260</v>
      </c>
    </row>
    <row r="2" spans="1:14" x14ac:dyDescent="0.25">
      <c r="A2" s="398" t="s">
        <v>1226</v>
      </c>
    </row>
    <row r="3" spans="1:14" ht="15" customHeight="1" x14ac:dyDescent="0.25">
      <c r="A3" s="918" t="s">
        <v>12</v>
      </c>
      <c r="B3" s="918"/>
      <c r="C3" s="918"/>
      <c r="D3" s="918"/>
      <c r="E3" s="918"/>
      <c r="F3" s="918"/>
      <c r="G3" s="918"/>
      <c r="H3" s="918"/>
      <c r="I3" s="918"/>
      <c r="J3" s="918"/>
      <c r="K3" s="918"/>
      <c r="L3" s="918"/>
      <c r="M3" s="918"/>
      <c r="N3" s="918"/>
    </row>
    <row r="4" spans="1:14" ht="15" customHeight="1" x14ac:dyDescent="0.25">
      <c r="A4" s="922" t="s">
        <v>22</v>
      </c>
      <c r="B4" s="922" t="s">
        <v>13</v>
      </c>
      <c r="C4" s="922"/>
      <c r="D4" s="922" t="s">
        <v>120</v>
      </c>
      <c r="E4" s="922" t="s">
        <v>7</v>
      </c>
      <c r="F4" s="922" t="s">
        <v>14</v>
      </c>
      <c r="G4" s="923" t="s">
        <v>1397</v>
      </c>
      <c r="H4" s="923"/>
      <c r="I4" s="923"/>
      <c r="J4" s="919" t="s">
        <v>11</v>
      </c>
      <c r="K4" s="920"/>
      <c r="L4" s="920"/>
      <c r="M4" s="920"/>
      <c r="N4" s="921"/>
    </row>
    <row r="5" spans="1:14" ht="25.5" x14ac:dyDescent="0.25">
      <c r="A5" s="922"/>
      <c r="B5" s="469" t="s">
        <v>118</v>
      </c>
      <c r="C5" s="468" t="s">
        <v>119</v>
      </c>
      <c r="D5" s="922"/>
      <c r="E5" s="922"/>
      <c r="F5" s="922"/>
      <c r="G5" s="468" t="s">
        <v>14</v>
      </c>
      <c r="H5" s="468" t="s">
        <v>6</v>
      </c>
      <c r="I5" s="468" t="s">
        <v>5</v>
      </c>
      <c r="J5" s="468" t="s">
        <v>14</v>
      </c>
      <c r="K5" s="468" t="s">
        <v>6</v>
      </c>
      <c r="L5" s="468" t="s">
        <v>5</v>
      </c>
      <c r="M5" s="468" t="s">
        <v>9</v>
      </c>
      <c r="N5" s="468" t="s">
        <v>1157</v>
      </c>
    </row>
    <row r="6" spans="1:14" x14ac:dyDescent="0.25">
      <c r="A6" s="399">
        <v>1</v>
      </c>
      <c r="B6" s="399" t="s">
        <v>97</v>
      </c>
      <c r="C6" s="399" t="s">
        <v>98</v>
      </c>
      <c r="D6" s="399" t="s">
        <v>1034</v>
      </c>
      <c r="E6" s="400" t="s">
        <v>1030</v>
      </c>
      <c r="F6" s="750">
        <v>4.8769999999999998</v>
      </c>
      <c r="G6" s="399">
        <f t="shared" ref="G6:G32" si="0">F6</f>
        <v>4.8769999999999998</v>
      </c>
      <c r="H6" s="401">
        <v>45525</v>
      </c>
      <c r="I6" s="401">
        <v>45532</v>
      </c>
      <c r="J6" s="399">
        <f>G6</f>
        <v>4.8769999999999998</v>
      </c>
      <c r="K6" s="401">
        <v>45544</v>
      </c>
      <c r="L6" s="401">
        <v>45551</v>
      </c>
      <c r="M6" s="402" t="s">
        <v>1033</v>
      </c>
      <c r="N6" s="403">
        <v>45536</v>
      </c>
    </row>
    <row r="7" spans="1:14" x14ac:dyDescent="0.25">
      <c r="A7" s="404">
        <v>2</v>
      </c>
      <c r="B7" s="404" t="s">
        <v>98</v>
      </c>
      <c r="C7" s="404" t="s">
        <v>99</v>
      </c>
      <c r="D7" s="404" t="s">
        <v>1034</v>
      </c>
      <c r="E7" s="405" t="s">
        <v>1030</v>
      </c>
      <c r="F7" s="710">
        <v>4.5679999999999996</v>
      </c>
      <c r="G7" s="404">
        <f t="shared" si="0"/>
        <v>4.5679999999999996</v>
      </c>
      <c r="H7" s="406">
        <v>45541</v>
      </c>
      <c r="I7" s="406">
        <v>45551</v>
      </c>
      <c r="J7" s="404">
        <f t="shared" ref="J7:J17" si="1">G7</f>
        <v>4.5679999999999996</v>
      </c>
      <c r="K7" s="406">
        <v>45561</v>
      </c>
      <c r="L7" s="406">
        <v>45568</v>
      </c>
      <c r="M7" s="407" t="s">
        <v>1033</v>
      </c>
      <c r="N7" s="403">
        <v>45566</v>
      </c>
    </row>
    <row r="8" spans="1:14" x14ac:dyDescent="0.25">
      <c r="A8" s="404">
        <v>3</v>
      </c>
      <c r="B8" s="404" t="s">
        <v>99</v>
      </c>
      <c r="C8" s="404" t="s">
        <v>100</v>
      </c>
      <c r="D8" s="404" t="s">
        <v>1034</v>
      </c>
      <c r="E8" s="405" t="s">
        <v>1030</v>
      </c>
      <c r="F8" s="710">
        <v>4.8630000000000004</v>
      </c>
      <c r="G8" s="404">
        <f t="shared" si="0"/>
        <v>4.8630000000000004</v>
      </c>
      <c r="H8" s="406">
        <v>45558</v>
      </c>
      <c r="I8" s="406">
        <v>45567</v>
      </c>
      <c r="J8" s="404">
        <f t="shared" si="1"/>
        <v>4.8630000000000004</v>
      </c>
      <c r="K8" s="406">
        <v>45582</v>
      </c>
      <c r="L8" s="406">
        <v>45587</v>
      </c>
      <c r="M8" s="407" t="s">
        <v>1033</v>
      </c>
      <c r="N8" s="403">
        <v>45566</v>
      </c>
    </row>
    <row r="9" spans="1:14" x14ac:dyDescent="0.25">
      <c r="A9" s="404">
        <v>4</v>
      </c>
      <c r="B9" s="404" t="s">
        <v>100</v>
      </c>
      <c r="C9" s="404" t="s">
        <v>808</v>
      </c>
      <c r="D9" s="404" t="s">
        <v>1034</v>
      </c>
      <c r="E9" s="405" t="s">
        <v>1030</v>
      </c>
      <c r="F9" s="710">
        <v>3.7109999999999999</v>
      </c>
      <c r="G9" s="404">
        <f t="shared" si="0"/>
        <v>3.7109999999999999</v>
      </c>
      <c r="H9" s="406">
        <v>45579</v>
      </c>
      <c r="I9" s="406">
        <v>45586</v>
      </c>
      <c r="J9" s="404">
        <f t="shared" si="1"/>
        <v>3.7109999999999999</v>
      </c>
      <c r="K9" s="406">
        <v>45596</v>
      </c>
      <c r="L9" s="406">
        <v>45602</v>
      </c>
      <c r="M9" s="405" t="s">
        <v>1033</v>
      </c>
      <c r="N9" s="403">
        <v>45597</v>
      </c>
    </row>
    <row r="10" spans="1:14" x14ac:dyDescent="0.25">
      <c r="A10" s="404">
        <v>5</v>
      </c>
      <c r="B10" s="404" t="s">
        <v>808</v>
      </c>
      <c r="C10" s="404" t="s">
        <v>820</v>
      </c>
      <c r="D10" s="404" t="s">
        <v>1034</v>
      </c>
      <c r="E10" s="405" t="s">
        <v>1030</v>
      </c>
      <c r="F10" s="710">
        <v>4.9180000000000001</v>
      </c>
      <c r="G10" s="604">
        <f t="shared" si="0"/>
        <v>4.9180000000000001</v>
      </c>
      <c r="H10" s="406">
        <v>45595</v>
      </c>
      <c r="I10" s="406">
        <v>45601</v>
      </c>
      <c r="J10" s="604">
        <f t="shared" si="1"/>
        <v>4.9180000000000001</v>
      </c>
      <c r="K10" s="406">
        <v>45609</v>
      </c>
      <c r="L10" s="406">
        <v>45612</v>
      </c>
      <c r="M10" s="405" t="s">
        <v>1033</v>
      </c>
      <c r="N10" s="403">
        <v>45597</v>
      </c>
    </row>
    <row r="11" spans="1:14" x14ac:dyDescent="0.25">
      <c r="A11" s="404">
        <v>6</v>
      </c>
      <c r="B11" s="404" t="s">
        <v>759</v>
      </c>
      <c r="C11" s="404" t="s">
        <v>97</v>
      </c>
      <c r="D11" s="404" t="s">
        <v>1034</v>
      </c>
      <c r="E11" s="405" t="s">
        <v>1031</v>
      </c>
      <c r="F11" s="710">
        <v>3.778</v>
      </c>
      <c r="G11" s="604">
        <f t="shared" si="0"/>
        <v>3.778</v>
      </c>
      <c r="H11" s="406">
        <v>45648</v>
      </c>
      <c r="I11" s="406">
        <v>45653</v>
      </c>
      <c r="J11" s="604">
        <f t="shared" si="1"/>
        <v>3.778</v>
      </c>
      <c r="K11" s="406">
        <v>45661</v>
      </c>
      <c r="L11" s="406">
        <v>45666</v>
      </c>
      <c r="M11" s="405" t="s">
        <v>1033</v>
      </c>
      <c r="N11" s="403">
        <v>45658</v>
      </c>
    </row>
    <row r="12" spans="1:14" x14ac:dyDescent="0.25">
      <c r="A12" s="404">
        <v>7</v>
      </c>
      <c r="B12" s="404" t="s">
        <v>35</v>
      </c>
      <c r="C12" s="404" t="s">
        <v>759</v>
      </c>
      <c r="D12" s="404" t="s">
        <v>1034</v>
      </c>
      <c r="E12" s="405" t="s">
        <v>1031</v>
      </c>
      <c r="F12" s="710">
        <v>3.3370000000000002</v>
      </c>
      <c r="G12" s="604">
        <f t="shared" si="0"/>
        <v>3.3370000000000002</v>
      </c>
      <c r="H12" s="406">
        <v>45659</v>
      </c>
      <c r="I12" s="406">
        <v>45665</v>
      </c>
      <c r="J12" s="604">
        <f t="shared" si="1"/>
        <v>3.3370000000000002</v>
      </c>
      <c r="K12" s="406">
        <v>45669</v>
      </c>
      <c r="L12" s="406">
        <v>45672</v>
      </c>
      <c r="M12" s="405" t="s">
        <v>1033</v>
      </c>
      <c r="N12" s="403">
        <v>45658</v>
      </c>
    </row>
    <row r="13" spans="1:14" x14ac:dyDescent="0.25">
      <c r="A13" s="404">
        <v>8</v>
      </c>
      <c r="B13" s="404" t="s">
        <v>820</v>
      </c>
      <c r="C13" s="404" t="s">
        <v>101</v>
      </c>
      <c r="D13" s="404" t="s">
        <v>1034</v>
      </c>
      <c r="E13" s="405" t="s">
        <v>1032</v>
      </c>
      <c r="F13" s="710">
        <v>4.7359999999999998</v>
      </c>
      <c r="G13" s="604">
        <f t="shared" si="0"/>
        <v>4.7359999999999998</v>
      </c>
      <c r="H13" s="406">
        <v>45691</v>
      </c>
      <c r="I13" s="406">
        <v>45738</v>
      </c>
      <c r="J13" s="604">
        <f t="shared" si="1"/>
        <v>4.7359999999999998</v>
      </c>
      <c r="K13" s="406">
        <v>45726</v>
      </c>
      <c r="L13" s="406">
        <v>45739</v>
      </c>
      <c r="M13" s="405" t="s">
        <v>1033</v>
      </c>
      <c r="N13" s="403">
        <v>45717</v>
      </c>
    </row>
    <row r="14" spans="1:14" x14ac:dyDescent="0.25">
      <c r="A14" s="404">
        <v>9</v>
      </c>
      <c r="B14" s="404" t="s">
        <v>1029</v>
      </c>
      <c r="C14" s="404" t="s">
        <v>709</v>
      </c>
      <c r="D14" s="404" t="s">
        <v>1034</v>
      </c>
      <c r="E14" s="405" t="s">
        <v>1031</v>
      </c>
      <c r="F14" s="710">
        <v>4.444</v>
      </c>
      <c r="G14" s="604">
        <f t="shared" si="0"/>
        <v>4.444</v>
      </c>
      <c r="H14" s="406">
        <v>45728</v>
      </c>
      <c r="I14" s="406">
        <v>45739</v>
      </c>
      <c r="J14" s="604">
        <f t="shared" si="1"/>
        <v>4.444</v>
      </c>
      <c r="K14" s="406">
        <v>45733</v>
      </c>
      <c r="L14" s="406">
        <v>45740</v>
      </c>
      <c r="M14" s="405" t="s">
        <v>1033</v>
      </c>
      <c r="N14" s="403">
        <v>45717</v>
      </c>
    </row>
    <row r="15" spans="1:14" x14ac:dyDescent="0.25">
      <c r="A15" s="404">
        <v>10</v>
      </c>
      <c r="B15" s="404" t="s">
        <v>91</v>
      </c>
      <c r="C15" s="404" t="s">
        <v>92</v>
      </c>
      <c r="D15" s="404" t="s">
        <v>1034</v>
      </c>
      <c r="E15" s="405" t="s">
        <v>1031</v>
      </c>
      <c r="F15" s="710">
        <v>3.2269999999999999</v>
      </c>
      <c r="G15" s="604">
        <f t="shared" si="0"/>
        <v>3.2269999999999999</v>
      </c>
      <c r="H15" s="406">
        <v>45694</v>
      </c>
      <c r="I15" s="406">
        <v>45707</v>
      </c>
      <c r="J15" s="604">
        <f t="shared" si="1"/>
        <v>3.2269999999999999</v>
      </c>
      <c r="K15" s="406">
        <v>45778</v>
      </c>
      <c r="L15" s="406">
        <v>45782</v>
      </c>
      <c r="M15" s="405" t="s">
        <v>1033</v>
      </c>
      <c r="N15" s="403">
        <v>45778</v>
      </c>
    </row>
    <row r="16" spans="1:14" x14ac:dyDescent="0.25">
      <c r="A16" s="404">
        <v>11</v>
      </c>
      <c r="B16" s="404" t="s">
        <v>709</v>
      </c>
      <c r="C16" s="404" t="s">
        <v>712</v>
      </c>
      <c r="D16" s="404" t="s">
        <v>1034</v>
      </c>
      <c r="E16" s="405" t="s">
        <v>1031</v>
      </c>
      <c r="F16" s="710">
        <v>1.0489999999999999</v>
      </c>
      <c r="G16" s="604">
        <f t="shared" si="0"/>
        <v>1.0489999999999999</v>
      </c>
      <c r="H16" s="406">
        <v>45749</v>
      </c>
      <c r="I16" s="406">
        <v>45755</v>
      </c>
      <c r="J16" s="604">
        <f t="shared" si="1"/>
        <v>1.0489999999999999</v>
      </c>
      <c r="K16" s="406">
        <v>45751</v>
      </c>
      <c r="L16" s="406">
        <v>45756</v>
      </c>
      <c r="M16" s="405" t="s">
        <v>1033</v>
      </c>
      <c r="N16" s="403">
        <v>45748</v>
      </c>
    </row>
    <row r="17" spans="1:15" ht="14.25" customHeight="1" x14ac:dyDescent="0.25">
      <c r="A17" s="404">
        <v>11</v>
      </c>
      <c r="B17" s="477" t="s">
        <v>855</v>
      </c>
      <c r="C17" s="477" t="s">
        <v>865</v>
      </c>
      <c r="D17" s="404" t="s">
        <v>1034</v>
      </c>
      <c r="E17" s="667" t="s">
        <v>1587</v>
      </c>
      <c r="F17" s="710">
        <v>3.7879999999999998</v>
      </c>
      <c r="G17" s="604">
        <f t="shared" si="0"/>
        <v>3.7879999999999998</v>
      </c>
      <c r="H17" s="406">
        <v>45809</v>
      </c>
      <c r="I17" s="406">
        <v>45829</v>
      </c>
      <c r="J17" s="604">
        <f t="shared" si="1"/>
        <v>3.7879999999999998</v>
      </c>
      <c r="K17" s="406">
        <v>45926</v>
      </c>
      <c r="L17" s="406">
        <v>45930</v>
      </c>
      <c r="M17" s="405" t="s">
        <v>1033</v>
      </c>
      <c r="N17" s="403">
        <v>45901</v>
      </c>
    </row>
    <row r="18" spans="1:15" x14ac:dyDescent="0.25">
      <c r="A18" s="404">
        <v>12</v>
      </c>
      <c r="B18" s="477" t="s">
        <v>852</v>
      </c>
      <c r="C18" s="404" t="s">
        <v>855</v>
      </c>
      <c r="D18" s="404" t="s">
        <v>1034</v>
      </c>
      <c r="E18" s="667" t="s">
        <v>1587</v>
      </c>
      <c r="F18" s="710">
        <v>1.6279999999999999</v>
      </c>
      <c r="G18" s="604">
        <f t="shared" si="0"/>
        <v>1.6279999999999999</v>
      </c>
      <c r="H18" s="406">
        <v>45964</v>
      </c>
      <c r="I18" s="406">
        <v>45969</v>
      </c>
      <c r="J18" s="604">
        <f>G18</f>
        <v>1.6279999999999999</v>
      </c>
      <c r="K18" s="406">
        <v>45982</v>
      </c>
      <c r="L18" s="406">
        <v>45986</v>
      </c>
      <c r="M18" s="667" t="s">
        <v>1632</v>
      </c>
      <c r="N18" s="403">
        <v>45962</v>
      </c>
    </row>
    <row r="19" spans="1:15" x14ac:dyDescent="0.25">
      <c r="A19" s="404">
        <v>13</v>
      </c>
      <c r="B19" s="477" t="s">
        <v>446</v>
      </c>
      <c r="C19" s="477" t="s">
        <v>38</v>
      </c>
      <c r="D19" s="404" t="s">
        <v>1034</v>
      </c>
      <c r="E19" s="405" t="s">
        <v>1620</v>
      </c>
      <c r="F19" s="772">
        <v>3.823</v>
      </c>
      <c r="G19" s="604">
        <f t="shared" si="0"/>
        <v>3.823</v>
      </c>
      <c r="H19" s="406">
        <v>45974</v>
      </c>
      <c r="I19" s="406">
        <v>45979</v>
      </c>
      <c r="J19" s="604">
        <f>G19</f>
        <v>3.823</v>
      </c>
      <c r="K19" s="406">
        <v>46021</v>
      </c>
      <c r="L19" s="406">
        <v>46036</v>
      </c>
      <c r="M19" s="667" t="s">
        <v>1632</v>
      </c>
      <c r="N19" s="403">
        <v>46023</v>
      </c>
      <c r="O19" s="471">
        <v>42</v>
      </c>
    </row>
    <row r="20" spans="1:15" x14ac:dyDescent="0.25">
      <c r="A20" s="404">
        <v>14</v>
      </c>
      <c r="B20" s="477" t="s">
        <v>106</v>
      </c>
      <c r="C20" s="404" t="s">
        <v>852</v>
      </c>
      <c r="D20" s="404" t="s">
        <v>1034</v>
      </c>
      <c r="E20" s="667" t="s">
        <v>1617</v>
      </c>
      <c r="F20" s="710">
        <v>3.6749999999999998</v>
      </c>
      <c r="G20" s="604">
        <f t="shared" si="0"/>
        <v>3.6749999999999998</v>
      </c>
      <c r="H20" s="406">
        <v>45981</v>
      </c>
      <c r="I20" s="406">
        <v>45986</v>
      </c>
      <c r="J20" s="604">
        <f>G20</f>
        <v>3.6749999999999998</v>
      </c>
      <c r="K20" s="406">
        <v>45989</v>
      </c>
      <c r="L20" s="406">
        <v>45991</v>
      </c>
      <c r="M20" s="667" t="s">
        <v>1632</v>
      </c>
      <c r="N20" s="403">
        <v>45962</v>
      </c>
      <c r="O20" s="471">
        <v>62</v>
      </c>
    </row>
    <row r="21" spans="1:15" x14ac:dyDescent="0.25">
      <c r="A21" s="404">
        <v>15</v>
      </c>
      <c r="B21" s="477" t="s">
        <v>626</v>
      </c>
      <c r="C21" s="477" t="s">
        <v>446</v>
      </c>
      <c r="D21" s="404" t="s">
        <v>1034</v>
      </c>
      <c r="E21" s="405" t="s">
        <v>1620</v>
      </c>
      <c r="F21" s="710">
        <v>3.4260000000000002</v>
      </c>
      <c r="G21" s="604">
        <f t="shared" si="0"/>
        <v>3.4260000000000002</v>
      </c>
      <c r="H21" s="406">
        <v>45982</v>
      </c>
      <c r="I21" s="406">
        <v>45989</v>
      </c>
      <c r="J21" s="604">
        <f>G21</f>
        <v>3.4260000000000002</v>
      </c>
      <c r="K21" s="406">
        <v>45989</v>
      </c>
      <c r="L21" s="406">
        <v>45991</v>
      </c>
      <c r="M21" s="667" t="s">
        <v>1632</v>
      </c>
      <c r="N21" s="403">
        <v>45962</v>
      </c>
      <c r="O21" s="471">
        <v>54</v>
      </c>
    </row>
    <row r="22" spans="1:15" x14ac:dyDescent="0.25">
      <c r="A22" s="404">
        <v>16</v>
      </c>
      <c r="B22" s="404" t="s">
        <v>105</v>
      </c>
      <c r="C22" s="404" t="s">
        <v>106</v>
      </c>
      <c r="D22" s="404" t="s">
        <v>1034</v>
      </c>
      <c r="E22" s="667" t="s">
        <v>1617</v>
      </c>
      <c r="F22" s="710">
        <v>4.9660000000000002</v>
      </c>
      <c r="G22" s="604">
        <f t="shared" si="0"/>
        <v>4.9660000000000002</v>
      </c>
      <c r="H22" s="406">
        <v>45999</v>
      </c>
      <c r="I22" s="406">
        <v>46007</v>
      </c>
      <c r="J22" s="604">
        <f>G22</f>
        <v>4.9660000000000002</v>
      </c>
      <c r="K22" s="764">
        <v>46003</v>
      </c>
      <c r="L22" s="764">
        <v>46008</v>
      </c>
      <c r="M22" s="667" t="s">
        <v>1632</v>
      </c>
      <c r="N22" s="403">
        <v>45992</v>
      </c>
      <c r="O22" s="471">
        <v>62</v>
      </c>
    </row>
    <row r="23" spans="1:15" x14ac:dyDescent="0.25">
      <c r="A23" s="404">
        <v>17</v>
      </c>
      <c r="B23" s="477" t="s">
        <v>93</v>
      </c>
      <c r="C23" s="404" t="s">
        <v>94</v>
      </c>
      <c r="D23" s="404" t="s">
        <v>1631</v>
      </c>
      <c r="E23" s="667" t="s">
        <v>1636</v>
      </c>
      <c r="F23" s="710">
        <v>0.22</v>
      </c>
      <c r="G23" s="604">
        <f t="shared" si="0"/>
        <v>0.22</v>
      </c>
      <c r="H23" s="406">
        <f>I23-6</f>
        <v>45981</v>
      </c>
      <c r="I23" s="406">
        <v>45987</v>
      </c>
      <c r="J23" s="604">
        <f t="shared" ref="J23:J32" si="2">G23</f>
        <v>0.22</v>
      </c>
      <c r="K23" s="406">
        <f>L23-6</f>
        <v>45981</v>
      </c>
      <c r="L23" s="406">
        <v>45987</v>
      </c>
      <c r="M23" s="667" t="s">
        <v>1632</v>
      </c>
      <c r="N23" s="403">
        <v>45962</v>
      </c>
    </row>
    <row r="24" spans="1:15" x14ac:dyDescent="0.25">
      <c r="A24" s="404">
        <v>18</v>
      </c>
      <c r="B24" s="477" t="s">
        <v>89</v>
      </c>
      <c r="C24" s="404" t="s">
        <v>90</v>
      </c>
      <c r="D24" s="404" t="s">
        <v>1631</v>
      </c>
      <c r="E24" s="667" t="s">
        <v>1636</v>
      </c>
      <c r="F24" s="710">
        <v>0.19908000000000001</v>
      </c>
      <c r="G24" s="604">
        <f t="shared" si="0"/>
        <v>0.19908000000000001</v>
      </c>
      <c r="H24" s="406">
        <v>45997</v>
      </c>
      <c r="I24" s="406">
        <v>46002</v>
      </c>
      <c r="J24" s="604">
        <f t="shared" si="2"/>
        <v>0.19908000000000001</v>
      </c>
      <c r="K24" s="406">
        <v>45997</v>
      </c>
      <c r="L24" s="406">
        <v>46002</v>
      </c>
      <c r="M24" s="667" t="s">
        <v>1632</v>
      </c>
      <c r="N24" s="403">
        <v>45992</v>
      </c>
      <c r="O24" s="471">
        <v>18</v>
      </c>
    </row>
    <row r="25" spans="1:15" x14ac:dyDescent="0.25">
      <c r="A25" s="404">
        <v>19</v>
      </c>
      <c r="B25" s="477" t="s">
        <v>104</v>
      </c>
      <c r="C25" s="404" t="s">
        <v>105</v>
      </c>
      <c r="D25" s="404" t="s">
        <v>1034</v>
      </c>
      <c r="E25" s="667" t="s">
        <v>1617</v>
      </c>
      <c r="F25" s="710">
        <v>0.76900000000000002</v>
      </c>
      <c r="G25" s="604">
        <f t="shared" si="0"/>
        <v>0.76900000000000002</v>
      </c>
      <c r="H25" s="406">
        <v>46009</v>
      </c>
      <c r="I25" s="406">
        <v>46015</v>
      </c>
      <c r="J25" s="604">
        <f t="shared" si="2"/>
        <v>0.76900000000000002</v>
      </c>
      <c r="K25" s="406">
        <v>46012</v>
      </c>
      <c r="L25" s="406">
        <v>46016</v>
      </c>
      <c r="M25" s="667" t="s">
        <v>1632</v>
      </c>
      <c r="N25" s="403">
        <v>45992</v>
      </c>
    </row>
    <row r="26" spans="1:15" x14ac:dyDescent="0.25">
      <c r="A26" s="404">
        <v>20</v>
      </c>
      <c r="B26" s="477" t="s">
        <v>102</v>
      </c>
      <c r="C26" s="404" t="s">
        <v>103</v>
      </c>
      <c r="D26" s="404" t="s">
        <v>1034</v>
      </c>
      <c r="E26" s="667" t="s">
        <v>1617</v>
      </c>
      <c r="F26" s="772">
        <v>1.0609999999999999</v>
      </c>
      <c r="G26" s="604">
        <f t="shared" si="0"/>
        <v>1.0609999999999999</v>
      </c>
      <c r="H26" s="406">
        <v>46017</v>
      </c>
      <c r="I26" s="406">
        <v>46019</v>
      </c>
      <c r="J26" s="604">
        <f t="shared" si="2"/>
        <v>1.0609999999999999</v>
      </c>
      <c r="K26" s="406">
        <v>46028</v>
      </c>
      <c r="L26" s="406">
        <v>46030</v>
      </c>
      <c r="M26" s="667" t="s">
        <v>1632</v>
      </c>
      <c r="N26" s="403">
        <v>46023</v>
      </c>
    </row>
    <row r="27" spans="1:15" x14ac:dyDescent="0.25">
      <c r="A27" s="404">
        <v>21</v>
      </c>
      <c r="B27" s="477" t="s">
        <v>103</v>
      </c>
      <c r="C27" s="404" t="s">
        <v>104</v>
      </c>
      <c r="D27" s="404" t="s">
        <v>1631</v>
      </c>
      <c r="E27" s="667" t="s">
        <v>1617</v>
      </c>
      <c r="F27" s="710">
        <v>0.2</v>
      </c>
      <c r="G27" s="604">
        <f t="shared" si="0"/>
        <v>0.2</v>
      </c>
      <c r="H27" s="406">
        <v>46020</v>
      </c>
      <c r="I27" s="406">
        <v>46020</v>
      </c>
      <c r="J27" s="604">
        <f t="shared" si="2"/>
        <v>0.2</v>
      </c>
      <c r="K27" s="406">
        <v>46020</v>
      </c>
      <c r="L27" s="406">
        <v>46020</v>
      </c>
      <c r="M27" s="667" t="s">
        <v>1632</v>
      </c>
      <c r="N27" s="403">
        <v>45992</v>
      </c>
    </row>
    <row r="28" spans="1:15" x14ac:dyDescent="0.25">
      <c r="A28" s="404">
        <v>22</v>
      </c>
      <c r="B28" s="477" t="s">
        <v>101</v>
      </c>
      <c r="C28" s="404" t="s">
        <v>102</v>
      </c>
      <c r="D28" s="404" t="s">
        <v>1631</v>
      </c>
      <c r="E28" s="667" t="s">
        <v>1617</v>
      </c>
      <c r="F28" s="772">
        <v>0.20780000000000001</v>
      </c>
      <c r="G28" s="604">
        <f t="shared" si="0"/>
        <v>0.20780000000000001</v>
      </c>
      <c r="H28" s="406">
        <v>46025</v>
      </c>
      <c r="I28" s="406">
        <v>46025</v>
      </c>
      <c r="J28" s="604">
        <f t="shared" si="2"/>
        <v>0.20780000000000001</v>
      </c>
      <c r="K28" s="406">
        <v>46025</v>
      </c>
      <c r="L28" s="406">
        <v>46025</v>
      </c>
      <c r="M28" s="667" t="s">
        <v>1632</v>
      </c>
      <c r="N28" s="403">
        <v>46023</v>
      </c>
    </row>
    <row r="29" spans="1:15" x14ac:dyDescent="0.25">
      <c r="A29" s="404">
        <v>23</v>
      </c>
      <c r="B29" s="477" t="s">
        <v>38</v>
      </c>
      <c r="C29" s="404" t="s">
        <v>39</v>
      </c>
      <c r="D29" s="404" t="s">
        <v>1631</v>
      </c>
      <c r="E29" s="667" t="s">
        <v>1636</v>
      </c>
      <c r="F29" s="772">
        <v>0.22650000000000001</v>
      </c>
      <c r="G29" s="604">
        <f t="shared" si="0"/>
        <v>0.22650000000000001</v>
      </c>
      <c r="H29" s="406">
        <v>46032</v>
      </c>
      <c r="I29" s="406">
        <v>46038</v>
      </c>
      <c r="J29" s="604">
        <f t="shared" si="2"/>
        <v>0.22650000000000001</v>
      </c>
      <c r="K29" s="406">
        <v>46033</v>
      </c>
      <c r="L29" s="406">
        <v>46038</v>
      </c>
      <c r="M29" s="667" t="s">
        <v>1632</v>
      </c>
      <c r="N29" s="403">
        <v>46023</v>
      </c>
    </row>
    <row r="30" spans="1:15" x14ac:dyDescent="0.25">
      <c r="A30" s="404">
        <v>24</v>
      </c>
      <c r="B30" s="477" t="s">
        <v>94</v>
      </c>
      <c r="C30" s="404" t="s">
        <v>95</v>
      </c>
      <c r="D30" s="404" t="s">
        <v>1034</v>
      </c>
      <c r="E30" s="667" t="s">
        <v>1617</v>
      </c>
      <c r="F30" s="710">
        <v>3.2869999999999999</v>
      </c>
      <c r="G30" s="604">
        <f t="shared" si="0"/>
        <v>3.2869999999999999</v>
      </c>
      <c r="H30" s="406">
        <v>46041</v>
      </c>
      <c r="I30" s="406">
        <v>46046</v>
      </c>
      <c r="J30" s="604">
        <f t="shared" si="2"/>
        <v>3.2869999999999999</v>
      </c>
      <c r="K30" s="406">
        <v>46051</v>
      </c>
      <c r="L30" s="406">
        <v>46053</v>
      </c>
      <c r="M30" s="667" t="s">
        <v>1632</v>
      </c>
      <c r="N30" s="403">
        <v>46023</v>
      </c>
    </row>
    <row r="31" spans="1:15" x14ac:dyDescent="0.25">
      <c r="A31" s="404">
        <v>25</v>
      </c>
      <c r="B31" s="477" t="s">
        <v>164</v>
      </c>
      <c r="C31" s="477" t="s">
        <v>476</v>
      </c>
      <c r="D31" s="404" t="s">
        <v>1034</v>
      </c>
      <c r="E31" s="667" t="s">
        <v>1652</v>
      </c>
      <c r="F31" s="710">
        <v>4.95</v>
      </c>
      <c r="G31" s="604">
        <f t="shared" si="0"/>
        <v>4.95</v>
      </c>
      <c r="H31" s="406">
        <v>46036</v>
      </c>
      <c r="I31" s="406">
        <v>46044</v>
      </c>
      <c r="J31" s="604">
        <f t="shared" si="2"/>
        <v>4.95</v>
      </c>
      <c r="K31" s="406">
        <v>46058</v>
      </c>
      <c r="L31" s="406">
        <v>46060</v>
      </c>
      <c r="M31" s="667" t="s">
        <v>1632</v>
      </c>
      <c r="N31" s="403">
        <v>46054</v>
      </c>
    </row>
    <row r="32" spans="1:15" x14ac:dyDescent="0.25">
      <c r="A32" s="404">
        <v>26</v>
      </c>
      <c r="B32" s="477" t="s">
        <v>90</v>
      </c>
      <c r="C32" s="404" t="s">
        <v>690</v>
      </c>
      <c r="D32" s="404" t="s">
        <v>1034</v>
      </c>
      <c r="E32" s="667" t="s">
        <v>1671</v>
      </c>
      <c r="F32" s="710">
        <v>4.4770000000000003</v>
      </c>
      <c r="G32" s="604">
        <f t="shared" si="0"/>
        <v>4.4770000000000003</v>
      </c>
      <c r="H32" s="406">
        <v>46048</v>
      </c>
      <c r="I32" s="406">
        <v>46053</v>
      </c>
      <c r="J32" s="604">
        <f t="shared" si="2"/>
        <v>4.4770000000000003</v>
      </c>
      <c r="K32" s="406">
        <v>46050</v>
      </c>
      <c r="L32" s="406">
        <v>46053</v>
      </c>
      <c r="M32" s="667" t="s">
        <v>1632</v>
      </c>
      <c r="N32" s="403">
        <v>46023</v>
      </c>
    </row>
    <row r="33" spans="1:15" s="771" customFormat="1" ht="114.75" x14ac:dyDescent="0.25">
      <c r="A33" s="765">
        <v>27</v>
      </c>
      <c r="B33" s="766" t="s">
        <v>738</v>
      </c>
      <c r="C33" s="765" t="s">
        <v>93</v>
      </c>
      <c r="D33" s="765" t="s">
        <v>1034</v>
      </c>
      <c r="E33" s="767" t="s">
        <v>1617</v>
      </c>
      <c r="F33" s="768">
        <v>3.34</v>
      </c>
      <c r="G33" s="711"/>
      <c r="H33" s="705">
        <v>46065</v>
      </c>
      <c r="I33" s="705"/>
      <c r="J33" s="765"/>
      <c r="K33" s="705"/>
      <c r="L33" s="705"/>
      <c r="M33" s="767" t="s">
        <v>1744</v>
      </c>
      <c r="N33" s="769"/>
      <c r="O33" s="770"/>
    </row>
    <row r="34" spans="1:15" s="771" customFormat="1" x14ac:dyDescent="0.25">
      <c r="A34" s="765">
        <v>28</v>
      </c>
      <c r="B34" s="766" t="s">
        <v>690</v>
      </c>
      <c r="C34" s="765" t="s">
        <v>91</v>
      </c>
      <c r="D34" s="765" t="s">
        <v>1034</v>
      </c>
      <c r="E34" s="767" t="s">
        <v>1671</v>
      </c>
      <c r="F34" s="768">
        <v>0.83</v>
      </c>
      <c r="G34" s="711">
        <f t="shared" ref="G34:G38" si="3">F34</f>
        <v>0.83</v>
      </c>
      <c r="H34" s="705">
        <v>46039</v>
      </c>
      <c r="I34" s="705">
        <v>46042</v>
      </c>
      <c r="J34" s="711">
        <f t="shared" ref="J34:J37" si="4">G34</f>
        <v>0.83</v>
      </c>
      <c r="K34" s="705">
        <v>46042</v>
      </c>
      <c r="L34" s="705">
        <v>46045</v>
      </c>
      <c r="M34" s="767" t="s">
        <v>1632</v>
      </c>
      <c r="N34" s="769">
        <v>46023</v>
      </c>
      <c r="O34" s="770"/>
    </row>
    <row r="35" spans="1:15" s="771" customFormat="1" x14ac:dyDescent="0.25">
      <c r="A35" s="765">
        <v>29</v>
      </c>
      <c r="B35" s="766" t="s">
        <v>95</v>
      </c>
      <c r="C35" s="766" t="s">
        <v>35</v>
      </c>
      <c r="D35" s="765" t="s">
        <v>1631</v>
      </c>
      <c r="E35" s="767" t="s">
        <v>1617</v>
      </c>
      <c r="F35" s="768">
        <v>0.2389</v>
      </c>
      <c r="G35" s="711">
        <f t="shared" si="3"/>
        <v>0.2389</v>
      </c>
      <c r="H35" s="705">
        <v>46050</v>
      </c>
      <c r="I35" s="705">
        <v>46050</v>
      </c>
      <c r="J35" s="711">
        <f t="shared" si="4"/>
        <v>0.2389</v>
      </c>
      <c r="K35" s="705">
        <v>46050</v>
      </c>
      <c r="L35" s="705">
        <v>46050</v>
      </c>
      <c r="M35" s="767" t="s">
        <v>1632</v>
      </c>
      <c r="N35" s="769">
        <v>46023</v>
      </c>
      <c r="O35" s="770"/>
    </row>
    <row r="36" spans="1:15" s="771" customFormat="1" x14ac:dyDescent="0.25">
      <c r="A36" s="765">
        <v>30</v>
      </c>
      <c r="B36" s="766" t="s">
        <v>678</v>
      </c>
      <c r="C36" s="766" t="s">
        <v>89</v>
      </c>
      <c r="D36" s="765" t="s">
        <v>1034</v>
      </c>
      <c r="E36" s="767" t="s">
        <v>1671</v>
      </c>
      <c r="F36" s="768">
        <v>0.70145999999999997</v>
      </c>
      <c r="G36" s="711">
        <f t="shared" si="3"/>
        <v>0.70145999999999997</v>
      </c>
      <c r="H36" s="705">
        <v>46060</v>
      </c>
      <c r="I36" s="705">
        <v>46061</v>
      </c>
      <c r="J36" s="711">
        <f t="shared" si="4"/>
        <v>0.70145999999999997</v>
      </c>
      <c r="K36" s="705">
        <v>46063</v>
      </c>
      <c r="L36" s="705">
        <v>46066</v>
      </c>
      <c r="M36" s="767" t="s">
        <v>1632</v>
      </c>
      <c r="N36" s="769">
        <v>46054</v>
      </c>
      <c r="O36" s="770"/>
    </row>
    <row r="37" spans="1:15" s="771" customFormat="1" x14ac:dyDescent="0.25">
      <c r="A37" s="765">
        <v>31</v>
      </c>
      <c r="B37" s="766" t="s">
        <v>676</v>
      </c>
      <c r="C37" s="766" t="s">
        <v>678</v>
      </c>
      <c r="D37" s="765" t="s">
        <v>1034</v>
      </c>
      <c r="E37" s="767" t="s">
        <v>1671</v>
      </c>
      <c r="F37" s="768">
        <v>0.755</v>
      </c>
      <c r="G37" s="711">
        <f t="shared" si="3"/>
        <v>0.755</v>
      </c>
      <c r="H37" s="705">
        <v>46062</v>
      </c>
      <c r="I37" s="705">
        <v>46065</v>
      </c>
      <c r="J37" s="711">
        <f t="shared" si="4"/>
        <v>0.755</v>
      </c>
      <c r="K37" s="705">
        <v>46070</v>
      </c>
      <c r="L37" s="705">
        <v>46073</v>
      </c>
      <c r="M37" s="767" t="s">
        <v>1632</v>
      </c>
      <c r="N37" s="769">
        <v>46054</v>
      </c>
      <c r="O37" s="770"/>
    </row>
    <row r="38" spans="1:15" s="771" customFormat="1" x14ac:dyDescent="0.25">
      <c r="A38" s="765">
        <v>32</v>
      </c>
      <c r="B38" s="766" t="s">
        <v>674</v>
      </c>
      <c r="C38" s="766" t="s">
        <v>676</v>
      </c>
      <c r="D38" s="765" t="s">
        <v>1034</v>
      </c>
      <c r="E38" s="767" t="s">
        <v>1671</v>
      </c>
      <c r="F38" s="768">
        <v>0.79500000000000004</v>
      </c>
      <c r="G38" s="711">
        <f t="shared" si="3"/>
        <v>0.79500000000000004</v>
      </c>
      <c r="H38" s="705">
        <v>46069</v>
      </c>
      <c r="I38" s="705">
        <v>46072</v>
      </c>
      <c r="J38" s="711"/>
      <c r="K38" s="705"/>
      <c r="L38" s="705"/>
      <c r="M38" s="767" t="s">
        <v>1673</v>
      </c>
      <c r="N38" s="769"/>
      <c r="O38" s="770"/>
    </row>
    <row r="39" spans="1:15" s="771" customFormat="1" x14ac:dyDescent="0.25">
      <c r="A39" s="765">
        <v>33</v>
      </c>
      <c r="B39" s="766" t="s">
        <v>43</v>
      </c>
      <c r="C39" s="766" t="s">
        <v>44</v>
      </c>
      <c r="D39" s="765" t="s">
        <v>1631</v>
      </c>
      <c r="E39" s="767" t="s">
        <v>1636</v>
      </c>
      <c r="F39" s="768">
        <v>0.21099999999999999</v>
      </c>
      <c r="G39" s="711"/>
      <c r="H39" s="705">
        <v>46073</v>
      </c>
      <c r="I39" s="705"/>
      <c r="J39" s="711"/>
      <c r="K39" s="705"/>
      <c r="L39" s="705"/>
      <c r="M39" s="767" t="s">
        <v>1673</v>
      </c>
      <c r="N39" s="769"/>
      <c r="O39" s="770"/>
    </row>
    <row r="40" spans="1:15" s="771" customFormat="1" x14ac:dyDescent="0.25">
      <c r="A40" s="765"/>
      <c r="B40" s="766"/>
      <c r="C40" s="766"/>
      <c r="D40" s="765"/>
      <c r="E40" s="767"/>
      <c r="F40" s="768"/>
      <c r="G40" s="711"/>
      <c r="H40" s="705"/>
      <c r="I40" s="705"/>
      <c r="J40" s="711"/>
      <c r="K40" s="705"/>
      <c r="L40" s="705"/>
      <c r="M40" s="767"/>
      <c r="N40" s="769"/>
      <c r="O40" s="770"/>
    </row>
    <row r="41" spans="1:15" x14ac:dyDescent="0.25">
      <c r="A41" s="404"/>
      <c r="B41" s="404"/>
      <c r="C41" s="404"/>
      <c r="D41" s="404"/>
      <c r="E41" s="404"/>
      <c r="F41" s="404"/>
      <c r="G41" s="404"/>
      <c r="H41" s="406"/>
      <c r="I41" s="406"/>
      <c r="J41" s="404"/>
      <c r="K41" s="404"/>
      <c r="L41" s="404"/>
      <c r="M41" s="404"/>
      <c r="N41" s="403"/>
    </row>
    <row r="42" spans="1:15" s="398" customFormat="1" x14ac:dyDescent="0.25">
      <c r="A42" s="915" t="s">
        <v>136</v>
      </c>
      <c r="B42" s="916"/>
      <c r="C42" s="916"/>
      <c r="D42" s="916"/>
      <c r="E42" s="917"/>
      <c r="F42" s="743">
        <f>+SUM(F6:F41)</f>
        <v>87.282740000000004</v>
      </c>
      <c r="G42" s="713">
        <f>+SUM(G6:G41)</f>
        <v>83.731740000000002</v>
      </c>
      <c r="H42" s="713"/>
      <c r="I42" s="713"/>
      <c r="J42" s="749">
        <f>+SUM(J6:J41)</f>
        <v>82.93674</v>
      </c>
      <c r="K42" s="408"/>
      <c r="L42" s="408"/>
      <c r="M42" s="408"/>
      <c r="N42" s="408"/>
      <c r="O42" s="707"/>
    </row>
    <row r="43" spans="1:15" x14ac:dyDescent="0.25">
      <c r="J43" s="777"/>
    </row>
    <row r="44" spans="1:15" ht="17.25" x14ac:dyDescent="0.25">
      <c r="F44" s="397" t="s">
        <v>1634</v>
      </c>
      <c r="G44" s="471">
        <f>F42-G42</f>
        <v>3.5510000000000019</v>
      </c>
      <c r="J44" s="712"/>
    </row>
    <row r="45" spans="1:15" x14ac:dyDescent="0.25">
      <c r="F45" s="397" t="s">
        <v>1630</v>
      </c>
      <c r="G45" s="471">
        <f>G42-J42</f>
        <v>0.79500000000000171</v>
      </c>
      <c r="J45" s="397">
        <f>J42-J44</f>
        <v>82.93674</v>
      </c>
    </row>
  </sheetData>
  <autoFilter ref="A5:N37" xr:uid="{7D901AC7-2B41-4C8E-919F-B6C2B68B5696}"/>
  <mergeCells count="9">
    <mergeCell ref="A42:E42"/>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976" sqref="J976"/>
    </sheetView>
  </sheetViews>
  <sheetFormatPr defaultColWidth="7.42578125" defaultRowHeight="11.25" x14ac:dyDescent="0.25"/>
  <cols>
    <col min="1" max="1" width="4.42578125" style="569" customWidth="1"/>
    <col min="2" max="2" width="6.140625" style="568" customWidth="1"/>
    <col min="3" max="3" width="5.7109375" style="569" customWidth="1"/>
    <col min="4" max="4" width="9.5703125" style="569" customWidth="1"/>
    <col min="5" max="5" width="6.42578125" style="569" customWidth="1"/>
    <col min="6" max="7" width="5.7109375" style="569" customWidth="1"/>
    <col min="8" max="8" width="7.85546875" style="569" customWidth="1"/>
    <col min="9" max="9" width="5.85546875" style="569" customWidth="1"/>
    <col min="10" max="15" width="8.28515625" style="569" customWidth="1"/>
    <col min="16" max="16" width="7.7109375" style="569" bestFit="1" customWidth="1"/>
    <col min="17" max="17" width="8.140625" style="569" bestFit="1" customWidth="1"/>
    <col min="18" max="19" width="8.28515625" style="569" customWidth="1"/>
    <col min="20" max="20" width="4" style="569" customWidth="1"/>
    <col min="21" max="21" width="5.42578125" style="569" customWidth="1"/>
    <col min="22" max="22" width="5.85546875" style="569" customWidth="1"/>
    <col min="23" max="23" width="8.28515625" style="569" customWidth="1"/>
    <col min="24" max="24" width="6.140625" style="569" customWidth="1"/>
    <col min="25" max="25" width="5.42578125" style="569" customWidth="1"/>
    <col min="26" max="26" width="4.42578125" style="569" customWidth="1"/>
    <col min="27" max="27" width="8.28515625" style="570" customWidth="1"/>
    <col min="28" max="16384" width="7.42578125" style="570"/>
  </cols>
  <sheetData>
    <row r="1" spans="1:27" x14ac:dyDescent="0.25">
      <c r="A1" s="567" t="s">
        <v>1260</v>
      </c>
      <c r="M1" s="569" t="s">
        <v>1742</v>
      </c>
    </row>
    <row r="2" spans="1:27" x14ac:dyDescent="0.25">
      <c r="A2" s="924" t="s">
        <v>1035</v>
      </c>
      <c r="B2" s="924"/>
      <c r="C2" s="924"/>
      <c r="D2" s="924"/>
      <c r="E2" s="924"/>
      <c r="F2" s="924"/>
      <c r="G2" s="924"/>
      <c r="H2" s="924"/>
      <c r="I2" s="924"/>
      <c r="J2" s="924"/>
      <c r="K2" s="924"/>
      <c r="L2" s="924"/>
      <c r="M2" s="924"/>
      <c r="N2" s="924"/>
      <c r="O2" s="924"/>
      <c r="P2" s="924"/>
      <c r="Q2" s="924"/>
      <c r="R2" s="924"/>
      <c r="S2" s="924"/>
      <c r="T2" s="924"/>
      <c r="U2" s="924"/>
      <c r="V2" s="924"/>
      <c r="W2" s="924"/>
      <c r="X2" s="924"/>
      <c r="Y2" s="924"/>
      <c r="Z2" s="924"/>
      <c r="AA2" s="924"/>
    </row>
    <row r="3" spans="1:27" ht="15.75" customHeight="1" x14ac:dyDescent="0.25">
      <c r="A3" s="927" t="s">
        <v>1148</v>
      </c>
      <c r="B3" s="928"/>
      <c r="C3" s="928"/>
      <c r="D3" s="928"/>
      <c r="E3" s="928"/>
      <c r="F3" s="928"/>
      <c r="G3" s="928"/>
      <c r="H3" s="928"/>
      <c r="I3" s="929"/>
      <c r="J3" s="924" t="s">
        <v>1036</v>
      </c>
      <c r="K3" s="924"/>
      <c r="L3" s="927" t="s">
        <v>1037</v>
      </c>
      <c r="M3" s="928"/>
      <c r="N3" s="928"/>
      <c r="O3" s="929"/>
      <c r="P3" s="927" t="s">
        <v>1038</v>
      </c>
      <c r="Q3" s="928"/>
      <c r="R3" s="928"/>
      <c r="S3" s="928"/>
      <c r="T3" s="929"/>
      <c r="U3" s="927" t="s">
        <v>1039</v>
      </c>
      <c r="V3" s="928"/>
      <c r="W3" s="928"/>
      <c r="X3" s="928"/>
      <c r="Y3" s="928"/>
      <c r="Z3" s="929"/>
      <c r="AA3" s="925" t="s">
        <v>9</v>
      </c>
    </row>
    <row r="4" spans="1:27" ht="78.75" x14ac:dyDescent="0.25">
      <c r="A4" s="572" t="s">
        <v>1040</v>
      </c>
      <c r="B4" s="573" t="s">
        <v>1041</v>
      </c>
      <c r="C4" s="572" t="s">
        <v>4</v>
      </c>
      <c r="D4" s="573" t="s">
        <v>1042</v>
      </c>
      <c r="E4" s="572" t="s">
        <v>1043</v>
      </c>
      <c r="F4" s="572"/>
      <c r="G4" s="572" t="s">
        <v>1044</v>
      </c>
      <c r="H4" s="574" t="s">
        <v>1045</v>
      </c>
      <c r="I4" s="574" t="s">
        <v>1046</v>
      </c>
      <c r="J4" s="574" t="s">
        <v>1047</v>
      </c>
      <c r="K4" s="574" t="s">
        <v>1048</v>
      </c>
      <c r="L4" s="574" t="s">
        <v>1049</v>
      </c>
      <c r="M4" s="574" t="s">
        <v>1741</v>
      </c>
      <c r="N4" s="574" t="s">
        <v>1050</v>
      </c>
      <c r="O4" s="574" t="s">
        <v>1051</v>
      </c>
      <c r="P4" s="574" t="s">
        <v>1052</v>
      </c>
      <c r="Q4" s="574" t="s">
        <v>1053</v>
      </c>
      <c r="R4" s="574" t="s">
        <v>1054</v>
      </c>
      <c r="S4" s="574" t="s">
        <v>1055</v>
      </c>
      <c r="T4" s="574" t="s">
        <v>1056</v>
      </c>
      <c r="U4" s="574" t="s">
        <v>1057</v>
      </c>
      <c r="V4" s="574" t="s">
        <v>1058</v>
      </c>
      <c r="W4" s="574" t="s">
        <v>1059</v>
      </c>
      <c r="X4" s="574" t="s">
        <v>1052</v>
      </c>
      <c r="Y4" s="574" t="s">
        <v>1053</v>
      </c>
      <c r="Z4" s="574" t="s">
        <v>1060</v>
      </c>
      <c r="AA4" s="926"/>
    </row>
    <row r="5" spans="1:27" x14ac:dyDescent="0.25">
      <c r="A5" s="572"/>
      <c r="B5" s="573"/>
      <c r="C5" s="572"/>
      <c r="D5" s="572"/>
      <c r="E5" s="573"/>
      <c r="F5" s="572"/>
      <c r="G5" s="572"/>
      <c r="H5" s="574"/>
      <c r="I5" s="574"/>
      <c r="J5" s="574"/>
      <c r="K5" s="574"/>
      <c r="L5" s="574"/>
      <c r="M5" s="574"/>
      <c r="N5" s="574"/>
      <c r="O5" s="574"/>
      <c r="P5" s="574"/>
      <c r="Q5" s="574"/>
      <c r="R5" s="574"/>
      <c r="S5" s="574"/>
      <c r="T5" s="574"/>
      <c r="U5" s="574"/>
      <c r="V5" s="574"/>
      <c r="W5" s="574"/>
      <c r="X5" s="574"/>
      <c r="Y5" s="574"/>
      <c r="Z5" s="574"/>
      <c r="AA5" s="571"/>
    </row>
    <row r="6" spans="1:27" ht="22.5" x14ac:dyDescent="0.25">
      <c r="A6" s="572"/>
      <c r="B6" s="572" t="s">
        <v>1061</v>
      </c>
      <c r="C6" s="572" t="s">
        <v>1062</v>
      </c>
      <c r="D6" s="700" t="s">
        <v>1063</v>
      </c>
      <c r="E6" s="576"/>
      <c r="F6" s="576"/>
      <c r="G6" s="572"/>
      <c r="H6" s="575"/>
      <c r="I6" s="577"/>
      <c r="J6" s="578">
        <v>48</v>
      </c>
      <c r="K6" s="578">
        <v>12</v>
      </c>
      <c r="L6" s="578">
        <v>12</v>
      </c>
      <c r="M6" s="574"/>
      <c r="N6" s="575">
        <v>6</v>
      </c>
      <c r="O6" s="575"/>
      <c r="P6" s="575"/>
      <c r="Q6" s="575"/>
      <c r="R6" s="579"/>
      <c r="S6" s="575">
        <v>30</v>
      </c>
      <c r="T6" s="575"/>
      <c r="U6" s="575">
        <v>2</v>
      </c>
      <c r="V6" s="575"/>
      <c r="W6" s="575">
        <v>1</v>
      </c>
      <c r="X6" s="575"/>
      <c r="Y6" s="575"/>
      <c r="Z6" s="575">
        <v>4</v>
      </c>
      <c r="AA6" s="571"/>
    </row>
    <row r="7" spans="1:27" x14ac:dyDescent="0.25">
      <c r="A7" s="575"/>
      <c r="B7" s="575"/>
      <c r="C7" s="575"/>
      <c r="D7" s="700"/>
      <c r="E7" s="580">
        <v>121.998</v>
      </c>
      <c r="F7" s="576">
        <f>+CEILING(E7,5)</f>
        <v>125</v>
      </c>
      <c r="G7" s="575"/>
      <c r="H7" s="575">
        <f>F7*36</f>
        <v>4500</v>
      </c>
      <c r="I7" s="577">
        <f>F7</f>
        <v>125</v>
      </c>
      <c r="J7" s="578"/>
      <c r="K7" s="578"/>
      <c r="L7" s="578"/>
      <c r="M7" s="578"/>
      <c r="N7" s="579"/>
      <c r="O7" s="579"/>
      <c r="P7" s="579"/>
      <c r="Q7" s="579"/>
      <c r="R7" s="578">
        <v>12</v>
      </c>
      <c r="S7" s="579"/>
      <c r="T7" s="579"/>
      <c r="U7" s="575"/>
      <c r="V7" s="575"/>
      <c r="W7" s="575"/>
      <c r="X7" s="575"/>
      <c r="Y7" s="575"/>
      <c r="Z7" s="575"/>
      <c r="AA7" s="581"/>
    </row>
    <row r="8" spans="1:27" x14ac:dyDescent="0.25">
      <c r="A8" s="575">
        <v>1</v>
      </c>
      <c r="B8" s="572" t="s">
        <v>445</v>
      </c>
      <c r="C8" s="572" t="s">
        <v>1064</v>
      </c>
      <c r="D8" s="700" t="s">
        <v>1065</v>
      </c>
      <c r="E8" s="576"/>
      <c r="F8" s="576"/>
      <c r="G8" s="575"/>
      <c r="H8" s="575"/>
      <c r="I8" s="577"/>
      <c r="J8" s="578">
        <v>48</v>
      </c>
      <c r="K8" s="578">
        <v>6</v>
      </c>
      <c r="L8" s="578">
        <v>12</v>
      </c>
      <c r="M8" s="578"/>
      <c r="N8" s="575">
        <v>6</v>
      </c>
      <c r="O8" s="579"/>
      <c r="P8" s="579"/>
      <c r="Q8" s="579"/>
      <c r="R8" s="579"/>
      <c r="S8" s="575">
        <v>30</v>
      </c>
      <c r="T8" s="579"/>
      <c r="U8" s="575">
        <v>2</v>
      </c>
      <c r="V8" s="575"/>
      <c r="W8" s="575">
        <v>2</v>
      </c>
      <c r="X8" s="575"/>
      <c r="Y8" s="575"/>
      <c r="Z8" s="575">
        <v>4</v>
      </c>
      <c r="AA8" s="581"/>
    </row>
    <row r="9" spans="1:27" x14ac:dyDescent="0.25">
      <c r="A9" s="575"/>
      <c r="B9" s="575"/>
      <c r="C9" s="575"/>
      <c r="D9" s="700"/>
      <c r="E9" s="576">
        <v>89.998999999999995</v>
      </c>
      <c r="F9" s="576">
        <f>+CEILING(E9,5)</f>
        <v>90</v>
      </c>
      <c r="G9" s="575"/>
      <c r="H9" s="575">
        <f>F9*36</f>
        <v>3240</v>
      </c>
      <c r="I9" s="577">
        <f>F9</f>
        <v>90</v>
      </c>
      <c r="J9" s="582"/>
      <c r="K9" s="578"/>
      <c r="L9" s="582"/>
      <c r="M9" s="578"/>
      <c r="N9" s="579"/>
      <c r="O9" s="579"/>
      <c r="P9" s="579"/>
      <c r="Q9" s="579"/>
      <c r="R9" s="578">
        <v>12</v>
      </c>
      <c r="S9" s="579"/>
      <c r="T9" s="579"/>
      <c r="U9" s="575"/>
      <c r="V9" s="575"/>
      <c r="W9" s="575"/>
      <c r="X9" s="575"/>
      <c r="Y9" s="575"/>
      <c r="Z9" s="575"/>
      <c r="AA9" s="581"/>
    </row>
    <row r="10" spans="1:27" ht="22.5" x14ac:dyDescent="0.25">
      <c r="A10" s="575">
        <f>A8+1</f>
        <v>2</v>
      </c>
      <c r="B10" s="572" t="s">
        <v>626</v>
      </c>
      <c r="C10" s="572" t="s">
        <v>238</v>
      </c>
      <c r="D10" s="700" t="s">
        <v>1066</v>
      </c>
      <c r="E10" s="576"/>
      <c r="F10" s="576"/>
      <c r="G10" s="575"/>
      <c r="H10" s="575"/>
      <c r="I10" s="577"/>
      <c r="J10" s="578">
        <v>48</v>
      </c>
      <c r="K10" s="578">
        <v>6</v>
      </c>
      <c r="L10" s="578">
        <v>12</v>
      </c>
      <c r="M10" s="582"/>
      <c r="N10" s="575">
        <v>6</v>
      </c>
      <c r="O10" s="575"/>
      <c r="P10" s="575"/>
      <c r="Q10" s="575"/>
      <c r="R10" s="579"/>
      <c r="S10" s="575">
        <v>30</v>
      </c>
      <c r="T10" s="575"/>
      <c r="U10" s="575">
        <v>2</v>
      </c>
      <c r="V10" s="575"/>
      <c r="W10" s="575">
        <v>2</v>
      </c>
      <c r="X10" s="575"/>
      <c r="Y10" s="575"/>
      <c r="Z10" s="575">
        <v>4</v>
      </c>
      <c r="AA10" s="581"/>
    </row>
    <row r="11" spans="1:27" x14ac:dyDescent="0.25">
      <c r="A11" s="575"/>
      <c r="B11" s="575"/>
      <c r="C11" s="575"/>
      <c r="D11" s="571"/>
      <c r="E11" s="576">
        <v>277.726</v>
      </c>
      <c r="F11" s="576">
        <f>+CEILING(E11,5)</f>
        <v>280</v>
      </c>
      <c r="G11" s="575"/>
      <c r="H11" s="575">
        <f>F11*36</f>
        <v>10080</v>
      </c>
      <c r="I11" s="577">
        <f>F11</f>
        <v>280</v>
      </c>
      <c r="J11" s="582"/>
      <c r="K11" s="578"/>
      <c r="L11" s="578"/>
      <c r="M11" s="578"/>
      <c r="N11" s="579"/>
      <c r="O11" s="579"/>
      <c r="P11" s="579"/>
      <c r="Q11" s="579"/>
      <c r="R11" s="578">
        <v>30</v>
      </c>
      <c r="S11" s="579"/>
      <c r="T11" s="579"/>
      <c r="U11" s="575"/>
      <c r="V11" s="575"/>
      <c r="W11" s="575"/>
      <c r="X11" s="575"/>
      <c r="Y11" s="575"/>
      <c r="Z11" s="575"/>
      <c r="AA11" s="581"/>
    </row>
    <row r="12" spans="1:27" x14ac:dyDescent="0.25">
      <c r="A12" s="575">
        <f>A10+1</f>
        <v>3</v>
      </c>
      <c r="B12" s="575" t="s">
        <v>627</v>
      </c>
      <c r="C12" s="575" t="s">
        <v>232</v>
      </c>
      <c r="D12" s="571"/>
      <c r="E12" s="576"/>
      <c r="F12" s="576"/>
      <c r="G12" s="575"/>
      <c r="H12" s="575"/>
      <c r="I12" s="577"/>
      <c r="J12" s="582"/>
      <c r="K12" s="578">
        <f>(M12*4+N12*2)/2</f>
        <v>12</v>
      </c>
      <c r="L12" s="578"/>
      <c r="M12" s="578">
        <v>6</v>
      </c>
      <c r="N12" s="579"/>
      <c r="O12" s="579"/>
      <c r="P12" s="579"/>
      <c r="Q12" s="579"/>
      <c r="R12" s="579"/>
      <c r="S12" s="579"/>
      <c r="T12" s="579"/>
      <c r="U12" s="575"/>
      <c r="V12" s="575">
        <v>1</v>
      </c>
      <c r="W12" s="575">
        <v>1</v>
      </c>
      <c r="X12" s="575"/>
      <c r="Y12" s="575"/>
      <c r="Z12" s="575">
        <v>2</v>
      </c>
      <c r="AA12" s="581"/>
    </row>
    <row r="13" spans="1:27" x14ac:dyDescent="0.25">
      <c r="A13" s="575"/>
      <c r="B13" s="575"/>
      <c r="C13" s="575"/>
      <c r="D13" s="571"/>
      <c r="E13" s="576">
        <v>386.04399999999998</v>
      </c>
      <c r="F13" s="576">
        <f>+CEILING(E13,5)</f>
        <v>390</v>
      </c>
      <c r="G13" s="575"/>
      <c r="H13" s="575">
        <f>F13*36</f>
        <v>14040</v>
      </c>
      <c r="I13" s="577">
        <f>F13</f>
        <v>390</v>
      </c>
      <c r="J13" s="582"/>
      <c r="K13" s="578"/>
      <c r="L13" s="578"/>
      <c r="M13" s="578"/>
      <c r="N13" s="579"/>
      <c r="O13" s="579"/>
      <c r="P13" s="579"/>
      <c r="Q13" s="579"/>
      <c r="R13" s="578">
        <v>36</v>
      </c>
      <c r="S13" s="579"/>
      <c r="T13" s="579"/>
      <c r="U13" s="575"/>
      <c r="V13" s="575"/>
      <c r="W13" s="575"/>
      <c r="X13" s="575"/>
      <c r="Y13" s="575"/>
      <c r="Z13" s="575"/>
      <c r="AA13" s="581"/>
    </row>
    <row r="14" spans="1:27" x14ac:dyDescent="0.25">
      <c r="A14" s="575">
        <f>A12+1</f>
        <v>4</v>
      </c>
      <c r="B14" s="575" t="s">
        <v>628</v>
      </c>
      <c r="C14" s="575" t="s">
        <v>231</v>
      </c>
      <c r="D14" s="571"/>
      <c r="E14" s="576"/>
      <c r="F14" s="576"/>
      <c r="G14" s="575"/>
      <c r="H14" s="575"/>
      <c r="I14" s="577"/>
      <c r="J14" s="582"/>
      <c r="K14" s="578">
        <f>(M14*4+N14*2)/2</f>
        <v>12</v>
      </c>
      <c r="L14" s="578"/>
      <c r="M14" s="578">
        <v>6</v>
      </c>
      <c r="N14" s="579"/>
      <c r="O14" s="579"/>
      <c r="P14" s="579"/>
      <c r="Q14" s="579"/>
      <c r="R14" s="579"/>
      <c r="S14" s="579"/>
      <c r="T14" s="579"/>
      <c r="U14" s="575"/>
      <c r="V14" s="575">
        <v>1</v>
      </c>
      <c r="W14" s="575">
        <v>1</v>
      </c>
      <c r="X14" s="575"/>
      <c r="Y14" s="575"/>
      <c r="Z14" s="575">
        <v>2</v>
      </c>
      <c r="AA14" s="581"/>
    </row>
    <row r="15" spans="1:27" x14ac:dyDescent="0.25">
      <c r="A15" s="575"/>
      <c r="B15" s="575"/>
      <c r="C15" s="575"/>
      <c r="D15" s="571"/>
      <c r="E15" s="576">
        <v>443.63200000000001</v>
      </c>
      <c r="F15" s="576">
        <f>+CEILING(E15,5)</f>
        <v>445</v>
      </c>
      <c r="G15" s="575"/>
      <c r="H15" s="575">
        <f>F15*36</f>
        <v>16020</v>
      </c>
      <c r="I15" s="577">
        <f>F15</f>
        <v>445</v>
      </c>
      <c r="J15" s="582"/>
      <c r="K15" s="578"/>
      <c r="L15" s="578"/>
      <c r="M15" s="578"/>
      <c r="N15" s="579"/>
      <c r="O15" s="579"/>
      <c r="P15" s="579"/>
      <c r="Q15" s="579"/>
      <c r="R15" s="578">
        <v>42</v>
      </c>
      <c r="S15" s="579"/>
      <c r="T15" s="579"/>
      <c r="U15" s="575"/>
      <c r="V15" s="575"/>
      <c r="W15" s="575"/>
      <c r="X15" s="575"/>
      <c r="Y15" s="575"/>
      <c r="Z15" s="575"/>
      <c r="AA15" s="581"/>
    </row>
    <row r="16" spans="1:27" x14ac:dyDescent="0.25">
      <c r="A16" s="575">
        <f>A14+1</f>
        <v>5</v>
      </c>
      <c r="B16" s="575" t="s">
        <v>629</v>
      </c>
      <c r="C16" s="575" t="s">
        <v>231</v>
      </c>
      <c r="D16" s="571"/>
      <c r="E16" s="576"/>
      <c r="F16" s="576"/>
      <c r="G16" s="575"/>
      <c r="H16" s="575"/>
      <c r="I16" s="577"/>
      <c r="J16" s="582"/>
      <c r="K16" s="578">
        <f>(M16*4+N16*2)/2</f>
        <v>12</v>
      </c>
      <c r="L16" s="578"/>
      <c r="M16" s="578">
        <v>6</v>
      </c>
      <c r="N16" s="579"/>
      <c r="O16" s="579"/>
      <c r="P16" s="579"/>
      <c r="Q16" s="579"/>
      <c r="R16" s="579"/>
      <c r="S16" s="579"/>
      <c r="T16" s="579"/>
      <c r="U16" s="575"/>
      <c r="V16" s="575">
        <v>1</v>
      </c>
      <c r="W16" s="575">
        <v>1</v>
      </c>
      <c r="X16" s="575"/>
      <c r="Y16" s="575"/>
      <c r="Z16" s="575">
        <v>2</v>
      </c>
      <c r="AA16" s="581"/>
    </row>
    <row r="17" spans="1:27" x14ac:dyDescent="0.25">
      <c r="A17" s="575"/>
      <c r="B17" s="575"/>
      <c r="C17" s="575"/>
      <c r="D17" s="571"/>
      <c r="E17" s="576">
        <v>333.39299999999997</v>
      </c>
      <c r="F17" s="576">
        <f>+CEILING(E17,5)</f>
        <v>335</v>
      </c>
      <c r="G17" s="575"/>
      <c r="H17" s="575">
        <f>F17*36</f>
        <v>12060</v>
      </c>
      <c r="I17" s="577">
        <f>F17</f>
        <v>335</v>
      </c>
      <c r="J17" s="578"/>
      <c r="K17" s="578"/>
      <c r="L17" s="578"/>
      <c r="M17" s="578"/>
      <c r="N17" s="579"/>
      <c r="O17" s="579"/>
      <c r="P17" s="579"/>
      <c r="Q17" s="579"/>
      <c r="R17" s="578">
        <v>36</v>
      </c>
      <c r="S17" s="579"/>
      <c r="T17" s="579"/>
      <c r="U17" s="575"/>
      <c r="V17" s="575"/>
      <c r="W17" s="575"/>
      <c r="X17" s="575"/>
      <c r="Y17" s="575"/>
      <c r="Z17" s="575"/>
      <c r="AA17" s="581"/>
    </row>
    <row r="18" spans="1:27" x14ac:dyDescent="0.25">
      <c r="A18" s="575">
        <f>A16+1</f>
        <v>6</v>
      </c>
      <c r="B18" s="575" t="s">
        <v>630</v>
      </c>
      <c r="C18" s="575" t="s">
        <v>20</v>
      </c>
      <c r="D18" s="571"/>
      <c r="E18" s="576"/>
      <c r="F18" s="576"/>
      <c r="G18" s="575"/>
      <c r="H18" s="575"/>
      <c r="I18" s="577"/>
      <c r="J18" s="582"/>
      <c r="K18" s="578">
        <f>(M18*4+N18*2)/2</f>
        <v>12</v>
      </c>
      <c r="L18" s="578"/>
      <c r="M18" s="578">
        <v>6</v>
      </c>
      <c r="N18" s="579"/>
      <c r="O18" s="579"/>
      <c r="P18" s="579"/>
      <c r="Q18" s="579"/>
      <c r="R18" s="579"/>
      <c r="S18" s="579"/>
      <c r="T18" s="579"/>
      <c r="U18" s="575"/>
      <c r="V18" s="575">
        <v>1</v>
      </c>
      <c r="W18" s="575">
        <v>1</v>
      </c>
      <c r="X18" s="575"/>
      <c r="Y18" s="575"/>
      <c r="Z18" s="575">
        <v>2</v>
      </c>
      <c r="AA18" s="581"/>
    </row>
    <row r="19" spans="1:27" x14ac:dyDescent="0.25">
      <c r="A19" s="575"/>
      <c r="B19" s="575"/>
      <c r="C19" s="575"/>
      <c r="D19" s="571"/>
      <c r="E19" s="576">
        <v>431.84800000000001</v>
      </c>
      <c r="F19" s="576">
        <f>+CEILING(E19,5)</f>
        <v>435</v>
      </c>
      <c r="G19" s="575"/>
      <c r="H19" s="575">
        <f>F19*36</f>
        <v>15660</v>
      </c>
      <c r="I19" s="577">
        <f>F19</f>
        <v>435</v>
      </c>
      <c r="J19" s="582"/>
      <c r="K19" s="578"/>
      <c r="L19" s="578"/>
      <c r="M19" s="578"/>
      <c r="N19" s="579"/>
      <c r="O19" s="579"/>
      <c r="P19" s="579"/>
      <c r="Q19" s="579"/>
      <c r="R19" s="578">
        <v>42</v>
      </c>
      <c r="S19" s="579"/>
      <c r="T19" s="579"/>
      <c r="U19" s="575"/>
      <c r="V19" s="575"/>
      <c r="W19" s="575"/>
      <c r="X19" s="575"/>
      <c r="Y19" s="575"/>
      <c r="Z19" s="575"/>
      <c r="AA19" s="581"/>
    </row>
    <row r="20" spans="1:27" x14ac:dyDescent="0.25">
      <c r="A20" s="575">
        <f>A18+1</f>
        <v>7</v>
      </c>
      <c r="B20" s="575" t="s">
        <v>631</v>
      </c>
      <c r="C20" s="575" t="s">
        <v>231</v>
      </c>
      <c r="D20" s="571"/>
      <c r="E20" s="576"/>
      <c r="F20" s="576"/>
      <c r="G20" s="575"/>
      <c r="H20" s="575"/>
      <c r="I20" s="577"/>
      <c r="J20" s="582"/>
      <c r="K20" s="578">
        <f>(M20*4+N20*2)/2</f>
        <v>12</v>
      </c>
      <c r="L20" s="578"/>
      <c r="M20" s="578">
        <v>6</v>
      </c>
      <c r="N20" s="579"/>
      <c r="O20" s="579"/>
      <c r="P20" s="579"/>
      <c r="Q20" s="579"/>
      <c r="R20" s="579"/>
      <c r="S20" s="579"/>
      <c r="T20" s="579"/>
      <c r="U20" s="575"/>
      <c r="V20" s="575">
        <v>1</v>
      </c>
      <c r="W20" s="575">
        <v>1</v>
      </c>
      <c r="X20" s="575"/>
      <c r="Y20" s="575"/>
      <c r="Z20" s="575">
        <v>2</v>
      </c>
      <c r="AA20" s="581"/>
    </row>
    <row r="21" spans="1:27" x14ac:dyDescent="0.25">
      <c r="A21" s="575"/>
      <c r="B21" s="575"/>
      <c r="C21" s="575"/>
      <c r="D21" s="571"/>
      <c r="E21" s="576">
        <v>348.73500000000001</v>
      </c>
      <c r="F21" s="576">
        <f>+CEILING(E21,5)</f>
        <v>350</v>
      </c>
      <c r="G21" s="575"/>
      <c r="H21" s="575">
        <f>F21*36</f>
        <v>12600</v>
      </c>
      <c r="I21" s="577">
        <f>F21</f>
        <v>350</v>
      </c>
      <c r="J21" s="582"/>
      <c r="K21" s="578"/>
      <c r="L21" s="578"/>
      <c r="M21" s="578"/>
      <c r="N21" s="579"/>
      <c r="O21" s="579"/>
      <c r="P21" s="579"/>
      <c r="Q21" s="579"/>
      <c r="R21" s="578">
        <v>36</v>
      </c>
      <c r="S21" s="579"/>
      <c r="T21" s="579"/>
      <c r="U21" s="575"/>
      <c r="V21" s="575"/>
      <c r="W21" s="575"/>
      <c r="X21" s="575"/>
      <c r="Y21" s="575"/>
      <c r="Z21" s="575"/>
      <c r="AA21" s="581"/>
    </row>
    <row r="22" spans="1:27" x14ac:dyDescent="0.25">
      <c r="A22" s="575">
        <f>A20+1</f>
        <v>8</v>
      </c>
      <c r="B22" s="575" t="s">
        <v>632</v>
      </c>
      <c r="C22" s="575" t="s">
        <v>231</v>
      </c>
      <c r="D22" s="571"/>
      <c r="E22" s="576"/>
      <c r="F22" s="576"/>
      <c r="G22" s="575"/>
      <c r="H22" s="575"/>
      <c r="I22" s="577"/>
      <c r="J22" s="582"/>
      <c r="K22" s="578">
        <f>(M22*4+N22*2)/2</f>
        <v>12</v>
      </c>
      <c r="L22" s="578"/>
      <c r="M22" s="578">
        <v>6</v>
      </c>
      <c r="N22" s="579"/>
      <c r="O22" s="579"/>
      <c r="P22" s="579"/>
      <c r="Q22" s="579"/>
      <c r="R22" s="579"/>
      <c r="S22" s="579"/>
      <c r="T22" s="579"/>
      <c r="U22" s="575"/>
      <c r="V22" s="575">
        <v>1</v>
      </c>
      <c r="W22" s="575">
        <v>1</v>
      </c>
      <c r="X22" s="575"/>
      <c r="Y22" s="575"/>
      <c r="Z22" s="575">
        <v>2</v>
      </c>
      <c r="AA22" s="583"/>
    </row>
    <row r="23" spans="1:27" s="584" customFormat="1" x14ac:dyDescent="0.2">
      <c r="A23" s="575"/>
      <c r="B23" s="575"/>
      <c r="C23" s="575"/>
      <c r="D23" s="571"/>
      <c r="E23" s="576">
        <v>395.69299999999998</v>
      </c>
      <c r="F23" s="576">
        <f>+CEILING(E23,5)</f>
        <v>400</v>
      </c>
      <c r="G23" s="575"/>
      <c r="H23" s="575">
        <f>F23*36</f>
        <v>14400</v>
      </c>
      <c r="I23" s="577">
        <f>F23</f>
        <v>400</v>
      </c>
      <c r="J23" s="582"/>
      <c r="K23" s="578"/>
      <c r="L23" s="578"/>
      <c r="M23" s="578"/>
      <c r="N23" s="579"/>
      <c r="O23" s="579"/>
      <c r="P23" s="579"/>
      <c r="Q23" s="579"/>
      <c r="R23" s="578">
        <v>42</v>
      </c>
      <c r="S23" s="579"/>
      <c r="T23" s="579"/>
      <c r="U23" s="575"/>
      <c r="V23" s="575"/>
      <c r="W23" s="575"/>
      <c r="X23" s="575"/>
      <c r="Y23" s="575"/>
      <c r="Z23" s="575"/>
      <c r="AA23" s="583"/>
    </row>
    <row r="24" spans="1:27" s="584" customFormat="1" x14ac:dyDescent="0.2">
      <c r="A24" s="575">
        <f>A22+1</f>
        <v>9</v>
      </c>
      <c r="B24" s="575" t="s">
        <v>633</v>
      </c>
      <c r="C24" s="575" t="s">
        <v>20</v>
      </c>
      <c r="D24" s="571"/>
      <c r="E24" s="576"/>
      <c r="F24" s="576"/>
      <c r="G24" s="575"/>
      <c r="H24" s="575"/>
      <c r="I24" s="577"/>
      <c r="J24" s="582"/>
      <c r="K24" s="578">
        <f>(M24*4+N24*2)/2</f>
        <v>12</v>
      </c>
      <c r="L24" s="578"/>
      <c r="M24" s="578">
        <v>6</v>
      </c>
      <c r="N24" s="579"/>
      <c r="O24" s="579"/>
      <c r="P24" s="579"/>
      <c r="Q24" s="579"/>
      <c r="R24" s="579"/>
      <c r="S24" s="579"/>
      <c r="T24" s="579"/>
      <c r="U24" s="575"/>
      <c r="V24" s="575">
        <v>1</v>
      </c>
      <c r="W24" s="575">
        <v>1</v>
      </c>
      <c r="X24" s="575"/>
      <c r="Y24" s="575"/>
      <c r="Z24" s="575">
        <v>2</v>
      </c>
      <c r="AA24" s="583"/>
    </row>
    <row r="25" spans="1:27" s="584" customFormat="1" x14ac:dyDescent="0.2">
      <c r="A25" s="575"/>
      <c r="B25" s="575"/>
      <c r="C25" s="575"/>
      <c r="D25" s="571"/>
      <c r="E25" s="576">
        <v>414.95299999999997</v>
      </c>
      <c r="F25" s="576">
        <f>+CEILING(E25,5)</f>
        <v>415</v>
      </c>
      <c r="G25" s="575"/>
      <c r="H25" s="575">
        <f>F25*36</f>
        <v>14940</v>
      </c>
      <c r="I25" s="577">
        <f>F25</f>
        <v>415</v>
      </c>
      <c r="J25" s="582"/>
      <c r="K25" s="578"/>
      <c r="L25" s="582"/>
      <c r="M25" s="578"/>
      <c r="N25" s="579"/>
      <c r="O25" s="579"/>
      <c r="P25" s="579"/>
      <c r="Q25" s="579"/>
      <c r="R25" s="578">
        <v>42</v>
      </c>
      <c r="S25" s="579"/>
      <c r="T25" s="579"/>
      <c r="U25" s="575"/>
      <c r="V25" s="575"/>
      <c r="W25" s="575"/>
      <c r="X25" s="575"/>
      <c r="Y25" s="575"/>
      <c r="Z25" s="575"/>
      <c r="AA25" s="583"/>
    </row>
    <row r="26" spans="1:27" s="584" customFormat="1" x14ac:dyDescent="0.2">
      <c r="A26" s="575">
        <f>A24+1</f>
        <v>10</v>
      </c>
      <c r="B26" s="575" t="s">
        <v>634</v>
      </c>
      <c r="C26" s="575" t="s">
        <v>231</v>
      </c>
      <c r="D26" s="571"/>
      <c r="E26" s="576"/>
      <c r="F26" s="576"/>
      <c r="G26" s="577"/>
      <c r="H26" s="575"/>
      <c r="I26" s="577"/>
      <c r="J26" s="582"/>
      <c r="K26" s="578">
        <f>(M26*4+N26*2)/2</f>
        <v>12</v>
      </c>
      <c r="L26" s="578"/>
      <c r="M26" s="578">
        <v>6</v>
      </c>
      <c r="N26" s="579"/>
      <c r="O26" s="579"/>
      <c r="P26" s="579"/>
      <c r="Q26" s="579"/>
      <c r="R26" s="579"/>
      <c r="S26" s="579"/>
      <c r="T26" s="579"/>
      <c r="U26" s="575"/>
      <c r="V26" s="575">
        <v>1</v>
      </c>
      <c r="W26" s="575">
        <v>1</v>
      </c>
      <c r="X26" s="575"/>
      <c r="Y26" s="575"/>
      <c r="Z26" s="575">
        <v>2</v>
      </c>
      <c r="AA26" s="583"/>
    </row>
    <row r="27" spans="1:27" s="584" customFormat="1" x14ac:dyDescent="0.2">
      <c r="A27" s="575"/>
      <c r="B27" s="575"/>
      <c r="C27" s="575"/>
      <c r="D27" s="571"/>
      <c r="E27" s="576">
        <v>394.30599999999998</v>
      </c>
      <c r="F27" s="576">
        <f>+CEILING(E27,5)</f>
        <v>395</v>
      </c>
      <c r="G27" s="577"/>
      <c r="H27" s="575">
        <f>F27*36</f>
        <v>14220</v>
      </c>
      <c r="I27" s="577">
        <f>F27</f>
        <v>395</v>
      </c>
      <c r="J27" s="582"/>
      <c r="K27" s="578"/>
      <c r="L27" s="578"/>
      <c r="M27" s="578"/>
      <c r="N27" s="579"/>
      <c r="O27" s="579"/>
      <c r="P27" s="579"/>
      <c r="Q27" s="579"/>
      <c r="R27" s="578">
        <v>42</v>
      </c>
      <c r="S27" s="579"/>
      <c r="T27" s="579"/>
      <c r="U27" s="575"/>
      <c r="V27" s="575"/>
      <c r="W27" s="575"/>
      <c r="X27" s="575"/>
      <c r="Y27" s="575"/>
      <c r="Z27" s="575"/>
      <c r="AA27" s="583"/>
    </row>
    <row r="28" spans="1:27" s="584" customFormat="1" x14ac:dyDescent="0.2">
      <c r="A28" s="575">
        <f>A26+1</f>
        <v>11</v>
      </c>
      <c r="B28" s="572" t="s">
        <v>446</v>
      </c>
      <c r="C28" s="572" t="s">
        <v>239</v>
      </c>
      <c r="D28" s="571" t="s">
        <v>1067</v>
      </c>
      <c r="E28" s="576"/>
      <c r="F28" s="576"/>
      <c r="G28" s="577"/>
      <c r="H28" s="575"/>
      <c r="I28" s="577"/>
      <c r="J28" s="578">
        <v>48</v>
      </c>
      <c r="K28" s="582"/>
      <c r="L28" s="578">
        <v>12</v>
      </c>
      <c r="M28" s="582"/>
      <c r="N28" s="575"/>
      <c r="O28" s="575"/>
      <c r="P28" s="575"/>
      <c r="Q28" s="575"/>
      <c r="R28" s="579"/>
      <c r="S28" s="575">
        <v>30</v>
      </c>
      <c r="T28" s="575"/>
      <c r="U28" s="575">
        <v>2</v>
      </c>
      <c r="V28" s="575"/>
      <c r="W28" s="575">
        <v>2</v>
      </c>
      <c r="X28" s="575"/>
      <c r="Y28" s="575"/>
      <c r="Z28" s="575">
        <v>4</v>
      </c>
      <c r="AA28" s="583"/>
    </row>
    <row r="29" spans="1:27" s="584" customFormat="1" x14ac:dyDescent="0.2">
      <c r="A29" s="575"/>
      <c r="B29" s="575"/>
      <c r="C29" s="572"/>
      <c r="D29" s="571"/>
      <c r="E29" s="576">
        <v>405.34199999999998</v>
      </c>
      <c r="F29" s="576">
        <f>+CEILING(E29,5)</f>
        <v>410</v>
      </c>
      <c r="G29" s="577"/>
      <c r="H29" s="575">
        <f>F29*36</f>
        <v>14760</v>
      </c>
      <c r="I29" s="577">
        <f>F29</f>
        <v>410</v>
      </c>
      <c r="J29" s="582"/>
      <c r="K29" s="578"/>
      <c r="L29" s="582"/>
      <c r="M29" s="578"/>
      <c r="N29" s="575"/>
      <c r="O29" s="575"/>
      <c r="P29" s="575"/>
      <c r="Q29" s="575"/>
      <c r="R29" s="578">
        <v>42</v>
      </c>
      <c r="S29" s="575"/>
      <c r="T29" s="575"/>
      <c r="U29" s="575"/>
      <c r="V29" s="575"/>
      <c r="W29" s="575"/>
      <c r="X29" s="575"/>
      <c r="Y29" s="575"/>
      <c r="Z29" s="575"/>
      <c r="AA29" s="583"/>
    </row>
    <row r="30" spans="1:27" s="584" customFormat="1" x14ac:dyDescent="0.2">
      <c r="A30" s="575">
        <f>A28+1</f>
        <v>12</v>
      </c>
      <c r="B30" s="575" t="s">
        <v>447</v>
      </c>
      <c r="C30" s="575" t="s">
        <v>20</v>
      </c>
      <c r="D30" s="571"/>
      <c r="E30" s="576"/>
      <c r="F30" s="576"/>
      <c r="G30" s="577"/>
      <c r="H30" s="575"/>
      <c r="I30" s="577"/>
      <c r="J30" s="582"/>
      <c r="K30" s="578">
        <f>(M30*4+N30*2)/2</f>
        <v>12</v>
      </c>
      <c r="L30" s="578"/>
      <c r="M30" s="578">
        <v>6</v>
      </c>
      <c r="N30" s="579"/>
      <c r="O30" s="579"/>
      <c r="P30" s="579"/>
      <c r="Q30" s="579"/>
      <c r="R30" s="579"/>
      <c r="S30" s="579"/>
      <c r="T30" s="579"/>
      <c r="U30" s="575"/>
      <c r="V30" s="575">
        <v>1</v>
      </c>
      <c r="W30" s="575">
        <v>1</v>
      </c>
      <c r="X30" s="575"/>
      <c r="Y30" s="575"/>
      <c r="Z30" s="575">
        <v>2</v>
      </c>
      <c r="AA30" s="583"/>
    </row>
    <row r="31" spans="1:27" s="584" customFormat="1" x14ac:dyDescent="0.2">
      <c r="A31" s="575"/>
      <c r="B31" s="575"/>
      <c r="C31" s="572"/>
      <c r="D31" s="571"/>
      <c r="E31" s="576">
        <v>338.50700000000001</v>
      </c>
      <c r="F31" s="576">
        <f>+CEILING(E31,5)</f>
        <v>340</v>
      </c>
      <c r="G31" s="577"/>
      <c r="H31" s="575">
        <f>F31*36</f>
        <v>12240</v>
      </c>
      <c r="I31" s="577">
        <f>F31</f>
        <v>340</v>
      </c>
      <c r="J31" s="582"/>
      <c r="K31" s="578"/>
      <c r="L31" s="582"/>
      <c r="M31" s="578"/>
      <c r="N31" s="575"/>
      <c r="O31" s="575"/>
      <c r="P31" s="575"/>
      <c r="Q31" s="575"/>
      <c r="R31" s="578">
        <v>36</v>
      </c>
      <c r="S31" s="575"/>
      <c r="T31" s="575"/>
      <c r="U31" s="575"/>
      <c r="V31" s="575"/>
      <c r="W31" s="575"/>
      <c r="X31" s="575"/>
      <c r="Y31" s="575"/>
      <c r="Z31" s="575"/>
      <c r="AA31" s="583"/>
    </row>
    <row r="32" spans="1:27" s="584" customFormat="1" x14ac:dyDescent="0.2">
      <c r="A32" s="575">
        <f>A30+1</f>
        <v>13</v>
      </c>
      <c r="B32" s="575" t="s">
        <v>448</v>
      </c>
      <c r="C32" s="575" t="s">
        <v>20</v>
      </c>
      <c r="D32" s="571"/>
      <c r="E32" s="576"/>
      <c r="F32" s="576"/>
      <c r="G32" s="577"/>
      <c r="H32" s="575"/>
      <c r="I32" s="577"/>
      <c r="J32" s="582"/>
      <c r="K32" s="578">
        <f>(M32*4+N32*2)/2</f>
        <v>12</v>
      </c>
      <c r="L32" s="578"/>
      <c r="M32" s="578">
        <v>6</v>
      </c>
      <c r="N32" s="579"/>
      <c r="O32" s="579"/>
      <c r="P32" s="579"/>
      <c r="Q32" s="579"/>
      <c r="R32" s="579"/>
      <c r="S32" s="579"/>
      <c r="T32" s="579"/>
      <c r="U32" s="575"/>
      <c r="V32" s="575">
        <v>1</v>
      </c>
      <c r="W32" s="575">
        <v>1</v>
      </c>
      <c r="X32" s="575"/>
      <c r="Y32" s="575"/>
      <c r="Z32" s="575">
        <v>2</v>
      </c>
      <c r="AA32" s="583"/>
    </row>
    <row r="33" spans="1:27" s="584" customFormat="1" x14ac:dyDescent="0.2">
      <c r="A33" s="575"/>
      <c r="B33" s="575"/>
      <c r="C33" s="572"/>
      <c r="D33" s="571"/>
      <c r="E33" s="576">
        <v>406.02300000000002</v>
      </c>
      <c r="F33" s="576">
        <f>+CEILING(E33,5)</f>
        <v>410</v>
      </c>
      <c r="G33" s="577"/>
      <c r="H33" s="575">
        <f>F33*36</f>
        <v>14760</v>
      </c>
      <c r="I33" s="577">
        <f>F33</f>
        <v>410</v>
      </c>
      <c r="J33" s="582"/>
      <c r="K33" s="578"/>
      <c r="L33" s="582"/>
      <c r="M33" s="578"/>
      <c r="N33" s="575"/>
      <c r="O33" s="575"/>
      <c r="P33" s="575"/>
      <c r="Q33" s="575"/>
      <c r="R33" s="578">
        <v>42</v>
      </c>
      <c r="S33" s="575"/>
      <c r="T33" s="575"/>
      <c r="U33" s="575"/>
      <c r="V33" s="575"/>
      <c r="W33" s="575"/>
      <c r="X33" s="575"/>
      <c r="Y33" s="575"/>
      <c r="Z33" s="575"/>
      <c r="AA33" s="583"/>
    </row>
    <row r="34" spans="1:27" s="584" customFormat="1" x14ac:dyDescent="0.2">
      <c r="A34" s="575">
        <f>A32+1</f>
        <v>14</v>
      </c>
      <c r="B34" s="575" t="s">
        <v>449</v>
      </c>
      <c r="C34" s="575" t="s">
        <v>20</v>
      </c>
      <c r="D34" s="571"/>
      <c r="E34" s="576"/>
      <c r="F34" s="576"/>
      <c r="G34" s="577"/>
      <c r="H34" s="575"/>
      <c r="I34" s="577"/>
      <c r="J34" s="582"/>
      <c r="K34" s="578">
        <f>(M34*4+N34*2)/2</f>
        <v>12</v>
      </c>
      <c r="L34" s="578"/>
      <c r="M34" s="578">
        <v>6</v>
      </c>
      <c r="N34" s="579"/>
      <c r="O34" s="579"/>
      <c r="P34" s="579"/>
      <c r="Q34" s="579"/>
      <c r="R34" s="579"/>
      <c r="S34" s="579"/>
      <c r="T34" s="579"/>
      <c r="U34" s="575"/>
      <c r="V34" s="575">
        <v>1</v>
      </c>
      <c r="W34" s="575">
        <v>1</v>
      </c>
      <c r="X34" s="575"/>
      <c r="Y34" s="575"/>
      <c r="Z34" s="575">
        <v>2</v>
      </c>
      <c r="AA34" s="583"/>
    </row>
    <row r="35" spans="1:27" s="584" customFormat="1" x14ac:dyDescent="0.2">
      <c r="A35" s="575"/>
      <c r="B35" s="575"/>
      <c r="C35" s="572"/>
      <c r="D35" s="571"/>
      <c r="E35" s="576">
        <v>428.94900000000001</v>
      </c>
      <c r="F35" s="576">
        <f>+CEILING(E35,5)</f>
        <v>430</v>
      </c>
      <c r="G35" s="577"/>
      <c r="H35" s="575">
        <f>F35*36</f>
        <v>15480</v>
      </c>
      <c r="I35" s="577">
        <f>F35</f>
        <v>430</v>
      </c>
      <c r="J35" s="582"/>
      <c r="K35" s="578"/>
      <c r="L35" s="582"/>
      <c r="M35" s="578"/>
      <c r="N35" s="575"/>
      <c r="O35" s="575"/>
      <c r="P35" s="575"/>
      <c r="Q35" s="575"/>
      <c r="R35" s="578">
        <v>42</v>
      </c>
      <c r="S35" s="575"/>
      <c r="T35" s="575"/>
      <c r="U35" s="575"/>
      <c r="V35" s="575"/>
      <c r="W35" s="575"/>
      <c r="X35" s="575"/>
      <c r="Y35" s="575"/>
      <c r="Z35" s="575"/>
      <c r="AA35" s="583"/>
    </row>
    <row r="36" spans="1:27" s="584" customFormat="1" x14ac:dyDescent="0.2">
      <c r="A36" s="575">
        <f>A34+1</f>
        <v>15</v>
      </c>
      <c r="B36" s="575" t="s">
        <v>450</v>
      </c>
      <c r="C36" s="575" t="s">
        <v>20</v>
      </c>
      <c r="D36" s="571"/>
      <c r="E36" s="576"/>
      <c r="F36" s="576"/>
      <c r="G36" s="577"/>
      <c r="H36" s="575"/>
      <c r="I36" s="577"/>
      <c r="J36" s="582"/>
      <c r="K36" s="578">
        <f>(M36*4+N36*2)/2</f>
        <v>12</v>
      </c>
      <c r="L36" s="578"/>
      <c r="M36" s="578">
        <v>6</v>
      </c>
      <c r="N36" s="579"/>
      <c r="O36" s="579"/>
      <c r="P36" s="579"/>
      <c r="Q36" s="579"/>
      <c r="R36" s="579"/>
      <c r="S36" s="579"/>
      <c r="T36" s="579"/>
      <c r="U36" s="575"/>
      <c r="V36" s="575">
        <v>1</v>
      </c>
      <c r="W36" s="575">
        <v>1</v>
      </c>
      <c r="X36" s="575"/>
      <c r="Y36" s="575"/>
      <c r="Z36" s="575">
        <v>2</v>
      </c>
      <c r="AA36" s="583"/>
    </row>
    <row r="37" spans="1:27" s="584" customFormat="1" x14ac:dyDescent="0.2">
      <c r="A37" s="575"/>
      <c r="B37" s="575"/>
      <c r="C37" s="572"/>
      <c r="D37" s="571"/>
      <c r="E37" s="576">
        <v>411.548</v>
      </c>
      <c r="F37" s="576">
        <f>+CEILING(E37,5)</f>
        <v>415</v>
      </c>
      <c r="G37" s="577"/>
      <c r="H37" s="575">
        <f>F37*36</f>
        <v>14940</v>
      </c>
      <c r="I37" s="577">
        <f>F37</f>
        <v>415</v>
      </c>
      <c r="J37" s="582"/>
      <c r="K37" s="578"/>
      <c r="L37" s="578"/>
      <c r="M37" s="578"/>
      <c r="N37" s="579"/>
      <c r="O37" s="579"/>
      <c r="P37" s="579"/>
      <c r="Q37" s="579"/>
      <c r="R37" s="578">
        <v>42</v>
      </c>
      <c r="S37" s="579"/>
      <c r="T37" s="579"/>
      <c r="U37" s="575"/>
      <c r="V37" s="575"/>
      <c r="W37" s="575"/>
      <c r="X37" s="575"/>
      <c r="Y37" s="575"/>
      <c r="Z37" s="575"/>
      <c r="AA37" s="583"/>
    </row>
    <row r="38" spans="1:27" s="584" customFormat="1" x14ac:dyDescent="0.2">
      <c r="A38" s="575">
        <f>A36+1</f>
        <v>16</v>
      </c>
      <c r="B38" s="575" t="s">
        <v>451</v>
      </c>
      <c r="C38" s="575" t="s">
        <v>20</v>
      </c>
      <c r="D38" s="571"/>
      <c r="E38" s="576"/>
      <c r="F38" s="576"/>
      <c r="G38" s="577"/>
      <c r="H38" s="575"/>
      <c r="I38" s="577"/>
      <c r="J38" s="582"/>
      <c r="K38" s="578">
        <f>(M38*4+N38*2)/2</f>
        <v>12</v>
      </c>
      <c r="L38" s="578"/>
      <c r="M38" s="578">
        <v>6</v>
      </c>
      <c r="N38" s="579"/>
      <c r="O38" s="579"/>
      <c r="P38" s="579"/>
      <c r="Q38" s="579"/>
      <c r="R38" s="579"/>
      <c r="S38" s="579"/>
      <c r="T38" s="579"/>
      <c r="U38" s="575"/>
      <c r="V38" s="575">
        <v>1</v>
      </c>
      <c r="W38" s="575">
        <v>1</v>
      </c>
      <c r="X38" s="575"/>
      <c r="Y38" s="575"/>
      <c r="Z38" s="575">
        <v>2</v>
      </c>
      <c r="AA38" s="583"/>
    </row>
    <row r="39" spans="1:27" s="584" customFormat="1" x14ac:dyDescent="0.2">
      <c r="A39" s="575"/>
      <c r="B39" s="575"/>
      <c r="C39" s="572"/>
      <c r="D39" s="571"/>
      <c r="E39" s="576">
        <v>425.74099999999999</v>
      </c>
      <c r="F39" s="576">
        <f>+CEILING(E39,5)</f>
        <v>430</v>
      </c>
      <c r="G39" s="577"/>
      <c r="H39" s="575">
        <f>F39*36</f>
        <v>15480</v>
      </c>
      <c r="I39" s="577">
        <f>F39</f>
        <v>430</v>
      </c>
      <c r="J39" s="582"/>
      <c r="K39" s="578"/>
      <c r="L39" s="578"/>
      <c r="M39" s="578"/>
      <c r="N39" s="579"/>
      <c r="O39" s="579"/>
      <c r="P39" s="579"/>
      <c r="Q39" s="579"/>
      <c r="R39" s="578">
        <v>42</v>
      </c>
      <c r="S39" s="579"/>
      <c r="T39" s="579"/>
      <c r="U39" s="575"/>
      <c r="V39" s="575"/>
      <c r="W39" s="575"/>
      <c r="X39" s="575"/>
      <c r="Y39" s="575"/>
      <c r="Z39" s="575"/>
      <c r="AA39" s="583"/>
    </row>
    <row r="40" spans="1:27" s="584" customFormat="1" x14ac:dyDescent="0.2">
      <c r="A40" s="575">
        <f>A38+1</f>
        <v>17</v>
      </c>
      <c r="B40" s="575" t="s">
        <v>452</v>
      </c>
      <c r="C40" s="575" t="s">
        <v>20</v>
      </c>
      <c r="D40" s="571"/>
      <c r="E40" s="576"/>
      <c r="F40" s="576"/>
      <c r="G40" s="577"/>
      <c r="H40" s="575"/>
      <c r="I40" s="577"/>
      <c r="J40" s="582"/>
      <c r="K40" s="578">
        <f>(M40*4+N40*2)/2</f>
        <v>12</v>
      </c>
      <c r="L40" s="578"/>
      <c r="M40" s="578">
        <v>6</v>
      </c>
      <c r="N40" s="579"/>
      <c r="O40" s="579"/>
      <c r="P40" s="579"/>
      <c r="Q40" s="579"/>
      <c r="R40" s="579"/>
      <c r="S40" s="579"/>
      <c r="T40" s="579"/>
      <c r="U40" s="575"/>
      <c r="V40" s="575">
        <v>1</v>
      </c>
      <c r="W40" s="575">
        <v>1</v>
      </c>
      <c r="X40" s="575"/>
      <c r="Y40" s="575"/>
      <c r="Z40" s="575">
        <v>2</v>
      </c>
      <c r="AA40" s="583"/>
    </row>
    <row r="41" spans="1:27" s="584" customFormat="1" x14ac:dyDescent="0.2">
      <c r="A41" s="575"/>
      <c r="B41" s="575"/>
      <c r="C41" s="572"/>
      <c r="D41" s="571"/>
      <c r="E41" s="576">
        <v>408.17599999999999</v>
      </c>
      <c r="F41" s="576">
        <f>+CEILING(E41,5)</f>
        <v>410</v>
      </c>
      <c r="G41" s="577"/>
      <c r="H41" s="575">
        <f>F41*36</f>
        <v>14760</v>
      </c>
      <c r="I41" s="577">
        <f>F41</f>
        <v>410</v>
      </c>
      <c r="J41" s="582"/>
      <c r="K41" s="578"/>
      <c r="L41" s="578"/>
      <c r="M41" s="578"/>
      <c r="N41" s="579"/>
      <c r="O41" s="579"/>
      <c r="P41" s="579"/>
      <c r="Q41" s="579"/>
      <c r="R41" s="578">
        <v>42</v>
      </c>
      <c r="S41" s="579"/>
      <c r="T41" s="579"/>
      <c r="U41" s="575"/>
      <c r="V41" s="575"/>
      <c r="W41" s="575"/>
      <c r="X41" s="575"/>
      <c r="Y41" s="575"/>
      <c r="Z41" s="575"/>
      <c r="AA41" s="583"/>
    </row>
    <row r="42" spans="1:27" s="584" customFormat="1" x14ac:dyDescent="0.2">
      <c r="A42" s="575">
        <f>A40+1</f>
        <v>18</v>
      </c>
      <c r="B42" s="575" t="s">
        <v>453</v>
      </c>
      <c r="C42" s="575" t="s">
        <v>20</v>
      </c>
      <c r="D42" s="571"/>
      <c r="E42" s="576"/>
      <c r="F42" s="576"/>
      <c r="G42" s="577"/>
      <c r="H42" s="575"/>
      <c r="I42" s="577"/>
      <c r="J42" s="582"/>
      <c r="K42" s="578">
        <f>(M42*4+N42*2)/2</f>
        <v>12</v>
      </c>
      <c r="L42" s="578"/>
      <c r="M42" s="578">
        <v>6</v>
      </c>
      <c r="N42" s="579"/>
      <c r="O42" s="579"/>
      <c r="P42" s="579"/>
      <c r="Q42" s="579"/>
      <c r="R42" s="579"/>
      <c r="S42" s="579"/>
      <c r="T42" s="579"/>
      <c r="U42" s="575"/>
      <c r="V42" s="575">
        <v>1</v>
      </c>
      <c r="W42" s="575">
        <v>1</v>
      </c>
      <c r="X42" s="575"/>
      <c r="Y42" s="575"/>
      <c r="Z42" s="575">
        <v>2</v>
      </c>
      <c r="AA42" s="583"/>
    </row>
    <row r="43" spans="1:27" s="584" customFormat="1" x14ac:dyDescent="0.2">
      <c r="A43" s="575"/>
      <c r="B43" s="575"/>
      <c r="C43" s="572"/>
      <c r="D43" s="571"/>
      <c r="E43" s="576">
        <v>354.58100000000002</v>
      </c>
      <c r="F43" s="576">
        <f>+CEILING(E43,5)</f>
        <v>355</v>
      </c>
      <c r="G43" s="577"/>
      <c r="H43" s="575">
        <f>F43*36</f>
        <v>12780</v>
      </c>
      <c r="I43" s="577">
        <f>F43</f>
        <v>355</v>
      </c>
      <c r="J43" s="582"/>
      <c r="K43" s="578"/>
      <c r="L43" s="578"/>
      <c r="M43" s="578"/>
      <c r="N43" s="579"/>
      <c r="O43" s="579"/>
      <c r="P43" s="579"/>
      <c r="Q43" s="579"/>
      <c r="R43" s="578">
        <v>36</v>
      </c>
      <c r="S43" s="579"/>
      <c r="T43" s="579"/>
      <c r="U43" s="575"/>
      <c r="V43" s="575"/>
      <c r="W43" s="575"/>
      <c r="X43" s="575"/>
      <c r="Y43" s="575"/>
      <c r="Z43" s="575"/>
      <c r="AA43" s="583"/>
    </row>
    <row r="44" spans="1:27" s="584" customFormat="1" x14ac:dyDescent="0.2">
      <c r="A44" s="575">
        <f>A42+1</f>
        <v>19</v>
      </c>
      <c r="B44" s="575" t="s">
        <v>454</v>
      </c>
      <c r="C44" s="575" t="s">
        <v>231</v>
      </c>
      <c r="D44" s="571"/>
      <c r="E44" s="576"/>
      <c r="F44" s="576"/>
      <c r="G44" s="577"/>
      <c r="H44" s="575"/>
      <c r="I44" s="577"/>
      <c r="J44" s="582"/>
      <c r="K44" s="578">
        <f>(M44*4+N44*2)/2</f>
        <v>12</v>
      </c>
      <c r="L44" s="578"/>
      <c r="M44" s="578">
        <v>6</v>
      </c>
      <c r="N44" s="579"/>
      <c r="O44" s="579"/>
      <c r="P44" s="579"/>
      <c r="Q44" s="579"/>
      <c r="R44" s="579"/>
      <c r="S44" s="579"/>
      <c r="T44" s="579"/>
      <c r="U44" s="575"/>
      <c r="V44" s="575">
        <v>1</v>
      </c>
      <c r="W44" s="575">
        <v>1</v>
      </c>
      <c r="X44" s="575"/>
      <c r="Y44" s="575"/>
      <c r="Z44" s="575">
        <v>2</v>
      </c>
      <c r="AA44" s="583"/>
    </row>
    <row r="45" spans="1:27" s="584" customFormat="1" x14ac:dyDescent="0.2">
      <c r="A45" s="575"/>
      <c r="B45" s="575"/>
      <c r="C45" s="572"/>
      <c r="D45" s="571"/>
      <c r="E45" s="576">
        <v>308.65600000000001</v>
      </c>
      <c r="F45" s="576">
        <f>+CEILING(E45,5)</f>
        <v>310</v>
      </c>
      <c r="G45" s="577"/>
      <c r="H45" s="575">
        <f>F45*36</f>
        <v>11160</v>
      </c>
      <c r="I45" s="577">
        <f>F45</f>
        <v>310</v>
      </c>
      <c r="J45" s="582"/>
      <c r="K45" s="578"/>
      <c r="L45" s="582"/>
      <c r="M45" s="578"/>
      <c r="N45" s="579"/>
      <c r="O45" s="579"/>
      <c r="P45" s="579"/>
      <c r="Q45" s="579"/>
      <c r="R45" s="578">
        <v>30</v>
      </c>
      <c r="S45" s="579"/>
      <c r="T45" s="579"/>
      <c r="U45" s="575"/>
      <c r="V45" s="575"/>
      <c r="W45" s="575"/>
      <c r="X45" s="575"/>
      <c r="Y45" s="575"/>
      <c r="Z45" s="575"/>
      <c r="AA45" s="583"/>
    </row>
    <row r="46" spans="1:27" s="584" customFormat="1" x14ac:dyDescent="0.2">
      <c r="A46" s="575">
        <f>A44+1</f>
        <v>20</v>
      </c>
      <c r="B46" s="575" t="s">
        <v>455</v>
      </c>
      <c r="C46" s="575" t="s">
        <v>231</v>
      </c>
      <c r="D46" s="571"/>
      <c r="E46" s="576"/>
      <c r="F46" s="576"/>
      <c r="G46" s="577"/>
      <c r="H46" s="575"/>
      <c r="I46" s="577"/>
      <c r="J46" s="582"/>
      <c r="K46" s="578">
        <f>(M46*4+N46*2)/2</f>
        <v>12</v>
      </c>
      <c r="L46" s="578"/>
      <c r="M46" s="578">
        <v>6</v>
      </c>
      <c r="N46" s="579"/>
      <c r="O46" s="579"/>
      <c r="P46" s="579"/>
      <c r="Q46" s="579"/>
      <c r="R46" s="579"/>
      <c r="S46" s="579"/>
      <c r="T46" s="579"/>
      <c r="U46" s="575"/>
      <c r="V46" s="575">
        <v>1</v>
      </c>
      <c r="W46" s="575">
        <v>1</v>
      </c>
      <c r="X46" s="575"/>
      <c r="Y46" s="575"/>
      <c r="Z46" s="575">
        <v>2</v>
      </c>
      <c r="AA46" s="583"/>
    </row>
    <row r="47" spans="1:27" s="584" customFormat="1" x14ac:dyDescent="0.2">
      <c r="A47" s="575"/>
      <c r="B47" s="575"/>
      <c r="C47" s="572"/>
      <c r="D47" s="571"/>
      <c r="E47" s="576">
        <v>335.97899999999998</v>
      </c>
      <c r="F47" s="576">
        <f>+CEILING(E47,5)</f>
        <v>340</v>
      </c>
      <c r="G47" s="577"/>
      <c r="H47" s="575">
        <f>F47*36</f>
        <v>12240</v>
      </c>
      <c r="I47" s="577">
        <f>F47</f>
        <v>340</v>
      </c>
      <c r="J47" s="582"/>
      <c r="K47" s="578"/>
      <c r="L47" s="582"/>
      <c r="M47" s="578"/>
      <c r="N47" s="579"/>
      <c r="O47" s="579"/>
      <c r="P47" s="579"/>
      <c r="Q47" s="579"/>
      <c r="R47" s="578">
        <v>36</v>
      </c>
      <c r="S47" s="579"/>
      <c r="T47" s="579"/>
      <c r="U47" s="575"/>
      <c r="V47" s="575"/>
      <c r="W47" s="575"/>
      <c r="X47" s="575"/>
      <c r="Y47" s="575"/>
      <c r="Z47" s="575"/>
      <c r="AA47" s="585"/>
    </row>
    <row r="48" spans="1:27" s="584" customFormat="1" ht="22.5" x14ac:dyDescent="0.2">
      <c r="A48" s="575">
        <f>A46+1</f>
        <v>21</v>
      </c>
      <c r="B48" s="572" t="s">
        <v>38</v>
      </c>
      <c r="C48" s="572" t="s">
        <v>651</v>
      </c>
      <c r="D48" s="571" t="s">
        <v>1068</v>
      </c>
      <c r="E48" s="576"/>
      <c r="F48" s="576"/>
      <c r="G48" s="577"/>
      <c r="H48" s="575"/>
      <c r="I48" s="577"/>
      <c r="J48" s="578">
        <v>48</v>
      </c>
      <c r="K48" s="578">
        <v>6</v>
      </c>
      <c r="L48" s="578">
        <v>12</v>
      </c>
      <c r="M48" s="582"/>
      <c r="N48" s="575">
        <v>6</v>
      </c>
      <c r="O48" s="575"/>
      <c r="P48" s="575"/>
      <c r="Q48" s="575"/>
      <c r="R48" s="579"/>
      <c r="S48" s="575">
        <v>30</v>
      </c>
      <c r="T48" s="575"/>
      <c r="U48" s="575">
        <v>2</v>
      </c>
      <c r="V48" s="575"/>
      <c r="W48" s="575">
        <v>2</v>
      </c>
      <c r="X48" s="575"/>
      <c r="Y48" s="575"/>
      <c r="Z48" s="575">
        <v>4</v>
      </c>
      <c r="AA48" s="583"/>
    </row>
    <row r="49" spans="1:27" s="584" customFormat="1" x14ac:dyDescent="0.2">
      <c r="A49" s="575"/>
      <c r="B49" s="575"/>
      <c r="C49" s="572"/>
      <c r="D49" s="571"/>
      <c r="E49" s="576">
        <v>226.52</v>
      </c>
      <c r="F49" s="576">
        <f>+CEILING(E49,5)</f>
        <v>230</v>
      </c>
      <c r="G49" s="577"/>
      <c r="H49" s="575">
        <f>F49*36</f>
        <v>8280</v>
      </c>
      <c r="I49" s="577">
        <f>F49</f>
        <v>230</v>
      </c>
      <c r="J49" s="582"/>
      <c r="K49" s="578"/>
      <c r="L49" s="578"/>
      <c r="M49" s="578"/>
      <c r="N49" s="579"/>
      <c r="O49" s="579"/>
      <c r="P49" s="579"/>
      <c r="Q49" s="579"/>
      <c r="R49" s="578">
        <v>24</v>
      </c>
      <c r="S49" s="579"/>
      <c r="T49" s="579"/>
      <c r="U49" s="575"/>
      <c r="V49" s="575"/>
      <c r="W49" s="575"/>
      <c r="X49" s="575"/>
      <c r="Y49" s="575"/>
      <c r="Z49" s="575"/>
      <c r="AA49" s="585"/>
    </row>
    <row r="50" spans="1:27" s="584" customFormat="1" ht="22.5" x14ac:dyDescent="0.2">
      <c r="A50" s="575">
        <f>A48+1</f>
        <v>22</v>
      </c>
      <c r="B50" s="572" t="s">
        <v>39</v>
      </c>
      <c r="C50" s="572" t="s">
        <v>651</v>
      </c>
      <c r="D50" s="571" t="s">
        <v>1069</v>
      </c>
      <c r="E50" s="576"/>
      <c r="F50" s="576"/>
      <c r="G50" s="577"/>
      <c r="H50" s="575"/>
      <c r="I50" s="577"/>
      <c r="J50" s="578">
        <v>48</v>
      </c>
      <c r="K50" s="578">
        <v>6</v>
      </c>
      <c r="L50" s="578">
        <v>12</v>
      </c>
      <c r="M50" s="582"/>
      <c r="N50" s="575">
        <v>6</v>
      </c>
      <c r="O50" s="575"/>
      <c r="P50" s="575"/>
      <c r="Q50" s="575"/>
      <c r="R50" s="579"/>
      <c r="S50" s="575">
        <v>30</v>
      </c>
      <c r="T50" s="575"/>
      <c r="U50" s="575">
        <v>2</v>
      </c>
      <c r="V50" s="575"/>
      <c r="W50" s="575">
        <v>2</v>
      </c>
      <c r="X50" s="575"/>
      <c r="Y50" s="575"/>
      <c r="Z50" s="575">
        <v>4</v>
      </c>
      <c r="AA50" s="583"/>
    </row>
    <row r="51" spans="1:27" s="584" customFormat="1" x14ac:dyDescent="0.2">
      <c r="A51" s="575"/>
      <c r="B51" s="575"/>
      <c r="C51" s="572"/>
      <c r="D51" s="571"/>
      <c r="E51" s="576">
        <v>343.37299999999999</v>
      </c>
      <c r="F51" s="576">
        <f>+CEILING(E51,5)</f>
        <v>345</v>
      </c>
      <c r="G51" s="577"/>
      <c r="H51" s="575">
        <f>F51*36</f>
        <v>12420</v>
      </c>
      <c r="I51" s="577">
        <f>F51</f>
        <v>345</v>
      </c>
      <c r="J51" s="582"/>
      <c r="K51" s="578"/>
      <c r="L51" s="578"/>
      <c r="M51" s="578"/>
      <c r="N51" s="579"/>
      <c r="O51" s="579"/>
      <c r="P51" s="579"/>
      <c r="Q51" s="579"/>
      <c r="R51" s="578">
        <v>36</v>
      </c>
      <c r="S51" s="579"/>
      <c r="T51" s="579"/>
      <c r="U51" s="575"/>
      <c r="V51" s="575"/>
      <c r="W51" s="575"/>
      <c r="X51" s="575"/>
      <c r="Y51" s="575"/>
      <c r="Z51" s="575"/>
      <c r="AA51" s="583"/>
    </row>
    <row r="52" spans="1:27" s="584" customFormat="1" x14ac:dyDescent="0.2">
      <c r="A52" s="575">
        <f>A50+1</f>
        <v>23</v>
      </c>
      <c r="B52" s="575" t="s">
        <v>456</v>
      </c>
      <c r="C52" s="575" t="s">
        <v>231</v>
      </c>
      <c r="D52" s="571"/>
      <c r="E52" s="576"/>
      <c r="F52" s="576"/>
      <c r="G52" s="577"/>
      <c r="H52" s="575"/>
      <c r="I52" s="577"/>
      <c r="J52" s="582"/>
      <c r="K52" s="578">
        <f>(M52*4+N52*2)/2</f>
        <v>12</v>
      </c>
      <c r="L52" s="578"/>
      <c r="M52" s="578">
        <v>6</v>
      </c>
      <c r="N52" s="579"/>
      <c r="O52" s="579"/>
      <c r="P52" s="579"/>
      <c r="Q52" s="579"/>
      <c r="R52" s="579"/>
      <c r="S52" s="579"/>
      <c r="T52" s="579"/>
      <c r="U52" s="575"/>
      <c r="V52" s="575">
        <v>1</v>
      </c>
      <c r="W52" s="575">
        <v>1</v>
      </c>
      <c r="X52" s="575"/>
      <c r="Y52" s="575"/>
      <c r="Z52" s="575">
        <v>2</v>
      </c>
      <c r="AA52" s="583"/>
    </row>
    <row r="53" spans="1:27" s="584" customFormat="1" x14ac:dyDescent="0.2">
      <c r="A53" s="575"/>
      <c r="B53" s="575"/>
      <c r="C53" s="572"/>
      <c r="D53" s="571"/>
      <c r="E53" s="576">
        <v>358.44400000000002</v>
      </c>
      <c r="F53" s="576">
        <f>+CEILING(E53,5)</f>
        <v>360</v>
      </c>
      <c r="G53" s="577"/>
      <c r="H53" s="575">
        <f>F53*36</f>
        <v>12960</v>
      </c>
      <c r="I53" s="577">
        <f>F53</f>
        <v>360</v>
      </c>
      <c r="J53" s="582"/>
      <c r="K53" s="578"/>
      <c r="L53" s="578"/>
      <c r="M53" s="578"/>
      <c r="N53" s="579"/>
      <c r="O53" s="579"/>
      <c r="P53" s="579"/>
      <c r="Q53" s="579"/>
      <c r="R53" s="578">
        <v>36</v>
      </c>
      <c r="S53" s="579"/>
      <c r="T53" s="579"/>
      <c r="U53" s="575"/>
      <c r="V53" s="575"/>
      <c r="W53" s="575"/>
      <c r="X53" s="575"/>
      <c r="Y53" s="575"/>
      <c r="Z53" s="575"/>
      <c r="AA53" s="583"/>
    </row>
    <row r="54" spans="1:27" s="584" customFormat="1" x14ac:dyDescent="0.2">
      <c r="A54" s="575">
        <f>A52+1</f>
        <v>24</v>
      </c>
      <c r="B54" s="575" t="s">
        <v>457</v>
      </c>
      <c r="C54" s="575" t="s">
        <v>231</v>
      </c>
      <c r="D54" s="571"/>
      <c r="E54" s="576"/>
      <c r="F54" s="576"/>
      <c r="G54" s="577"/>
      <c r="H54" s="575"/>
      <c r="I54" s="577"/>
      <c r="J54" s="582"/>
      <c r="K54" s="578">
        <f>(M54*4+N54*2)/2</f>
        <v>12</v>
      </c>
      <c r="L54" s="578"/>
      <c r="M54" s="578">
        <v>6</v>
      </c>
      <c r="N54" s="579"/>
      <c r="O54" s="579"/>
      <c r="P54" s="579"/>
      <c r="Q54" s="579"/>
      <c r="R54" s="579"/>
      <c r="S54" s="579"/>
      <c r="T54" s="579"/>
      <c r="U54" s="575"/>
      <c r="V54" s="575">
        <v>1</v>
      </c>
      <c r="W54" s="575">
        <v>1</v>
      </c>
      <c r="X54" s="575"/>
      <c r="Y54" s="575"/>
      <c r="Z54" s="575">
        <v>2</v>
      </c>
      <c r="AA54" s="583"/>
    </row>
    <row r="55" spans="1:27" s="584" customFormat="1" x14ac:dyDescent="0.2">
      <c r="A55" s="575"/>
      <c r="B55" s="575"/>
      <c r="C55" s="572"/>
      <c r="D55" s="571"/>
      <c r="E55" s="576">
        <v>381.012</v>
      </c>
      <c r="F55" s="576">
        <f>+CEILING(E55,5)</f>
        <v>385</v>
      </c>
      <c r="G55" s="577"/>
      <c r="H55" s="575">
        <f>F55*36</f>
        <v>13860</v>
      </c>
      <c r="I55" s="577">
        <f>F55</f>
        <v>385</v>
      </c>
      <c r="J55" s="582"/>
      <c r="K55" s="578"/>
      <c r="L55" s="582"/>
      <c r="M55" s="578"/>
      <c r="N55" s="575"/>
      <c r="O55" s="575"/>
      <c r="P55" s="575"/>
      <c r="Q55" s="575"/>
      <c r="R55" s="578">
        <v>36</v>
      </c>
      <c r="S55" s="575"/>
      <c r="T55" s="575"/>
      <c r="U55" s="575"/>
      <c r="V55" s="575"/>
      <c r="W55" s="575"/>
      <c r="X55" s="575"/>
      <c r="Y55" s="575"/>
      <c r="Z55" s="575"/>
      <c r="AA55" s="583"/>
    </row>
    <row r="56" spans="1:27" s="584" customFormat="1" x14ac:dyDescent="0.2">
      <c r="A56" s="575">
        <f>A54+1</f>
        <v>25</v>
      </c>
      <c r="B56" s="575" t="s">
        <v>458</v>
      </c>
      <c r="C56" s="575" t="s">
        <v>231</v>
      </c>
      <c r="D56" s="571"/>
      <c r="E56" s="576"/>
      <c r="F56" s="576"/>
      <c r="G56" s="577"/>
      <c r="H56" s="575"/>
      <c r="I56" s="577"/>
      <c r="J56" s="582"/>
      <c r="K56" s="578">
        <f>(M56*4+N56*2)/2</f>
        <v>12</v>
      </c>
      <c r="L56" s="578"/>
      <c r="M56" s="578">
        <v>6</v>
      </c>
      <c r="N56" s="579"/>
      <c r="O56" s="579"/>
      <c r="P56" s="579"/>
      <c r="Q56" s="579"/>
      <c r="R56" s="579"/>
      <c r="S56" s="579"/>
      <c r="T56" s="579"/>
      <c r="U56" s="575"/>
      <c r="V56" s="575">
        <v>1</v>
      </c>
      <c r="W56" s="575">
        <v>1</v>
      </c>
      <c r="X56" s="575"/>
      <c r="Y56" s="575"/>
      <c r="Z56" s="575">
        <v>2</v>
      </c>
      <c r="AA56" s="583"/>
    </row>
    <row r="57" spans="1:27" s="584" customFormat="1" x14ac:dyDescent="0.2">
      <c r="A57" s="575"/>
      <c r="B57" s="575"/>
      <c r="C57" s="572"/>
      <c r="D57" s="571"/>
      <c r="E57" s="576">
        <v>367.62400000000002</v>
      </c>
      <c r="F57" s="576">
        <f>+CEILING(E57,5)</f>
        <v>370</v>
      </c>
      <c r="G57" s="577"/>
      <c r="H57" s="575">
        <f>F57*36</f>
        <v>13320</v>
      </c>
      <c r="I57" s="577">
        <f>F57</f>
        <v>370</v>
      </c>
      <c r="J57" s="582"/>
      <c r="K57" s="578"/>
      <c r="L57" s="582"/>
      <c r="M57" s="578"/>
      <c r="N57" s="579"/>
      <c r="O57" s="579"/>
      <c r="P57" s="579"/>
      <c r="Q57" s="579"/>
      <c r="R57" s="578">
        <v>36</v>
      </c>
      <c r="S57" s="579"/>
      <c r="T57" s="579"/>
      <c r="U57" s="575"/>
      <c r="V57" s="575"/>
      <c r="W57" s="575"/>
      <c r="X57" s="575"/>
      <c r="Y57" s="575"/>
      <c r="Z57" s="575"/>
      <c r="AA57" s="583"/>
    </row>
    <row r="58" spans="1:27" s="584" customFormat="1" x14ac:dyDescent="0.2">
      <c r="A58" s="575">
        <f>A56+1</f>
        <v>26</v>
      </c>
      <c r="B58" s="575" t="s">
        <v>459</v>
      </c>
      <c r="C58" s="575" t="s">
        <v>231</v>
      </c>
      <c r="D58" s="571"/>
      <c r="E58" s="576"/>
      <c r="F58" s="576"/>
      <c r="G58" s="577"/>
      <c r="H58" s="575"/>
      <c r="I58" s="577"/>
      <c r="J58" s="582"/>
      <c r="K58" s="578">
        <f>(M58*4+N58*2)/2</f>
        <v>12</v>
      </c>
      <c r="L58" s="578"/>
      <c r="M58" s="578">
        <v>6</v>
      </c>
      <c r="N58" s="579"/>
      <c r="O58" s="579"/>
      <c r="P58" s="579"/>
      <c r="Q58" s="579"/>
      <c r="R58" s="579"/>
      <c r="S58" s="579"/>
      <c r="T58" s="579"/>
      <c r="U58" s="575"/>
      <c r="V58" s="575">
        <v>1</v>
      </c>
      <c r="W58" s="575">
        <v>1</v>
      </c>
      <c r="X58" s="575"/>
      <c r="Y58" s="575"/>
      <c r="Z58" s="575">
        <v>2</v>
      </c>
      <c r="AA58" s="583"/>
    </row>
    <row r="59" spans="1:27" s="584" customFormat="1" x14ac:dyDescent="0.2">
      <c r="A59" s="575"/>
      <c r="B59" s="575"/>
      <c r="C59" s="572"/>
      <c r="D59" s="571"/>
      <c r="E59" s="576">
        <v>423.09100000000001</v>
      </c>
      <c r="F59" s="576">
        <f>+CEILING(E59,5)</f>
        <v>425</v>
      </c>
      <c r="G59" s="577"/>
      <c r="H59" s="575">
        <f>F59*36</f>
        <v>15300</v>
      </c>
      <c r="I59" s="577">
        <f>F59</f>
        <v>425</v>
      </c>
      <c r="J59" s="582"/>
      <c r="K59" s="582"/>
      <c r="L59" s="582"/>
      <c r="M59" s="582"/>
      <c r="N59" s="575"/>
      <c r="O59" s="575"/>
      <c r="P59" s="575"/>
      <c r="Q59" s="575"/>
      <c r="R59" s="578">
        <v>42</v>
      </c>
      <c r="S59" s="579"/>
      <c r="T59" s="575"/>
      <c r="U59" s="575"/>
      <c r="V59" s="575"/>
      <c r="W59" s="575"/>
      <c r="X59" s="575"/>
      <c r="Y59" s="575"/>
      <c r="Z59" s="575"/>
      <c r="AA59" s="583"/>
    </row>
    <row r="60" spans="1:27" s="584" customFormat="1" ht="22.5" x14ac:dyDescent="0.2">
      <c r="A60" s="575">
        <f>A58+1</f>
        <v>27</v>
      </c>
      <c r="B60" s="572" t="s">
        <v>40</v>
      </c>
      <c r="C60" s="572" t="s">
        <v>1070</v>
      </c>
      <c r="D60" s="571" t="s">
        <v>1071</v>
      </c>
      <c r="E60" s="576"/>
      <c r="F60" s="576"/>
      <c r="G60" s="577"/>
      <c r="H60" s="575"/>
      <c r="I60" s="577"/>
      <c r="J60" s="578">
        <v>48</v>
      </c>
      <c r="K60" s="582"/>
      <c r="L60" s="578">
        <v>12</v>
      </c>
      <c r="M60" s="582"/>
      <c r="N60" s="575"/>
      <c r="O60" s="575"/>
      <c r="P60" s="575"/>
      <c r="Q60" s="575"/>
      <c r="R60" s="579"/>
      <c r="S60" s="575">
        <v>30</v>
      </c>
      <c r="T60" s="575"/>
      <c r="U60" s="575">
        <v>2</v>
      </c>
      <c r="V60" s="575"/>
      <c r="W60" s="575">
        <v>2</v>
      </c>
      <c r="X60" s="575"/>
      <c r="Y60" s="575"/>
      <c r="Z60" s="575">
        <v>4</v>
      </c>
      <c r="AA60" s="583"/>
    </row>
    <row r="61" spans="1:27" s="584" customFormat="1" x14ac:dyDescent="0.2">
      <c r="A61" s="575"/>
      <c r="B61" s="575"/>
      <c r="C61" s="572"/>
      <c r="D61" s="571"/>
      <c r="E61" s="576">
        <v>246.01900000000001</v>
      </c>
      <c r="F61" s="576">
        <f>+CEILING(E61,5)</f>
        <v>250</v>
      </c>
      <c r="G61" s="577"/>
      <c r="H61" s="575">
        <f>F61*36</f>
        <v>9000</v>
      </c>
      <c r="I61" s="577">
        <f>F61</f>
        <v>250</v>
      </c>
      <c r="J61" s="582"/>
      <c r="K61" s="578"/>
      <c r="L61" s="578"/>
      <c r="M61" s="578"/>
      <c r="N61" s="579"/>
      <c r="O61" s="579"/>
      <c r="P61" s="579"/>
      <c r="Q61" s="579"/>
      <c r="R61" s="578">
        <v>24</v>
      </c>
      <c r="S61" s="579"/>
      <c r="T61" s="579"/>
      <c r="U61" s="575"/>
      <c r="V61" s="575"/>
      <c r="W61" s="575"/>
      <c r="X61" s="575"/>
      <c r="Y61" s="575"/>
      <c r="Z61" s="575"/>
      <c r="AA61" s="583"/>
    </row>
    <row r="62" spans="1:27" s="584" customFormat="1" ht="22.5" x14ac:dyDescent="0.2">
      <c r="A62" s="575">
        <f>A60+1</f>
        <v>28</v>
      </c>
      <c r="B62" s="572" t="s">
        <v>41</v>
      </c>
      <c r="C62" s="572" t="s">
        <v>1072</v>
      </c>
      <c r="D62" s="571" t="s">
        <v>1073</v>
      </c>
      <c r="E62" s="576"/>
      <c r="F62" s="576"/>
      <c r="G62" s="577"/>
      <c r="H62" s="575"/>
      <c r="I62" s="577"/>
      <c r="J62" s="578">
        <v>48</v>
      </c>
      <c r="K62" s="582"/>
      <c r="L62" s="578">
        <v>12</v>
      </c>
      <c r="M62" s="582"/>
      <c r="N62" s="575"/>
      <c r="O62" s="575"/>
      <c r="P62" s="575"/>
      <c r="Q62" s="575"/>
      <c r="R62" s="579"/>
      <c r="S62" s="575">
        <v>30</v>
      </c>
      <c r="T62" s="575"/>
      <c r="U62" s="575">
        <v>2</v>
      </c>
      <c r="V62" s="575"/>
      <c r="W62" s="575">
        <v>2</v>
      </c>
      <c r="X62" s="575"/>
      <c r="Y62" s="575"/>
      <c r="Z62" s="575">
        <v>4</v>
      </c>
      <c r="AA62" s="583"/>
    </row>
    <row r="63" spans="1:27" s="584" customFormat="1" x14ac:dyDescent="0.2">
      <c r="A63" s="575"/>
      <c r="B63" s="575"/>
      <c r="C63" s="572"/>
      <c r="D63" s="571"/>
      <c r="E63" s="576">
        <v>429.91699999999997</v>
      </c>
      <c r="F63" s="576">
        <f>+CEILING(E63,5)</f>
        <v>430</v>
      </c>
      <c r="G63" s="577"/>
      <c r="H63" s="575">
        <f>F63*36</f>
        <v>15480</v>
      </c>
      <c r="I63" s="577">
        <f>F63</f>
        <v>430</v>
      </c>
      <c r="J63" s="582"/>
      <c r="K63" s="578"/>
      <c r="L63" s="578"/>
      <c r="M63" s="578"/>
      <c r="N63" s="579"/>
      <c r="O63" s="579"/>
      <c r="P63" s="579"/>
      <c r="Q63" s="579"/>
      <c r="R63" s="578">
        <v>42</v>
      </c>
      <c r="S63" s="579"/>
      <c r="T63" s="579"/>
      <c r="U63" s="575"/>
      <c r="V63" s="575"/>
      <c r="W63" s="575"/>
      <c r="X63" s="575"/>
      <c r="Y63" s="575"/>
      <c r="Z63" s="575"/>
      <c r="AA63" s="583"/>
    </row>
    <row r="64" spans="1:27" s="584" customFormat="1" x14ac:dyDescent="0.2">
      <c r="A64" s="575">
        <f>A62+1</f>
        <v>29</v>
      </c>
      <c r="B64" s="575" t="s">
        <v>460</v>
      </c>
      <c r="C64" s="575" t="s">
        <v>231</v>
      </c>
      <c r="D64" s="571"/>
      <c r="E64" s="576"/>
      <c r="F64" s="576"/>
      <c r="G64" s="577"/>
      <c r="H64" s="575"/>
      <c r="I64" s="577"/>
      <c r="J64" s="582"/>
      <c r="K64" s="578">
        <f>(M64*4+N64*2)/2</f>
        <v>12</v>
      </c>
      <c r="L64" s="578"/>
      <c r="M64" s="578">
        <v>6</v>
      </c>
      <c r="N64" s="579"/>
      <c r="O64" s="579"/>
      <c r="P64" s="579"/>
      <c r="Q64" s="579"/>
      <c r="R64" s="579"/>
      <c r="S64" s="579"/>
      <c r="T64" s="579"/>
      <c r="U64" s="575"/>
      <c r="V64" s="575">
        <v>1</v>
      </c>
      <c r="W64" s="575">
        <v>1</v>
      </c>
      <c r="X64" s="575"/>
      <c r="Y64" s="575"/>
      <c r="Z64" s="575">
        <v>2</v>
      </c>
      <c r="AA64" s="583"/>
    </row>
    <row r="65" spans="1:27" s="584" customFormat="1" x14ac:dyDescent="0.2">
      <c r="A65" s="575"/>
      <c r="B65" s="575"/>
      <c r="C65" s="572"/>
      <c r="D65" s="571"/>
      <c r="E65" s="576">
        <v>362.36500000000001</v>
      </c>
      <c r="F65" s="576">
        <f>+CEILING(E65,5)</f>
        <v>365</v>
      </c>
      <c r="G65" s="577"/>
      <c r="H65" s="575">
        <f>F65*36</f>
        <v>13140</v>
      </c>
      <c r="I65" s="577">
        <f>F65</f>
        <v>365</v>
      </c>
      <c r="J65" s="582"/>
      <c r="K65" s="578"/>
      <c r="L65" s="582"/>
      <c r="M65" s="578"/>
      <c r="N65" s="579"/>
      <c r="O65" s="579"/>
      <c r="P65" s="579"/>
      <c r="Q65" s="579"/>
      <c r="R65" s="578">
        <v>36</v>
      </c>
      <c r="S65" s="579"/>
      <c r="T65" s="579"/>
      <c r="U65" s="575"/>
      <c r="V65" s="575"/>
      <c r="W65" s="575"/>
      <c r="X65" s="575"/>
      <c r="Y65" s="575"/>
      <c r="Z65" s="575"/>
      <c r="AA65" s="585"/>
    </row>
    <row r="66" spans="1:27" s="584" customFormat="1" x14ac:dyDescent="0.2">
      <c r="A66" s="575">
        <f>A64+1</f>
        <v>30</v>
      </c>
      <c r="B66" s="575" t="s">
        <v>42</v>
      </c>
      <c r="C66" s="575" t="s">
        <v>231</v>
      </c>
      <c r="D66" s="571"/>
      <c r="E66" s="576"/>
      <c r="F66" s="576"/>
      <c r="G66" s="577"/>
      <c r="H66" s="575"/>
      <c r="I66" s="577"/>
      <c r="J66" s="582"/>
      <c r="K66" s="578">
        <f>(M66*4+N66*2)/2</f>
        <v>12</v>
      </c>
      <c r="L66" s="578"/>
      <c r="M66" s="578">
        <v>6</v>
      </c>
      <c r="N66" s="579"/>
      <c r="O66" s="579"/>
      <c r="P66" s="579"/>
      <c r="Q66" s="579"/>
      <c r="R66" s="579"/>
      <c r="S66" s="579"/>
      <c r="T66" s="579"/>
      <c r="U66" s="575"/>
      <c r="V66" s="575">
        <v>1</v>
      </c>
      <c r="W66" s="575">
        <v>1</v>
      </c>
      <c r="X66" s="575"/>
      <c r="Y66" s="575"/>
      <c r="Z66" s="575">
        <v>2</v>
      </c>
      <c r="AA66" s="583"/>
    </row>
    <row r="67" spans="1:27" s="584" customFormat="1" x14ac:dyDescent="0.2">
      <c r="A67" s="575"/>
      <c r="B67" s="575"/>
      <c r="C67" s="572"/>
      <c r="D67" s="571"/>
      <c r="E67" s="576">
        <v>347.86399999999998</v>
      </c>
      <c r="F67" s="576">
        <f>+CEILING(E67,5)</f>
        <v>350</v>
      </c>
      <c r="G67" s="577"/>
      <c r="H67" s="575">
        <f>F67*36</f>
        <v>12600</v>
      </c>
      <c r="I67" s="577">
        <f>F67</f>
        <v>350</v>
      </c>
      <c r="J67" s="582"/>
      <c r="K67" s="578"/>
      <c r="L67" s="582"/>
      <c r="M67" s="578"/>
      <c r="N67" s="579"/>
      <c r="O67" s="579"/>
      <c r="P67" s="579"/>
      <c r="Q67" s="579"/>
      <c r="R67" s="578">
        <v>36</v>
      </c>
      <c r="S67" s="579"/>
      <c r="T67" s="579"/>
      <c r="U67" s="575"/>
      <c r="V67" s="575"/>
      <c r="W67" s="575"/>
      <c r="X67" s="575"/>
      <c r="Y67" s="575"/>
      <c r="Z67" s="575"/>
      <c r="AA67" s="585"/>
    </row>
    <row r="68" spans="1:27" s="584" customFormat="1" x14ac:dyDescent="0.2">
      <c r="A68" s="575">
        <f>A66+1</f>
        <v>31</v>
      </c>
      <c r="B68" s="572" t="s">
        <v>43</v>
      </c>
      <c r="C68" s="572" t="s">
        <v>242</v>
      </c>
      <c r="D68" s="571" t="s">
        <v>1074</v>
      </c>
      <c r="E68" s="576"/>
      <c r="F68" s="576"/>
      <c r="G68" s="577"/>
      <c r="H68" s="575"/>
      <c r="I68" s="577"/>
      <c r="J68" s="578">
        <v>48</v>
      </c>
      <c r="K68" s="582"/>
      <c r="L68" s="578">
        <v>12</v>
      </c>
      <c r="M68" s="582"/>
      <c r="N68" s="575"/>
      <c r="O68" s="575"/>
      <c r="P68" s="575"/>
      <c r="Q68" s="575"/>
      <c r="R68" s="579"/>
      <c r="S68" s="575">
        <v>30</v>
      </c>
      <c r="T68" s="575"/>
      <c r="U68" s="575">
        <v>2</v>
      </c>
      <c r="V68" s="575"/>
      <c r="W68" s="575">
        <v>2</v>
      </c>
      <c r="X68" s="575"/>
      <c r="Y68" s="575"/>
      <c r="Z68" s="575">
        <v>4</v>
      </c>
      <c r="AA68" s="583"/>
    </row>
    <row r="69" spans="1:27" s="584" customFormat="1" x14ac:dyDescent="0.2">
      <c r="A69" s="575"/>
      <c r="B69" s="575"/>
      <c r="C69" s="572"/>
      <c r="D69" s="571"/>
      <c r="E69" s="576">
        <v>210.755</v>
      </c>
      <c r="F69" s="576">
        <f>+CEILING(E69,5)</f>
        <v>215</v>
      </c>
      <c r="G69" s="577"/>
      <c r="H69" s="575">
        <f>F69*36</f>
        <v>7740</v>
      </c>
      <c r="I69" s="577">
        <f>F69</f>
        <v>215</v>
      </c>
      <c r="J69" s="582"/>
      <c r="K69" s="578"/>
      <c r="L69" s="578"/>
      <c r="M69" s="578"/>
      <c r="N69" s="579"/>
      <c r="O69" s="579"/>
      <c r="P69" s="579"/>
      <c r="Q69" s="579"/>
      <c r="R69" s="578">
        <v>24</v>
      </c>
      <c r="S69" s="579"/>
      <c r="T69" s="579"/>
      <c r="U69" s="575"/>
      <c r="V69" s="575"/>
      <c r="W69" s="575"/>
      <c r="X69" s="575"/>
      <c r="Y69" s="575"/>
      <c r="Z69" s="575"/>
      <c r="AA69" s="583"/>
    </row>
    <row r="70" spans="1:27" s="584" customFormat="1" x14ac:dyDescent="0.2">
      <c r="A70" s="575">
        <f>A68+1</f>
        <v>32</v>
      </c>
      <c r="B70" s="572" t="s">
        <v>44</v>
      </c>
      <c r="C70" s="572" t="s">
        <v>242</v>
      </c>
      <c r="D70" s="571" t="s">
        <v>1075</v>
      </c>
      <c r="E70" s="576"/>
      <c r="F70" s="576"/>
      <c r="G70" s="577"/>
      <c r="H70" s="575"/>
      <c r="I70" s="577"/>
      <c r="J70" s="578">
        <v>48</v>
      </c>
      <c r="K70" s="582"/>
      <c r="L70" s="578">
        <v>12</v>
      </c>
      <c r="M70" s="582"/>
      <c r="N70" s="575"/>
      <c r="O70" s="575"/>
      <c r="P70" s="575"/>
      <c r="Q70" s="575"/>
      <c r="R70" s="579"/>
      <c r="S70" s="575">
        <v>30</v>
      </c>
      <c r="T70" s="575"/>
      <c r="U70" s="575">
        <v>2</v>
      </c>
      <c r="V70" s="575"/>
      <c r="W70" s="575">
        <v>2</v>
      </c>
      <c r="X70" s="575"/>
      <c r="Y70" s="575"/>
      <c r="Z70" s="575">
        <v>4</v>
      </c>
      <c r="AA70" s="583"/>
    </row>
    <row r="71" spans="1:27" s="584" customFormat="1" x14ac:dyDescent="0.2">
      <c r="A71" s="575"/>
      <c r="B71" s="575"/>
      <c r="C71" s="572"/>
      <c r="D71" s="571"/>
      <c r="E71" s="576">
        <v>409.202</v>
      </c>
      <c r="F71" s="576">
        <f>+CEILING(E71,5)</f>
        <v>410</v>
      </c>
      <c r="G71" s="577"/>
      <c r="H71" s="575">
        <f>F71*36</f>
        <v>14760</v>
      </c>
      <c r="I71" s="577">
        <f>F71</f>
        <v>410</v>
      </c>
      <c r="J71" s="582"/>
      <c r="K71" s="578"/>
      <c r="L71" s="582"/>
      <c r="M71" s="578"/>
      <c r="N71" s="575"/>
      <c r="O71" s="575"/>
      <c r="P71" s="575"/>
      <c r="Q71" s="575"/>
      <c r="R71" s="578">
        <v>42</v>
      </c>
      <c r="S71" s="575"/>
      <c r="T71" s="575"/>
      <c r="U71" s="575"/>
      <c r="V71" s="575"/>
      <c r="W71" s="575"/>
      <c r="X71" s="575"/>
      <c r="Y71" s="575"/>
      <c r="Z71" s="575"/>
      <c r="AA71" s="583"/>
    </row>
    <row r="72" spans="1:27" s="584" customFormat="1" x14ac:dyDescent="0.2">
      <c r="A72" s="575">
        <f>A70+1</f>
        <v>33</v>
      </c>
      <c r="B72" s="575" t="s">
        <v>150</v>
      </c>
      <c r="C72" s="575" t="s">
        <v>20</v>
      </c>
      <c r="D72" s="571"/>
      <c r="E72" s="576"/>
      <c r="F72" s="576"/>
      <c r="G72" s="577"/>
      <c r="H72" s="575"/>
      <c r="I72" s="577"/>
      <c r="J72" s="582"/>
      <c r="K72" s="578">
        <f>(M72*4+N72*2)/2</f>
        <v>12</v>
      </c>
      <c r="L72" s="578"/>
      <c r="M72" s="578">
        <v>6</v>
      </c>
      <c r="N72" s="579"/>
      <c r="O72" s="579"/>
      <c r="P72" s="579"/>
      <c r="Q72" s="579"/>
      <c r="R72" s="579"/>
      <c r="S72" s="579"/>
      <c r="T72" s="579"/>
      <c r="U72" s="575"/>
      <c r="V72" s="575">
        <v>1</v>
      </c>
      <c r="W72" s="575">
        <v>1</v>
      </c>
      <c r="X72" s="575"/>
      <c r="Y72" s="575"/>
      <c r="Z72" s="575">
        <v>2</v>
      </c>
      <c r="AA72" s="583"/>
    </row>
    <row r="73" spans="1:27" s="584" customFormat="1" x14ac:dyDescent="0.2">
      <c r="A73" s="575"/>
      <c r="B73" s="575"/>
      <c r="C73" s="572"/>
      <c r="D73" s="571"/>
      <c r="E73" s="576">
        <v>413.63299999999998</v>
      </c>
      <c r="F73" s="576">
        <f>+CEILING(E73,5)</f>
        <v>415</v>
      </c>
      <c r="G73" s="577"/>
      <c r="H73" s="575">
        <f>F73*36</f>
        <v>14940</v>
      </c>
      <c r="I73" s="577">
        <f>F73</f>
        <v>415</v>
      </c>
      <c r="J73" s="582"/>
      <c r="K73" s="578"/>
      <c r="L73" s="578"/>
      <c r="M73" s="578"/>
      <c r="N73" s="579"/>
      <c r="O73" s="579"/>
      <c r="P73" s="579"/>
      <c r="Q73" s="579"/>
      <c r="R73" s="578">
        <v>42</v>
      </c>
      <c r="S73" s="579"/>
      <c r="T73" s="579"/>
      <c r="U73" s="575"/>
      <c r="V73" s="575"/>
      <c r="W73" s="575"/>
      <c r="X73" s="575"/>
      <c r="Y73" s="575"/>
      <c r="Z73" s="575"/>
      <c r="AA73" s="583"/>
    </row>
    <row r="74" spans="1:27" s="584" customFormat="1" x14ac:dyDescent="0.2">
      <c r="A74" s="575">
        <f>A72+1</f>
        <v>34</v>
      </c>
      <c r="B74" s="575" t="s">
        <v>461</v>
      </c>
      <c r="C74" s="575" t="s">
        <v>20</v>
      </c>
      <c r="D74" s="571"/>
      <c r="E74" s="576"/>
      <c r="F74" s="576"/>
      <c r="G74" s="577"/>
      <c r="H74" s="575"/>
      <c r="I74" s="577"/>
      <c r="J74" s="582"/>
      <c r="K74" s="578">
        <f>(M74*4+N74*2)/2</f>
        <v>12</v>
      </c>
      <c r="L74" s="578"/>
      <c r="M74" s="578">
        <v>6</v>
      </c>
      <c r="N74" s="579"/>
      <c r="O74" s="579"/>
      <c r="P74" s="579"/>
      <c r="Q74" s="579"/>
      <c r="R74" s="579"/>
      <c r="S74" s="579"/>
      <c r="T74" s="579"/>
      <c r="U74" s="575"/>
      <c r="V74" s="575">
        <v>1</v>
      </c>
      <c r="W74" s="575">
        <v>1</v>
      </c>
      <c r="X74" s="575"/>
      <c r="Y74" s="575"/>
      <c r="Z74" s="575">
        <v>2</v>
      </c>
      <c r="AA74" s="583"/>
    </row>
    <row r="75" spans="1:27" s="584" customFormat="1" x14ac:dyDescent="0.2">
      <c r="A75" s="575"/>
      <c r="B75" s="575"/>
      <c r="C75" s="572"/>
      <c r="D75" s="571"/>
      <c r="E75" s="576">
        <v>393.24099999999999</v>
      </c>
      <c r="F75" s="576">
        <f>+CEILING(E75,5)</f>
        <v>395</v>
      </c>
      <c r="G75" s="577"/>
      <c r="H75" s="575">
        <f>F75*36</f>
        <v>14220</v>
      </c>
      <c r="I75" s="577">
        <f>F75</f>
        <v>395</v>
      </c>
      <c r="J75" s="582"/>
      <c r="K75" s="578"/>
      <c r="L75" s="578"/>
      <c r="M75" s="578"/>
      <c r="N75" s="579"/>
      <c r="O75" s="579"/>
      <c r="P75" s="579"/>
      <c r="Q75" s="579"/>
      <c r="R75" s="578">
        <v>42</v>
      </c>
      <c r="S75" s="579"/>
      <c r="T75" s="579"/>
      <c r="U75" s="575"/>
      <c r="V75" s="575"/>
      <c r="W75" s="575"/>
      <c r="X75" s="575"/>
      <c r="Y75" s="575"/>
      <c r="Z75" s="575"/>
      <c r="AA75" s="583"/>
    </row>
    <row r="76" spans="1:27" s="584" customFormat="1" x14ac:dyDescent="0.2">
      <c r="A76" s="575">
        <f>A74+1</f>
        <v>35</v>
      </c>
      <c r="B76" s="575" t="s">
        <v>462</v>
      </c>
      <c r="C76" s="575" t="s">
        <v>231</v>
      </c>
      <c r="D76" s="571"/>
      <c r="E76" s="576"/>
      <c r="F76" s="576"/>
      <c r="G76" s="577"/>
      <c r="H76" s="575"/>
      <c r="I76" s="577"/>
      <c r="J76" s="582"/>
      <c r="K76" s="578">
        <f>(M76*4+N76*2)/2</f>
        <v>12</v>
      </c>
      <c r="L76" s="578"/>
      <c r="M76" s="578">
        <v>6</v>
      </c>
      <c r="N76" s="579"/>
      <c r="O76" s="579"/>
      <c r="P76" s="579"/>
      <c r="Q76" s="579"/>
      <c r="R76" s="579"/>
      <c r="S76" s="579"/>
      <c r="T76" s="579"/>
      <c r="U76" s="575"/>
      <c r="V76" s="575">
        <v>1</v>
      </c>
      <c r="W76" s="575">
        <v>1</v>
      </c>
      <c r="X76" s="575"/>
      <c r="Y76" s="575"/>
      <c r="Z76" s="575">
        <v>2</v>
      </c>
      <c r="AA76" s="583"/>
    </row>
    <row r="77" spans="1:27" s="584" customFormat="1" x14ac:dyDescent="0.2">
      <c r="A77" s="575"/>
      <c r="B77" s="575"/>
      <c r="C77" s="572"/>
      <c r="D77" s="571"/>
      <c r="E77" s="576">
        <v>416.47300000000001</v>
      </c>
      <c r="F77" s="576">
        <f>+CEILING(E77,5)</f>
        <v>420</v>
      </c>
      <c r="G77" s="577"/>
      <c r="H77" s="575">
        <f>F77*36</f>
        <v>15120</v>
      </c>
      <c r="I77" s="577">
        <f>F77</f>
        <v>420</v>
      </c>
      <c r="J77" s="582"/>
      <c r="K77" s="578"/>
      <c r="L77" s="578"/>
      <c r="M77" s="578"/>
      <c r="N77" s="579"/>
      <c r="O77" s="579"/>
      <c r="P77" s="579"/>
      <c r="Q77" s="579"/>
      <c r="R77" s="578">
        <v>42</v>
      </c>
      <c r="S77" s="579"/>
      <c r="T77" s="579"/>
      <c r="U77" s="575"/>
      <c r="V77" s="575"/>
      <c r="W77" s="575"/>
      <c r="X77" s="575"/>
      <c r="Y77" s="575"/>
      <c r="Z77" s="575"/>
      <c r="AA77" s="583"/>
    </row>
    <row r="78" spans="1:27" s="584" customFormat="1" x14ac:dyDescent="0.2">
      <c r="A78" s="575">
        <f>A76+1</f>
        <v>36</v>
      </c>
      <c r="B78" s="575" t="s">
        <v>463</v>
      </c>
      <c r="C78" s="575" t="s">
        <v>20</v>
      </c>
      <c r="D78" s="571"/>
      <c r="E78" s="576"/>
      <c r="F78" s="576"/>
      <c r="G78" s="577"/>
      <c r="H78" s="575"/>
      <c r="I78" s="577"/>
      <c r="J78" s="582"/>
      <c r="K78" s="578">
        <f>(M78*4+N78*2)/2</f>
        <v>12</v>
      </c>
      <c r="L78" s="578"/>
      <c r="M78" s="578">
        <v>6</v>
      </c>
      <c r="N78" s="579"/>
      <c r="O78" s="579"/>
      <c r="P78" s="579"/>
      <c r="Q78" s="579"/>
      <c r="R78" s="579"/>
      <c r="S78" s="579"/>
      <c r="T78" s="579"/>
      <c r="U78" s="575"/>
      <c r="V78" s="575">
        <v>1</v>
      </c>
      <c r="W78" s="575">
        <v>1</v>
      </c>
      <c r="X78" s="575"/>
      <c r="Y78" s="575"/>
      <c r="Z78" s="575">
        <v>2</v>
      </c>
      <c r="AA78" s="583"/>
    </row>
    <row r="79" spans="1:27" s="584" customFormat="1" x14ac:dyDescent="0.2">
      <c r="A79" s="575"/>
      <c r="B79" s="575"/>
      <c r="C79" s="572"/>
      <c r="D79" s="571"/>
      <c r="E79" s="576">
        <v>394.56200000000001</v>
      </c>
      <c r="F79" s="576">
        <f>+CEILING(E79,5)</f>
        <v>395</v>
      </c>
      <c r="G79" s="577"/>
      <c r="H79" s="575">
        <f>F79*36</f>
        <v>14220</v>
      </c>
      <c r="I79" s="577">
        <f>F79</f>
        <v>395</v>
      </c>
      <c r="J79" s="582"/>
      <c r="K79" s="578"/>
      <c r="L79" s="578"/>
      <c r="M79" s="578"/>
      <c r="N79" s="579"/>
      <c r="O79" s="579"/>
      <c r="P79" s="579"/>
      <c r="Q79" s="579"/>
      <c r="R79" s="578">
        <v>42</v>
      </c>
      <c r="S79" s="579"/>
      <c r="T79" s="579"/>
      <c r="U79" s="575"/>
      <c r="V79" s="575"/>
      <c r="W79" s="575"/>
      <c r="X79" s="575"/>
      <c r="Y79" s="575"/>
      <c r="Z79" s="575"/>
      <c r="AA79" s="583"/>
    </row>
    <row r="80" spans="1:27" s="584" customFormat="1" x14ac:dyDescent="0.2">
      <c r="A80" s="575">
        <f>A78+1</f>
        <v>37</v>
      </c>
      <c r="B80" s="575" t="s">
        <v>464</v>
      </c>
      <c r="C80" s="575" t="s">
        <v>20</v>
      </c>
      <c r="D80" s="571"/>
      <c r="E80" s="576"/>
      <c r="F80" s="576"/>
      <c r="G80" s="577"/>
      <c r="H80" s="575"/>
      <c r="I80" s="577"/>
      <c r="J80" s="582"/>
      <c r="K80" s="578">
        <f>(M80*4+N80*2)/2</f>
        <v>12</v>
      </c>
      <c r="L80" s="578"/>
      <c r="M80" s="578">
        <v>6</v>
      </c>
      <c r="N80" s="579"/>
      <c r="O80" s="579"/>
      <c r="P80" s="579"/>
      <c r="Q80" s="579"/>
      <c r="R80" s="579"/>
      <c r="S80" s="579"/>
      <c r="T80" s="579"/>
      <c r="U80" s="575"/>
      <c r="V80" s="575">
        <v>1</v>
      </c>
      <c r="W80" s="575">
        <v>1</v>
      </c>
      <c r="X80" s="575"/>
      <c r="Y80" s="575"/>
      <c r="Z80" s="575">
        <v>2</v>
      </c>
      <c r="AA80" s="583"/>
    </row>
    <row r="81" spans="1:27" s="584" customFormat="1" x14ac:dyDescent="0.2">
      <c r="A81" s="575"/>
      <c r="B81" s="575"/>
      <c r="C81" s="572"/>
      <c r="D81" s="571"/>
      <c r="E81" s="576">
        <v>393.20400000000001</v>
      </c>
      <c r="F81" s="576">
        <f>+CEILING(E81,5)</f>
        <v>395</v>
      </c>
      <c r="G81" s="577"/>
      <c r="H81" s="575">
        <f>F81*36</f>
        <v>14220</v>
      </c>
      <c r="I81" s="577">
        <f>F81</f>
        <v>395</v>
      </c>
      <c r="J81" s="582"/>
      <c r="K81" s="578"/>
      <c r="L81" s="582"/>
      <c r="M81" s="578"/>
      <c r="N81" s="579"/>
      <c r="O81" s="579"/>
      <c r="P81" s="579"/>
      <c r="Q81" s="579"/>
      <c r="R81" s="578">
        <v>42</v>
      </c>
      <c r="S81" s="579"/>
      <c r="T81" s="579"/>
      <c r="U81" s="575"/>
      <c r="V81" s="575"/>
      <c r="W81" s="575"/>
      <c r="X81" s="575"/>
      <c r="Y81" s="575"/>
      <c r="Z81" s="575"/>
      <c r="AA81" s="583"/>
    </row>
    <row r="82" spans="1:27" s="584" customFormat="1" x14ac:dyDescent="0.2">
      <c r="A82" s="575">
        <f>A80+1</f>
        <v>38</v>
      </c>
      <c r="B82" s="575" t="s">
        <v>151</v>
      </c>
      <c r="C82" s="575" t="s">
        <v>20</v>
      </c>
      <c r="D82" s="571"/>
      <c r="E82" s="576"/>
      <c r="F82" s="576"/>
      <c r="G82" s="577"/>
      <c r="H82" s="575"/>
      <c r="I82" s="577"/>
      <c r="J82" s="582"/>
      <c r="K82" s="578">
        <f>(M82*4+N82*2)/2</f>
        <v>12</v>
      </c>
      <c r="L82" s="578"/>
      <c r="M82" s="578">
        <v>6</v>
      </c>
      <c r="N82" s="579"/>
      <c r="O82" s="579"/>
      <c r="P82" s="579"/>
      <c r="Q82" s="579"/>
      <c r="R82" s="579"/>
      <c r="S82" s="579"/>
      <c r="T82" s="579"/>
      <c r="U82" s="575"/>
      <c r="V82" s="575">
        <v>1</v>
      </c>
      <c r="W82" s="575">
        <v>1</v>
      </c>
      <c r="X82" s="575"/>
      <c r="Y82" s="575"/>
      <c r="Z82" s="575">
        <v>2</v>
      </c>
      <c r="AA82" s="583"/>
    </row>
    <row r="83" spans="1:27" s="584" customFormat="1" x14ac:dyDescent="0.2">
      <c r="A83" s="575"/>
      <c r="B83" s="575"/>
      <c r="C83" s="572"/>
      <c r="D83" s="571"/>
      <c r="E83" s="576">
        <v>441.05799999999999</v>
      </c>
      <c r="F83" s="576">
        <f>+CEILING(E83,5)</f>
        <v>445</v>
      </c>
      <c r="G83" s="577"/>
      <c r="H83" s="575">
        <f>F83*36</f>
        <v>16020</v>
      </c>
      <c r="I83" s="577">
        <f>F83</f>
        <v>445</v>
      </c>
      <c r="J83" s="582"/>
      <c r="K83" s="578"/>
      <c r="L83" s="578"/>
      <c r="M83" s="578"/>
      <c r="N83" s="579"/>
      <c r="O83" s="579"/>
      <c r="P83" s="579"/>
      <c r="Q83" s="579"/>
      <c r="R83" s="578">
        <v>42</v>
      </c>
      <c r="S83" s="579"/>
      <c r="T83" s="579"/>
      <c r="U83" s="575"/>
      <c r="V83" s="575"/>
      <c r="W83" s="575"/>
      <c r="X83" s="575"/>
      <c r="Y83" s="575"/>
      <c r="Z83" s="575"/>
      <c r="AA83" s="583"/>
    </row>
    <row r="84" spans="1:27" s="584" customFormat="1" x14ac:dyDescent="0.2">
      <c r="A84" s="575">
        <f>A82+1</f>
        <v>39</v>
      </c>
      <c r="B84" s="572" t="s">
        <v>152</v>
      </c>
      <c r="C84" s="572" t="s">
        <v>242</v>
      </c>
      <c r="D84" s="571" t="s">
        <v>1076</v>
      </c>
      <c r="E84" s="576"/>
      <c r="F84" s="576"/>
      <c r="G84" s="577"/>
      <c r="H84" s="575"/>
      <c r="I84" s="577"/>
      <c r="J84" s="578">
        <v>48</v>
      </c>
      <c r="K84" s="582"/>
      <c r="L84" s="578">
        <v>12</v>
      </c>
      <c r="M84" s="582"/>
      <c r="N84" s="575"/>
      <c r="O84" s="575"/>
      <c r="P84" s="575"/>
      <c r="Q84" s="575"/>
      <c r="R84" s="579"/>
      <c r="S84" s="575">
        <v>30</v>
      </c>
      <c r="T84" s="575"/>
      <c r="U84" s="575">
        <v>2</v>
      </c>
      <c r="V84" s="575"/>
      <c r="W84" s="575">
        <v>2</v>
      </c>
      <c r="X84" s="575"/>
      <c r="Y84" s="575"/>
      <c r="Z84" s="575">
        <v>4</v>
      </c>
      <c r="AA84" s="583"/>
    </row>
    <row r="85" spans="1:27" s="584" customFormat="1" x14ac:dyDescent="0.2">
      <c r="A85" s="575"/>
      <c r="B85" s="575"/>
      <c r="C85" s="572"/>
      <c r="D85" s="571"/>
      <c r="E85" s="576">
        <v>419.392</v>
      </c>
      <c r="F85" s="576">
        <f>+CEILING(E85,5)</f>
        <v>420</v>
      </c>
      <c r="G85" s="577"/>
      <c r="H85" s="575">
        <f>F85*36</f>
        <v>15120</v>
      </c>
      <c r="I85" s="577">
        <f>F85</f>
        <v>420</v>
      </c>
      <c r="J85" s="582"/>
      <c r="K85" s="578"/>
      <c r="L85" s="578"/>
      <c r="M85" s="578"/>
      <c r="N85" s="579"/>
      <c r="O85" s="579"/>
      <c r="P85" s="579"/>
      <c r="Q85" s="579"/>
      <c r="R85" s="578">
        <v>42</v>
      </c>
      <c r="S85" s="579"/>
      <c r="T85" s="579"/>
      <c r="U85" s="575"/>
      <c r="V85" s="575"/>
      <c r="W85" s="575"/>
      <c r="X85" s="575"/>
      <c r="Y85" s="575"/>
      <c r="Z85" s="575"/>
      <c r="AA85" s="583"/>
    </row>
    <row r="86" spans="1:27" s="584" customFormat="1" x14ac:dyDescent="0.2">
      <c r="A86" s="575">
        <f>A84+1</f>
        <v>40</v>
      </c>
      <c r="B86" s="575" t="s">
        <v>153</v>
      </c>
      <c r="C86" s="575" t="s">
        <v>232</v>
      </c>
      <c r="D86" s="571"/>
      <c r="E86" s="576"/>
      <c r="F86" s="576"/>
      <c r="G86" s="577"/>
      <c r="H86" s="575"/>
      <c r="I86" s="577"/>
      <c r="J86" s="582"/>
      <c r="K86" s="578">
        <f>(M86*4+N86*2)/2</f>
        <v>12</v>
      </c>
      <c r="L86" s="578"/>
      <c r="M86" s="578">
        <v>6</v>
      </c>
      <c r="N86" s="579"/>
      <c r="O86" s="579"/>
      <c r="P86" s="579"/>
      <c r="Q86" s="579"/>
      <c r="R86" s="579"/>
      <c r="S86" s="579"/>
      <c r="T86" s="579"/>
      <c r="U86" s="575"/>
      <c r="V86" s="575">
        <v>1</v>
      </c>
      <c r="W86" s="575">
        <v>1</v>
      </c>
      <c r="X86" s="575"/>
      <c r="Y86" s="575"/>
      <c r="Z86" s="575">
        <v>2</v>
      </c>
      <c r="AA86" s="583"/>
    </row>
    <row r="87" spans="1:27" s="584" customFormat="1" x14ac:dyDescent="0.2">
      <c r="A87" s="575"/>
      <c r="B87" s="575"/>
      <c r="C87" s="572"/>
      <c r="D87" s="571"/>
      <c r="E87" s="576">
        <v>390.86399999999998</v>
      </c>
      <c r="F87" s="576">
        <f>+CEILING(E87,5)</f>
        <v>395</v>
      </c>
      <c r="G87" s="577"/>
      <c r="H87" s="575">
        <f>F87*36</f>
        <v>14220</v>
      </c>
      <c r="I87" s="577">
        <f>F87</f>
        <v>395</v>
      </c>
      <c r="J87" s="582"/>
      <c r="K87" s="578"/>
      <c r="L87" s="582"/>
      <c r="M87" s="578"/>
      <c r="N87" s="575"/>
      <c r="O87" s="575"/>
      <c r="P87" s="575"/>
      <c r="Q87" s="575"/>
      <c r="R87" s="578">
        <v>42</v>
      </c>
      <c r="S87" s="575"/>
      <c r="T87" s="575"/>
      <c r="U87" s="575"/>
      <c r="V87" s="575"/>
      <c r="W87" s="575"/>
      <c r="X87" s="575"/>
      <c r="Y87" s="575"/>
      <c r="Z87" s="575"/>
      <c r="AA87" s="583"/>
    </row>
    <row r="88" spans="1:27" s="584" customFormat="1" x14ac:dyDescent="0.2">
      <c r="A88" s="575">
        <f>A86+1</f>
        <v>41</v>
      </c>
      <c r="B88" s="575" t="s">
        <v>465</v>
      </c>
      <c r="C88" s="575" t="s">
        <v>20</v>
      </c>
      <c r="D88" s="571"/>
      <c r="E88" s="576"/>
      <c r="F88" s="576"/>
      <c r="G88" s="577"/>
      <c r="H88" s="575"/>
      <c r="I88" s="577"/>
      <c r="J88" s="582"/>
      <c r="K88" s="578">
        <f>(M88*4+N88*2)/2</f>
        <v>12</v>
      </c>
      <c r="L88" s="578"/>
      <c r="M88" s="578">
        <v>6</v>
      </c>
      <c r="N88" s="579"/>
      <c r="O88" s="579"/>
      <c r="P88" s="579"/>
      <c r="Q88" s="579"/>
      <c r="R88" s="579"/>
      <c r="S88" s="579"/>
      <c r="T88" s="579"/>
      <c r="U88" s="575"/>
      <c r="V88" s="575">
        <v>1</v>
      </c>
      <c r="W88" s="575">
        <v>1</v>
      </c>
      <c r="X88" s="575"/>
      <c r="Y88" s="575"/>
      <c r="Z88" s="575">
        <v>2</v>
      </c>
      <c r="AA88" s="583"/>
    </row>
    <row r="89" spans="1:27" s="584" customFormat="1" x14ac:dyDescent="0.2">
      <c r="A89" s="575"/>
      <c r="B89" s="575"/>
      <c r="C89" s="572"/>
      <c r="D89" s="571"/>
      <c r="E89" s="576">
        <v>413.404</v>
      </c>
      <c r="F89" s="576">
        <f>+CEILING(E89,5)</f>
        <v>415</v>
      </c>
      <c r="G89" s="577"/>
      <c r="H89" s="575">
        <f>F89*36</f>
        <v>14940</v>
      </c>
      <c r="I89" s="577">
        <f>F89</f>
        <v>415</v>
      </c>
      <c r="J89" s="582"/>
      <c r="K89" s="578"/>
      <c r="L89" s="582"/>
      <c r="M89" s="578"/>
      <c r="N89" s="575"/>
      <c r="O89" s="575"/>
      <c r="P89" s="575"/>
      <c r="Q89" s="575"/>
      <c r="R89" s="578">
        <v>42</v>
      </c>
      <c r="S89" s="575"/>
      <c r="T89" s="575"/>
      <c r="U89" s="575"/>
      <c r="V89" s="575"/>
      <c r="W89" s="575"/>
      <c r="X89" s="575"/>
      <c r="Y89" s="575"/>
      <c r="Z89" s="575"/>
      <c r="AA89" s="583"/>
    </row>
    <row r="90" spans="1:27" s="584" customFormat="1" x14ac:dyDescent="0.2">
      <c r="A90" s="575">
        <f>A88+1</f>
        <v>42</v>
      </c>
      <c r="B90" s="575" t="s">
        <v>154</v>
      </c>
      <c r="C90" s="575" t="s">
        <v>20</v>
      </c>
      <c r="D90" s="571"/>
      <c r="E90" s="576"/>
      <c r="F90" s="576"/>
      <c r="G90" s="577"/>
      <c r="H90" s="575"/>
      <c r="I90" s="577"/>
      <c r="J90" s="582"/>
      <c r="K90" s="578">
        <f>(M90*4+N90*2)/2</f>
        <v>12</v>
      </c>
      <c r="L90" s="578"/>
      <c r="M90" s="578">
        <v>6</v>
      </c>
      <c r="N90" s="579"/>
      <c r="O90" s="579"/>
      <c r="P90" s="579"/>
      <c r="Q90" s="579"/>
      <c r="R90" s="579"/>
      <c r="S90" s="579"/>
      <c r="T90" s="579"/>
      <c r="U90" s="575"/>
      <c r="V90" s="575">
        <v>1</v>
      </c>
      <c r="W90" s="575">
        <v>1</v>
      </c>
      <c r="X90" s="575"/>
      <c r="Y90" s="575"/>
      <c r="Z90" s="575">
        <v>2</v>
      </c>
      <c r="AA90" s="583"/>
    </row>
    <row r="91" spans="1:27" s="584" customFormat="1" x14ac:dyDescent="0.2">
      <c r="A91" s="575"/>
      <c r="B91" s="575"/>
      <c r="C91" s="572"/>
      <c r="D91" s="571"/>
      <c r="E91" s="576">
        <v>402.63600000000002</v>
      </c>
      <c r="F91" s="576">
        <f>+CEILING(E91,5)</f>
        <v>405</v>
      </c>
      <c r="G91" s="577"/>
      <c r="H91" s="575">
        <f>F91*36</f>
        <v>14580</v>
      </c>
      <c r="I91" s="577">
        <f>F91</f>
        <v>405</v>
      </c>
      <c r="J91" s="582"/>
      <c r="K91" s="578"/>
      <c r="L91" s="578"/>
      <c r="M91" s="578"/>
      <c r="N91" s="579"/>
      <c r="O91" s="579"/>
      <c r="P91" s="579"/>
      <c r="Q91" s="579"/>
      <c r="R91" s="578">
        <v>42</v>
      </c>
      <c r="S91" s="579"/>
      <c r="T91" s="579"/>
      <c r="U91" s="575"/>
      <c r="V91" s="575"/>
      <c r="W91" s="575"/>
      <c r="X91" s="575"/>
      <c r="Y91" s="575"/>
      <c r="Z91" s="575"/>
      <c r="AA91" s="583"/>
    </row>
    <row r="92" spans="1:27" s="584" customFormat="1" x14ac:dyDescent="0.2">
      <c r="A92" s="575">
        <f>A90+1</f>
        <v>43</v>
      </c>
      <c r="B92" s="575" t="s">
        <v>155</v>
      </c>
      <c r="C92" s="575" t="s">
        <v>231</v>
      </c>
      <c r="D92" s="571"/>
      <c r="E92" s="576"/>
      <c r="F92" s="576"/>
      <c r="G92" s="577"/>
      <c r="H92" s="575"/>
      <c r="I92" s="577"/>
      <c r="J92" s="582"/>
      <c r="K92" s="578">
        <f>(M92*4+N92*2)/2</f>
        <v>12</v>
      </c>
      <c r="L92" s="578"/>
      <c r="M92" s="578">
        <v>6</v>
      </c>
      <c r="N92" s="579"/>
      <c r="O92" s="579"/>
      <c r="P92" s="579"/>
      <c r="Q92" s="579"/>
      <c r="R92" s="579"/>
      <c r="S92" s="579"/>
      <c r="T92" s="579"/>
      <c r="U92" s="575"/>
      <c r="V92" s="575">
        <v>1</v>
      </c>
      <c r="W92" s="575">
        <v>1</v>
      </c>
      <c r="X92" s="575"/>
      <c r="Y92" s="575"/>
      <c r="Z92" s="575">
        <v>2</v>
      </c>
      <c r="AA92" s="583"/>
    </row>
    <row r="93" spans="1:27" s="584" customFormat="1" x14ac:dyDescent="0.2">
      <c r="A93" s="575"/>
      <c r="B93" s="575"/>
      <c r="C93" s="572"/>
      <c r="D93" s="571"/>
      <c r="E93" s="576">
        <v>372.04599999999999</v>
      </c>
      <c r="F93" s="576">
        <f>+CEILING(E93,5)</f>
        <v>375</v>
      </c>
      <c r="G93" s="577"/>
      <c r="H93" s="575">
        <f>F93*36</f>
        <v>13500</v>
      </c>
      <c r="I93" s="577">
        <f>F93</f>
        <v>375</v>
      </c>
      <c r="J93" s="582"/>
      <c r="K93" s="578"/>
      <c r="L93" s="582"/>
      <c r="M93" s="578"/>
      <c r="N93" s="579"/>
      <c r="O93" s="579"/>
      <c r="P93" s="579"/>
      <c r="Q93" s="579"/>
      <c r="R93" s="578">
        <v>36</v>
      </c>
      <c r="S93" s="579"/>
      <c r="T93" s="579"/>
      <c r="U93" s="575"/>
      <c r="V93" s="575"/>
      <c r="W93" s="575"/>
      <c r="X93" s="575"/>
      <c r="Y93" s="575"/>
      <c r="Z93" s="575"/>
      <c r="AA93" s="583"/>
    </row>
    <row r="94" spans="1:27" s="584" customFormat="1" x14ac:dyDescent="0.2">
      <c r="A94" s="575">
        <f>A92+1</f>
        <v>44</v>
      </c>
      <c r="B94" s="575" t="s">
        <v>466</v>
      </c>
      <c r="C94" s="575" t="s">
        <v>231</v>
      </c>
      <c r="D94" s="571"/>
      <c r="E94" s="576"/>
      <c r="F94" s="576"/>
      <c r="G94" s="577"/>
      <c r="H94" s="575"/>
      <c r="I94" s="577"/>
      <c r="J94" s="582"/>
      <c r="K94" s="578">
        <f>(M94*4+N94*2)/2</f>
        <v>12</v>
      </c>
      <c r="L94" s="578"/>
      <c r="M94" s="578">
        <v>6</v>
      </c>
      <c r="N94" s="579"/>
      <c r="O94" s="579"/>
      <c r="P94" s="579"/>
      <c r="Q94" s="579"/>
      <c r="R94" s="579"/>
      <c r="S94" s="579"/>
      <c r="T94" s="579"/>
      <c r="U94" s="575"/>
      <c r="V94" s="575">
        <v>1</v>
      </c>
      <c r="W94" s="575">
        <v>1</v>
      </c>
      <c r="X94" s="575"/>
      <c r="Y94" s="575"/>
      <c r="Z94" s="575">
        <v>2</v>
      </c>
      <c r="AA94" s="583"/>
    </row>
    <row r="95" spans="1:27" s="584" customFormat="1" x14ac:dyDescent="0.2">
      <c r="A95" s="575"/>
      <c r="B95" s="575"/>
      <c r="C95" s="572"/>
      <c r="D95" s="571"/>
      <c r="E95" s="576">
        <v>457.70299999999997</v>
      </c>
      <c r="F95" s="576">
        <f>+CEILING(E95,5)</f>
        <v>460</v>
      </c>
      <c r="G95" s="577"/>
      <c r="H95" s="575">
        <f>F95*36</f>
        <v>16560</v>
      </c>
      <c r="I95" s="577">
        <f>F95</f>
        <v>460</v>
      </c>
      <c r="J95" s="582"/>
      <c r="K95" s="578"/>
      <c r="L95" s="582"/>
      <c r="M95" s="578"/>
      <c r="N95" s="579"/>
      <c r="O95" s="579"/>
      <c r="P95" s="579"/>
      <c r="Q95" s="579"/>
      <c r="R95" s="578">
        <v>48</v>
      </c>
      <c r="S95" s="579"/>
      <c r="T95" s="579"/>
      <c r="U95" s="575"/>
      <c r="V95" s="575"/>
      <c r="W95" s="575"/>
      <c r="X95" s="575"/>
      <c r="Y95" s="575"/>
      <c r="Z95" s="575"/>
      <c r="AA95" s="583"/>
    </row>
    <row r="96" spans="1:27" s="584" customFormat="1" ht="22.5" x14ac:dyDescent="0.2">
      <c r="A96" s="575">
        <f>A94+1</f>
        <v>45</v>
      </c>
      <c r="B96" s="572" t="s">
        <v>45</v>
      </c>
      <c r="C96" s="572" t="s">
        <v>652</v>
      </c>
      <c r="D96" s="571" t="s">
        <v>1077</v>
      </c>
      <c r="E96" s="576"/>
      <c r="F96" s="576"/>
      <c r="G96" s="577"/>
      <c r="H96" s="575"/>
      <c r="I96" s="577"/>
      <c r="J96" s="578">
        <v>48</v>
      </c>
      <c r="K96" s="578">
        <v>6</v>
      </c>
      <c r="L96" s="578">
        <v>12</v>
      </c>
      <c r="M96" s="582"/>
      <c r="N96" s="575">
        <v>6</v>
      </c>
      <c r="O96" s="575"/>
      <c r="P96" s="575"/>
      <c r="Q96" s="575"/>
      <c r="R96" s="579"/>
      <c r="S96" s="575">
        <v>30</v>
      </c>
      <c r="T96" s="575"/>
      <c r="U96" s="575">
        <v>2</v>
      </c>
      <c r="V96" s="575"/>
      <c r="W96" s="575">
        <v>2</v>
      </c>
      <c r="X96" s="575"/>
      <c r="Y96" s="575"/>
      <c r="Z96" s="575">
        <v>4</v>
      </c>
      <c r="AA96" s="583"/>
    </row>
    <row r="97" spans="1:27" s="584" customFormat="1" x14ac:dyDescent="0.2">
      <c r="A97" s="575"/>
      <c r="B97" s="575"/>
      <c r="C97" s="572"/>
      <c r="D97" s="571"/>
      <c r="E97" s="576">
        <v>233.07599999999999</v>
      </c>
      <c r="F97" s="576">
        <f>+CEILING(E97,5)</f>
        <v>235</v>
      </c>
      <c r="G97" s="577"/>
      <c r="H97" s="575">
        <f>F97*36</f>
        <v>8460</v>
      </c>
      <c r="I97" s="577">
        <f>F97</f>
        <v>235</v>
      </c>
      <c r="J97" s="582"/>
      <c r="K97" s="578"/>
      <c r="L97" s="578"/>
      <c r="M97" s="578"/>
      <c r="N97" s="579"/>
      <c r="O97" s="579"/>
      <c r="P97" s="579"/>
      <c r="Q97" s="579"/>
      <c r="R97" s="578">
        <v>24</v>
      </c>
      <c r="S97" s="579"/>
      <c r="T97" s="579"/>
      <c r="U97" s="575"/>
      <c r="V97" s="575"/>
      <c r="W97" s="575"/>
      <c r="X97" s="575"/>
      <c r="Y97" s="575"/>
      <c r="Z97" s="575"/>
      <c r="AA97" s="583"/>
    </row>
    <row r="98" spans="1:27" s="584" customFormat="1" ht="22.5" x14ac:dyDescent="0.2">
      <c r="A98" s="575">
        <f>A96+1</f>
        <v>46</v>
      </c>
      <c r="B98" s="572" t="s">
        <v>46</v>
      </c>
      <c r="C98" s="572" t="s">
        <v>653</v>
      </c>
      <c r="D98" s="571" t="s">
        <v>1078</v>
      </c>
      <c r="E98" s="576"/>
      <c r="F98" s="576"/>
      <c r="G98" s="577"/>
      <c r="H98" s="575"/>
      <c r="I98" s="577"/>
      <c r="J98" s="578">
        <v>48</v>
      </c>
      <c r="K98" s="578">
        <v>6</v>
      </c>
      <c r="L98" s="578">
        <v>12</v>
      </c>
      <c r="M98" s="582"/>
      <c r="N98" s="575">
        <v>6</v>
      </c>
      <c r="O98" s="575"/>
      <c r="P98" s="575"/>
      <c r="Q98" s="575"/>
      <c r="R98" s="579"/>
      <c r="S98" s="575">
        <v>30</v>
      </c>
      <c r="T98" s="575"/>
      <c r="U98" s="575">
        <v>2</v>
      </c>
      <c r="V98" s="575"/>
      <c r="W98" s="575">
        <v>2</v>
      </c>
      <c r="X98" s="575"/>
      <c r="Y98" s="575"/>
      <c r="Z98" s="575">
        <v>4</v>
      </c>
      <c r="AA98" s="583"/>
    </row>
    <row r="99" spans="1:27" s="584" customFormat="1" x14ac:dyDescent="0.2">
      <c r="A99" s="575"/>
      <c r="B99" s="575"/>
      <c r="C99" s="572"/>
      <c r="D99" s="571"/>
      <c r="E99" s="576">
        <v>443.71</v>
      </c>
      <c r="F99" s="576">
        <f>+CEILING(E99,5)</f>
        <v>445</v>
      </c>
      <c r="G99" s="577"/>
      <c r="H99" s="575">
        <f>F99*36</f>
        <v>16020</v>
      </c>
      <c r="I99" s="577">
        <f>F99</f>
        <v>445</v>
      </c>
      <c r="J99" s="582"/>
      <c r="K99" s="578"/>
      <c r="L99" s="578"/>
      <c r="M99" s="578"/>
      <c r="N99" s="579"/>
      <c r="O99" s="579"/>
      <c r="P99" s="579"/>
      <c r="Q99" s="579"/>
      <c r="R99" s="578">
        <v>42</v>
      </c>
      <c r="S99" s="579"/>
      <c r="T99" s="579"/>
      <c r="U99" s="575"/>
      <c r="V99" s="575"/>
      <c r="W99" s="575"/>
      <c r="X99" s="575"/>
      <c r="Y99" s="575"/>
      <c r="Z99" s="575"/>
      <c r="AA99" s="583"/>
    </row>
    <row r="100" spans="1:27" s="584" customFormat="1" x14ac:dyDescent="0.2">
      <c r="A100" s="575">
        <f>A98+1</f>
        <v>47</v>
      </c>
      <c r="B100" s="575" t="s">
        <v>467</v>
      </c>
      <c r="C100" s="575" t="s">
        <v>231</v>
      </c>
      <c r="D100" s="571"/>
      <c r="E100" s="576"/>
      <c r="F100" s="576"/>
      <c r="G100" s="577"/>
      <c r="H100" s="575"/>
      <c r="I100" s="577"/>
      <c r="J100" s="582"/>
      <c r="K100" s="578">
        <f>(M100*4+N100*2)/2</f>
        <v>12</v>
      </c>
      <c r="L100" s="578"/>
      <c r="M100" s="578">
        <v>6</v>
      </c>
      <c r="N100" s="579"/>
      <c r="O100" s="579"/>
      <c r="P100" s="579"/>
      <c r="Q100" s="579"/>
      <c r="R100" s="579"/>
      <c r="S100" s="579"/>
      <c r="T100" s="579"/>
      <c r="U100" s="575"/>
      <c r="V100" s="575">
        <v>1</v>
      </c>
      <c r="W100" s="575">
        <v>1</v>
      </c>
      <c r="X100" s="575"/>
      <c r="Y100" s="575"/>
      <c r="Z100" s="575">
        <v>2</v>
      </c>
      <c r="AA100" s="583"/>
    </row>
    <row r="101" spans="1:27" s="584" customFormat="1" x14ac:dyDescent="0.2">
      <c r="A101" s="575"/>
      <c r="B101" s="575"/>
      <c r="C101" s="572"/>
      <c r="D101" s="571"/>
      <c r="E101" s="576">
        <v>383.23500000000001</v>
      </c>
      <c r="F101" s="576">
        <f>+CEILING(E101,5)</f>
        <v>385</v>
      </c>
      <c r="G101" s="577"/>
      <c r="H101" s="575">
        <f>F101*36</f>
        <v>13860</v>
      </c>
      <c r="I101" s="577">
        <f>F101</f>
        <v>385</v>
      </c>
      <c r="J101" s="582"/>
      <c r="K101" s="578"/>
      <c r="L101" s="578"/>
      <c r="M101" s="578"/>
      <c r="N101" s="579"/>
      <c r="O101" s="579"/>
      <c r="P101" s="579"/>
      <c r="Q101" s="579"/>
      <c r="R101" s="578">
        <v>36</v>
      </c>
      <c r="S101" s="579"/>
      <c r="T101" s="579"/>
      <c r="U101" s="575"/>
      <c r="V101" s="575"/>
      <c r="W101" s="575"/>
      <c r="X101" s="575"/>
      <c r="Y101" s="575"/>
      <c r="Z101" s="575"/>
      <c r="AA101" s="583"/>
    </row>
    <row r="102" spans="1:27" s="584" customFormat="1" x14ac:dyDescent="0.2">
      <c r="A102" s="575">
        <f>A100+1</f>
        <v>48</v>
      </c>
      <c r="B102" s="575" t="s">
        <v>468</v>
      </c>
      <c r="C102" s="575" t="s">
        <v>231</v>
      </c>
      <c r="D102" s="571"/>
      <c r="E102" s="576"/>
      <c r="F102" s="576"/>
      <c r="G102" s="577"/>
      <c r="H102" s="575"/>
      <c r="I102" s="577"/>
      <c r="J102" s="582"/>
      <c r="K102" s="578">
        <f>(M102*4+N102*2)/2</f>
        <v>12</v>
      </c>
      <c r="L102" s="578"/>
      <c r="M102" s="578">
        <v>6</v>
      </c>
      <c r="N102" s="579"/>
      <c r="O102" s="579"/>
      <c r="P102" s="579"/>
      <c r="Q102" s="579"/>
      <c r="R102" s="579"/>
      <c r="S102" s="579"/>
      <c r="T102" s="579"/>
      <c r="U102" s="575"/>
      <c r="V102" s="575">
        <v>1</v>
      </c>
      <c r="W102" s="575">
        <v>1</v>
      </c>
      <c r="X102" s="575"/>
      <c r="Y102" s="575"/>
      <c r="Z102" s="575">
        <v>2</v>
      </c>
      <c r="AA102" s="583"/>
    </row>
    <row r="103" spans="1:27" s="584" customFormat="1" x14ac:dyDescent="0.2">
      <c r="A103" s="575"/>
      <c r="B103" s="575"/>
      <c r="C103" s="572"/>
      <c r="D103" s="571"/>
      <c r="E103" s="576">
        <v>398.553</v>
      </c>
      <c r="F103" s="576">
        <f>+CEILING(E103,5)</f>
        <v>400</v>
      </c>
      <c r="G103" s="577"/>
      <c r="H103" s="575">
        <f>F103*36</f>
        <v>14400</v>
      </c>
      <c r="I103" s="577">
        <f>F103</f>
        <v>400</v>
      </c>
      <c r="J103" s="582"/>
      <c r="K103" s="578"/>
      <c r="L103" s="578"/>
      <c r="M103" s="578"/>
      <c r="N103" s="579"/>
      <c r="O103" s="579"/>
      <c r="P103" s="579"/>
      <c r="Q103" s="579"/>
      <c r="R103" s="578">
        <v>42</v>
      </c>
      <c r="S103" s="579"/>
      <c r="T103" s="579"/>
      <c r="U103" s="575"/>
      <c r="V103" s="575"/>
      <c r="W103" s="575"/>
      <c r="X103" s="575"/>
      <c r="Y103" s="575"/>
      <c r="Z103" s="575"/>
      <c r="AA103" s="583"/>
    </row>
    <row r="104" spans="1:27" s="584" customFormat="1" x14ac:dyDescent="0.2">
      <c r="A104" s="575">
        <f>A102+1</f>
        <v>49</v>
      </c>
      <c r="B104" s="575" t="s">
        <v>156</v>
      </c>
      <c r="C104" s="575" t="s">
        <v>231</v>
      </c>
      <c r="D104" s="571"/>
      <c r="E104" s="576"/>
      <c r="F104" s="576"/>
      <c r="G104" s="577"/>
      <c r="H104" s="575"/>
      <c r="I104" s="577"/>
      <c r="J104" s="582"/>
      <c r="K104" s="578">
        <f>(M104*4+N104*2)/2</f>
        <v>12</v>
      </c>
      <c r="L104" s="578"/>
      <c r="M104" s="578">
        <v>6</v>
      </c>
      <c r="N104" s="579"/>
      <c r="O104" s="579"/>
      <c r="P104" s="579"/>
      <c r="Q104" s="579"/>
      <c r="R104" s="579"/>
      <c r="S104" s="579"/>
      <c r="T104" s="579"/>
      <c r="U104" s="575"/>
      <c r="V104" s="575">
        <v>1</v>
      </c>
      <c r="W104" s="575">
        <v>1</v>
      </c>
      <c r="X104" s="575"/>
      <c r="Y104" s="575"/>
      <c r="Z104" s="575">
        <v>2</v>
      </c>
      <c r="AA104" s="583"/>
    </row>
    <row r="105" spans="1:27" s="584" customFormat="1" x14ac:dyDescent="0.2">
      <c r="A105" s="575"/>
      <c r="B105" s="575"/>
      <c r="C105" s="572"/>
      <c r="D105" s="571"/>
      <c r="E105" s="576">
        <v>410.71899999999999</v>
      </c>
      <c r="F105" s="576">
        <f>+CEILING(E105,5)</f>
        <v>415</v>
      </c>
      <c r="G105" s="577"/>
      <c r="H105" s="575">
        <f>F105*36</f>
        <v>14940</v>
      </c>
      <c r="I105" s="577">
        <f>F105</f>
        <v>415</v>
      </c>
      <c r="J105" s="582"/>
      <c r="K105" s="578"/>
      <c r="L105" s="578"/>
      <c r="M105" s="578"/>
      <c r="N105" s="579"/>
      <c r="O105" s="579"/>
      <c r="P105" s="579"/>
      <c r="Q105" s="579"/>
      <c r="R105" s="578">
        <v>42</v>
      </c>
      <c r="S105" s="579"/>
      <c r="T105" s="579"/>
      <c r="U105" s="575"/>
      <c r="V105" s="575"/>
      <c r="W105" s="575"/>
      <c r="X105" s="575"/>
      <c r="Y105" s="575"/>
      <c r="Z105" s="575"/>
      <c r="AA105" s="583"/>
    </row>
    <row r="106" spans="1:27" s="584" customFormat="1" x14ac:dyDescent="0.2">
      <c r="A106" s="575">
        <f>A104+1</f>
        <v>50</v>
      </c>
      <c r="B106" s="575" t="s">
        <v>469</v>
      </c>
      <c r="C106" s="575" t="s">
        <v>20</v>
      </c>
      <c r="D106" s="571"/>
      <c r="E106" s="576"/>
      <c r="F106" s="576"/>
      <c r="G106" s="577"/>
      <c r="H106" s="575"/>
      <c r="I106" s="577"/>
      <c r="J106" s="582"/>
      <c r="K106" s="578">
        <f>(M106*4+N106*2)/2</f>
        <v>12</v>
      </c>
      <c r="L106" s="578"/>
      <c r="M106" s="578">
        <v>6</v>
      </c>
      <c r="N106" s="579"/>
      <c r="O106" s="579"/>
      <c r="P106" s="579"/>
      <c r="Q106" s="579"/>
      <c r="R106" s="579"/>
      <c r="S106" s="579"/>
      <c r="T106" s="579"/>
      <c r="U106" s="575"/>
      <c r="V106" s="575">
        <v>1</v>
      </c>
      <c r="W106" s="575">
        <v>1</v>
      </c>
      <c r="X106" s="575"/>
      <c r="Y106" s="575"/>
      <c r="Z106" s="575">
        <v>2</v>
      </c>
      <c r="AA106" s="583"/>
    </row>
    <row r="107" spans="1:27" s="584" customFormat="1" x14ac:dyDescent="0.2">
      <c r="A107" s="575"/>
      <c r="B107" s="575"/>
      <c r="C107" s="572"/>
      <c r="D107" s="571"/>
      <c r="E107" s="576">
        <v>416.15</v>
      </c>
      <c r="F107" s="576">
        <f>+CEILING(E107,5)</f>
        <v>420</v>
      </c>
      <c r="G107" s="577"/>
      <c r="H107" s="575">
        <f>F107*36</f>
        <v>15120</v>
      </c>
      <c r="I107" s="577">
        <f>F107</f>
        <v>420</v>
      </c>
      <c r="J107" s="582"/>
      <c r="K107" s="578"/>
      <c r="L107" s="578"/>
      <c r="M107" s="578"/>
      <c r="N107" s="579"/>
      <c r="O107" s="579"/>
      <c r="P107" s="579"/>
      <c r="Q107" s="579"/>
      <c r="R107" s="578">
        <v>42</v>
      </c>
      <c r="S107" s="579"/>
      <c r="T107" s="579"/>
      <c r="U107" s="575"/>
      <c r="V107" s="575"/>
      <c r="W107" s="575"/>
      <c r="X107" s="575"/>
      <c r="Y107" s="575"/>
      <c r="Z107" s="575"/>
      <c r="AA107" s="583"/>
    </row>
    <row r="108" spans="1:27" s="584" customFormat="1" x14ac:dyDescent="0.2">
      <c r="A108" s="575">
        <f>A106+1</f>
        <v>51</v>
      </c>
      <c r="B108" s="575" t="s">
        <v>157</v>
      </c>
      <c r="C108" s="575" t="s">
        <v>20</v>
      </c>
      <c r="D108" s="571"/>
      <c r="E108" s="576"/>
      <c r="F108" s="576"/>
      <c r="G108" s="577"/>
      <c r="H108" s="575"/>
      <c r="I108" s="577"/>
      <c r="J108" s="582"/>
      <c r="K108" s="578">
        <f>(M108*4+N108*2)/2</f>
        <v>12</v>
      </c>
      <c r="L108" s="578"/>
      <c r="M108" s="578">
        <v>6</v>
      </c>
      <c r="N108" s="579"/>
      <c r="O108" s="579"/>
      <c r="P108" s="579"/>
      <c r="Q108" s="579"/>
      <c r="R108" s="579"/>
      <c r="S108" s="579"/>
      <c r="T108" s="579"/>
      <c r="U108" s="575"/>
      <c r="V108" s="575">
        <v>1</v>
      </c>
      <c r="W108" s="575">
        <v>1</v>
      </c>
      <c r="X108" s="575"/>
      <c r="Y108" s="575"/>
      <c r="Z108" s="575">
        <v>2</v>
      </c>
      <c r="AA108" s="583"/>
    </row>
    <row r="109" spans="1:27" s="584" customFormat="1" x14ac:dyDescent="0.2">
      <c r="A109" s="575"/>
      <c r="B109" s="575"/>
      <c r="C109" s="572"/>
      <c r="D109" s="571"/>
      <c r="E109" s="576">
        <v>403.399</v>
      </c>
      <c r="F109" s="576">
        <f>+CEILING(E109,5)</f>
        <v>405</v>
      </c>
      <c r="G109" s="577"/>
      <c r="H109" s="575">
        <f>F109*36</f>
        <v>14580</v>
      </c>
      <c r="I109" s="577">
        <f>F109</f>
        <v>405</v>
      </c>
      <c r="J109" s="582"/>
      <c r="K109" s="578"/>
      <c r="L109" s="582"/>
      <c r="M109" s="578"/>
      <c r="N109" s="575"/>
      <c r="O109" s="575"/>
      <c r="P109" s="575"/>
      <c r="Q109" s="575"/>
      <c r="R109" s="578">
        <v>42</v>
      </c>
      <c r="S109" s="575"/>
      <c r="T109" s="575"/>
      <c r="U109" s="575"/>
      <c r="V109" s="575"/>
      <c r="W109" s="575"/>
      <c r="X109" s="575"/>
      <c r="Y109" s="575"/>
      <c r="Z109" s="575"/>
      <c r="AA109" s="583"/>
    </row>
    <row r="110" spans="1:27" s="584" customFormat="1" x14ac:dyDescent="0.2">
      <c r="A110" s="575">
        <f>A108+1</f>
        <v>52</v>
      </c>
      <c r="B110" s="575" t="s">
        <v>158</v>
      </c>
      <c r="C110" s="575" t="s">
        <v>231</v>
      </c>
      <c r="D110" s="571"/>
      <c r="E110" s="576"/>
      <c r="F110" s="576"/>
      <c r="G110" s="577"/>
      <c r="H110" s="575"/>
      <c r="I110" s="577"/>
      <c r="J110" s="582"/>
      <c r="K110" s="578">
        <f>(M110*4+N110*2)/2</f>
        <v>12</v>
      </c>
      <c r="L110" s="578"/>
      <c r="M110" s="578">
        <v>6</v>
      </c>
      <c r="N110" s="579"/>
      <c r="O110" s="579"/>
      <c r="P110" s="579"/>
      <c r="Q110" s="579"/>
      <c r="R110" s="579"/>
      <c r="S110" s="579"/>
      <c r="T110" s="579"/>
      <c r="U110" s="575"/>
      <c r="V110" s="575">
        <v>1</v>
      </c>
      <c r="W110" s="575">
        <v>1</v>
      </c>
      <c r="X110" s="575"/>
      <c r="Y110" s="575"/>
      <c r="Z110" s="575">
        <v>2</v>
      </c>
      <c r="AA110" s="583"/>
    </row>
    <row r="111" spans="1:27" s="584" customFormat="1" x14ac:dyDescent="0.2">
      <c r="A111" s="575"/>
      <c r="B111" s="575"/>
      <c r="C111" s="572"/>
      <c r="D111" s="571"/>
      <c r="E111" s="576">
        <v>373.846</v>
      </c>
      <c r="F111" s="576">
        <f>+CEILING(E111,5)</f>
        <v>375</v>
      </c>
      <c r="G111" s="577"/>
      <c r="H111" s="575">
        <f>F111*36</f>
        <v>13500</v>
      </c>
      <c r="I111" s="577">
        <f>F111</f>
        <v>375</v>
      </c>
      <c r="J111" s="582"/>
      <c r="K111" s="578"/>
      <c r="L111" s="578"/>
      <c r="M111" s="578"/>
      <c r="N111" s="579"/>
      <c r="O111" s="579"/>
      <c r="P111" s="579"/>
      <c r="Q111" s="579"/>
      <c r="R111" s="578">
        <v>36</v>
      </c>
      <c r="S111" s="579"/>
      <c r="T111" s="579"/>
      <c r="U111" s="575"/>
      <c r="V111" s="575"/>
      <c r="W111" s="575"/>
      <c r="X111" s="575"/>
      <c r="Y111" s="575"/>
      <c r="Z111" s="575"/>
      <c r="AA111" s="585"/>
    </row>
    <row r="112" spans="1:27" s="584" customFormat="1" x14ac:dyDescent="0.2">
      <c r="A112" s="575">
        <f>A110+1</f>
        <v>53</v>
      </c>
      <c r="B112" s="575" t="s">
        <v>159</v>
      </c>
      <c r="C112" s="575" t="s">
        <v>20</v>
      </c>
      <c r="D112" s="571"/>
      <c r="E112" s="576"/>
      <c r="F112" s="576"/>
      <c r="G112" s="577"/>
      <c r="H112" s="575"/>
      <c r="I112" s="577"/>
      <c r="J112" s="582"/>
      <c r="K112" s="578">
        <f>(M112*4+N112*2)/2</f>
        <v>12</v>
      </c>
      <c r="L112" s="578"/>
      <c r="M112" s="578">
        <v>6</v>
      </c>
      <c r="N112" s="579"/>
      <c r="O112" s="579"/>
      <c r="P112" s="579"/>
      <c r="Q112" s="579"/>
      <c r="R112" s="579"/>
      <c r="S112" s="579"/>
      <c r="T112" s="579"/>
      <c r="U112" s="575"/>
      <c r="V112" s="575">
        <v>1</v>
      </c>
      <c r="W112" s="575">
        <v>1</v>
      </c>
      <c r="X112" s="575"/>
      <c r="Y112" s="575"/>
      <c r="Z112" s="575">
        <v>2</v>
      </c>
      <c r="AA112" s="583"/>
    </row>
    <row r="113" spans="1:27" s="584" customFormat="1" x14ac:dyDescent="0.2">
      <c r="A113" s="575"/>
      <c r="B113" s="575"/>
      <c r="C113" s="572"/>
      <c r="D113" s="571"/>
      <c r="E113" s="576">
        <v>411.82400000000001</v>
      </c>
      <c r="F113" s="576">
        <f>+CEILING(E113,5)</f>
        <v>415</v>
      </c>
      <c r="G113" s="577"/>
      <c r="H113" s="575">
        <f>F113*36</f>
        <v>14940</v>
      </c>
      <c r="I113" s="577">
        <f>F113</f>
        <v>415</v>
      </c>
      <c r="J113" s="582"/>
      <c r="K113" s="578"/>
      <c r="L113" s="578"/>
      <c r="M113" s="578"/>
      <c r="N113" s="579"/>
      <c r="O113" s="579"/>
      <c r="P113" s="579"/>
      <c r="Q113" s="579"/>
      <c r="R113" s="578">
        <v>42</v>
      </c>
      <c r="S113" s="579"/>
      <c r="T113" s="579"/>
      <c r="U113" s="575"/>
      <c r="V113" s="575"/>
      <c r="W113" s="575"/>
      <c r="X113" s="575"/>
      <c r="Y113" s="575"/>
      <c r="Z113" s="575"/>
      <c r="AA113" s="583"/>
    </row>
    <row r="114" spans="1:27" s="584" customFormat="1" x14ac:dyDescent="0.2">
      <c r="A114" s="575">
        <f>A112+1</f>
        <v>54</v>
      </c>
      <c r="B114" s="575" t="s">
        <v>160</v>
      </c>
      <c r="C114" s="575" t="s">
        <v>20</v>
      </c>
      <c r="D114" s="571"/>
      <c r="E114" s="576"/>
      <c r="F114" s="576"/>
      <c r="G114" s="577"/>
      <c r="H114" s="575"/>
      <c r="I114" s="577"/>
      <c r="J114" s="582"/>
      <c r="K114" s="578">
        <f>(M114*4+N114*2)/2</f>
        <v>12</v>
      </c>
      <c r="L114" s="578"/>
      <c r="M114" s="578">
        <v>6</v>
      </c>
      <c r="N114" s="579"/>
      <c r="O114" s="579"/>
      <c r="P114" s="579"/>
      <c r="Q114" s="579"/>
      <c r="R114" s="579"/>
      <c r="S114" s="579"/>
      <c r="T114" s="579"/>
      <c r="U114" s="575"/>
      <c r="V114" s="575">
        <v>1</v>
      </c>
      <c r="W114" s="575">
        <v>1</v>
      </c>
      <c r="X114" s="575"/>
      <c r="Y114" s="575"/>
      <c r="Z114" s="575">
        <v>2</v>
      </c>
      <c r="AA114" s="583"/>
    </row>
    <row r="115" spans="1:27" s="584" customFormat="1" x14ac:dyDescent="0.2">
      <c r="A115" s="575"/>
      <c r="B115" s="575"/>
      <c r="C115" s="572"/>
      <c r="D115" s="571"/>
      <c r="E115" s="576">
        <v>414.2</v>
      </c>
      <c r="F115" s="576">
        <f>+CEILING(E115,5)</f>
        <v>415</v>
      </c>
      <c r="G115" s="577"/>
      <c r="H115" s="575">
        <f>F115*36</f>
        <v>14940</v>
      </c>
      <c r="I115" s="577">
        <f>F115</f>
        <v>415</v>
      </c>
      <c r="J115" s="582"/>
      <c r="K115" s="578"/>
      <c r="L115" s="578"/>
      <c r="M115" s="578"/>
      <c r="N115" s="579"/>
      <c r="O115" s="579"/>
      <c r="P115" s="579"/>
      <c r="Q115" s="579"/>
      <c r="R115" s="578">
        <v>42</v>
      </c>
      <c r="S115" s="579"/>
      <c r="T115" s="579"/>
      <c r="U115" s="575"/>
      <c r="V115" s="575"/>
      <c r="W115" s="575"/>
      <c r="X115" s="575"/>
      <c r="Y115" s="575"/>
      <c r="Z115" s="575"/>
      <c r="AA115" s="583"/>
    </row>
    <row r="116" spans="1:27" s="584" customFormat="1" x14ac:dyDescent="0.2">
      <c r="A116" s="575">
        <f>A114+1</f>
        <v>55</v>
      </c>
      <c r="B116" s="575" t="s">
        <v>161</v>
      </c>
      <c r="C116" s="575" t="s">
        <v>231</v>
      </c>
      <c r="D116" s="571"/>
      <c r="E116" s="576"/>
      <c r="F116" s="576"/>
      <c r="G116" s="577"/>
      <c r="H116" s="575"/>
      <c r="I116" s="577"/>
      <c r="J116" s="582"/>
      <c r="K116" s="578">
        <f>(M116*4+N116*2)/2</f>
        <v>12</v>
      </c>
      <c r="L116" s="578"/>
      <c r="M116" s="578">
        <v>6</v>
      </c>
      <c r="N116" s="579"/>
      <c r="O116" s="579"/>
      <c r="P116" s="579"/>
      <c r="Q116" s="579"/>
      <c r="R116" s="579"/>
      <c r="S116" s="579"/>
      <c r="T116" s="579"/>
      <c r="U116" s="575"/>
      <c r="V116" s="575">
        <v>1</v>
      </c>
      <c r="W116" s="575">
        <v>1</v>
      </c>
      <c r="X116" s="575"/>
      <c r="Y116" s="575"/>
      <c r="Z116" s="575">
        <v>2</v>
      </c>
      <c r="AA116" s="583"/>
    </row>
    <row r="117" spans="1:27" s="584" customFormat="1" x14ac:dyDescent="0.2">
      <c r="A117" s="575"/>
      <c r="B117" s="575"/>
      <c r="C117" s="572"/>
      <c r="D117" s="571"/>
      <c r="E117" s="576">
        <v>402.29399999999998</v>
      </c>
      <c r="F117" s="576">
        <f>+CEILING(E117,5)</f>
        <v>405</v>
      </c>
      <c r="G117" s="577"/>
      <c r="H117" s="575">
        <f>F117*36</f>
        <v>14580</v>
      </c>
      <c r="I117" s="577">
        <f>F117</f>
        <v>405</v>
      </c>
      <c r="J117" s="582"/>
      <c r="K117" s="578"/>
      <c r="L117" s="578"/>
      <c r="M117" s="578"/>
      <c r="N117" s="579"/>
      <c r="O117" s="579"/>
      <c r="P117" s="579"/>
      <c r="Q117" s="579"/>
      <c r="R117" s="578">
        <v>42</v>
      </c>
      <c r="S117" s="579"/>
      <c r="T117" s="579"/>
      <c r="U117" s="575"/>
      <c r="V117" s="575"/>
      <c r="W117" s="575"/>
      <c r="X117" s="575"/>
      <c r="Y117" s="575"/>
      <c r="Z117" s="575"/>
      <c r="AA117" s="583"/>
    </row>
    <row r="118" spans="1:27" s="584" customFormat="1" x14ac:dyDescent="0.2">
      <c r="A118" s="575">
        <f>A116+1</f>
        <v>56</v>
      </c>
      <c r="B118" s="575" t="s">
        <v>162</v>
      </c>
      <c r="C118" s="575" t="s">
        <v>20</v>
      </c>
      <c r="D118" s="571"/>
      <c r="E118" s="576"/>
      <c r="F118" s="576"/>
      <c r="G118" s="577"/>
      <c r="H118" s="575"/>
      <c r="I118" s="577"/>
      <c r="J118" s="582"/>
      <c r="K118" s="578">
        <f>(M118*4+N118*2)/2</f>
        <v>12</v>
      </c>
      <c r="L118" s="578"/>
      <c r="M118" s="578">
        <v>6</v>
      </c>
      <c r="N118" s="579"/>
      <c r="O118" s="579"/>
      <c r="P118" s="579"/>
      <c r="Q118" s="579"/>
      <c r="R118" s="579"/>
      <c r="S118" s="579"/>
      <c r="T118" s="579"/>
      <c r="U118" s="575"/>
      <c r="V118" s="575">
        <v>1</v>
      </c>
      <c r="W118" s="575">
        <v>1</v>
      </c>
      <c r="X118" s="575"/>
      <c r="Y118" s="575"/>
      <c r="Z118" s="575">
        <v>2</v>
      </c>
      <c r="AA118" s="583"/>
    </row>
    <row r="119" spans="1:27" s="584" customFormat="1" x14ac:dyDescent="0.2">
      <c r="A119" s="575"/>
      <c r="B119" s="575"/>
      <c r="C119" s="572"/>
      <c r="D119" s="571"/>
      <c r="E119" s="576">
        <v>430.28300000000002</v>
      </c>
      <c r="F119" s="576">
        <f>+CEILING(E119,5)</f>
        <v>435</v>
      </c>
      <c r="G119" s="577"/>
      <c r="H119" s="575">
        <f>F119*36</f>
        <v>15660</v>
      </c>
      <c r="I119" s="577">
        <f>F119</f>
        <v>435</v>
      </c>
      <c r="J119" s="582"/>
      <c r="K119" s="578"/>
      <c r="L119" s="582"/>
      <c r="M119" s="578"/>
      <c r="N119" s="579"/>
      <c r="O119" s="579"/>
      <c r="P119" s="579"/>
      <c r="Q119" s="579"/>
      <c r="R119" s="578">
        <v>42</v>
      </c>
      <c r="S119" s="579"/>
      <c r="T119" s="579"/>
      <c r="U119" s="575"/>
      <c r="V119" s="575"/>
      <c r="W119" s="575"/>
      <c r="X119" s="575"/>
      <c r="Y119" s="575"/>
      <c r="Z119" s="575"/>
      <c r="AA119" s="583"/>
    </row>
    <row r="120" spans="1:27" s="584" customFormat="1" x14ac:dyDescent="0.2">
      <c r="A120" s="575">
        <f>A118+1</f>
        <v>57</v>
      </c>
      <c r="B120" s="575" t="s">
        <v>163</v>
      </c>
      <c r="C120" s="575" t="s">
        <v>20</v>
      </c>
      <c r="D120" s="571"/>
      <c r="E120" s="576"/>
      <c r="F120" s="576"/>
      <c r="G120" s="577"/>
      <c r="H120" s="575"/>
      <c r="I120" s="577"/>
      <c r="J120" s="582"/>
      <c r="K120" s="578">
        <f>(M120*4+N120*2)/2</f>
        <v>12</v>
      </c>
      <c r="L120" s="578"/>
      <c r="M120" s="578">
        <v>6</v>
      </c>
      <c r="N120" s="579"/>
      <c r="O120" s="579"/>
      <c r="P120" s="579"/>
      <c r="Q120" s="579"/>
      <c r="R120" s="579"/>
      <c r="S120" s="579"/>
      <c r="T120" s="579"/>
      <c r="U120" s="575"/>
      <c r="V120" s="575">
        <v>1</v>
      </c>
      <c r="W120" s="575">
        <v>1</v>
      </c>
      <c r="X120" s="575"/>
      <c r="Y120" s="575"/>
      <c r="Z120" s="575">
        <v>2</v>
      </c>
      <c r="AA120" s="583"/>
    </row>
    <row r="121" spans="1:27" s="584" customFormat="1" x14ac:dyDescent="0.2">
      <c r="A121" s="575"/>
      <c r="B121" s="575"/>
      <c r="C121" s="572"/>
      <c r="D121" s="571"/>
      <c r="E121" s="576">
        <v>406.22300000000001</v>
      </c>
      <c r="F121" s="576">
        <f>+CEILING(E121,5)</f>
        <v>410</v>
      </c>
      <c r="G121" s="577"/>
      <c r="H121" s="575">
        <f>F121*36</f>
        <v>14760</v>
      </c>
      <c r="I121" s="577">
        <f>F121</f>
        <v>410</v>
      </c>
      <c r="J121" s="582"/>
      <c r="K121" s="578"/>
      <c r="L121" s="578"/>
      <c r="M121" s="578"/>
      <c r="N121" s="579"/>
      <c r="O121" s="579"/>
      <c r="P121" s="579"/>
      <c r="Q121" s="579"/>
      <c r="R121" s="578">
        <v>42</v>
      </c>
      <c r="S121" s="579"/>
      <c r="T121" s="579"/>
      <c r="U121" s="575"/>
      <c r="V121" s="575"/>
      <c r="W121" s="575"/>
      <c r="X121" s="575"/>
      <c r="Y121" s="575"/>
      <c r="Z121" s="575"/>
      <c r="AA121" s="583"/>
    </row>
    <row r="122" spans="1:27" s="584" customFormat="1" x14ac:dyDescent="0.2">
      <c r="A122" s="575">
        <f>A120+1</f>
        <v>58</v>
      </c>
      <c r="B122" s="572" t="s">
        <v>164</v>
      </c>
      <c r="C122" s="572" t="s">
        <v>242</v>
      </c>
      <c r="D122" s="571" t="s">
        <v>1076</v>
      </c>
      <c r="E122" s="576"/>
      <c r="F122" s="576"/>
      <c r="G122" s="577"/>
      <c r="H122" s="575"/>
      <c r="I122" s="577"/>
      <c r="J122" s="578">
        <v>48</v>
      </c>
      <c r="K122" s="582"/>
      <c r="L122" s="578">
        <v>12</v>
      </c>
      <c r="M122" s="582"/>
      <c r="N122" s="575"/>
      <c r="O122" s="575"/>
      <c r="P122" s="575"/>
      <c r="Q122" s="575"/>
      <c r="R122" s="579"/>
      <c r="S122" s="575">
        <v>30</v>
      </c>
      <c r="T122" s="575"/>
      <c r="U122" s="575">
        <v>2</v>
      </c>
      <c r="V122" s="575"/>
      <c r="W122" s="575">
        <v>2</v>
      </c>
      <c r="X122" s="575"/>
      <c r="Y122" s="575"/>
      <c r="Z122" s="575">
        <v>4</v>
      </c>
      <c r="AA122" s="583"/>
    </row>
    <row r="123" spans="1:27" s="584" customFormat="1" x14ac:dyDescent="0.2">
      <c r="A123" s="575"/>
      <c r="B123" s="575"/>
      <c r="C123" s="572"/>
      <c r="D123" s="571"/>
      <c r="E123" s="576">
        <v>405.25099999999998</v>
      </c>
      <c r="F123" s="576">
        <f>+CEILING(E123,5)</f>
        <v>410</v>
      </c>
      <c r="G123" s="577"/>
      <c r="H123" s="575">
        <f>F123*36</f>
        <v>14760</v>
      </c>
      <c r="I123" s="577">
        <f>F123</f>
        <v>410</v>
      </c>
      <c r="J123" s="582"/>
      <c r="K123" s="578"/>
      <c r="L123" s="578"/>
      <c r="M123" s="578"/>
      <c r="N123" s="579"/>
      <c r="O123" s="579"/>
      <c r="P123" s="579"/>
      <c r="Q123" s="579"/>
      <c r="R123" s="578">
        <v>42</v>
      </c>
      <c r="S123" s="579"/>
      <c r="T123" s="579"/>
      <c r="U123" s="575"/>
      <c r="V123" s="575"/>
      <c r="W123" s="575"/>
      <c r="X123" s="575"/>
      <c r="Y123" s="575"/>
      <c r="Z123" s="575"/>
      <c r="AA123" s="583"/>
    </row>
    <row r="124" spans="1:27" s="584" customFormat="1" x14ac:dyDescent="0.2">
      <c r="A124" s="575">
        <f>A122+1</f>
        <v>59</v>
      </c>
      <c r="B124" s="575" t="s">
        <v>165</v>
      </c>
      <c r="C124" s="575" t="s">
        <v>20</v>
      </c>
      <c r="D124" s="571"/>
      <c r="E124" s="576"/>
      <c r="F124" s="576"/>
      <c r="G124" s="577"/>
      <c r="H124" s="575"/>
      <c r="I124" s="577"/>
      <c r="J124" s="582"/>
      <c r="K124" s="578">
        <f>(M124*4+N124*2)/2</f>
        <v>12</v>
      </c>
      <c r="L124" s="578"/>
      <c r="M124" s="578">
        <v>6</v>
      </c>
      <c r="N124" s="579"/>
      <c r="O124" s="579"/>
      <c r="P124" s="579"/>
      <c r="Q124" s="579"/>
      <c r="R124" s="579"/>
      <c r="S124" s="579"/>
      <c r="T124" s="579"/>
      <c r="U124" s="575"/>
      <c r="V124" s="575">
        <v>1</v>
      </c>
      <c r="W124" s="575">
        <v>1</v>
      </c>
      <c r="X124" s="575"/>
      <c r="Y124" s="575"/>
      <c r="Z124" s="575">
        <v>2</v>
      </c>
      <c r="AA124" s="583"/>
    </row>
    <row r="125" spans="1:27" s="584" customFormat="1" x14ac:dyDescent="0.2">
      <c r="A125" s="575"/>
      <c r="B125" s="575"/>
      <c r="C125" s="575"/>
      <c r="D125" s="571"/>
      <c r="E125" s="576">
        <v>427.084</v>
      </c>
      <c r="F125" s="576">
        <f>+CEILING(E125,5)</f>
        <v>430</v>
      </c>
      <c r="G125" s="577"/>
      <c r="H125" s="575">
        <f>F125*36</f>
        <v>15480</v>
      </c>
      <c r="I125" s="577">
        <f>F125</f>
        <v>430</v>
      </c>
      <c r="J125" s="582"/>
      <c r="K125" s="578"/>
      <c r="L125" s="578"/>
      <c r="M125" s="578"/>
      <c r="N125" s="579"/>
      <c r="O125" s="579"/>
      <c r="P125" s="579"/>
      <c r="Q125" s="579"/>
      <c r="R125" s="578">
        <v>42</v>
      </c>
      <c r="S125" s="579"/>
      <c r="T125" s="579"/>
      <c r="U125" s="575"/>
      <c r="V125" s="575"/>
      <c r="W125" s="575"/>
      <c r="X125" s="575"/>
      <c r="Y125" s="575"/>
      <c r="Z125" s="575"/>
      <c r="AA125" s="583"/>
    </row>
    <row r="126" spans="1:27" s="584" customFormat="1" x14ac:dyDescent="0.2">
      <c r="A126" s="575">
        <f>A124+1</f>
        <v>60</v>
      </c>
      <c r="B126" s="575" t="s">
        <v>166</v>
      </c>
      <c r="C126" s="575" t="s">
        <v>20</v>
      </c>
      <c r="D126" s="571"/>
      <c r="E126" s="576"/>
      <c r="F126" s="576"/>
      <c r="G126" s="577"/>
      <c r="H126" s="575"/>
      <c r="I126" s="577"/>
      <c r="J126" s="582"/>
      <c r="K126" s="578">
        <f>(M126*4+N126*2)/2</f>
        <v>12</v>
      </c>
      <c r="L126" s="578"/>
      <c r="M126" s="578">
        <v>6</v>
      </c>
      <c r="N126" s="579"/>
      <c r="O126" s="579"/>
      <c r="P126" s="579"/>
      <c r="Q126" s="579"/>
      <c r="R126" s="579"/>
      <c r="S126" s="579"/>
      <c r="T126" s="579"/>
      <c r="U126" s="575"/>
      <c r="V126" s="575">
        <v>1</v>
      </c>
      <c r="W126" s="575">
        <v>1</v>
      </c>
      <c r="X126" s="575"/>
      <c r="Y126" s="575"/>
      <c r="Z126" s="575">
        <v>2</v>
      </c>
      <c r="AA126" s="583"/>
    </row>
    <row r="127" spans="1:27" s="584" customFormat="1" x14ac:dyDescent="0.2">
      <c r="A127" s="575"/>
      <c r="B127" s="575"/>
      <c r="C127" s="575"/>
      <c r="D127" s="571"/>
      <c r="E127" s="576">
        <v>400.036</v>
      </c>
      <c r="F127" s="576">
        <f>+CEILING(E127,5)</f>
        <v>405</v>
      </c>
      <c r="G127" s="577"/>
      <c r="H127" s="575">
        <f>F127*36</f>
        <v>14580</v>
      </c>
      <c r="I127" s="577">
        <f>F127</f>
        <v>405</v>
      </c>
      <c r="J127" s="582"/>
      <c r="K127" s="578"/>
      <c r="L127" s="578"/>
      <c r="M127" s="578"/>
      <c r="N127" s="579"/>
      <c r="O127" s="579"/>
      <c r="P127" s="579"/>
      <c r="Q127" s="579"/>
      <c r="R127" s="578">
        <v>42</v>
      </c>
      <c r="S127" s="579"/>
      <c r="T127" s="579"/>
      <c r="U127" s="575"/>
      <c r="V127" s="575"/>
      <c r="W127" s="575"/>
      <c r="X127" s="575"/>
      <c r="Y127" s="575"/>
      <c r="Z127" s="575"/>
      <c r="AA127" s="583"/>
    </row>
    <row r="128" spans="1:27" s="584" customFormat="1" x14ac:dyDescent="0.2">
      <c r="A128" s="575">
        <f>A126+1</f>
        <v>61</v>
      </c>
      <c r="B128" s="575" t="s">
        <v>470</v>
      </c>
      <c r="C128" s="575" t="s">
        <v>20</v>
      </c>
      <c r="D128" s="571"/>
      <c r="E128" s="576"/>
      <c r="F128" s="576"/>
      <c r="G128" s="577"/>
      <c r="H128" s="575"/>
      <c r="I128" s="577"/>
      <c r="J128" s="582"/>
      <c r="K128" s="578">
        <f>(M128*4+N128*2)/2</f>
        <v>12</v>
      </c>
      <c r="L128" s="578"/>
      <c r="M128" s="578">
        <v>6</v>
      </c>
      <c r="N128" s="579"/>
      <c r="O128" s="579"/>
      <c r="P128" s="579"/>
      <c r="Q128" s="579"/>
      <c r="R128" s="579"/>
      <c r="S128" s="579"/>
      <c r="T128" s="579"/>
      <c r="U128" s="575"/>
      <c r="V128" s="575">
        <v>1</v>
      </c>
      <c r="W128" s="575">
        <v>1</v>
      </c>
      <c r="X128" s="575"/>
      <c r="Y128" s="575"/>
      <c r="Z128" s="575">
        <v>2</v>
      </c>
      <c r="AA128" s="583"/>
    </row>
    <row r="129" spans="1:27" s="584" customFormat="1" x14ac:dyDescent="0.2">
      <c r="A129" s="575"/>
      <c r="B129" s="575"/>
      <c r="C129" s="575"/>
      <c r="D129" s="571"/>
      <c r="E129" s="576">
        <v>412.79</v>
      </c>
      <c r="F129" s="576">
        <f>+CEILING(E129,5)</f>
        <v>415</v>
      </c>
      <c r="G129" s="577"/>
      <c r="H129" s="575">
        <f>F129*36</f>
        <v>14940</v>
      </c>
      <c r="I129" s="577">
        <f>F129</f>
        <v>415</v>
      </c>
      <c r="J129" s="582"/>
      <c r="K129" s="578"/>
      <c r="L129" s="578"/>
      <c r="M129" s="578"/>
      <c r="N129" s="579"/>
      <c r="O129" s="579"/>
      <c r="P129" s="579"/>
      <c r="Q129" s="579"/>
      <c r="R129" s="578">
        <v>42</v>
      </c>
      <c r="S129" s="579"/>
      <c r="T129" s="579"/>
      <c r="U129" s="575"/>
      <c r="V129" s="575"/>
      <c r="W129" s="575"/>
      <c r="X129" s="575"/>
      <c r="Y129" s="575"/>
      <c r="Z129" s="575"/>
      <c r="AA129" s="583"/>
    </row>
    <row r="130" spans="1:27" s="584" customFormat="1" x14ac:dyDescent="0.2">
      <c r="A130" s="575">
        <f>A128+1</f>
        <v>62</v>
      </c>
      <c r="B130" s="575" t="s">
        <v>471</v>
      </c>
      <c r="C130" s="575" t="s">
        <v>20</v>
      </c>
      <c r="D130" s="571"/>
      <c r="E130" s="576"/>
      <c r="F130" s="576"/>
      <c r="G130" s="577"/>
      <c r="H130" s="575"/>
      <c r="I130" s="577"/>
      <c r="J130" s="582"/>
      <c r="K130" s="578">
        <f>(M130*4+N130*2)/2</f>
        <v>12</v>
      </c>
      <c r="L130" s="578"/>
      <c r="M130" s="578">
        <v>6</v>
      </c>
      <c r="N130" s="579"/>
      <c r="O130" s="579"/>
      <c r="P130" s="579"/>
      <c r="Q130" s="579"/>
      <c r="R130" s="579"/>
      <c r="S130" s="579"/>
      <c r="T130" s="579"/>
      <c r="U130" s="575"/>
      <c r="V130" s="575">
        <v>1</v>
      </c>
      <c r="W130" s="575">
        <v>1</v>
      </c>
      <c r="X130" s="575"/>
      <c r="Y130" s="575"/>
      <c r="Z130" s="575">
        <v>2</v>
      </c>
      <c r="AA130" s="583"/>
    </row>
    <row r="131" spans="1:27" s="584" customFormat="1" x14ac:dyDescent="0.2">
      <c r="A131" s="575"/>
      <c r="B131" s="575"/>
      <c r="C131" s="575"/>
      <c r="D131" s="571"/>
      <c r="E131" s="576">
        <v>387.75799999999998</v>
      </c>
      <c r="F131" s="576">
        <f>+CEILING(E131,5)</f>
        <v>390</v>
      </c>
      <c r="G131" s="577"/>
      <c r="H131" s="575">
        <f>F131*36</f>
        <v>14040</v>
      </c>
      <c r="I131" s="577">
        <f>F131</f>
        <v>390</v>
      </c>
      <c r="J131" s="582"/>
      <c r="K131" s="578"/>
      <c r="L131" s="578"/>
      <c r="M131" s="578"/>
      <c r="N131" s="579"/>
      <c r="O131" s="579"/>
      <c r="P131" s="579"/>
      <c r="Q131" s="579"/>
      <c r="R131" s="578">
        <v>36</v>
      </c>
      <c r="S131" s="579"/>
      <c r="T131" s="579"/>
      <c r="U131" s="575"/>
      <c r="V131" s="575"/>
      <c r="W131" s="575"/>
      <c r="X131" s="575"/>
      <c r="Y131" s="575"/>
      <c r="Z131" s="575"/>
      <c r="AA131" s="583"/>
    </row>
    <row r="132" spans="1:27" s="584" customFormat="1" x14ac:dyDescent="0.2">
      <c r="A132" s="575">
        <f>A130+1</f>
        <v>63</v>
      </c>
      <c r="B132" s="575" t="s">
        <v>167</v>
      </c>
      <c r="C132" s="575" t="s">
        <v>20</v>
      </c>
      <c r="D132" s="571"/>
      <c r="E132" s="576"/>
      <c r="F132" s="576"/>
      <c r="G132" s="577"/>
      <c r="H132" s="575"/>
      <c r="I132" s="577"/>
      <c r="J132" s="582"/>
      <c r="K132" s="578">
        <f>(M132*4+N132*2)/2</f>
        <v>12</v>
      </c>
      <c r="L132" s="578"/>
      <c r="M132" s="578">
        <v>6</v>
      </c>
      <c r="N132" s="579"/>
      <c r="O132" s="579"/>
      <c r="P132" s="579"/>
      <c r="Q132" s="579"/>
      <c r="R132" s="579"/>
      <c r="S132" s="579"/>
      <c r="T132" s="579"/>
      <c r="U132" s="575"/>
      <c r="V132" s="575">
        <v>1</v>
      </c>
      <c r="W132" s="575">
        <v>1</v>
      </c>
      <c r="X132" s="575"/>
      <c r="Y132" s="575"/>
      <c r="Z132" s="575">
        <v>2</v>
      </c>
      <c r="AA132" s="583"/>
    </row>
    <row r="133" spans="1:27" s="584" customFormat="1" x14ac:dyDescent="0.2">
      <c r="A133" s="575"/>
      <c r="B133" s="575"/>
      <c r="C133" s="575"/>
      <c r="D133" s="571"/>
      <c r="E133" s="576">
        <v>436.73200000000003</v>
      </c>
      <c r="F133" s="576">
        <f>+CEILING(E133,5)</f>
        <v>440</v>
      </c>
      <c r="G133" s="577"/>
      <c r="H133" s="575">
        <f>F133*36</f>
        <v>15840</v>
      </c>
      <c r="I133" s="577">
        <f>F133</f>
        <v>440</v>
      </c>
      <c r="J133" s="578"/>
      <c r="K133" s="578"/>
      <c r="L133" s="578"/>
      <c r="M133" s="578"/>
      <c r="N133" s="579"/>
      <c r="O133" s="579"/>
      <c r="P133" s="579"/>
      <c r="Q133" s="579"/>
      <c r="R133" s="578">
        <v>42</v>
      </c>
      <c r="S133" s="579"/>
      <c r="T133" s="579"/>
      <c r="U133" s="575"/>
      <c r="V133" s="575"/>
      <c r="W133" s="575"/>
      <c r="X133" s="575"/>
      <c r="Y133" s="575"/>
      <c r="Z133" s="575"/>
      <c r="AA133" s="583"/>
    </row>
    <row r="134" spans="1:27" s="584" customFormat="1" x14ac:dyDescent="0.2">
      <c r="A134" s="575">
        <f>A132+1</f>
        <v>64</v>
      </c>
      <c r="B134" s="575" t="s">
        <v>168</v>
      </c>
      <c r="C134" s="575" t="s">
        <v>20</v>
      </c>
      <c r="D134" s="571"/>
      <c r="E134" s="576"/>
      <c r="F134" s="576"/>
      <c r="G134" s="577"/>
      <c r="H134" s="575"/>
      <c r="I134" s="577"/>
      <c r="J134" s="582"/>
      <c r="K134" s="578">
        <f>(M134*4+N134*2)/2</f>
        <v>12</v>
      </c>
      <c r="L134" s="578"/>
      <c r="M134" s="578">
        <v>6</v>
      </c>
      <c r="N134" s="579"/>
      <c r="O134" s="579"/>
      <c r="P134" s="579"/>
      <c r="Q134" s="579"/>
      <c r="R134" s="579"/>
      <c r="S134" s="579"/>
      <c r="T134" s="579"/>
      <c r="U134" s="575"/>
      <c r="V134" s="575">
        <v>1</v>
      </c>
      <c r="W134" s="575">
        <v>1</v>
      </c>
      <c r="X134" s="575"/>
      <c r="Y134" s="575"/>
      <c r="Z134" s="575">
        <v>2</v>
      </c>
      <c r="AA134" s="583"/>
    </row>
    <row r="135" spans="1:27" s="584" customFormat="1" x14ac:dyDescent="0.2">
      <c r="A135" s="575"/>
      <c r="B135" s="575"/>
      <c r="C135" s="575"/>
      <c r="D135" s="571"/>
      <c r="E135" s="576">
        <v>403.68900000000002</v>
      </c>
      <c r="F135" s="576">
        <f>+CEILING(E135,5)</f>
        <v>405</v>
      </c>
      <c r="G135" s="577"/>
      <c r="H135" s="575">
        <f>F135*36</f>
        <v>14580</v>
      </c>
      <c r="I135" s="577">
        <f>F135</f>
        <v>405</v>
      </c>
      <c r="J135" s="582"/>
      <c r="K135" s="578"/>
      <c r="L135" s="582"/>
      <c r="M135" s="578"/>
      <c r="N135" s="579"/>
      <c r="O135" s="579"/>
      <c r="P135" s="579"/>
      <c r="Q135" s="579"/>
      <c r="R135" s="578">
        <v>42</v>
      </c>
      <c r="S135" s="579"/>
      <c r="T135" s="579"/>
      <c r="U135" s="575"/>
      <c r="V135" s="575"/>
      <c r="W135" s="575"/>
      <c r="X135" s="575"/>
      <c r="Y135" s="575"/>
      <c r="Z135" s="575"/>
      <c r="AA135" s="583"/>
    </row>
    <row r="136" spans="1:27" s="584" customFormat="1" x14ac:dyDescent="0.2">
      <c r="A136" s="575">
        <f>A134+1</f>
        <v>65</v>
      </c>
      <c r="B136" s="575" t="s">
        <v>169</v>
      </c>
      <c r="C136" s="575" t="s">
        <v>231</v>
      </c>
      <c r="D136" s="571"/>
      <c r="E136" s="576"/>
      <c r="F136" s="576"/>
      <c r="G136" s="577"/>
      <c r="H136" s="575"/>
      <c r="I136" s="577"/>
      <c r="J136" s="582"/>
      <c r="K136" s="578">
        <f>(M136*4+N136*2)/2</f>
        <v>12</v>
      </c>
      <c r="L136" s="578"/>
      <c r="M136" s="578">
        <v>6</v>
      </c>
      <c r="N136" s="579"/>
      <c r="O136" s="579"/>
      <c r="P136" s="579"/>
      <c r="Q136" s="579"/>
      <c r="R136" s="579"/>
      <c r="S136" s="579"/>
      <c r="T136" s="579"/>
      <c r="U136" s="575"/>
      <c r="V136" s="575">
        <v>1</v>
      </c>
      <c r="W136" s="575">
        <v>1</v>
      </c>
      <c r="X136" s="575"/>
      <c r="Y136" s="575"/>
      <c r="Z136" s="575">
        <v>2</v>
      </c>
      <c r="AA136" s="583"/>
    </row>
    <row r="137" spans="1:27" s="584" customFormat="1" x14ac:dyDescent="0.2">
      <c r="A137" s="575"/>
      <c r="B137" s="575"/>
      <c r="C137" s="575"/>
      <c r="D137" s="571"/>
      <c r="E137" s="576">
        <v>409.52800000000002</v>
      </c>
      <c r="F137" s="576">
        <f>+CEILING(E137,5)</f>
        <v>410</v>
      </c>
      <c r="G137" s="577"/>
      <c r="H137" s="575">
        <f>F137*36</f>
        <v>14760</v>
      </c>
      <c r="I137" s="577">
        <f>F137</f>
        <v>410</v>
      </c>
      <c r="J137" s="582"/>
      <c r="K137" s="578"/>
      <c r="L137" s="578"/>
      <c r="M137" s="578"/>
      <c r="N137" s="579"/>
      <c r="O137" s="579"/>
      <c r="P137" s="579"/>
      <c r="Q137" s="579"/>
      <c r="R137" s="578">
        <v>42</v>
      </c>
      <c r="S137" s="579"/>
      <c r="T137" s="579"/>
      <c r="U137" s="575"/>
      <c r="V137" s="575"/>
      <c r="W137" s="575"/>
      <c r="X137" s="575"/>
      <c r="Y137" s="575"/>
      <c r="Z137" s="575"/>
      <c r="AA137" s="583"/>
    </row>
    <row r="138" spans="1:27" s="584" customFormat="1" x14ac:dyDescent="0.2">
      <c r="A138" s="575">
        <f>A136+1</f>
        <v>66</v>
      </c>
      <c r="B138" s="575" t="s">
        <v>472</v>
      </c>
      <c r="C138" s="575" t="s">
        <v>20</v>
      </c>
      <c r="D138" s="571"/>
      <c r="E138" s="576"/>
      <c r="F138" s="576"/>
      <c r="G138" s="577"/>
      <c r="H138" s="575"/>
      <c r="I138" s="577"/>
      <c r="J138" s="582"/>
      <c r="K138" s="578">
        <f>(M138*4+N138*2)/2</f>
        <v>12</v>
      </c>
      <c r="L138" s="578"/>
      <c r="M138" s="578">
        <v>6</v>
      </c>
      <c r="N138" s="579"/>
      <c r="O138" s="579"/>
      <c r="P138" s="579"/>
      <c r="Q138" s="579"/>
      <c r="R138" s="579"/>
      <c r="S138" s="579"/>
      <c r="T138" s="579"/>
      <c r="U138" s="575"/>
      <c r="V138" s="575">
        <v>1</v>
      </c>
      <c r="W138" s="575">
        <v>1</v>
      </c>
      <c r="X138" s="575"/>
      <c r="Y138" s="575"/>
      <c r="Z138" s="575">
        <v>2</v>
      </c>
      <c r="AA138" s="583"/>
    </row>
    <row r="139" spans="1:27" s="584" customFormat="1" x14ac:dyDescent="0.2">
      <c r="A139" s="575"/>
      <c r="B139" s="575"/>
      <c r="C139" s="575"/>
      <c r="D139" s="571"/>
      <c r="E139" s="576">
        <v>418.56</v>
      </c>
      <c r="F139" s="576">
        <f>+CEILING(E139,5)</f>
        <v>420</v>
      </c>
      <c r="G139" s="577"/>
      <c r="H139" s="575">
        <f>F139*36</f>
        <v>15120</v>
      </c>
      <c r="I139" s="577">
        <f>F139</f>
        <v>420</v>
      </c>
      <c r="J139" s="582"/>
      <c r="K139" s="578"/>
      <c r="L139" s="578"/>
      <c r="M139" s="578"/>
      <c r="N139" s="579"/>
      <c r="O139" s="579"/>
      <c r="P139" s="579"/>
      <c r="Q139" s="579"/>
      <c r="R139" s="578">
        <v>42</v>
      </c>
      <c r="S139" s="579"/>
      <c r="T139" s="579"/>
      <c r="U139" s="575"/>
      <c r="V139" s="575"/>
      <c r="W139" s="575"/>
      <c r="X139" s="575"/>
      <c r="Y139" s="575"/>
      <c r="Z139" s="575"/>
      <c r="AA139" s="583"/>
    </row>
    <row r="140" spans="1:27" s="584" customFormat="1" x14ac:dyDescent="0.2">
      <c r="A140" s="575">
        <f>A138+1</f>
        <v>67</v>
      </c>
      <c r="B140" s="575" t="s">
        <v>473</v>
      </c>
      <c r="C140" s="575" t="s">
        <v>20</v>
      </c>
      <c r="D140" s="571"/>
      <c r="E140" s="576"/>
      <c r="F140" s="576"/>
      <c r="G140" s="577"/>
      <c r="H140" s="575"/>
      <c r="I140" s="577"/>
      <c r="J140" s="582"/>
      <c r="K140" s="578">
        <f>(M140*4+N140*2)/2</f>
        <v>12</v>
      </c>
      <c r="L140" s="578"/>
      <c r="M140" s="578">
        <v>6</v>
      </c>
      <c r="N140" s="579"/>
      <c r="O140" s="579"/>
      <c r="P140" s="579"/>
      <c r="Q140" s="579"/>
      <c r="R140" s="579"/>
      <c r="S140" s="579"/>
      <c r="T140" s="579"/>
      <c r="U140" s="575"/>
      <c r="V140" s="575">
        <v>1</v>
      </c>
      <c r="W140" s="575">
        <v>1</v>
      </c>
      <c r="X140" s="575"/>
      <c r="Y140" s="575"/>
      <c r="Z140" s="575">
        <v>2</v>
      </c>
      <c r="AA140" s="583"/>
    </row>
    <row r="141" spans="1:27" s="584" customFormat="1" x14ac:dyDescent="0.2">
      <c r="A141" s="575"/>
      <c r="B141" s="575"/>
      <c r="C141" s="575"/>
      <c r="D141" s="571"/>
      <c r="E141" s="576">
        <v>410.25299999999999</v>
      </c>
      <c r="F141" s="576">
        <f>+CEILING(E141,5)</f>
        <v>415</v>
      </c>
      <c r="G141" s="577"/>
      <c r="H141" s="575">
        <f>F141*36</f>
        <v>14940</v>
      </c>
      <c r="I141" s="577">
        <f>F141</f>
        <v>415</v>
      </c>
      <c r="J141" s="582"/>
      <c r="K141" s="578"/>
      <c r="L141" s="578"/>
      <c r="M141" s="578"/>
      <c r="N141" s="579"/>
      <c r="O141" s="579"/>
      <c r="P141" s="579"/>
      <c r="Q141" s="579"/>
      <c r="R141" s="578">
        <v>42</v>
      </c>
      <c r="S141" s="579"/>
      <c r="T141" s="579"/>
      <c r="U141" s="575"/>
      <c r="V141" s="575"/>
      <c r="W141" s="575"/>
      <c r="X141" s="575"/>
      <c r="Y141" s="575"/>
      <c r="Z141" s="575"/>
      <c r="AA141" s="583"/>
    </row>
    <row r="142" spans="1:27" s="584" customFormat="1" x14ac:dyDescent="0.2">
      <c r="A142" s="575">
        <f>A140+1</f>
        <v>68</v>
      </c>
      <c r="B142" s="575" t="s">
        <v>474</v>
      </c>
      <c r="C142" s="575" t="s">
        <v>231</v>
      </c>
      <c r="D142" s="571"/>
      <c r="E142" s="576"/>
      <c r="F142" s="576"/>
      <c r="G142" s="577"/>
      <c r="H142" s="575"/>
      <c r="I142" s="577"/>
      <c r="J142" s="582"/>
      <c r="K142" s="578">
        <f>(M142*4+N142*2)/2</f>
        <v>12</v>
      </c>
      <c r="L142" s="578"/>
      <c r="M142" s="578">
        <v>6</v>
      </c>
      <c r="N142" s="579"/>
      <c r="O142" s="579"/>
      <c r="P142" s="579"/>
      <c r="Q142" s="579"/>
      <c r="R142" s="579"/>
      <c r="S142" s="579"/>
      <c r="T142" s="579"/>
      <c r="U142" s="575"/>
      <c r="V142" s="575">
        <v>1</v>
      </c>
      <c r="W142" s="575">
        <v>1</v>
      </c>
      <c r="X142" s="575"/>
      <c r="Y142" s="575"/>
      <c r="Z142" s="575">
        <v>2</v>
      </c>
      <c r="AA142" s="583"/>
    </row>
    <row r="143" spans="1:27" s="584" customFormat="1" x14ac:dyDescent="0.2">
      <c r="A143" s="575"/>
      <c r="B143" s="575"/>
      <c r="C143" s="575"/>
      <c r="D143" s="571"/>
      <c r="E143" s="576">
        <v>383.96800000000002</v>
      </c>
      <c r="F143" s="576">
        <f>+CEILING(E143,5)</f>
        <v>385</v>
      </c>
      <c r="G143" s="577"/>
      <c r="H143" s="575">
        <f>F143*36</f>
        <v>13860</v>
      </c>
      <c r="I143" s="577">
        <f>F143</f>
        <v>385</v>
      </c>
      <c r="J143" s="582"/>
      <c r="K143" s="578"/>
      <c r="L143" s="582"/>
      <c r="M143" s="578"/>
      <c r="N143" s="579"/>
      <c r="O143" s="579"/>
      <c r="P143" s="579"/>
      <c r="Q143" s="579"/>
      <c r="R143" s="578">
        <v>36</v>
      </c>
      <c r="S143" s="579"/>
      <c r="T143" s="579"/>
      <c r="U143" s="575"/>
      <c r="V143" s="575"/>
      <c r="W143" s="575"/>
      <c r="X143" s="575"/>
      <c r="Y143" s="575"/>
      <c r="Z143" s="575"/>
      <c r="AA143" s="583"/>
    </row>
    <row r="144" spans="1:27" s="584" customFormat="1" x14ac:dyDescent="0.2">
      <c r="A144" s="575">
        <f>A142+1</f>
        <v>69</v>
      </c>
      <c r="B144" s="575" t="s">
        <v>475</v>
      </c>
      <c r="C144" s="575" t="s">
        <v>231</v>
      </c>
      <c r="D144" s="571"/>
      <c r="E144" s="576"/>
      <c r="F144" s="576"/>
      <c r="G144" s="577"/>
      <c r="H144" s="575"/>
      <c r="I144" s="577"/>
      <c r="J144" s="582"/>
      <c r="K144" s="578">
        <f>(M144*4+N144*2)/2</f>
        <v>12</v>
      </c>
      <c r="L144" s="578"/>
      <c r="M144" s="578">
        <v>6</v>
      </c>
      <c r="N144" s="579"/>
      <c r="O144" s="579"/>
      <c r="P144" s="579"/>
      <c r="Q144" s="579"/>
      <c r="R144" s="579"/>
      <c r="S144" s="579"/>
      <c r="T144" s="579"/>
      <c r="U144" s="575"/>
      <c r="V144" s="575">
        <v>1</v>
      </c>
      <c r="W144" s="575">
        <v>1</v>
      </c>
      <c r="X144" s="575"/>
      <c r="Y144" s="575"/>
      <c r="Z144" s="575">
        <v>2</v>
      </c>
      <c r="AA144" s="583"/>
    </row>
    <row r="145" spans="1:27" s="584" customFormat="1" x14ac:dyDescent="0.2">
      <c r="A145" s="575"/>
      <c r="B145" s="575"/>
      <c r="C145" s="575"/>
      <c r="D145" s="571"/>
      <c r="E145" s="576">
        <v>450.80799999999999</v>
      </c>
      <c r="F145" s="576">
        <f>+CEILING(E145,5)</f>
        <v>455</v>
      </c>
      <c r="G145" s="577"/>
      <c r="H145" s="575">
        <f>F145*36</f>
        <v>16380</v>
      </c>
      <c r="I145" s="577">
        <f>F145</f>
        <v>455</v>
      </c>
      <c r="J145" s="582"/>
      <c r="K145" s="578"/>
      <c r="L145" s="578"/>
      <c r="M145" s="578"/>
      <c r="N145" s="579"/>
      <c r="O145" s="579"/>
      <c r="P145" s="579"/>
      <c r="Q145" s="579"/>
      <c r="R145" s="578">
        <v>42</v>
      </c>
      <c r="S145" s="579"/>
      <c r="T145" s="579"/>
      <c r="U145" s="575"/>
      <c r="V145" s="575"/>
      <c r="W145" s="575"/>
      <c r="X145" s="575"/>
      <c r="Y145" s="575"/>
      <c r="Z145" s="575"/>
      <c r="AA145" s="583"/>
    </row>
    <row r="146" spans="1:27" s="584" customFormat="1" x14ac:dyDescent="0.2">
      <c r="A146" s="575">
        <f>A144+1</f>
        <v>70</v>
      </c>
      <c r="B146" s="572" t="s">
        <v>476</v>
      </c>
      <c r="C146" s="572" t="s">
        <v>242</v>
      </c>
      <c r="D146" s="571"/>
      <c r="E146" s="576"/>
      <c r="F146" s="576"/>
      <c r="G146" s="577"/>
      <c r="H146" s="575"/>
      <c r="I146" s="577"/>
      <c r="J146" s="578">
        <v>48</v>
      </c>
      <c r="K146" s="582"/>
      <c r="L146" s="578">
        <v>12</v>
      </c>
      <c r="M146" s="582"/>
      <c r="N146" s="575"/>
      <c r="O146" s="575"/>
      <c r="P146" s="575"/>
      <c r="Q146" s="575"/>
      <c r="R146" s="579"/>
      <c r="S146" s="575">
        <v>30</v>
      </c>
      <c r="T146" s="575"/>
      <c r="U146" s="575">
        <v>2</v>
      </c>
      <c r="V146" s="575"/>
      <c r="W146" s="575">
        <v>2</v>
      </c>
      <c r="X146" s="575"/>
      <c r="Y146" s="575"/>
      <c r="Z146" s="575">
        <v>4</v>
      </c>
      <c r="AA146" s="583"/>
    </row>
    <row r="147" spans="1:27" s="584" customFormat="1" x14ac:dyDescent="0.2">
      <c r="A147" s="575"/>
      <c r="B147" s="575"/>
      <c r="C147" s="575"/>
      <c r="D147" s="571"/>
      <c r="E147" s="576">
        <v>384.21800000000002</v>
      </c>
      <c r="F147" s="576">
        <f>+CEILING(E147,5)</f>
        <v>385</v>
      </c>
      <c r="G147" s="577"/>
      <c r="H147" s="575">
        <f>F147*36</f>
        <v>13860</v>
      </c>
      <c r="I147" s="577">
        <f>F147</f>
        <v>385</v>
      </c>
      <c r="J147" s="582"/>
      <c r="K147" s="578"/>
      <c r="L147" s="578"/>
      <c r="M147" s="578"/>
      <c r="N147" s="579"/>
      <c r="O147" s="579"/>
      <c r="P147" s="579"/>
      <c r="Q147" s="579"/>
      <c r="R147" s="578">
        <v>36</v>
      </c>
      <c r="S147" s="579"/>
      <c r="T147" s="579"/>
      <c r="U147" s="575"/>
      <c r="V147" s="575"/>
      <c r="W147" s="575"/>
      <c r="X147" s="575"/>
      <c r="Y147" s="575"/>
      <c r="Z147" s="575"/>
      <c r="AA147" s="585"/>
    </row>
    <row r="148" spans="1:27" s="584" customFormat="1" x14ac:dyDescent="0.2">
      <c r="A148" s="575">
        <f>A146+1</f>
        <v>71</v>
      </c>
      <c r="B148" s="575" t="s">
        <v>477</v>
      </c>
      <c r="C148" s="575" t="s">
        <v>231</v>
      </c>
      <c r="D148" s="571"/>
      <c r="E148" s="576"/>
      <c r="F148" s="576"/>
      <c r="G148" s="577"/>
      <c r="H148" s="575"/>
      <c r="I148" s="577"/>
      <c r="J148" s="582"/>
      <c r="K148" s="578">
        <f>(M148*4+N148*2)/2</f>
        <v>12</v>
      </c>
      <c r="L148" s="578"/>
      <c r="M148" s="578">
        <v>6</v>
      </c>
      <c r="N148" s="579"/>
      <c r="O148" s="579"/>
      <c r="P148" s="579"/>
      <c r="Q148" s="579"/>
      <c r="R148" s="579"/>
      <c r="S148" s="579"/>
      <c r="T148" s="579"/>
      <c r="U148" s="575"/>
      <c r="V148" s="575">
        <v>1</v>
      </c>
      <c r="W148" s="575">
        <v>1</v>
      </c>
      <c r="X148" s="575"/>
      <c r="Y148" s="575"/>
      <c r="Z148" s="575">
        <v>2</v>
      </c>
      <c r="AA148" s="583"/>
    </row>
    <row r="149" spans="1:27" s="584" customFormat="1" x14ac:dyDescent="0.2">
      <c r="A149" s="575"/>
      <c r="B149" s="575"/>
      <c r="C149" s="575"/>
      <c r="D149" s="571"/>
      <c r="E149" s="576">
        <v>338.54899999999998</v>
      </c>
      <c r="F149" s="576">
        <f>+CEILING(E149,5)</f>
        <v>340</v>
      </c>
      <c r="G149" s="577"/>
      <c r="H149" s="575">
        <f>F149*36</f>
        <v>12240</v>
      </c>
      <c r="I149" s="577">
        <f>F149</f>
        <v>340</v>
      </c>
      <c r="J149" s="582"/>
      <c r="K149" s="578"/>
      <c r="L149" s="578"/>
      <c r="M149" s="578"/>
      <c r="N149" s="579"/>
      <c r="O149" s="579"/>
      <c r="P149" s="579"/>
      <c r="Q149" s="579"/>
      <c r="R149" s="578">
        <v>36</v>
      </c>
      <c r="S149" s="579"/>
      <c r="T149" s="579"/>
      <c r="U149" s="575"/>
      <c r="V149" s="575"/>
      <c r="W149" s="575"/>
      <c r="X149" s="575"/>
      <c r="Y149" s="575"/>
      <c r="Z149" s="575"/>
      <c r="AA149" s="585"/>
    </row>
    <row r="150" spans="1:27" s="584" customFormat="1" x14ac:dyDescent="0.2">
      <c r="A150" s="575">
        <f>A148+1</f>
        <v>72</v>
      </c>
      <c r="B150" s="575" t="s">
        <v>478</v>
      </c>
      <c r="C150" s="575" t="s">
        <v>231</v>
      </c>
      <c r="D150" s="571"/>
      <c r="E150" s="576"/>
      <c r="F150" s="576"/>
      <c r="G150" s="577"/>
      <c r="H150" s="575"/>
      <c r="I150" s="577"/>
      <c r="J150" s="582"/>
      <c r="K150" s="578">
        <f>(M150*4+N150*2)/2</f>
        <v>12</v>
      </c>
      <c r="L150" s="578"/>
      <c r="M150" s="578">
        <v>6</v>
      </c>
      <c r="N150" s="579"/>
      <c r="O150" s="579"/>
      <c r="P150" s="579"/>
      <c r="Q150" s="579"/>
      <c r="R150" s="579"/>
      <c r="S150" s="579"/>
      <c r="T150" s="579"/>
      <c r="U150" s="575"/>
      <c r="V150" s="575">
        <v>1</v>
      </c>
      <c r="W150" s="575">
        <v>1</v>
      </c>
      <c r="X150" s="575"/>
      <c r="Y150" s="575"/>
      <c r="Z150" s="575">
        <v>2</v>
      </c>
      <c r="AA150" s="583"/>
    </row>
    <row r="151" spans="1:27" s="584" customFormat="1" x14ac:dyDescent="0.2">
      <c r="A151" s="575"/>
      <c r="B151" s="575"/>
      <c r="C151" s="575"/>
      <c r="D151" s="571"/>
      <c r="E151" s="576">
        <v>370.74</v>
      </c>
      <c r="F151" s="576">
        <f>+CEILING(E151,5)</f>
        <v>375</v>
      </c>
      <c r="G151" s="577"/>
      <c r="H151" s="575">
        <f>F151*36</f>
        <v>13500</v>
      </c>
      <c r="I151" s="577">
        <f>F151</f>
        <v>375</v>
      </c>
      <c r="J151" s="582"/>
      <c r="K151" s="578"/>
      <c r="L151" s="578"/>
      <c r="M151" s="578"/>
      <c r="N151" s="579"/>
      <c r="O151" s="579"/>
      <c r="P151" s="579"/>
      <c r="Q151" s="579"/>
      <c r="R151" s="578">
        <v>36</v>
      </c>
      <c r="S151" s="579"/>
      <c r="T151" s="579"/>
      <c r="U151" s="575"/>
      <c r="V151" s="575"/>
      <c r="W151" s="575"/>
      <c r="X151" s="575"/>
      <c r="Y151" s="575"/>
      <c r="Z151" s="575"/>
      <c r="AA151" s="583"/>
    </row>
    <row r="152" spans="1:27" s="584" customFormat="1" x14ac:dyDescent="0.2">
      <c r="A152" s="575">
        <f>A150+1</f>
        <v>73</v>
      </c>
      <c r="B152" s="575" t="s">
        <v>479</v>
      </c>
      <c r="C152" s="575" t="s">
        <v>231</v>
      </c>
      <c r="D152" s="571"/>
      <c r="E152" s="576"/>
      <c r="F152" s="576"/>
      <c r="G152" s="577"/>
      <c r="H152" s="575"/>
      <c r="I152" s="577"/>
      <c r="J152" s="582"/>
      <c r="K152" s="578">
        <f>(M152*4+N152*2)/2</f>
        <v>12</v>
      </c>
      <c r="L152" s="578"/>
      <c r="M152" s="578">
        <v>6</v>
      </c>
      <c r="N152" s="579"/>
      <c r="O152" s="579"/>
      <c r="P152" s="579"/>
      <c r="Q152" s="579"/>
      <c r="R152" s="579"/>
      <c r="S152" s="579"/>
      <c r="T152" s="579"/>
      <c r="U152" s="575"/>
      <c r="V152" s="575">
        <v>1</v>
      </c>
      <c r="W152" s="575">
        <v>1</v>
      </c>
      <c r="X152" s="575"/>
      <c r="Y152" s="575"/>
      <c r="Z152" s="575">
        <v>2</v>
      </c>
      <c r="AA152" s="583"/>
    </row>
    <row r="153" spans="1:27" s="584" customFormat="1" x14ac:dyDescent="0.2">
      <c r="A153" s="575"/>
      <c r="B153" s="575"/>
      <c r="C153" s="575"/>
      <c r="D153" s="571"/>
      <c r="E153" s="576">
        <v>434.09899999999999</v>
      </c>
      <c r="F153" s="576">
        <f>+CEILING(E153,5)</f>
        <v>435</v>
      </c>
      <c r="G153" s="577"/>
      <c r="H153" s="575">
        <f>F153*36</f>
        <v>15660</v>
      </c>
      <c r="I153" s="577">
        <f>F153</f>
        <v>435</v>
      </c>
      <c r="J153" s="582"/>
      <c r="K153" s="578"/>
      <c r="L153" s="578"/>
      <c r="M153" s="578"/>
      <c r="N153" s="579"/>
      <c r="O153" s="579"/>
      <c r="P153" s="579"/>
      <c r="Q153" s="579"/>
      <c r="R153" s="578">
        <v>42</v>
      </c>
      <c r="S153" s="579"/>
      <c r="T153" s="579"/>
      <c r="U153" s="575"/>
      <c r="V153" s="575"/>
      <c r="W153" s="575"/>
      <c r="X153" s="575"/>
      <c r="Y153" s="575"/>
      <c r="Z153" s="575"/>
      <c r="AA153" s="583"/>
    </row>
    <row r="154" spans="1:27" s="584" customFormat="1" x14ac:dyDescent="0.2">
      <c r="A154" s="575">
        <f>A152+1</f>
        <v>74</v>
      </c>
      <c r="B154" s="575" t="s">
        <v>480</v>
      </c>
      <c r="C154" s="575" t="s">
        <v>231</v>
      </c>
      <c r="D154" s="571"/>
      <c r="E154" s="576"/>
      <c r="F154" s="576"/>
      <c r="G154" s="577"/>
      <c r="H154" s="575"/>
      <c r="I154" s="577"/>
      <c r="J154" s="582"/>
      <c r="K154" s="578">
        <f>(M154*4+N154*2)/2</f>
        <v>12</v>
      </c>
      <c r="L154" s="578"/>
      <c r="M154" s="578">
        <v>6</v>
      </c>
      <c r="N154" s="579"/>
      <c r="O154" s="579"/>
      <c r="P154" s="579"/>
      <c r="Q154" s="579"/>
      <c r="R154" s="579"/>
      <c r="S154" s="579"/>
      <c r="T154" s="579"/>
      <c r="U154" s="575"/>
      <c r="V154" s="575">
        <v>1</v>
      </c>
      <c r="W154" s="575">
        <v>1</v>
      </c>
      <c r="X154" s="575"/>
      <c r="Y154" s="575"/>
      <c r="Z154" s="575">
        <v>2</v>
      </c>
      <c r="AA154" s="585"/>
    </row>
    <row r="155" spans="1:27" s="584" customFormat="1" x14ac:dyDescent="0.2">
      <c r="A155" s="575"/>
      <c r="B155" s="575"/>
      <c r="C155" s="575"/>
      <c r="D155" s="571"/>
      <c r="E155" s="576">
        <v>368.10199999999998</v>
      </c>
      <c r="F155" s="576">
        <f>+CEILING(E155,5)</f>
        <v>370</v>
      </c>
      <c r="G155" s="577"/>
      <c r="H155" s="575">
        <f>F155*36</f>
        <v>13320</v>
      </c>
      <c r="I155" s="577">
        <f>F155</f>
        <v>370</v>
      </c>
      <c r="J155" s="582"/>
      <c r="K155" s="578"/>
      <c r="L155" s="578"/>
      <c r="M155" s="578"/>
      <c r="N155" s="579"/>
      <c r="O155" s="579"/>
      <c r="P155" s="579"/>
      <c r="Q155" s="579"/>
      <c r="R155" s="578">
        <v>36</v>
      </c>
      <c r="S155" s="579"/>
      <c r="T155" s="579"/>
      <c r="U155" s="575"/>
      <c r="V155" s="575"/>
      <c r="W155" s="575"/>
      <c r="X155" s="575"/>
      <c r="Y155" s="575"/>
      <c r="Z155" s="575"/>
      <c r="AA155" s="583"/>
    </row>
    <row r="156" spans="1:27" s="584" customFormat="1" x14ac:dyDescent="0.2">
      <c r="A156" s="575">
        <f>A154+1</f>
        <v>75</v>
      </c>
      <c r="B156" s="575" t="s">
        <v>170</v>
      </c>
      <c r="C156" s="575" t="s">
        <v>231</v>
      </c>
      <c r="D156" s="571"/>
      <c r="E156" s="576"/>
      <c r="F156" s="576"/>
      <c r="G156" s="577"/>
      <c r="H156" s="575"/>
      <c r="I156" s="577"/>
      <c r="J156" s="582"/>
      <c r="K156" s="578">
        <f>(M156*4+N156*2)/2</f>
        <v>12</v>
      </c>
      <c r="L156" s="578"/>
      <c r="M156" s="578">
        <v>6</v>
      </c>
      <c r="N156" s="579"/>
      <c r="O156" s="579"/>
      <c r="P156" s="579"/>
      <c r="Q156" s="579"/>
      <c r="R156" s="579"/>
      <c r="S156" s="579"/>
      <c r="T156" s="579"/>
      <c r="U156" s="575"/>
      <c r="V156" s="575">
        <v>1</v>
      </c>
      <c r="W156" s="575">
        <v>1</v>
      </c>
      <c r="X156" s="575"/>
      <c r="Y156" s="575"/>
      <c r="Z156" s="575">
        <v>2</v>
      </c>
      <c r="AA156" s="585"/>
    </row>
    <row r="157" spans="1:27" s="584" customFormat="1" x14ac:dyDescent="0.2">
      <c r="A157" s="575"/>
      <c r="B157" s="575"/>
      <c r="C157" s="572"/>
      <c r="D157" s="571"/>
      <c r="E157" s="576">
        <v>342.28</v>
      </c>
      <c r="F157" s="576">
        <f>+CEILING(E157,5)</f>
        <v>345</v>
      </c>
      <c r="G157" s="577"/>
      <c r="H157" s="575">
        <f>F157*36</f>
        <v>12420</v>
      </c>
      <c r="I157" s="577">
        <f>F157</f>
        <v>345</v>
      </c>
      <c r="J157" s="582"/>
      <c r="K157" s="578"/>
      <c r="L157" s="578"/>
      <c r="M157" s="578"/>
      <c r="N157" s="579"/>
      <c r="O157" s="579"/>
      <c r="P157" s="579"/>
      <c r="Q157" s="579"/>
      <c r="R157" s="578">
        <v>36</v>
      </c>
      <c r="S157" s="579"/>
      <c r="T157" s="579"/>
      <c r="U157" s="575"/>
      <c r="V157" s="575"/>
      <c r="W157" s="575"/>
      <c r="X157" s="575"/>
      <c r="Y157" s="575"/>
      <c r="Z157" s="575"/>
      <c r="AA157" s="583"/>
    </row>
    <row r="158" spans="1:27" s="584" customFormat="1" x14ac:dyDescent="0.2">
      <c r="A158" s="575">
        <f>A156+1</f>
        <v>76</v>
      </c>
      <c r="B158" s="572" t="s">
        <v>171</v>
      </c>
      <c r="C158" s="572" t="s">
        <v>242</v>
      </c>
      <c r="D158" s="571" t="s">
        <v>1079</v>
      </c>
      <c r="E158" s="576"/>
      <c r="F158" s="576"/>
      <c r="G158" s="577"/>
      <c r="H158" s="575"/>
      <c r="I158" s="577"/>
      <c r="J158" s="578">
        <v>48</v>
      </c>
      <c r="K158" s="582"/>
      <c r="L158" s="578">
        <v>12</v>
      </c>
      <c r="M158" s="582"/>
      <c r="N158" s="575"/>
      <c r="O158" s="575"/>
      <c r="P158" s="575"/>
      <c r="Q158" s="575"/>
      <c r="R158" s="579"/>
      <c r="S158" s="575">
        <v>30</v>
      </c>
      <c r="T158" s="575"/>
      <c r="U158" s="575">
        <v>2</v>
      </c>
      <c r="V158" s="575"/>
      <c r="W158" s="575">
        <v>2</v>
      </c>
      <c r="X158" s="575"/>
      <c r="Y158" s="575"/>
      <c r="Z158" s="575">
        <v>4</v>
      </c>
      <c r="AA158" s="583"/>
    </row>
    <row r="159" spans="1:27" s="584" customFormat="1" x14ac:dyDescent="0.2">
      <c r="A159" s="575"/>
      <c r="B159" s="575"/>
      <c r="C159" s="572"/>
      <c r="D159" s="571"/>
      <c r="E159" s="576">
        <v>405.11399999999998</v>
      </c>
      <c r="F159" s="576">
        <f>+CEILING(E159,5)</f>
        <v>410</v>
      </c>
      <c r="G159" s="577"/>
      <c r="H159" s="575">
        <f>F159*36</f>
        <v>14760</v>
      </c>
      <c r="I159" s="577">
        <f>F159</f>
        <v>410</v>
      </c>
      <c r="J159" s="582"/>
      <c r="K159" s="578"/>
      <c r="L159" s="582"/>
      <c r="M159" s="578"/>
      <c r="N159" s="575"/>
      <c r="O159" s="575"/>
      <c r="P159" s="575"/>
      <c r="Q159" s="575"/>
      <c r="R159" s="578">
        <v>42</v>
      </c>
      <c r="S159" s="575"/>
      <c r="T159" s="575"/>
      <c r="U159" s="575"/>
      <c r="V159" s="575"/>
      <c r="W159" s="575"/>
      <c r="X159" s="575"/>
      <c r="Y159" s="575"/>
      <c r="Z159" s="575"/>
      <c r="AA159" s="583"/>
    </row>
    <row r="160" spans="1:27" s="584" customFormat="1" x14ac:dyDescent="0.2">
      <c r="A160" s="575">
        <f>A158+1</f>
        <v>77</v>
      </c>
      <c r="B160" s="575" t="s">
        <v>481</v>
      </c>
      <c r="C160" s="575" t="s">
        <v>20</v>
      </c>
      <c r="D160" s="571"/>
      <c r="E160" s="576"/>
      <c r="F160" s="576"/>
      <c r="G160" s="577"/>
      <c r="H160" s="575"/>
      <c r="I160" s="577"/>
      <c r="J160" s="582"/>
      <c r="K160" s="578">
        <f>(M160*4+N160*2)/2</f>
        <v>12</v>
      </c>
      <c r="L160" s="578"/>
      <c r="M160" s="578">
        <v>6</v>
      </c>
      <c r="N160" s="579"/>
      <c r="O160" s="579"/>
      <c r="P160" s="579"/>
      <c r="Q160" s="579"/>
      <c r="R160" s="579"/>
      <c r="S160" s="579"/>
      <c r="T160" s="579"/>
      <c r="U160" s="575"/>
      <c r="V160" s="575">
        <v>1</v>
      </c>
      <c r="W160" s="575">
        <v>1</v>
      </c>
      <c r="X160" s="575"/>
      <c r="Y160" s="575"/>
      <c r="Z160" s="575">
        <v>2</v>
      </c>
      <c r="AA160" s="583"/>
    </row>
    <row r="161" spans="1:27" s="584" customFormat="1" x14ac:dyDescent="0.2">
      <c r="A161" s="575"/>
      <c r="B161" s="575"/>
      <c r="C161" s="572"/>
      <c r="D161" s="571"/>
      <c r="E161" s="576">
        <v>412.14600000000002</v>
      </c>
      <c r="F161" s="576">
        <f>+CEILING(E161,5)</f>
        <v>415</v>
      </c>
      <c r="G161" s="577"/>
      <c r="H161" s="575">
        <f>F161*36</f>
        <v>14940</v>
      </c>
      <c r="I161" s="577">
        <f>F161</f>
        <v>415</v>
      </c>
      <c r="J161" s="582"/>
      <c r="K161" s="578"/>
      <c r="L161" s="578"/>
      <c r="M161" s="578"/>
      <c r="N161" s="579"/>
      <c r="O161" s="579"/>
      <c r="P161" s="579"/>
      <c r="Q161" s="579"/>
      <c r="R161" s="578">
        <v>42</v>
      </c>
      <c r="S161" s="579"/>
      <c r="T161" s="579"/>
      <c r="U161" s="575"/>
      <c r="V161" s="575"/>
      <c r="W161" s="575"/>
      <c r="X161" s="575"/>
      <c r="Y161" s="575"/>
      <c r="Z161" s="575"/>
      <c r="AA161" s="583"/>
    </row>
    <row r="162" spans="1:27" s="584" customFormat="1" x14ac:dyDescent="0.2">
      <c r="A162" s="575">
        <f>A160+1</f>
        <v>78</v>
      </c>
      <c r="B162" s="575" t="s">
        <v>482</v>
      </c>
      <c r="C162" s="575" t="s">
        <v>231</v>
      </c>
      <c r="D162" s="571"/>
      <c r="E162" s="576"/>
      <c r="F162" s="576"/>
      <c r="G162" s="577"/>
      <c r="H162" s="575"/>
      <c r="I162" s="577"/>
      <c r="J162" s="582"/>
      <c r="K162" s="578">
        <f>(M162*4+N162*2)/2</f>
        <v>12</v>
      </c>
      <c r="L162" s="578"/>
      <c r="M162" s="578">
        <v>6</v>
      </c>
      <c r="N162" s="579"/>
      <c r="O162" s="579"/>
      <c r="P162" s="579"/>
      <c r="Q162" s="579"/>
      <c r="R162" s="579"/>
      <c r="S162" s="579"/>
      <c r="T162" s="579"/>
      <c r="U162" s="575"/>
      <c r="V162" s="575">
        <v>1</v>
      </c>
      <c r="W162" s="575">
        <v>1</v>
      </c>
      <c r="X162" s="575"/>
      <c r="Y162" s="575"/>
      <c r="Z162" s="575">
        <v>2</v>
      </c>
      <c r="AA162" s="583"/>
    </row>
    <row r="163" spans="1:27" s="584" customFormat="1" x14ac:dyDescent="0.2">
      <c r="A163" s="575"/>
      <c r="B163" s="575"/>
      <c r="C163" s="572"/>
      <c r="D163" s="571"/>
      <c r="E163" s="576">
        <v>412.22300000000001</v>
      </c>
      <c r="F163" s="576">
        <f>+CEILING(E163,5)</f>
        <v>415</v>
      </c>
      <c r="G163" s="577"/>
      <c r="H163" s="575">
        <f>F163*36</f>
        <v>14940</v>
      </c>
      <c r="I163" s="577">
        <f>F163</f>
        <v>415</v>
      </c>
      <c r="J163" s="582"/>
      <c r="K163" s="578"/>
      <c r="L163" s="582"/>
      <c r="M163" s="578"/>
      <c r="N163" s="579"/>
      <c r="O163" s="579"/>
      <c r="P163" s="579"/>
      <c r="Q163" s="579"/>
      <c r="R163" s="578">
        <v>42</v>
      </c>
      <c r="S163" s="579"/>
      <c r="T163" s="579"/>
      <c r="U163" s="575"/>
      <c r="V163" s="575"/>
      <c r="W163" s="575"/>
      <c r="X163" s="575"/>
      <c r="Y163" s="575"/>
      <c r="Z163" s="575"/>
      <c r="AA163" s="583"/>
    </row>
    <row r="164" spans="1:27" s="584" customFormat="1" x14ac:dyDescent="0.2">
      <c r="A164" s="575">
        <f>A162+1</f>
        <v>79</v>
      </c>
      <c r="B164" s="575" t="s">
        <v>483</v>
      </c>
      <c r="C164" s="575" t="s">
        <v>20</v>
      </c>
      <c r="D164" s="571"/>
      <c r="E164" s="576"/>
      <c r="F164" s="576"/>
      <c r="G164" s="577"/>
      <c r="H164" s="575"/>
      <c r="I164" s="577"/>
      <c r="J164" s="582"/>
      <c r="K164" s="578">
        <f>(M164*4+N164*2)/2</f>
        <v>12</v>
      </c>
      <c r="L164" s="578"/>
      <c r="M164" s="578">
        <v>6</v>
      </c>
      <c r="N164" s="579"/>
      <c r="O164" s="579"/>
      <c r="P164" s="579"/>
      <c r="Q164" s="579"/>
      <c r="R164" s="579"/>
      <c r="S164" s="579"/>
      <c r="T164" s="579"/>
      <c r="U164" s="575"/>
      <c r="V164" s="575">
        <v>1</v>
      </c>
      <c r="W164" s="575">
        <v>1</v>
      </c>
      <c r="X164" s="575"/>
      <c r="Y164" s="575"/>
      <c r="Z164" s="575">
        <v>2</v>
      </c>
      <c r="AA164" s="583"/>
    </row>
    <row r="165" spans="1:27" s="584" customFormat="1" x14ac:dyDescent="0.2">
      <c r="A165" s="575"/>
      <c r="B165" s="575"/>
      <c r="C165" s="572"/>
      <c r="D165" s="571"/>
      <c r="E165" s="576">
        <v>422.072</v>
      </c>
      <c r="F165" s="576">
        <f>+CEILING(E165,5)</f>
        <v>425</v>
      </c>
      <c r="G165" s="577"/>
      <c r="H165" s="575">
        <f>F165*36</f>
        <v>15300</v>
      </c>
      <c r="I165" s="577">
        <f>F165</f>
        <v>425</v>
      </c>
      <c r="J165" s="582"/>
      <c r="K165" s="578"/>
      <c r="L165" s="578"/>
      <c r="M165" s="578"/>
      <c r="N165" s="579"/>
      <c r="O165" s="579"/>
      <c r="P165" s="579"/>
      <c r="Q165" s="579"/>
      <c r="R165" s="578">
        <v>42</v>
      </c>
      <c r="S165" s="579"/>
      <c r="T165" s="579"/>
      <c r="U165" s="575"/>
      <c r="V165" s="575"/>
      <c r="W165" s="575"/>
      <c r="X165" s="575"/>
      <c r="Y165" s="575"/>
      <c r="Z165" s="575"/>
      <c r="AA165" s="583"/>
    </row>
    <row r="166" spans="1:27" s="584" customFormat="1" x14ac:dyDescent="0.2">
      <c r="A166" s="575">
        <f>A164+1</f>
        <v>80</v>
      </c>
      <c r="B166" s="575" t="s">
        <v>484</v>
      </c>
      <c r="C166" s="575" t="s">
        <v>20</v>
      </c>
      <c r="D166" s="571"/>
      <c r="E166" s="576"/>
      <c r="F166" s="576"/>
      <c r="G166" s="577"/>
      <c r="H166" s="575"/>
      <c r="I166" s="577"/>
      <c r="J166" s="582"/>
      <c r="K166" s="578">
        <f>(M166*4+N166*2)/2</f>
        <v>12</v>
      </c>
      <c r="L166" s="578"/>
      <c r="M166" s="578">
        <v>6</v>
      </c>
      <c r="N166" s="579"/>
      <c r="O166" s="579"/>
      <c r="P166" s="579"/>
      <c r="Q166" s="579"/>
      <c r="R166" s="579"/>
      <c r="S166" s="579"/>
      <c r="T166" s="579"/>
      <c r="U166" s="575"/>
      <c r="V166" s="575">
        <v>1</v>
      </c>
      <c r="W166" s="575">
        <v>1</v>
      </c>
      <c r="X166" s="575"/>
      <c r="Y166" s="575"/>
      <c r="Z166" s="575">
        <v>2</v>
      </c>
      <c r="AA166" s="583"/>
    </row>
    <row r="167" spans="1:27" s="584" customFormat="1" x14ac:dyDescent="0.2">
      <c r="A167" s="575"/>
      <c r="B167" s="575"/>
      <c r="C167" s="572"/>
      <c r="D167" s="571"/>
      <c r="E167" s="576">
        <v>418.26799999999997</v>
      </c>
      <c r="F167" s="576">
        <f>+CEILING(E167,5)</f>
        <v>420</v>
      </c>
      <c r="G167" s="577"/>
      <c r="H167" s="575">
        <f>F167*36</f>
        <v>15120</v>
      </c>
      <c r="I167" s="577">
        <f>F167</f>
        <v>420</v>
      </c>
      <c r="J167" s="582"/>
      <c r="K167" s="578"/>
      <c r="L167" s="578"/>
      <c r="M167" s="578"/>
      <c r="N167" s="579"/>
      <c r="O167" s="579"/>
      <c r="P167" s="579"/>
      <c r="Q167" s="579"/>
      <c r="R167" s="578">
        <v>42</v>
      </c>
      <c r="S167" s="579"/>
      <c r="T167" s="579"/>
      <c r="U167" s="575"/>
      <c r="V167" s="575"/>
      <c r="W167" s="575"/>
      <c r="X167" s="575"/>
      <c r="Y167" s="575"/>
      <c r="Z167" s="575"/>
      <c r="AA167" s="583"/>
    </row>
    <row r="168" spans="1:27" s="584" customFormat="1" x14ac:dyDescent="0.2">
      <c r="A168" s="575">
        <f>A166+1</f>
        <v>81</v>
      </c>
      <c r="B168" s="575" t="s">
        <v>485</v>
      </c>
      <c r="C168" s="575" t="s">
        <v>20</v>
      </c>
      <c r="D168" s="571"/>
      <c r="E168" s="576"/>
      <c r="F168" s="576"/>
      <c r="G168" s="577"/>
      <c r="H168" s="575"/>
      <c r="I168" s="577"/>
      <c r="J168" s="582"/>
      <c r="K168" s="578">
        <f>(M168*4+N168*2)/2</f>
        <v>12</v>
      </c>
      <c r="L168" s="578"/>
      <c r="M168" s="578">
        <v>6</v>
      </c>
      <c r="N168" s="579"/>
      <c r="O168" s="579"/>
      <c r="P168" s="579"/>
      <c r="Q168" s="579"/>
      <c r="R168" s="579"/>
      <c r="S168" s="579"/>
      <c r="T168" s="579"/>
      <c r="U168" s="575"/>
      <c r="V168" s="575">
        <v>1</v>
      </c>
      <c r="W168" s="575">
        <v>1</v>
      </c>
      <c r="X168" s="575"/>
      <c r="Y168" s="575"/>
      <c r="Z168" s="575">
        <v>2</v>
      </c>
      <c r="AA168" s="583"/>
    </row>
    <row r="169" spans="1:27" s="584" customFormat="1" x14ac:dyDescent="0.2">
      <c r="A169" s="575"/>
      <c r="B169" s="575"/>
      <c r="C169" s="572"/>
      <c r="D169" s="571"/>
      <c r="E169" s="576">
        <v>384.30799999999999</v>
      </c>
      <c r="F169" s="576">
        <f>+CEILING(E169,5)</f>
        <v>385</v>
      </c>
      <c r="G169" s="577"/>
      <c r="H169" s="575">
        <f>F169*36</f>
        <v>13860</v>
      </c>
      <c r="I169" s="577">
        <f>F169</f>
        <v>385</v>
      </c>
      <c r="J169" s="582"/>
      <c r="K169" s="578"/>
      <c r="L169" s="578"/>
      <c r="M169" s="578"/>
      <c r="N169" s="579"/>
      <c r="O169" s="579"/>
      <c r="P169" s="579"/>
      <c r="Q169" s="579"/>
      <c r="R169" s="578">
        <v>36</v>
      </c>
      <c r="S169" s="579"/>
      <c r="T169" s="579"/>
      <c r="U169" s="575"/>
      <c r="V169" s="575"/>
      <c r="W169" s="575"/>
      <c r="X169" s="575"/>
      <c r="Y169" s="575"/>
      <c r="Z169" s="575"/>
      <c r="AA169" s="583"/>
    </row>
    <row r="170" spans="1:27" s="584" customFormat="1" x14ac:dyDescent="0.2">
      <c r="A170" s="575">
        <f>A168+1</f>
        <v>82</v>
      </c>
      <c r="B170" s="575" t="s">
        <v>486</v>
      </c>
      <c r="C170" s="575" t="s">
        <v>232</v>
      </c>
      <c r="D170" s="571"/>
      <c r="E170" s="576"/>
      <c r="F170" s="576"/>
      <c r="G170" s="577"/>
      <c r="H170" s="575"/>
      <c r="I170" s="577"/>
      <c r="J170" s="582"/>
      <c r="K170" s="578">
        <f>(M170*4+N170*2)/2</f>
        <v>12</v>
      </c>
      <c r="L170" s="578"/>
      <c r="M170" s="578">
        <v>6</v>
      </c>
      <c r="N170" s="579"/>
      <c r="O170" s="579"/>
      <c r="P170" s="579"/>
      <c r="Q170" s="579"/>
      <c r="R170" s="579"/>
      <c r="S170" s="579"/>
      <c r="T170" s="579"/>
      <c r="U170" s="575"/>
      <c r="V170" s="575">
        <v>1</v>
      </c>
      <c r="W170" s="575">
        <v>1</v>
      </c>
      <c r="X170" s="575"/>
      <c r="Y170" s="575"/>
      <c r="Z170" s="575">
        <v>2</v>
      </c>
      <c r="AA170" s="583"/>
    </row>
    <row r="171" spans="1:27" s="584" customFormat="1" x14ac:dyDescent="0.2">
      <c r="A171" s="575"/>
      <c r="B171" s="575"/>
      <c r="C171" s="572"/>
      <c r="D171" s="571"/>
      <c r="E171" s="576">
        <v>434.19900000000001</v>
      </c>
      <c r="F171" s="576">
        <f>+CEILING(E171,5)</f>
        <v>435</v>
      </c>
      <c r="G171" s="577"/>
      <c r="H171" s="575">
        <f>F171*36</f>
        <v>15660</v>
      </c>
      <c r="I171" s="577">
        <f>F171</f>
        <v>435</v>
      </c>
      <c r="J171" s="582"/>
      <c r="K171" s="578"/>
      <c r="L171" s="578"/>
      <c r="M171" s="578"/>
      <c r="N171" s="579"/>
      <c r="O171" s="579"/>
      <c r="P171" s="579"/>
      <c r="Q171" s="579"/>
      <c r="R171" s="578">
        <v>42</v>
      </c>
      <c r="S171" s="579"/>
      <c r="T171" s="579"/>
      <c r="U171" s="575"/>
      <c r="V171" s="575"/>
      <c r="W171" s="575"/>
      <c r="X171" s="575"/>
      <c r="Y171" s="575"/>
      <c r="Z171" s="575"/>
      <c r="AA171" s="583"/>
    </row>
    <row r="172" spans="1:27" s="584" customFormat="1" x14ac:dyDescent="0.2">
      <c r="A172" s="575">
        <f>A170+1</f>
        <v>83</v>
      </c>
      <c r="B172" s="575" t="s">
        <v>487</v>
      </c>
      <c r="C172" s="575" t="s">
        <v>233</v>
      </c>
      <c r="D172" s="571"/>
      <c r="E172" s="576"/>
      <c r="F172" s="576"/>
      <c r="G172" s="577"/>
      <c r="H172" s="575"/>
      <c r="I172" s="577"/>
      <c r="J172" s="582"/>
      <c r="K172" s="578">
        <f>(M172*4+N172*2)/2</f>
        <v>12</v>
      </c>
      <c r="L172" s="578"/>
      <c r="M172" s="578">
        <v>6</v>
      </c>
      <c r="N172" s="579"/>
      <c r="O172" s="579"/>
      <c r="P172" s="579"/>
      <c r="Q172" s="579"/>
      <c r="R172" s="579"/>
      <c r="S172" s="579"/>
      <c r="T172" s="579"/>
      <c r="U172" s="575"/>
      <c r="V172" s="575">
        <v>1</v>
      </c>
      <c r="W172" s="575">
        <v>1</v>
      </c>
      <c r="X172" s="575"/>
      <c r="Y172" s="575"/>
      <c r="Z172" s="575">
        <v>2</v>
      </c>
      <c r="AA172" s="583"/>
    </row>
    <row r="173" spans="1:27" s="584" customFormat="1" x14ac:dyDescent="0.2">
      <c r="A173" s="575"/>
      <c r="B173" s="575"/>
      <c r="C173" s="572"/>
      <c r="D173" s="571"/>
      <c r="E173" s="576">
        <v>390.12099999999998</v>
      </c>
      <c r="F173" s="576">
        <f>+CEILING(E173,5)</f>
        <v>395</v>
      </c>
      <c r="G173" s="577"/>
      <c r="H173" s="575">
        <f>F173*36</f>
        <v>14220</v>
      </c>
      <c r="I173" s="577">
        <f>F173</f>
        <v>395</v>
      </c>
      <c r="J173" s="582"/>
      <c r="K173" s="578"/>
      <c r="L173" s="578"/>
      <c r="M173" s="578"/>
      <c r="N173" s="579"/>
      <c r="O173" s="579"/>
      <c r="P173" s="579"/>
      <c r="Q173" s="579"/>
      <c r="R173" s="578">
        <v>42</v>
      </c>
      <c r="S173" s="579"/>
      <c r="T173" s="579"/>
      <c r="U173" s="575"/>
      <c r="V173" s="575"/>
      <c r="W173" s="575"/>
      <c r="X173" s="575"/>
      <c r="Y173" s="575"/>
      <c r="Z173" s="575"/>
      <c r="AA173" s="583"/>
    </row>
    <row r="174" spans="1:27" s="584" customFormat="1" x14ac:dyDescent="0.2">
      <c r="A174" s="575">
        <f>A172+1</f>
        <v>84</v>
      </c>
      <c r="B174" s="575" t="s">
        <v>488</v>
      </c>
      <c r="C174" s="575" t="s">
        <v>232</v>
      </c>
      <c r="D174" s="571"/>
      <c r="E174" s="576"/>
      <c r="F174" s="576"/>
      <c r="G174" s="577"/>
      <c r="H174" s="575"/>
      <c r="I174" s="577"/>
      <c r="J174" s="582"/>
      <c r="K174" s="578">
        <f>(M174*4+N174*2)/2</f>
        <v>12</v>
      </c>
      <c r="L174" s="578"/>
      <c r="M174" s="578">
        <v>6</v>
      </c>
      <c r="N174" s="579"/>
      <c r="O174" s="579"/>
      <c r="P174" s="579"/>
      <c r="Q174" s="579"/>
      <c r="R174" s="579"/>
      <c r="S174" s="579"/>
      <c r="T174" s="579"/>
      <c r="U174" s="575"/>
      <c r="V174" s="575">
        <v>1</v>
      </c>
      <c r="W174" s="575">
        <v>1</v>
      </c>
      <c r="X174" s="575"/>
      <c r="Y174" s="575"/>
      <c r="Z174" s="575">
        <v>2</v>
      </c>
      <c r="AA174" s="583"/>
    </row>
    <row r="175" spans="1:27" s="584" customFormat="1" x14ac:dyDescent="0.2">
      <c r="A175" s="575"/>
      <c r="B175" s="575"/>
      <c r="C175" s="572"/>
      <c r="D175" s="571"/>
      <c r="E175" s="576">
        <v>426.31400000000002</v>
      </c>
      <c r="F175" s="576">
        <f>+CEILING(E175,5)</f>
        <v>430</v>
      </c>
      <c r="G175" s="577"/>
      <c r="H175" s="575">
        <f>F175*36</f>
        <v>15480</v>
      </c>
      <c r="I175" s="577">
        <f>F175</f>
        <v>430</v>
      </c>
      <c r="J175" s="582"/>
      <c r="K175" s="578"/>
      <c r="L175" s="582"/>
      <c r="M175" s="578"/>
      <c r="N175" s="579"/>
      <c r="O175" s="579"/>
      <c r="P175" s="579"/>
      <c r="Q175" s="579"/>
      <c r="R175" s="578">
        <v>42</v>
      </c>
      <c r="S175" s="579"/>
      <c r="T175" s="579"/>
      <c r="U175" s="575"/>
      <c r="V175" s="575"/>
      <c r="W175" s="575"/>
      <c r="X175" s="575"/>
      <c r="Y175" s="575"/>
      <c r="Z175" s="575"/>
      <c r="AA175" s="583"/>
    </row>
    <row r="176" spans="1:27" s="584" customFormat="1" x14ac:dyDescent="0.2">
      <c r="A176" s="575">
        <f>A174+1</f>
        <v>85</v>
      </c>
      <c r="B176" s="575" t="s">
        <v>489</v>
      </c>
      <c r="C176" s="575" t="s">
        <v>20</v>
      </c>
      <c r="D176" s="571"/>
      <c r="E176" s="576"/>
      <c r="F176" s="576"/>
      <c r="G176" s="577"/>
      <c r="H176" s="575"/>
      <c r="I176" s="577"/>
      <c r="J176" s="582"/>
      <c r="K176" s="578">
        <f>(M176*4+N176*2)/2</f>
        <v>12</v>
      </c>
      <c r="L176" s="578"/>
      <c r="M176" s="578">
        <v>6</v>
      </c>
      <c r="N176" s="579"/>
      <c r="O176" s="579"/>
      <c r="P176" s="579"/>
      <c r="Q176" s="579"/>
      <c r="R176" s="579"/>
      <c r="S176" s="579"/>
      <c r="T176" s="579"/>
      <c r="U176" s="575"/>
      <c r="V176" s="575">
        <v>1</v>
      </c>
      <c r="W176" s="575">
        <v>1</v>
      </c>
      <c r="X176" s="575"/>
      <c r="Y176" s="575"/>
      <c r="Z176" s="575">
        <v>2</v>
      </c>
      <c r="AA176" s="583"/>
    </row>
    <row r="177" spans="1:27" s="584" customFormat="1" x14ac:dyDescent="0.2">
      <c r="A177" s="575"/>
      <c r="B177" s="575"/>
      <c r="C177" s="572"/>
      <c r="D177" s="571"/>
      <c r="E177" s="576">
        <v>405.86700000000002</v>
      </c>
      <c r="F177" s="576">
        <f>+CEILING(E177,5)</f>
        <v>410</v>
      </c>
      <c r="G177" s="577"/>
      <c r="H177" s="575">
        <f>F177*36</f>
        <v>14760</v>
      </c>
      <c r="I177" s="577">
        <f>F177</f>
        <v>410</v>
      </c>
      <c r="J177" s="582"/>
      <c r="K177" s="578"/>
      <c r="L177" s="582"/>
      <c r="M177" s="578"/>
      <c r="N177" s="579"/>
      <c r="O177" s="579"/>
      <c r="P177" s="579"/>
      <c r="Q177" s="579"/>
      <c r="R177" s="578">
        <v>42</v>
      </c>
      <c r="S177" s="579"/>
      <c r="T177" s="579"/>
      <c r="U177" s="575"/>
      <c r="V177" s="575"/>
      <c r="W177" s="575"/>
      <c r="X177" s="575"/>
      <c r="Y177" s="575"/>
      <c r="Z177" s="575"/>
      <c r="AA177" s="583"/>
    </row>
    <row r="178" spans="1:27" s="584" customFormat="1" ht="22.5" x14ac:dyDescent="0.2">
      <c r="A178" s="575">
        <f>A176+1</f>
        <v>86</v>
      </c>
      <c r="B178" s="572" t="s">
        <v>47</v>
      </c>
      <c r="C178" s="572" t="s">
        <v>238</v>
      </c>
      <c r="D178" s="571" t="s">
        <v>1080</v>
      </c>
      <c r="E178" s="576"/>
      <c r="F178" s="576"/>
      <c r="G178" s="577"/>
      <c r="H178" s="575"/>
      <c r="I178" s="577"/>
      <c r="J178" s="578">
        <v>48</v>
      </c>
      <c r="K178" s="578">
        <v>6</v>
      </c>
      <c r="L178" s="578">
        <v>12</v>
      </c>
      <c r="M178" s="582"/>
      <c r="N178" s="575">
        <v>6</v>
      </c>
      <c r="O178" s="575"/>
      <c r="P178" s="575"/>
      <c r="Q178" s="575"/>
      <c r="R178" s="579"/>
      <c r="S178" s="575">
        <v>30</v>
      </c>
      <c r="T178" s="575"/>
      <c r="U178" s="575">
        <v>2</v>
      </c>
      <c r="V178" s="575"/>
      <c r="W178" s="575">
        <v>2</v>
      </c>
      <c r="X178" s="575"/>
      <c r="Y178" s="575"/>
      <c r="Z178" s="575">
        <v>4</v>
      </c>
      <c r="AA178" s="583"/>
    </row>
    <row r="179" spans="1:27" s="584" customFormat="1" x14ac:dyDescent="0.2">
      <c r="A179" s="575"/>
      <c r="B179" s="575"/>
      <c r="C179" s="572"/>
      <c r="D179" s="571"/>
      <c r="E179" s="576">
        <v>211.91399999999999</v>
      </c>
      <c r="F179" s="576">
        <f>+CEILING(E179,5)</f>
        <v>215</v>
      </c>
      <c r="G179" s="577"/>
      <c r="H179" s="575">
        <f>F179*36</f>
        <v>7740</v>
      </c>
      <c r="I179" s="577">
        <f>F179</f>
        <v>215</v>
      </c>
      <c r="J179" s="582"/>
      <c r="K179" s="578"/>
      <c r="L179" s="578"/>
      <c r="M179" s="578"/>
      <c r="N179" s="579"/>
      <c r="O179" s="579"/>
      <c r="P179" s="579"/>
      <c r="Q179" s="579"/>
      <c r="R179" s="578">
        <v>24</v>
      </c>
      <c r="S179" s="579"/>
      <c r="T179" s="579"/>
      <c r="U179" s="575"/>
      <c r="V179" s="575"/>
      <c r="W179" s="575"/>
      <c r="X179" s="575"/>
      <c r="Y179" s="575"/>
      <c r="Z179" s="575"/>
      <c r="AA179" s="583"/>
    </row>
    <row r="180" spans="1:27" s="584" customFormat="1" ht="22.5" x14ac:dyDescent="0.2">
      <c r="A180" s="575">
        <f>A178+1</f>
        <v>87</v>
      </c>
      <c r="B180" s="572" t="s">
        <v>48</v>
      </c>
      <c r="C180" s="572" t="s">
        <v>362</v>
      </c>
      <c r="D180" s="571" t="s">
        <v>1081</v>
      </c>
      <c r="E180" s="576"/>
      <c r="F180" s="576"/>
      <c r="G180" s="577"/>
      <c r="H180" s="575"/>
      <c r="I180" s="577"/>
      <c r="J180" s="578">
        <v>48</v>
      </c>
      <c r="K180" s="578">
        <v>6</v>
      </c>
      <c r="L180" s="578">
        <v>12</v>
      </c>
      <c r="M180" s="582"/>
      <c r="N180" s="575">
        <v>6</v>
      </c>
      <c r="O180" s="575"/>
      <c r="P180" s="575"/>
      <c r="Q180" s="575"/>
      <c r="R180" s="579"/>
      <c r="S180" s="575">
        <v>30</v>
      </c>
      <c r="T180" s="575"/>
      <c r="U180" s="575">
        <v>2</v>
      </c>
      <c r="V180" s="575"/>
      <c r="W180" s="575">
        <v>2</v>
      </c>
      <c r="X180" s="575"/>
      <c r="Y180" s="575"/>
      <c r="Z180" s="575">
        <v>4</v>
      </c>
      <c r="AA180" s="583"/>
    </row>
    <row r="181" spans="1:27" s="584" customFormat="1" x14ac:dyDescent="0.2">
      <c r="A181" s="575"/>
      <c r="B181" s="575"/>
      <c r="C181" s="572"/>
      <c r="D181" s="571"/>
      <c r="E181" s="576">
        <v>464.25099999999998</v>
      </c>
      <c r="F181" s="576">
        <f>+CEILING(E181,5)</f>
        <v>465</v>
      </c>
      <c r="G181" s="577"/>
      <c r="H181" s="575">
        <f>F181*36</f>
        <v>16740</v>
      </c>
      <c r="I181" s="577">
        <f>F181</f>
        <v>465</v>
      </c>
      <c r="J181" s="582"/>
      <c r="K181" s="578"/>
      <c r="L181" s="578"/>
      <c r="M181" s="578"/>
      <c r="N181" s="579"/>
      <c r="O181" s="579"/>
      <c r="P181" s="579"/>
      <c r="Q181" s="579"/>
      <c r="R181" s="578">
        <v>48</v>
      </c>
      <c r="S181" s="579"/>
      <c r="T181" s="579"/>
      <c r="U181" s="575"/>
      <c r="V181" s="575"/>
      <c r="W181" s="575"/>
      <c r="X181" s="575"/>
      <c r="Y181" s="575"/>
      <c r="Z181" s="575"/>
      <c r="AA181" s="585"/>
    </row>
    <row r="182" spans="1:27" s="584" customFormat="1" x14ac:dyDescent="0.2">
      <c r="A182" s="575">
        <f>A180+1</f>
        <v>88</v>
      </c>
      <c r="B182" s="575" t="s">
        <v>490</v>
      </c>
      <c r="C182" s="575" t="s">
        <v>233</v>
      </c>
      <c r="D182" s="571"/>
      <c r="E182" s="576"/>
      <c r="F182" s="576"/>
      <c r="G182" s="577"/>
      <c r="H182" s="575"/>
      <c r="I182" s="577"/>
      <c r="J182" s="582"/>
      <c r="K182" s="578">
        <f>(M182*4+N182*2)/2</f>
        <v>12</v>
      </c>
      <c r="L182" s="578"/>
      <c r="M182" s="578">
        <v>6</v>
      </c>
      <c r="N182" s="579"/>
      <c r="O182" s="579"/>
      <c r="P182" s="579"/>
      <c r="Q182" s="579"/>
      <c r="R182" s="579"/>
      <c r="S182" s="579"/>
      <c r="T182" s="579"/>
      <c r="U182" s="575"/>
      <c r="V182" s="575">
        <v>1</v>
      </c>
      <c r="W182" s="575">
        <v>1</v>
      </c>
      <c r="X182" s="575"/>
      <c r="Y182" s="575"/>
      <c r="Z182" s="575">
        <v>2</v>
      </c>
      <c r="AA182" s="583"/>
    </row>
    <row r="183" spans="1:27" s="584" customFormat="1" x14ac:dyDescent="0.2">
      <c r="A183" s="575"/>
      <c r="B183" s="575"/>
      <c r="C183" s="572"/>
      <c r="D183" s="571"/>
      <c r="E183" s="576">
        <v>373.68799999999999</v>
      </c>
      <c r="F183" s="576">
        <f>+CEILING(E183,5)</f>
        <v>375</v>
      </c>
      <c r="G183" s="577"/>
      <c r="H183" s="575">
        <f>F183*36</f>
        <v>13500</v>
      </c>
      <c r="I183" s="577">
        <f>F183</f>
        <v>375</v>
      </c>
      <c r="J183" s="582"/>
      <c r="K183" s="578"/>
      <c r="L183" s="582"/>
      <c r="M183" s="578"/>
      <c r="N183" s="575"/>
      <c r="O183" s="575"/>
      <c r="P183" s="575"/>
      <c r="Q183" s="575"/>
      <c r="R183" s="578">
        <v>36</v>
      </c>
      <c r="S183" s="575"/>
      <c r="T183" s="575"/>
      <c r="U183" s="575"/>
      <c r="V183" s="575"/>
      <c r="W183" s="575"/>
      <c r="X183" s="575"/>
      <c r="Y183" s="575"/>
      <c r="Z183" s="575"/>
      <c r="AA183" s="585"/>
    </row>
    <row r="184" spans="1:27" s="584" customFormat="1" x14ac:dyDescent="0.2">
      <c r="A184" s="575">
        <f>A182+1</f>
        <v>89</v>
      </c>
      <c r="B184" s="575" t="s">
        <v>491</v>
      </c>
      <c r="C184" s="575" t="s">
        <v>20</v>
      </c>
      <c r="D184" s="571"/>
      <c r="E184" s="576"/>
      <c r="F184" s="576"/>
      <c r="G184" s="577"/>
      <c r="H184" s="575"/>
      <c r="I184" s="577"/>
      <c r="J184" s="582"/>
      <c r="K184" s="578">
        <f>(M184*4+N184*2)/2</f>
        <v>12</v>
      </c>
      <c r="L184" s="578"/>
      <c r="M184" s="578">
        <v>6</v>
      </c>
      <c r="N184" s="579"/>
      <c r="O184" s="579"/>
      <c r="P184" s="579"/>
      <c r="Q184" s="579"/>
      <c r="R184" s="579"/>
      <c r="S184" s="579"/>
      <c r="T184" s="579"/>
      <c r="U184" s="575"/>
      <c r="V184" s="575">
        <v>1</v>
      </c>
      <c r="W184" s="575">
        <v>1</v>
      </c>
      <c r="X184" s="575"/>
      <c r="Y184" s="575"/>
      <c r="Z184" s="575">
        <v>2</v>
      </c>
      <c r="AA184" s="583"/>
    </row>
    <row r="185" spans="1:27" s="584" customFormat="1" x14ac:dyDescent="0.2">
      <c r="A185" s="575"/>
      <c r="B185" s="575"/>
      <c r="C185" s="575"/>
      <c r="D185" s="571"/>
      <c r="E185" s="576">
        <v>419.67200000000003</v>
      </c>
      <c r="F185" s="576">
        <f>+CEILING(E185,5)</f>
        <v>420</v>
      </c>
      <c r="G185" s="577"/>
      <c r="H185" s="575">
        <f>F185*36</f>
        <v>15120</v>
      </c>
      <c r="I185" s="577">
        <f>F185</f>
        <v>420</v>
      </c>
      <c r="J185" s="582"/>
      <c r="K185" s="578"/>
      <c r="L185" s="578"/>
      <c r="M185" s="578"/>
      <c r="N185" s="579"/>
      <c r="O185" s="579"/>
      <c r="P185" s="579"/>
      <c r="Q185" s="579"/>
      <c r="R185" s="578">
        <v>42</v>
      </c>
      <c r="S185" s="579"/>
      <c r="T185" s="579"/>
      <c r="U185" s="575"/>
      <c r="V185" s="575"/>
      <c r="W185" s="575"/>
      <c r="X185" s="575"/>
      <c r="Y185" s="575"/>
      <c r="Z185" s="575"/>
      <c r="AA185" s="583"/>
    </row>
    <row r="186" spans="1:27" s="584" customFormat="1" x14ac:dyDescent="0.2">
      <c r="A186" s="575">
        <f>A184+1</f>
        <v>90</v>
      </c>
      <c r="B186" s="575" t="s">
        <v>492</v>
      </c>
      <c r="C186" s="575" t="s">
        <v>20</v>
      </c>
      <c r="D186" s="571"/>
      <c r="E186" s="576"/>
      <c r="F186" s="576"/>
      <c r="G186" s="577"/>
      <c r="H186" s="575"/>
      <c r="I186" s="577"/>
      <c r="J186" s="582"/>
      <c r="K186" s="578">
        <f>(M186*4+N186*2)/2</f>
        <v>12</v>
      </c>
      <c r="L186" s="578"/>
      <c r="M186" s="578">
        <v>6</v>
      </c>
      <c r="N186" s="579"/>
      <c r="O186" s="579"/>
      <c r="P186" s="579"/>
      <c r="Q186" s="579"/>
      <c r="R186" s="579"/>
      <c r="S186" s="579"/>
      <c r="T186" s="579"/>
      <c r="U186" s="575"/>
      <c r="V186" s="575">
        <v>1</v>
      </c>
      <c r="W186" s="575">
        <v>1</v>
      </c>
      <c r="X186" s="575"/>
      <c r="Y186" s="575"/>
      <c r="Z186" s="575">
        <v>2</v>
      </c>
      <c r="AA186" s="583"/>
    </row>
    <row r="187" spans="1:27" s="584" customFormat="1" x14ac:dyDescent="0.2">
      <c r="A187" s="575"/>
      <c r="B187" s="575"/>
      <c r="C187" s="575"/>
      <c r="D187" s="571"/>
      <c r="E187" s="576">
        <v>420.25200000000001</v>
      </c>
      <c r="F187" s="576">
        <f>+CEILING(E187,5)</f>
        <v>425</v>
      </c>
      <c r="G187" s="577"/>
      <c r="H187" s="575">
        <f>F187*36</f>
        <v>15300</v>
      </c>
      <c r="I187" s="577">
        <f>F187</f>
        <v>425</v>
      </c>
      <c r="J187" s="582"/>
      <c r="K187" s="578"/>
      <c r="L187" s="582"/>
      <c r="M187" s="578"/>
      <c r="N187" s="579"/>
      <c r="O187" s="579"/>
      <c r="P187" s="579"/>
      <c r="Q187" s="579"/>
      <c r="R187" s="578">
        <v>42</v>
      </c>
      <c r="S187" s="579"/>
      <c r="T187" s="579"/>
      <c r="U187" s="575"/>
      <c r="V187" s="575"/>
      <c r="W187" s="575"/>
      <c r="X187" s="575"/>
      <c r="Y187" s="575"/>
      <c r="Z187" s="575"/>
      <c r="AA187" s="583"/>
    </row>
    <row r="188" spans="1:27" s="584" customFormat="1" x14ac:dyDescent="0.2">
      <c r="A188" s="575">
        <f>A186+1</f>
        <v>91</v>
      </c>
      <c r="B188" s="575" t="s">
        <v>172</v>
      </c>
      <c r="C188" s="575" t="s">
        <v>20</v>
      </c>
      <c r="D188" s="571"/>
      <c r="E188" s="576"/>
      <c r="F188" s="576"/>
      <c r="G188" s="577"/>
      <c r="H188" s="575"/>
      <c r="I188" s="577"/>
      <c r="J188" s="582"/>
      <c r="K188" s="578">
        <f>(M188*4+N188*2)/2</f>
        <v>12</v>
      </c>
      <c r="L188" s="578"/>
      <c r="M188" s="578">
        <v>6</v>
      </c>
      <c r="N188" s="579"/>
      <c r="O188" s="579"/>
      <c r="P188" s="579"/>
      <c r="Q188" s="579"/>
      <c r="R188" s="579"/>
      <c r="S188" s="579"/>
      <c r="T188" s="579"/>
      <c r="U188" s="575"/>
      <c r="V188" s="575">
        <v>1</v>
      </c>
      <c r="W188" s="575">
        <v>1</v>
      </c>
      <c r="X188" s="575"/>
      <c r="Y188" s="575"/>
      <c r="Z188" s="575">
        <v>2</v>
      </c>
      <c r="AA188" s="583"/>
    </row>
    <row r="189" spans="1:27" s="584" customFormat="1" x14ac:dyDescent="0.2">
      <c r="A189" s="575"/>
      <c r="B189" s="575"/>
      <c r="C189" s="572"/>
      <c r="D189" s="571"/>
      <c r="E189" s="576">
        <v>400.03699999999998</v>
      </c>
      <c r="F189" s="576">
        <f>+CEILING(E189,5)</f>
        <v>405</v>
      </c>
      <c r="G189" s="577"/>
      <c r="H189" s="575">
        <f>F189*36</f>
        <v>14580</v>
      </c>
      <c r="I189" s="577">
        <f>F189</f>
        <v>405</v>
      </c>
      <c r="J189" s="582"/>
      <c r="K189" s="578"/>
      <c r="L189" s="578"/>
      <c r="M189" s="578"/>
      <c r="N189" s="579"/>
      <c r="O189" s="579"/>
      <c r="P189" s="579"/>
      <c r="Q189" s="579"/>
      <c r="R189" s="578">
        <v>42</v>
      </c>
      <c r="S189" s="579"/>
      <c r="T189" s="579"/>
      <c r="U189" s="575"/>
      <c r="V189" s="575"/>
      <c r="W189" s="575"/>
      <c r="X189" s="575"/>
      <c r="Y189" s="575"/>
      <c r="Z189" s="575"/>
      <c r="AA189" s="583"/>
    </row>
    <row r="190" spans="1:27" s="584" customFormat="1" x14ac:dyDescent="0.2">
      <c r="A190" s="575">
        <f>A188+1</f>
        <v>92</v>
      </c>
      <c r="B190" s="572" t="s">
        <v>493</v>
      </c>
      <c r="C190" s="571" t="s">
        <v>244</v>
      </c>
      <c r="D190" s="571" t="s">
        <v>1082</v>
      </c>
      <c r="E190" s="583"/>
      <c r="F190" s="576"/>
      <c r="G190" s="577"/>
      <c r="H190" s="575"/>
      <c r="I190" s="577"/>
      <c r="J190" s="578">
        <v>48</v>
      </c>
      <c r="K190" s="582"/>
      <c r="L190" s="578">
        <v>12</v>
      </c>
      <c r="M190" s="582"/>
      <c r="N190" s="575"/>
      <c r="O190" s="575"/>
      <c r="P190" s="575"/>
      <c r="Q190" s="575"/>
      <c r="R190" s="579"/>
      <c r="S190" s="575">
        <v>30</v>
      </c>
      <c r="T190" s="575"/>
      <c r="U190" s="575">
        <v>2</v>
      </c>
      <c r="V190" s="575"/>
      <c r="W190" s="575">
        <v>2</v>
      </c>
      <c r="X190" s="575"/>
      <c r="Y190" s="575"/>
      <c r="Z190" s="575">
        <v>4</v>
      </c>
      <c r="AA190" s="583"/>
    </row>
    <row r="191" spans="1:27" s="584" customFormat="1" x14ac:dyDescent="0.2">
      <c r="A191" s="575"/>
      <c r="B191" s="575"/>
      <c r="C191" s="583"/>
      <c r="D191" s="571"/>
      <c r="E191" s="576">
        <v>381.41300000000001</v>
      </c>
      <c r="F191" s="576">
        <f>+CEILING(E191,5)</f>
        <v>385</v>
      </c>
      <c r="G191" s="577"/>
      <c r="H191" s="575">
        <f>F191*36</f>
        <v>13860</v>
      </c>
      <c r="I191" s="577">
        <f>F191</f>
        <v>385</v>
      </c>
      <c r="J191" s="582"/>
      <c r="K191" s="578"/>
      <c r="L191" s="578"/>
      <c r="M191" s="578"/>
      <c r="N191" s="579"/>
      <c r="O191" s="579"/>
      <c r="P191" s="579"/>
      <c r="Q191" s="579"/>
      <c r="R191" s="578">
        <v>36</v>
      </c>
      <c r="S191" s="579"/>
      <c r="T191" s="579"/>
      <c r="U191" s="575"/>
      <c r="V191" s="575"/>
      <c r="W191" s="575"/>
      <c r="X191" s="575"/>
      <c r="Y191" s="575"/>
      <c r="Z191" s="575"/>
      <c r="AA191" s="583"/>
    </row>
    <row r="192" spans="1:27" s="584" customFormat="1" x14ac:dyDescent="0.2">
      <c r="A192" s="575">
        <f>A190+1</f>
        <v>93</v>
      </c>
      <c r="B192" s="572" t="s">
        <v>494</v>
      </c>
      <c r="C192" s="571" t="s">
        <v>239</v>
      </c>
      <c r="D192" s="571" t="s">
        <v>1083</v>
      </c>
      <c r="E192" s="576"/>
      <c r="F192" s="576"/>
      <c r="G192" s="577"/>
      <c r="H192" s="575"/>
      <c r="I192" s="577"/>
      <c r="J192" s="578">
        <v>48</v>
      </c>
      <c r="K192" s="582"/>
      <c r="L192" s="578">
        <v>12</v>
      </c>
      <c r="M192" s="582"/>
      <c r="N192" s="575"/>
      <c r="O192" s="575"/>
      <c r="P192" s="575"/>
      <c r="Q192" s="575"/>
      <c r="R192" s="579"/>
      <c r="S192" s="575">
        <v>30</v>
      </c>
      <c r="T192" s="575"/>
      <c r="U192" s="575">
        <v>2</v>
      </c>
      <c r="V192" s="575"/>
      <c r="W192" s="575">
        <v>2</v>
      </c>
      <c r="X192" s="575"/>
      <c r="Y192" s="575"/>
      <c r="Z192" s="575">
        <v>4</v>
      </c>
      <c r="AA192" s="583"/>
    </row>
    <row r="193" spans="1:27" s="584" customFormat="1" x14ac:dyDescent="0.2">
      <c r="A193" s="575"/>
      <c r="B193" s="575"/>
      <c r="C193" s="583"/>
      <c r="D193" s="571"/>
      <c r="E193" s="576">
        <v>412.76600000000002</v>
      </c>
      <c r="F193" s="576">
        <f>+CEILING(E193,5)</f>
        <v>415</v>
      </c>
      <c r="G193" s="577"/>
      <c r="H193" s="575">
        <f>F193*36</f>
        <v>14940</v>
      </c>
      <c r="I193" s="577">
        <f>F193</f>
        <v>415</v>
      </c>
      <c r="J193" s="582"/>
      <c r="K193" s="578"/>
      <c r="L193" s="578"/>
      <c r="M193" s="578"/>
      <c r="N193" s="579"/>
      <c r="O193" s="579"/>
      <c r="P193" s="579"/>
      <c r="Q193" s="579"/>
      <c r="R193" s="578">
        <v>42</v>
      </c>
      <c r="S193" s="579"/>
      <c r="T193" s="579"/>
      <c r="U193" s="575"/>
      <c r="V193" s="575"/>
      <c r="W193" s="575"/>
      <c r="X193" s="575"/>
      <c r="Y193" s="575"/>
      <c r="Z193" s="575"/>
      <c r="AA193" s="585"/>
    </row>
    <row r="194" spans="1:27" s="584" customFormat="1" x14ac:dyDescent="0.2">
      <c r="A194" s="575">
        <f>A192+1</f>
        <v>94</v>
      </c>
      <c r="B194" s="575" t="s">
        <v>495</v>
      </c>
      <c r="C194" s="583" t="s">
        <v>20</v>
      </c>
      <c r="D194" s="571"/>
      <c r="E194" s="576"/>
      <c r="F194" s="576"/>
      <c r="G194" s="577"/>
      <c r="H194" s="575"/>
      <c r="I194" s="577"/>
      <c r="J194" s="582"/>
      <c r="K194" s="578">
        <f>(M194*4+N194*2)/2</f>
        <v>12</v>
      </c>
      <c r="L194" s="578"/>
      <c r="M194" s="578">
        <v>6</v>
      </c>
      <c r="N194" s="579"/>
      <c r="O194" s="579"/>
      <c r="P194" s="579"/>
      <c r="Q194" s="579"/>
      <c r="R194" s="579"/>
      <c r="S194" s="579"/>
      <c r="T194" s="579"/>
      <c r="U194" s="575"/>
      <c r="V194" s="575">
        <v>1</v>
      </c>
      <c r="W194" s="575">
        <v>1</v>
      </c>
      <c r="X194" s="575"/>
      <c r="Y194" s="575"/>
      <c r="Z194" s="575">
        <v>2</v>
      </c>
      <c r="AA194" s="583"/>
    </row>
    <row r="195" spans="1:27" s="584" customFormat="1" x14ac:dyDescent="0.2">
      <c r="A195" s="575"/>
      <c r="B195" s="575"/>
      <c r="C195" s="583"/>
      <c r="D195" s="571"/>
      <c r="E195" s="576">
        <v>396.03</v>
      </c>
      <c r="F195" s="576">
        <f>+CEILING(E195,5)</f>
        <v>400</v>
      </c>
      <c r="G195" s="577"/>
      <c r="H195" s="575">
        <f>F195*36</f>
        <v>14400</v>
      </c>
      <c r="I195" s="577">
        <f>F195</f>
        <v>400</v>
      </c>
      <c r="J195" s="582"/>
      <c r="K195" s="578"/>
      <c r="L195" s="578"/>
      <c r="M195" s="578"/>
      <c r="N195" s="579"/>
      <c r="O195" s="579"/>
      <c r="P195" s="579"/>
      <c r="Q195" s="579"/>
      <c r="R195" s="578">
        <v>42</v>
      </c>
      <c r="S195" s="579"/>
      <c r="T195" s="579"/>
      <c r="U195" s="575"/>
      <c r="V195" s="575"/>
      <c r="W195" s="575"/>
      <c r="X195" s="575"/>
      <c r="Y195" s="575"/>
      <c r="Z195" s="575"/>
      <c r="AA195" s="585"/>
    </row>
    <row r="196" spans="1:27" s="584" customFormat="1" x14ac:dyDescent="0.2">
      <c r="A196" s="575">
        <f>A194+1</f>
        <v>95</v>
      </c>
      <c r="B196" s="575" t="s">
        <v>496</v>
      </c>
      <c r="C196" s="583" t="s">
        <v>231</v>
      </c>
      <c r="D196" s="571"/>
      <c r="E196" s="576"/>
      <c r="F196" s="576"/>
      <c r="G196" s="577"/>
      <c r="H196" s="575"/>
      <c r="I196" s="577"/>
      <c r="J196" s="582"/>
      <c r="K196" s="578">
        <f>(M196*4+N196*2)/2</f>
        <v>12</v>
      </c>
      <c r="L196" s="578"/>
      <c r="M196" s="578">
        <v>6</v>
      </c>
      <c r="N196" s="579"/>
      <c r="O196" s="579"/>
      <c r="P196" s="579"/>
      <c r="Q196" s="579"/>
      <c r="R196" s="579"/>
      <c r="S196" s="579"/>
      <c r="T196" s="579"/>
      <c r="U196" s="575"/>
      <c r="V196" s="575">
        <v>1</v>
      </c>
      <c r="W196" s="575">
        <v>1</v>
      </c>
      <c r="X196" s="575"/>
      <c r="Y196" s="575"/>
      <c r="Z196" s="575">
        <v>2</v>
      </c>
      <c r="AA196" s="583"/>
    </row>
    <row r="197" spans="1:27" s="584" customFormat="1" x14ac:dyDescent="0.2">
      <c r="A197" s="575"/>
      <c r="B197" s="575"/>
      <c r="C197" s="583"/>
      <c r="D197" s="571"/>
      <c r="E197" s="576">
        <v>383.33499999999998</v>
      </c>
      <c r="F197" s="576">
        <f>+CEILING(E197,5)</f>
        <v>385</v>
      </c>
      <c r="G197" s="577"/>
      <c r="H197" s="575">
        <f>F197*36</f>
        <v>13860</v>
      </c>
      <c r="I197" s="577">
        <f>F197</f>
        <v>385</v>
      </c>
      <c r="J197" s="582"/>
      <c r="K197" s="578"/>
      <c r="L197" s="578"/>
      <c r="M197" s="578"/>
      <c r="N197" s="579"/>
      <c r="O197" s="579"/>
      <c r="P197" s="579"/>
      <c r="Q197" s="579"/>
      <c r="R197" s="578">
        <v>36</v>
      </c>
      <c r="S197" s="579"/>
      <c r="T197" s="579"/>
      <c r="U197" s="575"/>
      <c r="V197" s="575"/>
      <c r="W197" s="575"/>
      <c r="X197" s="575"/>
      <c r="Y197" s="575"/>
      <c r="Z197" s="575"/>
      <c r="AA197" s="585"/>
    </row>
    <row r="198" spans="1:27" s="584" customFormat="1" x14ac:dyDescent="0.2">
      <c r="A198" s="575">
        <f>A196+1</f>
        <v>96</v>
      </c>
      <c r="B198" s="572" t="s">
        <v>497</v>
      </c>
      <c r="C198" s="571" t="s">
        <v>239</v>
      </c>
      <c r="D198" s="571" t="s">
        <v>1084</v>
      </c>
      <c r="E198" s="576"/>
      <c r="F198" s="576"/>
      <c r="G198" s="577"/>
      <c r="H198" s="575"/>
      <c r="I198" s="577"/>
      <c r="J198" s="578">
        <v>48</v>
      </c>
      <c r="K198" s="582"/>
      <c r="L198" s="578">
        <v>12</v>
      </c>
      <c r="M198" s="582"/>
      <c r="N198" s="575"/>
      <c r="O198" s="575"/>
      <c r="P198" s="575"/>
      <c r="Q198" s="575"/>
      <c r="R198" s="579"/>
      <c r="S198" s="575">
        <v>30</v>
      </c>
      <c r="T198" s="575"/>
      <c r="U198" s="575">
        <v>2</v>
      </c>
      <c r="V198" s="575"/>
      <c r="W198" s="575">
        <v>2</v>
      </c>
      <c r="X198" s="575"/>
      <c r="Y198" s="575"/>
      <c r="Z198" s="575">
        <v>4</v>
      </c>
      <c r="AA198" s="583"/>
    </row>
    <row r="199" spans="1:27" s="584" customFormat="1" x14ac:dyDescent="0.2">
      <c r="A199" s="575"/>
      <c r="B199" s="575"/>
      <c r="C199" s="583"/>
      <c r="D199" s="571"/>
      <c r="E199" s="576">
        <v>404.58699999999999</v>
      </c>
      <c r="F199" s="576">
        <f>+CEILING(E199,5)</f>
        <v>405</v>
      </c>
      <c r="G199" s="577"/>
      <c r="H199" s="575">
        <f>F199*36</f>
        <v>14580</v>
      </c>
      <c r="I199" s="577">
        <f>F199</f>
        <v>405</v>
      </c>
      <c r="J199" s="582"/>
      <c r="K199" s="578"/>
      <c r="L199" s="578"/>
      <c r="M199" s="578"/>
      <c r="N199" s="579"/>
      <c r="O199" s="579"/>
      <c r="P199" s="579"/>
      <c r="Q199" s="579"/>
      <c r="R199" s="578">
        <v>42</v>
      </c>
      <c r="S199" s="579"/>
      <c r="T199" s="579"/>
      <c r="U199" s="575"/>
      <c r="V199" s="575"/>
      <c r="W199" s="575"/>
      <c r="X199" s="575"/>
      <c r="Y199" s="575"/>
      <c r="Z199" s="575"/>
      <c r="AA199" s="585"/>
    </row>
    <row r="200" spans="1:27" s="584" customFormat="1" x14ac:dyDescent="0.2">
      <c r="A200" s="575">
        <f>A198+1</f>
        <v>97</v>
      </c>
      <c r="B200" s="575" t="s">
        <v>498</v>
      </c>
      <c r="C200" s="583" t="s">
        <v>20</v>
      </c>
      <c r="D200" s="571"/>
      <c r="E200" s="576"/>
      <c r="F200" s="576"/>
      <c r="G200" s="577"/>
      <c r="H200" s="575"/>
      <c r="I200" s="577"/>
      <c r="J200" s="582"/>
      <c r="K200" s="578">
        <f>(M200*4+N200*2)/2</f>
        <v>12</v>
      </c>
      <c r="L200" s="578"/>
      <c r="M200" s="578">
        <v>6</v>
      </c>
      <c r="N200" s="579"/>
      <c r="O200" s="579"/>
      <c r="P200" s="579"/>
      <c r="Q200" s="579"/>
      <c r="R200" s="579"/>
      <c r="S200" s="579"/>
      <c r="T200" s="579"/>
      <c r="U200" s="575"/>
      <c r="V200" s="575">
        <v>1</v>
      </c>
      <c r="W200" s="575">
        <v>1</v>
      </c>
      <c r="X200" s="575"/>
      <c r="Y200" s="575"/>
      <c r="Z200" s="575">
        <v>2</v>
      </c>
      <c r="AA200" s="583"/>
    </row>
    <row r="201" spans="1:27" s="584" customFormat="1" x14ac:dyDescent="0.2">
      <c r="A201" s="575"/>
      <c r="B201" s="575"/>
      <c r="C201" s="583"/>
      <c r="D201" s="571"/>
      <c r="E201" s="576">
        <v>413.327</v>
      </c>
      <c r="F201" s="576">
        <f>+CEILING(E201,5)</f>
        <v>415</v>
      </c>
      <c r="G201" s="577"/>
      <c r="H201" s="575">
        <f>F201*36</f>
        <v>14940</v>
      </c>
      <c r="I201" s="577">
        <f>F201</f>
        <v>415</v>
      </c>
      <c r="J201" s="582"/>
      <c r="K201" s="578"/>
      <c r="L201" s="582"/>
      <c r="M201" s="578"/>
      <c r="N201" s="579"/>
      <c r="O201" s="579"/>
      <c r="P201" s="579"/>
      <c r="Q201" s="579"/>
      <c r="R201" s="578">
        <v>42</v>
      </c>
      <c r="S201" s="579"/>
      <c r="T201" s="579"/>
      <c r="U201" s="575"/>
      <c r="V201" s="575"/>
      <c r="W201" s="575"/>
      <c r="X201" s="575"/>
      <c r="Y201" s="575"/>
      <c r="Z201" s="575"/>
      <c r="AA201" s="583"/>
    </row>
    <row r="202" spans="1:27" s="584" customFormat="1" x14ac:dyDescent="0.2">
      <c r="A202" s="575">
        <f>A200+1</f>
        <v>98</v>
      </c>
      <c r="B202" s="572" t="s">
        <v>499</v>
      </c>
      <c r="C202" s="571" t="s">
        <v>239</v>
      </c>
      <c r="D202" s="571" t="s">
        <v>1085</v>
      </c>
      <c r="E202" s="576"/>
      <c r="F202" s="576"/>
      <c r="G202" s="577"/>
      <c r="H202" s="575"/>
      <c r="I202" s="577"/>
      <c r="J202" s="578">
        <v>48</v>
      </c>
      <c r="K202" s="582"/>
      <c r="L202" s="578">
        <v>12</v>
      </c>
      <c r="M202" s="582"/>
      <c r="N202" s="575"/>
      <c r="O202" s="575"/>
      <c r="P202" s="575"/>
      <c r="Q202" s="575"/>
      <c r="R202" s="579"/>
      <c r="S202" s="575">
        <v>30</v>
      </c>
      <c r="T202" s="575"/>
      <c r="U202" s="575">
        <v>2</v>
      </c>
      <c r="V202" s="575"/>
      <c r="W202" s="575">
        <v>2</v>
      </c>
      <c r="X202" s="575"/>
      <c r="Y202" s="575"/>
      <c r="Z202" s="575">
        <v>4</v>
      </c>
      <c r="AA202" s="583"/>
    </row>
    <row r="203" spans="1:27" s="584" customFormat="1" x14ac:dyDescent="0.2">
      <c r="A203" s="575"/>
      <c r="B203" s="575"/>
      <c r="C203" s="583"/>
      <c r="D203" s="571"/>
      <c r="E203" s="576">
        <v>354.28199999999998</v>
      </c>
      <c r="F203" s="576">
        <f>+CEILING(E203,5)</f>
        <v>355</v>
      </c>
      <c r="G203" s="577"/>
      <c r="H203" s="575">
        <f>F203*36</f>
        <v>12780</v>
      </c>
      <c r="I203" s="577">
        <f>F203</f>
        <v>355</v>
      </c>
      <c r="J203" s="582"/>
      <c r="K203" s="578"/>
      <c r="L203" s="578"/>
      <c r="M203" s="578"/>
      <c r="N203" s="579"/>
      <c r="O203" s="579"/>
      <c r="P203" s="579"/>
      <c r="Q203" s="579"/>
      <c r="R203" s="578">
        <v>36</v>
      </c>
      <c r="S203" s="579"/>
      <c r="T203" s="579"/>
      <c r="U203" s="575"/>
      <c r="V203" s="575"/>
      <c r="W203" s="575"/>
      <c r="X203" s="575"/>
      <c r="Y203" s="575"/>
      <c r="Z203" s="575"/>
      <c r="AA203" s="583"/>
    </row>
    <row r="204" spans="1:27" s="584" customFormat="1" x14ac:dyDescent="0.2">
      <c r="A204" s="575">
        <f>A202+1</f>
        <v>99</v>
      </c>
      <c r="B204" s="575" t="s">
        <v>500</v>
      </c>
      <c r="C204" s="583" t="s">
        <v>231</v>
      </c>
      <c r="D204" s="571"/>
      <c r="E204" s="576"/>
      <c r="F204" s="576"/>
      <c r="G204" s="577"/>
      <c r="H204" s="575"/>
      <c r="I204" s="577"/>
      <c r="J204" s="582"/>
      <c r="K204" s="578">
        <f>(M204*4+N204*2)/2</f>
        <v>12</v>
      </c>
      <c r="L204" s="578"/>
      <c r="M204" s="578">
        <v>6</v>
      </c>
      <c r="N204" s="579"/>
      <c r="O204" s="579"/>
      <c r="P204" s="579"/>
      <c r="Q204" s="579"/>
      <c r="R204" s="579"/>
      <c r="S204" s="579"/>
      <c r="T204" s="579"/>
      <c r="U204" s="575"/>
      <c r="V204" s="575">
        <v>1</v>
      </c>
      <c r="W204" s="575">
        <v>1</v>
      </c>
      <c r="X204" s="575"/>
      <c r="Y204" s="575"/>
      <c r="Z204" s="575">
        <v>2</v>
      </c>
      <c r="AA204" s="583"/>
    </row>
    <row r="205" spans="1:27" s="584" customFormat="1" x14ac:dyDescent="0.2">
      <c r="A205" s="575"/>
      <c r="B205" s="575"/>
      <c r="C205" s="583"/>
      <c r="D205" s="571"/>
      <c r="E205" s="576">
        <v>424.28199999999998</v>
      </c>
      <c r="F205" s="576">
        <f>+CEILING(E205,5)</f>
        <v>425</v>
      </c>
      <c r="G205" s="577"/>
      <c r="H205" s="575">
        <f>F205*36</f>
        <v>15300</v>
      </c>
      <c r="I205" s="577">
        <f>F205</f>
        <v>425</v>
      </c>
      <c r="J205" s="582"/>
      <c r="K205" s="578"/>
      <c r="L205" s="578"/>
      <c r="M205" s="578"/>
      <c r="N205" s="579"/>
      <c r="O205" s="579"/>
      <c r="P205" s="579"/>
      <c r="Q205" s="579"/>
      <c r="R205" s="578">
        <v>42</v>
      </c>
      <c r="S205" s="579"/>
      <c r="T205" s="579"/>
      <c r="U205" s="575"/>
      <c r="V205" s="575"/>
      <c r="W205" s="575"/>
      <c r="X205" s="575"/>
      <c r="Y205" s="575"/>
      <c r="Z205" s="575"/>
      <c r="AA205" s="583"/>
    </row>
    <row r="206" spans="1:27" s="584" customFormat="1" x14ac:dyDescent="0.2">
      <c r="A206" s="575">
        <f>A204+1</f>
        <v>100</v>
      </c>
      <c r="B206" s="575" t="s">
        <v>501</v>
      </c>
      <c r="C206" s="583" t="s">
        <v>231</v>
      </c>
      <c r="D206" s="571"/>
      <c r="E206" s="576"/>
      <c r="F206" s="576"/>
      <c r="G206" s="577"/>
      <c r="H206" s="575"/>
      <c r="I206" s="577"/>
      <c r="J206" s="582"/>
      <c r="K206" s="578">
        <f>(M206*4+N206*2)/2</f>
        <v>12</v>
      </c>
      <c r="L206" s="578"/>
      <c r="M206" s="578">
        <v>6</v>
      </c>
      <c r="N206" s="579"/>
      <c r="O206" s="579"/>
      <c r="P206" s="579"/>
      <c r="Q206" s="579"/>
      <c r="R206" s="579"/>
      <c r="S206" s="579"/>
      <c r="T206" s="579"/>
      <c r="U206" s="575"/>
      <c r="V206" s="575">
        <v>1</v>
      </c>
      <c r="W206" s="575">
        <v>1</v>
      </c>
      <c r="X206" s="575"/>
      <c r="Y206" s="575"/>
      <c r="Z206" s="575">
        <v>2</v>
      </c>
      <c r="AA206" s="583"/>
    </row>
    <row r="207" spans="1:27" s="584" customFormat="1" x14ac:dyDescent="0.2">
      <c r="A207" s="575"/>
      <c r="B207" s="575"/>
      <c r="C207" s="583"/>
      <c r="D207" s="571"/>
      <c r="E207" s="576">
        <v>340.31099999999998</v>
      </c>
      <c r="F207" s="576">
        <f>+CEILING(E207,5)</f>
        <v>345</v>
      </c>
      <c r="G207" s="577"/>
      <c r="H207" s="575">
        <f>F207*36</f>
        <v>12420</v>
      </c>
      <c r="I207" s="577">
        <f>F207</f>
        <v>345</v>
      </c>
      <c r="J207" s="582"/>
      <c r="K207" s="578"/>
      <c r="L207" s="582"/>
      <c r="M207" s="578"/>
      <c r="N207" s="575"/>
      <c r="O207" s="575"/>
      <c r="P207" s="575"/>
      <c r="Q207" s="575"/>
      <c r="R207" s="578">
        <v>36</v>
      </c>
      <c r="S207" s="575"/>
      <c r="T207" s="575"/>
      <c r="U207" s="575"/>
      <c r="V207" s="575"/>
      <c r="W207" s="575"/>
      <c r="X207" s="575"/>
      <c r="Y207" s="575"/>
      <c r="Z207" s="575"/>
      <c r="AA207" s="583"/>
    </row>
    <row r="208" spans="1:27" s="584" customFormat="1" x14ac:dyDescent="0.2">
      <c r="A208" s="575">
        <f>A206+1</f>
        <v>101</v>
      </c>
      <c r="B208" s="575" t="s">
        <v>173</v>
      </c>
      <c r="C208" s="583" t="s">
        <v>20</v>
      </c>
      <c r="D208" s="571"/>
      <c r="E208" s="576"/>
      <c r="F208" s="576"/>
      <c r="G208" s="577"/>
      <c r="H208" s="575"/>
      <c r="I208" s="577"/>
      <c r="J208" s="582"/>
      <c r="K208" s="578">
        <f>(M208*4+N208*2)/2</f>
        <v>12</v>
      </c>
      <c r="L208" s="578"/>
      <c r="M208" s="578">
        <v>6</v>
      </c>
      <c r="N208" s="579"/>
      <c r="O208" s="579"/>
      <c r="P208" s="579"/>
      <c r="Q208" s="579"/>
      <c r="R208" s="579"/>
      <c r="S208" s="579"/>
      <c r="T208" s="579"/>
      <c r="U208" s="575"/>
      <c r="V208" s="575">
        <v>1</v>
      </c>
      <c r="W208" s="575">
        <v>1</v>
      </c>
      <c r="X208" s="575"/>
      <c r="Y208" s="575"/>
      <c r="Z208" s="575">
        <v>2</v>
      </c>
      <c r="AA208" s="583"/>
    </row>
    <row r="209" spans="1:27" s="584" customFormat="1" x14ac:dyDescent="0.2">
      <c r="A209" s="575"/>
      <c r="B209" s="575"/>
      <c r="C209" s="583"/>
      <c r="D209" s="571"/>
      <c r="E209" s="576">
        <v>404.64800000000002</v>
      </c>
      <c r="F209" s="576">
        <f>+CEILING(E209,5)</f>
        <v>405</v>
      </c>
      <c r="G209" s="577"/>
      <c r="H209" s="575">
        <f>F209*36</f>
        <v>14580</v>
      </c>
      <c r="I209" s="577">
        <f>F209</f>
        <v>405</v>
      </c>
      <c r="J209" s="582"/>
      <c r="K209" s="578"/>
      <c r="L209" s="578"/>
      <c r="M209" s="578"/>
      <c r="N209" s="579"/>
      <c r="O209" s="579"/>
      <c r="P209" s="579"/>
      <c r="Q209" s="579"/>
      <c r="R209" s="578">
        <v>42</v>
      </c>
      <c r="S209" s="579"/>
      <c r="T209" s="579"/>
      <c r="U209" s="575"/>
      <c r="V209" s="575"/>
      <c r="W209" s="575"/>
      <c r="X209" s="575"/>
      <c r="Y209" s="575"/>
      <c r="Z209" s="575"/>
      <c r="AA209" s="583"/>
    </row>
    <row r="210" spans="1:27" s="584" customFormat="1" x14ac:dyDescent="0.2">
      <c r="A210" s="575">
        <f>A208+1</f>
        <v>102</v>
      </c>
      <c r="B210" s="575" t="s">
        <v>174</v>
      </c>
      <c r="C210" s="583" t="s">
        <v>231</v>
      </c>
      <c r="D210" s="571"/>
      <c r="E210" s="576"/>
      <c r="F210" s="576"/>
      <c r="G210" s="577"/>
      <c r="H210" s="575"/>
      <c r="I210" s="577"/>
      <c r="J210" s="582"/>
      <c r="K210" s="578">
        <f>(M210*4+N210*2)/2</f>
        <v>12</v>
      </c>
      <c r="L210" s="578"/>
      <c r="M210" s="578">
        <v>6</v>
      </c>
      <c r="N210" s="579"/>
      <c r="O210" s="579"/>
      <c r="P210" s="579"/>
      <c r="Q210" s="579"/>
      <c r="R210" s="579"/>
      <c r="S210" s="579"/>
      <c r="T210" s="579"/>
      <c r="U210" s="575"/>
      <c r="V210" s="575">
        <v>1</v>
      </c>
      <c r="W210" s="575">
        <v>1</v>
      </c>
      <c r="X210" s="575"/>
      <c r="Y210" s="575"/>
      <c r="Z210" s="575">
        <v>2</v>
      </c>
      <c r="AA210" s="583"/>
    </row>
    <row r="211" spans="1:27" s="584" customFormat="1" x14ac:dyDescent="0.2">
      <c r="A211" s="575"/>
      <c r="B211" s="575"/>
      <c r="C211" s="583"/>
      <c r="D211" s="571"/>
      <c r="E211" s="576">
        <v>425.863</v>
      </c>
      <c r="F211" s="576">
        <f>+CEILING(E211,5)</f>
        <v>430</v>
      </c>
      <c r="G211" s="577"/>
      <c r="H211" s="575">
        <f>F211*36</f>
        <v>15480</v>
      </c>
      <c r="I211" s="577">
        <f>F211</f>
        <v>430</v>
      </c>
      <c r="J211" s="582"/>
      <c r="K211" s="578"/>
      <c r="L211" s="578"/>
      <c r="M211" s="578"/>
      <c r="N211" s="579"/>
      <c r="O211" s="579"/>
      <c r="P211" s="579"/>
      <c r="Q211" s="579"/>
      <c r="R211" s="578">
        <v>42</v>
      </c>
      <c r="S211" s="579"/>
      <c r="T211" s="579"/>
      <c r="U211" s="575"/>
      <c r="V211" s="575"/>
      <c r="W211" s="575"/>
      <c r="X211" s="575"/>
      <c r="Y211" s="575"/>
      <c r="Z211" s="575"/>
      <c r="AA211" s="585"/>
    </row>
    <row r="212" spans="1:27" s="584" customFormat="1" x14ac:dyDescent="0.2">
      <c r="A212" s="575">
        <f>A210+1</f>
        <v>103</v>
      </c>
      <c r="B212" s="575" t="s">
        <v>502</v>
      </c>
      <c r="C212" s="583" t="s">
        <v>20</v>
      </c>
      <c r="D212" s="571"/>
      <c r="E212" s="576"/>
      <c r="F212" s="576"/>
      <c r="G212" s="577"/>
      <c r="H212" s="575"/>
      <c r="I212" s="577"/>
      <c r="J212" s="582"/>
      <c r="K212" s="578">
        <f>(M212*4+N212*2)/2</f>
        <v>12</v>
      </c>
      <c r="L212" s="578"/>
      <c r="M212" s="578">
        <v>6</v>
      </c>
      <c r="N212" s="579"/>
      <c r="O212" s="579"/>
      <c r="P212" s="579"/>
      <c r="Q212" s="579"/>
      <c r="R212" s="579"/>
      <c r="S212" s="579"/>
      <c r="T212" s="579"/>
      <c r="U212" s="575"/>
      <c r="V212" s="575">
        <v>1</v>
      </c>
      <c r="W212" s="575">
        <v>1</v>
      </c>
      <c r="X212" s="575"/>
      <c r="Y212" s="575"/>
      <c r="Z212" s="575">
        <v>2</v>
      </c>
      <c r="AA212" s="583"/>
    </row>
    <row r="213" spans="1:27" s="584" customFormat="1" x14ac:dyDescent="0.2">
      <c r="A213" s="575"/>
      <c r="B213" s="575"/>
      <c r="C213" s="583"/>
      <c r="D213" s="571"/>
      <c r="E213" s="576">
        <v>386.77199999999999</v>
      </c>
      <c r="F213" s="576">
        <f>+CEILING(E213,5)</f>
        <v>390</v>
      </c>
      <c r="G213" s="577"/>
      <c r="H213" s="575">
        <f>F213*36</f>
        <v>14040</v>
      </c>
      <c r="I213" s="577">
        <f>F213</f>
        <v>390</v>
      </c>
      <c r="J213" s="582"/>
      <c r="K213" s="578"/>
      <c r="L213" s="578"/>
      <c r="M213" s="578"/>
      <c r="N213" s="579"/>
      <c r="O213" s="579"/>
      <c r="P213" s="579"/>
      <c r="Q213" s="579"/>
      <c r="R213" s="578">
        <v>36</v>
      </c>
      <c r="S213" s="579"/>
      <c r="T213" s="579"/>
      <c r="U213" s="575"/>
      <c r="V213" s="575"/>
      <c r="W213" s="575"/>
      <c r="X213" s="575"/>
      <c r="Y213" s="575"/>
      <c r="Z213" s="575"/>
      <c r="AA213" s="585"/>
    </row>
    <row r="214" spans="1:27" s="584" customFormat="1" x14ac:dyDescent="0.2">
      <c r="A214" s="575">
        <f>A212+1</f>
        <v>104</v>
      </c>
      <c r="B214" s="572" t="s">
        <v>503</v>
      </c>
      <c r="C214" s="571" t="s">
        <v>249</v>
      </c>
      <c r="D214" s="571" t="s">
        <v>1086</v>
      </c>
      <c r="E214" s="576"/>
      <c r="F214" s="576"/>
      <c r="G214" s="577"/>
      <c r="H214" s="575"/>
      <c r="I214" s="577"/>
      <c r="J214" s="578">
        <v>48</v>
      </c>
      <c r="K214" s="582"/>
      <c r="L214" s="578">
        <v>12</v>
      </c>
      <c r="M214" s="582"/>
      <c r="N214" s="575"/>
      <c r="O214" s="575"/>
      <c r="P214" s="575"/>
      <c r="Q214" s="575"/>
      <c r="R214" s="579"/>
      <c r="S214" s="575">
        <v>30</v>
      </c>
      <c r="T214" s="575"/>
      <c r="U214" s="575">
        <v>2</v>
      </c>
      <c r="V214" s="575"/>
      <c r="W214" s="575">
        <v>2</v>
      </c>
      <c r="X214" s="575"/>
      <c r="Y214" s="575"/>
      <c r="Z214" s="575">
        <v>4</v>
      </c>
      <c r="AA214" s="583"/>
    </row>
    <row r="215" spans="1:27" s="584" customFormat="1" x14ac:dyDescent="0.2">
      <c r="A215" s="575"/>
      <c r="B215" s="575"/>
      <c r="C215" s="583"/>
      <c r="D215" s="571"/>
      <c r="E215" s="576">
        <v>393.72399999999999</v>
      </c>
      <c r="F215" s="576">
        <f>+CEILING(E215,5)</f>
        <v>395</v>
      </c>
      <c r="G215" s="577"/>
      <c r="H215" s="575">
        <f>F215*36</f>
        <v>14220</v>
      </c>
      <c r="I215" s="577">
        <f>F215</f>
        <v>395</v>
      </c>
      <c r="J215" s="582"/>
      <c r="K215" s="578"/>
      <c r="L215" s="578"/>
      <c r="M215" s="578"/>
      <c r="N215" s="579"/>
      <c r="O215" s="579"/>
      <c r="P215" s="579"/>
      <c r="Q215" s="579"/>
      <c r="R215" s="578">
        <v>42</v>
      </c>
      <c r="S215" s="579"/>
      <c r="T215" s="579"/>
      <c r="U215" s="575"/>
      <c r="V215" s="575"/>
      <c r="W215" s="575"/>
      <c r="X215" s="575"/>
      <c r="Y215" s="575"/>
      <c r="Z215" s="575"/>
      <c r="AA215" s="583"/>
    </row>
    <row r="216" spans="1:27" s="584" customFormat="1" x14ac:dyDescent="0.2">
      <c r="A216" s="575">
        <f>A214+1</f>
        <v>105</v>
      </c>
      <c r="B216" s="575" t="s">
        <v>504</v>
      </c>
      <c r="C216" s="583" t="s">
        <v>20</v>
      </c>
      <c r="D216" s="571"/>
      <c r="E216" s="576"/>
      <c r="F216" s="576"/>
      <c r="G216" s="577"/>
      <c r="H216" s="575"/>
      <c r="I216" s="577"/>
      <c r="J216" s="582"/>
      <c r="K216" s="578">
        <f>(M216*4+N216*2)/2</f>
        <v>12</v>
      </c>
      <c r="L216" s="578"/>
      <c r="M216" s="578">
        <v>6</v>
      </c>
      <c r="N216" s="579"/>
      <c r="O216" s="579"/>
      <c r="P216" s="579"/>
      <c r="Q216" s="579"/>
      <c r="R216" s="579"/>
      <c r="S216" s="579"/>
      <c r="T216" s="579"/>
      <c r="U216" s="575"/>
      <c r="V216" s="575">
        <v>1</v>
      </c>
      <c r="W216" s="575">
        <v>1</v>
      </c>
      <c r="X216" s="575"/>
      <c r="Y216" s="575"/>
      <c r="Z216" s="575">
        <v>2</v>
      </c>
      <c r="AA216" s="583"/>
    </row>
    <row r="217" spans="1:27" s="584" customFormat="1" x14ac:dyDescent="0.2">
      <c r="A217" s="575"/>
      <c r="B217" s="575"/>
      <c r="C217" s="583"/>
      <c r="D217" s="571"/>
      <c r="E217" s="576">
        <v>415.88600000000002</v>
      </c>
      <c r="F217" s="576">
        <f>+CEILING(E217,5)</f>
        <v>420</v>
      </c>
      <c r="G217" s="577"/>
      <c r="H217" s="575">
        <f>F217*36</f>
        <v>15120</v>
      </c>
      <c r="I217" s="577">
        <f>F217</f>
        <v>420</v>
      </c>
      <c r="J217" s="582"/>
      <c r="K217" s="578"/>
      <c r="L217" s="578"/>
      <c r="M217" s="578"/>
      <c r="N217" s="579"/>
      <c r="O217" s="579"/>
      <c r="P217" s="579"/>
      <c r="Q217" s="579"/>
      <c r="R217" s="578">
        <v>42</v>
      </c>
      <c r="S217" s="579"/>
      <c r="T217" s="579"/>
      <c r="U217" s="575"/>
      <c r="V217" s="575"/>
      <c r="W217" s="575"/>
      <c r="X217" s="575"/>
      <c r="Y217" s="575"/>
      <c r="Z217" s="575"/>
      <c r="AA217" s="583"/>
    </row>
    <row r="218" spans="1:27" s="584" customFormat="1" x14ac:dyDescent="0.2">
      <c r="A218" s="575">
        <f>A216+1</f>
        <v>106</v>
      </c>
      <c r="B218" s="575" t="s">
        <v>505</v>
      </c>
      <c r="C218" s="583" t="s">
        <v>232</v>
      </c>
      <c r="D218" s="571"/>
      <c r="E218" s="576"/>
      <c r="F218" s="576"/>
      <c r="G218" s="577"/>
      <c r="H218" s="575"/>
      <c r="I218" s="577"/>
      <c r="J218" s="582"/>
      <c r="K218" s="578">
        <f>(M218*4+N218*2)/2</f>
        <v>12</v>
      </c>
      <c r="L218" s="578"/>
      <c r="M218" s="578">
        <v>6</v>
      </c>
      <c r="N218" s="579"/>
      <c r="O218" s="579"/>
      <c r="P218" s="579"/>
      <c r="Q218" s="579"/>
      <c r="R218" s="579"/>
      <c r="S218" s="579"/>
      <c r="T218" s="579"/>
      <c r="U218" s="575"/>
      <c r="V218" s="575">
        <v>1</v>
      </c>
      <c r="W218" s="575">
        <v>1</v>
      </c>
      <c r="X218" s="575"/>
      <c r="Y218" s="575"/>
      <c r="Z218" s="575">
        <v>2</v>
      </c>
      <c r="AA218" s="583"/>
    </row>
    <row r="219" spans="1:27" s="584" customFormat="1" x14ac:dyDescent="0.2">
      <c r="A219" s="575"/>
      <c r="B219" s="575"/>
      <c r="C219" s="583"/>
      <c r="D219" s="571"/>
      <c r="E219" s="576">
        <v>422.815</v>
      </c>
      <c r="F219" s="576">
        <f>+CEILING(E219,5)</f>
        <v>425</v>
      </c>
      <c r="G219" s="577"/>
      <c r="H219" s="575">
        <f>F219*36</f>
        <v>15300</v>
      </c>
      <c r="I219" s="577">
        <f>F219</f>
        <v>425</v>
      </c>
      <c r="J219" s="582"/>
      <c r="K219" s="578"/>
      <c r="L219" s="578"/>
      <c r="M219" s="578"/>
      <c r="N219" s="579"/>
      <c r="O219" s="579"/>
      <c r="P219" s="579"/>
      <c r="Q219" s="579"/>
      <c r="R219" s="578">
        <v>42</v>
      </c>
      <c r="S219" s="579"/>
      <c r="T219" s="579"/>
      <c r="U219" s="575"/>
      <c r="V219" s="575"/>
      <c r="W219" s="575"/>
      <c r="X219" s="575"/>
      <c r="Y219" s="575"/>
      <c r="Z219" s="575"/>
      <c r="AA219" s="583"/>
    </row>
    <row r="220" spans="1:27" s="584" customFormat="1" x14ac:dyDescent="0.2">
      <c r="A220" s="575">
        <f>A218+1</f>
        <v>107</v>
      </c>
      <c r="B220" s="575" t="s">
        <v>506</v>
      </c>
      <c r="C220" s="583" t="s">
        <v>231</v>
      </c>
      <c r="D220" s="571"/>
      <c r="E220" s="576"/>
      <c r="F220" s="576"/>
      <c r="G220" s="577"/>
      <c r="H220" s="575"/>
      <c r="I220" s="577"/>
      <c r="J220" s="582"/>
      <c r="K220" s="578">
        <f>(M220*4+N220*2)/2</f>
        <v>12</v>
      </c>
      <c r="L220" s="578"/>
      <c r="M220" s="578">
        <v>6</v>
      </c>
      <c r="N220" s="579"/>
      <c r="O220" s="579"/>
      <c r="P220" s="579"/>
      <c r="Q220" s="579"/>
      <c r="R220" s="579"/>
      <c r="S220" s="579"/>
      <c r="T220" s="579"/>
      <c r="U220" s="575"/>
      <c r="V220" s="575">
        <v>1</v>
      </c>
      <c r="W220" s="575">
        <v>1</v>
      </c>
      <c r="X220" s="575"/>
      <c r="Y220" s="575"/>
      <c r="Z220" s="575">
        <v>2</v>
      </c>
      <c r="AA220" s="583"/>
    </row>
    <row r="221" spans="1:27" s="584" customFormat="1" x14ac:dyDescent="0.2">
      <c r="A221" s="575"/>
      <c r="B221" s="575"/>
      <c r="C221" s="583"/>
      <c r="D221" s="571"/>
      <c r="E221" s="576">
        <v>409.88900000000001</v>
      </c>
      <c r="F221" s="576">
        <f>+CEILING(E221,5)</f>
        <v>410</v>
      </c>
      <c r="G221" s="577"/>
      <c r="H221" s="575">
        <f>F221*36</f>
        <v>14760</v>
      </c>
      <c r="I221" s="577">
        <f>F221</f>
        <v>410</v>
      </c>
      <c r="J221" s="582"/>
      <c r="K221" s="578"/>
      <c r="L221" s="582"/>
      <c r="M221" s="578"/>
      <c r="N221" s="579"/>
      <c r="O221" s="579"/>
      <c r="P221" s="579"/>
      <c r="Q221" s="579"/>
      <c r="R221" s="578">
        <v>42</v>
      </c>
      <c r="S221" s="579"/>
      <c r="T221" s="579"/>
      <c r="U221" s="575"/>
      <c r="V221" s="575"/>
      <c r="W221" s="575"/>
      <c r="X221" s="575"/>
      <c r="Y221" s="575"/>
      <c r="Z221" s="575"/>
      <c r="AA221" s="583"/>
    </row>
    <row r="222" spans="1:27" s="584" customFormat="1" x14ac:dyDescent="0.2">
      <c r="A222" s="575">
        <f>A220+1</f>
        <v>108</v>
      </c>
      <c r="B222" s="575" t="s">
        <v>507</v>
      </c>
      <c r="C222" s="583" t="s">
        <v>20</v>
      </c>
      <c r="D222" s="571"/>
      <c r="E222" s="576"/>
      <c r="F222" s="576"/>
      <c r="G222" s="577"/>
      <c r="H222" s="575"/>
      <c r="I222" s="577"/>
      <c r="J222" s="582"/>
      <c r="K222" s="578">
        <f>(M222*4+N222*2)/2</f>
        <v>12</v>
      </c>
      <c r="L222" s="578"/>
      <c r="M222" s="578">
        <v>6</v>
      </c>
      <c r="N222" s="579"/>
      <c r="O222" s="579"/>
      <c r="P222" s="579"/>
      <c r="Q222" s="579"/>
      <c r="R222" s="579"/>
      <c r="S222" s="579"/>
      <c r="T222" s="579"/>
      <c r="U222" s="575"/>
      <c r="V222" s="575">
        <v>1</v>
      </c>
      <c r="W222" s="575">
        <v>1</v>
      </c>
      <c r="X222" s="575"/>
      <c r="Y222" s="575"/>
      <c r="Z222" s="575">
        <v>2</v>
      </c>
      <c r="AA222" s="583"/>
    </row>
    <row r="223" spans="1:27" s="584" customFormat="1" x14ac:dyDescent="0.2">
      <c r="A223" s="575"/>
      <c r="B223" s="575"/>
      <c r="C223" s="583"/>
      <c r="D223" s="571"/>
      <c r="E223" s="576">
        <v>425.33600000000001</v>
      </c>
      <c r="F223" s="576">
        <f>+CEILING(E223,5)</f>
        <v>430</v>
      </c>
      <c r="G223" s="577"/>
      <c r="H223" s="575">
        <f>F223*36</f>
        <v>15480</v>
      </c>
      <c r="I223" s="577">
        <f>F223</f>
        <v>430</v>
      </c>
      <c r="J223" s="582"/>
      <c r="K223" s="578"/>
      <c r="L223" s="578"/>
      <c r="M223" s="578"/>
      <c r="N223" s="579"/>
      <c r="O223" s="579"/>
      <c r="P223" s="579"/>
      <c r="Q223" s="579"/>
      <c r="R223" s="578">
        <v>42</v>
      </c>
      <c r="S223" s="579"/>
      <c r="T223" s="579"/>
      <c r="U223" s="575"/>
      <c r="V223" s="575"/>
      <c r="W223" s="575"/>
      <c r="X223" s="575"/>
      <c r="Y223" s="575"/>
      <c r="Z223" s="575"/>
      <c r="AA223" s="583"/>
    </row>
    <row r="224" spans="1:27" s="584" customFormat="1" x14ac:dyDescent="0.2">
      <c r="A224" s="575">
        <f>A222+1</f>
        <v>109</v>
      </c>
      <c r="B224" s="575" t="s">
        <v>508</v>
      </c>
      <c r="C224" s="583" t="s">
        <v>20</v>
      </c>
      <c r="D224" s="571"/>
      <c r="E224" s="576"/>
      <c r="F224" s="576"/>
      <c r="G224" s="577"/>
      <c r="H224" s="575"/>
      <c r="I224" s="577"/>
      <c r="J224" s="582"/>
      <c r="K224" s="578">
        <f>(M224*4+N224*2)/2</f>
        <v>12</v>
      </c>
      <c r="L224" s="578"/>
      <c r="M224" s="578">
        <v>6</v>
      </c>
      <c r="N224" s="579"/>
      <c r="O224" s="579"/>
      <c r="P224" s="579"/>
      <c r="Q224" s="579"/>
      <c r="R224" s="579"/>
      <c r="S224" s="579"/>
      <c r="T224" s="579"/>
      <c r="U224" s="575"/>
      <c r="V224" s="575">
        <v>1</v>
      </c>
      <c r="W224" s="575">
        <v>1</v>
      </c>
      <c r="X224" s="575"/>
      <c r="Y224" s="575"/>
      <c r="Z224" s="575">
        <v>2</v>
      </c>
      <c r="AA224" s="583"/>
    </row>
    <row r="225" spans="1:27" s="584" customFormat="1" x14ac:dyDescent="0.2">
      <c r="A225" s="575"/>
      <c r="B225" s="575"/>
      <c r="C225" s="583"/>
      <c r="D225" s="571"/>
      <c r="E225" s="576">
        <v>383.43200000000002</v>
      </c>
      <c r="F225" s="576">
        <f>+CEILING(E225,5)</f>
        <v>385</v>
      </c>
      <c r="G225" s="577"/>
      <c r="H225" s="575">
        <f>F225*36</f>
        <v>13860</v>
      </c>
      <c r="I225" s="577">
        <f>F225</f>
        <v>385</v>
      </c>
      <c r="J225" s="582"/>
      <c r="K225" s="578"/>
      <c r="L225" s="578"/>
      <c r="M225" s="578"/>
      <c r="N225" s="579"/>
      <c r="O225" s="579"/>
      <c r="P225" s="579"/>
      <c r="Q225" s="579"/>
      <c r="R225" s="578">
        <v>36</v>
      </c>
      <c r="S225" s="579"/>
      <c r="T225" s="579"/>
      <c r="U225" s="575"/>
      <c r="V225" s="575"/>
      <c r="W225" s="575"/>
      <c r="X225" s="575"/>
      <c r="Y225" s="575"/>
      <c r="Z225" s="575"/>
      <c r="AA225" s="583"/>
    </row>
    <row r="226" spans="1:27" s="584" customFormat="1" x14ac:dyDescent="0.2">
      <c r="A226" s="575">
        <f>A224+1</f>
        <v>110</v>
      </c>
      <c r="B226" s="572" t="s">
        <v>509</v>
      </c>
      <c r="C226" s="571" t="s">
        <v>244</v>
      </c>
      <c r="D226" s="571" t="s">
        <v>1087</v>
      </c>
      <c r="E226" s="576"/>
      <c r="F226" s="576"/>
      <c r="G226" s="577"/>
      <c r="H226" s="575"/>
      <c r="I226" s="577"/>
      <c r="J226" s="578">
        <v>48</v>
      </c>
      <c r="K226" s="582"/>
      <c r="L226" s="578">
        <v>12</v>
      </c>
      <c r="M226" s="582"/>
      <c r="N226" s="575"/>
      <c r="O226" s="575"/>
      <c r="P226" s="575"/>
      <c r="Q226" s="575"/>
      <c r="R226" s="579"/>
      <c r="S226" s="575">
        <v>30</v>
      </c>
      <c r="T226" s="575"/>
      <c r="U226" s="575">
        <v>2</v>
      </c>
      <c r="V226" s="575"/>
      <c r="W226" s="575">
        <v>2</v>
      </c>
      <c r="X226" s="575"/>
      <c r="Y226" s="575"/>
      <c r="Z226" s="575">
        <v>4</v>
      </c>
      <c r="AA226" s="583"/>
    </row>
    <row r="227" spans="1:27" s="584" customFormat="1" x14ac:dyDescent="0.2">
      <c r="A227" s="575"/>
      <c r="B227" s="575"/>
      <c r="C227" s="583"/>
      <c r="D227" s="571"/>
      <c r="E227" s="576">
        <v>372.84399999999999</v>
      </c>
      <c r="F227" s="576">
        <f>+CEILING(E227,5)</f>
        <v>375</v>
      </c>
      <c r="G227" s="577"/>
      <c r="H227" s="575">
        <f>F227*36</f>
        <v>13500</v>
      </c>
      <c r="I227" s="577">
        <f>F227</f>
        <v>375</v>
      </c>
      <c r="J227" s="582"/>
      <c r="K227" s="578"/>
      <c r="L227" s="578"/>
      <c r="M227" s="578"/>
      <c r="N227" s="579"/>
      <c r="O227" s="579"/>
      <c r="P227" s="579"/>
      <c r="Q227" s="579"/>
      <c r="R227" s="578">
        <v>36</v>
      </c>
      <c r="S227" s="579"/>
      <c r="T227" s="579"/>
      <c r="U227" s="575"/>
      <c r="V227" s="575"/>
      <c r="W227" s="575"/>
      <c r="X227" s="575"/>
      <c r="Y227" s="575"/>
      <c r="Z227" s="575"/>
      <c r="AA227" s="583"/>
    </row>
    <row r="228" spans="1:27" s="584" customFormat="1" x14ac:dyDescent="0.2">
      <c r="A228" s="575">
        <f>A226+1</f>
        <v>111</v>
      </c>
      <c r="B228" s="575" t="s">
        <v>510</v>
      </c>
      <c r="C228" s="583" t="s">
        <v>231</v>
      </c>
      <c r="D228" s="571"/>
      <c r="E228" s="576"/>
      <c r="F228" s="576"/>
      <c r="G228" s="577"/>
      <c r="H228" s="575"/>
      <c r="I228" s="577"/>
      <c r="J228" s="582"/>
      <c r="K228" s="578">
        <f>(M228*4+N228*2)/2</f>
        <v>12</v>
      </c>
      <c r="L228" s="578"/>
      <c r="M228" s="578">
        <v>6</v>
      </c>
      <c r="N228" s="579"/>
      <c r="O228" s="579"/>
      <c r="P228" s="579"/>
      <c r="Q228" s="579"/>
      <c r="R228" s="579"/>
      <c r="S228" s="579"/>
      <c r="T228" s="579"/>
      <c r="U228" s="575"/>
      <c r="V228" s="575">
        <v>1</v>
      </c>
      <c r="W228" s="575">
        <v>1</v>
      </c>
      <c r="X228" s="575"/>
      <c r="Y228" s="575"/>
      <c r="Z228" s="575">
        <v>2</v>
      </c>
      <c r="AA228" s="583"/>
    </row>
    <row r="229" spans="1:27" s="584" customFormat="1" x14ac:dyDescent="0.2">
      <c r="A229" s="575"/>
      <c r="B229" s="575"/>
      <c r="C229" s="583"/>
      <c r="D229" s="571"/>
      <c r="E229" s="576">
        <v>379.803</v>
      </c>
      <c r="F229" s="576">
        <f>+CEILING(E229,5)</f>
        <v>380</v>
      </c>
      <c r="G229" s="577"/>
      <c r="H229" s="575">
        <f>F229*36</f>
        <v>13680</v>
      </c>
      <c r="I229" s="577">
        <f>F229</f>
        <v>380</v>
      </c>
      <c r="J229" s="582"/>
      <c r="K229" s="578"/>
      <c r="L229" s="578"/>
      <c r="M229" s="578"/>
      <c r="N229" s="579"/>
      <c r="O229" s="579"/>
      <c r="P229" s="579"/>
      <c r="Q229" s="579"/>
      <c r="R229" s="578">
        <v>36</v>
      </c>
      <c r="S229" s="579"/>
      <c r="T229" s="579"/>
      <c r="U229" s="575"/>
      <c r="V229" s="575"/>
      <c r="W229" s="575"/>
      <c r="X229" s="575"/>
      <c r="Y229" s="575"/>
      <c r="Z229" s="575"/>
      <c r="AA229" s="583"/>
    </row>
    <row r="230" spans="1:27" s="584" customFormat="1" x14ac:dyDescent="0.2">
      <c r="A230" s="575">
        <f>A228+1</f>
        <v>112</v>
      </c>
      <c r="B230" s="575" t="s">
        <v>511</v>
      </c>
      <c r="C230" s="583" t="s">
        <v>231</v>
      </c>
      <c r="D230" s="571"/>
      <c r="E230" s="576"/>
      <c r="F230" s="576"/>
      <c r="G230" s="577"/>
      <c r="H230" s="575"/>
      <c r="I230" s="577"/>
      <c r="J230" s="582"/>
      <c r="K230" s="578">
        <f>(M230*4+N230*2)/2</f>
        <v>12</v>
      </c>
      <c r="L230" s="578"/>
      <c r="M230" s="578">
        <v>6</v>
      </c>
      <c r="N230" s="579"/>
      <c r="O230" s="579"/>
      <c r="P230" s="579"/>
      <c r="Q230" s="579"/>
      <c r="R230" s="579"/>
      <c r="S230" s="579"/>
      <c r="T230" s="579"/>
      <c r="U230" s="575"/>
      <c r="V230" s="575">
        <v>1</v>
      </c>
      <c r="W230" s="575">
        <v>1</v>
      </c>
      <c r="X230" s="575"/>
      <c r="Y230" s="575"/>
      <c r="Z230" s="575">
        <v>2</v>
      </c>
      <c r="AA230" s="583"/>
    </row>
    <row r="231" spans="1:27" s="584" customFormat="1" x14ac:dyDescent="0.2">
      <c r="A231" s="575"/>
      <c r="B231" s="575"/>
      <c r="C231" s="583"/>
      <c r="D231" s="571"/>
      <c r="E231" s="576">
        <v>370.99700000000001</v>
      </c>
      <c r="F231" s="576">
        <f>+CEILING(E231,5)</f>
        <v>375</v>
      </c>
      <c r="G231" s="577"/>
      <c r="H231" s="575">
        <f>F231*36</f>
        <v>13500</v>
      </c>
      <c r="I231" s="577">
        <f>F231</f>
        <v>375</v>
      </c>
      <c r="J231" s="582"/>
      <c r="K231" s="578"/>
      <c r="L231" s="578"/>
      <c r="M231" s="578"/>
      <c r="N231" s="579"/>
      <c r="O231" s="579"/>
      <c r="P231" s="579"/>
      <c r="Q231" s="579"/>
      <c r="R231" s="578">
        <v>36</v>
      </c>
      <c r="S231" s="579"/>
      <c r="T231" s="579"/>
      <c r="U231" s="575"/>
      <c r="V231" s="575"/>
      <c r="W231" s="575"/>
      <c r="X231" s="575"/>
      <c r="Y231" s="575"/>
      <c r="Z231" s="575"/>
      <c r="AA231" s="583"/>
    </row>
    <row r="232" spans="1:27" s="584" customFormat="1" x14ac:dyDescent="0.2">
      <c r="A232" s="575">
        <f>A230+1</f>
        <v>113</v>
      </c>
      <c r="B232" s="575" t="s">
        <v>512</v>
      </c>
      <c r="C232" s="583" t="s">
        <v>231</v>
      </c>
      <c r="D232" s="571"/>
      <c r="E232" s="576"/>
      <c r="F232" s="576"/>
      <c r="G232" s="577"/>
      <c r="H232" s="575"/>
      <c r="I232" s="577"/>
      <c r="J232" s="582"/>
      <c r="K232" s="578">
        <f>(M232*4+N232*2)/2</f>
        <v>12</v>
      </c>
      <c r="L232" s="578"/>
      <c r="M232" s="578">
        <v>6</v>
      </c>
      <c r="N232" s="579"/>
      <c r="O232" s="579"/>
      <c r="P232" s="579"/>
      <c r="Q232" s="579"/>
      <c r="R232" s="579"/>
      <c r="S232" s="579"/>
      <c r="T232" s="579"/>
      <c r="U232" s="575"/>
      <c r="V232" s="575">
        <v>1</v>
      </c>
      <c r="W232" s="575">
        <v>1</v>
      </c>
      <c r="X232" s="575"/>
      <c r="Y232" s="575"/>
      <c r="Z232" s="575">
        <v>2</v>
      </c>
      <c r="AA232" s="583"/>
    </row>
    <row r="233" spans="1:27" s="584" customFormat="1" x14ac:dyDescent="0.2">
      <c r="A233" s="575"/>
      <c r="B233" s="575"/>
      <c r="C233" s="583"/>
      <c r="D233" s="571"/>
      <c r="E233" s="576">
        <v>398.70100000000002</v>
      </c>
      <c r="F233" s="576">
        <f>+CEILING(E233,5)</f>
        <v>400</v>
      </c>
      <c r="G233" s="577"/>
      <c r="H233" s="575">
        <f>F233*36</f>
        <v>14400</v>
      </c>
      <c r="I233" s="577">
        <f>F233</f>
        <v>400</v>
      </c>
      <c r="J233" s="582"/>
      <c r="K233" s="578"/>
      <c r="L233" s="582"/>
      <c r="M233" s="578"/>
      <c r="N233" s="575"/>
      <c r="O233" s="575"/>
      <c r="P233" s="575"/>
      <c r="Q233" s="575"/>
      <c r="R233" s="578">
        <v>42</v>
      </c>
      <c r="S233" s="575"/>
      <c r="T233" s="575"/>
      <c r="U233" s="575"/>
      <c r="V233" s="575"/>
      <c r="W233" s="575"/>
      <c r="X233" s="575"/>
      <c r="Y233" s="575"/>
      <c r="Z233" s="575"/>
      <c r="AA233" s="583"/>
    </row>
    <row r="234" spans="1:27" s="584" customFormat="1" x14ac:dyDescent="0.2">
      <c r="A234" s="575">
        <f>A232+1</f>
        <v>114</v>
      </c>
      <c r="B234" s="575" t="s">
        <v>513</v>
      </c>
      <c r="C234" s="583" t="s">
        <v>231</v>
      </c>
      <c r="D234" s="571"/>
      <c r="E234" s="576"/>
      <c r="F234" s="576"/>
      <c r="G234" s="577"/>
      <c r="H234" s="575"/>
      <c r="I234" s="577"/>
      <c r="J234" s="582"/>
      <c r="K234" s="578">
        <f>(M234*4+N234*2)/2</f>
        <v>12</v>
      </c>
      <c r="L234" s="578"/>
      <c r="M234" s="578">
        <v>6</v>
      </c>
      <c r="N234" s="579"/>
      <c r="O234" s="579"/>
      <c r="P234" s="579"/>
      <c r="Q234" s="579"/>
      <c r="R234" s="579"/>
      <c r="S234" s="579"/>
      <c r="T234" s="579"/>
      <c r="U234" s="575"/>
      <c r="V234" s="575">
        <v>1</v>
      </c>
      <c r="W234" s="575">
        <v>1</v>
      </c>
      <c r="X234" s="575"/>
      <c r="Y234" s="575"/>
      <c r="Z234" s="575">
        <v>2</v>
      </c>
      <c r="AA234" s="583"/>
    </row>
    <row r="235" spans="1:27" s="584" customFormat="1" x14ac:dyDescent="0.2">
      <c r="A235" s="575"/>
      <c r="B235" s="575"/>
      <c r="C235" s="583"/>
      <c r="D235" s="571"/>
      <c r="E235" s="576">
        <v>380.82100000000003</v>
      </c>
      <c r="F235" s="576">
        <f>+CEILING(E235,5)</f>
        <v>385</v>
      </c>
      <c r="G235" s="577"/>
      <c r="H235" s="575">
        <f>F235*36</f>
        <v>13860</v>
      </c>
      <c r="I235" s="577">
        <f>F235</f>
        <v>385</v>
      </c>
      <c r="J235" s="582"/>
      <c r="K235" s="578"/>
      <c r="L235" s="582"/>
      <c r="M235" s="578"/>
      <c r="N235" s="579"/>
      <c r="O235" s="579"/>
      <c r="P235" s="579"/>
      <c r="Q235" s="579"/>
      <c r="R235" s="578">
        <v>36</v>
      </c>
      <c r="S235" s="579"/>
      <c r="T235" s="579"/>
      <c r="U235" s="575"/>
      <c r="V235" s="575"/>
      <c r="W235" s="575"/>
      <c r="X235" s="575"/>
      <c r="Y235" s="575"/>
      <c r="Z235" s="575"/>
      <c r="AA235" s="583"/>
    </row>
    <row r="236" spans="1:27" s="584" customFormat="1" x14ac:dyDescent="0.2">
      <c r="A236" s="575">
        <f>A234+1</f>
        <v>115</v>
      </c>
      <c r="B236" s="572" t="s">
        <v>514</v>
      </c>
      <c r="C236" s="571" t="s">
        <v>244</v>
      </c>
      <c r="D236" s="571" t="s">
        <v>1088</v>
      </c>
      <c r="E236" s="576"/>
      <c r="F236" s="576"/>
      <c r="G236" s="577"/>
      <c r="H236" s="575"/>
      <c r="I236" s="577"/>
      <c r="J236" s="578">
        <v>48</v>
      </c>
      <c r="K236" s="582"/>
      <c r="L236" s="578">
        <v>12</v>
      </c>
      <c r="M236" s="582"/>
      <c r="N236" s="575"/>
      <c r="O236" s="575"/>
      <c r="P236" s="575"/>
      <c r="Q236" s="575"/>
      <c r="R236" s="579"/>
      <c r="S236" s="575">
        <v>30</v>
      </c>
      <c r="T236" s="575"/>
      <c r="U236" s="575">
        <v>2</v>
      </c>
      <c r="V236" s="575"/>
      <c r="W236" s="575">
        <v>2</v>
      </c>
      <c r="X236" s="575"/>
      <c r="Y236" s="575"/>
      <c r="Z236" s="575">
        <v>4</v>
      </c>
      <c r="AA236" s="583"/>
    </row>
    <row r="237" spans="1:27" s="584" customFormat="1" x14ac:dyDescent="0.2">
      <c r="A237" s="575"/>
      <c r="B237" s="575"/>
      <c r="C237" s="583"/>
      <c r="D237" s="571"/>
      <c r="E237" s="576">
        <v>366.875</v>
      </c>
      <c r="F237" s="576">
        <f>+CEILING(E237,5)</f>
        <v>370</v>
      </c>
      <c r="G237" s="577"/>
      <c r="H237" s="575">
        <f>F237*36</f>
        <v>13320</v>
      </c>
      <c r="I237" s="577">
        <f>F237</f>
        <v>370</v>
      </c>
      <c r="J237" s="582"/>
      <c r="K237" s="578"/>
      <c r="L237" s="578"/>
      <c r="M237" s="578"/>
      <c r="N237" s="579"/>
      <c r="O237" s="579"/>
      <c r="P237" s="579"/>
      <c r="Q237" s="579"/>
      <c r="R237" s="578">
        <v>36</v>
      </c>
      <c r="S237" s="579"/>
      <c r="T237" s="579"/>
      <c r="U237" s="575"/>
      <c r="V237" s="575"/>
      <c r="W237" s="575"/>
      <c r="X237" s="575"/>
      <c r="Y237" s="575"/>
      <c r="Z237" s="575"/>
      <c r="AA237" s="583"/>
    </row>
    <row r="238" spans="1:27" s="584" customFormat="1" x14ac:dyDescent="0.2">
      <c r="A238" s="575">
        <f>A236+1</f>
        <v>116</v>
      </c>
      <c r="B238" s="575" t="s">
        <v>515</v>
      </c>
      <c r="C238" s="583" t="s">
        <v>231</v>
      </c>
      <c r="D238" s="571"/>
      <c r="E238" s="576"/>
      <c r="F238" s="576"/>
      <c r="G238" s="577"/>
      <c r="H238" s="575"/>
      <c r="I238" s="577"/>
      <c r="J238" s="582"/>
      <c r="K238" s="578">
        <f>(M238*4+N238*2)/2</f>
        <v>12</v>
      </c>
      <c r="L238" s="578"/>
      <c r="M238" s="578">
        <v>6</v>
      </c>
      <c r="N238" s="579"/>
      <c r="O238" s="579"/>
      <c r="P238" s="579"/>
      <c r="Q238" s="579"/>
      <c r="R238" s="579"/>
      <c r="S238" s="579"/>
      <c r="T238" s="579"/>
      <c r="U238" s="575"/>
      <c r="V238" s="575">
        <v>1</v>
      </c>
      <c r="W238" s="575">
        <v>1</v>
      </c>
      <c r="X238" s="575"/>
      <c r="Y238" s="575"/>
      <c r="Z238" s="575">
        <v>2</v>
      </c>
      <c r="AA238" s="583"/>
    </row>
    <row r="239" spans="1:27" s="584" customFormat="1" x14ac:dyDescent="0.2">
      <c r="A239" s="575"/>
      <c r="B239" s="575"/>
      <c r="C239" s="583"/>
      <c r="D239" s="571"/>
      <c r="E239" s="576">
        <v>372.50099999999998</v>
      </c>
      <c r="F239" s="576">
        <f>+CEILING(E239,5)</f>
        <v>375</v>
      </c>
      <c r="G239" s="577"/>
      <c r="H239" s="575">
        <f>F239*36</f>
        <v>13500</v>
      </c>
      <c r="I239" s="577">
        <f>F239</f>
        <v>375</v>
      </c>
      <c r="J239" s="582"/>
      <c r="K239" s="578"/>
      <c r="L239" s="578"/>
      <c r="M239" s="578"/>
      <c r="N239" s="579"/>
      <c r="O239" s="579"/>
      <c r="P239" s="579"/>
      <c r="Q239" s="579"/>
      <c r="R239" s="578">
        <v>36</v>
      </c>
      <c r="S239" s="579"/>
      <c r="T239" s="579"/>
      <c r="U239" s="575"/>
      <c r="V239" s="575"/>
      <c r="W239" s="575"/>
      <c r="X239" s="575"/>
      <c r="Y239" s="575"/>
      <c r="Z239" s="575"/>
      <c r="AA239" s="583"/>
    </row>
    <row r="240" spans="1:27" s="584" customFormat="1" x14ac:dyDescent="0.2">
      <c r="A240" s="575">
        <f>A238+1</f>
        <v>117</v>
      </c>
      <c r="B240" s="575" t="s">
        <v>516</v>
      </c>
      <c r="C240" s="583" t="s">
        <v>231</v>
      </c>
      <c r="D240" s="571"/>
      <c r="E240" s="576"/>
      <c r="F240" s="576"/>
      <c r="G240" s="577"/>
      <c r="H240" s="575"/>
      <c r="I240" s="577"/>
      <c r="J240" s="582"/>
      <c r="K240" s="578">
        <f>(M240*4+N240*2)/2</f>
        <v>12</v>
      </c>
      <c r="L240" s="578"/>
      <c r="M240" s="578">
        <v>6</v>
      </c>
      <c r="N240" s="579"/>
      <c r="O240" s="579"/>
      <c r="P240" s="579"/>
      <c r="Q240" s="579"/>
      <c r="R240" s="579"/>
      <c r="S240" s="579"/>
      <c r="T240" s="579"/>
      <c r="U240" s="575"/>
      <c r="V240" s="575">
        <v>1</v>
      </c>
      <c r="W240" s="575">
        <v>1</v>
      </c>
      <c r="X240" s="575"/>
      <c r="Y240" s="575"/>
      <c r="Z240" s="575">
        <v>2</v>
      </c>
      <c r="AA240" s="583"/>
    </row>
    <row r="241" spans="1:27" s="584" customFormat="1" x14ac:dyDescent="0.2">
      <c r="A241" s="575"/>
      <c r="B241" s="575"/>
      <c r="C241" s="583"/>
      <c r="D241" s="571"/>
      <c r="E241" s="576">
        <v>376.459</v>
      </c>
      <c r="F241" s="576">
        <f>+CEILING(E241,5)</f>
        <v>380</v>
      </c>
      <c r="G241" s="577"/>
      <c r="H241" s="575">
        <f>F241*36</f>
        <v>13680</v>
      </c>
      <c r="I241" s="577">
        <f>F241</f>
        <v>380</v>
      </c>
      <c r="J241" s="582"/>
      <c r="K241" s="578"/>
      <c r="L241" s="578"/>
      <c r="M241" s="578"/>
      <c r="N241" s="579"/>
      <c r="O241" s="579"/>
      <c r="P241" s="579"/>
      <c r="Q241" s="579"/>
      <c r="R241" s="578">
        <v>36</v>
      </c>
      <c r="S241" s="579"/>
      <c r="T241" s="579"/>
      <c r="U241" s="575"/>
      <c r="V241" s="575"/>
      <c r="W241" s="575"/>
      <c r="X241" s="575"/>
      <c r="Y241" s="575"/>
      <c r="Z241" s="575"/>
      <c r="AA241" s="583"/>
    </row>
    <row r="242" spans="1:27" s="584" customFormat="1" x14ac:dyDescent="0.2">
      <c r="A242" s="575">
        <f>A240+1</f>
        <v>118</v>
      </c>
      <c r="B242" s="575" t="s">
        <v>517</v>
      </c>
      <c r="C242" s="583" t="s">
        <v>231</v>
      </c>
      <c r="D242" s="571"/>
      <c r="E242" s="576"/>
      <c r="F242" s="576"/>
      <c r="G242" s="577"/>
      <c r="H242" s="575"/>
      <c r="I242" s="577"/>
      <c r="J242" s="582"/>
      <c r="K242" s="578">
        <f>(M242*4+N242*2)/2</f>
        <v>12</v>
      </c>
      <c r="L242" s="578"/>
      <c r="M242" s="578">
        <v>6</v>
      </c>
      <c r="N242" s="579"/>
      <c r="O242" s="579"/>
      <c r="P242" s="579"/>
      <c r="Q242" s="579"/>
      <c r="R242" s="579"/>
      <c r="S242" s="579"/>
      <c r="T242" s="579"/>
      <c r="U242" s="575"/>
      <c r="V242" s="575">
        <v>1</v>
      </c>
      <c r="W242" s="575">
        <v>1</v>
      </c>
      <c r="X242" s="575"/>
      <c r="Y242" s="575"/>
      <c r="Z242" s="575">
        <v>2</v>
      </c>
      <c r="AA242" s="583"/>
    </row>
    <row r="243" spans="1:27" s="584" customFormat="1" x14ac:dyDescent="0.2">
      <c r="A243" s="575"/>
      <c r="B243" s="575"/>
      <c r="C243" s="583"/>
      <c r="D243" s="571"/>
      <c r="E243" s="576">
        <v>384.28399999999999</v>
      </c>
      <c r="F243" s="576">
        <f>+CEILING(E243,5)</f>
        <v>385</v>
      </c>
      <c r="G243" s="577"/>
      <c r="H243" s="575">
        <f>F243*36</f>
        <v>13860</v>
      </c>
      <c r="I243" s="577">
        <f>F243</f>
        <v>385</v>
      </c>
      <c r="J243" s="582"/>
      <c r="K243" s="578"/>
      <c r="L243" s="578"/>
      <c r="M243" s="578"/>
      <c r="N243" s="579"/>
      <c r="O243" s="579"/>
      <c r="P243" s="579"/>
      <c r="Q243" s="579"/>
      <c r="R243" s="578">
        <v>36</v>
      </c>
      <c r="S243" s="579"/>
      <c r="T243" s="579"/>
      <c r="U243" s="575"/>
      <c r="V243" s="575"/>
      <c r="W243" s="575"/>
      <c r="X243" s="575"/>
      <c r="Y243" s="575"/>
      <c r="Z243" s="575"/>
      <c r="AA243" s="583"/>
    </row>
    <row r="244" spans="1:27" s="584" customFormat="1" x14ac:dyDescent="0.2">
      <c r="A244" s="575">
        <f>A242+1</f>
        <v>119</v>
      </c>
      <c r="B244" s="575" t="s">
        <v>518</v>
      </c>
      <c r="C244" s="583" t="s">
        <v>231</v>
      </c>
      <c r="D244" s="571"/>
      <c r="E244" s="576"/>
      <c r="F244" s="576"/>
      <c r="G244" s="577"/>
      <c r="H244" s="575"/>
      <c r="I244" s="577"/>
      <c r="J244" s="582"/>
      <c r="K244" s="578">
        <f>(M244*4+N244*2)/2</f>
        <v>12</v>
      </c>
      <c r="L244" s="578"/>
      <c r="M244" s="578">
        <v>6</v>
      </c>
      <c r="N244" s="579"/>
      <c r="O244" s="579"/>
      <c r="P244" s="579"/>
      <c r="Q244" s="579"/>
      <c r="R244" s="579"/>
      <c r="S244" s="579"/>
      <c r="T244" s="579"/>
      <c r="U244" s="575"/>
      <c r="V244" s="575">
        <v>1</v>
      </c>
      <c r="W244" s="575">
        <v>1</v>
      </c>
      <c r="X244" s="575"/>
      <c r="Y244" s="575"/>
      <c r="Z244" s="575">
        <v>2</v>
      </c>
      <c r="AA244" s="583"/>
    </row>
    <row r="245" spans="1:27" s="584" customFormat="1" x14ac:dyDescent="0.2">
      <c r="A245" s="575"/>
      <c r="B245" s="575"/>
      <c r="C245" s="583"/>
      <c r="D245" s="571"/>
      <c r="E245" s="576">
        <v>375.36</v>
      </c>
      <c r="F245" s="576">
        <f>+CEILING(E245,5)</f>
        <v>380</v>
      </c>
      <c r="G245" s="577"/>
      <c r="H245" s="575">
        <f>F245*36</f>
        <v>13680</v>
      </c>
      <c r="I245" s="577">
        <f>F245</f>
        <v>380</v>
      </c>
      <c r="J245" s="582"/>
      <c r="K245" s="578"/>
      <c r="L245" s="578"/>
      <c r="M245" s="578"/>
      <c r="N245" s="579"/>
      <c r="O245" s="579"/>
      <c r="P245" s="579"/>
      <c r="Q245" s="579"/>
      <c r="R245" s="578">
        <v>36</v>
      </c>
      <c r="S245" s="579"/>
      <c r="T245" s="579"/>
      <c r="U245" s="575"/>
      <c r="V245" s="575"/>
      <c r="W245" s="575"/>
      <c r="X245" s="575"/>
      <c r="Y245" s="575"/>
      <c r="Z245" s="575"/>
      <c r="AA245" s="583"/>
    </row>
    <row r="246" spans="1:27" s="584" customFormat="1" x14ac:dyDescent="0.2">
      <c r="A246" s="575">
        <f>A244+1</f>
        <v>120</v>
      </c>
      <c r="B246" s="575" t="s">
        <v>519</v>
      </c>
      <c r="C246" s="583" t="s">
        <v>231</v>
      </c>
      <c r="D246" s="571"/>
      <c r="E246" s="576"/>
      <c r="F246" s="576"/>
      <c r="G246" s="577"/>
      <c r="H246" s="575"/>
      <c r="I246" s="577"/>
      <c r="J246" s="582"/>
      <c r="K246" s="578">
        <f>(M246*4+N246*2)/2</f>
        <v>12</v>
      </c>
      <c r="L246" s="578"/>
      <c r="M246" s="578">
        <v>6</v>
      </c>
      <c r="N246" s="579"/>
      <c r="O246" s="579"/>
      <c r="P246" s="579"/>
      <c r="Q246" s="579"/>
      <c r="R246" s="579"/>
      <c r="S246" s="579"/>
      <c r="T246" s="579"/>
      <c r="U246" s="575"/>
      <c r="V246" s="575">
        <v>1</v>
      </c>
      <c r="W246" s="575">
        <v>1</v>
      </c>
      <c r="X246" s="575"/>
      <c r="Y246" s="575"/>
      <c r="Z246" s="575">
        <v>2</v>
      </c>
      <c r="AA246" s="583"/>
    </row>
    <row r="247" spans="1:27" s="584" customFormat="1" x14ac:dyDescent="0.2">
      <c r="A247" s="575"/>
      <c r="B247" s="575"/>
      <c r="C247" s="583"/>
      <c r="D247" s="571"/>
      <c r="E247" s="576">
        <v>381.24299999999999</v>
      </c>
      <c r="F247" s="576">
        <f>+CEILING(E247,5)</f>
        <v>385</v>
      </c>
      <c r="G247" s="577"/>
      <c r="H247" s="575">
        <f>F247*36</f>
        <v>13860</v>
      </c>
      <c r="I247" s="577">
        <f>F247</f>
        <v>385</v>
      </c>
      <c r="J247" s="582"/>
      <c r="K247" s="578"/>
      <c r="L247" s="582"/>
      <c r="M247" s="578"/>
      <c r="N247" s="579"/>
      <c r="O247" s="579"/>
      <c r="P247" s="579"/>
      <c r="Q247" s="579"/>
      <c r="R247" s="578">
        <v>36</v>
      </c>
      <c r="S247" s="579"/>
      <c r="T247" s="579"/>
      <c r="U247" s="575"/>
      <c r="V247" s="575"/>
      <c r="W247" s="575"/>
      <c r="X247" s="575"/>
      <c r="Y247" s="575"/>
      <c r="Z247" s="575"/>
      <c r="AA247" s="583"/>
    </row>
    <row r="248" spans="1:27" s="584" customFormat="1" x14ac:dyDescent="0.2">
      <c r="A248" s="575">
        <f>A246+1</f>
        <v>121</v>
      </c>
      <c r="B248" s="572" t="s">
        <v>31</v>
      </c>
      <c r="C248" s="571" t="s">
        <v>245</v>
      </c>
      <c r="D248" s="571" t="s">
        <v>1089</v>
      </c>
      <c r="E248" s="576"/>
      <c r="F248" s="576"/>
      <c r="G248" s="577"/>
      <c r="H248" s="575"/>
      <c r="I248" s="577"/>
      <c r="J248" s="578">
        <v>48</v>
      </c>
      <c r="K248" s="582"/>
      <c r="L248" s="578">
        <v>12</v>
      </c>
      <c r="M248" s="582"/>
      <c r="N248" s="575"/>
      <c r="O248" s="575"/>
      <c r="P248" s="575"/>
      <c r="Q248" s="575"/>
      <c r="R248" s="579"/>
      <c r="S248" s="575">
        <v>30</v>
      </c>
      <c r="T248" s="575"/>
      <c r="U248" s="575">
        <v>2</v>
      </c>
      <c r="V248" s="575"/>
      <c r="W248" s="575">
        <v>2</v>
      </c>
      <c r="X248" s="575"/>
      <c r="Y248" s="575"/>
      <c r="Z248" s="575">
        <v>4</v>
      </c>
      <c r="AA248" s="583"/>
    </row>
    <row r="249" spans="1:27" s="584" customFormat="1" x14ac:dyDescent="0.2">
      <c r="A249" s="575"/>
      <c r="B249" s="575"/>
      <c r="C249" s="583"/>
      <c r="D249" s="571"/>
      <c r="E249" s="576">
        <v>386.78100000000001</v>
      </c>
      <c r="F249" s="576">
        <f>+CEILING(E249,5)</f>
        <v>390</v>
      </c>
      <c r="G249" s="577"/>
      <c r="H249" s="575">
        <f>F249*36</f>
        <v>14040</v>
      </c>
      <c r="I249" s="577">
        <f>F249</f>
        <v>390</v>
      </c>
      <c r="J249" s="582"/>
      <c r="K249" s="578"/>
      <c r="L249" s="578"/>
      <c r="M249" s="578"/>
      <c r="N249" s="579"/>
      <c r="O249" s="579"/>
      <c r="P249" s="579"/>
      <c r="Q249" s="579"/>
      <c r="R249" s="578">
        <v>36</v>
      </c>
      <c r="S249" s="579"/>
      <c r="T249" s="579"/>
      <c r="U249" s="575"/>
      <c r="V249" s="575"/>
      <c r="W249" s="575"/>
      <c r="X249" s="575"/>
      <c r="Y249" s="575"/>
      <c r="Z249" s="575"/>
      <c r="AA249" s="583"/>
    </row>
    <row r="250" spans="1:27" s="584" customFormat="1" x14ac:dyDescent="0.2">
      <c r="A250" s="575">
        <f>A248+1</f>
        <v>122</v>
      </c>
      <c r="B250" s="575" t="s">
        <v>520</v>
      </c>
      <c r="C250" s="583" t="s">
        <v>231</v>
      </c>
      <c r="D250" s="571"/>
      <c r="E250" s="576"/>
      <c r="F250" s="576"/>
      <c r="G250" s="577"/>
      <c r="H250" s="575"/>
      <c r="I250" s="577"/>
      <c r="J250" s="582"/>
      <c r="K250" s="578">
        <f>(M250*4+N250*2)/2</f>
        <v>12</v>
      </c>
      <c r="L250" s="578"/>
      <c r="M250" s="578">
        <v>6</v>
      </c>
      <c r="N250" s="579"/>
      <c r="O250" s="579"/>
      <c r="P250" s="579"/>
      <c r="Q250" s="579"/>
      <c r="R250" s="579"/>
      <c r="S250" s="579"/>
      <c r="T250" s="579"/>
      <c r="U250" s="575"/>
      <c r="V250" s="575">
        <v>1</v>
      </c>
      <c r="W250" s="575">
        <v>1</v>
      </c>
      <c r="X250" s="575"/>
      <c r="Y250" s="575"/>
      <c r="Z250" s="575">
        <v>2</v>
      </c>
      <c r="AA250" s="583"/>
    </row>
    <row r="251" spans="1:27" s="584" customFormat="1" x14ac:dyDescent="0.2">
      <c r="A251" s="575"/>
      <c r="B251" s="575"/>
      <c r="C251" s="583"/>
      <c r="D251" s="571"/>
      <c r="E251" s="576">
        <v>387.041</v>
      </c>
      <c r="F251" s="576">
        <f>+CEILING(E251,5)</f>
        <v>390</v>
      </c>
      <c r="G251" s="577"/>
      <c r="H251" s="575">
        <f>F251*36</f>
        <v>14040</v>
      </c>
      <c r="I251" s="577">
        <f>F251</f>
        <v>390</v>
      </c>
      <c r="J251" s="582"/>
      <c r="K251" s="578"/>
      <c r="L251" s="578"/>
      <c r="M251" s="578"/>
      <c r="N251" s="579"/>
      <c r="O251" s="579"/>
      <c r="P251" s="579"/>
      <c r="Q251" s="579"/>
      <c r="R251" s="578">
        <v>36</v>
      </c>
      <c r="S251" s="579"/>
      <c r="T251" s="579"/>
      <c r="U251" s="575"/>
      <c r="V251" s="575"/>
      <c r="W251" s="575"/>
      <c r="X251" s="575"/>
      <c r="Y251" s="575"/>
      <c r="Z251" s="575"/>
      <c r="AA251" s="583"/>
    </row>
    <row r="252" spans="1:27" s="584" customFormat="1" x14ac:dyDescent="0.2">
      <c r="A252" s="575">
        <f>A250+1</f>
        <v>123</v>
      </c>
      <c r="B252" s="575" t="s">
        <v>521</v>
      </c>
      <c r="C252" s="583" t="s">
        <v>231</v>
      </c>
      <c r="D252" s="571"/>
      <c r="E252" s="576"/>
      <c r="F252" s="576"/>
      <c r="G252" s="577"/>
      <c r="H252" s="575"/>
      <c r="I252" s="577"/>
      <c r="J252" s="582"/>
      <c r="K252" s="578">
        <f>(M252*4+N252*2)/2</f>
        <v>12</v>
      </c>
      <c r="L252" s="578"/>
      <c r="M252" s="578">
        <v>6</v>
      </c>
      <c r="N252" s="579"/>
      <c r="O252" s="579"/>
      <c r="P252" s="579"/>
      <c r="Q252" s="579"/>
      <c r="R252" s="579"/>
      <c r="S252" s="579"/>
      <c r="T252" s="579"/>
      <c r="U252" s="575"/>
      <c r="V252" s="575">
        <v>1</v>
      </c>
      <c r="W252" s="575">
        <v>1</v>
      </c>
      <c r="X252" s="575"/>
      <c r="Y252" s="575"/>
      <c r="Z252" s="575">
        <v>2</v>
      </c>
      <c r="AA252" s="583"/>
    </row>
    <row r="253" spans="1:27" s="584" customFormat="1" x14ac:dyDescent="0.2">
      <c r="A253" s="575"/>
      <c r="B253" s="575"/>
      <c r="C253" s="583"/>
      <c r="D253" s="571"/>
      <c r="E253" s="576">
        <v>348.46600000000001</v>
      </c>
      <c r="F253" s="576">
        <f>+CEILING(E253,5)</f>
        <v>350</v>
      </c>
      <c r="G253" s="577"/>
      <c r="H253" s="575">
        <f>F253*36</f>
        <v>12600</v>
      </c>
      <c r="I253" s="577">
        <f>F253</f>
        <v>350</v>
      </c>
      <c r="J253" s="582"/>
      <c r="K253" s="578"/>
      <c r="L253" s="578"/>
      <c r="M253" s="578"/>
      <c r="N253" s="579"/>
      <c r="O253" s="579"/>
      <c r="P253" s="579"/>
      <c r="Q253" s="579"/>
      <c r="R253" s="578">
        <v>36</v>
      </c>
      <c r="S253" s="579"/>
      <c r="T253" s="579"/>
      <c r="U253" s="575"/>
      <c r="V253" s="575"/>
      <c r="W253" s="575"/>
      <c r="X253" s="575"/>
      <c r="Y253" s="575"/>
      <c r="Z253" s="575"/>
      <c r="AA253" s="583"/>
    </row>
    <row r="254" spans="1:27" s="584" customFormat="1" x14ac:dyDescent="0.2">
      <c r="A254" s="575">
        <f>A252+1</f>
        <v>124</v>
      </c>
      <c r="B254" s="575" t="s">
        <v>522</v>
      </c>
      <c r="C254" s="583" t="s">
        <v>231</v>
      </c>
      <c r="D254" s="571"/>
      <c r="E254" s="576"/>
      <c r="F254" s="576"/>
      <c r="G254" s="577"/>
      <c r="H254" s="575"/>
      <c r="I254" s="577"/>
      <c r="J254" s="582"/>
      <c r="K254" s="578">
        <f>(M254*4+N254*2)/2</f>
        <v>12</v>
      </c>
      <c r="L254" s="578"/>
      <c r="M254" s="578">
        <v>6</v>
      </c>
      <c r="N254" s="579"/>
      <c r="O254" s="579"/>
      <c r="P254" s="579"/>
      <c r="Q254" s="579"/>
      <c r="R254" s="579"/>
      <c r="S254" s="579"/>
      <c r="T254" s="579"/>
      <c r="U254" s="575"/>
      <c r="V254" s="575">
        <v>1</v>
      </c>
      <c r="W254" s="575">
        <v>1</v>
      </c>
      <c r="X254" s="575"/>
      <c r="Y254" s="575"/>
      <c r="Z254" s="575">
        <v>2</v>
      </c>
      <c r="AA254" s="583"/>
    </row>
    <row r="255" spans="1:27" s="584" customFormat="1" x14ac:dyDescent="0.2">
      <c r="A255" s="575"/>
      <c r="B255" s="575"/>
      <c r="C255" s="583"/>
      <c r="D255" s="571"/>
      <c r="E255" s="576">
        <v>354.96600000000001</v>
      </c>
      <c r="F255" s="576">
        <f>+CEILING(E255,5)</f>
        <v>355</v>
      </c>
      <c r="G255" s="577"/>
      <c r="H255" s="575">
        <f>F255*36</f>
        <v>12780</v>
      </c>
      <c r="I255" s="577">
        <f>F255</f>
        <v>355</v>
      </c>
      <c r="J255" s="582"/>
      <c r="K255" s="578"/>
      <c r="L255" s="578"/>
      <c r="M255" s="578"/>
      <c r="N255" s="579"/>
      <c r="O255" s="579"/>
      <c r="P255" s="579"/>
      <c r="Q255" s="579"/>
      <c r="R255" s="578">
        <v>36</v>
      </c>
      <c r="S255" s="579"/>
      <c r="T255" s="579"/>
      <c r="U255" s="575"/>
      <c r="V255" s="575"/>
      <c r="W255" s="575"/>
      <c r="X255" s="575"/>
      <c r="Y255" s="575"/>
      <c r="Z255" s="575"/>
      <c r="AA255" s="583"/>
    </row>
    <row r="256" spans="1:27" s="584" customFormat="1" x14ac:dyDescent="0.2">
      <c r="A256" s="575">
        <f>A254+1</f>
        <v>125</v>
      </c>
      <c r="B256" s="572" t="s">
        <v>49</v>
      </c>
      <c r="C256" s="571" t="s">
        <v>245</v>
      </c>
      <c r="D256" s="571" t="s">
        <v>1090</v>
      </c>
      <c r="E256" s="576"/>
      <c r="F256" s="576"/>
      <c r="G256" s="577"/>
      <c r="H256" s="575"/>
      <c r="I256" s="577"/>
      <c r="J256" s="578">
        <v>48</v>
      </c>
      <c r="K256" s="582"/>
      <c r="L256" s="578">
        <v>12</v>
      </c>
      <c r="M256" s="582"/>
      <c r="N256" s="575"/>
      <c r="O256" s="575"/>
      <c r="P256" s="575"/>
      <c r="Q256" s="575"/>
      <c r="R256" s="579"/>
      <c r="S256" s="575">
        <v>30</v>
      </c>
      <c r="T256" s="575"/>
      <c r="U256" s="575">
        <v>2</v>
      </c>
      <c r="V256" s="575"/>
      <c r="W256" s="575">
        <v>2</v>
      </c>
      <c r="X256" s="575"/>
      <c r="Y256" s="575"/>
      <c r="Z256" s="575">
        <v>4</v>
      </c>
      <c r="AA256" s="583"/>
    </row>
    <row r="257" spans="1:27" s="584" customFormat="1" x14ac:dyDescent="0.2">
      <c r="A257" s="575"/>
      <c r="B257" s="575"/>
      <c r="C257" s="583"/>
      <c r="D257" s="571"/>
      <c r="E257" s="576">
        <v>414.90300000000002</v>
      </c>
      <c r="F257" s="576">
        <f>+CEILING(E257,5)</f>
        <v>415</v>
      </c>
      <c r="G257" s="577"/>
      <c r="H257" s="575">
        <f>F257*36</f>
        <v>14940</v>
      </c>
      <c r="I257" s="577">
        <f>F257</f>
        <v>415</v>
      </c>
      <c r="J257" s="582"/>
      <c r="K257" s="578"/>
      <c r="L257" s="582"/>
      <c r="M257" s="578"/>
      <c r="N257" s="575"/>
      <c r="O257" s="575"/>
      <c r="P257" s="575"/>
      <c r="Q257" s="575"/>
      <c r="R257" s="578">
        <v>42</v>
      </c>
      <c r="S257" s="575"/>
      <c r="T257" s="575"/>
      <c r="U257" s="575"/>
      <c r="V257" s="575"/>
      <c r="W257" s="575"/>
      <c r="X257" s="575"/>
      <c r="Y257" s="575"/>
      <c r="Z257" s="575"/>
      <c r="AA257" s="583"/>
    </row>
    <row r="258" spans="1:27" s="584" customFormat="1" x14ac:dyDescent="0.2">
      <c r="A258" s="575">
        <f>A256+1</f>
        <v>126</v>
      </c>
      <c r="B258" s="575" t="s">
        <v>523</v>
      </c>
      <c r="C258" s="583" t="s">
        <v>232</v>
      </c>
      <c r="D258" s="571"/>
      <c r="E258" s="576"/>
      <c r="F258" s="576"/>
      <c r="G258" s="577"/>
      <c r="H258" s="575"/>
      <c r="I258" s="577"/>
      <c r="J258" s="582"/>
      <c r="K258" s="578">
        <f>(M258*4+N258*2)/2</f>
        <v>12</v>
      </c>
      <c r="L258" s="578"/>
      <c r="M258" s="578">
        <v>6</v>
      </c>
      <c r="N258" s="579"/>
      <c r="O258" s="579"/>
      <c r="P258" s="579"/>
      <c r="Q258" s="579"/>
      <c r="R258" s="579"/>
      <c r="S258" s="579"/>
      <c r="T258" s="579"/>
      <c r="U258" s="575"/>
      <c r="V258" s="575">
        <v>1</v>
      </c>
      <c r="W258" s="575">
        <v>1</v>
      </c>
      <c r="X258" s="575"/>
      <c r="Y258" s="575"/>
      <c r="Z258" s="575">
        <v>2</v>
      </c>
      <c r="AA258" s="583"/>
    </row>
    <row r="259" spans="1:27" s="584" customFormat="1" x14ac:dyDescent="0.2">
      <c r="A259" s="575"/>
      <c r="B259" s="575"/>
      <c r="C259" s="583"/>
      <c r="D259" s="571"/>
      <c r="E259" s="576">
        <v>407.23599999999999</v>
      </c>
      <c r="F259" s="576">
        <f>+CEILING(E259,5)</f>
        <v>410</v>
      </c>
      <c r="G259" s="577"/>
      <c r="H259" s="575">
        <f>F259*36</f>
        <v>14760</v>
      </c>
      <c r="I259" s="577">
        <f>F259</f>
        <v>410</v>
      </c>
      <c r="J259" s="582"/>
      <c r="K259" s="578"/>
      <c r="L259" s="578"/>
      <c r="M259" s="578"/>
      <c r="N259" s="579"/>
      <c r="O259" s="579"/>
      <c r="P259" s="579"/>
      <c r="Q259" s="579"/>
      <c r="R259" s="578">
        <v>42</v>
      </c>
      <c r="S259" s="579"/>
      <c r="T259" s="579"/>
      <c r="U259" s="575"/>
      <c r="V259" s="575"/>
      <c r="W259" s="575"/>
      <c r="X259" s="575"/>
      <c r="Y259" s="575"/>
      <c r="Z259" s="575"/>
      <c r="AA259" s="583"/>
    </row>
    <row r="260" spans="1:27" s="584" customFormat="1" x14ac:dyDescent="0.2">
      <c r="A260" s="575">
        <f>A258+1</f>
        <v>127</v>
      </c>
      <c r="B260" s="575" t="s">
        <v>524</v>
      </c>
      <c r="C260" s="583" t="s">
        <v>231</v>
      </c>
      <c r="D260" s="571"/>
      <c r="E260" s="576"/>
      <c r="F260" s="576"/>
      <c r="G260" s="577"/>
      <c r="H260" s="575"/>
      <c r="I260" s="577"/>
      <c r="J260" s="582"/>
      <c r="K260" s="578">
        <f>(M260*4+N260*2)/2</f>
        <v>12</v>
      </c>
      <c r="L260" s="578"/>
      <c r="M260" s="578">
        <v>6</v>
      </c>
      <c r="N260" s="579"/>
      <c r="O260" s="579"/>
      <c r="P260" s="579"/>
      <c r="Q260" s="579"/>
      <c r="R260" s="579"/>
      <c r="S260" s="579"/>
      <c r="T260" s="579"/>
      <c r="U260" s="575"/>
      <c r="V260" s="575">
        <v>1</v>
      </c>
      <c r="W260" s="575">
        <v>1</v>
      </c>
      <c r="X260" s="575"/>
      <c r="Y260" s="575"/>
      <c r="Z260" s="575">
        <v>2</v>
      </c>
      <c r="AA260" s="583"/>
    </row>
    <row r="261" spans="1:27" s="584" customFormat="1" x14ac:dyDescent="0.2">
      <c r="A261" s="575"/>
      <c r="B261" s="575"/>
      <c r="C261" s="583"/>
      <c r="D261" s="571"/>
      <c r="E261" s="576">
        <v>432.22699999999998</v>
      </c>
      <c r="F261" s="576">
        <f>+CEILING(E261,5)</f>
        <v>435</v>
      </c>
      <c r="G261" s="577"/>
      <c r="H261" s="575">
        <f>F261*36</f>
        <v>15660</v>
      </c>
      <c r="I261" s="577">
        <f>F261</f>
        <v>435</v>
      </c>
      <c r="J261" s="582"/>
      <c r="K261" s="578"/>
      <c r="L261" s="578"/>
      <c r="M261" s="578"/>
      <c r="N261" s="579"/>
      <c r="O261" s="579"/>
      <c r="P261" s="579"/>
      <c r="Q261" s="579"/>
      <c r="R261" s="578">
        <v>42</v>
      </c>
      <c r="S261" s="579"/>
      <c r="T261" s="579"/>
      <c r="U261" s="575"/>
      <c r="V261" s="575"/>
      <c r="W261" s="575"/>
      <c r="X261" s="575"/>
      <c r="Y261" s="575"/>
      <c r="Z261" s="575"/>
      <c r="AA261" s="583"/>
    </row>
    <row r="262" spans="1:27" s="584" customFormat="1" x14ac:dyDescent="0.2">
      <c r="A262" s="575">
        <f>A260+1</f>
        <v>128</v>
      </c>
      <c r="B262" s="575" t="s">
        <v>525</v>
      </c>
      <c r="C262" s="583" t="s">
        <v>232</v>
      </c>
      <c r="D262" s="571"/>
      <c r="E262" s="576"/>
      <c r="F262" s="576"/>
      <c r="G262" s="577"/>
      <c r="H262" s="575"/>
      <c r="I262" s="577"/>
      <c r="J262" s="582"/>
      <c r="K262" s="578">
        <f>(M262*4+N262*2)/2</f>
        <v>12</v>
      </c>
      <c r="L262" s="578"/>
      <c r="M262" s="578">
        <v>6</v>
      </c>
      <c r="N262" s="579"/>
      <c r="O262" s="579"/>
      <c r="P262" s="579"/>
      <c r="Q262" s="579"/>
      <c r="R262" s="579"/>
      <c r="S262" s="579"/>
      <c r="T262" s="579"/>
      <c r="U262" s="575"/>
      <c r="V262" s="575">
        <v>1</v>
      </c>
      <c r="W262" s="575">
        <v>1</v>
      </c>
      <c r="X262" s="575"/>
      <c r="Y262" s="575"/>
      <c r="Z262" s="575">
        <v>2</v>
      </c>
      <c r="AA262" s="583"/>
    </row>
    <row r="263" spans="1:27" s="584" customFormat="1" x14ac:dyDescent="0.2">
      <c r="A263" s="575"/>
      <c r="B263" s="575"/>
      <c r="C263" s="583"/>
      <c r="D263" s="571"/>
      <c r="E263" s="576">
        <v>401.87099999999998</v>
      </c>
      <c r="F263" s="576">
        <f>+CEILING(E263,5)</f>
        <v>405</v>
      </c>
      <c r="G263" s="577"/>
      <c r="H263" s="575">
        <f>F263*36</f>
        <v>14580</v>
      </c>
      <c r="I263" s="577">
        <f>F263</f>
        <v>405</v>
      </c>
      <c r="J263" s="582"/>
      <c r="K263" s="578"/>
      <c r="L263" s="578"/>
      <c r="M263" s="578"/>
      <c r="N263" s="579"/>
      <c r="O263" s="579"/>
      <c r="P263" s="579"/>
      <c r="Q263" s="579"/>
      <c r="R263" s="578">
        <v>42</v>
      </c>
      <c r="S263" s="579"/>
      <c r="T263" s="579"/>
      <c r="U263" s="575"/>
      <c r="V263" s="575"/>
      <c r="W263" s="575"/>
      <c r="X263" s="575"/>
      <c r="Y263" s="575"/>
      <c r="Z263" s="575"/>
      <c r="AA263" s="583"/>
    </row>
    <row r="264" spans="1:27" s="584" customFormat="1" x14ac:dyDescent="0.2">
      <c r="A264" s="575">
        <f>A262+1</f>
        <v>129</v>
      </c>
      <c r="B264" s="575" t="s">
        <v>526</v>
      </c>
      <c r="C264" s="583" t="s">
        <v>20</v>
      </c>
      <c r="D264" s="571"/>
      <c r="E264" s="576"/>
      <c r="F264" s="576"/>
      <c r="G264" s="577"/>
      <c r="H264" s="575"/>
      <c r="I264" s="577"/>
      <c r="J264" s="582"/>
      <c r="K264" s="578">
        <f>(M264*4+N264*2)/2</f>
        <v>12</v>
      </c>
      <c r="L264" s="578"/>
      <c r="M264" s="578">
        <v>6</v>
      </c>
      <c r="N264" s="579"/>
      <c r="O264" s="579"/>
      <c r="P264" s="579"/>
      <c r="Q264" s="579"/>
      <c r="R264" s="579"/>
      <c r="S264" s="579"/>
      <c r="T264" s="579"/>
      <c r="U264" s="575"/>
      <c r="V264" s="575">
        <v>1</v>
      </c>
      <c r="W264" s="575">
        <v>1</v>
      </c>
      <c r="X264" s="575"/>
      <c r="Y264" s="575"/>
      <c r="Z264" s="575">
        <v>2</v>
      </c>
      <c r="AA264" s="583"/>
    </row>
    <row r="265" spans="1:27" s="584" customFormat="1" x14ac:dyDescent="0.2">
      <c r="A265" s="575"/>
      <c r="B265" s="575"/>
      <c r="C265" s="583"/>
      <c r="D265" s="571"/>
      <c r="E265" s="576">
        <v>434.17899999999997</v>
      </c>
      <c r="F265" s="576">
        <f>+CEILING(E265,5)</f>
        <v>435</v>
      </c>
      <c r="G265" s="577"/>
      <c r="H265" s="575">
        <f>F265*36</f>
        <v>15660</v>
      </c>
      <c r="I265" s="577">
        <f>F265</f>
        <v>435</v>
      </c>
      <c r="J265" s="582"/>
      <c r="K265" s="578"/>
      <c r="L265" s="578"/>
      <c r="M265" s="578"/>
      <c r="N265" s="579"/>
      <c r="O265" s="579"/>
      <c r="P265" s="579"/>
      <c r="Q265" s="579"/>
      <c r="R265" s="578">
        <v>42</v>
      </c>
      <c r="S265" s="579"/>
      <c r="T265" s="579"/>
      <c r="U265" s="575"/>
      <c r="V265" s="575"/>
      <c r="W265" s="575"/>
      <c r="X265" s="575"/>
      <c r="Y265" s="575"/>
      <c r="Z265" s="575"/>
      <c r="AA265" s="583"/>
    </row>
    <row r="266" spans="1:27" s="584" customFormat="1" x14ac:dyDescent="0.2">
      <c r="A266" s="575">
        <f>A264+1</f>
        <v>130</v>
      </c>
      <c r="B266" s="575" t="s">
        <v>527</v>
      </c>
      <c r="C266" s="583" t="s">
        <v>232</v>
      </c>
      <c r="D266" s="571"/>
      <c r="E266" s="576"/>
      <c r="F266" s="576"/>
      <c r="G266" s="577"/>
      <c r="H266" s="575"/>
      <c r="I266" s="577"/>
      <c r="J266" s="582"/>
      <c r="K266" s="578">
        <f>(M266*4+N266*2)/2</f>
        <v>12</v>
      </c>
      <c r="L266" s="578"/>
      <c r="M266" s="578">
        <v>6</v>
      </c>
      <c r="N266" s="579"/>
      <c r="O266" s="579"/>
      <c r="P266" s="579"/>
      <c r="Q266" s="579"/>
      <c r="R266" s="579"/>
      <c r="S266" s="579"/>
      <c r="T266" s="579"/>
      <c r="U266" s="575"/>
      <c r="V266" s="575">
        <v>1</v>
      </c>
      <c r="W266" s="575">
        <v>1</v>
      </c>
      <c r="X266" s="575"/>
      <c r="Y266" s="575"/>
      <c r="Z266" s="575">
        <v>2</v>
      </c>
      <c r="AA266" s="583"/>
    </row>
    <row r="267" spans="1:27" s="584" customFormat="1" x14ac:dyDescent="0.2">
      <c r="A267" s="575"/>
      <c r="B267" s="575"/>
      <c r="C267" s="583"/>
      <c r="D267" s="571"/>
      <c r="E267" s="576">
        <v>405.50099999999998</v>
      </c>
      <c r="F267" s="576">
        <f>+CEILING(E267,5)</f>
        <v>410</v>
      </c>
      <c r="G267" s="577"/>
      <c r="H267" s="575">
        <f>F267*36</f>
        <v>14760</v>
      </c>
      <c r="I267" s="577">
        <f>F267</f>
        <v>410</v>
      </c>
      <c r="J267" s="582"/>
      <c r="K267" s="578"/>
      <c r="L267" s="578"/>
      <c r="M267" s="578"/>
      <c r="N267" s="579"/>
      <c r="O267" s="579"/>
      <c r="P267" s="579"/>
      <c r="Q267" s="579"/>
      <c r="R267" s="578">
        <v>42</v>
      </c>
      <c r="S267" s="579"/>
      <c r="T267" s="579"/>
      <c r="U267" s="575"/>
      <c r="V267" s="575"/>
      <c r="W267" s="575"/>
      <c r="X267" s="575"/>
      <c r="Y267" s="575"/>
      <c r="Z267" s="575"/>
      <c r="AA267" s="583"/>
    </row>
    <row r="268" spans="1:27" s="584" customFormat="1" x14ac:dyDescent="0.2">
      <c r="A268" s="575">
        <f>A266+1</f>
        <v>131</v>
      </c>
      <c r="B268" s="575" t="s">
        <v>528</v>
      </c>
      <c r="C268" s="583" t="s">
        <v>20</v>
      </c>
      <c r="D268" s="571"/>
      <c r="E268" s="576"/>
      <c r="F268" s="576"/>
      <c r="G268" s="577"/>
      <c r="H268" s="575"/>
      <c r="I268" s="577"/>
      <c r="J268" s="582"/>
      <c r="K268" s="578">
        <f>(M268*4+N268*2)/2</f>
        <v>12</v>
      </c>
      <c r="L268" s="578"/>
      <c r="M268" s="578">
        <v>6</v>
      </c>
      <c r="N268" s="579"/>
      <c r="O268" s="579"/>
      <c r="P268" s="579"/>
      <c r="Q268" s="579"/>
      <c r="R268" s="579"/>
      <c r="S268" s="579"/>
      <c r="T268" s="579"/>
      <c r="U268" s="575"/>
      <c r="V268" s="575">
        <v>1</v>
      </c>
      <c r="W268" s="575">
        <v>1</v>
      </c>
      <c r="X268" s="575"/>
      <c r="Y268" s="575"/>
      <c r="Z268" s="575">
        <v>2</v>
      </c>
      <c r="AA268" s="583"/>
    </row>
    <row r="269" spans="1:27" s="584" customFormat="1" x14ac:dyDescent="0.2">
      <c r="A269" s="575"/>
      <c r="B269" s="575"/>
      <c r="C269" s="583"/>
      <c r="D269" s="571"/>
      <c r="E269" s="576">
        <v>426.01400000000001</v>
      </c>
      <c r="F269" s="576">
        <f>+CEILING(E269,5)</f>
        <v>430</v>
      </c>
      <c r="G269" s="577"/>
      <c r="H269" s="575">
        <f>F269*36</f>
        <v>15480</v>
      </c>
      <c r="I269" s="577">
        <f>F269</f>
        <v>430</v>
      </c>
      <c r="J269" s="582"/>
      <c r="K269" s="578"/>
      <c r="L269" s="582"/>
      <c r="M269" s="578"/>
      <c r="N269" s="579"/>
      <c r="O269" s="579"/>
      <c r="P269" s="579"/>
      <c r="Q269" s="579"/>
      <c r="R269" s="578">
        <v>42</v>
      </c>
      <c r="S269" s="579"/>
      <c r="T269" s="579"/>
      <c r="U269" s="575"/>
      <c r="V269" s="575"/>
      <c r="W269" s="575"/>
      <c r="X269" s="575"/>
      <c r="Y269" s="575"/>
      <c r="Z269" s="575"/>
      <c r="AA269" s="583"/>
    </row>
    <row r="270" spans="1:27" s="584" customFormat="1" x14ac:dyDescent="0.2">
      <c r="A270" s="575">
        <f>A268+1</f>
        <v>132</v>
      </c>
      <c r="B270" s="575" t="s">
        <v>529</v>
      </c>
      <c r="C270" s="583" t="s">
        <v>20</v>
      </c>
      <c r="D270" s="571"/>
      <c r="E270" s="576"/>
      <c r="F270" s="576"/>
      <c r="G270" s="577"/>
      <c r="H270" s="575"/>
      <c r="I270" s="577"/>
      <c r="J270" s="582"/>
      <c r="K270" s="578">
        <f>(M270*4+N270*2)/2</f>
        <v>12</v>
      </c>
      <c r="L270" s="578"/>
      <c r="M270" s="578">
        <v>6</v>
      </c>
      <c r="N270" s="579"/>
      <c r="O270" s="579"/>
      <c r="P270" s="579"/>
      <c r="Q270" s="579"/>
      <c r="R270" s="579"/>
      <c r="S270" s="579"/>
      <c r="T270" s="579"/>
      <c r="U270" s="575"/>
      <c r="V270" s="575">
        <v>1</v>
      </c>
      <c r="W270" s="575">
        <v>1</v>
      </c>
      <c r="X270" s="575"/>
      <c r="Y270" s="575"/>
      <c r="Z270" s="575">
        <v>2</v>
      </c>
      <c r="AA270" s="583"/>
    </row>
    <row r="271" spans="1:27" s="584" customFormat="1" x14ac:dyDescent="0.2">
      <c r="A271" s="575"/>
      <c r="B271" s="575"/>
      <c r="C271" s="583"/>
      <c r="D271" s="571"/>
      <c r="E271" s="576">
        <v>406.90499999999997</v>
      </c>
      <c r="F271" s="576">
        <f>+CEILING(E271,5)</f>
        <v>410</v>
      </c>
      <c r="G271" s="577"/>
      <c r="H271" s="575">
        <f>F271*36</f>
        <v>14760</v>
      </c>
      <c r="I271" s="577">
        <f>F271</f>
        <v>410</v>
      </c>
      <c r="J271" s="582"/>
      <c r="K271" s="578"/>
      <c r="L271" s="578"/>
      <c r="M271" s="578"/>
      <c r="N271" s="579"/>
      <c r="O271" s="579"/>
      <c r="P271" s="579"/>
      <c r="Q271" s="579"/>
      <c r="R271" s="578">
        <v>42</v>
      </c>
      <c r="S271" s="579"/>
      <c r="T271" s="579"/>
      <c r="U271" s="575"/>
      <c r="V271" s="575"/>
      <c r="W271" s="575"/>
      <c r="X271" s="575"/>
      <c r="Y271" s="575"/>
      <c r="Z271" s="575"/>
      <c r="AA271" s="583"/>
    </row>
    <row r="272" spans="1:27" s="584" customFormat="1" x14ac:dyDescent="0.2">
      <c r="A272" s="575">
        <f>A270+1</f>
        <v>133</v>
      </c>
      <c r="B272" s="575" t="s">
        <v>175</v>
      </c>
      <c r="C272" s="583" t="s">
        <v>232</v>
      </c>
      <c r="D272" s="571"/>
      <c r="E272" s="576"/>
      <c r="F272" s="576"/>
      <c r="G272" s="577"/>
      <c r="H272" s="575"/>
      <c r="I272" s="577"/>
      <c r="J272" s="582"/>
      <c r="K272" s="578">
        <f>(M272*4+N272*2)/2</f>
        <v>12</v>
      </c>
      <c r="L272" s="578"/>
      <c r="M272" s="578">
        <v>6</v>
      </c>
      <c r="N272" s="579"/>
      <c r="O272" s="579"/>
      <c r="P272" s="579"/>
      <c r="Q272" s="579"/>
      <c r="R272" s="579"/>
      <c r="S272" s="579"/>
      <c r="T272" s="579"/>
      <c r="U272" s="575"/>
      <c r="V272" s="575">
        <v>1</v>
      </c>
      <c r="W272" s="575">
        <v>1</v>
      </c>
      <c r="X272" s="575"/>
      <c r="Y272" s="575"/>
      <c r="Z272" s="575">
        <v>2</v>
      </c>
      <c r="AA272" s="583"/>
    </row>
    <row r="273" spans="1:27" s="584" customFormat="1" x14ac:dyDescent="0.2">
      <c r="A273" s="575"/>
      <c r="B273" s="575"/>
      <c r="C273" s="583"/>
      <c r="D273" s="571"/>
      <c r="E273" s="576">
        <v>433.25299999999999</v>
      </c>
      <c r="F273" s="576">
        <f>+CEILING(E273,5)</f>
        <v>435</v>
      </c>
      <c r="G273" s="577"/>
      <c r="H273" s="575">
        <f>F273*36</f>
        <v>15660</v>
      </c>
      <c r="I273" s="577">
        <f>F273</f>
        <v>435</v>
      </c>
      <c r="J273" s="582"/>
      <c r="K273" s="578"/>
      <c r="L273" s="578"/>
      <c r="M273" s="578"/>
      <c r="N273" s="579"/>
      <c r="O273" s="579"/>
      <c r="P273" s="579"/>
      <c r="Q273" s="579"/>
      <c r="R273" s="578">
        <v>42</v>
      </c>
      <c r="S273" s="579"/>
      <c r="T273" s="579"/>
      <c r="U273" s="575"/>
      <c r="V273" s="575"/>
      <c r="W273" s="575"/>
      <c r="X273" s="575"/>
      <c r="Y273" s="575"/>
      <c r="Z273" s="575"/>
      <c r="AA273" s="583"/>
    </row>
    <row r="274" spans="1:27" s="584" customFormat="1" x14ac:dyDescent="0.2">
      <c r="A274" s="575">
        <f>A272+1</f>
        <v>134</v>
      </c>
      <c r="B274" s="575" t="s">
        <v>176</v>
      </c>
      <c r="C274" s="583" t="s">
        <v>20</v>
      </c>
      <c r="D274" s="571"/>
      <c r="E274" s="576"/>
      <c r="F274" s="576"/>
      <c r="G274" s="577"/>
      <c r="H274" s="575"/>
      <c r="I274" s="577"/>
      <c r="J274" s="582"/>
      <c r="K274" s="578">
        <f>(M274*4+N274*2)/2</f>
        <v>12</v>
      </c>
      <c r="L274" s="578"/>
      <c r="M274" s="578">
        <v>6</v>
      </c>
      <c r="N274" s="579"/>
      <c r="O274" s="579"/>
      <c r="P274" s="579"/>
      <c r="Q274" s="579"/>
      <c r="R274" s="579"/>
      <c r="S274" s="579"/>
      <c r="T274" s="579"/>
      <c r="U274" s="575"/>
      <c r="V274" s="575">
        <v>1</v>
      </c>
      <c r="W274" s="575">
        <v>1</v>
      </c>
      <c r="X274" s="575"/>
      <c r="Y274" s="575"/>
      <c r="Z274" s="575">
        <v>2</v>
      </c>
      <c r="AA274" s="583"/>
    </row>
    <row r="275" spans="1:27" s="584" customFormat="1" x14ac:dyDescent="0.2">
      <c r="A275" s="575"/>
      <c r="B275" s="575"/>
      <c r="C275" s="583"/>
      <c r="D275" s="571"/>
      <c r="E275" s="576">
        <v>372.89699999999999</v>
      </c>
      <c r="F275" s="576">
        <f>+CEILING(E275,5)</f>
        <v>375</v>
      </c>
      <c r="G275" s="577"/>
      <c r="H275" s="575">
        <f>F275*36</f>
        <v>13500</v>
      </c>
      <c r="I275" s="577">
        <f>F275</f>
        <v>375</v>
      </c>
      <c r="J275" s="582"/>
      <c r="K275" s="578"/>
      <c r="L275" s="578"/>
      <c r="M275" s="578"/>
      <c r="N275" s="579"/>
      <c r="O275" s="579"/>
      <c r="P275" s="579"/>
      <c r="Q275" s="579"/>
      <c r="R275" s="578">
        <v>36</v>
      </c>
      <c r="S275" s="579"/>
      <c r="T275" s="579"/>
      <c r="U275" s="575"/>
      <c r="V275" s="575"/>
      <c r="W275" s="575"/>
      <c r="X275" s="575"/>
      <c r="Y275" s="575"/>
      <c r="Z275" s="575"/>
      <c r="AA275" s="583"/>
    </row>
    <row r="276" spans="1:27" s="584" customFormat="1" x14ac:dyDescent="0.2">
      <c r="A276" s="575">
        <f>A274+1</f>
        <v>135</v>
      </c>
      <c r="B276" s="575" t="s">
        <v>177</v>
      </c>
      <c r="C276" s="583" t="s">
        <v>232</v>
      </c>
      <c r="D276" s="571"/>
      <c r="E276" s="576"/>
      <c r="F276" s="576"/>
      <c r="G276" s="577"/>
      <c r="H276" s="575"/>
      <c r="I276" s="577"/>
      <c r="J276" s="582"/>
      <c r="K276" s="578">
        <f>(M276*4+N276*2)/2</f>
        <v>12</v>
      </c>
      <c r="L276" s="578"/>
      <c r="M276" s="578">
        <v>6</v>
      </c>
      <c r="N276" s="579"/>
      <c r="O276" s="579"/>
      <c r="P276" s="579"/>
      <c r="Q276" s="579"/>
      <c r="R276" s="579"/>
      <c r="S276" s="579"/>
      <c r="T276" s="579"/>
      <c r="U276" s="575"/>
      <c r="V276" s="575">
        <v>1</v>
      </c>
      <c r="W276" s="575">
        <v>1</v>
      </c>
      <c r="X276" s="575"/>
      <c r="Y276" s="575"/>
      <c r="Z276" s="575">
        <v>2</v>
      </c>
      <c r="AA276" s="583"/>
    </row>
    <row r="277" spans="1:27" s="584" customFormat="1" x14ac:dyDescent="0.2">
      <c r="A277" s="575"/>
      <c r="B277" s="575"/>
      <c r="C277" s="583"/>
      <c r="D277" s="571"/>
      <c r="E277" s="576">
        <v>443.53899999999999</v>
      </c>
      <c r="F277" s="576">
        <f>+CEILING(E277,5)</f>
        <v>445</v>
      </c>
      <c r="G277" s="577"/>
      <c r="H277" s="575">
        <f>F277*36</f>
        <v>16020</v>
      </c>
      <c r="I277" s="577">
        <f>F277</f>
        <v>445</v>
      </c>
      <c r="J277" s="582"/>
      <c r="K277" s="578"/>
      <c r="L277" s="578"/>
      <c r="M277" s="578"/>
      <c r="N277" s="579"/>
      <c r="O277" s="579"/>
      <c r="P277" s="579"/>
      <c r="Q277" s="579"/>
      <c r="R277" s="578">
        <v>42</v>
      </c>
      <c r="S277" s="579"/>
      <c r="T277" s="579"/>
      <c r="U277" s="575"/>
      <c r="V277" s="575"/>
      <c r="W277" s="575"/>
      <c r="X277" s="575"/>
      <c r="Y277" s="575"/>
      <c r="Z277" s="575"/>
      <c r="AA277" s="583"/>
    </row>
    <row r="278" spans="1:27" s="584" customFormat="1" x14ac:dyDescent="0.2">
      <c r="A278" s="575">
        <f>A276+1</f>
        <v>136</v>
      </c>
      <c r="B278" s="572" t="s">
        <v>50</v>
      </c>
      <c r="C278" s="571" t="s">
        <v>249</v>
      </c>
      <c r="D278" s="571" t="s">
        <v>1091</v>
      </c>
      <c r="E278" s="576"/>
      <c r="F278" s="576"/>
      <c r="G278" s="577"/>
      <c r="H278" s="575"/>
      <c r="I278" s="577"/>
      <c r="J278" s="578">
        <v>48</v>
      </c>
      <c r="K278" s="582"/>
      <c r="L278" s="578">
        <v>12</v>
      </c>
      <c r="M278" s="582"/>
      <c r="N278" s="575"/>
      <c r="O278" s="575"/>
      <c r="P278" s="575"/>
      <c r="Q278" s="575"/>
      <c r="R278" s="579"/>
      <c r="S278" s="575">
        <v>30</v>
      </c>
      <c r="T278" s="575"/>
      <c r="U278" s="575">
        <v>2</v>
      </c>
      <c r="V278" s="575"/>
      <c r="W278" s="575">
        <v>2</v>
      </c>
      <c r="X278" s="575"/>
      <c r="Y278" s="575"/>
      <c r="Z278" s="575">
        <v>4</v>
      </c>
      <c r="AA278" s="583"/>
    </row>
    <row r="279" spans="1:27" s="584" customFormat="1" x14ac:dyDescent="0.2">
      <c r="A279" s="575"/>
      <c r="B279" s="575"/>
      <c r="C279" s="583"/>
      <c r="D279" s="571"/>
      <c r="E279" s="576">
        <v>456.34800000000001</v>
      </c>
      <c r="F279" s="576">
        <f>+CEILING(E279,5)</f>
        <v>460</v>
      </c>
      <c r="G279" s="577"/>
      <c r="H279" s="575">
        <f>F279*36</f>
        <v>16560</v>
      </c>
      <c r="I279" s="577">
        <f>F279</f>
        <v>460</v>
      </c>
      <c r="J279" s="582"/>
      <c r="K279" s="578"/>
      <c r="L279" s="578"/>
      <c r="M279" s="578"/>
      <c r="N279" s="579"/>
      <c r="O279" s="579"/>
      <c r="P279" s="579"/>
      <c r="Q279" s="579"/>
      <c r="R279" s="578">
        <v>48</v>
      </c>
      <c r="S279" s="579"/>
      <c r="T279" s="579"/>
      <c r="U279" s="575"/>
      <c r="V279" s="575"/>
      <c r="W279" s="575"/>
      <c r="X279" s="575"/>
      <c r="Y279" s="575"/>
      <c r="Z279" s="575"/>
      <c r="AA279" s="583"/>
    </row>
    <row r="280" spans="1:27" s="584" customFormat="1" x14ac:dyDescent="0.2">
      <c r="A280" s="575">
        <f>A278+1</f>
        <v>137</v>
      </c>
      <c r="B280" s="575" t="s">
        <v>51</v>
      </c>
      <c r="C280" s="583" t="s">
        <v>233</v>
      </c>
      <c r="D280" s="571"/>
      <c r="E280" s="576"/>
      <c r="F280" s="576"/>
      <c r="G280" s="577"/>
      <c r="H280" s="575"/>
      <c r="I280" s="577"/>
      <c r="J280" s="582"/>
      <c r="K280" s="578">
        <f>(M280*4+N280*2)/2</f>
        <v>12</v>
      </c>
      <c r="L280" s="578"/>
      <c r="M280" s="578">
        <v>6</v>
      </c>
      <c r="N280" s="579"/>
      <c r="O280" s="579"/>
      <c r="P280" s="579"/>
      <c r="Q280" s="579"/>
      <c r="R280" s="579"/>
      <c r="S280" s="579"/>
      <c r="T280" s="579"/>
      <c r="U280" s="575"/>
      <c r="V280" s="575">
        <v>1</v>
      </c>
      <c r="W280" s="575">
        <v>1</v>
      </c>
      <c r="X280" s="575"/>
      <c r="Y280" s="575"/>
      <c r="Z280" s="575">
        <v>2</v>
      </c>
      <c r="AA280" s="583"/>
    </row>
    <row r="281" spans="1:27" s="584" customFormat="1" x14ac:dyDescent="0.2">
      <c r="A281" s="575"/>
      <c r="B281" s="575"/>
      <c r="C281" s="583"/>
      <c r="D281" s="571"/>
      <c r="E281" s="576">
        <v>379.19900000000001</v>
      </c>
      <c r="F281" s="576">
        <f>+CEILING(E281,5)</f>
        <v>380</v>
      </c>
      <c r="G281" s="577"/>
      <c r="H281" s="575">
        <f>F281*36</f>
        <v>13680</v>
      </c>
      <c r="I281" s="577">
        <f>F281</f>
        <v>380</v>
      </c>
      <c r="J281" s="582"/>
      <c r="K281" s="578"/>
      <c r="L281" s="582"/>
      <c r="M281" s="578"/>
      <c r="N281" s="575"/>
      <c r="O281" s="575"/>
      <c r="P281" s="575"/>
      <c r="Q281" s="575"/>
      <c r="R281" s="578">
        <v>36</v>
      </c>
      <c r="S281" s="575"/>
      <c r="T281" s="575"/>
      <c r="U281" s="575"/>
      <c r="V281" s="575"/>
      <c r="W281" s="575"/>
      <c r="X281" s="575"/>
      <c r="Y281" s="575"/>
      <c r="Z281" s="575"/>
      <c r="AA281" s="583"/>
    </row>
    <row r="282" spans="1:27" s="584" customFormat="1" x14ac:dyDescent="0.2">
      <c r="A282" s="575">
        <f>A280+1</f>
        <v>138</v>
      </c>
      <c r="B282" s="575" t="s">
        <v>28</v>
      </c>
      <c r="C282" s="583" t="s">
        <v>232</v>
      </c>
      <c r="D282" s="571"/>
      <c r="E282" s="576"/>
      <c r="F282" s="576"/>
      <c r="G282" s="577"/>
      <c r="H282" s="575"/>
      <c r="I282" s="577"/>
      <c r="J282" s="582"/>
      <c r="K282" s="578">
        <f>(M282*4+N282*2)/2</f>
        <v>12</v>
      </c>
      <c r="L282" s="578"/>
      <c r="M282" s="578">
        <v>6</v>
      </c>
      <c r="N282" s="579"/>
      <c r="O282" s="579"/>
      <c r="P282" s="579"/>
      <c r="Q282" s="579"/>
      <c r="R282" s="579"/>
      <c r="S282" s="579"/>
      <c r="T282" s="579"/>
      <c r="U282" s="575"/>
      <c r="V282" s="575">
        <v>1</v>
      </c>
      <c r="W282" s="575">
        <v>1</v>
      </c>
      <c r="X282" s="575"/>
      <c r="Y282" s="575"/>
      <c r="Z282" s="575">
        <v>2</v>
      </c>
      <c r="AA282" s="583"/>
    </row>
    <row r="283" spans="1:27" s="584" customFormat="1" x14ac:dyDescent="0.2">
      <c r="A283" s="575"/>
      <c r="B283" s="575"/>
      <c r="C283" s="583"/>
      <c r="D283" s="571"/>
      <c r="E283" s="576">
        <v>382.62200000000001</v>
      </c>
      <c r="F283" s="576">
        <f>+CEILING(E283,5)</f>
        <v>385</v>
      </c>
      <c r="G283" s="577"/>
      <c r="H283" s="575">
        <f>F283*36</f>
        <v>13860</v>
      </c>
      <c r="I283" s="577">
        <f>F283</f>
        <v>385</v>
      </c>
      <c r="J283" s="582"/>
      <c r="K283" s="578"/>
      <c r="L283" s="578"/>
      <c r="M283" s="578"/>
      <c r="N283" s="579"/>
      <c r="O283" s="579"/>
      <c r="P283" s="579"/>
      <c r="Q283" s="579"/>
      <c r="R283" s="578">
        <v>36</v>
      </c>
      <c r="S283" s="579"/>
      <c r="T283" s="579"/>
      <c r="U283" s="575"/>
      <c r="V283" s="575"/>
      <c r="W283" s="575"/>
      <c r="X283" s="575"/>
      <c r="Y283" s="575"/>
      <c r="Z283" s="575"/>
      <c r="AA283" s="583"/>
    </row>
    <row r="284" spans="1:27" s="584" customFormat="1" x14ac:dyDescent="0.2">
      <c r="A284" s="575">
        <f>A282+1</f>
        <v>139</v>
      </c>
      <c r="B284" s="575" t="s">
        <v>52</v>
      </c>
      <c r="C284" s="583" t="s">
        <v>233</v>
      </c>
      <c r="D284" s="571"/>
      <c r="E284" s="576"/>
      <c r="F284" s="576"/>
      <c r="G284" s="577"/>
      <c r="H284" s="575"/>
      <c r="I284" s="577"/>
      <c r="J284" s="582"/>
      <c r="K284" s="578">
        <f>(M284*4+N284*2)/2</f>
        <v>12</v>
      </c>
      <c r="L284" s="578"/>
      <c r="M284" s="578">
        <v>6</v>
      </c>
      <c r="N284" s="579"/>
      <c r="O284" s="579"/>
      <c r="P284" s="579"/>
      <c r="Q284" s="579"/>
      <c r="R284" s="579"/>
      <c r="S284" s="579"/>
      <c r="T284" s="579"/>
      <c r="U284" s="575"/>
      <c r="V284" s="575">
        <v>1</v>
      </c>
      <c r="W284" s="575">
        <v>1</v>
      </c>
      <c r="X284" s="575"/>
      <c r="Y284" s="575"/>
      <c r="Z284" s="575">
        <v>2</v>
      </c>
      <c r="AA284" s="583"/>
    </row>
    <row r="285" spans="1:27" s="584" customFormat="1" x14ac:dyDescent="0.2">
      <c r="A285" s="575"/>
      <c r="B285" s="575"/>
      <c r="C285" s="583"/>
      <c r="D285" s="571"/>
      <c r="E285" s="576">
        <v>435.55599999999998</v>
      </c>
      <c r="F285" s="576">
        <f>+CEILING(E285,5)</f>
        <v>440</v>
      </c>
      <c r="G285" s="577"/>
      <c r="H285" s="575">
        <f>F285*36</f>
        <v>15840</v>
      </c>
      <c r="I285" s="577">
        <f>F285</f>
        <v>440</v>
      </c>
      <c r="J285" s="582"/>
      <c r="K285" s="578"/>
      <c r="L285" s="582"/>
      <c r="M285" s="578"/>
      <c r="N285" s="579"/>
      <c r="O285" s="579"/>
      <c r="P285" s="579"/>
      <c r="Q285" s="579"/>
      <c r="R285" s="578">
        <v>42</v>
      </c>
      <c r="S285" s="579"/>
      <c r="T285" s="579"/>
      <c r="U285" s="575"/>
      <c r="V285" s="575"/>
      <c r="W285" s="575"/>
      <c r="X285" s="575"/>
      <c r="Y285" s="575"/>
      <c r="Z285" s="575"/>
      <c r="AA285" s="583"/>
    </row>
    <row r="286" spans="1:27" s="584" customFormat="1" x14ac:dyDescent="0.2">
      <c r="A286" s="575">
        <f>A284+1</f>
        <v>140</v>
      </c>
      <c r="B286" s="575" t="s">
        <v>53</v>
      </c>
      <c r="C286" s="583" t="s">
        <v>233</v>
      </c>
      <c r="D286" s="571"/>
      <c r="E286" s="576"/>
      <c r="F286" s="576"/>
      <c r="G286" s="577"/>
      <c r="H286" s="575"/>
      <c r="I286" s="577"/>
      <c r="J286" s="582"/>
      <c r="K286" s="578">
        <f>(M286*4+N286*2)/2</f>
        <v>12</v>
      </c>
      <c r="L286" s="578"/>
      <c r="M286" s="578">
        <v>6</v>
      </c>
      <c r="N286" s="579"/>
      <c r="O286" s="579"/>
      <c r="P286" s="579"/>
      <c r="Q286" s="579"/>
      <c r="R286" s="579"/>
      <c r="S286" s="579"/>
      <c r="T286" s="579"/>
      <c r="U286" s="575"/>
      <c r="V286" s="575">
        <v>1</v>
      </c>
      <c r="W286" s="575">
        <v>1</v>
      </c>
      <c r="X286" s="575"/>
      <c r="Y286" s="575"/>
      <c r="Z286" s="575">
        <v>2</v>
      </c>
      <c r="AA286" s="583"/>
    </row>
    <row r="287" spans="1:27" s="584" customFormat="1" x14ac:dyDescent="0.2">
      <c r="A287" s="575"/>
      <c r="B287" s="575"/>
      <c r="C287" s="583"/>
      <c r="D287" s="571"/>
      <c r="E287" s="576">
        <v>402.06299999999999</v>
      </c>
      <c r="F287" s="576">
        <f>+CEILING(E287,5)</f>
        <v>405</v>
      </c>
      <c r="G287" s="577"/>
      <c r="H287" s="575">
        <f>F287*36</f>
        <v>14580</v>
      </c>
      <c r="I287" s="577">
        <f>F287</f>
        <v>405</v>
      </c>
      <c r="J287" s="582"/>
      <c r="K287" s="578"/>
      <c r="L287" s="578"/>
      <c r="M287" s="578"/>
      <c r="N287" s="579"/>
      <c r="O287" s="579"/>
      <c r="P287" s="579"/>
      <c r="Q287" s="579"/>
      <c r="R287" s="578">
        <v>42</v>
      </c>
      <c r="S287" s="579"/>
      <c r="T287" s="579"/>
      <c r="U287" s="575"/>
      <c r="V287" s="575"/>
      <c r="W287" s="575"/>
      <c r="X287" s="575"/>
      <c r="Y287" s="575"/>
      <c r="Z287" s="575"/>
      <c r="AA287" s="583"/>
    </row>
    <row r="288" spans="1:27" s="584" customFormat="1" x14ac:dyDescent="0.2">
      <c r="A288" s="575">
        <f>A286+1</f>
        <v>141</v>
      </c>
      <c r="B288" s="575" t="s">
        <v>54</v>
      </c>
      <c r="C288" s="583" t="s">
        <v>1092</v>
      </c>
      <c r="D288" s="571"/>
      <c r="E288" s="576"/>
      <c r="F288" s="576"/>
      <c r="G288" s="577"/>
      <c r="H288" s="575"/>
      <c r="I288" s="577"/>
      <c r="J288" s="582"/>
      <c r="K288" s="578">
        <f>(M288*4+N288*2)/2</f>
        <v>12</v>
      </c>
      <c r="L288" s="578"/>
      <c r="M288" s="578">
        <v>6</v>
      </c>
      <c r="N288" s="579"/>
      <c r="O288" s="579"/>
      <c r="P288" s="579"/>
      <c r="Q288" s="579"/>
      <c r="R288" s="579"/>
      <c r="S288" s="579"/>
      <c r="T288" s="579"/>
      <c r="U288" s="575"/>
      <c r="V288" s="575">
        <v>1</v>
      </c>
      <c r="W288" s="575">
        <v>1</v>
      </c>
      <c r="X288" s="575"/>
      <c r="Y288" s="575"/>
      <c r="Z288" s="575">
        <v>2</v>
      </c>
      <c r="AA288" s="583"/>
    </row>
    <row r="289" spans="1:27" s="584" customFormat="1" x14ac:dyDescent="0.2">
      <c r="A289" s="575"/>
      <c r="B289" s="575"/>
      <c r="C289" s="583"/>
      <c r="D289" s="571"/>
      <c r="E289" s="576">
        <v>417.315</v>
      </c>
      <c r="F289" s="576">
        <f>+CEILING(E289,5)</f>
        <v>420</v>
      </c>
      <c r="G289" s="577"/>
      <c r="H289" s="575">
        <f>F289*36</f>
        <v>15120</v>
      </c>
      <c r="I289" s="577">
        <f>F289</f>
        <v>420</v>
      </c>
      <c r="J289" s="582"/>
      <c r="K289" s="578"/>
      <c r="L289" s="578"/>
      <c r="M289" s="578"/>
      <c r="N289" s="579"/>
      <c r="O289" s="579"/>
      <c r="P289" s="579"/>
      <c r="Q289" s="579"/>
      <c r="R289" s="578">
        <v>42</v>
      </c>
      <c r="S289" s="579"/>
      <c r="T289" s="579"/>
      <c r="U289" s="575"/>
      <c r="V289" s="575"/>
      <c r="W289" s="575"/>
      <c r="X289" s="575"/>
      <c r="Y289" s="575"/>
      <c r="Z289" s="575"/>
      <c r="AA289" s="583"/>
    </row>
    <row r="290" spans="1:27" s="584" customFormat="1" x14ac:dyDescent="0.2">
      <c r="A290" s="575">
        <f>A288+1</f>
        <v>142</v>
      </c>
      <c r="B290" s="575" t="s">
        <v>25</v>
      </c>
      <c r="C290" s="583" t="s">
        <v>231</v>
      </c>
      <c r="D290" s="571"/>
      <c r="E290" s="576"/>
      <c r="F290" s="576"/>
      <c r="G290" s="577"/>
      <c r="H290" s="575"/>
      <c r="I290" s="577"/>
      <c r="J290" s="582"/>
      <c r="K290" s="578">
        <f>(M290*4+N290*2)/2</f>
        <v>12</v>
      </c>
      <c r="L290" s="578"/>
      <c r="M290" s="578">
        <v>6</v>
      </c>
      <c r="N290" s="579"/>
      <c r="O290" s="579"/>
      <c r="P290" s="579"/>
      <c r="Q290" s="579"/>
      <c r="R290" s="579"/>
      <c r="S290" s="579"/>
      <c r="T290" s="579"/>
      <c r="U290" s="575"/>
      <c r="V290" s="575">
        <v>1</v>
      </c>
      <c r="W290" s="575">
        <v>1</v>
      </c>
      <c r="X290" s="575"/>
      <c r="Y290" s="575"/>
      <c r="Z290" s="575">
        <v>2</v>
      </c>
      <c r="AA290" s="583"/>
    </row>
    <row r="291" spans="1:27" s="584" customFormat="1" x14ac:dyDescent="0.2">
      <c r="A291" s="575"/>
      <c r="B291" s="575"/>
      <c r="C291" s="583"/>
      <c r="D291" s="571"/>
      <c r="E291" s="576">
        <v>347.702</v>
      </c>
      <c r="F291" s="576">
        <f>+CEILING(E291,5)</f>
        <v>350</v>
      </c>
      <c r="G291" s="577"/>
      <c r="H291" s="575">
        <f>F291*36</f>
        <v>12600</v>
      </c>
      <c r="I291" s="577">
        <f>F291</f>
        <v>350</v>
      </c>
      <c r="J291" s="582"/>
      <c r="K291" s="578"/>
      <c r="L291" s="578"/>
      <c r="M291" s="578"/>
      <c r="N291" s="579"/>
      <c r="O291" s="579"/>
      <c r="P291" s="579"/>
      <c r="Q291" s="579"/>
      <c r="R291" s="578">
        <v>36</v>
      </c>
      <c r="S291" s="579"/>
      <c r="T291" s="579"/>
      <c r="U291" s="575"/>
      <c r="V291" s="575"/>
      <c r="W291" s="575"/>
      <c r="X291" s="575"/>
      <c r="Y291" s="575"/>
      <c r="Z291" s="575"/>
      <c r="AA291" s="583"/>
    </row>
    <row r="292" spans="1:27" s="584" customFormat="1" x14ac:dyDescent="0.2">
      <c r="A292" s="575">
        <f>A290+1</f>
        <v>143</v>
      </c>
      <c r="B292" s="575" t="s">
        <v>55</v>
      </c>
      <c r="C292" s="583" t="s">
        <v>231</v>
      </c>
      <c r="D292" s="571"/>
      <c r="E292" s="576"/>
      <c r="F292" s="576"/>
      <c r="G292" s="577"/>
      <c r="H292" s="575"/>
      <c r="I292" s="577"/>
      <c r="J292" s="582"/>
      <c r="K292" s="578">
        <f>(M292*4+N292*2)/2</f>
        <v>12</v>
      </c>
      <c r="L292" s="578"/>
      <c r="M292" s="578">
        <v>6</v>
      </c>
      <c r="N292" s="579"/>
      <c r="O292" s="579"/>
      <c r="P292" s="579"/>
      <c r="Q292" s="579"/>
      <c r="R292" s="579"/>
      <c r="S292" s="579"/>
      <c r="T292" s="579"/>
      <c r="U292" s="575"/>
      <c r="V292" s="575">
        <v>1</v>
      </c>
      <c r="W292" s="575">
        <v>1</v>
      </c>
      <c r="X292" s="575"/>
      <c r="Y292" s="575"/>
      <c r="Z292" s="575">
        <v>2</v>
      </c>
      <c r="AA292" s="583"/>
    </row>
    <row r="293" spans="1:27" s="584" customFormat="1" x14ac:dyDescent="0.2">
      <c r="A293" s="575"/>
      <c r="B293" s="575"/>
      <c r="C293" s="583"/>
      <c r="D293" s="571"/>
      <c r="E293" s="576">
        <v>356.245</v>
      </c>
      <c r="F293" s="576">
        <f>+CEILING(E293,5)</f>
        <v>360</v>
      </c>
      <c r="G293" s="577"/>
      <c r="H293" s="575">
        <f>F293*36</f>
        <v>12960</v>
      </c>
      <c r="I293" s="577">
        <f>F293</f>
        <v>360</v>
      </c>
      <c r="J293" s="582"/>
      <c r="K293" s="578"/>
      <c r="L293" s="582"/>
      <c r="M293" s="578"/>
      <c r="N293" s="579"/>
      <c r="O293" s="579"/>
      <c r="P293" s="579"/>
      <c r="Q293" s="579"/>
      <c r="R293" s="578">
        <v>36</v>
      </c>
      <c r="S293" s="579"/>
      <c r="T293" s="579"/>
      <c r="U293" s="575"/>
      <c r="V293" s="575"/>
      <c r="W293" s="575"/>
      <c r="X293" s="575"/>
      <c r="Y293" s="575"/>
      <c r="Z293" s="575"/>
      <c r="AA293" s="583"/>
    </row>
    <row r="294" spans="1:27" s="584" customFormat="1" x14ac:dyDescent="0.2">
      <c r="A294" s="575">
        <f>A292+1</f>
        <v>144</v>
      </c>
      <c r="B294" s="572" t="s">
        <v>56</v>
      </c>
      <c r="C294" s="571" t="s">
        <v>242</v>
      </c>
      <c r="D294" s="571" t="s">
        <v>1076</v>
      </c>
      <c r="E294" s="576"/>
      <c r="F294" s="576"/>
      <c r="G294" s="577"/>
      <c r="H294" s="575"/>
      <c r="I294" s="577"/>
      <c r="J294" s="578">
        <v>48</v>
      </c>
      <c r="K294" s="582"/>
      <c r="L294" s="578">
        <v>12</v>
      </c>
      <c r="M294" s="582"/>
      <c r="N294" s="575"/>
      <c r="O294" s="575"/>
      <c r="P294" s="575"/>
      <c r="Q294" s="575"/>
      <c r="R294" s="579"/>
      <c r="S294" s="575">
        <v>30</v>
      </c>
      <c r="T294" s="575"/>
      <c r="U294" s="575">
        <v>2</v>
      </c>
      <c r="V294" s="575"/>
      <c r="W294" s="575">
        <v>2</v>
      </c>
      <c r="X294" s="575"/>
      <c r="Y294" s="575"/>
      <c r="Z294" s="575">
        <v>4</v>
      </c>
      <c r="AA294" s="583"/>
    </row>
    <row r="295" spans="1:27" s="584" customFormat="1" x14ac:dyDescent="0.2">
      <c r="A295" s="575"/>
      <c r="B295" s="575"/>
      <c r="C295" s="583"/>
      <c r="D295" s="571"/>
      <c r="E295" s="576">
        <v>389.19299999999998</v>
      </c>
      <c r="F295" s="576">
        <f>+CEILING(E295,5)</f>
        <v>390</v>
      </c>
      <c r="G295" s="577"/>
      <c r="H295" s="575">
        <f>F295*36</f>
        <v>14040</v>
      </c>
      <c r="I295" s="577">
        <f>F295</f>
        <v>390</v>
      </c>
      <c r="J295" s="582"/>
      <c r="K295" s="578"/>
      <c r="L295" s="578"/>
      <c r="M295" s="578"/>
      <c r="N295" s="579"/>
      <c r="O295" s="579"/>
      <c r="P295" s="579"/>
      <c r="Q295" s="579"/>
      <c r="R295" s="578">
        <v>36</v>
      </c>
      <c r="S295" s="579"/>
      <c r="T295" s="579"/>
      <c r="U295" s="575"/>
      <c r="V295" s="575"/>
      <c r="W295" s="575"/>
      <c r="X295" s="575"/>
      <c r="Y295" s="575"/>
      <c r="Z295" s="575"/>
      <c r="AA295" s="583"/>
    </row>
    <row r="296" spans="1:27" s="584" customFormat="1" x14ac:dyDescent="0.2">
      <c r="A296" s="575">
        <f>A294+1</f>
        <v>145</v>
      </c>
      <c r="B296" s="575" t="s">
        <v>178</v>
      </c>
      <c r="C296" s="583" t="s">
        <v>232</v>
      </c>
      <c r="D296" s="571"/>
      <c r="E296" s="576"/>
      <c r="F296" s="576"/>
      <c r="G296" s="577"/>
      <c r="H296" s="575"/>
      <c r="I296" s="577"/>
      <c r="J296" s="582"/>
      <c r="K296" s="578">
        <f>(M296*4+N296*2)/2</f>
        <v>12</v>
      </c>
      <c r="L296" s="578"/>
      <c r="M296" s="578">
        <v>6</v>
      </c>
      <c r="N296" s="579"/>
      <c r="O296" s="579"/>
      <c r="P296" s="579"/>
      <c r="Q296" s="579"/>
      <c r="R296" s="579"/>
      <c r="S296" s="579"/>
      <c r="T296" s="579"/>
      <c r="U296" s="575"/>
      <c r="V296" s="575">
        <v>1</v>
      </c>
      <c r="W296" s="575">
        <v>1</v>
      </c>
      <c r="X296" s="575"/>
      <c r="Y296" s="575"/>
      <c r="Z296" s="575">
        <v>2</v>
      </c>
      <c r="AA296" s="583"/>
    </row>
    <row r="297" spans="1:27" s="584" customFormat="1" x14ac:dyDescent="0.2">
      <c r="A297" s="575"/>
      <c r="B297" s="575"/>
      <c r="C297" s="583"/>
      <c r="D297" s="571"/>
      <c r="E297" s="576">
        <v>343.77499999999998</v>
      </c>
      <c r="F297" s="576">
        <f>+CEILING(E297,5)</f>
        <v>345</v>
      </c>
      <c r="G297" s="577"/>
      <c r="H297" s="575">
        <f>F297*36</f>
        <v>12420</v>
      </c>
      <c r="I297" s="577">
        <f>F297</f>
        <v>345</v>
      </c>
      <c r="J297" s="582"/>
      <c r="K297" s="578"/>
      <c r="L297" s="578"/>
      <c r="M297" s="578"/>
      <c r="N297" s="579"/>
      <c r="O297" s="579"/>
      <c r="P297" s="579"/>
      <c r="Q297" s="579"/>
      <c r="R297" s="578">
        <v>36</v>
      </c>
      <c r="S297" s="579"/>
      <c r="T297" s="579"/>
      <c r="U297" s="575"/>
      <c r="V297" s="575"/>
      <c r="W297" s="575"/>
      <c r="X297" s="575"/>
      <c r="Y297" s="575"/>
      <c r="Z297" s="575"/>
      <c r="AA297" s="583"/>
    </row>
    <row r="298" spans="1:27" s="584" customFormat="1" x14ac:dyDescent="0.2">
      <c r="A298" s="575">
        <f>A296+1</f>
        <v>146</v>
      </c>
      <c r="B298" s="575" t="s">
        <v>530</v>
      </c>
      <c r="C298" s="583" t="s">
        <v>232</v>
      </c>
      <c r="D298" s="571"/>
      <c r="E298" s="576"/>
      <c r="F298" s="576"/>
      <c r="G298" s="577"/>
      <c r="H298" s="575"/>
      <c r="I298" s="577"/>
      <c r="J298" s="582"/>
      <c r="K298" s="578">
        <f>(M298*4+N298*2)/2</f>
        <v>12</v>
      </c>
      <c r="L298" s="578"/>
      <c r="M298" s="578">
        <v>6</v>
      </c>
      <c r="N298" s="579"/>
      <c r="O298" s="579"/>
      <c r="P298" s="579"/>
      <c r="Q298" s="579"/>
      <c r="R298" s="579"/>
      <c r="S298" s="579"/>
      <c r="T298" s="579"/>
      <c r="U298" s="575"/>
      <c r="V298" s="575">
        <v>1</v>
      </c>
      <c r="W298" s="575">
        <v>1</v>
      </c>
      <c r="X298" s="575"/>
      <c r="Y298" s="575"/>
      <c r="Z298" s="575">
        <v>2</v>
      </c>
      <c r="AA298" s="583"/>
    </row>
    <row r="299" spans="1:27" s="584" customFormat="1" x14ac:dyDescent="0.2">
      <c r="A299" s="575"/>
      <c r="B299" s="575"/>
      <c r="C299" s="583"/>
      <c r="D299" s="571"/>
      <c r="E299" s="576">
        <v>395.488</v>
      </c>
      <c r="F299" s="576">
        <f>+CEILING(E299,5)</f>
        <v>400</v>
      </c>
      <c r="G299" s="577"/>
      <c r="H299" s="575">
        <f>F299*36</f>
        <v>14400</v>
      </c>
      <c r="I299" s="577">
        <f>F299</f>
        <v>400</v>
      </c>
      <c r="J299" s="582"/>
      <c r="K299" s="578"/>
      <c r="L299" s="582"/>
      <c r="M299" s="578"/>
      <c r="N299" s="579"/>
      <c r="O299" s="579"/>
      <c r="P299" s="579"/>
      <c r="Q299" s="579"/>
      <c r="R299" s="578">
        <v>42</v>
      </c>
      <c r="S299" s="579"/>
      <c r="T299" s="579"/>
      <c r="U299" s="575"/>
      <c r="V299" s="575"/>
      <c r="W299" s="575"/>
      <c r="X299" s="575"/>
      <c r="Y299" s="575"/>
      <c r="Z299" s="575"/>
      <c r="AA299" s="583"/>
    </row>
    <row r="300" spans="1:27" s="584" customFormat="1" x14ac:dyDescent="0.2">
      <c r="A300" s="575">
        <f>A298+1</f>
        <v>147</v>
      </c>
      <c r="B300" s="575" t="s">
        <v>531</v>
      </c>
      <c r="C300" s="583" t="s">
        <v>232</v>
      </c>
      <c r="D300" s="571"/>
      <c r="E300" s="576"/>
      <c r="F300" s="576"/>
      <c r="G300" s="577"/>
      <c r="H300" s="575"/>
      <c r="I300" s="577"/>
      <c r="J300" s="582"/>
      <c r="K300" s="578">
        <f>(M300*4+N300*2)/2</f>
        <v>12</v>
      </c>
      <c r="L300" s="578"/>
      <c r="M300" s="578">
        <v>6</v>
      </c>
      <c r="N300" s="579"/>
      <c r="O300" s="579"/>
      <c r="P300" s="579"/>
      <c r="Q300" s="579"/>
      <c r="R300" s="579"/>
      <c r="S300" s="579"/>
      <c r="T300" s="579"/>
      <c r="U300" s="575"/>
      <c r="V300" s="575">
        <v>1</v>
      </c>
      <c r="W300" s="575">
        <v>1</v>
      </c>
      <c r="X300" s="575"/>
      <c r="Y300" s="575"/>
      <c r="Z300" s="575">
        <v>2</v>
      </c>
      <c r="AA300" s="583"/>
    </row>
    <row r="301" spans="1:27" s="584" customFormat="1" x14ac:dyDescent="0.2">
      <c r="A301" s="575"/>
      <c r="B301" s="575"/>
      <c r="C301" s="583"/>
      <c r="D301" s="571"/>
      <c r="E301" s="576">
        <v>408.03199999999998</v>
      </c>
      <c r="F301" s="576">
        <f>+CEILING(E301,5)</f>
        <v>410</v>
      </c>
      <c r="G301" s="577"/>
      <c r="H301" s="575">
        <f>F301*36</f>
        <v>14760</v>
      </c>
      <c r="I301" s="577">
        <f>F301</f>
        <v>410</v>
      </c>
      <c r="J301" s="582"/>
      <c r="K301" s="578"/>
      <c r="L301" s="582"/>
      <c r="M301" s="578"/>
      <c r="N301" s="579"/>
      <c r="O301" s="579"/>
      <c r="P301" s="579"/>
      <c r="Q301" s="579"/>
      <c r="R301" s="578">
        <v>42</v>
      </c>
      <c r="S301" s="579"/>
      <c r="T301" s="579"/>
      <c r="U301" s="575"/>
      <c r="V301" s="575"/>
      <c r="W301" s="575"/>
      <c r="X301" s="575"/>
      <c r="Y301" s="575"/>
      <c r="Z301" s="575"/>
      <c r="AA301" s="583"/>
    </row>
    <row r="302" spans="1:27" s="584" customFormat="1" x14ac:dyDescent="0.2">
      <c r="A302" s="575">
        <f>A300+1</f>
        <v>148</v>
      </c>
      <c r="B302" s="575" t="s">
        <v>532</v>
      </c>
      <c r="C302" s="583" t="s">
        <v>20</v>
      </c>
      <c r="D302" s="571"/>
      <c r="E302" s="576"/>
      <c r="F302" s="576"/>
      <c r="G302" s="577"/>
      <c r="H302" s="575"/>
      <c r="I302" s="577"/>
      <c r="J302" s="582"/>
      <c r="K302" s="578">
        <f>(M302*4+N302*2)/2</f>
        <v>12</v>
      </c>
      <c r="L302" s="578"/>
      <c r="M302" s="578">
        <v>6</v>
      </c>
      <c r="N302" s="579"/>
      <c r="O302" s="579"/>
      <c r="P302" s="579"/>
      <c r="Q302" s="579"/>
      <c r="R302" s="579"/>
      <c r="S302" s="579"/>
      <c r="T302" s="579"/>
      <c r="U302" s="575"/>
      <c r="V302" s="575">
        <v>1</v>
      </c>
      <c r="W302" s="575">
        <v>1</v>
      </c>
      <c r="X302" s="575"/>
      <c r="Y302" s="575"/>
      <c r="Z302" s="575">
        <v>2</v>
      </c>
      <c r="AA302" s="583"/>
    </row>
    <row r="303" spans="1:27" s="584" customFormat="1" x14ac:dyDescent="0.2">
      <c r="A303" s="575"/>
      <c r="B303" s="575"/>
      <c r="C303" s="583"/>
      <c r="D303" s="571"/>
      <c r="E303" s="576">
        <v>318.00200000000001</v>
      </c>
      <c r="F303" s="576">
        <f>+CEILING(E303,5)</f>
        <v>320</v>
      </c>
      <c r="G303" s="577"/>
      <c r="H303" s="575">
        <f>F303*36</f>
        <v>11520</v>
      </c>
      <c r="I303" s="577">
        <f>F303</f>
        <v>320</v>
      </c>
      <c r="J303" s="582"/>
      <c r="K303" s="578"/>
      <c r="L303" s="578"/>
      <c r="M303" s="578"/>
      <c r="N303" s="579"/>
      <c r="O303" s="579"/>
      <c r="P303" s="579"/>
      <c r="Q303" s="579"/>
      <c r="R303" s="578">
        <v>30</v>
      </c>
      <c r="S303" s="579"/>
      <c r="T303" s="579"/>
      <c r="U303" s="575"/>
      <c r="V303" s="575"/>
      <c r="W303" s="575"/>
      <c r="X303" s="575"/>
      <c r="Y303" s="575"/>
      <c r="Z303" s="575"/>
      <c r="AA303" s="583"/>
    </row>
    <row r="304" spans="1:27" s="584" customFormat="1" x14ac:dyDescent="0.2">
      <c r="A304" s="575">
        <f>A302+1</f>
        <v>149</v>
      </c>
      <c r="B304" s="575" t="s">
        <v>533</v>
      </c>
      <c r="C304" s="583" t="s">
        <v>232</v>
      </c>
      <c r="D304" s="571"/>
      <c r="E304" s="576"/>
      <c r="F304" s="576"/>
      <c r="G304" s="577"/>
      <c r="H304" s="575"/>
      <c r="I304" s="577"/>
      <c r="J304" s="582"/>
      <c r="K304" s="578">
        <f>(M304*4+N304*2)/2</f>
        <v>12</v>
      </c>
      <c r="L304" s="578"/>
      <c r="M304" s="578">
        <v>6</v>
      </c>
      <c r="N304" s="579"/>
      <c r="O304" s="579"/>
      <c r="P304" s="579"/>
      <c r="Q304" s="579"/>
      <c r="R304" s="579"/>
      <c r="S304" s="579"/>
      <c r="T304" s="579"/>
      <c r="U304" s="575"/>
      <c r="V304" s="575">
        <v>1</v>
      </c>
      <c r="W304" s="575">
        <v>1</v>
      </c>
      <c r="X304" s="575"/>
      <c r="Y304" s="575"/>
      <c r="Z304" s="575">
        <v>2</v>
      </c>
      <c r="AA304" s="583"/>
    </row>
    <row r="305" spans="1:27" s="584" customFormat="1" x14ac:dyDescent="0.2">
      <c r="A305" s="575"/>
      <c r="B305" s="575"/>
      <c r="C305" s="583"/>
      <c r="D305" s="571"/>
      <c r="E305" s="576">
        <v>447.32</v>
      </c>
      <c r="F305" s="576">
        <f>+CEILING(E305,5)</f>
        <v>450</v>
      </c>
      <c r="G305" s="577"/>
      <c r="H305" s="575">
        <f>F305*36</f>
        <v>16200</v>
      </c>
      <c r="I305" s="577">
        <f>F305</f>
        <v>450</v>
      </c>
      <c r="J305" s="582"/>
      <c r="K305" s="578"/>
      <c r="L305" s="578"/>
      <c r="M305" s="578"/>
      <c r="N305" s="579"/>
      <c r="O305" s="579"/>
      <c r="P305" s="579"/>
      <c r="Q305" s="579"/>
      <c r="R305" s="578">
        <v>42</v>
      </c>
      <c r="S305" s="579"/>
      <c r="T305" s="579"/>
      <c r="U305" s="575"/>
      <c r="V305" s="575"/>
      <c r="W305" s="575"/>
      <c r="X305" s="575"/>
      <c r="Y305" s="575"/>
      <c r="Z305" s="575"/>
      <c r="AA305" s="583"/>
    </row>
    <row r="306" spans="1:27" s="584" customFormat="1" x14ac:dyDescent="0.2">
      <c r="A306" s="575">
        <f>A304+1</f>
        <v>150</v>
      </c>
      <c r="B306" s="572" t="s">
        <v>57</v>
      </c>
      <c r="C306" s="571" t="s">
        <v>247</v>
      </c>
      <c r="D306" s="571" t="s">
        <v>1093</v>
      </c>
      <c r="E306" s="576"/>
      <c r="F306" s="576"/>
      <c r="G306" s="577"/>
      <c r="H306" s="575"/>
      <c r="I306" s="577"/>
      <c r="J306" s="578">
        <v>48</v>
      </c>
      <c r="K306" s="578">
        <v>6</v>
      </c>
      <c r="L306" s="578">
        <v>12</v>
      </c>
      <c r="M306" s="582"/>
      <c r="N306" s="575">
        <v>6</v>
      </c>
      <c r="O306" s="575"/>
      <c r="P306" s="575"/>
      <c r="Q306" s="575"/>
      <c r="R306" s="579"/>
      <c r="S306" s="575">
        <v>30</v>
      </c>
      <c r="T306" s="575"/>
      <c r="U306" s="575">
        <v>2</v>
      </c>
      <c r="V306" s="575"/>
      <c r="W306" s="575">
        <v>2</v>
      </c>
      <c r="X306" s="575"/>
      <c r="Y306" s="575"/>
      <c r="Z306" s="575">
        <v>4</v>
      </c>
      <c r="AA306" s="583"/>
    </row>
    <row r="307" spans="1:27" s="584" customFormat="1" x14ac:dyDescent="0.2">
      <c r="A307" s="575"/>
      <c r="B307" s="575"/>
      <c r="C307" s="583"/>
      <c r="D307" s="571"/>
      <c r="E307" s="576">
        <v>222.155</v>
      </c>
      <c r="F307" s="576">
        <f>+CEILING(E307,5)</f>
        <v>225</v>
      </c>
      <c r="G307" s="577"/>
      <c r="H307" s="575">
        <f>F307*36</f>
        <v>8100</v>
      </c>
      <c r="I307" s="577">
        <f>F307</f>
        <v>225</v>
      </c>
      <c r="J307" s="582"/>
      <c r="K307" s="578"/>
      <c r="L307" s="582"/>
      <c r="M307" s="578"/>
      <c r="N307" s="575"/>
      <c r="O307" s="575"/>
      <c r="P307" s="575"/>
      <c r="Q307" s="575"/>
      <c r="R307" s="578">
        <v>24</v>
      </c>
      <c r="S307" s="575"/>
      <c r="T307" s="575"/>
      <c r="U307" s="575"/>
      <c r="V307" s="575"/>
      <c r="W307" s="575"/>
      <c r="X307" s="575"/>
      <c r="Y307" s="575"/>
      <c r="Z307" s="575"/>
      <c r="AA307" s="583"/>
    </row>
    <row r="308" spans="1:27" s="584" customFormat="1" x14ac:dyDescent="0.2">
      <c r="A308" s="575">
        <f>A306+1</f>
        <v>151</v>
      </c>
      <c r="B308" s="572" t="s">
        <v>33</v>
      </c>
      <c r="C308" s="571" t="s">
        <v>247</v>
      </c>
      <c r="D308" s="571" t="s">
        <v>1094</v>
      </c>
      <c r="E308" s="576"/>
      <c r="F308" s="576"/>
      <c r="G308" s="577"/>
      <c r="H308" s="575"/>
      <c r="I308" s="577"/>
      <c r="J308" s="578">
        <v>48</v>
      </c>
      <c r="K308" s="578">
        <v>6</v>
      </c>
      <c r="L308" s="578">
        <v>12</v>
      </c>
      <c r="M308" s="582"/>
      <c r="N308" s="575">
        <v>6</v>
      </c>
      <c r="O308" s="575"/>
      <c r="P308" s="575"/>
      <c r="Q308" s="575"/>
      <c r="R308" s="579"/>
      <c r="S308" s="575">
        <v>30</v>
      </c>
      <c r="T308" s="575"/>
      <c r="U308" s="575">
        <v>2</v>
      </c>
      <c r="V308" s="575"/>
      <c r="W308" s="575">
        <v>2</v>
      </c>
      <c r="X308" s="575"/>
      <c r="Y308" s="575"/>
      <c r="Z308" s="575">
        <v>4</v>
      </c>
      <c r="AA308" s="583"/>
    </row>
    <row r="309" spans="1:27" s="584" customFormat="1" x14ac:dyDescent="0.2">
      <c r="A309" s="575"/>
      <c r="B309" s="575"/>
      <c r="C309" s="583"/>
      <c r="D309" s="571"/>
      <c r="E309" s="576">
        <v>433.88900000000001</v>
      </c>
      <c r="F309" s="576">
        <f>+CEILING(E309,5)</f>
        <v>435</v>
      </c>
      <c r="G309" s="577"/>
      <c r="H309" s="575">
        <f>F309*36</f>
        <v>15660</v>
      </c>
      <c r="I309" s="577">
        <f>F309</f>
        <v>435</v>
      </c>
      <c r="J309" s="582"/>
      <c r="K309" s="578"/>
      <c r="L309" s="578"/>
      <c r="M309" s="578"/>
      <c r="N309" s="579"/>
      <c r="O309" s="579"/>
      <c r="P309" s="579"/>
      <c r="Q309" s="579"/>
      <c r="R309" s="578">
        <v>42</v>
      </c>
      <c r="S309" s="579"/>
      <c r="T309" s="579"/>
      <c r="U309" s="575"/>
      <c r="V309" s="575"/>
      <c r="W309" s="575"/>
      <c r="X309" s="575"/>
      <c r="Y309" s="575"/>
      <c r="Z309" s="575"/>
      <c r="AA309" s="583"/>
    </row>
    <row r="310" spans="1:27" s="584" customFormat="1" x14ac:dyDescent="0.2">
      <c r="A310" s="575">
        <f>A308+1</f>
        <v>152</v>
      </c>
      <c r="B310" s="572" t="s">
        <v>34</v>
      </c>
      <c r="C310" s="571" t="s">
        <v>361</v>
      </c>
      <c r="D310" s="571" t="s">
        <v>1095</v>
      </c>
      <c r="E310" s="576"/>
      <c r="F310" s="576"/>
      <c r="G310" s="577"/>
      <c r="H310" s="575"/>
      <c r="I310" s="577"/>
      <c r="J310" s="578">
        <v>48</v>
      </c>
      <c r="K310" s="582"/>
      <c r="L310" s="578">
        <v>12</v>
      </c>
      <c r="M310" s="582"/>
      <c r="N310" s="575"/>
      <c r="O310" s="575"/>
      <c r="P310" s="575"/>
      <c r="Q310" s="575"/>
      <c r="R310" s="579"/>
      <c r="S310" s="575">
        <v>30</v>
      </c>
      <c r="T310" s="575"/>
      <c r="U310" s="575">
        <v>2</v>
      </c>
      <c r="V310" s="575"/>
      <c r="W310" s="575">
        <v>2</v>
      </c>
      <c r="X310" s="575"/>
      <c r="Y310" s="575"/>
      <c r="Z310" s="575">
        <v>4</v>
      </c>
      <c r="AA310" s="583"/>
    </row>
    <row r="311" spans="1:27" s="584" customFormat="1" x14ac:dyDescent="0.2">
      <c r="A311" s="575"/>
      <c r="B311" s="575"/>
      <c r="C311" s="583"/>
      <c r="D311" s="571"/>
      <c r="E311" s="576">
        <v>422.33199999999999</v>
      </c>
      <c r="F311" s="576">
        <f>+CEILING(E311,5)</f>
        <v>425</v>
      </c>
      <c r="G311" s="577"/>
      <c r="H311" s="575">
        <f>F311*36</f>
        <v>15300</v>
      </c>
      <c r="I311" s="577">
        <f>F311</f>
        <v>425</v>
      </c>
      <c r="J311" s="582"/>
      <c r="K311" s="578"/>
      <c r="L311" s="578"/>
      <c r="M311" s="578"/>
      <c r="N311" s="579"/>
      <c r="O311" s="579"/>
      <c r="P311" s="579"/>
      <c r="Q311" s="579"/>
      <c r="R311" s="578">
        <v>42</v>
      </c>
      <c r="S311" s="579"/>
      <c r="T311" s="579"/>
      <c r="U311" s="575"/>
      <c r="V311" s="575"/>
      <c r="W311" s="575"/>
      <c r="X311" s="575"/>
      <c r="Y311" s="575"/>
      <c r="Z311" s="575"/>
      <c r="AA311" s="583"/>
    </row>
    <row r="312" spans="1:27" s="584" customFormat="1" x14ac:dyDescent="0.2">
      <c r="A312" s="575">
        <f>A310+1</f>
        <v>153</v>
      </c>
      <c r="B312" s="575" t="s">
        <v>179</v>
      </c>
      <c r="C312" s="583" t="s">
        <v>20</v>
      </c>
      <c r="D312" s="571"/>
      <c r="E312" s="576"/>
      <c r="F312" s="576"/>
      <c r="G312" s="577"/>
      <c r="H312" s="575"/>
      <c r="I312" s="577"/>
      <c r="J312" s="582"/>
      <c r="K312" s="578">
        <f>(M312*4+N312*2)/2</f>
        <v>12</v>
      </c>
      <c r="L312" s="578"/>
      <c r="M312" s="578">
        <v>6</v>
      </c>
      <c r="N312" s="579"/>
      <c r="O312" s="579"/>
      <c r="P312" s="579"/>
      <c r="Q312" s="579"/>
      <c r="R312" s="579"/>
      <c r="S312" s="579"/>
      <c r="T312" s="579"/>
      <c r="U312" s="575"/>
      <c r="V312" s="575">
        <v>1</v>
      </c>
      <c r="W312" s="575">
        <v>1</v>
      </c>
      <c r="X312" s="575"/>
      <c r="Y312" s="575"/>
      <c r="Z312" s="575">
        <v>2</v>
      </c>
      <c r="AA312" s="583"/>
    </row>
    <row r="313" spans="1:27" s="584" customFormat="1" x14ac:dyDescent="0.2">
      <c r="A313" s="575"/>
      <c r="B313" s="575"/>
      <c r="C313" s="583"/>
      <c r="D313" s="571"/>
      <c r="E313" s="576">
        <v>370.74099999999999</v>
      </c>
      <c r="F313" s="576">
        <f>+CEILING(E313,5)</f>
        <v>375</v>
      </c>
      <c r="G313" s="577"/>
      <c r="H313" s="575">
        <f>F313*36</f>
        <v>13500</v>
      </c>
      <c r="I313" s="577">
        <f>F313</f>
        <v>375</v>
      </c>
      <c r="J313" s="582"/>
      <c r="K313" s="578"/>
      <c r="L313" s="578"/>
      <c r="M313" s="578"/>
      <c r="N313" s="579"/>
      <c r="O313" s="579"/>
      <c r="P313" s="579"/>
      <c r="Q313" s="579"/>
      <c r="R313" s="578">
        <v>36</v>
      </c>
      <c r="S313" s="579"/>
      <c r="T313" s="579"/>
      <c r="U313" s="575"/>
      <c r="V313" s="575"/>
      <c r="W313" s="575"/>
      <c r="X313" s="575"/>
      <c r="Y313" s="575"/>
      <c r="Z313" s="575"/>
      <c r="AA313" s="583"/>
    </row>
    <row r="314" spans="1:27" s="584" customFormat="1" x14ac:dyDescent="0.2">
      <c r="A314" s="575">
        <f>A312+1</f>
        <v>154</v>
      </c>
      <c r="B314" s="575" t="s">
        <v>180</v>
      </c>
      <c r="C314" s="583" t="s">
        <v>231</v>
      </c>
      <c r="D314" s="571"/>
      <c r="E314" s="576"/>
      <c r="F314" s="576"/>
      <c r="G314" s="577"/>
      <c r="H314" s="575"/>
      <c r="I314" s="577"/>
      <c r="J314" s="582"/>
      <c r="K314" s="578">
        <f>(M314*4+N314*2)/2</f>
        <v>12</v>
      </c>
      <c r="L314" s="578"/>
      <c r="M314" s="578">
        <v>6</v>
      </c>
      <c r="N314" s="579"/>
      <c r="O314" s="579"/>
      <c r="P314" s="579"/>
      <c r="Q314" s="579"/>
      <c r="R314" s="579"/>
      <c r="S314" s="579"/>
      <c r="T314" s="579"/>
      <c r="U314" s="575"/>
      <c r="V314" s="575">
        <v>1</v>
      </c>
      <c r="W314" s="575">
        <v>1</v>
      </c>
      <c r="X314" s="575"/>
      <c r="Y314" s="575"/>
      <c r="Z314" s="575">
        <v>2</v>
      </c>
      <c r="AA314" s="583"/>
    </row>
    <row r="315" spans="1:27" s="584" customFormat="1" x14ac:dyDescent="0.2">
      <c r="A315" s="575"/>
      <c r="B315" s="575"/>
      <c r="C315" s="583"/>
      <c r="D315" s="571"/>
      <c r="E315" s="576">
        <v>345.67500000000001</v>
      </c>
      <c r="F315" s="576">
        <f>+CEILING(E315,5)</f>
        <v>350</v>
      </c>
      <c r="G315" s="577"/>
      <c r="H315" s="575">
        <f>F315*36</f>
        <v>12600</v>
      </c>
      <c r="I315" s="577">
        <f>F315</f>
        <v>350</v>
      </c>
      <c r="J315" s="582"/>
      <c r="K315" s="578"/>
      <c r="L315" s="582"/>
      <c r="M315" s="578"/>
      <c r="N315" s="579"/>
      <c r="O315" s="579"/>
      <c r="P315" s="579"/>
      <c r="Q315" s="579"/>
      <c r="R315" s="578">
        <v>36</v>
      </c>
      <c r="S315" s="579"/>
      <c r="T315" s="579"/>
      <c r="U315" s="575"/>
      <c r="V315" s="575"/>
      <c r="W315" s="575"/>
      <c r="X315" s="575"/>
      <c r="Y315" s="575"/>
      <c r="Z315" s="575"/>
      <c r="AA315" s="583"/>
    </row>
    <row r="316" spans="1:27" s="584" customFormat="1" x14ac:dyDescent="0.2">
      <c r="A316" s="575">
        <f>A314+1</f>
        <v>155</v>
      </c>
      <c r="B316" s="575" t="s">
        <v>181</v>
      </c>
      <c r="C316" s="583" t="s">
        <v>231</v>
      </c>
      <c r="D316" s="571"/>
      <c r="E316" s="576"/>
      <c r="F316" s="576"/>
      <c r="G316" s="577"/>
      <c r="H316" s="575"/>
      <c r="I316" s="577"/>
      <c r="J316" s="582"/>
      <c r="K316" s="578">
        <f>(M316*4+N316*2)/2</f>
        <v>12</v>
      </c>
      <c r="L316" s="578"/>
      <c r="M316" s="578">
        <v>6</v>
      </c>
      <c r="N316" s="579"/>
      <c r="O316" s="579"/>
      <c r="P316" s="579"/>
      <c r="Q316" s="579"/>
      <c r="R316" s="579"/>
      <c r="S316" s="579"/>
      <c r="T316" s="579"/>
      <c r="U316" s="575"/>
      <c r="V316" s="575">
        <v>1</v>
      </c>
      <c r="W316" s="575">
        <v>1</v>
      </c>
      <c r="X316" s="575"/>
      <c r="Y316" s="575"/>
      <c r="Z316" s="575">
        <v>2</v>
      </c>
      <c r="AA316" s="583"/>
    </row>
    <row r="317" spans="1:27" s="584" customFormat="1" x14ac:dyDescent="0.2">
      <c r="A317" s="575"/>
      <c r="B317" s="575"/>
      <c r="C317" s="583"/>
      <c r="D317" s="571"/>
      <c r="E317" s="576">
        <v>391.12299999999999</v>
      </c>
      <c r="F317" s="576">
        <f>+CEILING(E317,5)</f>
        <v>395</v>
      </c>
      <c r="G317" s="577"/>
      <c r="H317" s="575">
        <f>F317*36</f>
        <v>14220</v>
      </c>
      <c r="I317" s="577">
        <f>F317</f>
        <v>395</v>
      </c>
      <c r="J317" s="582"/>
      <c r="K317" s="578"/>
      <c r="L317" s="578"/>
      <c r="M317" s="578"/>
      <c r="N317" s="579"/>
      <c r="O317" s="579"/>
      <c r="P317" s="579"/>
      <c r="Q317" s="579"/>
      <c r="R317" s="578">
        <v>42</v>
      </c>
      <c r="S317" s="579"/>
      <c r="T317" s="579"/>
      <c r="U317" s="575"/>
      <c r="V317" s="575"/>
      <c r="W317" s="575"/>
      <c r="X317" s="575"/>
      <c r="Y317" s="575"/>
      <c r="Z317" s="575"/>
      <c r="AA317" s="583"/>
    </row>
    <row r="318" spans="1:27" s="584" customFormat="1" x14ac:dyDescent="0.2">
      <c r="A318" s="575">
        <f>A316+1</f>
        <v>156</v>
      </c>
      <c r="B318" s="575" t="s">
        <v>182</v>
      </c>
      <c r="C318" s="583" t="s">
        <v>231</v>
      </c>
      <c r="D318" s="571"/>
      <c r="E318" s="576"/>
      <c r="F318" s="576"/>
      <c r="G318" s="577"/>
      <c r="H318" s="575"/>
      <c r="I318" s="577"/>
      <c r="J318" s="582"/>
      <c r="K318" s="578">
        <f>(M318*4+N318*2)/2</f>
        <v>12</v>
      </c>
      <c r="L318" s="578"/>
      <c r="M318" s="578">
        <v>6</v>
      </c>
      <c r="N318" s="579"/>
      <c r="O318" s="579"/>
      <c r="P318" s="579"/>
      <c r="Q318" s="579"/>
      <c r="R318" s="579"/>
      <c r="S318" s="579"/>
      <c r="T318" s="579"/>
      <c r="U318" s="575"/>
      <c r="V318" s="575">
        <v>1</v>
      </c>
      <c r="W318" s="575">
        <v>1</v>
      </c>
      <c r="X318" s="575"/>
      <c r="Y318" s="575"/>
      <c r="Z318" s="575">
        <v>2</v>
      </c>
      <c r="AA318" s="583"/>
    </row>
    <row r="319" spans="1:27" s="584" customFormat="1" x14ac:dyDescent="0.2">
      <c r="A319" s="575"/>
      <c r="B319" s="575"/>
      <c r="C319" s="583"/>
      <c r="D319" s="571"/>
      <c r="E319" s="576">
        <v>440.40699999999998</v>
      </c>
      <c r="F319" s="576">
        <f>+CEILING(E319,5)</f>
        <v>445</v>
      </c>
      <c r="G319" s="577"/>
      <c r="H319" s="575">
        <f>F319*36</f>
        <v>16020</v>
      </c>
      <c r="I319" s="577">
        <f>F319</f>
        <v>445</v>
      </c>
      <c r="J319" s="582"/>
      <c r="K319" s="578"/>
      <c r="L319" s="578"/>
      <c r="M319" s="578"/>
      <c r="N319" s="579"/>
      <c r="O319" s="579"/>
      <c r="P319" s="579"/>
      <c r="Q319" s="579"/>
      <c r="R319" s="578">
        <v>42</v>
      </c>
      <c r="S319" s="579"/>
      <c r="T319" s="579"/>
      <c r="U319" s="575"/>
      <c r="V319" s="575"/>
      <c r="W319" s="575"/>
      <c r="X319" s="575"/>
      <c r="Y319" s="575"/>
      <c r="Z319" s="575"/>
      <c r="AA319" s="583"/>
    </row>
    <row r="320" spans="1:27" s="584" customFormat="1" x14ac:dyDescent="0.2">
      <c r="A320" s="575">
        <f>A318+1</f>
        <v>157</v>
      </c>
      <c r="B320" s="572" t="s">
        <v>36</v>
      </c>
      <c r="C320" s="571" t="s">
        <v>242</v>
      </c>
      <c r="D320" s="571" t="s">
        <v>1096</v>
      </c>
      <c r="E320" s="576"/>
      <c r="F320" s="576"/>
      <c r="G320" s="577"/>
      <c r="H320" s="575"/>
      <c r="I320" s="577"/>
      <c r="J320" s="578">
        <v>48</v>
      </c>
      <c r="K320" s="582"/>
      <c r="L320" s="578">
        <v>12</v>
      </c>
      <c r="M320" s="582"/>
      <c r="N320" s="575"/>
      <c r="O320" s="575"/>
      <c r="P320" s="575"/>
      <c r="Q320" s="575"/>
      <c r="R320" s="579"/>
      <c r="S320" s="575">
        <v>30</v>
      </c>
      <c r="T320" s="575"/>
      <c r="U320" s="575">
        <v>2</v>
      </c>
      <c r="V320" s="575"/>
      <c r="W320" s="575">
        <v>2</v>
      </c>
      <c r="X320" s="575"/>
      <c r="Y320" s="575"/>
      <c r="Z320" s="575">
        <v>4</v>
      </c>
      <c r="AA320" s="583"/>
    </row>
    <row r="321" spans="1:27" s="584" customFormat="1" x14ac:dyDescent="0.2">
      <c r="A321" s="575"/>
      <c r="B321" s="575"/>
      <c r="C321" s="583"/>
      <c r="D321" s="571"/>
      <c r="E321" s="576">
        <v>391.36399999999998</v>
      </c>
      <c r="F321" s="576">
        <f>+CEILING(E321,5)</f>
        <v>395</v>
      </c>
      <c r="G321" s="577"/>
      <c r="H321" s="575">
        <f>F321*36</f>
        <v>14220</v>
      </c>
      <c r="I321" s="577">
        <f>F321</f>
        <v>395</v>
      </c>
      <c r="J321" s="582"/>
      <c r="K321" s="578"/>
      <c r="L321" s="578"/>
      <c r="M321" s="578"/>
      <c r="N321" s="579"/>
      <c r="O321" s="579"/>
      <c r="P321" s="579"/>
      <c r="Q321" s="579"/>
      <c r="R321" s="578">
        <v>42</v>
      </c>
      <c r="S321" s="579"/>
      <c r="T321" s="579"/>
      <c r="U321" s="575"/>
      <c r="V321" s="575"/>
      <c r="W321" s="575"/>
      <c r="X321" s="575"/>
      <c r="Y321" s="575"/>
      <c r="Z321" s="575"/>
      <c r="AA321" s="583"/>
    </row>
    <row r="322" spans="1:27" s="584" customFormat="1" x14ac:dyDescent="0.2">
      <c r="A322" s="575">
        <f>A320+1</f>
        <v>158</v>
      </c>
      <c r="B322" s="575" t="s">
        <v>58</v>
      </c>
      <c r="C322" s="583" t="s">
        <v>231</v>
      </c>
      <c r="D322" s="571"/>
      <c r="E322" s="576"/>
      <c r="F322" s="576"/>
      <c r="G322" s="577"/>
      <c r="H322" s="575"/>
      <c r="I322" s="577"/>
      <c r="J322" s="582"/>
      <c r="K322" s="578">
        <f>(M322*4+N322*2)/2</f>
        <v>12</v>
      </c>
      <c r="L322" s="578"/>
      <c r="M322" s="578">
        <v>6</v>
      </c>
      <c r="N322" s="579"/>
      <c r="O322" s="579"/>
      <c r="P322" s="579"/>
      <c r="Q322" s="579"/>
      <c r="R322" s="579"/>
      <c r="S322" s="579"/>
      <c r="T322" s="579"/>
      <c r="U322" s="575"/>
      <c r="V322" s="575">
        <v>1</v>
      </c>
      <c r="W322" s="575">
        <v>1</v>
      </c>
      <c r="X322" s="575"/>
      <c r="Y322" s="575"/>
      <c r="Z322" s="575">
        <v>2</v>
      </c>
      <c r="AA322" s="583"/>
    </row>
    <row r="323" spans="1:27" s="584" customFormat="1" x14ac:dyDescent="0.2">
      <c r="A323" s="575"/>
      <c r="B323" s="575"/>
      <c r="C323" s="583"/>
      <c r="D323" s="571"/>
      <c r="E323" s="576">
        <v>406.47</v>
      </c>
      <c r="F323" s="576">
        <f>+CEILING(E323,5)</f>
        <v>410</v>
      </c>
      <c r="G323" s="577"/>
      <c r="H323" s="575">
        <f>F323*36</f>
        <v>14760</v>
      </c>
      <c r="I323" s="577">
        <f>F323</f>
        <v>410</v>
      </c>
      <c r="J323" s="582"/>
      <c r="K323" s="578"/>
      <c r="L323" s="578"/>
      <c r="M323" s="578"/>
      <c r="N323" s="579"/>
      <c r="O323" s="579"/>
      <c r="P323" s="579"/>
      <c r="Q323" s="579"/>
      <c r="R323" s="578">
        <v>42</v>
      </c>
      <c r="S323" s="579"/>
      <c r="T323" s="579"/>
      <c r="U323" s="575"/>
      <c r="V323" s="575"/>
      <c r="W323" s="575"/>
      <c r="X323" s="575"/>
      <c r="Y323" s="575"/>
      <c r="Z323" s="575"/>
      <c r="AA323" s="583"/>
    </row>
    <row r="324" spans="1:27" s="584" customFormat="1" x14ac:dyDescent="0.2">
      <c r="A324" s="575">
        <f>A322+1</f>
        <v>159</v>
      </c>
      <c r="B324" s="575" t="s">
        <v>59</v>
      </c>
      <c r="C324" s="583" t="s">
        <v>20</v>
      </c>
      <c r="D324" s="571"/>
      <c r="E324" s="576"/>
      <c r="F324" s="576"/>
      <c r="G324" s="577"/>
      <c r="H324" s="575"/>
      <c r="I324" s="577"/>
      <c r="J324" s="582"/>
      <c r="K324" s="578">
        <f>(M324*4+N324*2)/2</f>
        <v>12</v>
      </c>
      <c r="L324" s="578"/>
      <c r="M324" s="578">
        <v>6</v>
      </c>
      <c r="N324" s="579"/>
      <c r="O324" s="579"/>
      <c r="P324" s="579"/>
      <c r="Q324" s="579"/>
      <c r="R324" s="579"/>
      <c r="S324" s="579"/>
      <c r="T324" s="579"/>
      <c r="U324" s="575"/>
      <c r="V324" s="575">
        <v>1</v>
      </c>
      <c r="W324" s="575">
        <v>1</v>
      </c>
      <c r="X324" s="575"/>
      <c r="Y324" s="575"/>
      <c r="Z324" s="575">
        <v>2</v>
      </c>
      <c r="AA324" s="583"/>
    </row>
    <row r="325" spans="1:27" s="584" customFormat="1" x14ac:dyDescent="0.2">
      <c r="A325" s="575"/>
      <c r="B325" s="575"/>
      <c r="C325" s="583"/>
      <c r="D325" s="571"/>
      <c r="E325" s="576">
        <v>418.02199999999999</v>
      </c>
      <c r="F325" s="576">
        <f>+CEILING(E325,5)</f>
        <v>420</v>
      </c>
      <c r="G325" s="577"/>
      <c r="H325" s="575">
        <f>F325*36</f>
        <v>15120</v>
      </c>
      <c r="I325" s="577">
        <f>F325</f>
        <v>420</v>
      </c>
      <c r="J325" s="582"/>
      <c r="K325" s="578"/>
      <c r="L325" s="578"/>
      <c r="M325" s="578"/>
      <c r="N325" s="579"/>
      <c r="O325" s="579"/>
      <c r="P325" s="579"/>
      <c r="Q325" s="579"/>
      <c r="R325" s="578">
        <v>42</v>
      </c>
      <c r="S325" s="579"/>
      <c r="T325" s="579"/>
      <c r="U325" s="575"/>
      <c r="V325" s="575"/>
      <c r="W325" s="575"/>
      <c r="X325" s="575"/>
      <c r="Y325" s="575"/>
      <c r="Z325" s="575"/>
      <c r="AA325" s="583"/>
    </row>
    <row r="326" spans="1:27" s="584" customFormat="1" x14ac:dyDescent="0.2">
      <c r="A326" s="575">
        <f>A324+1</f>
        <v>160</v>
      </c>
      <c r="B326" s="575" t="s">
        <v>60</v>
      </c>
      <c r="C326" s="583" t="s">
        <v>231</v>
      </c>
      <c r="D326" s="571"/>
      <c r="E326" s="576"/>
      <c r="F326" s="576"/>
      <c r="G326" s="577"/>
      <c r="H326" s="575"/>
      <c r="I326" s="577"/>
      <c r="J326" s="582"/>
      <c r="K326" s="578">
        <f>(M326*4+N326*2)/2</f>
        <v>12</v>
      </c>
      <c r="L326" s="578"/>
      <c r="M326" s="578">
        <v>6</v>
      </c>
      <c r="N326" s="579"/>
      <c r="O326" s="579"/>
      <c r="P326" s="579"/>
      <c r="Q326" s="579"/>
      <c r="R326" s="579"/>
      <c r="S326" s="579"/>
      <c r="T326" s="579"/>
      <c r="U326" s="575"/>
      <c r="V326" s="575">
        <v>1</v>
      </c>
      <c r="W326" s="575">
        <v>1</v>
      </c>
      <c r="X326" s="575"/>
      <c r="Y326" s="575"/>
      <c r="Z326" s="575">
        <v>2</v>
      </c>
      <c r="AA326" s="583"/>
    </row>
    <row r="327" spans="1:27" s="584" customFormat="1" x14ac:dyDescent="0.2">
      <c r="A327" s="575"/>
      <c r="B327" s="575"/>
      <c r="C327" s="583"/>
      <c r="D327" s="571"/>
      <c r="E327" s="576">
        <v>422.596</v>
      </c>
      <c r="F327" s="576">
        <f>+CEILING(E327,5)</f>
        <v>425</v>
      </c>
      <c r="G327" s="577"/>
      <c r="H327" s="575">
        <f>F327*36</f>
        <v>15300</v>
      </c>
      <c r="I327" s="577">
        <f>F327</f>
        <v>425</v>
      </c>
      <c r="J327" s="582"/>
      <c r="K327" s="578"/>
      <c r="L327" s="578"/>
      <c r="M327" s="578"/>
      <c r="N327" s="579"/>
      <c r="O327" s="579"/>
      <c r="P327" s="579"/>
      <c r="Q327" s="579"/>
      <c r="R327" s="578">
        <v>42</v>
      </c>
      <c r="S327" s="579"/>
      <c r="T327" s="579"/>
      <c r="U327" s="575"/>
      <c r="V327" s="575"/>
      <c r="W327" s="575"/>
      <c r="X327" s="575"/>
      <c r="Y327" s="575"/>
      <c r="Z327" s="575"/>
      <c r="AA327" s="583"/>
    </row>
    <row r="328" spans="1:27" s="584" customFormat="1" x14ac:dyDescent="0.2">
      <c r="A328" s="575">
        <f>A326+1</f>
        <v>161</v>
      </c>
      <c r="B328" s="575" t="s">
        <v>61</v>
      </c>
      <c r="C328" s="583" t="s">
        <v>232</v>
      </c>
      <c r="D328" s="571"/>
      <c r="E328" s="576"/>
      <c r="F328" s="576"/>
      <c r="G328" s="577"/>
      <c r="H328" s="575"/>
      <c r="I328" s="577"/>
      <c r="J328" s="582"/>
      <c r="K328" s="578">
        <f>(M328*4+N328*2)/2</f>
        <v>12</v>
      </c>
      <c r="L328" s="578"/>
      <c r="M328" s="578">
        <v>6</v>
      </c>
      <c r="N328" s="579"/>
      <c r="O328" s="579"/>
      <c r="P328" s="579"/>
      <c r="Q328" s="579"/>
      <c r="R328" s="579"/>
      <c r="S328" s="579"/>
      <c r="T328" s="579"/>
      <c r="U328" s="575"/>
      <c r="V328" s="575">
        <v>1</v>
      </c>
      <c r="W328" s="575">
        <v>1</v>
      </c>
      <c r="X328" s="575"/>
      <c r="Y328" s="575"/>
      <c r="Z328" s="575">
        <v>2</v>
      </c>
      <c r="AA328" s="583"/>
    </row>
    <row r="329" spans="1:27" s="584" customFormat="1" x14ac:dyDescent="0.2">
      <c r="A329" s="575"/>
      <c r="B329" s="575"/>
      <c r="C329" s="583"/>
      <c r="D329" s="571"/>
      <c r="E329" s="576">
        <v>409.97699999999998</v>
      </c>
      <c r="F329" s="576">
        <f>+CEILING(E329,5)</f>
        <v>410</v>
      </c>
      <c r="G329" s="577"/>
      <c r="H329" s="575">
        <f>F329*36</f>
        <v>14760</v>
      </c>
      <c r="I329" s="577">
        <f>F329</f>
        <v>410</v>
      </c>
      <c r="J329" s="582"/>
      <c r="K329" s="578"/>
      <c r="L329" s="578"/>
      <c r="M329" s="578"/>
      <c r="N329" s="579"/>
      <c r="O329" s="579"/>
      <c r="P329" s="579"/>
      <c r="Q329" s="579"/>
      <c r="R329" s="578">
        <v>42</v>
      </c>
      <c r="S329" s="579"/>
      <c r="T329" s="579"/>
      <c r="U329" s="575"/>
      <c r="V329" s="575"/>
      <c r="W329" s="575"/>
      <c r="X329" s="575"/>
      <c r="Y329" s="575"/>
      <c r="Z329" s="575"/>
      <c r="AA329" s="583"/>
    </row>
    <row r="330" spans="1:27" s="584" customFormat="1" x14ac:dyDescent="0.2">
      <c r="A330" s="575">
        <f>A328+1</f>
        <v>162</v>
      </c>
      <c r="B330" s="575" t="s">
        <v>62</v>
      </c>
      <c r="C330" s="583" t="s">
        <v>232</v>
      </c>
      <c r="D330" s="571"/>
      <c r="E330" s="576"/>
      <c r="F330" s="576"/>
      <c r="G330" s="577"/>
      <c r="H330" s="575"/>
      <c r="I330" s="577"/>
      <c r="J330" s="582"/>
      <c r="K330" s="578">
        <f>(M330*4+N330*2)/2</f>
        <v>12</v>
      </c>
      <c r="L330" s="578"/>
      <c r="M330" s="578">
        <v>6</v>
      </c>
      <c r="N330" s="579"/>
      <c r="O330" s="579"/>
      <c r="P330" s="579"/>
      <c r="Q330" s="579"/>
      <c r="R330" s="579"/>
      <c r="S330" s="579"/>
      <c r="T330" s="579"/>
      <c r="U330" s="575"/>
      <c r="V330" s="575">
        <v>1</v>
      </c>
      <c r="W330" s="575">
        <v>1</v>
      </c>
      <c r="X330" s="575"/>
      <c r="Y330" s="575"/>
      <c r="Z330" s="575">
        <v>2</v>
      </c>
      <c r="AA330" s="583"/>
    </row>
    <row r="331" spans="1:27" s="584" customFormat="1" x14ac:dyDescent="0.2">
      <c r="A331" s="575"/>
      <c r="B331" s="575"/>
      <c r="C331" s="583"/>
      <c r="D331" s="571"/>
      <c r="E331" s="576">
        <v>363.38200000000001</v>
      </c>
      <c r="F331" s="576">
        <f>+CEILING(E331,5)</f>
        <v>365</v>
      </c>
      <c r="G331" s="577"/>
      <c r="H331" s="575">
        <f>F331*36</f>
        <v>13140</v>
      </c>
      <c r="I331" s="577">
        <f>F331</f>
        <v>365</v>
      </c>
      <c r="J331" s="582"/>
      <c r="K331" s="582"/>
      <c r="L331" s="582"/>
      <c r="M331" s="582"/>
      <c r="N331" s="575"/>
      <c r="O331" s="575"/>
      <c r="P331" s="575"/>
      <c r="Q331" s="575"/>
      <c r="R331" s="578">
        <v>36</v>
      </c>
      <c r="S331" s="579"/>
      <c r="T331" s="575"/>
      <c r="U331" s="575"/>
      <c r="V331" s="575"/>
      <c r="W331" s="575"/>
      <c r="X331" s="575"/>
      <c r="Y331" s="575"/>
      <c r="Z331" s="575"/>
      <c r="AA331" s="583"/>
    </row>
    <row r="332" spans="1:27" s="584" customFormat="1" x14ac:dyDescent="0.2">
      <c r="A332" s="575">
        <f>A330+1</f>
        <v>163</v>
      </c>
      <c r="B332" s="575" t="s">
        <v>183</v>
      </c>
      <c r="C332" s="583" t="s">
        <v>232</v>
      </c>
      <c r="D332" s="571"/>
      <c r="E332" s="576"/>
      <c r="F332" s="576"/>
      <c r="G332" s="577"/>
      <c r="H332" s="575"/>
      <c r="I332" s="577"/>
      <c r="J332" s="582"/>
      <c r="K332" s="578">
        <f>(M332*4+N332*2)/2</f>
        <v>12</v>
      </c>
      <c r="L332" s="578"/>
      <c r="M332" s="578">
        <v>6</v>
      </c>
      <c r="N332" s="579"/>
      <c r="O332" s="579"/>
      <c r="P332" s="579"/>
      <c r="Q332" s="579"/>
      <c r="R332" s="579"/>
      <c r="S332" s="579"/>
      <c r="T332" s="579"/>
      <c r="U332" s="575"/>
      <c r="V332" s="575">
        <v>1</v>
      </c>
      <c r="W332" s="575">
        <v>1</v>
      </c>
      <c r="X332" s="575"/>
      <c r="Y332" s="575"/>
      <c r="Z332" s="575">
        <v>2</v>
      </c>
      <c r="AA332" s="583"/>
    </row>
    <row r="333" spans="1:27" s="584" customFormat="1" x14ac:dyDescent="0.2">
      <c r="A333" s="575"/>
      <c r="B333" s="575"/>
      <c r="C333" s="583"/>
      <c r="D333" s="571"/>
      <c r="E333" s="576">
        <v>421.85500000000002</v>
      </c>
      <c r="F333" s="576">
        <f>+CEILING(E333,5)</f>
        <v>425</v>
      </c>
      <c r="G333" s="577"/>
      <c r="H333" s="575">
        <f>F333*36</f>
        <v>15300</v>
      </c>
      <c r="I333" s="577">
        <f>F333</f>
        <v>425</v>
      </c>
      <c r="J333" s="582"/>
      <c r="K333" s="578"/>
      <c r="L333" s="578"/>
      <c r="M333" s="578"/>
      <c r="N333" s="579"/>
      <c r="O333" s="579"/>
      <c r="P333" s="579"/>
      <c r="Q333" s="579"/>
      <c r="R333" s="578">
        <v>42</v>
      </c>
      <c r="S333" s="579"/>
      <c r="T333" s="579"/>
      <c r="U333" s="575"/>
      <c r="V333" s="575"/>
      <c r="W333" s="575"/>
      <c r="X333" s="575"/>
      <c r="Y333" s="575"/>
      <c r="Z333" s="575"/>
      <c r="AA333" s="583"/>
    </row>
    <row r="334" spans="1:27" s="584" customFormat="1" x14ac:dyDescent="0.2">
      <c r="A334" s="575">
        <f>A332+1</f>
        <v>164</v>
      </c>
      <c r="B334" s="575" t="s">
        <v>184</v>
      </c>
      <c r="C334" s="583" t="s">
        <v>231</v>
      </c>
      <c r="D334" s="571"/>
      <c r="E334" s="576"/>
      <c r="F334" s="576"/>
      <c r="G334" s="577"/>
      <c r="H334" s="575"/>
      <c r="I334" s="577"/>
      <c r="J334" s="582"/>
      <c r="K334" s="578">
        <f>(M334*4+N334*2)/2</f>
        <v>12</v>
      </c>
      <c r="L334" s="578"/>
      <c r="M334" s="578">
        <v>6</v>
      </c>
      <c r="N334" s="579"/>
      <c r="O334" s="579"/>
      <c r="P334" s="579"/>
      <c r="Q334" s="579"/>
      <c r="R334" s="579"/>
      <c r="S334" s="579"/>
      <c r="T334" s="579"/>
      <c r="U334" s="575"/>
      <c r="V334" s="575">
        <v>1</v>
      </c>
      <c r="W334" s="575">
        <v>1</v>
      </c>
      <c r="X334" s="575"/>
      <c r="Y334" s="575"/>
      <c r="Z334" s="575">
        <v>2</v>
      </c>
      <c r="AA334" s="583"/>
    </row>
    <row r="335" spans="1:27" s="584" customFormat="1" x14ac:dyDescent="0.2">
      <c r="A335" s="575"/>
      <c r="B335" s="575"/>
      <c r="C335" s="583"/>
      <c r="D335" s="571"/>
      <c r="E335" s="576">
        <v>416.72199999999998</v>
      </c>
      <c r="F335" s="576">
        <f>+CEILING(E335,5)</f>
        <v>420</v>
      </c>
      <c r="G335" s="577"/>
      <c r="H335" s="575">
        <f>F335*36</f>
        <v>15120</v>
      </c>
      <c r="I335" s="577">
        <f>F335</f>
        <v>420</v>
      </c>
      <c r="J335" s="582"/>
      <c r="K335" s="578"/>
      <c r="L335" s="578"/>
      <c r="M335" s="578"/>
      <c r="N335" s="579"/>
      <c r="O335" s="579"/>
      <c r="P335" s="579"/>
      <c r="Q335" s="579"/>
      <c r="R335" s="578">
        <v>42</v>
      </c>
      <c r="S335" s="579"/>
      <c r="T335" s="579"/>
      <c r="U335" s="575"/>
      <c r="V335" s="575"/>
      <c r="W335" s="575"/>
      <c r="X335" s="575"/>
      <c r="Y335" s="575"/>
      <c r="Z335" s="575"/>
      <c r="AA335" s="583"/>
    </row>
    <row r="336" spans="1:27" s="584" customFormat="1" x14ac:dyDescent="0.2">
      <c r="A336" s="575">
        <f>A334+1</f>
        <v>165</v>
      </c>
      <c r="B336" s="575" t="s">
        <v>185</v>
      </c>
      <c r="C336" s="583" t="s">
        <v>232</v>
      </c>
      <c r="D336" s="571"/>
      <c r="E336" s="576"/>
      <c r="F336" s="576"/>
      <c r="G336" s="577"/>
      <c r="H336" s="575"/>
      <c r="I336" s="577"/>
      <c r="J336" s="582"/>
      <c r="K336" s="578">
        <f>(M336*4+N336*2)/2</f>
        <v>12</v>
      </c>
      <c r="L336" s="578"/>
      <c r="M336" s="578">
        <v>6</v>
      </c>
      <c r="N336" s="579"/>
      <c r="O336" s="579"/>
      <c r="P336" s="579"/>
      <c r="Q336" s="579"/>
      <c r="R336" s="579"/>
      <c r="S336" s="579"/>
      <c r="T336" s="579"/>
      <c r="U336" s="575"/>
      <c r="V336" s="575">
        <v>1</v>
      </c>
      <c r="W336" s="575">
        <v>1</v>
      </c>
      <c r="X336" s="575"/>
      <c r="Y336" s="575"/>
      <c r="Z336" s="575">
        <v>2</v>
      </c>
      <c r="AA336" s="583"/>
    </row>
    <row r="337" spans="1:27" s="584" customFormat="1" x14ac:dyDescent="0.2">
      <c r="A337" s="575"/>
      <c r="B337" s="575"/>
      <c r="C337" s="583"/>
      <c r="D337" s="571"/>
      <c r="E337" s="576">
        <v>413.786</v>
      </c>
      <c r="F337" s="576">
        <f>+CEILING(E337,5)</f>
        <v>415</v>
      </c>
      <c r="G337" s="577"/>
      <c r="H337" s="575">
        <f>F337*36</f>
        <v>14940</v>
      </c>
      <c r="I337" s="577">
        <f>F337</f>
        <v>415</v>
      </c>
      <c r="J337" s="582"/>
      <c r="K337" s="578"/>
      <c r="L337" s="578"/>
      <c r="M337" s="578"/>
      <c r="N337" s="579"/>
      <c r="O337" s="579"/>
      <c r="P337" s="579"/>
      <c r="Q337" s="579"/>
      <c r="R337" s="578">
        <v>42</v>
      </c>
      <c r="S337" s="579"/>
      <c r="T337" s="579"/>
      <c r="U337" s="575"/>
      <c r="V337" s="575"/>
      <c r="W337" s="575"/>
      <c r="X337" s="575"/>
      <c r="Y337" s="575"/>
      <c r="Z337" s="575"/>
      <c r="AA337" s="583"/>
    </row>
    <row r="338" spans="1:27" s="584" customFormat="1" x14ac:dyDescent="0.2">
      <c r="A338" s="575">
        <f>A336+1</f>
        <v>166</v>
      </c>
      <c r="B338" s="572" t="s">
        <v>63</v>
      </c>
      <c r="C338" s="571" t="s">
        <v>239</v>
      </c>
      <c r="D338" s="571" t="s">
        <v>1097</v>
      </c>
      <c r="E338" s="576"/>
      <c r="F338" s="576"/>
      <c r="G338" s="577"/>
      <c r="H338" s="575"/>
      <c r="I338" s="577"/>
      <c r="J338" s="578">
        <v>48</v>
      </c>
      <c r="K338" s="582"/>
      <c r="L338" s="578">
        <v>12</v>
      </c>
      <c r="M338" s="582"/>
      <c r="N338" s="575"/>
      <c r="O338" s="575"/>
      <c r="P338" s="575"/>
      <c r="Q338" s="575"/>
      <c r="R338" s="579"/>
      <c r="S338" s="575">
        <v>30</v>
      </c>
      <c r="T338" s="575"/>
      <c r="U338" s="575">
        <v>2</v>
      </c>
      <c r="V338" s="575"/>
      <c r="W338" s="575">
        <v>2</v>
      </c>
      <c r="X338" s="575"/>
      <c r="Y338" s="575"/>
      <c r="Z338" s="575">
        <v>4</v>
      </c>
      <c r="AA338" s="583"/>
    </row>
    <row r="339" spans="1:27" s="584" customFormat="1" x14ac:dyDescent="0.2">
      <c r="A339" s="575"/>
      <c r="B339" s="575"/>
      <c r="C339" s="583"/>
      <c r="D339" s="571"/>
      <c r="E339" s="576">
        <v>399.755</v>
      </c>
      <c r="F339" s="576">
        <f>+CEILING(E339,5)</f>
        <v>400</v>
      </c>
      <c r="G339" s="577"/>
      <c r="H339" s="575">
        <f>F339*36</f>
        <v>14400</v>
      </c>
      <c r="I339" s="577">
        <f>F339</f>
        <v>400</v>
      </c>
      <c r="J339" s="582"/>
      <c r="K339" s="578"/>
      <c r="L339" s="578"/>
      <c r="M339" s="578"/>
      <c r="N339" s="579"/>
      <c r="O339" s="579"/>
      <c r="P339" s="579"/>
      <c r="Q339" s="579"/>
      <c r="R339" s="578">
        <v>42</v>
      </c>
      <c r="S339" s="579"/>
      <c r="T339" s="579"/>
      <c r="U339" s="575"/>
      <c r="V339" s="575"/>
      <c r="W339" s="575"/>
      <c r="X339" s="575"/>
      <c r="Y339" s="575"/>
      <c r="Z339" s="575"/>
      <c r="AA339" s="583"/>
    </row>
    <row r="340" spans="1:27" s="584" customFormat="1" x14ac:dyDescent="0.2">
      <c r="A340" s="575">
        <f>A338+1</f>
        <v>167</v>
      </c>
      <c r="B340" s="575" t="s">
        <v>64</v>
      </c>
      <c r="C340" s="583" t="s">
        <v>20</v>
      </c>
      <c r="D340" s="571"/>
      <c r="E340" s="576"/>
      <c r="F340" s="576"/>
      <c r="G340" s="577"/>
      <c r="H340" s="575"/>
      <c r="I340" s="577"/>
      <c r="J340" s="582"/>
      <c r="K340" s="578">
        <f>(M340*4+N340*2)/2</f>
        <v>12</v>
      </c>
      <c r="L340" s="578"/>
      <c r="M340" s="578">
        <v>6</v>
      </c>
      <c r="N340" s="579"/>
      <c r="O340" s="579"/>
      <c r="P340" s="579"/>
      <c r="Q340" s="579"/>
      <c r="R340" s="579"/>
      <c r="S340" s="579"/>
      <c r="T340" s="579"/>
      <c r="U340" s="575"/>
      <c r="V340" s="575">
        <v>1</v>
      </c>
      <c r="W340" s="575">
        <v>1</v>
      </c>
      <c r="X340" s="575"/>
      <c r="Y340" s="575"/>
      <c r="Z340" s="575">
        <v>2</v>
      </c>
      <c r="AA340" s="583"/>
    </row>
    <row r="341" spans="1:27" s="584" customFormat="1" x14ac:dyDescent="0.2">
      <c r="A341" s="575"/>
      <c r="B341" s="575"/>
      <c r="C341" s="583"/>
      <c r="D341" s="571"/>
      <c r="E341" s="576">
        <v>425.17899999999997</v>
      </c>
      <c r="F341" s="576">
        <f>+CEILING(E341,5)</f>
        <v>430</v>
      </c>
      <c r="G341" s="577"/>
      <c r="H341" s="575">
        <f>F341*36</f>
        <v>15480</v>
      </c>
      <c r="I341" s="577">
        <f>F341</f>
        <v>430</v>
      </c>
      <c r="J341" s="582"/>
      <c r="K341" s="578"/>
      <c r="L341" s="578"/>
      <c r="M341" s="578"/>
      <c r="N341" s="579"/>
      <c r="O341" s="579"/>
      <c r="P341" s="579"/>
      <c r="Q341" s="579"/>
      <c r="R341" s="578">
        <v>42</v>
      </c>
      <c r="S341" s="579"/>
      <c r="T341" s="579"/>
      <c r="U341" s="575"/>
      <c r="V341" s="575"/>
      <c r="W341" s="575"/>
      <c r="X341" s="575"/>
      <c r="Y341" s="575"/>
      <c r="Z341" s="575"/>
      <c r="AA341" s="583"/>
    </row>
    <row r="342" spans="1:27" s="584" customFormat="1" x14ac:dyDescent="0.2">
      <c r="A342" s="575">
        <f>A340+1</f>
        <v>168</v>
      </c>
      <c r="B342" s="575" t="s">
        <v>65</v>
      </c>
      <c r="C342" s="583" t="s">
        <v>20</v>
      </c>
      <c r="D342" s="571"/>
      <c r="E342" s="576"/>
      <c r="F342" s="576"/>
      <c r="G342" s="577"/>
      <c r="H342" s="575"/>
      <c r="I342" s="577"/>
      <c r="J342" s="582"/>
      <c r="K342" s="578">
        <f>(M342*4+N342*2)/2</f>
        <v>12</v>
      </c>
      <c r="L342" s="578"/>
      <c r="M342" s="578">
        <v>6</v>
      </c>
      <c r="N342" s="579"/>
      <c r="O342" s="579"/>
      <c r="P342" s="579"/>
      <c r="Q342" s="579"/>
      <c r="R342" s="579"/>
      <c r="S342" s="579"/>
      <c r="T342" s="579"/>
      <c r="U342" s="575"/>
      <c r="V342" s="575">
        <v>1</v>
      </c>
      <c r="W342" s="575">
        <v>1</v>
      </c>
      <c r="X342" s="575"/>
      <c r="Y342" s="575"/>
      <c r="Z342" s="575">
        <v>2</v>
      </c>
      <c r="AA342" s="583"/>
    </row>
    <row r="343" spans="1:27" s="584" customFormat="1" x14ac:dyDescent="0.2">
      <c r="A343" s="575"/>
      <c r="B343" s="575"/>
      <c r="C343" s="583"/>
      <c r="D343" s="571"/>
      <c r="E343" s="576">
        <v>398.56099999999998</v>
      </c>
      <c r="F343" s="576">
        <f>+CEILING(E343,5)</f>
        <v>400</v>
      </c>
      <c r="G343" s="577"/>
      <c r="H343" s="575">
        <f>F343*36</f>
        <v>14400</v>
      </c>
      <c r="I343" s="577">
        <f>F343</f>
        <v>400</v>
      </c>
      <c r="J343" s="582"/>
      <c r="K343" s="578"/>
      <c r="L343" s="578"/>
      <c r="M343" s="578"/>
      <c r="N343" s="579"/>
      <c r="O343" s="579"/>
      <c r="P343" s="579"/>
      <c r="Q343" s="579"/>
      <c r="R343" s="578">
        <v>42</v>
      </c>
      <c r="S343" s="579"/>
      <c r="T343" s="579"/>
      <c r="U343" s="575"/>
      <c r="V343" s="575"/>
      <c r="W343" s="575"/>
      <c r="X343" s="575"/>
      <c r="Y343" s="575"/>
      <c r="Z343" s="575"/>
      <c r="AA343" s="583"/>
    </row>
    <row r="344" spans="1:27" s="584" customFormat="1" x14ac:dyDescent="0.2">
      <c r="A344" s="575">
        <f>A342+1</f>
        <v>169</v>
      </c>
      <c r="B344" s="575" t="s">
        <v>66</v>
      </c>
      <c r="C344" s="583" t="s">
        <v>20</v>
      </c>
      <c r="D344" s="571"/>
      <c r="E344" s="576"/>
      <c r="F344" s="576"/>
      <c r="G344" s="577"/>
      <c r="H344" s="575"/>
      <c r="I344" s="577"/>
      <c r="J344" s="582"/>
      <c r="K344" s="578">
        <f>(M344*4+N344*2)/2</f>
        <v>12</v>
      </c>
      <c r="L344" s="578"/>
      <c r="M344" s="578">
        <v>6</v>
      </c>
      <c r="N344" s="579"/>
      <c r="O344" s="579"/>
      <c r="P344" s="579"/>
      <c r="Q344" s="579"/>
      <c r="R344" s="579"/>
      <c r="S344" s="579"/>
      <c r="T344" s="579"/>
      <c r="U344" s="575"/>
      <c r="V344" s="575">
        <v>1</v>
      </c>
      <c r="W344" s="575">
        <v>1</v>
      </c>
      <c r="X344" s="575"/>
      <c r="Y344" s="575"/>
      <c r="Z344" s="575">
        <v>2</v>
      </c>
      <c r="AA344" s="583"/>
    </row>
    <row r="345" spans="1:27" s="584" customFormat="1" x14ac:dyDescent="0.2">
      <c r="A345" s="575"/>
      <c r="B345" s="575"/>
      <c r="C345" s="583"/>
      <c r="D345" s="571"/>
      <c r="E345" s="576">
        <v>430.66500000000002</v>
      </c>
      <c r="F345" s="576">
        <f>+CEILING(E345,5)</f>
        <v>435</v>
      </c>
      <c r="G345" s="577"/>
      <c r="H345" s="575">
        <f>F345*36</f>
        <v>15660</v>
      </c>
      <c r="I345" s="577">
        <f>F345</f>
        <v>435</v>
      </c>
      <c r="J345" s="582"/>
      <c r="K345" s="578"/>
      <c r="L345" s="582"/>
      <c r="M345" s="578"/>
      <c r="N345" s="575"/>
      <c r="O345" s="575"/>
      <c r="P345" s="575"/>
      <c r="Q345" s="575"/>
      <c r="R345" s="578">
        <v>42</v>
      </c>
      <c r="S345" s="575"/>
      <c r="T345" s="575"/>
      <c r="U345" s="575"/>
      <c r="V345" s="575"/>
      <c r="W345" s="575"/>
      <c r="X345" s="575"/>
      <c r="Y345" s="575"/>
      <c r="Z345" s="575"/>
      <c r="AA345" s="583"/>
    </row>
    <row r="346" spans="1:27" s="584" customFormat="1" x14ac:dyDescent="0.2">
      <c r="A346" s="575">
        <f>A344+1</f>
        <v>170</v>
      </c>
      <c r="B346" s="575" t="s">
        <v>67</v>
      </c>
      <c r="C346" s="583" t="s">
        <v>20</v>
      </c>
      <c r="D346" s="571"/>
      <c r="E346" s="576"/>
      <c r="F346" s="576"/>
      <c r="G346" s="577"/>
      <c r="H346" s="575"/>
      <c r="I346" s="577"/>
      <c r="J346" s="582"/>
      <c r="K346" s="578">
        <f>(M346*4+N346*2)/2</f>
        <v>12</v>
      </c>
      <c r="L346" s="578"/>
      <c r="M346" s="578">
        <v>6</v>
      </c>
      <c r="N346" s="579"/>
      <c r="O346" s="579"/>
      <c r="P346" s="579"/>
      <c r="Q346" s="579"/>
      <c r="R346" s="579"/>
      <c r="S346" s="579"/>
      <c r="T346" s="579"/>
      <c r="U346" s="575"/>
      <c r="V346" s="575">
        <v>1</v>
      </c>
      <c r="W346" s="575">
        <v>1</v>
      </c>
      <c r="X346" s="575"/>
      <c r="Y346" s="575"/>
      <c r="Z346" s="575">
        <v>2</v>
      </c>
      <c r="AA346" s="583"/>
    </row>
    <row r="347" spans="1:27" s="584" customFormat="1" x14ac:dyDescent="0.2">
      <c r="A347" s="575"/>
      <c r="B347" s="575"/>
      <c r="C347" s="583"/>
      <c r="D347" s="571"/>
      <c r="E347" s="576">
        <v>410.01299999999998</v>
      </c>
      <c r="F347" s="576">
        <f>+CEILING(E347,5)</f>
        <v>415</v>
      </c>
      <c r="G347" s="577"/>
      <c r="H347" s="575">
        <f>F347*36</f>
        <v>14940</v>
      </c>
      <c r="I347" s="577">
        <f>F347</f>
        <v>415</v>
      </c>
      <c r="J347" s="582"/>
      <c r="K347" s="578"/>
      <c r="L347" s="578"/>
      <c r="M347" s="578"/>
      <c r="N347" s="579"/>
      <c r="O347" s="579"/>
      <c r="P347" s="579"/>
      <c r="Q347" s="579"/>
      <c r="R347" s="578">
        <v>42</v>
      </c>
      <c r="S347" s="579"/>
      <c r="T347" s="579"/>
      <c r="U347" s="575"/>
      <c r="V347" s="575"/>
      <c r="W347" s="575"/>
      <c r="X347" s="575"/>
      <c r="Y347" s="575"/>
      <c r="Z347" s="575"/>
      <c r="AA347" s="583"/>
    </row>
    <row r="348" spans="1:27" s="584" customFormat="1" x14ac:dyDescent="0.2">
      <c r="A348" s="575">
        <f>A346+1</f>
        <v>171</v>
      </c>
      <c r="B348" s="575" t="s">
        <v>68</v>
      </c>
      <c r="C348" s="583" t="s">
        <v>231</v>
      </c>
      <c r="D348" s="571"/>
      <c r="E348" s="576"/>
      <c r="F348" s="576"/>
      <c r="G348" s="577"/>
      <c r="H348" s="575"/>
      <c r="I348" s="577"/>
      <c r="J348" s="582"/>
      <c r="K348" s="578">
        <f>(M348*4+N348*2)/2</f>
        <v>12</v>
      </c>
      <c r="L348" s="578"/>
      <c r="M348" s="578">
        <v>6</v>
      </c>
      <c r="N348" s="579"/>
      <c r="O348" s="579"/>
      <c r="P348" s="579"/>
      <c r="Q348" s="579"/>
      <c r="R348" s="579"/>
      <c r="S348" s="579"/>
      <c r="T348" s="579"/>
      <c r="U348" s="575"/>
      <c r="V348" s="575">
        <v>1</v>
      </c>
      <c r="W348" s="575">
        <v>1</v>
      </c>
      <c r="X348" s="575"/>
      <c r="Y348" s="575"/>
      <c r="Z348" s="575">
        <v>2</v>
      </c>
      <c r="AA348" s="583"/>
    </row>
    <row r="349" spans="1:27" s="584" customFormat="1" x14ac:dyDescent="0.2">
      <c r="A349" s="575"/>
      <c r="B349" s="575"/>
      <c r="C349" s="583"/>
      <c r="D349" s="571"/>
      <c r="E349" s="576">
        <v>402.548</v>
      </c>
      <c r="F349" s="576">
        <f>+CEILING(E349,5)</f>
        <v>405</v>
      </c>
      <c r="G349" s="577"/>
      <c r="H349" s="575">
        <f>F349*36</f>
        <v>14580</v>
      </c>
      <c r="I349" s="577">
        <f>F349</f>
        <v>405</v>
      </c>
      <c r="J349" s="582"/>
      <c r="K349" s="578"/>
      <c r="L349" s="578"/>
      <c r="M349" s="578"/>
      <c r="N349" s="579"/>
      <c r="O349" s="579"/>
      <c r="P349" s="579"/>
      <c r="Q349" s="579"/>
      <c r="R349" s="578">
        <v>42</v>
      </c>
      <c r="S349" s="579"/>
      <c r="T349" s="579"/>
      <c r="U349" s="575"/>
      <c r="V349" s="575"/>
      <c r="W349" s="575"/>
      <c r="X349" s="575"/>
      <c r="Y349" s="575"/>
      <c r="Z349" s="575"/>
      <c r="AA349" s="583"/>
    </row>
    <row r="350" spans="1:27" s="584" customFormat="1" x14ac:dyDescent="0.2">
      <c r="A350" s="575">
        <f>A348+1</f>
        <v>172</v>
      </c>
      <c r="B350" s="575" t="s">
        <v>69</v>
      </c>
      <c r="C350" s="583" t="s">
        <v>231</v>
      </c>
      <c r="D350" s="571"/>
      <c r="E350" s="576"/>
      <c r="F350" s="576"/>
      <c r="G350" s="577"/>
      <c r="H350" s="575"/>
      <c r="I350" s="577"/>
      <c r="J350" s="582"/>
      <c r="K350" s="578">
        <f>(M350*4+N350*2)/2</f>
        <v>12</v>
      </c>
      <c r="L350" s="578"/>
      <c r="M350" s="578">
        <v>6</v>
      </c>
      <c r="N350" s="579"/>
      <c r="O350" s="579"/>
      <c r="P350" s="579"/>
      <c r="Q350" s="579"/>
      <c r="R350" s="579"/>
      <c r="S350" s="579"/>
      <c r="T350" s="579"/>
      <c r="U350" s="575"/>
      <c r="V350" s="575">
        <v>1</v>
      </c>
      <c r="W350" s="575">
        <v>1</v>
      </c>
      <c r="X350" s="575"/>
      <c r="Y350" s="575"/>
      <c r="Z350" s="575">
        <v>2</v>
      </c>
      <c r="AA350" s="583"/>
    </row>
    <row r="351" spans="1:27" s="584" customFormat="1" x14ac:dyDescent="0.2">
      <c r="A351" s="575"/>
      <c r="B351" s="575"/>
      <c r="C351" s="583"/>
      <c r="D351" s="571"/>
      <c r="E351" s="576">
        <v>343.49900000000002</v>
      </c>
      <c r="F351" s="576">
        <f>+CEILING(E351,5)</f>
        <v>345</v>
      </c>
      <c r="G351" s="577"/>
      <c r="H351" s="575">
        <f>F351*36</f>
        <v>12420</v>
      </c>
      <c r="I351" s="577">
        <f>F351</f>
        <v>345</v>
      </c>
      <c r="J351" s="582"/>
      <c r="K351" s="582"/>
      <c r="L351" s="582"/>
      <c r="M351" s="582"/>
      <c r="N351" s="575"/>
      <c r="O351" s="575"/>
      <c r="P351" s="575"/>
      <c r="Q351" s="575"/>
      <c r="R351" s="578">
        <v>36</v>
      </c>
      <c r="S351" s="579"/>
      <c r="T351" s="575"/>
      <c r="U351" s="575"/>
      <c r="V351" s="575"/>
      <c r="W351" s="575"/>
      <c r="X351" s="575"/>
      <c r="Y351" s="575"/>
      <c r="Z351" s="575"/>
      <c r="AA351" s="583"/>
    </row>
    <row r="352" spans="1:27" s="584" customFormat="1" x14ac:dyDescent="0.2">
      <c r="A352" s="575">
        <f>A350+1</f>
        <v>173</v>
      </c>
      <c r="B352" s="572" t="s">
        <v>186</v>
      </c>
      <c r="C352" s="571" t="s">
        <v>242</v>
      </c>
      <c r="D352" s="571" t="s">
        <v>1098</v>
      </c>
      <c r="E352" s="576"/>
      <c r="F352" s="576"/>
      <c r="G352" s="577"/>
      <c r="H352" s="575"/>
      <c r="I352" s="577"/>
      <c r="J352" s="578">
        <v>48</v>
      </c>
      <c r="K352" s="582"/>
      <c r="L352" s="578">
        <v>12</v>
      </c>
      <c r="M352" s="582"/>
      <c r="N352" s="575"/>
      <c r="O352" s="575"/>
      <c r="P352" s="575"/>
      <c r="Q352" s="575"/>
      <c r="R352" s="579"/>
      <c r="S352" s="575">
        <v>30</v>
      </c>
      <c r="T352" s="575"/>
      <c r="U352" s="575">
        <v>2</v>
      </c>
      <c r="V352" s="575"/>
      <c r="W352" s="575">
        <v>2</v>
      </c>
      <c r="X352" s="575"/>
      <c r="Y352" s="575"/>
      <c r="Z352" s="575">
        <v>4</v>
      </c>
      <c r="AA352" s="583"/>
    </row>
    <row r="353" spans="1:27" s="584" customFormat="1" x14ac:dyDescent="0.2">
      <c r="A353" s="575"/>
      <c r="B353" s="575"/>
      <c r="C353" s="583"/>
      <c r="D353" s="571"/>
      <c r="E353" s="576">
        <v>392.00400000000002</v>
      </c>
      <c r="F353" s="576">
        <f>+CEILING(E353,5)</f>
        <v>395</v>
      </c>
      <c r="G353" s="577"/>
      <c r="H353" s="575">
        <f>F353*36</f>
        <v>14220</v>
      </c>
      <c r="I353" s="577">
        <f>F353</f>
        <v>395</v>
      </c>
      <c r="J353" s="582"/>
      <c r="K353" s="578"/>
      <c r="L353" s="582"/>
      <c r="M353" s="578"/>
      <c r="N353" s="575"/>
      <c r="O353" s="575"/>
      <c r="P353" s="575"/>
      <c r="Q353" s="575"/>
      <c r="R353" s="578">
        <v>42</v>
      </c>
      <c r="S353" s="575"/>
      <c r="T353" s="575"/>
      <c r="U353" s="575"/>
      <c r="V353" s="575"/>
      <c r="W353" s="575"/>
      <c r="X353" s="575"/>
      <c r="Y353" s="575"/>
      <c r="Z353" s="575"/>
      <c r="AA353" s="583"/>
    </row>
    <row r="354" spans="1:27" s="584" customFormat="1" x14ac:dyDescent="0.2">
      <c r="A354" s="575">
        <f>A352+1</f>
        <v>174</v>
      </c>
      <c r="B354" s="575" t="s">
        <v>187</v>
      </c>
      <c r="C354" s="583" t="s">
        <v>231</v>
      </c>
      <c r="D354" s="571"/>
      <c r="E354" s="576"/>
      <c r="F354" s="576"/>
      <c r="G354" s="577"/>
      <c r="H354" s="575"/>
      <c r="I354" s="577"/>
      <c r="J354" s="582"/>
      <c r="K354" s="578">
        <f>(M354*4+N354*2)/2</f>
        <v>12</v>
      </c>
      <c r="L354" s="578"/>
      <c r="M354" s="578">
        <v>6</v>
      </c>
      <c r="N354" s="579"/>
      <c r="O354" s="579"/>
      <c r="P354" s="579"/>
      <c r="Q354" s="579"/>
      <c r="R354" s="579"/>
      <c r="S354" s="579"/>
      <c r="T354" s="579"/>
      <c r="U354" s="575"/>
      <c r="V354" s="575">
        <v>1</v>
      </c>
      <c r="W354" s="575">
        <v>1</v>
      </c>
      <c r="X354" s="575"/>
      <c r="Y354" s="575"/>
      <c r="Z354" s="575">
        <v>2</v>
      </c>
      <c r="AA354" s="583"/>
    </row>
    <row r="355" spans="1:27" s="584" customFormat="1" x14ac:dyDescent="0.2">
      <c r="A355" s="575"/>
      <c r="B355" s="575"/>
      <c r="C355" s="583"/>
      <c r="D355" s="571"/>
      <c r="E355" s="576">
        <v>381.08800000000002</v>
      </c>
      <c r="F355" s="576">
        <f>+CEILING(E355,5)</f>
        <v>385</v>
      </c>
      <c r="G355" s="577"/>
      <c r="H355" s="575">
        <f>F355*36</f>
        <v>13860</v>
      </c>
      <c r="I355" s="577">
        <f>F355</f>
        <v>385</v>
      </c>
      <c r="J355" s="582"/>
      <c r="K355" s="578"/>
      <c r="L355" s="582"/>
      <c r="M355" s="578"/>
      <c r="N355" s="575"/>
      <c r="O355" s="575"/>
      <c r="P355" s="575"/>
      <c r="Q355" s="575"/>
      <c r="R355" s="578">
        <v>36</v>
      </c>
      <c r="S355" s="575"/>
      <c r="T355" s="575"/>
      <c r="U355" s="575"/>
      <c r="V355" s="575"/>
      <c r="W355" s="575"/>
      <c r="X355" s="575"/>
      <c r="Y355" s="575"/>
      <c r="Z355" s="575"/>
      <c r="AA355" s="583"/>
    </row>
    <row r="356" spans="1:27" s="584" customFormat="1" x14ac:dyDescent="0.2">
      <c r="A356" s="575">
        <f>A354+1</f>
        <v>175</v>
      </c>
      <c r="B356" s="575" t="s">
        <v>188</v>
      </c>
      <c r="C356" s="583" t="s">
        <v>231</v>
      </c>
      <c r="D356" s="571"/>
      <c r="E356" s="576"/>
      <c r="F356" s="576"/>
      <c r="G356" s="577"/>
      <c r="H356" s="575"/>
      <c r="I356" s="577"/>
      <c r="J356" s="582"/>
      <c r="K356" s="578">
        <f>(M356*4+N356*2)/2</f>
        <v>12</v>
      </c>
      <c r="L356" s="578"/>
      <c r="M356" s="578">
        <v>6</v>
      </c>
      <c r="N356" s="579"/>
      <c r="O356" s="579"/>
      <c r="P356" s="579"/>
      <c r="Q356" s="579"/>
      <c r="R356" s="579"/>
      <c r="S356" s="579"/>
      <c r="T356" s="579"/>
      <c r="U356" s="575"/>
      <c r="V356" s="575">
        <v>1</v>
      </c>
      <c r="W356" s="575">
        <v>1</v>
      </c>
      <c r="X356" s="575"/>
      <c r="Y356" s="575"/>
      <c r="Z356" s="575">
        <v>2</v>
      </c>
      <c r="AA356" s="583"/>
    </row>
    <row r="357" spans="1:27" s="584" customFormat="1" x14ac:dyDescent="0.2">
      <c r="A357" s="575"/>
      <c r="B357" s="575"/>
      <c r="C357" s="583"/>
      <c r="D357" s="571"/>
      <c r="E357" s="576">
        <v>366.27800000000002</v>
      </c>
      <c r="F357" s="576">
        <f>+CEILING(E357,5)</f>
        <v>370</v>
      </c>
      <c r="G357" s="577"/>
      <c r="H357" s="575">
        <f>F357*36</f>
        <v>13320</v>
      </c>
      <c r="I357" s="577">
        <f>F357</f>
        <v>370</v>
      </c>
      <c r="J357" s="582"/>
      <c r="K357" s="578"/>
      <c r="L357" s="578"/>
      <c r="M357" s="578"/>
      <c r="N357" s="579"/>
      <c r="O357" s="579"/>
      <c r="P357" s="579"/>
      <c r="Q357" s="579"/>
      <c r="R357" s="578">
        <v>36</v>
      </c>
      <c r="S357" s="579"/>
      <c r="T357" s="579"/>
      <c r="U357" s="575"/>
      <c r="V357" s="575"/>
      <c r="W357" s="575"/>
      <c r="X357" s="575"/>
      <c r="Y357" s="575"/>
      <c r="Z357" s="575"/>
      <c r="AA357" s="583"/>
    </row>
    <row r="358" spans="1:27" s="584" customFormat="1" x14ac:dyDescent="0.2">
      <c r="A358" s="575">
        <f>A356+1</f>
        <v>176</v>
      </c>
      <c r="B358" s="575" t="s">
        <v>189</v>
      </c>
      <c r="C358" s="583" t="s">
        <v>20</v>
      </c>
      <c r="D358" s="571"/>
      <c r="E358" s="576"/>
      <c r="F358" s="576"/>
      <c r="G358" s="577"/>
      <c r="H358" s="575"/>
      <c r="I358" s="577"/>
      <c r="J358" s="582"/>
      <c r="K358" s="578">
        <f>(M358*4+N358*2)/2</f>
        <v>12</v>
      </c>
      <c r="L358" s="578"/>
      <c r="M358" s="578">
        <v>6</v>
      </c>
      <c r="N358" s="579"/>
      <c r="O358" s="579"/>
      <c r="P358" s="579"/>
      <c r="Q358" s="579"/>
      <c r="R358" s="579"/>
      <c r="S358" s="579"/>
      <c r="T358" s="579"/>
      <c r="U358" s="575"/>
      <c r="V358" s="575">
        <v>1</v>
      </c>
      <c r="W358" s="575">
        <v>1</v>
      </c>
      <c r="X358" s="575"/>
      <c r="Y358" s="575"/>
      <c r="Z358" s="575">
        <v>2</v>
      </c>
      <c r="AA358" s="583"/>
    </row>
    <row r="359" spans="1:27" s="584" customFormat="1" x14ac:dyDescent="0.2">
      <c r="A359" s="575"/>
      <c r="B359" s="575"/>
      <c r="C359" s="583"/>
      <c r="D359" s="571"/>
      <c r="E359" s="576">
        <v>420.08699999999999</v>
      </c>
      <c r="F359" s="576">
        <f>+CEILING(E359,5)</f>
        <v>425</v>
      </c>
      <c r="G359" s="577"/>
      <c r="H359" s="575">
        <f>F359*36</f>
        <v>15300</v>
      </c>
      <c r="I359" s="577">
        <f>F359</f>
        <v>425</v>
      </c>
      <c r="J359" s="582"/>
      <c r="K359" s="578"/>
      <c r="L359" s="578"/>
      <c r="M359" s="578"/>
      <c r="N359" s="579"/>
      <c r="O359" s="579"/>
      <c r="P359" s="579"/>
      <c r="Q359" s="579"/>
      <c r="R359" s="578">
        <v>42</v>
      </c>
      <c r="S359" s="579"/>
      <c r="T359" s="579"/>
      <c r="U359" s="575"/>
      <c r="V359" s="575"/>
      <c r="W359" s="575"/>
      <c r="X359" s="575"/>
      <c r="Y359" s="575"/>
      <c r="Z359" s="575"/>
      <c r="AA359" s="583"/>
    </row>
    <row r="360" spans="1:27" s="584" customFormat="1" x14ac:dyDescent="0.2">
      <c r="A360" s="575">
        <f>A358+1</f>
        <v>177</v>
      </c>
      <c r="B360" s="575" t="s">
        <v>190</v>
      </c>
      <c r="C360" s="583" t="s">
        <v>20</v>
      </c>
      <c r="D360" s="571"/>
      <c r="E360" s="576"/>
      <c r="F360" s="576"/>
      <c r="G360" s="577"/>
      <c r="H360" s="575"/>
      <c r="I360" s="577"/>
      <c r="J360" s="582"/>
      <c r="K360" s="578">
        <f>(M360*4+N360*2)/2</f>
        <v>12</v>
      </c>
      <c r="L360" s="578"/>
      <c r="M360" s="578">
        <v>6</v>
      </c>
      <c r="N360" s="579"/>
      <c r="O360" s="579"/>
      <c r="P360" s="579"/>
      <c r="Q360" s="579"/>
      <c r="R360" s="579"/>
      <c r="S360" s="579"/>
      <c r="T360" s="579"/>
      <c r="U360" s="575"/>
      <c r="V360" s="575">
        <v>1</v>
      </c>
      <c r="W360" s="575">
        <v>1</v>
      </c>
      <c r="X360" s="575"/>
      <c r="Y360" s="575"/>
      <c r="Z360" s="575">
        <v>2</v>
      </c>
      <c r="AA360" s="583"/>
    </row>
    <row r="361" spans="1:27" s="584" customFormat="1" x14ac:dyDescent="0.2">
      <c r="A361" s="575"/>
      <c r="B361" s="575"/>
      <c r="C361" s="583"/>
      <c r="D361" s="571"/>
      <c r="E361" s="576">
        <v>420.78699999999998</v>
      </c>
      <c r="F361" s="576">
        <f>+CEILING(E361,5)</f>
        <v>425</v>
      </c>
      <c r="G361" s="577"/>
      <c r="H361" s="575">
        <f>F361*36</f>
        <v>15300</v>
      </c>
      <c r="I361" s="577">
        <f>F361</f>
        <v>425</v>
      </c>
      <c r="J361" s="582"/>
      <c r="K361" s="578"/>
      <c r="L361" s="578"/>
      <c r="M361" s="578"/>
      <c r="N361" s="579"/>
      <c r="O361" s="579"/>
      <c r="P361" s="579"/>
      <c r="Q361" s="579"/>
      <c r="R361" s="578">
        <v>42</v>
      </c>
      <c r="S361" s="579"/>
      <c r="T361" s="579"/>
      <c r="U361" s="575"/>
      <c r="V361" s="575"/>
      <c r="W361" s="575"/>
      <c r="X361" s="575"/>
      <c r="Y361" s="575"/>
      <c r="Z361" s="575"/>
      <c r="AA361" s="583"/>
    </row>
    <row r="362" spans="1:27" s="584" customFormat="1" x14ac:dyDescent="0.2">
      <c r="A362" s="575">
        <f>A360+1</f>
        <v>178</v>
      </c>
      <c r="B362" s="575" t="s">
        <v>191</v>
      </c>
      <c r="C362" s="583" t="s">
        <v>20</v>
      </c>
      <c r="D362" s="571"/>
      <c r="E362" s="576"/>
      <c r="F362" s="576"/>
      <c r="G362" s="577"/>
      <c r="H362" s="575"/>
      <c r="I362" s="577"/>
      <c r="J362" s="582"/>
      <c r="K362" s="578">
        <f>(M362*4+N362*2)/2</f>
        <v>12</v>
      </c>
      <c r="L362" s="578"/>
      <c r="M362" s="578">
        <v>6</v>
      </c>
      <c r="N362" s="579"/>
      <c r="O362" s="579"/>
      <c r="P362" s="579"/>
      <c r="Q362" s="579"/>
      <c r="R362" s="579"/>
      <c r="S362" s="579"/>
      <c r="T362" s="579"/>
      <c r="U362" s="575"/>
      <c r="V362" s="575">
        <v>1</v>
      </c>
      <c r="W362" s="575">
        <v>1</v>
      </c>
      <c r="X362" s="575"/>
      <c r="Y362" s="575"/>
      <c r="Z362" s="575">
        <v>2</v>
      </c>
      <c r="AA362" s="583"/>
    </row>
    <row r="363" spans="1:27" s="584" customFormat="1" x14ac:dyDescent="0.2">
      <c r="A363" s="575"/>
      <c r="B363" s="575"/>
      <c r="C363" s="583"/>
      <c r="D363" s="571"/>
      <c r="E363" s="576">
        <v>406.63499999999999</v>
      </c>
      <c r="F363" s="576">
        <f>+CEILING(E363,5)</f>
        <v>410</v>
      </c>
      <c r="G363" s="577"/>
      <c r="H363" s="575">
        <f>F363*36</f>
        <v>14760</v>
      </c>
      <c r="I363" s="577">
        <f>F363</f>
        <v>410</v>
      </c>
      <c r="J363" s="582"/>
      <c r="K363" s="578"/>
      <c r="L363" s="582"/>
      <c r="M363" s="578"/>
      <c r="N363" s="575"/>
      <c r="O363" s="575"/>
      <c r="P363" s="575"/>
      <c r="Q363" s="575"/>
      <c r="R363" s="578">
        <v>42</v>
      </c>
      <c r="S363" s="575"/>
      <c r="T363" s="575"/>
      <c r="U363" s="575"/>
      <c r="V363" s="575"/>
      <c r="W363" s="575"/>
      <c r="X363" s="575"/>
      <c r="Y363" s="575"/>
      <c r="Z363" s="575"/>
      <c r="AA363" s="583"/>
    </row>
    <row r="364" spans="1:27" s="584" customFormat="1" x14ac:dyDescent="0.2">
      <c r="A364" s="575">
        <f>A362+1</f>
        <v>179</v>
      </c>
      <c r="B364" s="572" t="s">
        <v>70</v>
      </c>
      <c r="C364" s="571" t="s">
        <v>245</v>
      </c>
      <c r="D364" s="571" t="s">
        <v>1099</v>
      </c>
      <c r="E364" s="576"/>
      <c r="F364" s="576"/>
      <c r="G364" s="577"/>
      <c r="H364" s="575"/>
      <c r="I364" s="577"/>
      <c r="J364" s="578">
        <v>48</v>
      </c>
      <c r="K364" s="582"/>
      <c r="L364" s="578">
        <v>12</v>
      </c>
      <c r="M364" s="582"/>
      <c r="N364" s="575"/>
      <c r="O364" s="575"/>
      <c r="P364" s="575"/>
      <c r="Q364" s="575"/>
      <c r="R364" s="579"/>
      <c r="S364" s="575">
        <v>30</v>
      </c>
      <c r="T364" s="575"/>
      <c r="U364" s="575">
        <v>2</v>
      </c>
      <c r="V364" s="575"/>
      <c r="W364" s="575">
        <v>2</v>
      </c>
      <c r="X364" s="575"/>
      <c r="Y364" s="575"/>
      <c r="Z364" s="575">
        <v>4</v>
      </c>
      <c r="AA364" s="583"/>
    </row>
    <row r="365" spans="1:27" s="584" customFormat="1" x14ac:dyDescent="0.2">
      <c r="A365" s="575"/>
      <c r="B365" s="575"/>
      <c r="C365" s="583"/>
      <c r="D365" s="571"/>
      <c r="E365" s="576">
        <v>379.637</v>
      </c>
      <c r="F365" s="576">
        <f>+CEILING(E365,5)</f>
        <v>380</v>
      </c>
      <c r="G365" s="577"/>
      <c r="H365" s="575">
        <f>F365*36</f>
        <v>13680</v>
      </c>
      <c r="I365" s="577">
        <f>F365</f>
        <v>380</v>
      </c>
      <c r="J365" s="582"/>
      <c r="K365" s="578"/>
      <c r="L365" s="578"/>
      <c r="M365" s="578"/>
      <c r="N365" s="579"/>
      <c r="O365" s="579"/>
      <c r="P365" s="579"/>
      <c r="Q365" s="579"/>
      <c r="R365" s="578">
        <v>36</v>
      </c>
      <c r="S365" s="579"/>
      <c r="T365" s="579"/>
      <c r="U365" s="575"/>
      <c r="V365" s="575"/>
      <c r="W365" s="575"/>
      <c r="X365" s="575"/>
      <c r="Y365" s="575"/>
      <c r="Z365" s="575"/>
      <c r="AA365" s="583"/>
    </row>
    <row r="366" spans="1:27" s="584" customFormat="1" x14ac:dyDescent="0.2">
      <c r="A366" s="575">
        <f>A364+1</f>
        <v>180</v>
      </c>
      <c r="B366" s="575" t="s">
        <v>71</v>
      </c>
      <c r="C366" s="583" t="s">
        <v>231</v>
      </c>
      <c r="D366" s="571"/>
      <c r="E366" s="576"/>
      <c r="F366" s="576"/>
      <c r="G366" s="577"/>
      <c r="H366" s="575"/>
      <c r="I366" s="577"/>
      <c r="J366" s="582"/>
      <c r="K366" s="578">
        <f>(M366*4+N366*2)/2</f>
        <v>12</v>
      </c>
      <c r="L366" s="578"/>
      <c r="M366" s="578">
        <v>6</v>
      </c>
      <c r="N366" s="579"/>
      <c r="O366" s="579"/>
      <c r="P366" s="579"/>
      <c r="Q366" s="579"/>
      <c r="R366" s="579"/>
      <c r="S366" s="579"/>
      <c r="T366" s="579"/>
      <c r="U366" s="575"/>
      <c r="V366" s="575">
        <v>1</v>
      </c>
      <c r="W366" s="575">
        <v>1</v>
      </c>
      <c r="X366" s="575"/>
      <c r="Y366" s="575"/>
      <c r="Z366" s="575">
        <v>2</v>
      </c>
      <c r="AA366" s="583"/>
    </row>
    <row r="367" spans="1:27" s="584" customFormat="1" x14ac:dyDescent="0.2">
      <c r="A367" s="575"/>
      <c r="B367" s="575"/>
      <c r="C367" s="583"/>
      <c r="D367" s="571"/>
      <c r="E367" s="576">
        <v>385</v>
      </c>
      <c r="F367" s="576">
        <f>+CEILING(E367,5)</f>
        <v>385</v>
      </c>
      <c r="G367" s="577"/>
      <c r="H367" s="575">
        <f>F367*36</f>
        <v>13860</v>
      </c>
      <c r="I367" s="577">
        <f>F367</f>
        <v>385</v>
      </c>
      <c r="J367" s="582"/>
      <c r="K367" s="578"/>
      <c r="L367" s="578"/>
      <c r="M367" s="578"/>
      <c r="N367" s="579"/>
      <c r="O367" s="579"/>
      <c r="P367" s="579"/>
      <c r="Q367" s="579"/>
      <c r="R367" s="578">
        <v>36</v>
      </c>
      <c r="S367" s="579"/>
      <c r="T367" s="579"/>
      <c r="U367" s="575"/>
      <c r="V367" s="575"/>
      <c r="W367" s="575"/>
      <c r="X367" s="575"/>
      <c r="Y367" s="575"/>
      <c r="Z367" s="575"/>
      <c r="AA367" s="583"/>
    </row>
    <row r="368" spans="1:27" s="584" customFormat="1" x14ac:dyDescent="0.2">
      <c r="A368" s="575">
        <f>A366+1</f>
        <v>181</v>
      </c>
      <c r="B368" s="575" t="s">
        <v>72</v>
      </c>
      <c r="C368" s="583" t="s">
        <v>231</v>
      </c>
      <c r="D368" s="571"/>
      <c r="E368" s="576"/>
      <c r="F368" s="576"/>
      <c r="G368" s="577"/>
      <c r="H368" s="575"/>
      <c r="I368" s="577"/>
      <c r="J368" s="582"/>
      <c r="K368" s="578">
        <f>(M368*4+N368*2)/2</f>
        <v>12</v>
      </c>
      <c r="L368" s="578"/>
      <c r="M368" s="578">
        <v>6</v>
      </c>
      <c r="N368" s="579"/>
      <c r="O368" s="579"/>
      <c r="P368" s="579"/>
      <c r="Q368" s="579"/>
      <c r="R368" s="579"/>
      <c r="S368" s="579"/>
      <c r="T368" s="579"/>
      <c r="U368" s="575"/>
      <c r="V368" s="575">
        <v>1</v>
      </c>
      <c r="W368" s="575">
        <v>1</v>
      </c>
      <c r="X368" s="575"/>
      <c r="Y368" s="575"/>
      <c r="Z368" s="575">
        <v>2</v>
      </c>
      <c r="AA368" s="583"/>
    </row>
    <row r="369" spans="1:27" s="584" customFormat="1" x14ac:dyDescent="0.2">
      <c r="A369" s="575"/>
      <c r="B369" s="575"/>
      <c r="C369" s="583"/>
      <c r="D369" s="571"/>
      <c r="E369" s="576">
        <v>369</v>
      </c>
      <c r="F369" s="576">
        <f>+CEILING(E369,5)</f>
        <v>370</v>
      </c>
      <c r="G369" s="577"/>
      <c r="H369" s="575">
        <f>F369*36</f>
        <v>13320</v>
      </c>
      <c r="I369" s="577">
        <f>F369</f>
        <v>370</v>
      </c>
      <c r="J369" s="582"/>
      <c r="K369" s="578"/>
      <c r="L369" s="578"/>
      <c r="M369" s="578"/>
      <c r="N369" s="579"/>
      <c r="O369" s="579"/>
      <c r="P369" s="579"/>
      <c r="Q369" s="579"/>
      <c r="R369" s="578">
        <v>36</v>
      </c>
      <c r="S369" s="579"/>
      <c r="T369" s="579"/>
      <c r="U369" s="575"/>
      <c r="V369" s="575"/>
      <c r="W369" s="575"/>
      <c r="X369" s="575"/>
      <c r="Y369" s="575"/>
      <c r="Z369" s="575"/>
      <c r="AA369" s="583"/>
    </row>
    <row r="370" spans="1:27" s="584" customFormat="1" x14ac:dyDescent="0.2">
      <c r="A370" s="575">
        <f>A368+1</f>
        <v>182</v>
      </c>
      <c r="B370" s="575" t="s">
        <v>73</v>
      </c>
      <c r="C370" s="583" t="s">
        <v>231</v>
      </c>
      <c r="D370" s="571"/>
      <c r="E370" s="576"/>
      <c r="F370" s="576"/>
      <c r="G370" s="577"/>
      <c r="H370" s="575"/>
      <c r="I370" s="577"/>
      <c r="J370" s="582"/>
      <c r="K370" s="578">
        <f>(M370*4+N370*2)/2</f>
        <v>12</v>
      </c>
      <c r="L370" s="578"/>
      <c r="M370" s="578">
        <v>6</v>
      </c>
      <c r="N370" s="579"/>
      <c r="O370" s="579"/>
      <c r="P370" s="579"/>
      <c r="Q370" s="579"/>
      <c r="R370" s="579"/>
      <c r="S370" s="579"/>
      <c r="T370" s="579"/>
      <c r="U370" s="575"/>
      <c r="V370" s="575">
        <v>1</v>
      </c>
      <c r="W370" s="575">
        <v>1</v>
      </c>
      <c r="X370" s="575"/>
      <c r="Y370" s="575"/>
      <c r="Z370" s="575">
        <v>2</v>
      </c>
      <c r="AA370" s="583"/>
    </row>
    <row r="371" spans="1:27" s="584" customFormat="1" x14ac:dyDescent="0.2">
      <c r="A371" s="575"/>
      <c r="B371" s="575"/>
      <c r="C371" s="583"/>
      <c r="D371" s="571"/>
      <c r="E371" s="576">
        <v>409</v>
      </c>
      <c r="F371" s="576">
        <f>+CEILING(E371,5)</f>
        <v>410</v>
      </c>
      <c r="G371" s="577"/>
      <c r="H371" s="575">
        <f>F371*36</f>
        <v>14760</v>
      </c>
      <c r="I371" s="577">
        <f>F371</f>
        <v>410</v>
      </c>
      <c r="J371" s="582"/>
      <c r="K371" s="578"/>
      <c r="L371" s="578"/>
      <c r="M371" s="578"/>
      <c r="N371" s="579"/>
      <c r="O371" s="579"/>
      <c r="P371" s="579"/>
      <c r="Q371" s="579"/>
      <c r="R371" s="578">
        <v>42</v>
      </c>
      <c r="S371" s="579"/>
      <c r="T371" s="579"/>
      <c r="U371" s="575"/>
      <c r="V371" s="575"/>
      <c r="W371" s="575"/>
      <c r="X371" s="575"/>
      <c r="Y371" s="575"/>
      <c r="Z371" s="575"/>
      <c r="AA371" s="583"/>
    </row>
    <row r="372" spans="1:27" s="584" customFormat="1" x14ac:dyDescent="0.2">
      <c r="A372" s="575">
        <f>A370+1</f>
        <v>183</v>
      </c>
      <c r="B372" s="575" t="s">
        <v>74</v>
      </c>
      <c r="C372" s="583" t="s">
        <v>231</v>
      </c>
      <c r="D372" s="571"/>
      <c r="E372" s="576"/>
      <c r="F372" s="576"/>
      <c r="G372" s="577"/>
      <c r="H372" s="575"/>
      <c r="I372" s="577"/>
      <c r="J372" s="582"/>
      <c r="K372" s="578">
        <f>(M372*4+N372*2)/2</f>
        <v>12</v>
      </c>
      <c r="L372" s="578"/>
      <c r="M372" s="578">
        <v>6</v>
      </c>
      <c r="N372" s="579"/>
      <c r="O372" s="579"/>
      <c r="P372" s="579"/>
      <c r="Q372" s="579"/>
      <c r="R372" s="579"/>
      <c r="S372" s="579"/>
      <c r="T372" s="579"/>
      <c r="U372" s="575"/>
      <c r="V372" s="575">
        <v>1</v>
      </c>
      <c r="W372" s="575">
        <v>1</v>
      </c>
      <c r="X372" s="575"/>
      <c r="Y372" s="575"/>
      <c r="Z372" s="575">
        <v>2</v>
      </c>
      <c r="AA372" s="583"/>
    </row>
    <row r="373" spans="1:27" s="584" customFormat="1" x14ac:dyDescent="0.2">
      <c r="A373" s="575"/>
      <c r="B373" s="575"/>
      <c r="C373" s="583"/>
      <c r="D373" s="571"/>
      <c r="E373" s="576">
        <v>422</v>
      </c>
      <c r="F373" s="576">
        <f>+CEILING(E373,5)</f>
        <v>425</v>
      </c>
      <c r="G373" s="577"/>
      <c r="H373" s="575">
        <f>F373*36</f>
        <v>15300</v>
      </c>
      <c r="I373" s="577">
        <f>F373</f>
        <v>425</v>
      </c>
      <c r="J373" s="582"/>
      <c r="K373" s="578"/>
      <c r="L373" s="582"/>
      <c r="M373" s="578"/>
      <c r="N373" s="575"/>
      <c r="O373" s="575"/>
      <c r="P373" s="575"/>
      <c r="Q373" s="575"/>
      <c r="R373" s="578">
        <v>42</v>
      </c>
      <c r="S373" s="575"/>
      <c r="T373" s="575"/>
      <c r="U373" s="575"/>
      <c r="V373" s="575"/>
      <c r="W373" s="575"/>
      <c r="X373" s="575"/>
      <c r="Y373" s="575"/>
      <c r="Z373" s="575"/>
      <c r="AA373" s="583"/>
    </row>
    <row r="374" spans="1:27" s="584" customFormat="1" x14ac:dyDescent="0.2">
      <c r="A374" s="575">
        <f>A372+1</f>
        <v>184</v>
      </c>
      <c r="B374" s="575" t="s">
        <v>75</v>
      </c>
      <c r="C374" s="583" t="s">
        <v>233</v>
      </c>
      <c r="D374" s="571"/>
      <c r="E374" s="576"/>
      <c r="F374" s="576"/>
      <c r="G374" s="577"/>
      <c r="H374" s="575"/>
      <c r="I374" s="577"/>
      <c r="J374" s="582"/>
      <c r="K374" s="578">
        <f>(M374*4+N374*2)/2</f>
        <v>12</v>
      </c>
      <c r="L374" s="578"/>
      <c r="M374" s="578">
        <v>6</v>
      </c>
      <c r="N374" s="579"/>
      <c r="O374" s="579"/>
      <c r="P374" s="579"/>
      <c r="Q374" s="579"/>
      <c r="R374" s="579"/>
      <c r="S374" s="579"/>
      <c r="T374" s="579"/>
      <c r="U374" s="575"/>
      <c r="V374" s="575">
        <v>1</v>
      </c>
      <c r="W374" s="575">
        <v>1</v>
      </c>
      <c r="X374" s="575"/>
      <c r="Y374" s="575"/>
      <c r="Z374" s="575">
        <v>2</v>
      </c>
      <c r="AA374" s="583"/>
    </row>
    <row r="375" spans="1:27" s="584" customFormat="1" x14ac:dyDescent="0.2">
      <c r="A375" s="575"/>
      <c r="B375" s="575"/>
      <c r="C375" s="583"/>
      <c r="D375" s="571"/>
      <c r="E375" s="576">
        <v>370</v>
      </c>
      <c r="F375" s="576">
        <f>+CEILING(E375,5)</f>
        <v>370</v>
      </c>
      <c r="G375" s="577"/>
      <c r="H375" s="575">
        <f>F375*36</f>
        <v>13320</v>
      </c>
      <c r="I375" s="577">
        <f>F375</f>
        <v>370</v>
      </c>
      <c r="J375" s="582"/>
      <c r="K375" s="578"/>
      <c r="L375" s="582"/>
      <c r="M375" s="578"/>
      <c r="N375" s="579"/>
      <c r="O375" s="579"/>
      <c r="P375" s="579"/>
      <c r="Q375" s="579"/>
      <c r="R375" s="578">
        <v>36</v>
      </c>
      <c r="S375" s="579"/>
      <c r="T375" s="579"/>
      <c r="U375" s="575"/>
      <c r="V375" s="575"/>
      <c r="W375" s="575"/>
      <c r="X375" s="575"/>
      <c r="Y375" s="575"/>
      <c r="Z375" s="575"/>
      <c r="AA375" s="583"/>
    </row>
    <row r="376" spans="1:27" s="584" customFormat="1" x14ac:dyDescent="0.2">
      <c r="A376" s="575">
        <f>A374+1</f>
        <v>185</v>
      </c>
      <c r="B376" s="575" t="s">
        <v>192</v>
      </c>
      <c r="C376" s="583" t="s">
        <v>232</v>
      </c>
      <c r="D376" s="571"/>
      <c r="E376" s="576"/>
      <c r="F376" s="576"/>
      <c r="G376" s="577"/>
      <c r="H376" s="575"/>
      <c r="I376" s="577"/>
      <c r="J376" s="582"/>
      <c r="K376" s="578">
        <f>(M376*4+N376*2)/2</f>
        <v>12</v>
      </c>
      <c r="L376" s="578"/>
      <c r="M376" s="578">
        <v>6</v>
      </c>
      <c r="N376" s="579"/>
      <c r="O376" s="579"/>
      <c r="P376" s="579"/>
      <c r="Q376" s="579"/>
      <c r="R376" s="579"/>
      <c r="S376" s="579"/>
      <c r="T376" s="579"/>
      <c r="U376" s="575"/>
      <c r="V376" s="575">
        <v>1</v>
      </c>
      <c r="W376" s="575">
        <v>1</v>
      </c>
      <c r="X376" s="575"/>
      <c r="Y376" s="575"/>
      <c r="Z376" s="575">
        <v>2</v>
      </c>
      <c r="AA376" s="583"/>
    </row>
    <row r="377" spans="1:27" s="584" customFormat="1" x14ac:dyDescent="0.2">
      <c r="A377" s="575"/>
      <c r="B377" s="575"/>
      <c r="C377" s="583"/>
      <c r="D377" s="571"/>
      <c r="E377" s="576">
        <v>464</v>
      </c>
      <c r="F377" s="576">
        <f>+CEILING(E377,5)</f>
        <v>465</v>
      </c>
      <c r="G377" s="577"/>
      <c r="H377" s="575">
        <f>F377*36</f>
        <v>16740</v>
      </c>
      <c r="I377" s="577">
        <f>F377</f>
        <v>465</v>
      </c>
      <c r="J377" s="582"/>
      <c r="K377" s="578"/>
      <c r="L377" s="582"/>
      <c r="M377" s="578"/>
      <c r="N377" s="575"/>
      <c r="O377" s="575"/>
      <c r="P377" s="575"/>
      <c r="Q377" s="575"/>
      <c r="R377" s="578">
        <v>48</v>
      </c>
      <c r="S377" s="575"/>
      <c r="T377" s="575"/>
      <c r="U377" s="575"/>
      <c r="V377" s="575"/>
      <c r="W377" s="575"/>
      <c r="X377" s="575"/>
      <c r="Y377" s="575"/>
      <c r="Z377" s="575"/>
      <c r="AA377" s="583"/>
    </row>
    <row r="378" spans="1:27" s="584" customFormat="1" x14ac:dyDescent="0.2">
      <c r="A378" s="575">
        <f>A376+1</f>
        <v>186</v>
      </c>
      <c r="B378" s="575" t="s">
        <v>193</v>
      </c>
      <c r="C378" s="583" t="s">
        <v>20</v>
      </c>
      <c r="D378" s="571"/>
      <c r="E378" s="576"/>
      <c r="F378" s="576"/>
      <c r="G378" s="577"/>
      <c r="H378" s="575"/>
      <c r="I378" s="577"/>
      <c r="J378" s="582"/>
      <c r="K378" s="578">
        <f>(M378*4+N378*2)/2</f>
        <v>12</v>
      </c>
      <c r="L378" s="578"/>
      <c r="M378" s="578">
        <v>6</v>
      </c>
      <c r="N378" s="579"/>
      <c r="O378" s="579"/>
      <c r="P378" s="579"/>
      <c r="Q378" s="579"/>
      <c r="R378" s="579"/>
      <c r="S378" s="579"/>
      <c r="T378" s="579"/>
      <c r="U378" s="575"/>
      <c r="V378" s="575">
        <v>1</v>
      </c>
      <c r="W378" s="575">
        <v>1</v>
      </c>
      <c r="X378" s="575"/>
      <c r="Y378" s="575"/>
      <c r="Z378" s="575">
        <v>2</v>
      </c>
      <c r="AA378" s="583"/>
    </row>
    <row r="379" spans="1:27" s="584" customFormat="1" x14ac:dyDescent="0.2">
      <c r="A379" s="575"/>
      <c r="B379" s="575"/>
      <c r="C379" s="583"/>
      <c r="D379" s="571"/>
      <c r="E379" s="576">
        <v>375</v>
      </c>
      <c r="F379" s="576">
        <f>+CEILING(E379,5)</f>
        <v>375</v>
      </c>
      <c r="G379" s="577"/>
      <c r="H379" s="575">
        <f>F379*36</f>
        <v>13500</v>
      </c>
      <c r="I379" s="577">
        <f>F379</f>
        <v>375</v>
      </c>
      <c r="J379" s="578"/>
      <c r="K379" s="578"/>
      <c r="L379" s="578"/>
      <c r="M379" s="578"/>
      <c r="N379" s="579"/>
      <c r="O379" s="579"/>
      <c r="P379" s="579"/>
      <c r="Q379" s="579"/>
      <c r="R379" s="578">
        <v>36</v>
      </c>
      <c r="S379" s="579"/>
      <c r="T379" s="579"/>
      <c r="U379" s="575"/>
      <c r="V379" s="575"/>
      <c r="W379" s="575"/>
      <c r="X379" s="575"/>
      <c r="Y379" s="575"/>
      <c r="Z379" s="575"/>
      <c r="AA379" s="583"/>
    </row>
    <row r="380" spans="1:27" s="584" customFormat="1" x14ac:dyDescent="0.2">
      <c r="A380" s="575">
        <f>A378+1</f>
        <v>187</v>
      </c>
      <c r="B380" s="575" t="s">
        <v>194</v>
      </c>
      <c r="C380" s="583" t="s">
        <v>20</v>
      </c>
      <c r="D380" s="571"/>
      <c r="E380" s="576"/>
      <c r="F380" s="576"/>
      <c r="G380" s="577"/>
      <c r="H380" s="575"/>
      <c r="I380" s="577"/>
      <c r="J380" s="582"/>
      <c r="K380" s="578">
        <f>(M380*4+N380*2)/2</f>
        <v>12</v>
      </c>
      <c r="L380" s="578"/>
      <c r="M380" s="578">
        <v>6</v>
      </c>
      <c r="N380" s="579"/>
      <c r="O380" s="579"/>
      <c r="P380" s="579"/>
      <c r="Q380" s="579"/>
      <c r="R380" s="579"/>
      <c r="S380" s="579"/>
      <c r="T380" s="579"/>
      <c r="U380" s="575"/>
      <c r="V380" s="575">
        <v>1</v>
      </c>
      <c r="W380" s="575">
        <v>1</v>
      </c>
      <c r="X380" s="575"/>
      <c r="Y380" s="575"/>
      <c r="Z380" s="575">
        <v>2</v>
      </c>
      <c r="AA380" s="583"/>
    </row>
    <row r="381" spans="1:27" s="584" customFormat="1" x14ac:dyDescent="0.2">
      <c r="A381" s="575"/>
      <c r="B381" s="575"/>
      <c r="C381" s="583"/>
      <c r="D381" s="571"/>
      <c r="E381" s="576">
        <v>465.45499999999998</v>
      </c>
      <c r="F381" s="576">
        <f>+CEILING(E381,5)</f>
        <v>470</v>
      </c>
      <c r="G381" s="577"/>
      <c r="H381" s="575">
        <f>F381*36</f>
        <v>16920</v>
      </c>
      <c r="I381" s="577">
        <f>F381</f>
        <v>470</v>
      </c>
      <c r="J381" s="582"/>
      <c r="K381" s="578"/>
      <c r="L381" s="578"/>
      <c r="M381" s="578"/>
      <c r="N381" s="579"/>
      <c r="O381" s="579"/>
      <c r="P381" s="579"/>
      <c r="Q381" s="579"/>
      <c r="R381" s="578">
        <v>48</v>
      </c>
      <c r="S381" s="579"/>
      <c r="T381" s="579"/>
      <c r="U381" s="575"/>
      <c r="V381" s="575"/>
      <c r="W381" s="575"/>
      <c r="X381" s="575"/>
      <c r="Y381" s="575"/>
      <c r="Z381" s="575"/>
      <c r="AA381" s="583"/>
    </row>
    <row r="382" spans="1:27" s="584" customFormat="1" x14ac:dyDescent="0.2">
      <c r="A382" s="575">
        <f>A380+1</f>
        <v>188</v>
      </c>
      <c r="B382" s="572" t="s">
        <v>76</v>
      </c>
      <c r="C382" s="571" t="s">
        <v>242</v>
      </c>
      <c r="D382" s="571" t="s">
        <v>1100</v>
      </c>
      <c r="E382" s="576"/>
      <c r="F382" s="576"/>
      <c r="G382" s="577"/>
      <c r="H382" s="575"/>
      <c r="I382" s="577"/>
      <c r="J382" s="578">
        <v>48</v>
      </c>
      <c r="K382" s="582"/>
      <c r="L382" s="578">
        <v>12</v>
      </c>
      <c r="M382" s="582"/>
      <c r="N382" s="575"/>
      <c r="O382" s="575"/>
      <c r="P382" s="575"/>
      <c r="Q382" s="575"/>
      <c r="R382" s="579"/>
      <c r="S382" s="575">
        <v>30</v>
      </c>
      <c r="T382" s="575"/>
      <c r="U382" s="575">
        <v>2</v>
      </c>
      <c r="V382" s="575"/>
      <c r="W382" s="575">
        <v>2</v>
      </c>
      <c r="X382" s="575"/>
      <c r="Y382" s="575"/>
      <c r="Z382" s="575">
        <v>4</v>
      </c>
      <c r="AA382" s="583"/>
    </row>
    <row r="383" spans="1:27" s="584" customFormat="1" x14ac:dyDescent="0.2">
      <c r="A383" s="575"/>
      <c r="B383" s="575"/>
      <c r="C383" s="583"/>
      <c r="D383" s="571"/>
      <c r="E383" s="576">
        <v>365.54500000000002</v>
      </c>
      <c r="F383" s="576">
        <f>+CEILING(E383,5)</f>
        <v>370</v>
      </c>
      <c r="G383" s="577"/>
      <c r="H383" s="575">
        <f>F383*36</f>
        <v>13320</v>
      </c>
      <c r="I383" s="577">
        <f>F383</f>
        <v>370</v>
      </c>
      <c r="J383" s="582"/>
      <c r="K383" s="578"/>
      <c r="L383" s="578"/>
      <c r="M383" s="578"/>
      <c r="N383" s="579"/>
      <c r="O383" s="579"/>
      <c r="P383" s="579"/>
      <c r="Q383" s="579"/>
      <c r="R383" s="578">
        <v>36</v>
      </c>
      <c r="S383" s="579"/>
      <c r="T383" s="579"/>
      <c r="U383" s="575"/>
      <c r="V383" s="575"/>
      <c r="W383" s="575"/>
      <c r="X383" s="575"/>
      <c r="Y383" s="575"/>
      <c r="Z383" s="575"/>
      <c r="AA383" s="583"/>
    </row>
    <row r="384" spans="1:27" s="584" customFormat="1" x14ac:dyDescent="0.2">
      <c r="A384" s="575">
        <f>A382+1</f>
        <v>189</v>
      </c>
      <c r="B384" s="575" t="s">
        <v>195</v>
      </c>
      <c r="C384" s="583" t="s">
        <v>20</v>
      </c>
      <c r="D384" s="571"/>
      <c r="E384" s="576"/>
      <c r="F384" s="576"/>
      <c r="G384" s="577"/>
      <c r="H384" s="575"/>
      <c r="I384" s="577"/>
      <c r="J384" s="582"/>
      <c r="K384" s="578">
        <f>(M384*4+N384*2)/2</f>
        <v>12</v>
      </c>
      <c r="L384" s="578"/>
      <c r="M384" s="578">
        <v>6</v>
      </c>
      <c r="N384" s="579"/>
      <c r="O384" s="579"/>
      <c r="P384" s="579"/>
      <c r="Q384" s="579"/>
      <c r="R384" s="579"/>
      <c r="S384" s="579"/>
      <c r="T384" s="579"/>
      <c r="U384" s="575"/>
      <c r="V384" s="575">
        <v>1</v>
      </c>
      <c r="W384" s="575">
        <v>1</v>
      </c>
      <c r="X384" s="575"/>
      <c r="Y384" s="575"/>
      <c r="Z384" s="575">
        <v>2</v>
      </c>
      <c r="AA384" s="583"/>
    </row>
    <row r="385" spans="1:27" s="584" customFormat="1" x14ac:dyDescent="0.2">
      <c r="A385" s="575"/>
      <c r="B385" s="575"/>
      <c r="C385" s="583"/>
      <c r="D385" s="571"/>
      <c r="E385" s="576">
        <v>424</v>
      </c>
      <c r="F385" s="576">
        <f>+CEILING(E385,5)</f>
        <v>425</v>
      </c>
      <c r="G385" s="577"/>
      <c r="H385" s="575">
        <f>F385*36</f>
        <v>15300</v>
      </c>
      <c r="I385" s="577">
        <f>F385</f>
        <v>425</v>
      </c>
      <c r="J385" s="578"/>
      <c r="K385" s="578"/>
      <c r="L385" s="578"/>
      <c r="M385" s="578"/>
      <c r="N385" s="579"/>
      <c r="O385" s="579"/>
      <c r="P385" s="579"/>
      <c r="Q385" s="579"/>
      <c r="R385" s="578">
        <v>42</v>
      </c>
      <c r="S385" s="579"/>
      <c r="T385" s="579"/>
      <c r="U385" s="575"/>
      <c r="V385" s="575"/>
      <c r="W385" s="575"/>
      <c r="X385" s="575"/>
      <c r="Y385" s="575"/>
      <c r="Z385" s="575"/>
      <c r="AA385" s="583"/>
    </row>
    <row r="386" spans="1:27" s="584" customFormat="1" x14ac:dyDescent="0.2">
      <c r="A386" s="575">
        <f>A384+1</f>
        <v>190</v>
      </c>
      <c r="B386" s="575" t="s">
        <v>196</v>
      </c>
      <c r="C386" s="583" t="s">
        <v>20</v>
      </c>
      <c r="D386" s="571"/>
      <c r="E386" s="576"/>
      <c r="F386" s="576"/>
      <c r="G386" s="577"/>
      <c r="H386" s="575"/>
      <c r="I386" s="577"/>
      <c r="J386" s="582"/>
      <c r="K386" s="578">
        <f>(M386*4+N386*2)/2</f>
        <v>12</v>
      </c>
      <c r="L386" s="578"/>
      <c r="M386" s="578">
        <v>6</v>
      </c>
      <c r="N386" s="579"/>
      <c r="O386" s="579"/>
      <c r="P386" s="579"/>
      <c r="Q386" s="579"/>
      <c r="R386" s="579"/>
      <c r="S386" s="579"/>
      <c r="T386" s="579"/>
      <c r="U386" s="575"/>
      <c r="V386" s="575">
        <v>1</v>
      </c>
      <c r="W386" s="575">
        <v>1</v>
      </c>
      <c r="X386" s="575"/>
      <c r="Y386" s="575"/>
      <c r="Z386" s="575">
        <v>2</v>
      </c>
      <c r="AA386" s="583"/>
    </row>
    <row r="387" spans="1:27" s="584" customFormat="1" x14ac:dyDescent="0.2">
      <c r="A387" s="575"/>
      <c r="B387" s="575"/>
      <c r="C387" s="583"/>
      <c r="D387" s="571"/>
      <c r="E387" s="576">
        <v>399</v>
      </c>
      <c r="F387" s="576">
        <f>+CEILING(E387,5)</f>
        <v>400</v>
      </c>
      <c r="G387" s="577"/>
      <c r="H387" s="575">
        <f>F387*36</f>
        <v>14400</v>
      </c>
      <c r="I387" s="577">
        <f>F387</f>
        <v>400</v>
      </c>
      <c r="J387" s="578"/>
      <c r="K387" s="578"/>
      <c r="L387" s="578"/>
      <c r="M387" s="578"/>
      <c r="N387" s="579"/>
      <c r="O387" s="579"/>
      <c r="P387" s="579"/>
      <c r="Q387" s="579"/>
      <c r="R387" s="578">
        <v>42</v>
      </c>
      <c r="S387" s="579"/>
      <c r="T387" s="579"/>
      <c r="U387" s="575"/>
      <c r="V387" s="575"/>
      <c r="W387" s="575"/>
      <c r="X387" s="575"/>
      <c r="Y387" s="575"/>
      <c r="Z387" s="575"/>
      <c r="AA387" s="583"/>
    </row>
    <row r="388" spans="1:27" s="584" customFormat="1" x14ac:dyDescent="0.2">
      <c r="A388" s="575">
        <f>A386+1</f>
        <v>191</v>
      </c>
      <c r="B388" s="575" t="s">
        <v>197</v>
      </c>
      <c r="C388" s="583" t="s">
        <v>231</v>
      </c>
      <c r="D388" s="571"/>
      <c r="E388" s="576"/>
      <c r="F388" s="576"/>
      <c r="G388" s="577"/>
      <c r="H388" s="575"/>
      <c r="I388" s="577"/>
      <c r="J388" s="582"/>
      <c r="K388" s="578">
        <f>(M388*4+N388*2)/2</f>
        <v>12</v>
      </c>
      <c r="L388" s="578"/>
      <c r="M388" s="578">
        <v>6</v>
      </c>
      <c r="N388" s="579"/>
      <c r="O388" s="579"/>
      <c r="P388" s="579"/>
      <c r="Q388" s="579"/>
      <c r="R388" s="579"/>
      <c r="S388" s="579"/>
      <c r="T388" s="579"/>
      <c r="U388" s="575"/>
      <c r="V388" s="575">
        <v>1</v>
      </c>
      <c r="W388" s="575">
        <v>1</v>
      </c>
      <c r="X388" s="575"/>
      <c r="Y388" s="575"/>
      <c r="Z388" s="575">
        <v>2</v>
      </c>
      <c r="AA388" s="583"/>
    </row>
    <row r="389" spans="1:27" s="584" customFormat="1" x14ac:dyDescent="0.2">
      <c r="A389" s="575"/>
      <c r="B389" s="575"/>
      <c r="C389" s="583"/>
      <c r="D389" s="571"/>
      <c r="E389" s="576">
        <v>440</v>
      </c>
      <c r="F389" s="576">
        <f>+CEILING(E389,5)</f>
        <v>440</v>
      </c>
      <c r="G389" s="577"/>
      <c r="H389" s="575">
        <f>F389*36</f>
        <v>15840</v>
      </c>
      <c r="I389" s="577">
        <f>F389</f>
        <v>440</v>
      </c>
      <c r="J389" s="582"/>
      <c r="K389" s="582"/>
      <c r="L389" s="582"/>
      <c r="M389" s="582"/>
      <c r="N389" s="575"/>
      <c r="O389" s="575"/>
      <c r="P389" s="575"/>
      <c r="Q389" s="575"/>
      <c r="R389" s="578">
        <v>42</v>
      </c>
      <c r="S389" s="579"/>
      <c r="T389" s="575"/>
      <c r="U389" s="575"/>
      <c r="V389" s="575"/>
      <c r="W389" s="575"/>
      <c r="X389" s="575"/>
      <c r="Y389" s="575"/>
      <c r="Z389" s="575"/>
      <c r="AA389" s="583"/>
    </row>
    <row r="390" spans="1:27" s="584" customFormat="1" x14ac:dyDescent="0.2">
      <c r="A390" s="575">
        <f>A388+1</f>
        <v>192</v>
      </c>
      <c r="B390" s="575" t="s">
        <v>198</v>
      </c>
      <c r="C390" s="583" t="s">
        <v>232</v>
      </c>
      <c r="D390" s="571"/>
      <c r="E390" s="576"/>
      <c r="F390" s="576"/>
      <c r="G390" s="577"/>
      <c r="H390" s="575"/>
      <c r="I390" s="577"/>
      <c r="J390" s="582"/>
      <c r="K390" s="578">
        <f>(M390*4+N390*2)/2</f>
        <v>12</v>
      </c>
      <c r="L390" s="578"/>
      <c r="M390" s="578">
        <v>6</v>
      </c>
      <c r="N390" s="579"/>
      <c r="O390" s="579"/>
      <c r="P390" s="579"/>
      <c r="Q390" s="579"/>
      <c r="R390" s="579"/>
      <c r="S390" s="579"/>
      <c r="T390" s="579"/>
      <c r="U390" s="575"/>
      <c r="V390" s="575">
        <v>1</v>
      </c>
      <c r="W390" s="575">
        <v>1</v>
      </c>
      <c r="X390" s="575"/>
      <c r="Y390" s="575"/>
      <c r="Z390" s="575">
        <v>2</v>
      </c>
      <c r="AA390" s="583"/>
    </row>
    <row r="391" spans="1:27" s="584" customFormat="1" x14ac:dyDescent="0.2">
      <c r="A391" s="575"/>
      <c r="B391" s="575"/>
      <c r="C391" s="583"/>
      <c r="D391" s="571"/>
      <c r="E391" s="576">
        <v>382.09899999999999</v>
      </c>
      <c r="F391" s="576">
        <f>+CEILING(E391,5)</f>
        <v>385</v>
      </c>
      <c r="G391" s="577"/>
      <c r="H391" s="575">
        <f>F391*36</f>
        <v>13860</v>
      </c>
      <c r="I391" s="577">
        <f>F391</f>
        <v>385</v>
      </c>
      <c r="J391" s="578"/>
      <c r="K391" s="578"/>
      <c r="L391" s="578"/>
      <c r="M391" s="578"/>
      <c r="N391" s="579"/>
      <c r="O391" s="579"/>
      <c r="P391" s="579"/>
      <c r="Q391" s="579"/>
      <c r="R391" s="578">
        <v>36</v>
      </c>
      <c r="S391" s="579"/>
      <c r="T391" s="579"/>
      <c r="U391" s="575"/>
      <c r="V391" s="575"/>
      <c r="W391" s="575"/>
      <c r="X391" s="575"/>
      <c r="Y391" s="575"/>
      <c r="Z391" s="575"/>
      <c r="AA391" s="583"/>
    </row>
    <row r="392" spans="1:27" s="584" customFormat="1" x14ac:dyDescent="0.2">
      <c r="A392" s="575">
        <f>A390+1</f>
        <v>193</v>
      </c>
      <c r="B392" s="572" t="s">
        <v>26</v>
      </c>
      <c r="C392" s="571" t="s">
        <v>239</v>
      </c>
      <c r="D392" s="571" t="s">
        <v>1101</v>
      </c>
      <c r="E392" s="576"/>
      <c r="F392" s="576"/>
      <c r="G392" s="577"/>
      <c r="H392" s="575"/>
      <c r="I392" s="577"/>
      <c r="J392" s="578">
        <v>48</v>
      </c>
      <c r="K392" s="582"/>
      <c r="L392" s="578">
        <v>12</v>
      </c>
      <c r="M392" s="582"/>
      <c r="N392" s="575"/>
      <c r="O392" s="575"/>
      <c r="P392" s="575"/>
      <c r="Q392" s="575"/>
      <c r="R392" s="579"/>
      <c r="S392" s="575">
        <v>30</v>
      </c>
      <c r="T392" s="575"/>
      <c r="U392" s="575">
        <v>2</v>
      </c>
      <c r="V392" s="575"/>
      <c r="W392" s="575">
        <v>2</v>
      </c>
      <c r="X392" s="575"/>
      <c r="Y392" s="575"/>
      <c r="Z392" s="575">
        <v>4</v>
      </c>
      <c r="AA392" s="583"/>
    </row>
    <row r="393" spans="1:27" s="584" customFormat="1" x14ac:dyDescent="0.2">
      <c r="A393" s="575"/>
      <c r="B393" s="575"/>
      <c r="C393" s="583"/>
      <c r="D393" s="571"/>
      <c r="E393" s="576">
        <v>388.90100000000001</v>
      </c>
      <c r="F393" s="576">
        <f>+CEILING(E393,5)</f>
        <v>390</v>
      </c>
      <c r="G393" s="577"/>
      <c r="H393" s="575">
        <f>F393*36</f>
        <v>14040</v>
      </c>
      <c r="I393" s="577">
        <f>F393</f>
        <v>390</v>
      </c>
      <c r="J393" s="582"/>
      <c r="K393" s="578"/>
      <c r="L393" s="578"/>
      <c r="M393" s="578"/>
      <c r="N393" s="579"/>
      <c r="O393" s="579"/>
      <c r="P393" s="579"/>
      <c r="Q393" s="579"/>
      <c r="R393" s="578">
        <v>36</v>
      </c>
      <c r="S393" s="579"/>
      <c r="T393" s="579"/>
      <c r="U393" s="575"/>
      <c r="V393" s="575"/>
      <c r="W393" s="575"/>
      <c r="X393" s="575"/>
      <c r="Y393" s="575"/>
      <c r="Z393" s="575"/>
      <c r="AA393" s="583"/>
    </row>
    <row r="394" spans="1:27" s="584" customFormat="1" x14ac:dyDescent="0.2">
      <c r="A394" s="575">
        <f>A392+1</f>
        <v>194</v>
      </c>
      <c r="B394" s="575" t="s">
        <v>77</v>
      </c>
      <c r="C394" s="583" t="s">
        <v>231</v>
      </c>
      <c r="D394" s="571"/>
      <c r="E394" s="576"/>
      <c r="F394" s="576"/>
      <c r="G394" s="577"/>
      <c r="H394" s="575"/>
      <c r="I394" s="577"/>
      <c r="J394" s="582"/>
      <c r="K394" s="578">
        <f>(M394*4+N394*2)/2</f>
        <v>12</v>
      </c>
      <c r="L394" s="578"/>
      <c r="M394" s="578">
        <v>6</v>
      </c>
      <c r="N394" s="579"/>
      <c r="O394" s="579"/>
      <c r="P394" s="579"/>
      <c r="Q394" s="579"/>
      <c r="R394" s="579"/>
      <c r="S394" s="579"/>
      <c r="T394" s="579"/>
      <c r="U394" s="575"/>
      <c r="V394" s="575">
        <v>1</v>
      </c>
      <c r="W394" s="575">
        <v>1</v>
      </c>
      <c r="X394" s="575"/>
      <c r="Y394" s="575"/>
      <c r="Z394" s="575">
        <v>2</v>
      </c>
      <c r="AA394" s="583"/>
    </row>
    <row r="395" spans="1:27" s="584" customFormat="1" x14ac:dyDescent="0.2">
      <c r="A395" s="575"/>
      <c r="B395" s="575"/>
      <c r="C395" s="583"/>
      <c r="D395" s="571"/>
      <c r="E395" s="576">
        <v>445</v>
      </c>
      <c r="F395" s="576">
        <f>+CEILING(E395,5)</f>
        <v>445</v>
      </c>
      <c r="G395" s="577"/>
      <c r="H395" s="575">
        <f>F395*36</f>
        <v>16020</v>
      </c>
      <c r="I395" s="577">
        <f>F395</f>
        <v>445</v>
      </c>
      <c r="J395" s="582"/>
      <c r="K395" s="578"/>
      <c r="L395" s="578"/>
      <c r="M395" s="578"/>
      <c r="N395" s="579"/>
      <c r="O395" s="579"/>
      <c r="P395" s="579"/>
      <c r="Q395" s="579"/>
      <c r="R395" s="578">
        <v>42</v>
      </c>
      <c r="S395" s="579"/>
      <c r="T395" s="579"/>
      <c r="U395" s="575"/>
      <c r="V395" s="575"/>
      <c r="W395" s="575"/>
      <c r="X395" s="575"/>
      <c r="Y395" s="575"/>
      <c r="Z395" s="575"/>
      <c r="AA395" s="583"/>
    </row>
    <row r="396" spans="1:27" s="584" customFormat="1" x14ac:dyDescent="0.2">
      <c r="A396" s="575">
        <f>A394+1</f>
        <v>195</v>
      </c>
      <c r="B396" s="575" t="s">
        <v>199</v>
      </c>
      <c r="C396" s="583" t="s">
        <v>231</v>
      </c>
      <c r="D396" s="571"/>
      <c r="E396" s="576"/>
      <c r="F396" s="576"/>
      <c r="G396" s="577"/>
      <c r="H396" s="575"/>
      <c r="I396" s="577"/>
      <c r="J396" s="582"/>
      <c r="K396" s="578">
        <f>(M396*4+N396*2)/2</f>
        <v>12</v>
      </c>
      <c r="L396" s="578"/>
      <c r="M396" s="578">
        <v>6</v>
      </c>
      <c r="N396" s="579"/>
      <c r="O396" s="579"/>
      <c r="P396" s="579"/>
      <c r="Q396" s="579"/>
      <c r="R396" s="579"/>
      <c r="S396" s="579"/>
      <c r="T396" s="579"/>
      <c r="U396" s="575"/>
      <c r="V396" s="575">
        <v>1</v>
      </c>
      <c r="W396" s="575">
        <v>1</v>
      </c>
      <c r="X396" s="575"/>
      <c r="Y396" s="575"/>
      <c r="Z396" s="575">
        <v>2</v>
      </c>
      <c r="AA396" s="583"/>
    </row>
    <row r="397" spans="1:27" s="584" customFormat="1" x14ac:dyDescent="0.2">
      <c r="A397" s="575"/>
      <c r="B397" s="575"/>
      <c r="C397" s="583"/>
      <c r="D397" s="571"/>
      <c r="E397" s="576">
        <v>395</v>
      </c>
      <c r="F397" s="576">
        <f>+CEILING(E397,5)</f>
        <v>395</v>
      </c>
      <c r="G397" s="577"/>
      <c r="H397" s="575">
        <f>F397*36</f>
        <v>14220</v>
      </c>
      <c r="I397" s="577">
        <f>F397</f>
        <v>395</v>
      </c>
      <c r="J397" s="582"/>
      <c r="K397" s="578"/>
      <c r="L397" s="578"/>
      <c r="M397" s="578"/>
      <c r="N397" s="579"/>
      <c r="O397" s="579"/>
      <c r="P397" s="579"/>
      <c r="Q397" s="579"/>
      <c r="R397" s="578">
        <v>42</v>
      </c>
      <c r="S397" s="579"/>
      <c r="T397" s="579"/>
      <c r="U397" s="575"/>
      <c r="V397" s="575"/>
      <c r="W397" s="575"/>
      <c r="X397" s="575"/>
      <c r="Y397" s="575"/>
      <c r="Z397" s="575"/>
      <c r="AA397" s="583"/>
    </row>
    <row r="398" spans="1:27" s="584" customFormat="1" x14ac:dyDescent="0.2">
      <c r="A398" s="575">
        <f>A396+1</f>
        <v>196</v>
      </c>
      <c r="B398" s="575" t="s">
        <v>200</v>
      </c>
      <c r="C398" s="583" t="s">
        <v>20</v>
      </c>
      <c r="D398" s="571"/>
      <c r="E398" s="576"/>
      <c r="F398" s="576"/>
      <c r="G398" s="577"/>
      <c r="H398" s="575"/>
      <c r="I398" s="577"/>
      <c r="J398" s="582"/>
      <c r="K398" s="578">
        <f>(M398*4+N398*2)/2</f>
        <v>12</v>
      </c>
      <c r="L398" s="578"/>
      <c r="M398" s="578">
        <v>6</v>
      </c>
      <c r="N398" s="579"/>
      <c r="O398" s="579"/>
      <c r="P398" s="579"/>
      <c r="Q398" s="579"/>
      <c r="R398" s="579"/>
      <c r="S398" s="579"/>
      <c r="T398" s="579"/>
      <c r="U398" s="575"/>
      <c r="V398" s="575">
        <v>1</v>
      </c>
      <c r="W398" s="575">
        <v>1</v>
      </c>
      <c r="X398" s="575"/>
      <c r="Y398" s="575"/>
      <c r="Z398" s="575">
        <v>2</v>
      </c>
      <c r="AA398" s="583"/>
    </row>
    <row r="399" spans="1:27" s="584" customFormat="1" x14ac:dyDescent="0.2">
      <c r="A399" s="575"/>
      <c r="B399" s="575"/>
      <c r="C399" s="583"/>
      <c r="D399" s="571"/>
      <c r="E399" s="576">
        <v>377</v>
      </c>
      <c r="F399" s="576">
        <f>+CEILING(E399,5)</f>
        <v>380</v>
      </c>
      <c r="G399" s="577"/>
      <c r="H399" s="575">
        <f>F399*36</f>
        <v>13680</v>
      </c>
      <c r="I399" s="577">
        <f>F399</f>
        <v>380</v>
      </c>
      <c r="J399" s="582"/>
      <c r="K399" s="578"/>
      <c r="L399" s="578"/>
      <c r="M399" s="578"/>
      <c r="N399" s="579"/>
      <c r="O399" s="579"/>
      <c r="P399" s="579"/>
      <c r="Q399" s="579"/>
      <c r="R399" s="578">
        <v>36</v>
      </c>
      <c r="S399" s="579"/>
      <c r="T399" s="579"/>
      <c r="U399" s="575"/>
      <c r="V399" s="575"/>
      <c r="W399" s="575"/>
      <c r="X399" s="575"/>
      <c r="Y399" s="575"/>
      <c r="Z399" s="575"/>
      <c r="AA399" s="583"/>
    </row>
    <row r="400" spans="1:27" s="584" customFormat="1" x14ac:dyDescent="0.2">
      <c r="A400" s="575">
        <f>A398+1</f>
        <v>197</v>
      </c>
      <c r="B400" s="575" t="s">
        <v>201</v>
      </c>
      <c r="C400" s="583" t="s">
        <v>20</v>
      </c>
      <c r="D400" s="571"/>
      <c r="E400" s="576"/>
      <c r="F400" s="576"/>
      <c r="G400" s="577"/>
      <c r="H400" s="575"/>
      <c r="I400" s="577"/>
      <c r="J400" s="582"/>
      <c r="K400" s="578">
        <f>(M400*4+N400*2)/2</f>
        <v>12</v>
      </c>
      <c r="L400" s="578"/>
      <c r="M400" s="578">
        <v>6</v>
      </c>
      <c r="N400" s="579"/>
      <c r="O400" s="579"/>
      <c r="P400" s="579"/>
      <c r="Q400" s="579"/>
      <c r="R400" s="579"/>
      <c r="S400" s="579"/>
      <c r="T400" s="579"/>
      <c r="U400" s="575"/>
      <c r="V400" s="575">
        <v>1</v>
      </c>
      <c r="W400" s="575">
        <v>1</v>
      </c>
      <c r="X400" s="575"/>
      <c r="Y400" s="575"/>
      <c r="Z400" s="575">
        <v>2</v>
      </c>
      <c r="AA400" s="583"/>
    </row>
    <row r="401" spans="1:27" s="584" customFormat="1" x14ac:dyDescent="0.2">
      <c r="A401" s="575"/>
      <c r="B401" s="575"/>
      <c r="C401" s="583"/>
      <c r="D401" s="571"/>
      <c r="E401" s="576">
        <v>444</v>
      </c>
      <c r="F401" s="576">
        <f>+CEILING(E401,5)</f>
        <v>445</v>
      </c>
      <c r="G401" s="577"/>
      <c r="H401" s="575">
        <f>F401*36</f>
        <v>16020</v>
      </c>
      <c r="I401" s="577">
        <f>F401</f>
        <v>445</v>
      </c>
      <c r="J401" s="582"/>
      <c r="K401" s="578"/>
      <c r="L401" s="578"/>
      <c r="M401" s="578"/>
      <c r="N401" s="579"/>
      <c r="O401" s="579"/>
      <c r="P401" s="579"/>
      <c r="Q401" s="579"/>
      <c r="R401" s="578">
        <v>42</v>
      </c>
      <c r="S401" s="579"/>
      <c r="T401" s="579"/>
      <c r="U401" s="575"/>
      <c r="V401" s="575"/>
      <c r="W401" s="575"/>
      <c r="X401" s="575"/>
      <c r="Y401" s="575"/>
      <c r="Z401" s="575"/>
      <c r="AA401" s="583"/>
    </row>
    <row r="402" spans="1:27" s="584" customFormat="1" x14ac:dyDescent="0.2">
      <c r="A402" s="575">
        <f>A400+1</f>
        <v>198</v>
      </c>
      <c r="B402" s="575" t="s">
        <v>202</v>
      </c>
      <c r="C402" s="583" t="s">
        <v>20</v>
      </c>
      <c r="D402" s="571"/>
      <c r="E402" s="576"/>
      <c r="F402" s="576"/>
      <c r="G402" s="577"/>
      <c r="H402" s="575"/>
      <c r="I402" s="577"/>
      <c r="J402" s="582"/>
      <c r="K402" s="578">
        <f>(M402*4+N402*2)/2</f>
        <v>12</v>
      </c>
      <c r="L402" s="578"/>
      <c r="M402" s="578">
        <v>6</v>
      </c>
      <c r="N402" s="579"/>
      <c r="O402" s="579"/>
      <c r="P402" s="579"/>
      <c r="Q402" s="579"/>
      <c r="R402" s="579"/>
      <c r="S402" s="579"/>
      <c r="T402" s="579"/>
      <c r="U402" s="575"/>
      <c r="V402" s="575">
        <v>1</v>
      </c>
      <c r="W402" s="575">
        <v>1</v>
      </c>
      <c r="X402" s="575"/>
      <c r="Y402" s="575"/>
      <c r="Z402" s="575">
        <v>2</v>
      </c>
      <c r="AA402" s="583"/>
    </row>
    <row r="403" spans="1:27" s="584" customFormat="1" x14ac:dyDescent="0.2">
      <c r="A403" s="575"/>
      <c r="B403" s="575"/>
      <c r="C403" s="583"/>
      <c r="D403" s="571"/>
      <c r="E403" s="576">
        <v>322</v>
      </c>
      <c r="F403" s="576">
        <f>+CEILING(E403,5)</f>
        <v>325</v>
      </c>
      <c r="G403" s="577"/>
      <c r="H403" s="575">
        <f>F403*36</f>
        <v>11700</v>
      </c>
      <c r="I403" s="577">
        <f>F403</f>
        <v>325</v>
      </c>
      <c r="J403" s="582"/>
      <c r="K403" s="578"/>
      <c r="L403" s="578"/>
      <c r="M403" s="578"/>
      <c r="N403" s="579"/>
      <c r="O403" s="579"/>
      <c r="P403" s="579"/>
      <c r="Q403" s="579"/>
      <c r="R403" s="578">
        <v>30</v>
      </c>
      <c r="S403" s="579"/>
      <c r="T403" s="579"/>
      <c r="U403" s="575"/>
      <c r="V403" s="575"/>
      <c r="W403" s="575"/>
      <c r="X403" s="575"/>
      <c r="Y403" s="575"/>
      <c r="Z403" s="575"/>
      <c r="AA403" s="583"/>
    </row>
    <row r="404" spans="1:27" s="584" customFormat="1" x14ac:dyDescent="0.2">
      <c r="A404" s="575">
        <f>A402+1</f>
        <v>199</v>
      </c>
      <c r="B404" s="575" t="s">
        <v>203</v>
      </c>
      <c r="C404" s="583" t="s">
        <v>231</v>
      </c>
      <c r="D404" s="571"/>
      <c r="E404" s="576"/>
      <c r="F404" s="576"/>
      <c r="G404" s="577"/>
      <c r="H404" s="575"/>
      <c r="I404" s="577"/>
      <c r="J404" s="582"/>
      <c r="K404" s="578">
        <f>(M404*4+N404*2)/2</f>
        <v>12</v>
      </c>
      <c r="L404" s="578"/>
      <c r="M404" s="578">
        <v>6</v>
      </c>
      <c r="N404" s="579"/>
      <c r="O404" s="579"/>
      <c r="P404" s="579"/>
      <c r="Q404" s="579"/>
      <c r="R404" s="579"/>
      <c r="S404" s="579"/>
      <c r="T404" s="579"/>
      <c r="U404" s="575"/>
      <c r="V404" s="575">
        <v>1</v>
      </c>
      <c r="W404" s="575">
        <v>1</v>
      </c>
      <c r="X404" s="575"/>
      <c r="Y404" s="575"/>
      <c r="Z404" s="575">
        <v>2</v>
      </c>
      <c r="AA404" s="583"/>
    </row>
    <row r="405" spans="1:27" s="584" customFormat="1" x14ac:dyDescent="0.2">
      <c r="A405" s="575"/>
      <c r="B405" s="575"/>
      <c r="C405" s="583"/>
      <c r="D405" s="571"/>
      <c r="E405" s="576">
        <v>347.43400000000003</v>
      </c>
      <c r="F405" s="576">
        <f>+CEILING(E405,5)</f>
        <v>350</v>
      </c>
      <c r="G405" s="577"/>
      <c r="H405" s="575">
        <f>F405*36</f>
        <v>12600</v>
      </c>
      <c r="I405" s="577">
        <f>F405</f>
        <v>350</v>
      </c>
      <c r="J405" s="582"/>
      <c r="K405" s="578"/>
      <c r="L405" s="578"/>
      <c r="M405" s="578"/>
      <c r="N405" s="579"/>
      <c r="O405" s="579"/>
      <c r="P405" s="579"/>
      <c r="Q405" s="579"/>
      <c r="R405" s="578">
        <v>36</v>
      </c>
      <c r="S405" s="579"/>
      <c r="T405" s="579"/>
      <c r="U405" s="575"/>
      <c r="V405" s="575"/>
      <c r="W405" s="575"/>
      <c r="X405" s="575"/>
      <c r="Y405" s="575"/>
      <c r="Z405" s="575"/>
      <c r="AA405" s="583"/>
    </row>
    <row r="406" spans="1:27" s="584" customFormat="1" x14ac:dyDescent="0.2">
      <c r="A406" s="575">
        <f>A404+1</f>
        <v>200</v>
      </c>
      <c r="B406" s="572" t="s">
        <v>78</v>
      </c>
      <c r="C406" s="571" t="s">
        <v>245</v>
      </c>
      <c r="D406" s="571" t="s">
        <v>1102</v>
      </c>
      <c r="E406" s="576"/>
      <c r="F406" s="576"/>
      <c r="G406" s="577"/>
      <c r="H406" s="575"/>
      <c r="I406" s="577"/>
      <c r="J406" s="578">
        <v>48</v>
      </c>
      <c r="K406" s="582"/>
      <c r="L406" s="578">
        <v>12</v>
      </c>
      <c r="M406" s="582"/>
      <c r="N406" s="575"/>
      <c r="O406" s="575"/>
      <c r="P406" s="575"/>
      <c r="Q406" s="575"/>
      <c r="R406" s="579"/>
      <c r="S406" s="575">
        <v>30</v>
      </c>
      <c r="T406" s="575"/>
      <c r="U406" s="575">
        <v>2</v>
      </c>
      <c r="V406" s="575"/>
      <c r="W406" s="575">
        <v>2</v>
      </c>
      <c r="X406" s="575"/>
      <c r="Y406" s="575"/>
      <c r="Z406" s="575">
        <v>4</v>
      </c>
      <c r="AA406" s="583"/>
    </row>
    <row r="407" spans="1:27" s="584" customFormat="1" x14ac:dyDescent="0.2">
      <c r="A407" s="575"/>
      <c r="B407" s="575"/>
      <c r="C407" s="583"/>
      <c r="D407" s="571"/>
      <c r="E407" s="576">
        <v>383.56599999999997</v>
      </c>
      <c r="F407" s="576">
        <f>+CEILING(E407,5)</f>
        <v>385</v>
      </c>
      <c r="G407" s="577"/>
      <c r="H407" s="575">
        <f>F407*36</f>
        <v>13860</v>
      </c>
      <c r="I407" s="577">
        <f>F407</f>
        <v>385</v>
      </c>
      <c r="J407" s="582"/>
      <c r="K407" s="578"/>
      <c r="L407" s="578"/>
      <c r="M407" s="578"/>
      <c r="N407" s="579"/>
      <c r="O407" s="579"/>
      <c r="P407" s="579"/>
      <c r="Q407" s="579"/>
      <c r="R407" s="578">
        <v>36</v>
      </c>
      <c r="S407" s="579"/>
      <c r="T407" s="579"/>
      <c r="U407" s="575"/>
      <c r="V407" s="575"/>
      <c r="W407" s="575"/>
      <c r="X407" s="575"/>
      <c r="Y407" s="575"/>
      <c r="Z407" s="575"/>
      <c r="AA407" s="583"/>
    </row>
    <row r="408" spans="1:27" s="584" customFormat="1" x14ac:dyDescent="0.2">
      <c r="A408" s="575">
        <f>A406+1</f>
        <v>201</v>
      </c>
      <c r="B408" s="575" t="s">
        <v>27</v>
      </c>
      <c r="C408" s="583" t="s">
        <v>231</v>
      </c>
      <c r="D408" s="571"/>
      <c r="E408" s="576"/>
      <c r="F408" s="576"/>
      <c r="G408" s="577"/>
      <c r="H408" s="575"/>
      <c r="I408" s="577"/>
      <c r="J408" s="586"/>
      <c r="K408" s="578">
        <f>(M408*4+N408*2)/2</f>
        <v>12</v>
      </c>
      <c r="L408" s="578"/>
      <c r="M408" s="578">
        <v>6</v>
      </c>
      <c r="N408" s="579"/>
      <c r="O408" s="579"/>
      <c r="P408" s="579"/>
      <c r="Q408" s="579"/>
      <c r="R408" s="579"/>
      <c r="S408" s="579"/>
      <c r="T408" s="579"/>
      <c r="U408" s="575"/>
      <c r="V408" s="575">
        <v>1</v>
      </c>
      <c r="W408" s="575">
        <v>1</v>
      </c>
      <c r="X408" s="575"/>
      <c r="Y408" s="575"/>
      <c r="Z408" s="575">
        <v>2</v>
      </c>
      <c r="AA408" s="583"/>
    </row>
    <row r="409" spans="1:27" s="584" customFormat="1" x14ac:dyDescent="0.2">
      <c r="A409" s="575"/>
      <c r="B409" s="575"/>
      <c r="C409" s="583"/>
      <c r="D409" s="571"/>
      <c r="E409" s="576">
        <v>366</v>
      </c>
      <c r="F409" s="576">
        <f>+CEILING(E409,5)</f>
        <v>370</v>
      </c>
      <c r="G409" s="577"/>
      <c r="H409" s="575">
        <f>F409*36</f>
        <v>13320</v>
      </c>
      <c r="I409" s="577">
        <f>F409</f>
        <v>370</v>
      </c>
      <c r="J409" s="586"/>
      <c r="K409" s="578"/>
      <c r="L409" s="578"/>
      <c r="M409" s="578"/>
      <c r="N409" s="579"/>
      <c r="O409" s="579"/>
      <c r="P409" s="579"/>
      <c r="Q409" s="579"/>
      <c r="R409" s="578">
        <v>36</v>
      </c>
      <c r="S409" s="579"/>
      <c r="T409" s="579"/>
      <c r="U409" s="575"/>
      <c r="V409" s="575"/>
      <c r="W409" s="575"/>
      <c r="X409" s="575"/>
      <c r="Y409" s="575"/>
      <c r="Z409" s="575"/>
      <c r="AA409" s="583"/>
    </row>
    <row r="410" spans="1:27" s="584" customFormat="1" x14ac:dyDescent="0.2">
      <c r="A410" s="575">
        <f>A408+1</f>
        <v>202</v>
      </c>
      <c r="B410" s="575" t="s">
        <v>79</v>
      </c>
      <c r="C410" s="583" t="s">
        <v>231</v>
      </c>
      <c r="D410" s="571"/>
      <c r="E410" s="576"/>
      <c r="F410" s="576"/>
      <c r="G410" s="577"/>
      <c r="H410" s="575"/>
      <c r="I410" s="577"/>
      <c r="J410" s="586"/>
      <c r="K410" s="578">
        <f>(M410*4+N410*2)/2</f>
        <v>12</v>
      </c>
      <c r="L410" s="578"/>
      <c r="M410" s="578">
        <v>6</v>
      </c>
      <c r="N410" s="579"/>
      <c r="O410" s="579"/>
      <c r="P410" s="579"/>
      <c r="Q410" s="579"/>
      <c r="R410" s="579"/>
      <c r="S410" s="579"/>
      <c r="T410" s="579"/>
      <c r="U410" s="575"/>
      <c r="V410" s="575">
        <v>1</v>
      </c>
      <c r="W410" s="575">
        <v>1</v>
      </c>
      <c r="X410" s="575"/>
      <c r="Y410" s="575"/>
      <c r="Z410" s="575">
        <v>2</v>
      </c>
      <c r="AA410" s="583"/>
    </row>
    <row r="411" spans="1:27" s="584" customFormat="1" x14ac:dyDescent="0.2">
      <c r="A411" s="575"/>
      <c r="B411" s="575"/>
      <c r="C411" s="583"/>
      <c r="D411" s="571"/>
      <c r="E411" s="576">
        <v>332.90899999999999</v>
      </c>
      <c r="F411" s="576">
        <f>+CEILING(E411,5)</f>
        <v>335</v>
      </c>
      <c r="G411" s="577"/>
      <c r="H411" s="575">
        <f>F411*36</f>
        <v>12060</v>
      </c>
      <c r="I411" s="577">
        <f>F411</f>
        <v>335</v>
      </c>
      <c r="J411" s="582"/>
      <c r="K411" s="578"/>
      <c r="L411" s="582"/>
      <c r="M411" s="578"/>
      <c r="N411" s="575"/>
      <c r="O411" s="575"/>
      <c r="P411" s="575"/>
      <c r="Q411" s="575"/>
      <c r="R411" s="578">
        <v>36</v>
      </c>
      <c r="S411" s="575"/>
      <c r="T411" s="575"/>
      <c r="U411" s="575"/>
      <c r="V411" s="575"/>
      <c r="W411" s="575"/>
      <c r="X411" s="575"/>
      <c r="Y411" s="575"/>
      <c r="Z411" s="575"/>
      <c r="AA411" s="583"/>
    </row>
    <row r="412" spans="1:27" s="584" customFormat="1" x14ac:dyDescent="0.2">
      <c r="A412" s="575">
        <f>A410+1</f>
        <v>203</v>
      </c>
      <c r="B412" s="572" t="s">
        <v>80</v>
      </c>
      <c r="C412" s="571" t="s">
        <v>239</v>
      </c>
      <c r="D412" s="571" t="s">
        <v>1103</v>
      </c>
      <c r="E412" s="576"/>
      <c r="F412" s="576"/>
      <c r="G412" s="577"/>
      <c r="H412" s="575"/>
      <c r="I412" s="577"/>
      <c r="J412" s="578">
        <v>48</v>
      </c>
      <c r="K412" s="586"/>
      <c r="L412" s="578">
        <v>12</v>
      </c>
      <c r="M412" s="586"/>
      <c r="N412" s="580"/>
      <c r="O412" s="580"/>
      <c r="P412" s="580"/>
      <c r="Q412" s="580"/>
      <c r="R412" s="579"/>
      <c r="S412" s="575">
        <v>30</v>
      </c>
      <c r="T412" s="580"/>
      <c r="U412" s="575">
        <v>2</v>
      </c>
      <c r="V412" s="580"/>
      <c r="W412" s="575">
        <v>2</v>
      </c>
      <c r="X412" s="580"/>
      <c r="Y412" s="580"/>
      <c r="Z412" s="575">
        <v>4</v>
      </c>
      <c r="AA412" s="583"/>
    </row>
    <row r="413" spans="1:27" s="584" customFormat="1" x14ac:dyDescent="0.2">
      <c r="A413" s="575"/>
      <c r="B413" s="575"/>
      <c r="C413" s="583"/>
      <c r="D413" s="571"/>
      <c r="E413" s="576">
        <v>402.68400000000003</v>
      </c>
      <c r="F413" s="576">
        <f>+CEILING(E413,5)</f>
        <v>405</v>
      </c>
      <c r="G413" s="577"/>
      <c r="H413" s="575">
        <f>F413*36</f>
        <v>14580</v>
      </c>
      <c r="I413" s="577">
        <f>F413</f>
        <v>405</v>
      </c>
      <c r="J413" s="582"/>
      <c r="K413" s="578"/>
      <c r="L413" s="582"/>
      <c r="M413" s="578"/>
      <c r="N413" s="579"/>
      <c r="O413" s="579"/>
      <c r="P413" s="579"/>
      <c r="Q413" s="579"/>
      <c r="R413" s="578">
        <v>42</v>
      </c>
      <c r="S413" s="579"/>
      <c r="T413" s="579"/>
      <c r="U413" s="575"/>
      <c r="V413" s="575"/>
      <c r="W413" s="575"/>
      <c r="X413" s="575"/>
      <c r="Y413" s="575"/>
      <c r="Z413" s="575"/>
      <c r="AA413" s="583"/>
    </row>
    <row r="414" spans="1:27" s="584" customFormat="1" x14ac:dyDescent="0.2">
      <c r="A414" s="575">
        <f>A412+1</f>
        <v>204</v>
      </c>
      <c r="B414" s="575" t="s">
        <v>81</v>
      </c>
      <c r="C414" s="583" t="s">
        <v>20</v>
      </c>
      <c r="D414" s="571"/>
      <c r="E414" s="576"/>
      <c r="F414" s="576"/>
      <c r="G414" s="577"/>
      <c r="H414" s="575"/>
      <c r="I414" s="577"/>
      <c r="J414" s="586"/>
      <c r="K414" s="578">
        <f>(M414*4+N414*2)/2</f>
        <v>12</v>
      </c>
      <c r="L414" s="578"/>
      <c r="M414" s="578">
        <v>6</v>
      </c>
      <c r="N414" s="579"/>
      <c r="O414" s="579"/>
      <c r="P414" s="579"/>
      <c r="Q414" s="579"/>
      <c r="R414" s="579"/>
      <c r="S414" s="579"/>
      <c r="T414" s="579"/>
      <c r="U414" s="575"/>
      <c r="V414" s="575">
        <v>1</v>
      </c>
      <c r="W414" s="575">
        <v>1</v>
      </c>
      <c r="X414" s="575"/>
      <c r="Y414" s="575"/>
      <c r="Z414" s="575">
        <v>2</v>
      </c>
      <c r="AA414" s="583"/>
    </row>
    <row r="415" spans="1:27" s="584" customFormat="1" x14ac:dyDescent="0.2">
      <c r="A415" s="575"/>
      <c r="B415" s="575"/>
      <c r="C415" s="583"/>
      <c r="D415" s="571"/>
      <c r="E415" s="576">
        <v>428.80900000000003</v>
      </c>
      <c r="F415" s="576">
        <f>+CEILING(E415,5)</f>
        <v>430</v>
      </c>
      <c r="G415" s="577"/>
      <c r="H415" s="575">
        <f>F415*36</f>
        <v>15480</v>
      </c>
      <c r="I415" s="577">
        <f>F415</f>
        <v>430</v>
      </c>
      <c r="J415" s="586"/>
      <c r="K415" s="578"/>
      <c r="L415" s="578"/>
      <c r="M415" s="578"/>
      <c r="N415" s="579"/>
      <c r="O415" s="579"/>
      <c r="P415" s="579"/>
      <c r="Q415" s="579"/>
      <c r="R415" s="578">
        <v>42</v>
      </c>
      <c r="S415" s="579"/>
      <c r="T415" s="579"/>
      <c r="U415" s="575"/>
      <c r="V415" s="575"/>
      <c r="W415" s="575"/>
      <c r="X415" s="575"/>
      <c r="Y415" s="575"/>
      <c r="Z415" s="575"/>
      <c r="AA415" s="583"/>
    </row>
    <row r="416" spans="1:27" s="584" customFormat="1" x14ac:dyDescent="0.2">
      <c r="A416" s="575">
        <f>A414+1</f>
        <v>205</v>
      </c>
      <c r="B416" s="575" t="s">
        <v>82</v>
      </c>
      <c r="C416" s="583" t="s">
        <v>20</v>
      </c>
      <c r="D416" s="571"/>
      <c r="E416" s="576"/>
      <c r="F416" s="576"/>
      <c r="G416" s="577"/>
      <c r="H416" s="575"/>
      <c r="I416" s="577"/>
      <c r="J416" s="586"/>
      <c r="K416" s="578">
        <f>(M416*4+N416*2)/2</f>
        <v>12</v>
      </c>
      <c r="L416" s="578"/>
      <c r="M416" s="578">
        <v>6</v>
      </c>
      <c r="N416" s="579"/>
      <c r="O416" s="579"/>
      <c r="P416" s="579"/>
      <c r="Q416" s="579"/>
      <c r="R416" s="579"/>
      <c r="S416" s="579"/>
      <c r="T416" s="579"/>
      <c r="U416" s="575"/>
      <c r="V416" s="575">
        <v>1</v>
      </c>
      <c r="W416" s="575">
        <v>1</v>
      </c>
      <c r="X416" s="575"/>
      <c r="Y416" s="575"/>
      <c r="Z416" s="575">
        <v>2</v>
      </c>
      <c r="AA416" s="583"/>
    </row>
    <row r="417" spans="1:27" s="584" customFormat="1" x14ac:dyDescent="0.2">
      <c r="A417" s="575"/>
      <c r="B417" s="575"/>
      <c r="C417" s="583"/>
      <c r="D417" s="571"/>
      <c r="E417" s="576">
        <v>410.89</v>
      </c>
      <c r="F417" s="576">
        <f>+CEILING(E417,5)</f>
        <v>415</v>
      </c>
      <c r="G417" s="577"/>
      <c r="H417" s="575">
        <f>F417*36</f>
        <v>14940</v>
      </c>
      <c r="I417" s="577">
        <f>F417</f>
        <v>415</v>
      </c>
      <c r="J417" s="586"/>
      <c r="K417" s="578"/>
      <c r="L417" s="578"/>
      <c r="M417" s="578"/>
      <c r="N417" s="579"/>
      <c r="O417" s="579"/>
      <c r="P417" s="579"/>
      <c r="Q417" s="579"/>
      <c r="R417" s="578">
        <v>42</v>
      </c>
      <c r="S417" s="579"/>
      <c r="T417" s="579"/>
      <c r="U417" s="575"/>
      <c r="V417" s="575"/>
      <c r="W417" s="575"/>
      <c r="X417" s="575"/>
      <c r="Y417" s="575"/>
      <c r="Z417" s="575"/>
      <c r="AA417" s="583"/>
    </row>
    <row r="418" spans="1:27" s="584" customFormat="1" x14ac:dyDescent="0.2">
      <c r="A418" s="575">
        <f>A416+1</f>
        <v>206</v>
      </c>
      <c r="B418" s="575" t="s">
        <v>204</v>
      </c>
      <c r="C418" s="583" t="s">
        <v>231</v>
      </c>
      <c r="D418" s="571"/>
      <c r="E418" s="576"/>
      <c r="F418" s="576"/>
      <c r="G418" s="577"/>
      <c r="H418" s="575"/>
      <c r="I418" s="577"/>
      <c r="J418" s="586"/>
      <c r="K418" s="578">
        <f>(M418*4+N418*2)/2</f>
        <v>12</v>
      </c>
      <c r="L418" s="578"/>
      <c r="M418" s="578">
        <v>6</v>
      </c>
      <c r="N418" s="579"/>
      <c r="O418" s="579"/>
      <c r="P418" s="579"/>
      <c r="Q418" s="579"/>
      <c r="R418" s="579"/>
      <c r="S418" s="579"/>
      <c r="T418" s="579"/>
      <c r="U418" s="575"/>
      <c r="V418" s="575">
        <v>1</v>
      </c>
      <c r="W418" s="575">
        <v>1</v>
      </c>
      <c r="X418" s="575"/>
      <c r="Y418" s="575"/>
      <c r="Z418" s="575">
        <v>2</v>
      </c>
      <c r="AA418" s="583"/>
    </row>
    <row r="419" spans="1:27" s="584" customFormat="1" x14ac:dyDescent="0.2">
      <c r="A419" s="575"/>
      <c r="B419" s="575"/>
      <c r="C419" s="583"/>
      <c r="D419" s="571"/>
      <c r="E419" s="576">
        <v>381.10599999999999</v>
      </c>
      <c r="F419" s="576">
        <f>+CEILING(E419,5)</f>
        <v>385</v>
      </c>
      <c r="G419" s="577"/>
      <c r="H419" s="575">
        <f>F419*36</f>
        <v>13860</v>
      </c>
      <c r="I419" s="577">
        <f>F419</f>
        <v>385</v>
      </c>
      <c r="J419" s="586"/>
      <c r="K419" s="578"/>
      <c r="L419" s="578"/>
      <c r="M419" s="578"/>
      <c r="N419" s="579"/>
      <c r="O419" s="579"/>
      <c r="P419" s="579"/>
      <c r="Q419" s="579"/>
      <c r="R419" s="578">
        <v>36</v>
      </c>
      <c r="S419" s="579"/>
      <c r="T419" s="579"/>
      <c r="U419" s="575"/>
      <c r="V419" s="575"/>
      <c r="W419" s="575"/>
      <c r="X419" s="575"/>
      <c r="Y419" s="575"/>
      <c r="Z419" s="575"/>
      <c r="AA419" s="583"/>
    </row>
    <row r="420" spans="1:27" s="584" customFormat="1" x14ac:dyDescent="0.2">
      <c r="A420" s="575">
        <f>A418+1</f>
        <v>207</v>
      </c>
      <c r="B420" s="575" t="s">
        <v>205</v>
      </c>
      <c r="C420" s="583" t="s">
        <v>231</v>
      </c>
      <c r="D420" s="571"/>
      <c r="E420" s="576"/>
      <c r="F420" s="576"/>
      <c r="G420" s="577"/>
      <c r="H420" s="575"/>
      <c r="I420" s="577"/>
      <c r="J420" s="586"/>
      <c r="K420" s="578">
        <f>(M420*4+N420*2)/2</f>
        <v>12</v>
      </c>
      <c r="L420" s="578"/>
      <c r="M420" s="578">
        <v>6</v>
      </c>
      <c r="N420" s="579"/>
      <c r="O420" s="579"/>
      <c r="P420" s="579"/>
      <c r="Q420" s="579"/>
      <c r="R420" s="579"/>
      <c r="S420" s="579"/>
      <c r="T420" s="579"/>
      <c r="U420" s="575"/>
      <c r="V420" s="575">
        <v>1</v>
      </c>
      <c r="W420" s="575">
        <v>1</v>
      </c>
      <c r="X420" s="575"/>
      <c r="Y420" s="575"/>
      <c r="Z420" s="575">
        <v>2</v>
      </c>
      <c r="AA420" s="583"/>
    </row>
    <row r="421" spans="1:27" s="584" customFormat="1" x14ac:dyDescent="0.2">
      <c r="A421" s="575"/>
      <c r="B421" s="575"/>
      <c r="C421" s="583"/>
      <c r="D421" s="571"/>
      <c r="E421" s="576">
        <v>451.50099999999998</v>
      </c>
      <c r="F421" s="576">
        <f>+CEILING(E421,5)</f>
        <v>455</v>
      </c>
      <c r="G421" s="577"/>
      <c r="H421" s="575">
        <f>F421*36</f>
        <v>16380</v>
      </c>
      <c r="I421" s="577">
        <f>F421</f>
        <v>455</v>
      </c>
      <c r="J421" s="586"/>
      <c r="K421" s="578"/>
      <c r="L421" s="578"/>
      <c r="M421" s="578"/>
      <c r="N421" s="579"/>
      <c r="O421" s="579"/>
      <c r="P421" s="579"/>
      <c r="Q421" s="579"/>
      <c r="R421" s="578">
        <v>42</v>
      </c>
      <c r="S421" s="579"/>
      <c r="T421" s="579"/>
      <c r="U421" s="575"/>
      <c r="V421" s="575"/>
      <c r="W421" s="575"/>
      <c r="X421" s="575"/>
      <c r="Y421" s="575"/>
      <c r="Z421" s="575"/>
      <c r="AA421" s="583"/>
    </row>
    <row r="422" spans="1:27" s="584" customFormat="1" x14ac:dyDescent="0.2">
      <c r="A422" s="575">
        <f>A420+1</f>
        <v>208</v>
      </c>
      <c r="B422" s="572" t="s">
        <v>83</v>
      </c>
      <c r="C422" s="571" t="s">
        <v>239</v>
      </c>
      <c r="D422" s="571" t="s">
        <v>1104</v>
      </c>
      <c r="E422" s="576"/>
      <c r="F422" s="576"/>
      <c r="G422" s="577"/>
      <c r="H422" s="575"/>
      <c r="I422" s="577"/>
      <c r="J422" s="578">
        <v>48</v>
      </c>
      <c r="K422" s="586"/>
      <c r="L422" s="578">
        <v>12</v>
      </c>
      <c r="M422" s="586"/>
      <c r="N422" s="580"/>
      <c r="O422" s="580"/>
      <c r="P422" s="580"/>
      <c r="Q422" s="580"/>
      <c r="R422" s="579"/>
      <c r="S422" s="575">
        <v>30</v>
      </c>
      <c r="T422" s="580"/>
      <c r="U422" s="575">
        <v>2</v>
      </c>
      <c r="V422" s="580"/>
      <c r="W422" s="575">
        <v>2</v>
      </c>
      <c r="X422" s="580"/>
      <c r="Y422" s="580"/>
      <c r="Z422" s="575">
        <v>4</v>
      </c>
      <c r="AA422" s="583"/>
    </row>
    <row r="423" spans="1:27" s="584" customFormat="1" x14ac:dyDescent="0.2">
      <c r="A423" s="575"/>
      <c r="B423" s="575"/>
      <c r="C423" s="583"/>
      <c r="D423" s="571"/>
      <c r="E423" s="576">
        <v>379.55799999999999</v>
      </c>
      <c r="F423" s="576">
        <f>+CEILING(E423,5)</f>
        <v>380</v>
      </c>
      <c r="G423" s="577"/>
      <c r="H423" s="575">
        <f>F423*36</f>
        <v>13680</v>
      </c>
      <c r="I423" s="577">
        <f>F423</f>
        <v>380</v>
      </c>
      <c r="J423" s="586"/>
      <c r="K423" s="578"/>
      <c r="L423" s="578"/>
      <c r="M423" s="578"/>
      <c r="N423" s="579"/>
      <c r="O423" s="579"/>
      <c r="P423" s="579"/>
      <c r="Q423" s="579"/>
      <c r="R423" s="578">
        <v>36</v>
      </c>
      <c r="S423" s="579"/>
      <c r="T423" s="579"/>
      <c r="U423" s="575"/>
      <c r="V423" s="575"/>
      <c r="W423" s="575"/>
      <c r="X423" s="575"/>
      <c r="Y423" s="575"/>
      <c r="Z423" s="575"/>
      <c r="AA423" s="583"/>
    </row>
    <row r="424" spans="1:27" s="584" customFormat="1" x14ac:dyDescent="0.2">
      <c r="A424" s="575">
        <f>A422+1</f>
        <v>209</v>
      </c>
      <c r="B424" s="575" t="s">
        <v>230</v>
      </c>
      <c r="C424" s="583" t="s">
        <v>231</v>
      </c>
      <c r="D424" s="571"/>
      <c r="E424" s="576"/>
      <c r="F424" s="576"/>
      <c r="G424" s="577"/>
      <c r="H424" s="575"/>
      <c r="I424" s="577"/>
      <c r="J424" s="586"/>
      <c r="K424" s="578">
        <f>(M424*4+N424*2)/2</f>
        <v>12</v>
      </c>
      <c r="L424" s="578"/>
      <c r="M424" s="578">
        <v>6</v>
      </c>
      <c r="N424" s="579"/>
      <c r="O424" s="579"/>
      <c r="P424" s="579"/>
      <c r="Q424" s="579"/>
      <c r="R424" s="579"/>
      <c r="S424" s="579"/>
      <c r="T424" s="579"/>
      <c r="U424" s="575"/>
      <c r="V424" s="575">
        <v>1</v>
      </c>
      <c r="W424" s="575">
        <v>1</v>
      </c>
      <c r="X424" s="575"/>
      <c r="Y424" s="575"/>
      <c r="Z424" s="575">
        <v>2</v>
      </c>
      <c r="AA424" s="583"/>
    </row>
    <row r="425" spans="1:27" s="584" customFormat="1" x14ac:dyDescent="0.2">
      <c r="A425" s="575"/>
      <c r="B425" s="575"/>
      <c r="C425" s="583"/>
      <c r="D425" s="571"/>
      <c r="E425" s="576">
        <v>292.53300000000002</v>
      </c>
      <c r="F425" s="576">
        <f>+CEILING(E425,5)</f>
        <v>295</v>
      </c>
      <c r="G425" s="577"/>
      <c r="H425" s="575">
        <f>F425*36</f>
        <v>10620</v>
      </c>
      <c r="I425" s="577">
        <f>F425</f>
        <v>295</v>
      </c>
      <c r="J425" s="586"/>
      <c r="K425" s="578"/>
      <c r="L425" s="578"/>
      <c r="M425" s="578"/>
      <c r="N425" s="579"/>
      <c r="O425" s="579"/>
      <c r="P425" s="579"/>
      <c r="Q425" s="579"/>
      <c r="R425" s="578">
        <v>30</v>
      </c>
      <c r="S425" s="579"/>
      <c r="T425" s="579"/>
      <c r="U425" s="575"/>
      <c r="V425" s="575"/>
      <c r="W425" s="575"/>
      <c r="X425" s="575"/>
      <c r="Y425" s="575"/>
      <c r="Z425" s="575"/>
      <c r="AA425" s="583"/>
    </row>
    <row r="426" spans="1:27" s="584" customFormat="1" x14ac:dyDescent="0.2">
      <c r="A426" s="575">
        <f>A424+1</f>
        <v>210</v>
      </c>
      <c r="B426" s="571" t="s">
        <v>84</v>
      </c>
      <c r="C426" s="571" t="s">
        <v>245</v>
      </c>
      <c r="D426" s="571" t="s">
        <v>1105</v>
      </c>
      <c r="E426" s="576"/>
      <c r="F426" s="576"/>
      <c r="G426" s="577"/>
      <c r="H426" s="575"/>
      <c r="I426" s="577"/>
      <c r="J426" s="578">
        <v>48</v>
      </c>
      <c r="K426" s="586"/>
      <c r="L426" s="578">
        <v>12</v>
      </c>
      <c r="M426" s="586"/>
      <c r="N426" s="580"/>
      <c r="O426" s="580"/>
      <c r="P426" s="580"/>
      <c r="Q426" s="580"/>
      <c r="R426" s="579"/>
      <c r="S426" s="575">
        <v>30</v>
      </c>
      <c r="T426" s="580"/>
      <c r="U426" s="575">
        <v>2</v>
      </c>
      <c r="V426" s="580"/>
      <c r="W426" s="575">
        <v>2</v>
      </c>
      <c r="X426" s="580"/>
      <c r="Y426" s="580"/>
      <c r="Z426" s="575">
        <v>4</v>
      </c>
      <c r="AA426" s="583"/>
    </row>
    <row r="427" spans="1:27" s="584" customFormat="1" x14ac:dyDescent="0.2">
      <c r="A427" s="575"/>
      <c r="B427" s="583"/>
      <c r="C427" s="583"/>
      <c r="D427" s="571"/>
      <c r="E427" s="576">
        <v>432.63600000000002</v>
      </c>
      <c r="F427" s="576">
        <f>+CEILING(E427,5)</f>
        <v>435</v>
      </c>
      <c r="G427" s="577"/>
      <c r="H427" s="575">
        <f>F427*36</f>
        <v>15660</v>
      </c>
      <c r="I427" s="577">
        <f>F427</f>
        <v>435</v>
      </c>
      <c r="J427" s="586"/>
      <c r="K427" s="578"/>
      <c r="L427" s="578"/>
      <c r="M427" s="578"/>
      <c r="N427" s="579"/>
      <c r="O427" s="579"/>
      <c r="P427" s="579"/>
      <c r="Q427" s="579"/>
      <c r="R427" s="578">
        <v>42</v>
      </c>
      <c r="S427" s="579"/>
      <c r="T427" s="579"/>
      <c r="U427" s="575"/>
      <c r="V427" s="575"/>
      <c r="W427" s="575"/>
      <c r="X427" s="575"/>
      <c r="Y427" s="575"/>
      <c r="Z427" s="575"/>
      <c r="AA427" s="583"/>
    </row>
    <row r="428" spans="1:27" s="584" customFormat="1" x14ac:dyDescent="0.2">
      <c r="A428" s="575">
        <f>A426+1</f>
        <v>211</v>
      </c>
      <c r="B428" s="583" t="s">
        <v>206</v>
      </c>
      <c r="C428" s="583" t="s">
        <v>233</v>
      </c>
      <c r="D428" s="571"/>
      <c r="E428" s="576"/>
      <c r="F428" s="576"/>
      <c r="G428" s="577"/>
      <c r="H428" s="575"/>
      <c r="I428" s="577"/>
      <c r="J428" s="586"/>
      <c r="K428" s="578">
        <f>(M428*4+N428*2)/2</f>
        <v>12</v>
      </c>
      <c r="L428" s="578"/>
      <c r="M428" s="578">
        <v>6</v>
      </c>
      <c r="N428" s="579"/>
      <c r="O428" s="579"/>
      <c r="P428" s="579"/>
      <c r="Q428" s="579"/>
      <c r="R428" s="579"/>
      <c r="S428" s="579"/>
      <c r="T428" s="579"/>
      <c r="U428" s="575"/>
      <c r="V428" s="575">
        <v>1</v>
      </c>
      <c r="W428" s="575">
        <v>1</v>
      </c>
      <c r="X428" s="575"/>
      <c r="Y428" s="575"/>
      <c r="Z428" s="575">
        <v>2</v>
      </c>
      <c r="AA428" s="583"/>
    </row>
    <row r="429" spans="1:27" s="584" customFormat="1" x14ac:dyDescent="0.2">
      <c r="A429" s="575"/>
      <c r="B429" s="583"/>
      <c r="C429" s="583"/>
      <c r="D429" s="571"/>
      <c r="E429" s="576">
        <v>407.46699999999998</v>
      </c>
      <c r="F429" s="576">
        <f>+CEILING(E429,5)</f>
        <v>410</v>
      </c>
      <c r="G429" s="577"/>
      <c r="H429" s="575">
        <f>F429*36</f>
        <v>14760</v>
      </c>
      <c r="I429" s="577">
        <f>F429</f>
        <v>410</v>
      </c>
      <c r="J429" s="582"/>
      <c r="K429" s="578"/>
      <c r="L429" s="582"/>
      <c r="M429" s="578"/>
      <c r="N429" s="579"/>
      <c r="O429" s="579"/>
      <c r="P429" s="579"/>
      <c r="Q429" s="579"/>
      <c r="R429" s="578">
        <v>42</v>
      </c>
      <c r="S429" s="579"/>
      <c r="T429" s="579"/>
      <c r="U429" s="575"/>
      <c r="V429" s="575"/>
      <c r="W429" s="575"/>
      <c r="X429" s="575"/>
      <c r="Y429" s="575"/>
      <c r="Z429" s="575"/>
      <c r="AA429" s="583"/>
    </row>
    <row r="430" spans="1:27" s="584" customFormat="1" x14ac:dyDescent="0.2">
      <c r="A430" s="575">
        <f>A428+1</f>
        <v>212</v>
      </c>
      <c r="B430" s="583" t="s">
        <v>207</v>
      </c>
      <c r="C430" s="583" t="s">
        <v>232</v>
      </c>
      <c r="D430" s="571"/>
      <c r="E430" s="576"/>
      <c r="F430" s="576"/>
      <c r="G430" s="577"/>
      <c r="H430" s="575"/>
      <c r="I430" s="577"/>
      <c r="J430" s="586"/>
      <c r="K430" s="578">
        <f>(M430*4+N430*2)/2</f>
        <v>12</v>
      </c>
      <c r="L430" s="578"/>
      <c r="M430" s="578">
        <v>6</v>
      </c>
      <c r="N430" s="579"/>
      <c r="O430" s="579"/>
      <c r="P430" s="579"/>
      <c r="Q430" s="579"/>
      <c r="R430" s="579"/>
      <c r="S430" s="579"/>
      <c r="T430" s="579"/>
      <c r="U430" s="575"/>
      <c r="V430" s="575">
        <v>1</v>
      </c>
      <c r="W430" s="575">
        <v>1</v>
      </c>
      <c r="X430" s="575"/>
      <c r="Y430" s="575"/>
      <c r="Z430" s="575">
        <v>2</v>
      </c>
      <c r="AA430" s="583"/>
    </row>
    <row r="431" spans="1:27" s="584" customFormat="1" x14ac:dyDescent="0.2">
      <c r="A431" s="575"/>
      <c r="B431" s="583"/>
      <c r="C431" s="583"/>
      <c r="D431" s="571"/>
      <c r="E431" s="576">
        <v>377.04300000000001</v>
      </c>
      <c r="F431" s="576">
        <f>+CEILING(E431,5)</f>
        <v>380</v>
      </c>
      <c r="G431" s="577"/>
      <c r="H431" s="575">
        <f>F431*36</f>
        <v>13680</v>
      </c>
      <c r="I431" s="577">
        <f>F431</f>
        <v>380</v>
      </c>
      <c r="J431" s="582"/>
      <c r="K431" s="578"/>
      <c r="L431" s="582"/>
      <c r="M431" s="578"/>
      <c r="N431" s="579"/>
      <c r="O431" s="579"/>
      <c r="P431" s="579"/>
      <c r="Q431" s="579"/>
      <c r="R431" s="578">
        <v>36</v>
      </c>
      <c r="S431" s="579"/>
      <c r="T431" s="579"/>
      <c r="U431" s="575"/>
      <c r="V431" s="575"/>
      <c r="W431" s="575"/>
      <c r="X431" s="575"/>
      <c r="Y431" s="575"/>
      <c r="Z431" s="575"/>
      <c r="AA431" s="583"/>
    </row>
    <row r="432" spans="1:27" s="584" customFormat="1" x14ac:dyDescent="0.2">
      <c r="A432" s="575">
        <f>A430+1</f>
        <v>213</v>
      </c>
      <c r="B432" s="583" t="s">
        <v>208</v>
      </c>
      <c r="C432" s="583" t="s">
        <v>231</v>
      </c>
      <c r="D432" s="571"/>
      <c r="E432" s="576"/>
      <c r="F432" s="576"/>
      <c r="G432" s="577"/>
      <c r="H432" s="575"/>
      <c r="I432" s="577"/>
      <c r="J432" s="586"/>
      <c r="K432" s="578">
        <f>(M432*4+N432*2)/2</f>
        <v>12</v>
      </c>
      <c r="L432" s="578"/>
      <c r="M432" s="578">
        <v>6</v>
      </c>
      <c r="N432" s="579"/>
      <c r="O432" s="579"/>
      <c r="P432" s="579"/>
      <c r="Q432" s="579"/>
      <c r="R432" s="579"/>
      <c r="S432" s="579"/>
      <c r="T432" s="579"/>
      <c r="U432" s="575"/>
      <c r="V432" s="575">
        <v>1</v>
      </c>
      <c r="W432" s="575">
        <v>1</v>
      </c>
      <c r="X432" s="575"/>
      <c r="Y432" s="575"/>
      <c r="Z432" s="575">
        <v>2</v>
      </c>
      <c r="AA432" s="583"/>
    </row>
    <row r="433" spans="1:27" s="584" customFormat="1" x14ac:dyDescent="0.2">
      <c r="A433" s="575"/>
      <c r="B433" s="583"/>
      <c r="C433" s="583"/>
      <c r="D433" s="571"/>
      <c r="E433" s="576">
        <v>451.57600000000002</v>
      </c>
      <c r="F433" s="576">
        <f>+CEILING(E433,5)</f>
        <v>455</v>
      </c>
      <c r="G433" s="577"/>
      <c r="H433" s="575">
        <f>F433*36</f>
        <v>16380</v>
      </c>
      <c r="I433" s="577">
        <f>F433</f>
        <v>455</v>
      </c>
      <c r="J433" s="582"/>
      <c r="K433" s="578"/>
      <c r="L433" s="582"/>
      <c r="M433" s="578"/>
      <c r="N433" s="575"/>
      <c r="O433" s="575"/>
      <c r="P433" s="575"/>
      <c r="Q433" s="575"/>
      <c r="R433" s="578">
        <v>42</v>
      </c>
      <c r="S433" s="575"/>
      <c r="T433" s="575"/>
      <c r="U433" s="575"/>
      <c r="V433" s="575"/>
      <c r="W433" s="575"/>
      <c r="X433" s="575"/>
      <c r="Y433" s="575"/>
      <c r="Z433" s="575"/>
      <c r="AA433" s="583"/>
    </row>
    <row r="434" spans="1:27" s="584" customFormat="1" x14ac:dyDescent="0.2">
      <c r="A434" s="575">
        <f>A432+1</f>
        <v>214</v>
      </c>
      <c r="B434" s="583" t="s">
        <v>209</v>
      </c>
      <c r="C434" s="583" t="s">
        <v>231</v>
      </c>
      <c r="D434" s="571"/>
      <c r="E434" s="576"/>
      <c r="F434" s="576"/>
      <c r="G434" s="577"/>
      <c r="H434" s="575"/>
      <c r="I434" s="577"/>
      <c r="J434" s="586"/>
      <c r="K434" s="578">
        <f>(M434*4+N434*2)/2</f>
        <v>12</v>
      </c>
      <c r="L434" s="578"/>
      <c r="M434" s="578">
        <v>6</v>
      </c>
      <c r="N434" s="579"/>
      <c r="O434" s="579"/>
      <c r="P434" s="579"/>
      <c r="Q434" s="579"/>
      <c r="R434" s="579"/>
      <c r="S434" s="579"/>
      <c r="T434" s="579"/>
      <c r="U434" s="575"/>
      <c r="V434" s="575">
        <v>1</v>
      </c>
      <c r="W434" s="575">
        <v>1</v>
      </c>
      <c r="X434" s="575"/>
      <c r="Y434" s="575"/>
      <c r="Z434" s="575">
        <v>2</v>
      </c>
      <c r="AA434" s="583"/>
    </row>
    <row r="435" spans="1:27" s="584" customFormat="1" x14ac:dyDescent="0.2">
      <c r="A435" s="575"/>
      <c r="B435" s="583"/>
      <c r="C435" s="583"/>
      <c r="D435" s="571"/>
      <c r="E435" s="576">
        <v>379.27499999999998</v>
      </c>
      <c r="F435" s="576">
        <f>+CEILING(E435,5)</f>
        <v>380</v>
      </c>
      <c r="G435" s="577"/>
      <c r="H435" s="575">
        <f>F435*36</f>
        <v>13680</v>
      </c>
      <c r="I435" s="577">
        <f>F435</f>
        <v>380</v>
      </c>
      <c r="J435" s="582"/>
      <c r="K435" s="578"/>
      <c r="L435" s="578"/>
      <c r="M435" s="578"/>
      <c r="N435" s="579"/>
      <c r="O435" s="579"/>
      <c r="P435" s="579"/>
      <c r="Q435" s="579"/>
      <c r="R435" s="578">
        <v>36</v>
      </c>
      <c r="S435" s="579"/>
      <c r="T435" s="579"/>
      <c r="U435" s="575"/>
      <c r="V435" s="575"/>
      <c r="W435" s="575"/>
      <c r="X435" s="575"/>
      <c r="Y435" s="575"/>
      <c r="Z435" s="575"/>
      <c r="AA435" s="583"/>
    </row>
    <row r="436" spans="1:27" s="584" customFormat="1" x14ac:dyDescent="0.2">
      <c r="A436" s="575">
        <f>A434+1</f>
        <v>215</v>
      </c>
      <c r="B436" s="571" t="s">
        <v>29</v>
      </c>
      <c r="C436" s="571" t="s">
        <v>234</v>
      </c>
      <c r="D436" s="571" t="s">
        <v>1106</v>
      </c>
      <c r="E436" s="576"/>
      <c r="F436" s="576"/>
      <c r="G436" s="577"/>
      <c r="H436" s="575"/>
      <c r="I436" s="577"/>
      <c r="J436" s="578">
        <v>48</v>
      </c>
      <c r="K436" s="586"/>
      <c r="L436" s="578">
        <v>12</v>
      </c>
      <c r="M436" s="586"/>
      <c r="N436" s="580"/>
      <c r="O436" s="580"/>
      <c r="P436" s="580"/>
      <c r="Q436" s="580"/>
      <c r="R436" s="579"/>
      <c r="S436" s="575">
        <v>30</v>
      </c>
      <c r="T436" s="580"/>
      <c r="U436" s="575">
        <v>2</v>
      </c>
      <c r="V436" s="580"/>
      <c r="W436" s="575">
        <v>2</v>
      </c>
      <c r="X436" s="580"/>
      <c r="Y436" s="580"/>
      <c r="Z436" s="575">
        <v>4</v>
      </c>
      <c r="AA436" s="583"/>
    </row>
    <row r="437" spans="1:27" s="584" customFormat="1" x14ac:dyDescent="0.2">
      <c r="A437" s="575"/>
      <c r="B437" s="583"/>
      <c r="C437" s="583"/>
      <c r="D437" s="571"/>
      <c r="E437" s="576">
        <v>265.55399999999997</v>
      </c>
      <c r="F437" s="576">
        <f>+CEILING(E437,5)</f>
        <v>270</v>
      </c>
      <c r="G437" s="577"/>
      <c r="H437" s="575">
        <f>F437*36</f>
        <v>9720</v>
      </c>
      <c r="I437" s="577">
        <f>F437</f>
        <v>270</v>
      </c>
      <c r="J437" s="586"/>
      <c r="K437" s="578"/>
      <c r="L437" s="578"/>
      <c r="M437" s="578"/>
      <c r="N437" s="579"/>
      <c r="O437" s="579"/>
      <c r="P437" s="579"/>
      <c r="Q437" s="579"/>
      <c r="R437" s="578">
        <v>30</v>
      </c>
      <c r="S437" s="579"/>
      <c r="T437" s="579"/>
      <c r="U437" s="575"/>
      <c r="V437" s="575"/>
      <c r="W437" s="575"/>
      <c r="X437" s="575"/>
      <c r="Y437" s="575"/>
      <c r="Z437" s="575"/>
      <c r="AA437" s="583"/>
    </row>
    <row r="438" spans="1:27" s="584" customFormat="1" x14ac:dyDescent="0.2">
      <c r="A438" s="575">
        <f>A436+1</f>
        <v>216</v>
      </c>
      <c r="B438" s="583" t="s">
        <v>210</v>
      </c>
      <c r="C438" s="583" t="s">
        <v>233</v>
      </c>
      <c r="D438" s="571"/>
      <c r="E438" s="576"/>
      <c r="F438" s="576"/>
      <c r="G438" s="577"/>
      <c r="H438" s="575"/>
      <c r="I438" s="577"/>
      <c r="J438" s="586"/>
      <c r="K438" s="578">
        <f>(M438*4+N438*2)/2</f>
        <v>12</v>
      </c>
      <c r="L438" s="578"/>
      <c r="M438" s="578">
        <v>6</v>
      </c>
      <c r="N438" s="579"/>
      <c r="O438" s="579"/>
      <c r="P438" s="579"/>
      <c r="Q438" s="579"/>
      <c r="R438" s="579"/>
      <c r="S438" s="579"/>
      <c r="T438" s="579"/>
      <c r="U438" s="575"/>
      <c r="V438" s="575">
        <v>1</v>
      </c>
      <c r="W438" s="575">
        <v>1</v>
      </c>
      <c r="X438" s="575"/>
      <c r="Y438" s="575"/>
      <c r="Z438" s="575">
        <v>2</v>
      </c>
      <c r="AA438" s="583"/>
    </row>
    <row r="439" spans="1:27" s="584" customFormat="1" x14ac:dyDescent="0.2">
      <c r="A439" s="575"/>
      <c r="B439" s="583"/>
      <c r="C439" s="583"/>
      <c r="D439" s="571"/>
      <c r="E439" s="576">
        <v>492.404</v>
      </c>
      <c r="F439" s="576">
        <f>+CEILING(E439,5)</f>
        <v>495</v>
      </c>
      <c r="G439" s="577"/>
      <c r="H439" s="575">
        <f>F439*36</f>
        <v>17820</v>
      </c>
      <c r="I439" s="577">
        <f>F439</f>
        <v>495</v>
      </c>
      <c r="J439" s="586"/>
      <c r="K439" s="578"/>
      <c r="L439" s="578"/>
      <c r="M439" s="578"/>
      <c r="N439" s="579"/>
      <c r="O439" s="579"/>
      <c r="P439" s="579"/>
      <c r="Q439" s="579"/>
      <c r="R439" s="578">
        <v>48</v>
      </c>
      <c r="S439" s="579"/>
      <c r="T439" s="579"/>
      <c r="U439" s="575"/>
      <c r="V439" s="575"/>
      <c r="W439" s="575"/>
      <c r="X439" s="575"/>
      <c r="Y439" s="575"/>
      <c r="Z439" s="575"/>
      <c r="AA439" s="583"/>
    </row>
    <row r="440" spans="1:27" s="584" customFormat="1" x14ac:dyDescent="0.2">
      <c r="A440" s="575">
        <f>A438+1</f>
        <v>217</v>
      </c>
      <c r="B440" s="571" t="s">
        <v>211</v>
      </c>
      <c r="C440" s="571" t="s">
        <v>242</v>
      </c>
      <c r="D440" s="571"/>
      <c r="E440" s="576"/>
      <c r="F440" s="576"/>
      <c r="G440" s="577"/>
      <c r="H440" s="575"/>
      <c r="I440" s="577"/>
      <c r="J440" s="578">
        <v>48</v>
      </c>
      <c r="K440" s="586"/>
      <c r="L440" s="578">
        <v>12</v>
      </c>
      <c r="M440" s="586"/>
      <c r="N440" s="580"/>
      <c r="O440" s="580"/>
      <c r="P440" s="580"/>
      <c r="Q440" s="580"/>
      <c r="R440" s="579"/>
      <c r="S440" s="575">
        <v>30</v>
      </c>
      <c r="T440" s="580"/>
      <c r="U440" s="575">
        <v>2</v>
      </c>
      <c r="V440" s="580"/>
      <c r="W440" s="575">
        <v>2</v>
      </c>
      <c r="X440" s="580"/>
      <c r="Y440" s="580"/>
      <c r="Z440" s="575">
        <v>4</v>
      </c>
      <c r="AA440" s="583"/>
    </row>
    <row r="441" spans="1:27" s="584" customFormat="1" x14ac:dyDescent="0.2">
      <c r="A441" s="575"/>
      <c r="B441" s="583"/>
      <c r="C441" s="583"/>
      <c r="D441" s="571"/>
      <c r="E441" s="576">
        <v>522.221</v>
      </c>
      <c r="F441" s="576">
        <f>+CEILING(E441,5)</f>
        <v>525</v>
      </c>
      <c r="G441" s="577"/>
      <c r="H441" s="575">
        <f>F441*36</f>
        <v>18900</v>
      </c>
      <c r="I441" s="577">
        <f>F441</f>
        <v>525</v>
      </c>
      <c r="J441" s="582"/>
      <c r="K441" s="578"/>
      <c r="L441" s="582"/>
      <c r="M441" s="578"/>
      <c r="N441" s="579"/>
      <c r="O441" s="579"/>
      <c r="P441" s="579"/>
      <c r="Q441" s="579"/>
      <c r="R441" s="578">
        <v>48</v>
      </c>
      <c r="S441" s="579"/>
      <c r="T441" s="579"/>
      <c r="U441" s="575"/>
      <c r="V441" s="575"/>
      <c r="W441" s="575"/>
      <c r="X441" s="575"/>
      <c r="Y441" s="575"/>
      <c r="Z441" s="575"/>
      <c r="AA441" s="583"/>
    </row>
    <row r="442" spans="1:27" s="584" customFormat="1" x14ac:dyDescent="0.2">
      <c r="A442" s="575">
        <f>A440+1</f>
        <v>218</v>
      </c>
      <c r="B442" s="571" t="s">
        <v>212</v>
      </c>
      <c r="C442" s="571" t="s">
        <v>246</v>
      </c>
      <c r="D442" s="571"/>
      <c r="E442" s="576"/>
      <c r="F442" s="576"/>
      <c r="G442" s="577"/>
      <c r="H442" s="575"/>
      <c r="I442" s="577"/>
      <c r="J442" s="578">
        <v>48</v>
      </c>
      <c r="K442" s="586"/>
      <c r="L442" s="578">
        <v>12</v>
      </c>
      <c r="M442" s="586"/>
      <c r="N442" s="580"/>
      <c r="O442" s="580"/>
      <c r="P442" s="580"/>
      <c r="Q442" s="580"/>
      <c r="R442" s="579"/>
      <c r="S442" s="575">
        <v>30</v>
      </c>
      <c r="T442" s="580"/>
      <c r="U442" s="575">
        <v>2</v>
      </c>
      <c r="V442" s="580"/>
      <c r="W442" s="575">
        <v>2</v>
      </c>
      <c r="X442" s="580"/>
      <c r="Y442" s="580"/>
      <c r="Z442" s="575">
        <v>4</v>
      </c>
      <c r="AA442" s="583"/>
    </row>
    <row r="443" spans="1:27" s="584" customFormat="1" x14ac:dyDescent="0.2">
      <c r="A443" s="575"/>
      <c r="B443" s="583"/>
      <c r="C443" s="583"/>
      <c r="D443" s="571"/>
      <c r="E443" s="576">
        <v>418.92500000000001</v>
      </c>
      <c r="F443" s="576">
        <f>+CEILING(E443,5)</f>
        <v>420</v>
      </c>
      <c r="G443" s="577"/>
      <c r="H443" s="575">
        <f>F443*36</f>
        <v>15120</v>
      </c>
      <c r="I443" s="577">
        <f>F443</f>
        <v>420</v>
      </c>
      <c r="J443" s="586"/>
      <c r="K443" s="578"/>
      <c r="L443" s="578"/>
      <c r="M443" s="578"/>
      <c r="N443" s="579"/>
      <c r="O443" s="579"/>
      <c r="P443" s="579"/>
      <c r="Q443" s="579"/>
      <c r="R443" s="578">
        <v>42</v>
      </c>
      <c r="S443" s="579"/>
      <c r="T443" s="579"/>
      <c r="U443" s="575"/>
      <c r="V443" s="575"/>
      <c r="W443" s="575"/>
      <c r="X443" s="575"/>
      <c r="Y443" s="575"/>
      <c r="Z443" s="575"/>
      <c r="AA443" s="583"/>
    </row>
    <row r="444" spans="1:27" s="584" customFormat="1" x14ac:dyDescent="0.2">
      <c r="A444" s="575">
        <f>A442+1</f>
        <v>219</v>
      </c>
      <c r="B444" s="583" t="s">
        <v>213</v>
      </c>
      <c r="C444" s="583" t="s">
        <v>231</v>
      </c>
      <c r="D444" s="571"/>
      <c r="E444" s="576"/>
      <c r="F444" s="576"/>
      <c r="G444" s="577"/>
      <c r="H444" s="575"/>
      <c r="I444" s="577"/>
      <c r="J444" s="586"/>
      <c r="K444" s="578">
        <f>(M444*4+N444*2)/2</f>
        <v>12</v>
      </c>
      <c r="L444" s="578"/>
      <c r="M444" s="578">
        <v>6</v>
      </c>
      <c r="N444" s="579"/>
      <c r="O444" s="579"/>
      <c r="P444" s="579"/>
      <c r="Q444" s="579"/>
      <c r="R444" s="579"/>
      <c r="S444" s="579"/>
      <c r="T444" s="579"/>
      <c r="U444" s="575"/>
      <c r="V444" s="575">
        <v>1</v>
      </c>
      <c r="W444" s="575">
        <v>1</v>
      </c>
      <c r="X444" s="575"/>
      <c r="Y444" s="575"/>
      <c r="Z444" s="575">
        <v>2</v>
      </c>
      <c r="AA444" s="583"/>
    </row>
    <row r="445" spans="1:27" s="584" customFormat="1" x14ac:dyDescent="0.2">
      <c r="A445" s="575"/>
      <c r="B445" s="583"/>
      <c r="C445" s="583"/>
      <c r="D445" s="571"/>
      <c r="E445" s="576">
        <v>421.68400000000003</v>
      </c>
      <c r="F445" s="576">
        <f>+CEILING(E445,5)</f>
        <v>425</v>
      </c>
      <c r="G445" s="577"/>
      <c r="H445" s="575">
        <f>F445*36</f>
        <v>15300</v>
      </c>
      <c r="I445" s="577">
        <f>F445</f>
        <v>425</v>
      </c>
      <c r="J445" s="586"/>
      <c r="K445" s="578"/>
      <c r="L445" s="578"/>
      <c r="M445" s="578"/>
      <c r="N445" s="579"/>
      <c r="O445" s="579"/>
      <c r="P445" s="579"/>
      <c r="Q445" s="579"/>
      <c r="R445" s="578">
        <v>42</v>
      </c>
      <c r="S445" s="579"/>
      <c r="T445" s="579"/>
      <c r="U445" s="575"/>
      <c r="V445" s="575"/>
      <c r="W445" s="575"/>
      <c r="X445" s="575"/>
      <c r="Y445" s="575"/>
      <c r="Z445" s="575"/>
      <c r="AA445" s="583"/>
    </row>
    <row r="446" spans="1:27" s="584" customFormat="1" x14ac:dyDescent="0.2">
      <c r="A446" s="575">
        <f>A444+1</f>
        <v>220</v>
      </c>
      <c r="B446" s="583" t="s">
        <v>214</v>
      </c>
      <c r="C446" s="583" t="s">
        <v>231</v>
      </c>
      <c r="D446" s="571"/>
      <c r="E446" s="576"/>
      <c r="F446" s="576"/>
      <c r="G446" s="577"/>
      <c r="H446" s="575"/>
      <c r="I446" s="577"/>
      <c r="J446" s="586"/>
      <c r="K446" s="578">
        <f>(M446*4+N446*2)/2</f>
        <v>12</v>
      </c>
      <c r="L446" s="578"/>
      <c r="M446" s="578">
        <v>6</v>
      </c>
      <c r="N446" s="579"/>
      <c r="O446" s="579"/>
      <c r="P446" s="579"/>
      <c r="Q446" s="579"/>
      <c r="R446" s="579"/>
      <c r="S446" s="579"/>
      <c r="T446" s="579"/>
      <c r="U446" s="575"/>
      <c r="V446" s="575">
        <v>1</v>
      </c>
      <c r="W446" s="575">
        <v>1</v>
      </c>
      <c r="X446" s="575"/>
      <c r="Y446" s="575"/>
      <c r="Z446" s="575">
        <v>2</v>
      </c>
      <c r="AA446" s="583"/>
    </row>
    <row r="447" spans="1:27" s="584" customFormat="1" x14ac:dyDescent="0.2">
      <c r="A447" s="575"/>
      <c r="B447" s="583"/>
      <c r="C447" s="583"/>
      <c r="D447" s="571"/>
      <c r="E447" s="576">
        <v>342.697</v>
      </c>
      <c r="F447" s="576">
        <f>+CEILING(E447,5)</f>
        <v>345</v>
      </c>
      <c r="G447" s="577"/>
      <c r="H447" s="575">
        <f>F447*36</f>
        <v>12420</v>
      </c>
      <c r="I447" s="577">
        <f>F447</f>
        <v>345</v>
      </c>
      <c r="J447" s="582"/>
      <c r="K447" s="578"/>
      <c r="L447" s="582"/>
      <c r="M447" s="578"/>
      <c r="N447" s="575"/>
      <c r="O447" s="575"/>
      <c r="P447" s="575"/>
      <c r="Q447" s="575"/>
      <c r="R447" s="578">
        <v>36</v>
      </c>
      <c r="S447" s="575"/>
      <c r="T447" s="575"/>
      <c r="U447" s="575"/>
      <c r="V447" s="575"/>
      <c r="W447" s="575"/>
      <c r="X447" s="575"/>
      <c r="Y447" s="575"/>
      <c r="Z447" s="575"/>
      <c r="AA447" s="583"/>
    </row>
    <row r="448" spans="1:27" s="584" customFormat="1" x14ac:dyDescent="0.2">
      <c r="A448" s="575">
        <f>A446+1</f>
        <v>221</v>
      </c>
      <c r="B448" s="571" t="s">
        <v>30</v>
      </c>
      <c r="C448" s="571" t="s">
        <v>245</v>
      </c>
      <c r="D448" s="571" t="s">
        <v>1107</v>
      </c>
      <c r="E448" s="576"/>
      <c r="F448" s="576"/>
      <c r="G448" s="577"/>
      <c r="H448" s="575"/>
      <c r="I448" s="577"/>
      <c r="J448" s="578">
        <v>48</v>
      </c>
      <c r="K448" s="586"/>
      <c r="L448" s="578">
        <v>12</v>
      </c>
      <c r="M448" s="586"/>
      <c r="N448" s="580"/>
      <c r="O448" s="580"/>
      <c r="P448" s="580"/>
      <c r="Q448" s="580"/>
      <c r="R448" s="579"/>
      <c r="S448" s="575">
        <v>30</v>
      </c>
      <c r="T448" s="580"/>
      <c r="U448" s="575">
        <v>2</v>
      </c>
      <c r="V448" s="580"/>
      <c r="W448" s="575">
        <v>2</v>
      </c>
      <c r="X448" s="580"/>
      <c r="Y448" s="580"/>
      <c r="Z448" s="575">
        <v>4</v>
      </c>
      <c r="AA448" s="583"/>
    </row>
    <row r="449" spans="1:27" s="584" customFormat="1" x14ac:dyDescent="0.2">
      <c r="A449" s="575"/>
      <c r="B449" s="583"/>
      <c r="C449" s="583"/>
      <c r="D449" s="571"/>
      <c r="E449" s="576">
        <v>386.43299999999999</v>
      </c>
      <c r="F449" s="576">
        <f>+CEILING(E449,5)</f>
        <v>390</v>
      </c>
      <c r="G449" s="577"/>
      <c r="H449" s="575">
        <f>F449*36</f>
        <v>14040</v>
      </c>
      <c r="I449" s="577">
        <f>F449</f>
        <v>390</v>
      </c>
      <c r="J449" s="582"/>
      <c r="K449" s="578"/>
      <c r="L449" s="578"/>
      <c r="M449" s="578"/>
      <c r="N449" s="579"/>
      <c r="O449" s="579"/>
      <c r="P449" s="579"/>
      <c r="Q449" s="579"/>
      <c r="R449" s="578">
        <v>36</v>
      </c>
      <c r="S449" s="579"/>
      <c r="T449" s="579"/>
      <c r="U449" s="575"/>
      <c r="V449" s="575"/>
      <c r="W449" s="575"/>
      <c r="X449" s="575"/>
      <c r="Y449" s="575"/>
      <c r="Z449" s="575"/>
      <c r="AA449" s="583"/>
    </row>
    <row r="450" spans="1:27" s="584" customFormat="1" x14ac:dyDescent="0.2">
      <c r="A450" s="575">
        <f>A448+1</f>
        <v>222</v>
      </c>
      <c r="B450" s="583" t="s">
        <v>85</v>
      </c>
      <c r="C450" s="583" t="s">
        <v>231</v>
      </c>
      <c r="D450" s="571"/>
      <c r="E450" s="576"/>
      <c r="F450" s="576"/>
      <c r="G450" s="577"/>
      <c r="H450" s="575"/>
      <c r="I450" s="577"/>
      <c r="J450" s="586"/>
      <c r="K450" s="578">
        <f>(M450*4+N450*2)/2</f>
        <v>12</v>
      </c>
      <c r="L450" s="578"/>
      <c r="M450" s="578">
        <v>6</v>
      </c>
      <c r="N450" s="579"/>
      <c r="O450" s="579"/>
      <c r="P450" s="579"/>
      <c r="Q450" s="579"/>
      <c r="R450" s="579"/>
      <c r="S450" s="579"/>
      <c r="T450" s="579"/>
      <c r="U450" s="575"/>
      <c r="V450" s="575">
        <v>1</v>
      </c>
      <c r="W450" s="575">
        <v>1</v>
      </c>
      <c r="X450" s="575"/>
      <c r="Y450" s="575"/>
      <c r="Z450" s="575">
        <v>2</v>
      </c>
      <c r="AA450" s="583"/>
    </row>
    <row r="451" spans="1:27" s="584" customFormat="1" x14ac:dyDescent="0.2">
      <c r="A451" s="575"/>
      <c r="B451" s="583"/>
      <c r="C451" s="583"/>
      <c r="D451" s="571"/>
      <c r="E451" s="576">
        <v>309.428</v>
      </c>
      <c r="F451" s="576">
        <f>+CEILING(E451,5)</f>
        <v>310</v>
      </c>
      <c r="G451" s="577"/>
      <c r="H451" s="575">
        <f>F451*36</f>
        <v>11160</v>
      </c>
      <c r="I451" s="577">
        <f>F451</f>
        <v>310</v>
      </c>
      <c r="J451" s="586"/>
      <c r="K451" s="578"/>
      <c r="L451" s="578"/>
      <c r="M451" s="578"/>
      <c r="N451" s="579"/>
      <c r="O451" s="579"/>
      <c r="P451" s="579"/>
      <c r="Q451" s="579"/>
      <c r="R451" s="578">
        <v>30</v>
      </c>
      <c r="S451" s="579"/>
      <c r="T451" s="579"/>
      <c r="U451" s="575"/>
      <c r="V451" s="575"/>
      <c r="W451" s="575"/>
      <c r="X451" s="575"/>
      <c r="Y451" s="575"/>
      <c r="Z451" s="575"/>
      <c r="AA451" s="583"/>
    </row>
    <row r="452" spans="1:27" s="584" customFormat="1" x14ac:dyDescent="0.2">
      <c r="A452" s="575">
        <f>A450+1</f>
        <v>223</v>
      </c>
      <c r="B452" s="583" t="s">
        <v>86</v>
      </c>
      <c r="C452" s="583" t="s">
        <v>231</v>
      </c>
      <c r="D452" s="571"/>
      <c r="E452" s="576"/>
      <c r="F452" s="576"/>
      <c r="G452" s="577"/>
      <c r="H452" s="575"/>
      <c r="I452" s="577"/>
      <c r="J452" s="586"/>
      <c r="K452" s="578">
        <f>(M452*4+N452*2)/2</f>
        <v>12</v>
      </c>
      <c r="L452" s="578"/>
      <c r="M452" s="578">
        <v>6</v>
      </c>
      <c r="N452" s="579"/>
      <c r="O452" s="579"/>
      <c r="P452" s="579"/>
      <c r="Q452" s="579"/>
      <c r="R452" s="579"/>
      <c r="S452" s="579"/>
      <c r="T452" s="579"/>
      <c r="U452" s="575"/>
      <c r="V452" s="575">
        <v>1</v>
      </c>
      <c r="W452" s="575">
        <v>1</v>
      </c>
      <c r="X452" s="575"/>
      <c r="Y452" s="575"/>
      <c r="Z452" s="575">
        <v>2</v>
      </c>
      <c r="AA452" s="583"/>
    </row>
    <row r="453" spans="1:27" s="584" customFormat="1" x14ac:dyDescent="0.2">
      <c r="A453" s="575"/>
      <c r="B453" s="583"/>
      <c r="C453" s="583"/>
      <c r="D453" s="571"/>
      <c r="E453" s="576">
        <v>357.80900000000003</v>
      </c>
      <c r="F453" s="576">
        <f>+CEILING(E453,5)</f>
        <v>360</v>
      </c>
      <c r="G453" s="577"/>
      <c r="H453" s="575">
        <f>F453*36</f>
        <v>12960</v>
      </c>
      <c r="I453" s="577">
        <f>F453</f>
        <v>360</v>
      </c>
      <c r="J453" s="586"/>
      <c r="K453" s="578"/>
      <c r="L453" s="578"/>
      <c r="M453" s="578"/>
      <c r="N453" s="579"/>
      <c r="O453" s="579"/>
      <c r="P453" s="579"/>
      <c r="Q453" s="579"/>
      <c r="R453" s="578">
        <v>36</v>
      </c>
      <c r="S453" s="579"/>
      <c r="T453" s="579"/>
      <c r="U453" s="575"/>
      <c r="V453" s="575"/>
      <c r="W453" s="575"/>
      <c r="X453" s="575"/>
      <c r="Y453" s="575"/>
      <c r="Z453" s="575"/>
      <c r="AA453" s="583"/>
    </row>
    <row r="454" spans="1:27" s="584" customFormat="1" x14ac:dyDescent="0.2">
      <c r="A454" s="575">
        <f>A452+1</f>
        <v>224</v>
      </c>
      <c r="B454" s="583" t="s">
        <v>87</v>
      </c>
      <c r="C454" s="583" t="s">
        <v>231</v>
      </c>
      <c r="D454" s="571"/>
      <c r="E454" s="576"/>
      <c r="F454" s="576"/>
      <c r="G454" s="577"/>
      <c r="H454" s="575"/>
      <c r="I454" s="577"/>
      <c r="J454" s="586"/>
      <c r="K454" s="578">
        <f>(M454*4+N454*2)/2</f>
        <v>12</v>
      </c>
      <c r="L454" s="578"/>
      <c r="M454" s="578">
        <v>6</v>
      </c>
      <c r="N454" s="579"/>
      <c r="O454" s="579"/>
      <c r="P454" s="579"/>
      <c r="Q454" s="579"/>
      <c r="R454" s="579"/>
      <c r="S454" s="579"/>
      <c r="T454" s="579"/>
      <c r="U454" s="575"/>
      <c r="V454" s="575">
        <v>1</v>
      </c>
      <c r="W454" s="575">
        <v>1</v>
      </c>
      <c r="X454" s="575"/>
      <c r="Y454" s="575"/>
      <c r="Z454" s="575">
        <v>2</v>
      </c>
      <c r="AA454" s="583"/>
    </row>
    <row r="455" spans="1:27" s="584" customFormat="1" x14ac:dyDescent="0.2">
      <c r="A455" s="575"/>
      <c r="B455" s="583"/>
      <c r="C455" s="583"/>
      <c r="D455" s="571"/>
      <c r="E455" s="576">
        <v>480.43900000000002</v>
      </c>
      <c r="F455" s="576">
        <f>+CEILING(E455,5)</f>
        <v>485</v>
      </c>
      <c r="G455" s="577"/>
      <c r="H455" s="575">
        <f>F455*36</f>
        <v>17460</v>
      </c>
      <c r="I455" s="577">
        <f>F455</f>
        <v>485</v>
      </c>
      <c r="J455" s="586"/>
      <c r="K455" s="578"/>
      <c r="L455" s="578"/>
      <c r="M455" s="578"/>
      <c r="N455" s="579"/>
      <c r="O455" s="579"/>
      <c r="P455" s="579"/>
      <c r="Q455" s="579"/>
      <c r="R455" s="578">
        <v>48</v>
      </c>
      <c r="S455" s="579"/>
      <c r="T455" s="579"/>
      <c r="U455" s="575"/>
      <c r="V455" s="575"/>
      <c r="W455" s="575"/>
      <c r="X455" s="575"/>
      <c r="Y455" s="575"/>
      <c r="Z455" s="575"/>
      <c r="AA455" s="583"/>
    </row>
    <row r="456" spans="1:27" s="584" customFormat="1" x14ac:dyDescent="0.2">
      <c r="A456" s="575">
        <f>A454+1</f>
        <v>225</v>
      </c>
      <c r="B456" s="583" t="s">
        <v>215</v>
      </c>
      <c r="C456" s="583" t="s">
        <v>232</v>
      </c>
      <c r="D456" s="571"/>
      <c r="E456" s="576"/>
      <c r="F456" s="576"/>
      <c r="G456" s="577"/>
      <c r="H456" s="575"/>
      <c r="I456" s="577"/>
      <c r="J456" s="586"/>
      <c r="K456" s="578">
        <f>(M456*4+N456*2)/2</f>
        <v>12</v>
      </c>
      <c r="L456" s="578"/>
      <c r="M456" s="578">
        <v>6</v>
      </c>
      <c r="N456" s="579"/>
      <c r="O456" s="579"/>
      <c r="P456" s="579"/>
      <c r="Q456" s="579"/>
      <c r="R456" s="579"/>
      <c r="S456" s="579"/>
      <c r="T456" s="579"/>
      <c r="U456" s="575"/>
      <c r="V456" s="575">
        <v>1</v>
      </c>
      <c r="W456" s="575">
        <v>1</v>
      </c>
      <c r="X456" s="575"/>
      <c r="Y456" s="575"/>
      <c r="Z456" s="575">
        <v>2</v>
      </c>
      <c r="AA456" s="583"/>
    </row>
    <row r="457" spans="1:27" s="584" customFormat="1" x14ac:dyDescent="0.2">
      <c r="A457" s="575"/>
      <c r="B457" s="583"/>
      <c r="C457" s="583"/>
      <c r="D457" s="571"/>
      <c r="E457" s="576">
        <v>350.46800000000002</v>
      </c>
      <c r="F457" s="576">
        <f>+CEILING(E457,5)</f>
        <v>355</v>
      </c>
      <c r="G457" s="577"/>
      <c r="H457" s="575">
        <f>F457*36</f>
        <v>12780</v>
      </c>
      <c r="I457" s="577">
        <f>F457</f>
        <v>355</v>
      </c>
      <c r="J457" s="586"/>
      <c r="K457" s="578"/>
      <c r="L457" s="578"/>
      <c r="M457" s="578"/>
      <c r="N457" s="579"/>
      <c r="O457" s="579"/>
      <c r="P457" s="579"/>
      <c r="Q457" s="579"/>
      <c r="R457" s="578">
        <v>36</v>
      </c>
      <c r="S457" s="579"/>
      <c r="T457" s="579"/>
      <c r="U457" s="575"/>
      <c r="V457" s="575"/>
      <c r="W457" s="575"/>
      <c r="X457" s="575"/>
      <c r="Y457" s="575"/>
      <c r="Z457" s="575"/>
      <c r="AA457" s="583"/>
    </row>
    <row r="458" spans="1:27" s="584" customFormat="1" x14ac:dyDescent="0.2">
      <c r="A458" s="575">
        <f>A456+1</f>
        <v>226</v>
      </c>
      <c r="B458" s="571" t="s">
        <v>88</v>
      </c>
      <c r="C458" s="571" t="s">
        <v>245</v>
      </c>
      <c r="D458" s="571" t="s">
        <v>1108</v>
      </c>
      <c r="E458" s="576"/>
      <c r="F458" s="576"/>
      <c r="G458" s="577"/>
      <c r="H458" s="575"/>
      <c r="I458" s="577"/>
      <c r="J458" s="578">
        <v>48</v>
      </c>
      <c r="K458" s="586"/>
      <c r="L458" s="578">
        <v>12</v>
      </c>
      <c r="M458" s="586"/>
      <c r="N458" s="580"/>
      <c r="O458" s="580"/>
      <c r="P458" s="580"/>
      <c r="Q458" s="580"/>
      <c r="R458" s="579"/>
      <c r="S458" s="575">
        <v>30</v>
      </c>
      <c r="T458" s="580"/>
      <c r="U458" s="575">
        <v>2</v>
      </c>
      <c r="V458" s="580"/>
      <c r="W458" s="575">
        <v>2</v>
      </c>
      <c r="X458" s="580"/>
      <c r="Y458" s="580"/>
      <c r="Z458" s="575">
        <v>4</v>
      </c>
      <c r="AA458" s="583"/>
    </row>
    <row r="459" spans="1:27" s="584" customFormat="1" x14ac:dyDescent="0.2">
      <c r="A459" s="575"/>
      <c r="B459" s="583"/>
      <c r="C459" s="583"/>
      <c r="D459" s="571"/>
      <c r="E459" s="576">
        <v>443.286</v>
      </c>
      <c r="F459" s="576">
        <f>+CEILING(E459,5)</f>
        <v>445</v>
      </c>
      <c r="G459" s="577"/>
      <c r="H459" s="575">
        <f>F459*36</f>
        <v>16020</v>
      </c>
      <c r="I459" s="577">
        <f>F459</f>
        <v>445</v>
      </c>
      <c r="J459" s="586"/>
      <c r="K459" s="578"/>
      <c r="L459" s="578"/>
      <c r="M459" s="578"/>
      <c r="N459" s="579"/>
      <c r="O459" s="579"/>
      <c r="P459" s="579"/>
      <c r="Q459" s="579"/>
      <c r="R459" s="578">
        <v>42</v>
      </c>
      <c r="S459" s="579"/>
      <c r="T459" s="579"/>
      <c r="U459" s="575"/>
      <c r="V459" s="575"/>
      <c r="W459" s="575"/>
      <c r="X459" s="575"/>
      <c r="Y459" s="575"/>
      <c r="Z459" s="575"/>
      <c r="AA459" s="583"/>
    </row>
    <row r="460" spans="1:27" s="584" customFormat="1" x14ac:dyDescent="0.2">
      <c r="A460" s="575">
        <f>A458+1</f>
        <v>227</v>
      </c>
      <c r="B460" s="583" t="s">
        <v>534</v>
      </c>
      <c r="C460" s="583" t="s">
        <v>233</v>
      </c>
      <c r="D460" s="571"/>
      <c r="E460" s="576"/>
      <c r="F460" s="576"/>
      <c r="G460" s="577"/>
      <c r="H460" s="575"/>
      <c r="I460" s="577"/>
      <c r="J460" s="586"/>
      <c r="K460" s="578">
        <f>(M460*4+N460*2)/2</f>
        <v>12</v>
      </c>
      <c r="L460" s="578"/>
      <c r="M460" s="578">
        <v>6</v>
      </c>
      <c r="N460" s="579"/>
      <c r="O460" s="579"/>
      <c r="P460" s="579"/>
      <c r="Q460" s="579"/>
      <c r="R460" s="579"/>
      <c r="S460" s="579"/>
      <c r="T460" s="579"/>
      <c r="U460" s="575"/>
      <c r="V460" s="575">
        <v>1</v>
      </c>
      <c r="W460" s="575">
        <v>1</v>
      </c>
      <c r="X460" s="575"/>
      <c r="Y460" s="575"/>
      <c r="Z460" s="575">
        <v>2</v>
      </c>
      <c r="AA460" s="583"/>
    </row>
    <row r="461" spans="1:27" s="584" customFormat="1" x14ac:dyDescent="0.2">
      <c r="A461" s="575"/>
      <c r="B461" s="583"/>
      <c r="C461" s="583"/>
      <c r="D461" s="571"/>
      <c r="E461" s="576">
        <v>356.66500000000002</v>
      </c>
      <c r="F461" s="576">
        <f>+CEILING(E461,5)</f>
        <v>360</v>
      </c>
      <c r="G461" s="577"/>
      <c r="H461" s="575">
        <f>F461*36</f>
        <v>12960</v>
      </c>
      <c r="I461" s="577">
        <f>F461</f>
        <v>360</v>
      </c>
      <c r="J461" s="582"/>
      <c r="K461" s="582"/>
      <c r="L461" s="582"/>
      <c r="M461" s="582"/>
      <c r="N461" s="575"/>
      <c r="O461" s="575"/>
      <c r="P461" s="575"/>
      <c r="Q461" s="575"/>
      <c r="R461" s="578">
        <v>36</v>
      </c>
      <c r="S461" s="579"/>
      <c r="T461" s="575"/>
      <c r="U461" s="575"/>
      <c r="V461" s="575"/>
      <c r="W461" s="575"/>
      <c r="X461" s="575"/>
      <c r="Y461" s="575"/>
      <c r="Z461" s="575"/>
      <c r="AA461" s="583"/>
    </row>
    <row r="462" spans="1:27" s="584" customFormat="1" x14ac:dyDescent="0.2">
      <c r="A462" s="575">
        <f>A460+1</f>
        <v>228</v>
      </c>
      <c r="B462" s="583" t="s">
        <v>216</v>
      </c>
      <c r="C462" s="583" t="s">
        <v>20</v>
      </c>
      <c r="D462" s="571"/>
      <c r="E462" s="576"/>
      <c r="F462" s="576"/>
      <c r="G462" s="577"/>
      <c r="H462" s="575"/>
      <c r="I462" s="577"/>
      <c r="J462" s="586"/>
      <c r="K462" s="578">
        <f>(M462*4+N462*2)/2</f>
        <v>12</v>
      </c>
      <c r="L462" s="578"/>
      <c r="M462" s="578">
        <v>6</v>
      </c>
      <c r="N462" s="579"/>
      <c r="O462" s="579"/>
      <c r="P462" s="579"/>
      <c r="Q462" s="579"/>
      <c r="R462" s="579"/>
      <c r="S462" s="579"/>
      <c r="T462" s="579"/>
      <c r="U462" s="575"/>
      <c r="V462" s="575">
        <v>1</v>
      </c>
      <c r="W462" s="575">
        <v>1</v>
      </c>
      <c r="X462" s="575"/>
      <c r="Y462" s="575"/>
      <c r="Z462" s="575">
        <v>2</v>
      </c>
      <c r="AA462" s="583"/>
    </row>
    <row r="463" spans="1:27" s="584" customFormat="1" x14ac:dyDescent="0.2">
      <c r="A463" s="575"/>
      <c r="B463" s="583"/>
      <c r="C463" s="583"/>
      <c r="D463" s="571"/>
      <c r="E463" s="576">
        <v>339.87799999999999</v>
      </c>
      <c r="F463" s="576">
        <f>+CEILING(E463,5)</f>
        <v>340</v>
      </c>
      <c r="G463" s="577"/>
      <c r="H463" s="575">
        <f>F463*36</f>
        <v>12240</v>
      </c>
      <c r="I463" s="577">
        <f>F463</f>
        <v>340</v>
      </c>
      <c r="J463" s="582"/>
      <c r="K463" s="578"/>
      <c r="L463" s="582"/>
      <c r="M463" s="578"/>
      <c r="N463" s="575"/>
      <c r="O463" s="575"/>
      <c r="P463" s="575"/>
      <c r="Q463" s="575"/>
      <c r="R463" s="578">
        <v>36</v>
      </c>
      <c r="S463" s="575"/>
      <c r="T463" s="575"/>
      <c r="U463" s="575"/>
      <c r="V463" s="575"/>
      <c r="W463" s="575"/>
      <c r="X463" s="575"/>
      <c r="Y463" s="575"/>
      <c r="Z463" s="575"/>
      <c r="AA463" s="583"/>
    </row>
    <row r="464" spans="1:27" s="584" customFormat="1" x14ac:dyDescent="0.2">
      <c r="A464" s="575">
        <f>A462+1</f>
        <v>229</v>
      </c>
      <c r="B464" s="583" t="s">
        <v>650</v>
      </c>
      <c r="C464" s="583" t="s">
        <v>231</v>
      </c>
      <c r="D464" s="571"/>
      <c r="E464" s="576"/>
      <c r="F464" s="576"/>
      <c r="G464" s="577"/>
      <c r="H464" s="575"/>
      <c r="I464" s="577"/>
      <c r="J464" s="586"/>
      <c r="K464" s="578">
        <f>(M464*4+N464*2)/2</f>
        <v>12</v>
      </c>
      <c r="L464" s="578"/>
      <c r="M464" s="578">
        <v>6</v>
      </c>
      <c r="N464" s="579"/>
      <c r="O464" s="579"/>
      <c r="P464" s="579"/>
      <c r="Q464" s="579"/>
      <c r="R464" s="579"/>
      <c r="S464" s="579"/>
      <c r="T464" s="579"/>
      <c r="U464" s="575"/>
      <c r="V464" s="575">
        <v>1</v>
      </c>
      <c r="W464" s="575">
        <v>1</v>
      </c>
      <c r="X464" s="575"/>
      <c r="Y464" s="575"/>
      <c r="Z464" s="575">
        <v>2</v>
      </c>
      <c r="AA464" s="583"/>
    </row>
    <row r="465" spans="1:27" s="584" customFormat="1" x14ac:dyDescent="0.2">
      <c r="A465" s="575"/>
      <c r="B465" s="583"/>
      <c r="C465" s="583"/>
      <c r="D465" s="571"/>
      <c r="E465" s="576">
        <v>500.279</v>
      </c>
      <c r="F465" s="576">
        <f>+CEILING(E465,5)</f>
        <v>505</v>
      </c>
      <c r="G465" s="577"/>
      <c r="H465" s="575">
        <f>F465*36</f>
        <v>18180</v>
      </c>
      <c r="I465" s="577">
        <f>F465</f>
        <v>505</v>
      </c>
      <c r="J465" s="582"/>
      <c r="K465" s="578"/>
      <c r="L465" s="578"/>
      <c r="M465" s="578"/>
      <c r="N465" s="579"/>
      <c r="O465" s="579"/>
      <c r="P465" s="579"/>
      <c r="Q465" s="579"/>
      <c r="R465" s="578">
        <v>48</v>
      </c>
      <c r="S465" s="579"/>
      <c r="T465" s="579"/>
      <c r="U465" s="575"/>
      <c r="V465" s="575"/>
      <c r="W465" s="575"/>
      <c r="X465" s="575"/>
      <c r="Y465" s="575"/>
      <c r="Z465" s="575"/>
      <c r="AA465" s="583"/>
    </row>
    <row r="466" spans="1:27" s="584" customFormat="1" x14ac:dyDescent="0.2">
      <c r="A466" s="575">
        <f>A464+1</f>
        <v>230</v>
      </c>
      <c r="B466" s="571" t="s">
        <v>535</v>
      </c>
      <c r="C466" s="571" t="s">
        <v>234</v>
      </c>
      <c r="D466" s="571" t="s">
        <v>1109</v>
      </c>
      <c r="E466" s="576"/>
      <c r="F466" s="576"/>
      <c r="G466" s="577"/>
      <c r="H466" s="575"/>
      <c r="I466" s="577"/>
      <c r="J466" s="578">
        <v>48</v>
      </c>
      <c r="K466" s="586"/>
      <c r="L466" s="578">
        <v>12</v>
      </c>
      <c r="M466" s="586"/>
      <c r="N466" s="580"/>
      <c r="O466" s="580"/>
      <c r="P466" s="580"/>
      <c r="Q466" s="580"/>
      <c r="R466" s="579"/>
      <c r="S466" s="575">
        <v>30</v>
      </c>
      <c r="T466" s="580"/>
      <c r="U466" s="575">
        <v>2</v>
      </c>
      <c r="V466" s="580"/>
      <c r="W466" s="575">
        <v>2</v>
      </c>
      <c r="X466" s="580"/>
      <c r="Y466" s="580"/>
      <c r="Z466" s="575">
        <v>4</v>
      </c>
      <c r="AA466" s="583"/>
    </row>
    <row r="467" spans="1:27" s="584" customFormat="1" x14ac:dyDescent="0.2">
      <c r="A467" s="575"/>
      <c r="B467" s="583"/>
      <c r="C467" s="583"/>
      <c r="D467" s="571"/>
      <c r="E467" s="576">
        <v>421.44200000000001</v>
      </c>
      <c r="F467" s="576">
        <f>+CEILING(E467,5)</f>
        <v>425</v>
      </c>
      <c r="G467" s="577"/>
      <c r="H467" s="575">
        <f>F467*36</f>
        <v>15300</v>
      </c>
      <c r="I467" s="577">
        <f>F467</f>
        <v>425</v>
      </c>
      <c r="J467" s="586"/>
      <c r="K467" s="578"/>
      <c r="L467" s="578"/>
      <c r="M467" s="578"/>
      <c r="N467" s="579"/>
      <c r="O467" s="579"/>
      <c r="P467" s="579"/>
      <c r="Q467" s="579"/>
      <c r="R467" s="578">
        <v>42</v>
      </c>
      <c r="S467" s="579"/>
      <c r="T467" s="579"/>
      <c r="U467" s="575"/>
      <c r="V467" s="575"/>
      <c r="W467" s="575"/>
      <c r="X467" s="575"/>
      <c r="Y467" s="575"/>
      <c r="Z467" s="575"/>
      <c r="AA467" s="583"/>
    </row>
    <row r="468" spans="1:27" s="584" customFormat="1" x14ac:dyDescent="0.2">
      <c r="A468" s="575">
        <f>A466+1</f>
        <v>231</v>
      </c>
      <c r="B468" s="583" t="s">
        <v>536</v>
      </c>
      <c r="C468" s="583" t="s">
        <v>231</v>
      </c>
      <c r="D468" s="571"/>
      <c r="E468" s="576"/>
      <c r="F468" s="576"/>
      <c r="G468" s="577"/>
      <c r="H468" s="575"/>
      <c r="I468" s="577"/>
      <c r="J468" s="586"/>
      <c r="K468" s="578">
        <f>(M468*4+N468*2)/2</f>
        <v>12</v>
      </c>
      <c r="L468" s="578"/>
      <c r="M468" s="578">
        <v>6</v>
      </c>
      <c r="N468" s="579"/>
      <c r="O468" s="579"/>
      <c r="P468" s="579"/>
      <c r="Q468" s="579"/>
      <c r="R468" s="579"/>
      <c r="S468" s="579"/>
      <c r="T468" s="579"/>
      <c r="U468" s="575"/>
      <c r="V468" s="575">
        <v>1</v>
      </c>
      <c r="W468" s="575">
        <v>1</v>
      </c>
      <c r="X468" s="575"/>
      <c r="Y468" s="575"/>
      <c r="Z468" s="575">
        <v>2</v>
      </c>
      <c r="AA468" s="583"/>
    </row>
    <row r="469" spans="1:27" s="584" customFormat="1" x14ac:dyDescent="0.2">
      <c r="A469" s="575"/>
      <c r="B469" s="583"/>
      <c r="C469" s="583"/>
      <c r="D469" s="571"/>
      <c r="E469" s="576">
        <v>419.024</v>
      </c>
      <c r="F469" s="576">
        <f>+CEILING(E469,5)</f>
        <v>420</v>
      </c>
      <c r="G469" s="577"/>
      <c r="H469" s="575">
        <f>F469*36</f>
        <v>15120</v>
      </c>
      <c r="I469" s="577">
        <f>F469</f>
        <v>420</v>
      </c>
      <c r="J469" s="586"/>
      <c r="K469" s="578"/>
      <c r="L469" s="578"/>
      <c r="M469" s="578"/>
      <c r="N469" s="579"/>
      <c r="O469" s="579"/>
      <c r="P469" s="579"/>
      <c r="Q469" s="579"/>
      <c r="R469" s="578">
        <v>42</v>
      </c>
      <c r="S469" s="579"/>
      <c r="T469" s="579"/>
      <c r="U469" s="575"/>
      <c r="V469" s="575"/>
      <c r="W469" s="575"/>
      <c r="X469" s="575"/>
      <c r="Y469" s="575"/>
      <c r="Z469" s="575"/>
      <c r="AA469" s="583"/>
    </row>
    <row r="470" spans="1:27" s="584" customFormat="1" x14ac:dyDescent="0.2">
      <c r="A470" s="575">
        <f>A468+1</f>
        <v>232</v>
      </c>
      <c r="B470" s="583" t="s">
        <v>537</v>
      </c>
      <c r="C470" s="583" t="s">
        <v>232</v>
      </c>
      <c r="D470" s="571"/>
      <c r="E470" s="576"/>
      <c r="F470" s="576"/>
      <c r="G470" s="577"/>
      <c r="H470" s="575"/>
      <c r="I470" s="577"/>
      <c r="J470" s="586"/>
      <c r="K470" s="578">
        <f>(M470*4+N470*2)/2</f>
        <v>12</v>
      </c>
      <c r="L470" s="578"/>
      <c r="M470" s="578">
        <v>6</v>
      </c>
      <c r="N470" s="579"/>
      <c r="O470" s="579"/>
      <c r="P470" s="579"/>
      <c r="Q470" s="579"/>
      <c r="R470" s="579"/>
      <c r="S470" s="579"/>
      <c r="T470" s="579"/>
      <c r="U470" s="575"/>
      <c r="V470" s="575">
        <v>1</v>
      </c>
      <c r="W470" s="575">
        <v>1</v>
      </c>
      <c r="X470" s="575"/>
      <c r="Y470" s="575"/>
      <c r="Z470" s="575">
        <v>2</v>
      </c>
      <c r="AA470" s="583"/>
    </row>
    <row r="471" spans="1:27" s="584" customFormat="1" x14ac:dyDescent="0.2">
      <c r="A471" s="575"/>
      <c r="B471" s="583"/>
      <c r="C471" s="583"/>
      <c r="D471" s="571"/>
      <c r="E471" s="576">
        <v>420.32900000000001</v>
      </c>
      <c r="F471" s="576">
        <f>+CEILING(E471,5)</f>
        <v>425</v>
      </c>
      <c r="G471" s="577"/>
      <c r="H471" s="575">
        <f>F471*36</f>
        <v>15300</v>
      </c>
      <c r="I471" s="577">
        <f>F471</f>
        <v>425</v>
      </c>
      <c r="J471" s="582"/>
      <c r="K471" s="578"/>
      <c r="L471" s="582"/>
      <c r="M471" s="578"/>
      <c r="N471" s="575"/>
      <c r="O471" s="575"/>
      <c r="P471" s="575"/>
      <c r="Q471" s="575"/>
      <c r="R471" s="578">
        <v>42</v>
      </c>
      <c r="S471" s="575"/>
      <c r="T471" s="575"/>
      <c r="U471" s="575"/>
      <c r="V471" s="575"/>
      <c r="W471" s="575"/>
      <c r="X471" s="575"/>
      <c r="Y471" s="575"/>
      <c r="Z471" s="575"/>
      <c r="AA471" s="583"/>
    </row>
    <row r="472" spans="1:27" s="584" customFormat="1" x14ac:dyDescent="0.2">
      <c r="A472" s="575">
        <f>A470+1</f>
        <v>233</v>
      </c>
      <c r="B472" s="583" t="s">
        <v>538</v>
      </c>
      <c r="C472" s="583" t="s">
        <v>233</v>
      </c>
      <c r="D472" s="571"/>
      <c r="E472" s="576"/>
      <c r="F472" s="576"/>
      <c r="G472" s="577"/>
      <c r="H472" s="575"/>
      <c r="I472" s="577"/>
      <c r="J472" s="586"/>
      <c r="K472" s="578">
        <f>(M472*4+N472*2)/2</f>
        <v>12</v>
      </c>
      <c r="L472" s="578"/>
      <c r="M472" s="578">
        <v>6</v>
      </c>
      <c r="N472" s="579"/>
      <c r="O472" s="579"/>
      <c r="P472" s="579"/>
      <c r="Q472" s="579"/>
      <c r="R472" s="579"/>
      <c r="S472" s="579"/>
      <c r="T472" s="579"/>
      <c r="U472" s="575"/>
      <c r="V472" s="575">
        <v>1</v>
      </c>
      <c r="W472" s="575">
        <v>1</v>
      </c>
      <c r="X472" s="575"/>
      <c r="Y472" s="575"/>
      <c r="Z472" s="575">
        <v>2</v>
      </c>
      <c r="AA472" s="583"/>
    </row>
    <row r="473" spans="1:27" s="584" customFormat="1" x14ac:dyDescent="0.2">
      <c r="A473" s="575"/>
      <c r="B473" s="583"/>
      <c r="C473" s="583"/>
      <c r="D473" s="571"/>
      <c r="E473" s="576">
        <v>414.89499999999998</v>
      </c>
      <c r="F473" s="576">
        <f>+CEILING(E473,5)</f>
        <v>415</v>
      </c>
      <c r="G473" s="577"/>
      <c r="H473" s="575">
        <f>F473*36</f>
        <v>14940</v>
      </c>
      <c r="I473" s="577">
        <f>F473</f>
        <v>415</v>
      </c>
      <c r="J473" s="582"/>
      <c r="K473" s="578"/>
      <c r="L473" s="578"/>
      <c r="M473" s="578"/>
      <c r="N473" s="579"/>
      <c r="O473" s="579"/>
      <c r="P473" s="579"/>
      <c r="Q473" s="579"/>
      <c r="R473" s="578">
        <v>42</v>
      </c>
      <c r="S473" s="579"/>
      <c r="T473" s="579"/>
      <c r="U473" s="575"/>
      <c r="V473" s="575"/>
      <c r="W473" s="575"/>
      <c r="X473" s="575"/>
      <c r="Y473" s="575"/>
      <c r="Z473" s="575"/>
      <c r="AA473" s="583"/>
    </row>
    <row r="474" spans="1:27" s="584" customFormat="1" x14ac:dyDescent="0.2">
      <c r="A474" s="575">
        <f>A472+1</f>
        <v>234</v>
      </c>
      <c r="B474" s="583" t="s">
        <v>539</v>
      </c>
      <c r="C474" s="583" t="s">
        <v>233</v>
      </c>
      <c r="D474" s="571"/>
      <c r="E474" s="576"/>
      <c r="F474" s="576"/>
      <c r="G474" s="577"/>
      <c r="H474" s="575"/>
      <c r="I474" s="577"/>
      <c r="J474" s="586"/>
      <c r="K474" s="578">
        <f>(M474*4+N474*2)/2</f>
        <v>12</v>
      </c>
      <c r="L474" s="578"/>
      <c r="M474" s="578">
        <v>6</v>
      </c>
      <c r="N474" s="579"/>
      <c r="O474" s="579"/>
      <c r="P474" s="579"/>
      <c r="Q474" s="579"/>
      <c r="R474" s="579"/>
      <c r="S474" s="579"/>
      <c r="T474" s="579"/>
      <c r="U474" s="575"/>
      <c r="V474" s="575">
        <v>1</v>
      </c>
      <c r="W474" s="575">
        <v>1</v>
      </c>
      <c r="X474" s="575"/>
      <c r="Y474" s="575"/>
      <c r="Z474" s="575">
        <v>2</v>
      </c>
      <c r="AA474" s="583"/>
    </row>
    <row r="475" spans="1:27" s="584" customFormat="1" x14ac:dyDescent="0.2">
      <c r="A475" s="575"/>
      <c r="B475" s="583"/>
      <c r="C475" s="583"/>
      <c r="D475" s="571"/>
      <c r="E475" s="576">
        <v>425.48899999999998</v>
      </c>
      <c r="F475" s="576">
        <f>+CEILING(E475,5)</f>
        <v>430</v>
      </c>
      <c r="G475" s="577"/>
      <c r="H475" s="575">
        <f>F475*36</f>
        <v>15480</v>
      </c>
      <c r="I475" s="577">
        <f>F475</f>
        <v>430</v>
      </c>
      <c r="J475" s="586"/>
      <c r="K475" s="578"/>
      <c r="L475" s="578"/>
      <c r="M475" s="578"/>
      <c r="N475" s="579"/>
      <c r="O475" s="579"/>
      <c r="P475" s="579"/>
      <c r="Q475" s="579"/>
      <c r="R475" s="578">
        <v>42</v>
      </c>
      <c r="S475" s="579"/>
      <c r="T475" s="579"/>
      <c r="U475" s="575"/>
      <c r="V475" s="575"/>
      <c r="W475" s="575"/>
      <c r="X475" s="575"/>
      <c r="Y475" s="575"/>
      <c r="Z475" s="575"/>
      <c r="AA475" s="583"/>
    </row>
    <row r="476" spans="1:27" s="584" customFormat="1" x14ac:dyDescent="0.2">
      <c r="A476" s="575">
        <f>A474+1</f>
        <v>235</v>
      </c>
      <c r="B476" s="571" t="s">
        <v>540</v>
      </c>
      <c r="C476" s="571" t="s">
        <v>234</v>
      </c>
      <c r="D476" s="571" t="s">
        <v>1110</v>
      </c>
      <c r="E476" s="576"/>
      <c r="F476" s="576"/>
      <c r="G476" s="577"/>
      <c r="H476" s="575"/>
      <c r="I476" s="577"/>
      <c r="J476" s="578">
        <v>48</v>
      </c>
      <c r="K476" s="586"/>
      <c r="L476" s="578">
        <v>12</v>
      </c>
      <c r="M476" s="586"/>
      <c r="N476" s="580"/>
      <c r="O476" s="580"/>
      <c r="P476" s="580"/>
      <c r="Q476" s="580"/>
      <c r="R476" s="579"/>
      <c r="S476" s="575">
        <v>30</v>
      </c>
      <c r="T476" s="580"/>
      <c r="U476" s="575">
        <v>2</v>
      </c>
      <c r="V476" s="580"/>
      <c r="W476" s="575">
        <v>2</v>
      </c>
      <c r="X476" s="580"/>
      <c r="Y476" s="580"/>
      <c r="Z476" s="575">
        <v>4</v>
      </c>
      <c r="AA476" s="583"/>
    </row>
    <row r="477" spans="1:27" s="584" customFormat="1" x14ac:dyDescent="0.2">
      <c r="A477" s="575"/>
      <c r="B477" s="583"/>
      <c r="C477" s="583"/>
      <c r="D477" s="571"/>
      <c r="E477" s="576">
        <v>412.63900000000001</v>
      </c>
      <c r="F477" s="576">
        <f>+CEILING(E477,5)</f>
        <v>415</v>
      </c>
      <c r="G477" s="577"/>
      <c r="H477" s="575">
        <f>F477*36</f>
        <v>14940</v>
      </c>
      <c r="I477" s="577">
        <f>F477</f>
        <v>415</v>
      </c>
      <c r="J477" s="586"/>
      <c r="K477" s="578"/>
      <c r="L477" s="578"/>
      <c r="M477" s="578"/>
      <c r="N477" s="579"/>
      <c r="O477" s="579"/>
      <c r="P477" s="579"/>
      <c r="Q477" s="579"/>
      <c r="R477" s="578">
        <v>42</v>
      </c>
      <c r="S477" s="579"/>
      <c r="T477" s="579"/>
      <c r="U477" s="575"/>
      <c r="V477" s="575"/>
      <c r="W477" s="575"/>
      <c r="X477" s="575"/>
      <c r="Y477" s="575"/>
      <c r="Z477" s="575"/>
      <c r="AA477" s="583"/>
    </row>
    <row r="478" spans="1:27" s="584" customFormat="1" x14ac:dyDescent="0.2">
      <c r="A478" s="575">
        <f>A476+1</f>
        <v>236</v>
      </c>
      <c r="B478" s="583" t="s">
        <v>541</v>
      </c>
      <c r="C478" s="583" t="s">
        <v>231</v>
      </c>
      <c r="D478" s="571"/>
      <c r="E478" s="576"/>
      <c r="F478" s="576"/>
      <c r="G478" s="577"/>
      <c r="H478" s="575"/>
      <c r="I478" s="577"/>
      <c r="J478" s="586"/>
      <c r="K478" s="578">
        <f>(M478*4+N478*2)/2</f>
        <v>12</v>
      </c>
      <c r="L478" s="578"/>
      <c r="M478" s="578">
        <v>6</v>
      </c>
      <c r="N478" s="579"/>
      <c r="O478" s="579"/>
      <c r="P478" s="579"/>
      <c r="Q478" s="579"/>
      <c r="R478" s="579"/>
      <c r="S478" s="579"/>
      <c r="T478" s="579"/>
      <c r="U478" s="575"/>
      <c r="V478" s="575">
        <v>1</v>
      </c>
      <c r="W478" s="575">
        <v>1</v>
      </c>
      <c r="X478" s="575"/>
      <c r="Y478" s="575"/>
      <c r="Z478" s="575">
        <v>2</v>
      </c>
      <c r="AA478" s="583"/>
    </row>
    <row r="479" spans="1:27" s="584" customFormat="1" x14ac:dyDescent="0.2">
      <c r="A479" s="575"/>
      <c r="B479" s="583"/>
      <c r="C479" s="583"/>
      <c r="D479" s="571"/>
      <c r="E479" s="576">
        <v>322.55399999999997</v>
      </c>
      <c r="F479" s="576">
        <f>+CEILING(E479,5)</f>
        <v>325</v>
      </c>
      <c r="G479" s="577"/>
      <c r="H479" s="575">
        <f>F479*36</f>
        <v>11700</v>
      </c>
      <c r="I479" s="577">
        <f>F479</f>
        <v>325</v>
      </c>
      <c r="J479" s="586"/>
      <c r="K479" s="578"/>
      <c r="L479" s="578"/>
      <c r="M479" s="578"/>
      <c r="N479" s="579"/>
      <c r="O479" s="579"/>
      <c r="P479" s="579"/>
      <c r="Q479" s="579"/>
      <c r="R479" s="578">
        <v>30</v>
      </c>
      <c r="S479" s="579"/>
      <c r="T479" s="579"/>
      <c r="U479" s="575"/>
      <c r="V479" s="575"/>
      <c r="W479" s="575"/>
      <c r="X479" s="575"/>
      <c r="Y479" s="575"/>
      <c r="Z479" s="575"/>
      <c r="AA479" s="583"/>
    </row>
    <row r="480" spans="1:27" s="584" customFormat="1" x14ac:dyDescent="0.2">
      <c r="A480" s="575">
        <f>A478+1</f>
        <v>237</v>
      </c>
      <c r="B480" s="571" t="s">
        <v>542</v>
      </c>
      <c r="C480" s="571" t="s">
        <v>244</v>
      </c>
      <c r="D480" s="571" t="s">
        <v>1111</v>
      </c>
      <c r="E480" s="576"/>
      <c r="F480" s="576"/>
      <c r="G480" s="577"/>
      <c r="H480" s="575"/>
      <c r="I480" s="577"/>
      <c r="J480" s="578">
        <v>48</v>
      </c>
      <c r="K480" s="586"/>
      <c r="L480" s="578">
        <v>12</v>
      </c>
      <c r="M480" s="586"/>
      <c r="N480" s="580"/>
      <c r="O480" s="580"/>
      <c r="P480" s="580"/>
      <c r="Q480" s="580"/>
      <c r="R480" s="579"/>
      <c r="S480" s="575">
        <v>30</v>
      </c>
      <c r="T480" s="580"/>
      <c r="U480" s="575">
        <v>2</v>
      </c>
      <c r="V480" s="580"/>
      <c r="W480" s="575">
        <v>2</v>
      </c>
      <c r="X480" s="580"/>
      <c r="Y480" s="580"/>
      <c r="Z480" s="575">
        <v>4</v>
      </c>
      <c r="AA480" s="583"/>
    </row>
    <row r="481" spans="1:27" s="584" customFormat="1" x14ac:dyDescent="0.2">
      <c r="A481" s="575"/>
      <c r="B481" s="583"/>
      <c r="C481" s="583"/>
      <c r="D481" s="587"/>
      <c r="E481" s="576">
        <v>396.20100000000002</v>
      </c>
      <c r="F481" s="576">
        <f>+CEILING(E481,5)</f>
        <v>400</v>
      </c>
      <c r="G481" s="577"/>
      <c r="H481" s="575">
        <f>F481*36</f>
        <v>14400</v>
      </c>
      <c r="I481" s="577">
        <f>F481</f>
        <v>400</v>
      </c>
      <c r="J481" s="586"/>
      <c r="K481" s="578"/>
      <c r="L481" s="578"/>
      <c r="M481" s="578"/>
      <c r="N481" s="579"/>
      <c r="O481" s="579"/>
      <c r="P481" s="579"/>
      <c r="Q481" s="579"/>
      <c r="R481" s="578">
        <v>42</v>
      </c>
      <c r="S481" s="579"/>
      <c r="T481" s="579"/>
      <c r="U481" s="575"/>
      <c r="V481" s="575"/>
      <c r="W481" s="575"/>
      <c r="X481" s="575"/>
      <c r="Y481" s="575"/>
      <c r="Z481" s="575"/>
      <c r="AA481" s="583"/>
    </row>
    <row r="482" spans="1:27" s="584" customFormat="1" x14ac:dyDescent="0.2">
      <c r="A482" s="575">
        <f>A480+1</f>
        <v>238</v>
      </c>
      <c r="B482" s="583" t="s">
        <v>552</v>
      </c>
      <c r="C482" s="583" t="s">
        <v>232</v>
      </c>
      <c r="D482" s="587"/>
      <c r="E482" s="576"/>
      <c r="F482" s="576"/>
      <c r="G482" s="577"/>
      <c r="H482" s="575"/>
      <c r="I482" s="577"/>
      <c r="J482" s="586"/>
      <c r="K482" s="578">
        <f>(M482*4+N482*2)/2</f>
        <v>12</v>
      </c>
      <c r="L482" s="578"/>
      <c r="M482" s="578">
        <v>6</v>
      </c>
      <c r="N482" s="579"/>
      <c r="O482" s="579"/>
      <c r="P482" s="579"/>
      <c r="Q482" s="579"/>
      <c r="R482" s="579"/>
      <c r="S482" s="579"/>
      <c r="T482" s="579"/>
      <c r="U482" s="575"/>
      <c r="V482" s="575">
        <v>1</v>
      </c>
      <c r="W482" s="575">
        <v>1</v>
      </c>
      <c r="X482" s="575"/>
      <c r="Y482" s="575"/>
      <c r="Z482" s="575">
        <v>2</v>
      </c>
      <c r="AA482" s="583"/>
    </row>
    <row r="483" spans="1:27" s="584" customFormat="1" x14ac:dyDescent="0.2">
      <c r="A483" s="575"/>
      <c r="B483" s="583"/>
      <c r="C483" s="583"/>
      <c r="D483" s="587"/>
      <c r="E483" s="576">
        <v>425.80900000000003</v>
      </c>
      <c r="F483" s="576">
        <f>+CEILING(E483,5)</f>
        <v>430</v>
      </c>
      <c r="G483" s="577"/>
      <c r="H483" s="575">
        <f>F483*36</f>
        <v>15480</v>
      </c>
      <c r="I483" s="577">
        <f>F483</f>
        <v>430</v>
      </c>
      <c r="J483" s="582"/>
      <c r="K483" s="578"/>
      <c r="L483" s="582"/>
      <c r="M483" s="578"/>
      <c r="N483" s="579"/>
      <c r="O483" s="579"/>
      <c r="P483" s="579"/>
      <c r="Q483" s="579"/>
      <c r="R483" s="578">
        <v>42</v>
      </c>
      <c r="S483" s="579"/>
      <c r="T483" s="579"/>
      <c r="U483" s="575"/>
      <c r="V483" s="575"/>
      <c r="W483" s="575"/>
      <c r="X483" s="575"/>
      <c r="Y483" s="575"/>
      <c r="Z483" s="575"/>
      <c r="AA483" s="583"/>
    </row>
    <row r="484" spans="1:27" s="584" customFormat="1" x14ac:dyDescent="0.2">
      <c r="A484" s="575">
        <f>A482+1</f>
        <v>239</v>
      </c>
      <c r="B484" s="583" t="s">
        <v>553</v>
      </c>
      <c r="C484" s="583" t="s">
        <v>20</v>
      </c>
      <c r="D484" s="587"/>
      <c r="E484" s="576"/>
      <c r="F484" s="576"/>
      <c r="G484" s="577"/>
      <c r="H484" s="575"/>
      <c r="I484" s="577"/>
      <c r="J484" s="586"/>
      <c r="K484" s="578">
        <f>(M484*4+N484*2)/2</f>
        <v>12</v>
      </c>
      <c r="L484" s="578"/>
      <c r="M484" s="578">
        <v>6</v>
      </c>
      <c r="N484" s="579"/>
      <c r="O484" s="579"/>
      <c r="P484" s="579"/>
      <c r="Q484" s="579"/>
      <c r="R484" s="579"/>
      <c r="S484" s="579"/>
      <c r="T484" s="579"/>
      <c r="U484" s="575"/>
      <c r="V484" s="575">
        <v>1</v>
      </c>
      <c r="W484" s="575">
        <v>1</v>
      </c>
      <c r="X484" s="575"/>
      <c r="Y484" s="575"/>
      <c r="Z484" s="575">
        <v>2</v>
      </c>
      <c r="AA484" s="583"/>
    </row>
    <row r="485" spans="1:27" s="584" customFormat="1" x14ac:dyDescent="0.2">
      <c r="A485" s="575"/>
      <c r="B485" s="583"/>
      <c r="C485" s="583"/>
      <c r="D485" s="587"/>
      <c r="E485" s="576">
        <v>401.68799999999999</v>
      </c>
      <c r="F485" s="576">
        <f>+CEILING(E485,5)</f>
        <v>405</v>
      </c>
      <c r="G485" s="577"/>
      <c r="H485" s="575">
        <f>F485*36</f>
        <v>14580</v>
      </c>
      <c r="I485" s="577">
        <f>F485</f>
        <v>405</v>
      </c>
      <c r="J485" s="586"/>
      <c r="K485" s="578"/>
      <c r="L485" s="578"/>
      <c r="M485" s="578"/>
      <c r="N485" s="579"/>
      <c r="O485" s="579"/>
      <c r="P485" s="579"/>
      <c r="Q485" s="579"/>
      <c r="R485" s="578">
        <v>42</v>
      </c>
      <c r="S485" s="579"/>
      <c r="T485" s="579"/>
      <c r="U485" s="575"/>
      <c r="V485" s="575"/>
      <c r="W485" s="575"/>
      <c r="X485" s="575"/>
      <c r="Y485" s="575"/>
      <c r="Z485" s="575"/>
      <c r="AA485" s="583"/>
    </row>
    <row r="486" spans="1:27" s="584" customFormat="1" x14ac:dyDescent="0.2">
      <c r="A486" s="575">
        <f>A484+1</f>
        <v>240</v>
      </c>
      <c r="B486" s="583" t="s">
        <v>554</v>
      </c>
      <c r="C486" s="583" t="s">
        <v>20</v>
      </c>
      <c r="D486" s="587"/>
      <c r="E486" s="576"/>
      <c r="F486" s="576"/>
      <c r="G486" s="577"/>
      <c r="H486" s="575"/>
      <c r="I486" s="577"/>
      <c r="J486" s="586"/>
      <c r="K486" s="578">
        <f>(M486*4+N486*2)/2</f>
        <v>12</v>
      </c>
      <c r="L486" s="578"/>
      <c r="M486" s="578">
        <v>6</v>
      </c>
      <c r="N486" s="579"/>
      <c r="O486" s="579"/>
      <c r="P486" s="579"/>
      <c r="Q486" s="579"/>
      <c r="R486" s="579"/>
      <c r="S486" s="579"/>
      <c r="T486" s="579"/>
      <c r="U486" s="575"/>
      <c r="V486" s="575">
        <v>1</v>
      </c>
      <c r="W486" s="575">
        <v>1</v>
      </c>
      <c r="X486" s="575"/>
      <c r="Y486" s="575"/>
      <c r="Z486" s="575">
        <v>2</v>
      </c>
      <c r="AA486" s="583"/>
    </row>
    <row r="487" spans="1:27" s="584" customFormat="1" x14ac:dyDescent="0.2">
      <c r="A487" s="575"/>
      <c r="B487" s="583"/>
      <c r="C487" s="583"/>
      <c r="D487" s="587"/>
      <c r="E487" s="576">
        <v>436.30200000000002</v>
      </c>
      <c r="F487" s="576">
        <f>+CEILING(E487,5)</f>
        <v>440</v>
      </c>
      <c r="G487" s="577"/>
      <c r="H487" s="575">
        <f>F487*36</f>
        <v>15840</v>
      </c>
      <c r="I487" s="577">
        <f>F487</f>
        <v>440</v>
      </c>
      <c r="J487" s="586"/>
      <c r="K487" s="578"/>
      <c r="L487" s="578"/>
      <c r="M487" s="578"/>
      <c r="N487" s="579"/>
      <c r="O487" s="579"/>
      <c r="P487" s="579"/>
      <c r="Q487" s="579"/>
      <c r="R487" s="578">
        <v>42</v>
      </c>
      <c r="S487" s="579"/>
      <c r="T487" s="579"/>
      <c r="U487" s="575"/>
      <c r="V487" s="575"/>
      <c r="W487" s="575"/>
      <c r="X487" s="575"/>
      <c r="Y487" s="575"/>
      <c r="Z487" s="575"/>
      <c r="AA487" s="583"/>
    </row>
    <row r="488" spans="1:27" s="584" customFormat="1" ht="22.5" x14ac:dyDescent="0.2">
      <c r="A488" s="575">
        <f>A486+1</f>
        <v>241</v>
      </c>
      <c r="B488" s="571" t="s">
        <v>555</v>
      </c>
      <c r="C488" s="571" t="s">
        <v>361</v>
      </c>
      <c r="D488" s="588" t="s">
        <v>1112</v>
      </c>
      <c r="E488" s="576"/>
      <c r="F488" s="576"/>
      <c r="G488" s="577"/>
      <c r="H488" s="575"/>
      <c r="I488" s="577"/>
      <c r="J488" s="578">
        <v>48</v>
      </c>
      <c r="K488" s="586"/>
      <c r="L488" s="578">
        <v>12</v>
      </c>
      <c r="M488" s="586"/>
      <c r="N488" s="580"/>
      <c r="O488" s="580"/>
      <c r="P488" s="580"/>
      <c r="Q488" s="580"/>
      <c r="R488" s="579"/>
      <c r="S488" s="575">
        <v>30</v>
      </c>
      <c r="T488" s="580"/>
      <c r="U488" s="575">
        <v>2</v>
      </c>
      <c r="V488" s="580"/>
      <c r="W488" s="575">
        <v>2</v>
      </c>
      <c r="X488" s="580"/>
      <c r="Y488" s="580"/>
      <c r="Z488" s="575">
        <v>4</v>
      </c>
      <c r="AA488" s="583"/>
    </row>
    <row r="489" spans="1:27" s="584" customFormat="1" x14ac:dyDescent="0.2">
      <c r="A489" s="575"/>
      <c r="B489" s="583"/>
      <c r="C489" s="583"/>
      <c r="D489" s="587"/>
      <c r="E489" s="576">
        <v>340.76600000000002</v>
      </c>
      <c r="F489" s="576">
        <f>+CEILING(E489,5)</f>
        <v>345</v>
      </c>
      <c r="G489" s="577"/>
      <c r="H489" s="575">
        <f>F489*36</f>
        <v>12420</v>
      </c>
      <c r="I489" s="577">
        <f>F489</f>
        <v>345</v>
      </c>
      <c r="J489" s="582"/>
      <c r="K489" s="578"/>
      <c r="L489" s="582"/>
      <c r="M489" s="578"/>
      <c r="N489" s="575"/>
      <c r="O489" s="575"/>
      <c r="P489" s="575"/>
      <c r="Q489" s="575"/>
      <c r="R489" s="578">
        <v>36</v>
      </c>
      <c r="S489" s="575"/>
      <c r="T489" s="575"/>
      <c r="U489" s="575"/>
      <c r="V489" s="575"/>
      <c r="W489" s="575"/>
      <c r="X489" s="575"/>
      <c r="Y489" s="575"/>
      <c r="Z489" s="575"/>
      <c r="AA489" s="583"/>
    </row>
    <row r="490" spans="1:27" s="584" customFormat="1" x14ac:dyDescent="0.2">
      <c r="A490" s="575">
        <f>A488+1</f>
        <v>242</v>
      </c>
      <c r="B490" s="571" t="s">
        <v>556</v>
      </c>
      <c r="C490" s="571" t="s">
        <v>240</v>
      </c>
      <c r="D490" s="587"/>
      <c r="E490" s="576"/>
      <c r="F490" s="576"/>
      <c r="G490" s="577"/>
      <c r="H490" s="575"/>
      <c r="I490" s="577"/>
      <c r="J490" s="578">
        <v>48</v>
      </c>
      <c r="K490" s="586"/>
      <c r="L490" s="578">
        <v>12</v>
      </c>
      <c r="M490" s="586"/>
      <c r="N490" s="580"/>
      <c r="O490" s="580"/>
      <c r="P490" s="580"/>
      <c r="Q490" s="580"/>
      <c r="R490" s="579"/>
      <c r="S490" s="575">
        <v>30</v>
      </c>
      <c r="T490" s="580"/>
      <c r="U490" s="575">
        <v>2</v>
      </c>
      <c r="V490" s="580"/>
      <c r="W490" s="575">
        <v>2</v>
      </c>
      <c r="X490" s="580"/>
      <c r="Y490" s="580"/>
      <c r="Z490" s="575">
        <v>4</v>
      </c>
      <c r="AA490" s="583"/>
    </row>
    <row r="491" spans="1:27" s="584" customFormat="1" x14ac:dyDescent="0.2">
      <c r="A491" s="575"/>
      <c r="B491" s="583"/>
      <c r="C491" s="583"/>
      <c r="D491" s="587"/>
      <c r="E491" s="576">
        <v>447.822</v>
      </c>
      <c r="F491" s="576">
        <f>+CEILING(E491,5)</f>
        <v>450</v>
      </c>
      <c r="G491" s="577"/>
      <c r="H491" s="575">
        <f>F491*36</f>
        <v>16200</v>
      </c>
      <c r="I491" s="577">
        <f>F491</f>
        <v>450</v>
      </c>
      <c r="J491" s="582"/>
      <c r="K491" s="578"/>
      <c r="L491" s="582"/>
      <c r="M491" s="578"/>
      <c r="N491" s="579"/>
      <c r="O491" s="579"/>
      <c r="P491" s="579"/>
      <c r="Q491" s="579"/>
      <c r="R491" s="578">
        <v>42</v>
      </c>
      <c r="S491" s="579"/>
      <c r="T491" s="579"/>
      <c r="U491" s="575"/>
      <c r="V491" s="575"/>
      <c r="W491" s="575"/>
      <c r="X491" s="575"/>
      <c r="Y491" s="575"/>
      <c r="Z491" s="575"/>
      <c r="AA491" s="583"/>
    </row>
    <row r="492" spans="1:27" s="584" customFormat="1" x14ac:dyDescent="0.2">
      <c r="A492" s="575">
        <f>A490+1</f>
        <v>243</v>
      </c>
      <c r="B492" s="583" t="s">
        <v>557</v>
      </c>
      <c r="C492" s="583" t="s">
        <v>231</v>
      </c>
      <c r="D492" s="587"/>
      <c r="E492" s="576"/>
      <c r="F492" s="576"/>
      <c r="G492" s="577"/>
      <c r="H492" s="575"/>
      <c r="I492" s="577"/>
      <c r="J492" s="586"/>
      <c r="K492" s="578">
        <f>(M492*4+N492*2)/2</f>
        <v>12</v>
      </c>
      <c r="L492" s="578"/>
      <c r="M492" s="578">
        <v>6</v>
      </c>
      <c r="N492" s="579"/>
      <c r="O492" s="579"/>
      <c r="P492" s="579"/>
      <c r="Q492" s="579"/>
      <c r="R492" s="579"/>
      <c r="S492" s="579"/>
      <c r="T492" s="579"/>
      <c r="U492" s="575"/>
      <c r="V492" s="575">
        <v>1</v>
      </c>
      <c r="W492" s="575">
        <v>1</v>
      </c>
      <c r="X492" s="575"/>
      <c r="Y492" s="575"/>
      <c r="Z492" s="575">
        <v>2</v>
      </c>
      <c r="AA492" s="583"/>
    </row>
    <row r="493" spans="1:27" s="584" customFormat="1" x14ac:dyDescent="0.2">
      <c r="A493" s="575"/>
      <c r="B493" s="583"/>
      <c r="C493" s="583"/>
      <c r="D493" s="587"/>
      <c r="E493" s="576">
        <v>382.33</v>
      </c>
      <c r="F493" s="576">
        <f>+CEILING(E493,5)</f>
        <v>385</v>
      </c>
      <c r="G493" s="577"/>
      <c r="H493" s="575">
        <f>F493*36</f>
        <v>13860</v>
      </c>
      <c r="I493" s="577">
        <f>F493</f>
        <v>385</v>
      </c>
      <c r="J493" s="586"/>
      <c r="K493" s="578"/>
      <c r="L493" s="578"/>
      <c r="M493" s="578"/>
      <c r="N493" s="579"/>
      <c r="O493" s="579"/>
      <c r="P493" s="579"/>
      <c r="Q493" s="579"/>
      <c r="R493" s="578">
        <v>36</v>
      </c>
      <c r="S493" s="579"/>
      <c r="T493" s="579"/>
      <c r="U493" s="575"/>
      <c r="V493" s="575"/>
      <c r="W493" s="575"/>
      <c r="X493" s="575"/>
      <c r="Y493" s="575"/>
      <c r="Z493" s="575"/>
      <c r="AA493" s="583"/>
    </row>
    <row r="494" spans="1:27" s="584" customFormat="1" ht="22.5" x14ac:dyDescent="0.2">
      <c r="A494" s="575">
        <f>A492+1</f>
        <v>244</v>
      </c>
      <c r="B494" s="571" t="s">
        <v>558</v>
      </c>
      <c r="C494" s="571" t="s">
        <v>239</v>
      </c>
      <c r="D494" s="588" t="s">
        <v>1113</v>
      </c>
      <c r="E494" s="576"/>
      <c r="F494" s="576"/>
      <c r="G494" s="577"/>
      <c r="H494" s="575"/>
      <c r="I494" s="577"/>
      <c r="J494" s="578">
        <v>48</v>
      </c>
      <c r="K494" s="586"/>
      <c r="L494" s="578">
        <v>12</v>
      </c>
      <c r="M494" s="586"/>
      <c r="N494" s="580"/>
      <c r="O494" s="580"/>
      <c r="P494" s="580"/>
      <c r="Q494" s="580"/>
      <c r="R494" s="579"/>
      <c r="S494" s="575">
        <v>30</v>
      </c>
      <c r="T494" s="580"/>
      <c r="U494" s="575">
        <v>2</v>
      </c>
      <c r="V494" s="580"/>
      <c r="W494" s="575">
        <v>2</v>
      </c>
      <c r="X494" s="580"/>
      <c r="Y494" s="580"/>
      <c r="Z494" s="575">
        <v>4</v>
      </c>
      <c r="AA494" s="583"/>
    </row>
    <row r="495" spans="1:27" s="584" customFormat="1" x14ac:dyDescent="0.2">
      <c r="A495" s="575"/>
      <c r="B495" s="583"/>
      <c r="C495" s="583"/>
      <c r="D495" s="587"/>
      <c r="E495" s="576">
        <v>384.71100000000001</v>
      </c>
      <c r="F495" s="576">
        <f>+CEILING(E495,5)</f>
        <v>385</v>
      </c>
      <c r="G495" s="577"/>
      <c r="H495" s="575">
        <f>F495*36</f>
        <v>13860</v>
      </c>
      <c r="I495" s="577">
        <f>F495</f>
        <v>385</v>
      </c>
      <c r="J495" s="586"/>
      <c r="K495" s="578"/>
      <c r="L495" s="578"/>
      <c r="M495" s="578"/>
      <c r="N495" s="579"/>
      <c r="O495" s="579"/>
      <c r="P495" s="579"/>
      <c r="Q495" s="579"/>
      <c r="R495" s="578">
        <v>36</v>
      </c>
      <c r="S495" s="579"/>
      <c r="T495" s="579"/>
      <c r="U495" s="575"/>
      <c r="V495" s="575"/>
      <c r="W495" s="575"/>
      <c r="X495" s="575"/>
      <c r="Y495" s="575"/>
      <c r="Z495" s="575"/>
      <c r="AA495" s="583"/>
    </row>
    <row r="496" spans="1:27" s="584" customFormat="1" x14ac:dyDescent="0.2">
      <c r="A496" s="575">
        <f>A494+1</f>
        <v>245</v>
      </c>
      <c r="B496" s="583" t="s">
        <v>559</v>
      </c>
      <c r="C496" s="583" t="s">
        <v>232</v>
      </c>
      <c r="D496" s="587"/>
      <c r="E496" s="576"/>
      <c r="F496" s="576"/>
      <c r="G496" s="577"/>
      <c r="H496" s="575"/>
      <c r="I496" s="577"/>
      <c r="J496" s="586"/>
      <c r="K496" s="578">
        <f>(M496*4+N496*2)/2</f>
        <v>12</v>
      </c>
      <c r="L496" s="578"/>
      <c r="M496" s="578">
        <v>6</v>
      </c>
      <c r="N496" s="579"/>
      <c r="O496" s="579"/>
      <c r="P496" s="579"/>
      <c r="Q496" s="579"/>
      <c r="R496" s="579"/>
      <c r="S496" s="579"/>
      <c r="T496" s="579"/>
      <c r="U496" s="575"/>
      <c r="V496" s="575">
        <v>1</v>
      </c>
      <c r="W496" s="575">
        <v>1</v>
      </c>
      <c r="X496" s="575"/>
      <c r="Y496" s="575"/>
      <c r="Z496" s="575">
        <v>2</v>
      </c>
      <c r="AA496" s="583"/>
    </row>
    <row r="497" spans="1:27" s="584" customFormat="1" x14ac:dyDescent="0.2">
      <c r="A497" s="575"/>
      <c r="B497" s="583"/>
      <c r="C497" s="583"/>
      <c r="D497" s="587"/>
      <c r="E497" s="576">
        <v>407.363</v>
      </c>
      <c r="F497" s="576">
        <f>+CEILING(E497,5)</f>
        <v>410</v>
      </c>
      <c r="G497" s="577"/>
      <c r="H497" s="575">
        <f>F497*36</f>
        <v>14760</v>
      </c>
      <c r="I497" s="577">
        <f>F497</f>
        <v>410</v>
      </c>
      <c r="J497" s="586"/>
      <c r="K497" s="578"/>
      <c r="L497" s="578"/>
      <c r="M497" s="578"/>
      <c r="N497" s="579"/>
      <c r="O497" s="579"/>
      <c r="P497" s="579"/>
      <c r="Q497" s="579"/>
      <c r="R497" s="578">
        <v>42</v>
      </c>
      <c r="S497" s="579"/>
      <c r="T497" s="579"/>
      <c r="U497" s="575"/>
      <c r="V497" s="575"/>
      <c r="W497" s="575"/>
      <c r="X497" s="575"/>
      <c r="Y497" s="575"/>
      <c r="Z497" s="575"/>
      <c r="AA497" s="583"/>
    </row>
    <row r="498" spans="1:27" s="584" customFormat="1" x14ac:dyDescent="0.2">
      <c r="A498" s="575">
        <f>A496+1</f>
        <v>246</v>
      </c>
      <c r="B498" s="583" t="s">
        <v>560</v>
      </c>
      <c r="C498" s="583" t="s">
        <v>232</v>
      </c>
      <c r="D498" s="587"/>
      <c r="E498" s="576"/>
      <c r="F498" s="576"/>
      <c r="G498" s="577"/>
      <c r="H498" s="575"/>
      <c r="I498" s="577"/>
      <c r="J498" s="586"/>
      <c r="K498" s="578">
        <f>(M498*4+N498*2)/2</f>
        <v>12</v>
      </c>
      <c r="L498" s="578"/>
      <c r="M498" s="578">
        <v>6</v>
      </c>
      <c r="N498" s="579"/>
      <c r="O498" s="579"/>
      <c r="P498" s="579"/>
      <c r="Q498" s="579"/>
      <c r="R498" s="579"/>
      <c r="S498" s="579"/>
      <c r="T498" s="579"/>
      <c r="U498" s="575"/>
      <c r="V498" s="575">
        <v>1</v>
      </c>
      <c r="W498" s="575">
        <v>1</v>
      </c>
      <c r="X498" s="575"/>
      <c r="Y498" s="575"/>
      <c r="Z498" s="575">
        <v>2</v>
      </c>
      <c r="AA498" s="583"/>
    </row>
    <row r="499" spans="1:27" s="584" customFormat="1" x14ac:dyDescent="0.2">
      <c r="A499" s="575"/>
      <c r="B499" s="583"/>
      <c r="C499" s="583"/>
      <c r="D499" s="587"/>
      <c r="E499" s="576">
        <v>414.17399999999998</v>
      </c>
      <c r="F499" s="576">
        <f>+CEILING(E499,5)</f>
        <v>415</v>
      </c>
      <c r="G499" s="577"/>
      <c r="H499" s="575">
        <f>F499*36</f>
        <v>14940</v>
      </c>
      <c r="I499" s="577">
        <f>F499</f>
        <v>415</v>
      </c>
      <c r="J499" s="586"/>
      <c r="K499" s="578"/>
      <c r="L499" s="578"/>
      <c r="M499" s="578"/>
      <c r="N499" s="579"/>
      <c r="O499" s="579"/>
      <c r="P499" s="579"/>
      <c r="Q499" s="579"/>
      <c r="R499" s="578">
        <v>42</v>
      </c>
      <c r="S499" s="579"/>
      <c r="T499" s="579"/>
      <c r="U499" s="575"/>
      <c r="V499" s="575"/>
      <c r="W499" s="575"/>
      <c r="X499" s="575"/>
      <c r="Y499" s="575"/>
      <c r="Z499" s="575"/>
      <c r="AA499" s="583"/>
    </row>
    <row r="500" spans="1:27" s="584" customFormat="1" x14ac:dyDescent="0.2">
      <c r="A500" s="575">
        <f>A498+1</f>
        <v>247</v>
      </c>
      <c r="B500" s="583" t="s">
        <v>561</v>
      </c>
      <c r="C500" s="583" t="s">
        <v>231</v>
      </c>
      <c r="D500" s="587"/>
      <c r="E500" s="576"/>
      <c r="F500" s="576"/>
      <c r="G500" s="577"/>
      <c r="H500" s="575"/>
      <c r="I500" s="577"/>
      <c r="J500" s="586"/>
      <c r="K500" s="578">
        <f>(M500*4+N500*2)/2</f>
        <v>12</v>
      </c>
      <c r="L500" s="578"/>
      <c r="M500" s="578">
        <v>6</v>
      </c>
      <c r="N500" s="579"/>
      <c r="O500" s="579"/>
      <c r="P500" s="579"/>
      <c r="Q500" s="579"/>
      <c r="R500" s="579"/>
      <c r="S500" s="579"/>
      <c r="T500" s="579"/>
      <c r="U500" s="575"/>
      <c r="V500" s="575">
        <v>1</v>
      </c>
      <c r="W500" s="575">
        <v>1</v>
      </c>
      <c r="X500" s="575"/>
      <c r="Y500" s="575"/>
      <c r="Z500" s="575">
        <v>2</v>
      </c>
      <c r="AA500" s="583"/>
    </row>
    <row r="501" spans="1:27" s="584" customFormat="1" x14ac:dyDescent="0.2">
      <c r="A501" s="575"/>
      <c r="B501" s="583"/>
      <c r="C501" s="583"/>
      <c r="D501" s="587"/>
      <c r="E501" s="576">
        <v>256.36</v>
      </c>
      <c r="F501" s="576">
        <f>+CEILING(E501,5)</f>
        <v>260</v>
      </c>
      <c r="G501" s="577"/>
      <c r="H501" s="575">
        <f>F501*36</f>
        <v>9360</v>
      </c>
      <c r="I501" s="577">
        <f>F501</f>
        <v>260</v>
      </c>
      <c r="J501" s="582"/>
      <c r="K501" s="578"/>
      <c r="L501" s="582"/>
      <c r="M501" s="578"/>
      <c r="N501" s="579"/>
      <c r="O501" s="579"/>
      <c r="P501" s="579"/>
      <c r="Q501" s="579"/>
      <c r="R501" s="578">
        <v>24</v>
      </c>
      <c r="S501" s="579"/>
      <c r="T501" s="579"/>
      <c r="U501" s="575"/>
      <c r="V501" s="575"/>
      <c r="W501" s="575"/>
      <c r="X501" s="575"/>
      <c r="Y501" s="575"/>
      <c r="Z501" s="575"/>
      <c r="AA501" s="583"/>
    </row>
    <row r="502" spans="1:27" s="584" customFormat="1" x14ac:dyDescent="0.2">
      <c r="A502" s="575">
        <f>A500+1</f>
        <v>248</v>
      </c>
      <c r="B502" s="583" t="s">
        <v>562</v>
      </c>
      <c r="C502" s="583" t="s">
        <v>231</v>
      </c>
      <c r="D502" s="587"/>
      <c r="E502" s="576"/>
      <c r="F502" s="576"/>
      <c r="G502" s="577"/>
      <c r="H502" s="575"/>
      <c r="I502" s="577"/>
      <c r="J502" s="586"/>
      <c r="K502" s="578">
        <f>(M502*4+N502*2)/2</f>
        <v>12</v>
      </c>
      <c r="L502" s="578"/>
      <c r="M502" s="578">
        <v>6</v>
      </c>
      <c r="N502" s="579"/>
      <c r="O502" s="579"/>
      <c r="P502" s="579"/>
      <c r="Q502" s="579"/>
      <c r="R502" s="579"/>
      <c r="S502" s="579"/>
      <c r="T502" s="579"/>
      <c r="U502" s="575"/>
      <c r="V502" s="575">
        <v>1</v>
      </c>
      <c r="W502" s="575">
        <v>1</v>
      </c>
      <c r="X502" s="575"/>
      <c r="Y502" s="575"/>
      <c r="Z502" s="575">
        <v>2</v>
      </c>
      <c r="AA502" s="583"/>
    </row>
    <row r="503" spans="1:27" s="584" customFormat="1" x14ac:dyDescent="0.2">
      <c r="A503" s="575"/>
      <c r="B503" s="583"/>
      <c r="C503" s="583"/>
      <c r="D503" s="587"/>
      <c r="E503" s="576">
        <v>403.84</v>
      </c>
      <c r="F503" s="576">
        <f>+CEILING(E503,5)</f>
        <v>405</v>
      </c>
      <c r="G503" s="577"/>
      <c r="H503" s="575">
        <f>F503*36</f>
        <v>14580</v>
      </c>
      <c r="I503" s="577">
        <f>F503</f>
        <v>405</v>
      </c>
      <c r="J503" s="582"/>
      <c r="K503" s="578"/>
      <c r="L503" s="582"/>
      <c r="M503" s="578"/>
      <c r="N503" s="575"/>
      <c r="O503" s="575"/>
      <c r="P503" s="575"/>
      <c r="Q503" s="575"/>
      <c r="R503" s="578">
        <v>42</v>
      </c>
      <c r="S503" s="575"/>
      <c r="T503" s="575"/>
      <c r="U503" s="575"/>
      <c r="V503" s="575"/>
      <c r="W503" s="575"/>
      <c r="X503" s="575"/>
      <c r="Y503" s="575"/>
      <c r="Z503" s="575"/>
      <c r="AA503" s="583"/>
    </row>
    <row r="504" spans="1:27" s="584" customFormat="1" x14ac:dyDescent="0.2">
      <c r="A504" s="575">
        <f>A502+1</f>
        <v>249</v>
      </c>
      <c r="B504" s="583" t="s">
        <v>563</v>
      </c>
      <c r="C504" s="583" t="s">
        <v>233</v>
      </c>
      <c r="D504" s="587"/>
      <c r="E504" s="576"/>
      <c r="F504" s="576"/>
      <c r="G504" s="577"/>
      <c r="H504" s="575"/>
      <c r="I504" s="577"/>
      <c r="J504" s="586"/>
      <c r="K504" s="578">
        <f>(M504*4+N504*2)/2</f>
        <v>12</v>
      </c>
      <c r="L504" s="578"/>
      <c r="M504" s="578">
        <v>6</v>
      </c>
      <c r="N504" s="579"/>
      <c r="O504" s="579"/>
      <c r="P504" s="579"/>
      <c r="Q504" s="579"/>
      <c r="R504" s="579"/>
      <c r="S504" s="579"/>
      <c r="T504" s="579"/>
      <c r="U504" s="575"/>
      <c r="V504" s="575">
        <v>1</v>
      </c>
      <c r="W504" s="575">
        <v>1</v>
      </c>
      <c r="X504" s="575"/>
      <c r="Y504" s="575"/>
      <c r="Z504" s="575">
        <v>2</v>
      </c>
      <c r="AA504" s="583"/>
    </row>
    <row r="505" spans="1:27" s="584" customFormat="1" x14ac:dyDescent="0.2">
      <c r="A505" s="575"/>
      <c r="B505" s="583"/>
      <c r="C505" s="583"/>
      <c r="D505" s="587"/>
      <c r="E505" s="576">
        <v>396.72399999999999</v>
      </c>
      <c r="F505" s="576">
        <f>+CEILING(E505,5)</f>
        <v>400</v>
      </c>
      <c r="G505" s="577"/>
      <c r="H505" s="575">
        <f>F505*36</f>
        <v>14400</v>
      </c>
      <c r="I505" s="577">
        <f>F505</f>
        <v>400</v>
      </c>
      <c r="J505" s="582"/>
      <c r="K505" s="578"/>
      <c r="L505" s="578"/>
      <c r="M505" s="578"/>
      <c r="N505" s="579"/>
      <c r="O505" s="579"/>
      <c r="P505" s="579"/>
      <c r="Q505" s="579"/>
      <c r="R505" s="578">
        <v>42</v>
      </c>
      <c r="S505" s="579"/>
      <c r="T505" s="579"/>
      <c r="U505" s="575"/>
      <c r="V505" s="575"/>
      <c r="W505" s="575"/>
      <c r="X505" s="575"/>
      <c r="Y505" s="575"/>
      <c r="Z505" s="575"/>
      <c r="AA505" s="583"/>
    </row>
    <row r="506" spans="1:27" s="584" customFormat="1" x14ac:dyDescent="0.2">
      <c r="A506" s="575">
        <f>A504+1</f>
        <v>250</v>
      </c>
      <c r="B506" s="583" t="s">
        <v>564</v>
      </c>
      <c r="C506" s="583" t="s">
        <v>231</v>
      </c>
      <c r="D506" s="587"/>
      <c r="E506" s="576"/>
      <c r="F506" s="576"/>
      <c r="G506" s="577"/>
      <c r="H506" s="575"/>
      <c r="I506" s="577"/>
      <c r="J506" s="586"/>
      <c r="K506" s="578">
        <f>(M506*4+N506*2)/2</f>
        <v>12</v>
      </c>
      <c r="L506" s="578"/>
      <c r="M506" s="578">
        <v>6</v>
      </c>
      <c r="N506" s="579"/>
      <c r="O506" s="579"/>
      <c r="P506" s="579"/>
      <c r="Q506" s="579"/>
      <c r="R506" s="579"/>
      <c r="S506" s="579"/>
      <c r="T506" s="579"/>
      <c r="U506" s="575"/>
      <c r="V506" s="575">
        <v>1</v>
      </c>
      <c r="W506" s="575">
        <v>1</v>
      </c>
      <c r="X506" s="575"/>
      <c r="Y506" s="575"/>
      <c r="Z506" s="575">
        <v>2</v>
      </c>
      <c r="AA506" s="583"/>
    </row>
    <row r="507" spans="1:27" s="584" customFormat="1" ht="12.75" customHeight="1" x14ac:dyDescent="0.2">
      <c r="A507" s="575"/>
      <c r="B507" s="583"/>
      <c r="C507" s="583"/>
      <c r="D507" s="587"/>
      <c r="E507" s="576">
        <v>403.93200000000002</v>
      </c>
      <c r="F507" s="576">
        <f>+CEILING(E507,5)</f>
        <v>405</v>
      </c>
      <c r="G507" s="577"/>
      <c r="H507" s="575">
        <f>F507*36</f>
        <v>14580</v>
      </c>
      <c r="I507" s="577">
        <f>F507</f>
        <v>405</v>
      </c>
      <c r="J507" s="586"/>
      <c r="K507" s="578"/>
      <c r="L507" s="578"/>
      <c r="M507" s="578"/>
      <c r="N507" s="579"/>
      <c r="O507" s="579"/>
      <c r="P507" s="579"/>
      <c r="Q507" s="579"/>
      <c r="R507" s="578">
        <v>42</v>
      </c>
      <c r="S507" s="579"/>
      <c r="T507" s="579"/>
      <c r="U507" s="575"/>
      <c r="V507" s="575"/>
      <c r="W507" s="575"/>
      <c r="X507" s="575"/>
      <c r="Y507" s="575"/>
      <c r="Z507" s="575"/>
      <c r="AA507" s="583"/>
    </row>
    <row r="508" spans="1:27" s="584" customFormat="1" ht="12.75" customHeight="1" x14ac:dyDescent="0.2">
      <c r="A508" s="575">
        <f>A506+1</f>
        <v>251</v>
      </c>
      <c r="B508" s="571" t="s">
        <v>565</v>
      </c>
      <c r="C508" s="571" t="s">
        <v>242</v>
      </c>
      <c r="D508" s="588" t="s">
        <v>1114</v>
      </c>
      <c r="E508" s="576"/>
      <c r="F508" s="576"/>
      <c r="G508" s="577"/>
      <c r="H508" s="575"/>
      <c r="I508" s="577"/>
      <c r="J508" s="578">
        <v>48</v>
      </c>
      <c r="K508" s="586"/>
      <c r="L508" s="578">
        <v>12</v>
      </c>
      <c r="M508" s="586"/>
      <c r="N508" s="580"/>
      <c r="O508" s="580"/>
      <c r="P508" s="580"/>
      <c r="Q508" s="580"/>
      <c r="R508" s="579"/>
      <c r="S508" s="575">
        <v>30</v>
      </c>
      <c r="T508" s="580"/>
      <c r="U508" s="575">
        <v>2</v>
      </c>
      <c r="V508" s="580"/>
      <c r="W508" s="575">
        <v>2</v>
      </c>
      <c r="X508" s="580"/>
      <c r="Y508" s="580"/>
      <c r="Z508" s="575">
        <v>4</v>
      </c>
      <c r="AA508" s="583"/>
    </row>
    <row r="509" spans="1:27" s="584" customFormat="1" ht="12.75" customHeight="1" x14ac:dyDescent="0.2">
      <c r="A509" s="575"/>
      <c r="B509" s="583"/>
      <c r="C509" s="583"/>
      <c r="D509" s="587"/>
      <c r="E509" s="576">
        <v>345.988</v>
      </c>
      <c r="F509" s="576">
        <f>+CEILING(E509,5)</f>
        <v>350</v>
      </c>
      <c r="G509" s="577"/>
      <c r="H509" s="575">
        <f>F509*36</f>
        <v>12600</v>
      </c>
      <c r="I509" s="577">
        <f>F509</f>
        <v>350</v>
      </c>
      <c r="J509" s="586"/>
      <c r="K509" s="578"/>
      <c r="L509" s="578"/>
      <c r="M509" s="578"/>
      <c r="N509" s="579"/>
      <c r="O509" s="579"/>
      <c r="P509" s="579"/>
      <c r="Q509" s="579"/>
      <c r="R509" s="578">
        <v>36</v>
      </c>
      <c r="S509" s="579"/>
      <c r="T509" s="579"/>
      <c r="U509" s="575"/>
      <c r="V509" s="575"/>
      <c r="W509" s="575"/>
      <c r="X509" s="575"/>
      <c r="Y509" s="575"/>
      <c r="Z509" s="575"/>
      <c r="AA509" s="583"/>
    </row>
    <row r="510" spans="1:27" s="584" customFormat="1" ht="12.75" customHeight="1" x14ac:dyDescent="0.2">
      <c r="A510" s="575">
        <f>A508+1</f>
        <v>252</v>
      </c>
      <c r="B510" s="583" t="s">
        <v>566</v>
      </c>
      <c r="C510" s="583" t="s">
        <v>20</v>
      </c>
      <c r="D510" s="587"/>
      <c r="E510" s="576"/>
      <c r="F510" s="576"/>
      <c r="G510" s="577"/>
      <c r="H510" s="575"/>
      <c r="I510" s="577"/>
      <c r="J510" s="586"/>
      <c r="K510" s="578">
        <f>(M510*4+N510*2)/2</f>
        <v>12</v>
      </c>
      <c r="L510" s="578"/>
      <c r="M510" s="578">
        <v>6</v>
      </c>
      <c r="N510" s="579"/>
      <c r="O510" s="579"/>
      <c r="P510" s="579"/>
      <c r="Q510" s="579"/>
      <c r="R510" s="579"/>
      <c r="S510" s="579"/>
      <c r="T510" s="579"/>
      <c r="U510" s="575"/>
      <c r="V510" s="575">
        <v>1</v>
      </c>
      <c r="W510" s="575">
        <v>1</v>
      </c>
      <c r="X510" s="575"/>
      <c r="Y510" s="575"/>
      <c r="Z510" s="575">
        <v>2</v>
      </c>
      <c r="AA510" s="583"/>
    </row>
    <row r="511" spans="1:27" s="584" customFormat="1" ht="12.75" customHeight="1" x14ac:dyDescent="0.2">
      <c r="A511" s="575"/>
      <c r="B511" s="583"/>
      <c r="C511" s="583"/>
      <c r="D511" s="587"/>
      <c r="E511" s="576">
        <v>475.78899999999999</v>
      </c>
      <c r="F511" s="576">
        <f>+CEILING(E511,5)</f>
        <v>480</v>
      </c>
      <c r="G511" s="577"/>
      <c r="H511" s="575">
        <f>F511*36</f>
        <v>17280</v>
      </c>
      <c r="I511" s="577">
        <f>F511</f>
        <v>480</v>
      </c>
      <c r="J511" s="586"/>
      <c r="K511" s="578"/>
      <c r="L511" s="578"/>
      <c r="M511" s="578"/>
      <c r="N511" s="579"/>
      <c r="O511" s="579"/>
      <c r="P511" s="579"/>
      <c r="Q511" s="579"/>
      <c r="R511" s="578">
        <v>48</v>
      </c>
      <c r="S511" s="579"/>
      <c r="T511" s="579"/>
      <c r="U511" s="575"/>
      <c r="V511" s="575"/>
      <c r="W511" s="575"/>
      <c r="X511" s="575"/>
      <c r="Y511" s="575"/>
      <c r="Z511" s="575"/>
      <c r="AA511" s="583"/>
    </row>
    <row r="512" spans="1:27" s="584" customFormat="1" ht="12.75" customHeight="1" x14ac:dyDescent="0.2">
      <c r="A512" s="575">
        <f>A510+1</f>
        <v>253</v>
      </c>
      <c r="B512" s="583" t="s">
        <v>567</v>
      </c>
      <c r="C512" s="583" t="s">
        <v>231</v>
      </c>
      <c r="D512" s="587"/>
      <c r="E512" s="576"/>
      <c r="F512" s="576"/>
      <c r="G512" s="577"/>
      <c r="H512" s="575"/>
      <c r="I512" s="577"/>
      <c r="J512" s="586"/>
      <c r="K512" s="578">
        <f>(M512*4+N512*2)/2</f>
        <v>12</v>
      </c>
      <c r="L512" s="578"/>
      <c r="M512" s="578">
        <v>6</v>
      </c>
      <c r="N512" s="579"/>
      <c r="O512" s="579"/>
      <c r="P512" s="579"/>
      <c r="Q512" s="579"/>
      <c r="R512" s="579"/>
      <c r="S512" s="579"/>
      <c r="T512" s="579"/>
      <c r="U512" s="575"/>
      <c r="V512" s="575">
        <v>1</v>
      </c>
      <c r="W512" s="575">
        <v>1</v>
      </c>
      <c r="X512" s="575"/>
      <c r="Y512" s="575"/>
      <c r="Z512" s="575">
        <v>2</v>
      </c>
      <c r="AA512" s="583"/>
    </row>
    <row r="513" spans="1:27" s="584" customFormat="1" ht="12.75" customHeight="1" x14ac:dyDescent="0.2">
      <c r="A513" s="575"/>
      <c r="B513" s="583"/>
      <c r="C513" s="583"/>
      <c r="D513" s="587"/>
      <c r="E513" s="576">
        <v>363.64800000000002</v>
      </c>
      <c r="F513" s="576">
        <f>+CEILING(E513,5)</f>
        <v>365</v>
      </c>
      <c r="G513" s="577"/>
      <c r="H513" s="575">
        <f>F513*36</f>
        <v>13140</v>
      </c>
      <c r="I513" s="577">
        <f>F513</f>
        <v>365</v>
      </c>
      <c r="J513" s="586"/>
      <c r="K513" s="578"/>
      <c r="L513" s="578"/>
      <c r="M513" s="578"/>
      <c r="N513" s="579"/>
      <c r="O513" s="579"/>
      <c r="P513" s="579"/>
      <c r="Q513" s="579"/>
      <c r="R513" s="578">
        <v>36</v>
      </c>
      <c r="S513" s="579"/>
      <c r="T513" s="579"/>
      <c r="U513" s="575"/>
      <c r="V513" s="575"/>
      <c r="W513" s="575"/>
      <c r="X513" s="575"/>
      <c r="Y513" s="575"/>
      <c r="Z513" s="575"/>
      <c r="AA513" s="583"/>
    </row>
    <row r="514" spans="1:27" s="584" customFormat="1" ht="12.75" customHeight="1" x14ac:dyDescent="0.2">
      <c r="A514" s="575">
        <f>A512+1</f>
        <v>254</v>
      </c>
      <c r="B514" s="583" t="s">
        <v>568</v>
      </c>
      <c r="C514" s="583" t="s">
        <v>231</v>
      </c>
      <c r="D514" s="587"/>
      <c r="E514" s="576"/>
      <c r="F514" s="576"/>
      <c r="G514" s="577"/>
      <c r="H514" s="575"/>
      <c r="I514" s="577"/>
      <c r="J514" s="586"/>
      <c r="K514" s="578">
        <f>(M514*4+N514*2)/2</f>
        <v>12</v>
      </c>
      <c r="L514" s="578"/>
      <c r="M514" s="578">
        <v>6</v>
      </c>
      <c r="N514" s="579"/>
      <c r="O514" s="579"/>
      <c r="P514" s="579"/>
      <c r="Q514" s="579"/>
      <c r="R514" s="579"/>
      <c r="S514" s="579"/>
      <c r="T514" s="579"/>
      <c r="U514" s="575"/>
      <c r="V514" s="575">
        <v>1</v>
      </c>
      <c r="W514" s="575">
        <v>1</v>
      </c>
      <c r="X514" s="575"/>
      <c r="Y514" s="575"/>
      <c r="Z514" s="575">
        <v>2</v>
      </c>
      <c r="AA514" s="583"/>
    </row>
    <row r="515" spans="1:27" s="584" customFormat="1" ht="12.75" customHeight="1" x14ac:dyDescent="0.2">
      <c r="A515" s="575"/>
      <c r="B515" s="583"/>
      <c r="C515" s="583"/>
      <c r="D515" s="587"/>
      <c r="E515" s="576">
        <v>431.84300000000002</v>
      </c>
      <c r="F515" s="576">
        <f>+CEILING(E515,5)</f>
        <v>435</v>
      </c>
      <c r="G515" s="577"/>
      <c r="H515" s="575">
        <f>F515*36</f>
        <v>15660</v>
      </c>
      <c r="I515" s="577">
        <f>F515</f>
        <v>435</v>
      </c>
      <c r="J515" s="586"/>
      <c r="K515" s="578"/>
      <c r="L515" s="578"/>
      <c r="M515" s="578"/>
      <c r="N515" s="579"/>
      <c r="O515" s="579"/>
      <c r="P515" s="579"/>
      <c r="Q515" s="579"/>
      <c r="R515" s="578">
        <v>42</v>
      </c>
      <c r="S515" s="579"/>
      <c r="T515" s="579"/>
      <c r="U515" s="575"/>
      <c r="V515" s="575"/>
      <c r="W515" s="575"/>
      <c r="X515" s="575"/>
      <c r="Y515" s="575"/>
      <c r="Z515" s="575"/>
      <c r="AA515" s="583"/>
    </row>
    <row r="516" spans="1:27" s="584" customFormat="1" x14ac:dyDescent="0.2">
      <c r="A516" s="575">
        <f>A514+1</f>
        <v>255</v>
      </c>
      <c r="B516" s="583" t="s">
        <v>569</v>
      </c>
      <c r="C516" s="583" t="s">
        <v>20</v>
      </c>
      <c r="D516" s="587"/>
      <c r="E516" s="576"/>
      <c r="F516" s="576"/>
      <c r="G516" s="577"/>
      <c r="H516" s="575"/>
      <c r="I516" s="577"/>
      <c r="J516" s="586"/>
      <c r="K516" s="578">
        <f>(M516*4+N516*2)/2</f>
        <v>12</v>
      </c>
      <c r="L516" s="578"/>
      <c r="M516" s="578">
        <v>6</v>
      </c>
      <c r="N516" s="579"/>
      <c r="O516" s="579"/>
      <c r="P516" s="579"/>
      <c r="Q516" s="579"/>
      <c r="R516" s="579"/>
      <c r="S516" s="579"/>
      <c r="T516" s="579"/>
      <c r="U516" s="575"/>
      <c r="V516" s="575">
        <v>1</v>
      </c>
      <c r="W516" s="575">
        <v>1</v>
      </c>
      <c r="X516" s="575"/>
      <c r="Y516" s="575"/>
      <c r="Z516" s="575">
        <v>2</v>
      </c>
      <c r="AA516" s="583"/>
    </row>
    <row r="517" spans="1:27" s="584" customFormat="1" ht="12.75" customHeight="1" x14ac:dyDescent="0.2">
      <c r="A517" s="575"/>
      <c r="B517" s="583"/>
      <c r="C517" s="583"/>
      <c r="D517" s="587"/>
      <c r="E517" s="576">
        <v>405.30500000000001</v>
      </c>
      <c r="F517" s="576">
        <f>+CEILING(E517,5)</f>
        <v>410</v>
      </c>
      <c r="G517" s="577"/>
      <c r="H517" s="575">
        <f>F517*36</f>
        <v>14760</v>
      </c>
      <c r="I517" s="577">
        <f>F517</f>
        <v>410</v>
      </c>
      <c r="J517" s="586"/>
      <c r="K517" s="578"/>
      <c r="L517" s="578"/>
      <c r="M517" s="578"/>
      <c r="N517" s="579"/>
      <c r="O517" s="579"/>
      <c r="P517" s="579"/>
      <c r="Q517" s="579"/>
      <c r="R517" s="578">
        <v>42</v>
      </c>
      <c r="S517" s="579"/>
      <c r="T517" s="579"/>
      <c r="U517" s="575"/>
      <c r="V517" s="575"/>
      <c r="W517" s="575"/>
      <c r="X517" s="575"/>
      <c r="Y517" s="575"/>
      <c r="Z517" s="575"/>
      <c r="AA517" s="583"/>
    </row>
    <row r="518" spans="1:27" s="584" customFormat="1" ht="12.75" customHeight="1" x14ac:dyDescent="0.2">
      <c r="A518" s="575">
        <f>A516+1</f>
        <v>256</v>
      </c>
      <c r="B518" s="583" t="s">
        <v>570</v>
      </c>
      <c r="C518" s="583" t="s">
        <v>20</v>
      </c>
      <c r="D518" s="587"/>
      <c r="E518" s="576"/>
      <c r="F518" s="576"/>
      <c r="G518" s="577"/>
      <c r="H518" s="575"/>
      <c r="I518" s="577"/>
      <c r="J518" s="586"/>
      <c r="K518" s="578">
        <f>(M518*4+N518*2)/2</f>
        <v>12</v>
      </c>
      <c r="L518" s="578"/>
      <c r="M518" s="578">
        <v>6</v>
      </c>
      <c r="N518" s="579"/>
      <c r="O518" s="579"/>
      <c r="P518" s="579"/>
      <c r="Q518" s="579"/>
      <c r="R518" s="579"/>
      <c r="S518" s="579"/>
      <c r="T518" s="579"/>
      <c r="U518" s="575"/>
      <c r="V518" s="575">
        <v>1</v>
      </c>
      <c r="W518" s="575">
        <v>1</v>
      </c>
      <c r="X518" s="575"/>
      <c r="Y518" s="575"/>
      <c r="Z518" s="575">
        <v>2</v>
      </c>
      <c r="AA518" s="583"/>
    </row>
    <row r="519" spans="1:27" s="584" customFormat="1" ht="12.75" customHeight="1" x14ac:dyDescent="0.2">
      <c r="A519" s="575"/>
      <c r="B519" s="583"/>
      <c r="C519" s="583"/>
      <c r="D519" s="587"/>
      <c r="E519" s="576">
        <v>427.81599999999997</v>
      </c>
      <c r="F519" s="576">
        <f>+CEILING(E519,5)</f>
        <v>430</v>
      </c>
      <c r="G519" s="577"/>
      <c r="H519" s="575">
        <f>F519*36</f>
        <v>15480</v>
      </c>
      <c r="I519" s="577">
        <f>F519</f>
        <v>430</v>
      </c>
      <c r="J519" s="582"/>
      <c r="K519" s="578"/>
      <c r="L519" s="582"/>
      <c r="M519" s="578"/>
      <c r="N519" s="579"/>
      <c r="O519" s="579"/>
      <c r="P519" s="579"/>
      <c r="Q519" s="579"/>
      <c r="R519" s="578">
        <v>42</v>
      </c>
      <c r="S519" s="579"/>
      <c r="T519" s="579"/>
      <c r="U519" s="575"/>
      <c r="V519" s="575"/>
      <c r="W519" s="575"/>
      <c r="X519" s="575"/>
      <c r="Y519" s="575"/>
      <c r="Z519" s="575"/>
      <c r="AA519" s="583"/>
    </row>
    <row r="520" spans="1:27" s="584" customFormat="1" ht="12.75" customHeight="1" x14ac:dyDescent="0.2">
      <c r="A520" s="575">
        <f>A518+1</f>
        <v>257</v>
      </c>
      <c r="B520" s="583" t="s">
        <v>217</v>
      </c>
      <c r="C520" s="583" t="s">
        <v>20</v>
      </c>
      <c r="D520" s="587"/>
      <c r="E520" s="576"/>
      <c r="F520" s="576"/>
      <c r="G520" s="577"/>
      <c r="H520" s="575"/>
      <c r="I520" s="577"/>
      <c r="J520" s="586"/>
      <c r="K520" s="578">
        <f>(M520*4+N520*2)/2</f>
        <v>12</v>
      </c>
      <c r="L520" s="578"/>
      <c r="M520" s="578">
        <v>6</v>
      </c>
      <c r="N520" s="579"/>
      <c r="O520" s="579"/>
      <c r="P520" s="579"/>
      <c r="Q520" s="579"/>
      <c r="R520" s="579"/>
      <c r="S520" s="579"/>
      <c r="T520" s="579"/>
      <c r="U520" s="575"/>
      <c r="V520" s="575">
        <v>1</v>
      </c>
      <c r="W520" s="575">
        <v>1</v>
      </c>
      <c r="X520" s="575"/>
      <c r="Y520" s="575"/>
      <c r="Z520" s="575">
        <v>2</v>
      </c>
      <c r="AA520" s="583"/>
    </row>
    <row r="521" spans="1:27" s="584" customFormat="1" ht="12.75" customHeight="1" x14ac:dyDescent="0.2">
      <c r="A521" s="575"/>
      <c r="B521" s="583"/>
      <c r="C521" s="583"/>
      <c r="D521" s="587"/>
      <c r="E521" s="576">
        <v>389.75700000000001</v>
      </c>
      <c r="F521" s="576">
        <f>+CEILING(E521,5)</f>
        <v>390</v>
      </c>
      <c r="G521" s="577"/>
      <c r="H521" s="575">
        <f>F521*36</f>
        <v>14040</v>
      </c>
      <c r="I521" s="577">
        <f>F521</f>
        <v>390</v>
      </c>
      <c r="J521" s="586"/>
      <c r="K521" s="578"/>
      <c r="L521" s="578"/>
      <c r="M521" s="578"/>
      <c r="N521" s="579"/>
      <c r="O521" s="579"/>
      <c r="P521" s="579"/>
      <c r="Q521" s="579"/>
      <c r="R521" s="578">
        <v>36</v>
      </c>
      <c r="S521" s="579"/>
      <c r="T521" s="579"/>
      <c r="U521" s="575"/>
      <c r="V521" s="575"/>
      <c r="W521" s="575"/>
      <c r="X521" s="575"/>
      <c r="Y521" s="575"/>
      <c r="Z521" s="575"/>
      <c r="AA521" s="583"/>
    </row>
    <row r="522" spans="1:27" s="584" customFormat="1" ht="12.75" customHeight="1" x14ac:dyDescent="0.2">
      <c r="A522" s="575">
        <f>A520+1</f>
        <v>258</v>
      </c>
      <c r="B522" s="583" t="s">
        <v>571</v>
      </c>
      <c r="C522" s="583" t="s">
        <v>20</v>
      </c>
      <c r="D522" s="587"/>
      <c r="E522" s="576"/>
      <c r="F522" s="576"/>
      <c r="G522" s="577"/>
      <c r="H522" s="575"/>
      <c r="I522" s="577"/>
      <c r="J522" s="586"/>
      <c r="K522" s="578">
        <f>(M522*4+N522*2)/2</f>
        <v>12</v>
      </c>
      <c r="L522" s="578"/>
      <c r="M522" s="578">
        <v>6</v>
      </c>
      <c r="N522" s="579"/>
      <c r="O522" s="579"/>
      <c r="P522" s="579"/>
      <c r="Q522" s="579"/>
      <c r="R522" s="579"/>
      <c r="S522" s="579"/>
      <c r="T522" s="579"/>
      <c r="U522" s="575"/>
      <c r="V522" s="575">
        <v>1</v>
      </c>
      <c r="W522" s="575">
        <v>1</v>
      </c>
      <c r="X522" s="575"/>
      <c r="Y522" s="575"/>
      <c r="Z522" s="575">
        <v>2</v>
      </c>
      <c r="AA522" s="583"/>
    </row>
    <row r="523" spans="1:27" s="584" customFormat="1" ht="12.75" customHeight="1" x14ac:dyDescent="0.2">
      <c r="A523" s="575"/>
      <c r="B523" s="583"/>
      <c r="C523" s="583"/>
      <c r="D523" s="587"/>
      <c r="E523" s="576">
        <v>449.54300000000001</v>
      </c>
      <c r="F523" s="576">
        <f>+CEILING(E523,5)</f>
        <v>450</v>
      </c>
      <c r="G523" s="577"/>
      <c r="H523" s="575">
        <f>F523*36</f>
        <v>16200</v>
      </c>
      <c r="I523" s="577">
        <f>F523</f>
        <v>450</v>
      </c>
      <c r="J523" s="586"/>
      <c r="K523" s="578"/>
      <c r="L523" s="578"/>
      <c r="M523" s="578"/>
      <c r="N523" s="579"/>
      <c r="O523" s="579"/>
      <c r="P523" s="579"/>
      <c r="Q523" s="579"/>
      <c r="R523" s="578">
        <v>42</v>
      </c>
      <c r="S523" s="579"/>
      <c r="T523" s="579"/>
      <c r="U523" s="575"/>
      <c r="V523" s="575"/>
      <c r="W523" s="575"/>
      <c r="X523" s="575"/>
      <c r="Y523" s="575"/>
      <c r="Z523" s="575"/>
      <c r="AA523" s="583"/>
    </row>
    <row r="524" spans="1:27" s="584" customFormat="1" ht="12.75" customHeight="1" x14ac:dyDescent="0.2">
      <c r="A524" s="575">
        <f>A522+1</f>
        <v>259</v>
      </c>
      <c r="B524" s="583" t="s">
        <v>572</v>
      </c>
      <c r="C524" s="583" t="s">
        <v>233</v>
      </c>
      <c r="D524" s="587"/>
      <c r="E524" s="576"/>
      <c r="F524" s="576"/>
      <c r="G524" s="577"/>
      <c r="H524" s="575"/>
      <c r="I524" s="577"/>
      <c r="J524" s="586"/>
      <c r="K524" s="578">
        <f>(M524*4+N524*2)/2</f>
        <v>12</v>
      </c>
      <c r="L524" s="578"/>
      <c r="M524" s="578">
        <v>6</v>
      </c>
      <c r="N524" s="579"/>
      <c r="O524" s="579"/>
      <c r="P524" s="579"/>
      <c r="Q524" s="579"/>
      <c r="R524" s="579"/>
      <c r="S524" s="579"/>
      <c r="T524" s="579"/>
      <c r="U524" s="575"/>
      <c r="V524" s="575">
        <v>1</v>
      </c>
      <c r="W524" s="575">
        <v>1</v>
      </c>
      <c r="X524" s="575"/>
      <c r="Y524" s="575"/>
      <c r="Z524" s="575">
        <v>2</v>
      </c>
      <c r="AA524" s="583"/>
    </row>
    <row r="525" spans="1:27" s="584" customFormat="1" ht="12.75" customHeight="1" x14ac:dyDescent="0.2">
      <c r="A525" s="575"/>
      <c r="B525" s="583"/>
      <c r="C525" s="583"/>
      <c r="D525" s="587"/>
      <c r="E525" s="576">
        <v>387.97699999999998</v>
      </c>
      <c r="F525" s="576">
        <f>+CEILING(E525,5)</f>
        <v>390</v>
      </c>
      <c r="G525" s="577"/>
      <c r="H525" s="575">
        <f>F525*36</f>
        <v>14040</v>
      </c>
      <c r="I525" s="577">
        <f>F525</f>
        <v>390</v>
      </c>
      <c r="J525" s="586"/>
      <c r="K525" s="578"/>
      <c r="L525" s="578"/>
      <c r="M525" s="578"/>
      <c r="N525" s="579"/>
      <c r="O525" s="579"/>
      <c r="P525" s="579"/>
      <c r="Q525" s="579"/>
      <c r="R525" s="578">
        <v>36</v>
      </c>
      <c r="S525" s="579"/>
      <c r="T525" s="579"/>
      <c r="U525" s="575"/>
      <c r="V525" s="575"/>
      <c r="W525" s="575"/>
      <c r="X525" s="575"/>
      <c r="Y525" s="575"/>
      <c r="Z525" s="575"/>
      <c r="AA525" s="583"/>
    </row>
    <row r="526" spans="1:27" s="584" customFormat="1" x14ac:dyDescent="0.2">
      <c r="A526" s="575">
        <f>A524+1</f>
        <v>260</v>
      </c>
      <c r="B526" s="583" t="s">
        <v>573</v>
      </c>
      <c r="C526" s="583" t="s">
        <v>233</v>
      </c>
      <c r="D526" s="587"/>
      <c r="E526" s="576"/>
      <c r="F526" s="576"/>
      <c r="G526" s="577"/>
      <c r="H526" s="575"/>
      <c r="I526" s="577"/>
      <c r="J526" s="586"/>
      <c r="K526" s="578">
        <f>(M526*4+N526*2)/2</f>
        <v>12</v>
      </c>
      <c r="L526" s="578"/>
      <c r="M526" s="578">
        <v>6</v>
      </c>
      <c r="N526" s="579"/>
      <c r="O526" s="579"/>
      <c r="P526" s="579"/>
      <c r="Q526" s="579"/>
      <c r="R526" s="579"/>
      <c r="S526" s="579"/>
      <c r="T526" s="579"/>
      <c r="U526" s="575"/>
      <c r="V526" s="575">
        <v>1</v>
      </c>
      <c r="W526" s="575">
        <v>1</v>
      </c>
      <c r="X526" s="575"/>
      <c r="Y526" s="575"/>
      <c r="Z526" s="575">
        <v>2</v>
      </c>
      <c r="AA526" s="583"/>
    </row>
    <row r="527" spans="1:27" s="584" customFormat="1" x14ac:dyDescent="0.2">
      <c r="A527" s="575"/>
      <c r="B527" s="583"/>
      <c r="C527" s="583"/>
      <c r="D527" s="587"/>
      <c r="E527" s="576">
        <v>346.33199999999999</v>
      </c>
      <c r="F527" s="576">
        <f>+CEILING(E527,5)</f>
        <v>350</v>
      </c>
      <c r="G527" s="577"/>
      <c r="H527" s="575">
        <f>F527*36</f>
        <v>12600</v>
      </c>
      <c r="I527" s="577">
        <f>F527</f>
        <v>350</v>
      </c>
      <c r="J527" s="582"/>
      <c r="K527" s="578"/>
      <c r="L527" s="582"/>
      <c r="M527" s="578"/>
      <c r="N527" s="575"/>
      <c r="O527" s="575"/>
      <c r="P527" s="575"/>
      <c r="Q527" s="575"/>
      <c r="R527" s="578">
        <v>36</v>
      </c>
      <c r="S527" s="575"/>
      <c r="T527" s="575"/>
      <c r="U527" s="575"/>
      <c r="V527" s="575"/>
      <c r="W527" s="575"/>
      <c r="X527" s="575"/>
      <c r="Y527" s="575"/>
      <c r="Z527" s="575"/>
      <c r="AA527" s="583"/>
    </row>
    <row r="528" spans="1:27" s="584" customFormat="1" x14ac:dyDescent="0.2">
      <c r="A528" s="575">
        <f>A526+1</f>
        <v>261</v>
      </c>
      <c r="B528" s="583" t="s">
        <v>574</v>
      </c>
      <c r="C528" s="583" t="s">
        <v>20</v>
      </c>
      <c r="D528" s="587"/>
      <c r="E528" s="576"/>
      <c r="F528" s="576"/>
      <c r="G528" s="577"/>
      <c r="H528" s="575"/>
      <c r="I528" s="577"/>
      <c r="J528" s="586"/>
      <c r="K528" s="578">
        <f>(M528*4+N528*2)/2</f>
        <v>12</v>
      </c>
      <c r="L528" s="578"/>
      <c r="M528" s="578">
        <v>6</v>
      </c>
      <c r="N528" s="579"/>
      <c r="O528" s="579"/>
      <c r="P528" s="579"/>
      <c r="Q528" s="579"/>
      <c r="R528" s="579"/>
      <c r="S528" s="579"/>
      <c r="T528" s="579"/>
      <c r="U528" s="575"/>
      <c r="V528" s="575">
        <v>1</v>
      </c>
      <c r="W528" s="575">
        <v>1</v>
      </c>
      <c r="X528" s="575"/>
      <c r="Y528" s="575"/>
      <c r="Z528" s="575">
        <v>2</v>
      </c>
      <c r="AA528" s="583"/>
    </row>
    <row r="529" spans="1:27" s="584" customFormat="1" x14ac:dyDescent="0.2">
      <c r="A529" s="575"/>
      <c r="B529" s="583"/>
      <c r="C529" s="583"/>
      <c r="D529" s="587"/>
      <c r="E529" s="576">
        <v>444.84300000000002</v>
      </c>
      <c r="F529" s="576">
        <f>+CEILING(E529,5)</f>
        <v>445</v>
      </c>
      <c r="G529" s="577"/>
      <c r="H529" s="575">
        <f>F529*36</f>
        <v>16020</v>
      </c>
      <c r="I529" s="577">
        <f>F529</f>
        <v>445</v>
      </c>
      <c r="J529" s="582"/>
      <c r="K529" s="578"/>
      <c r="L529" s="578"/>
      <c r="M529" s="578"/>
      <c r="N529" s="579"/>
      <c r="O529" s="579"/>
      <c r="P529" s="579"/>
      <c r="Q529" s="579"/>
      <c r="R529" s="578">
        <v>42</v>
      </c>
      <c r="S529" s="579"/>
      <c r="T529" s="579"/>
      <c r="U529" s="575"/>
      <c r="V529" s="575"/>
      <c r="W529" s="575"/>
      <c r="X529" s="575"/>
      <c r="Y529" s="575"/>
      <c r="Z529" s="575"/>
      <c r="AA529" s="583"/>
    </row>
    <row r="530" spans="1:27" s="584" customFormat="1" x14ac:dyDescent="0.2">
      <c r="A530" s="575">
        <f>A528+1</f>
        <v>262</v>
      </c>
      <c r="B530" s="583" t="s">
        <v>575</v>
      </c>
      <c r="C530" s="583" t="s">
        <v>20</v>
      </c>
      <c r="D530" s="587"/>
      <c r="E530" s="576"/>
      <c r="F530" s="576"/>
      <c r="G530" s="577"/>
      <c r="H530" s="575"/>
      <c r="I530" s="577"/>
      <c r="J530" s="586"/>
      <c r="K530" s="578">
        <f>(M530*4+N530*2)/2</f>
        <v>12</v>
      </c>
      <c r="L530" s="578"/>
      <c r="M530" s="578">
        <v>6</v>
      </c>
      <c r="N530" s="579"/>
      <c r="O530" s="579"/>
      <c r="P530" s="579"/>
      <c r="Q530" s="579"/>
      <c r="R530" s="579"/>
      <c r="S530" s="579"/>
      <c r="T530" s="579"/>
      <c r="U530" s="575"/>
      <c r="V530" s="575">
        <v>1</v>
      </c>
      <c r="W530" s="575">
        <v>1</v>
      </c>
      <c r="X530" s="575"/>
      <c r="Y530" s="575"/>
      <c r="Z530" s="575">
        <v>2</v>
      </c>
      <c r="AA530" s="583"/>
    </row>
    <row r="531" spans="1:27" s="584" customFormat="1" x14ac:dyDescent="0.2">
      <c r="A531" s="575"/>
      <c r="B531" s="583"/>
      <c r="C531" s="583"/>
      <c r="D531" s="587"/>
      <c r="E531" s="576">
        <v>383.92500000000001</v>
      </c>
      <c r="F531" s="576">
        <f>+CEILING(E531,5)</f>
        <v>385</v>
      </c>
      <c r="G531" s="577"/>
      <c r="H531" s="575">
        <f>F531*36</f>
        <v>13860</v>
      </c>
      <c r="I531" s="577">
        <f>F531</f>
        <v>385</v>
      </c>
      <c r="J531" s="586"/>
      <c r="K531" s="578"/>
      <c r="L531" s="578"/>
      <c r="M531" s="578"/>
      <c r="N531" s="579"/>
      <c r="O531" s="579"/>
      <c r="P531" s="579"/>
      <c r="Q531" s="579"/>
      <c r="R531" s="578">
        <v>36</v>
      </c>
      <c r="S531" s="579"/>
      <c r="T531" s="579"/>
      <c r="U531" s="575"/>
      <c r="V531" s="575"/>
      <c r="W531" s="575"/>
      <c r="X531" s="575"/>
      <c r="Y531" s="575"/>
      <c r="Z531" s="575"/>
      <c r="AA531" s="583"/>
    </row>
    <row r="532" spans="1:27" s="584" customFormat="1" x14ac:dyDescent="0.2">
      <c r="A532" s="575">
        <f>A530+1</f>
        <v>263</v>
      </c>
      <c r="B532" s="583" t="s">
        <v>666</v>
      </c>
      <c r="C532" s="583" t="s">
        <v>243</v>
      </c>
      <c r="D532" s="583" t="s">
        <v>1115</v>
      </c>
      <c r="E532" s="576"/>
      <c r="F532" s="576"/>
      <c r="G532" s="577"/>
      <c r="H532" s="575"/>
      <c r="I532" s="577"/>
      <c r="J532" s="578">
        <v>48</v>
      </c>
      <c r="K532" s="586"/>
      <c r="L532" s="578">
        <v>12</v>
      </c>
      <c r="M532" s="586"/>
      <c r="N532" s="580"/>
      <c r="O532" s="580"/>
      <c r="P532" s="580"/>
      <c r="Q532" s="580"/>
      <c r="R532" s="579"/>
      <c r="S532" s="575">
        <v>30</v>
      </c>
      <c r="T532" s="580"/>
      <c r="U532" s="575">
        <v>2</v>
      </c>
      <c r="V532" s="580"/>
      <c r="W532" s="575">
        <v>2</v>
      </c>
      <c r="X532" s="580"/>
      <c r="Y532" s="580"/>
      <c r="Z532" s="575">
        <v>4</v>
      </c>
      <c r="AA532" s="583"/>
    </row>
    <row r="533" spans="1:27" s="584" customFormat="1" ht="12.75" customHeight="1" x14ac:dyDescent="0.2">
      <c r="A533" s="575"/>
      <c r="B533" s="583"/>
      <c r="C533" s="583"/>
      <c r="D533" s="583"/>
      <c r="E533" s="576">
        <v>384.29300000000001</v>
      </c>
      <c r="F533" s="576">
        <f>+CEILING(E533,5)</f>
        <v>385</v>
      </c>
      <c r="G533" s="577"/>
      <c r="H533" s="575">
        <f>F533*36</f>
        <v>13860</v>
      </c>
      <c r="I533" s="577">
        <f>F533</f>
        <v>385</v>
      </c>
      <c r="J533" s="586"/>
      <c r="K533" s="578"/>
      <c r="L533" s="578"/>
      <c r="M533" s="578"/>
      <c r="N533" s="579"/>
      <c r="O533" s="579"/>
      <c r="P533" s="579"/>
      <c r="Q533" s="579"/>
      <c r="R533" s="578">
        <v>36</v>
      </c>
      <c r="S533" s="579"/>
      <c r="T533" s="579"/>
      <c r="U533" s="575"/>
      <c r="V533" s="575"/>
      <c r="W533" s="575"/>
      <c r="X533" s="575"/>
      <c r="Y533" s="575"/>
      <c r="Z533" s="575"/>
      <c r="AA533" s="583"/>
    </row>
    <row r="534" spans="1:27" s="584" customFormat="1" ht="12.75" customHeight="1" x14ac:dyDescent="0.2">
      <c r="A534" s="575">
        <f>A532+1</f>
        <v>264</v>
      </c>
      <c r="B534" s="583" t="s">
        <v>667</v>
      </c>
      <c r="C534" s="583" t="s">
        <v>231</v>
      </c>
      <c r="D534" s="583"/>
      <c r="E534" s="576"/>
      <c r="F534" s="576"/>
      <c r="G534" s="577"/>
      <c r="H534" s="575"/>
      <c r="I534" s="577"/>
      <c r="J534" s="586"/>
      <c r="K534" s="578">
        <f>(M534*4+N534*2)/2</f>
        <v>12</v>
      </c>
      <c r="L534" s="578"/>
      <c r="M534" s="578">
        <v>6</v>
      </c>
      <c r="N534" s="579"/>
      <c r="O534" s="579"/>
      <c r="P534" s="579"/>
      <c r="Q534" s="579"/>
      <c r="R534" s="579"/>
      <c r="S534" s="579"/>
      <c r="T534" s="579"/>
      <c r="U534" s="575"/>
      <c r="V534" s="575">
        <v>1</v>
      </c>
      <c r="W534" s="575">
        <v>1</v>
      </c>
      <c r="X534" s="575"/>
      <c r="Y534" s="575"/>
      <c r="Z534" s="575">
        <v>2</v>
      </c>
      <c r="AA534" s="583"/>
    </row>
    <row r="535" spans="1:27" s="584" customFormat="1" ht="12.75" customHeight="1" x14ac:dyDescent="0.2">
      <c r="A535" s="575"/>
      <c r="B535" s="583"/>
      <c r="C535" s="583"/>
      <c r="D535" s="583"/>
      <c r="E535" s="576">
        <v>359</v>
      </c>
      <c r="F535" s="576">
        <f>+CEILING(E535,5)</f>
        <v>360</v>
      </c>
      <c r="G535" s="577"/>
      <c r="H535" s="575">
        <f>F535*36</f>
        <v>12960</v>
      </c>
      <c r="I535" s="577">
        <f>F535</f>
        <v>360</v>
      </c>
      <c r="J535" s="586"/>
      <c r="K535" s="578"/>
      <c r="L535" s="578"/>
      <c r="M535" s="578"/>
      <c r="N535" s="579"/>
      <c r="O535" s="579"/>
      <c r="P535" s="579"/>
      <c r="Q535" s="579"/>
      <c r="R535" s="578">
        <v>36</v>
      </c>
      <c r="S535" s="579"/>
      <c r="T535" s="579"/>
      <c r="U535" s="575"/>
      <c r="V535" s="575"/>
      <c r="W535" s="575"/>
      <c r="X535" s="575"/>
      <c r="Y535" s="575"/>
      <c r="Z535" s="575"/>
      <c r="AA535" s="583"/>
    </row>
    <row r="536" spans="1:27" s="584" customFormat="1" ht="12.75" customHeight="1" x14ac:dyDescent="0.2">
      <c r="A536" s="575">
        <f>A534+1</f>
        <v>265</v>
      </c>
      <c r="B536" s="583" t="s">
        <v>668</v>
      </c>
      <c r="C536" s="583" t="s">
        <v>231</v>
      </c>
      <c r="D536" s="583"/>
      <c r="E536" s="576"/>
      <c r="F536" s="576"/>
      <c r="G536" s="577"/>
      <c r="H536" s="575"/>
      <c r="I536" s="577"/>
      <c r="J536" s="586"/>
      <c r="K536" s="578">
        <f>(M536*4+N536*2)/2</f>
        <v>12</v>
      </c>
      <c r="L536" s="578"/>
      <c r="M536" s="578">
        <v>6</v>
      </c>
      <c r="N536" s="579"/>
      <c r="O536" s="579"/>
      <c r="P536" s="579"/>
      <c r="Q536" s="579"/>
      <c r="R536" s="579"/>
      <c r="S536" s="579"/>
      <c r="T536" s="579"/>
      <c r="U536" s="575"/>
      <c r="V536" s="575">
        <v>1</v>
      </c>
      <c r="W536" s="575">
        <v>1</v>
      </c>
      <c r="X536" s="575"/>
      <c r="Y536" s="575"/>
      <c r="Z536" s="575">
        <v>2</v>
      </c>
      <c r="AA536" s="583"/>
    </row>
    <row r="537" spans="1:27" s="584" customFormat="1" ht="12.75" customHeight="1" x14ac:dyDescent="0.2">
      <c r="A537" s="575"/>
      <c r="B537" s="583"/>
      <c r="C537" s="583"/>
      <c r="D537" s="583"/>
      <c r="E537" s="576">
        <v>333.99900000000002</v>
      </c>
      <c r="F537" s="576">
        <f>+CEILING(E537,5)</f>
        <v>335</v>
      </c>
      <c r="G537" s="577"/>
      <c r="H537" s="575">
        <f>F537*36</f>
        <v>12060</v>
      </c>
      <c r="I537" s="577">
        <f>F537</f>
        <v>335</v>
      </c>
      <c r="J537" s="582"/>
      <c r="K537" s="578"/>
      <c r="L537" s="582"/>
      <c r="M537" s="578"/>
      <c r="N537" s="579"/>
      <c r="O537" s="579"/>
      <c r="P537" s="579"/>
      <c r="Q537" s="579"/>
      <c r="R537" s="578">
        <v>36</v>
      </c>
      <c r="S537" s="579"/>
      <c r="T537" s="579"/>
      <c r="U537" s="575"/>
      <c r="V537" s="575"/>
      <c r="W537" s="575"/>
      <c r="X537" s="575"/>
      <c r="Y537" s="575"/>
      <c r="Z537" s="575"/>
      <c r="AA537" s="583"/>
    </row>
    <row r="538" spans="1:27" s="584" customFormat="1" ht="12.75" customHeight="1" x14ac:dyDescent="0.2">
      <c r="A538" s="575">
        <f>A536+1</f>
        <v>266</v>
      </c>
      <c r="B538" s="583" t="s">
        <v>669</v>
      </c>
      <c r="C538" s="583" t="s">
        <v>231</v>
      </c>
      <c r="D538" s="583"/>
      <c r="E538" s="576"/>
      <c r="F538" s="576"/>
      <c r="G538" s="577"/>
      <c r="H538" s="575"/>
      <c r="I538" s="577"/>
      <c r="J538" s="586"/>
      <c r="K538" s="578">
        <f>(M538*4+N538*2)/2</f>
        <v>12</v>
      </c>
      <c r="L538" s="578"/>
      <c r="M538" s="578">
        <v>6</v>
      </c>
      <c r="N538" s="579"/>
      <c r="O538" s="579"/>
      <c r="P538" s="579"/>
      <c r="Q538" s="579"/>
      <c r="R538" s="579"/>
      <c r="S538" s="579"/>
      <c r="T538" s="579"/>
      <c r="U538" s="575"/>
      <c r="V538" s="575">
        <v>1</v>
      </c>
      <c r="W538" s="575">
        <v>1</v>
      </c>
      <c r="X538" s="575"/>
      <c r="Y538" s="575"/>
      <c r="Z538" s="575">
        <v>2</v>
      </c>
      <c r="AA538" s="583"/>
    </row>
    <row r="539" spans="1:27" s="584" customFormat="1" ht="12.75" customHeight="1" x14ac:dyDescent="0.2">
      <c r="A539" s="575"/>
      <c r="B539" s="583"/>
      <c r="C539" s="583"/>
      <c r="D539" s="583"/>
      <c r="E539" s="576">
        <v>395</v>
      </c>
      <c r="F539" s="576">
        <f>+CEILING(E539,5)</f>
        <v>395</v>
      </c>
      <c r="G539" s="577"/>
      <c r="H539" s="575">
        <f>F539*36</f>
        <v>14220</v>
      </c>
      <c r="I539" s="577">
        <f>F539</f>
        <v>395</v>
      </c>
      <c r="J539" s="578"/>
      <c r="K539" s="578"/>
      <c r="L539" s="578"/>
      <c r="M539" s="578"/>
      <c r="N539" s="579"/>
      <c r="O539" s="579"/>
      <c r="P539" s="579"/>
      <c r="Q539" s="579"/>
      <c r="R539" s="578">
        <v>42</v>
      </c>
      <c r="S539" s="579"/>
      <c r="T539" s="579"/>
      <c r="U539" s="575"/>
      <c r="V539" s="575"/>
      <c r="W539" s="575"/>
      <c r="X539" s="575"/>
      <c r="Y539" s="575"/>
      <c r="Z539" s="575"/>
      <c r="AA539" s="583"/>
    </row>
    <row r="540" spans="1:27" s="584" customFormat="1" ht="12.75" customHeight="1" x14ac:dyDescent="0.2">
      <c r="A540" s="575">
        <f>A538+1</f>
        <v>267</v>
      </c>
      <c r="B540" s="583" t="s">
        <v>670</v>
      </c>
      <c r="C540" s="583" t="s">
        <v>233</v>
      </c>
      <c r="D540" s="583"/>
      <c r="E540" s="576"/>
      <c r="F540" s="576"/>
      <c r="G540" s="577"/>
      <c r="H540" s="575"/>
      <c r="I540" s="577"/>
      <c r="J540" s="586"/>
      <c r="K540" s="578">
        <f>(M540*4+N540*2)/2</f>
        <v>12</v>
      </c>
      <c r="L540" s="578"/>
      <c r="M540" s="578">
        <v>6</v>
      </c>
      <c r="N540" s="579"/>
      <c r="O540" s="579"/>
      <c r="P540" s="579"/>
      <c r="Q540" s="579"/>
      <c r="R540" s="579"/>
      <c r="S540" s="579"/>
      <c r="T540" s="579"/>
      <c r="U540" s="575"/>
      <c r="V540" s="575">
        <v>1</v>
      </c>
      <c r="W540" s="575">
        <v>1</v>
      </c>
      <c r="X540" s="575"/>
      <c r="Y540" s="575"/>
      <c r="Z540" s="575">
        <v>2</v>
      </c>
      <c r="AA540" s="583"/>
    </row>
    <row r="541" spans="1:27" s="584" customFormat="1" ht="12.75" customHeight="1" x14ac:dyDescent="0.2">
      <c r="A541" s="575"/>
      <c r="B541" s="583"/>
      <c r="C541" s="583"/>
      <c r="D541" s="583"/>
      <c r="E541" s="576">
        <v>355.00099999999998</v>
      </c>
      <c r="F541" s="576">
        <f>+CEILING(E541,5)</f>
        <v>360</v>
      </c>
      <c r="G541" s="577"/>
      <c r="H541" s="575">
        <f>F541*36</f>
        <v>12960</v>
      </c>
      <c r="I541" s="577">
        <f>F541</f>
        <v>360</v>
      </c>
      <c r="J541" s="582"/>
      <c r="K541" s="578"/>
      <c r="L541" s="582"/>
      <c r="M541" s="578"/>
      <c r="N541" s="575"/>
      <c r="O541" s="575"/>
      <c r="P541" s="575"/>
      <c r="Q541" s="575"/>
      <c r="R541" s="578">
        <v>36</v>
      </c>
      <c r="S541" s="575"/>
      <c r="T541" s="575"/>
      <c r="U541" s="575"/>
      <c r="V541" s="575"/>
      <c r="W541" s="575"/>
      <c r="X541" s="575"/>
      <c r="Y541" s="575"/>
      <c r="Z541" s="575"/>
      <c r="AA541" s="583"/>
    </row>
    <row r="542" spans="1:27" s="584" customFormat="1" ht="12.75" customHeight="1" x14ac:dyDescent="0.2">
      <c r="A542" s="575">
        <f>A540+1</f>
        <v>268</v>
      </c>
      <c r="B542" s="583" t="s">
        <v>671</v>
      </c>
      <c r="C542" s="583" t="s">
        <v>233</v>
      </c>
      <c r="D542" s="583"/>
      <c r="E542" s="576"/>
      <c r="F542" s="576"/>
      <c r="G542" s="577"/>
      <c r="H542" s="575"/>
      <c r="I542" s="577"/>
      <c r="J542" s="586"/>
      <c r="K542" s="578">
        <f>(M542*4+N542*2)/2</f>
        <v>12</v>
      </c>
      <c r="L542" s="578"/>
      <c r="M542" s="578">
        <v>6</v>
      </c>
      <c r="N542" s="579"/>
      <c r="O542" s="579"/>
      <c r="P542" s="579"/>
      <c r="Q542" s="579"/>
      <c r="R542" s="579"/>
      <c r="S542" s="579"/>
      <c r="T542" s="579"/>
      <c r="U542" s="575"/>
      <c r="V542" s="575">
        <v>1</v>
      </c>
      <c r="W542" s="575">
        <v>1</v>
      </c>
      <c r="X542" s="575"/>
      <c r="Y542" s="575"/>
      <c r="Z542" s="575">
        <v>2</v>
      </c>
      <c r="AA542" s="583"/>
    </row>
    <row r="543" spans="1:27" s="584" customFormat="1" ht="12.75" customHeight="1" x14ac:dyDescent="0.2">
      <c r="A543" s="575"/>
      <c r="B543" s="583"/>
      <c r="C543" s="583"/>
      <c r="D543" s="583"/>
      <c r="E543" s="576">
        <v>484.99900000000002</v>
      </c>
      <c r="F543" s="576">
        <f>+CEILING(E543,5)</f>
        <v>485</v>
      </c>
      <c r="G543" s="577"/>
      <c r="H543" s="575">
        <f>F543*36</f>
        <v>17460</v>
      </c>
      <c r="I543" s="577">
        <f>F543</f>
        <v>485</v>
      </c>
      <c r="J543" s="578"/>
      <c r="K543" s="578"/>
      <c r="L543" s="578"/>
      <c r="M543" s="578"/>
      <c r="N543" s="579"/>
      <c r="O543" s="579"/>
      <c r="P543" s="579"/>
      <c r="Q543" s="579"/>
      <c r="R543" s="578">
        <v>48</v>
      </c>
      <c r="S543" s="579"/>
      <c r="T543" s="579"/>
      <c r="U543" s="575"/>
      <c r="V543" s="575"/>
      <c r="W543" s="575"/>
      <c r="X543" s="575"/>
      <c r="Y543" s="575"/>
      <c r="Z543" s="575"/>
      <c r="AA543" s="583"/>
    </row>
    <row r="544" spans="1:27" s="584" customFormat="1" ht="12.75" customHeight="1" x14ac:dyDescent="0.2">
      <c r="A544" s="575">
        <f>A542+1</f>
        <v>269</v>
      </c>
      <c r="B544" s="583" t="s">
        <v>672</v>
      </c>
      <c r="C544" s="583" t="s">
        <v>243</v>
      </c>
      <c r="D544" s="583" t="s">
        <v>1116</v>
      </c>
      <c r="E544" s="576"/>
      <c r="F544" s="576"/>
      <c r="G544" s="577"/>
      <c r="H544" s="575"/>
      <c r="I544" s="577"/>
      <c r="J544" s="578">
        <v>48</v>
      </c>
      <c r="K544" s="586"/>
      <c r="L544" s="578">
        <v>12</v>
      </c>
      <c r="M544" s="586"/>
      <c r="N544" s="580"/>
      <c r="O544" s="580"/>
      <c r="P544" s="580"/>
      <c r="Q544" s="580"/>
      <c r="R544" s="579"/>
      <c r="S544" s="575">
        <v>30</v>
      </c>
      <c r="T544" s="580"/>
      <c r="U544" s="575">
        <v>2</v>
      </c>
      <c r="V544" s="580"/>
      <c r="W544" s="575">
        <v>2</v>
      </c>
      <c r="X544" s="580"/>
      <c r="Y544" s="580"/>
      <c r="Z544" s="575">
        <v>4</v>
      </c>
      <c r="AA544" s="583"/>
    </row>
    <row r="545" spans="1:27" s="584" customFormat="1" ht="12.75" customHeight="1" x14ac:dyDescent="0.2">
      <c r="A545" s="575"/>
      <c r="B545" s="583"/>
      <c r="C545" s="583"/>
      <c r="D545" s="583"/>
      <c r="E545" s="576">
        <v>473.00099999999998</v>
      </c>
      <c r="F545" s="576">
        <f>+CEILING(E545,5)</f>
        <v>475</v>
      </c>
      <c r="G545" s="577"/>
      <c r="H545" s="575">
        <f>F545*36</f>
        <v>17100</v>
      </c>
      <c r="I545" s="577">
        <f>F545</f>
        <v>475</v>
      </c>
      <c r="J545" s="582"/>
      <c r="K545" s="578"/>
      <c r="L545" s="582"/>
      <c r="M545" s="578"/>
      <c r="N545" s="575"/>
      <c r="O545" s="575"/>
      <c r="P545" s="575"/>
      <c r="Q545" s="575"/>
      <c r="R545" s="578">
        <v>48</v>
      </c>
      <c r="S545" s="575"/>
      <c r="T545" s="575"/>
      <c r="U545" s="575"/>
      <c r="V545" s="575"/>
      <c r="W545" s="575"/>
      <c r="X545" s="575"/>
      <c r="Y545" s="575"/>
      <c r="Z545" s="575"/>
      <c r="AA545" s="583"/>
    </row>
    <row r="546" spans="1:27" s="584" customFormat="1" ht="12.75" customHeight="1" x14ac:dyDescent="0.2">
      <c r="A546" s="575">
        <f>A544+1</f>
        <v>270</v>
      </c>
      <c r="B546" s="583" t="s">
        <v>673</v>
      </c>
      <c r="C546" s="583" t="s">
        <v>233</v>
      </c>
      <c r="D546" s="583"/>
      <c r="E546" s="576"/>
      <c r="F546" s="576"/>
      <c r="G546" s="577"/>
      <c r="H546" s="575"/>
      <c r="I546" s="577"/>
      <c r="J546" s="586"/>
      <c r="K546" s="578">
        <f>(M546*4+N546*2)/2</f>
        <v>12</v>
      </c>
      <c r="L546" s="578"/>
      <c r="M546" s="578">
        <v>6</v>
      </c>
      <c r="N546" s="579"/>
      <c r="O546" s="579"/>
      <c r="P546" s="579"/>
      <c r="Q546" s="579"/>
      <c r="R546" s="579"/>
      <c r="S546" s="579"/>
      <c r="T546" s="579"/>
      <c r="U546" s="575"/>
      <c r="V546" s="575">
        <v>1</v>
      </c>
      <c r="W546" s="575">
        <v>1</v>
      </c>
      <c r="X546" s="575"/>
      <c r="Y546" s="575"/>
      <c r="Z546" s="575">
        <v>2</v>
      </c>
      <c r="AA546" s="583"/>
    </row>
    <row r="547" spans="1:27" s="584" customFormat="1" ht="12.75" customHeight="1" x14ac:dyDescent="0.2">
      <c r="A547" s="575"/>
      <c r="B547" s="583"/>
      <c r="C547" s="583"/>
      <c r="D547" s="583"/>
      <c r="E547" s="576">
        <v>367</v>
      </c>
      <c r="F547" s="576">
        <f>+CEILING(E547,5)</f>
        <v>370</v>
      </c>
      <c r="G547" s="577"/>
      <c r="H547" s="575">
        <f>F547*36</f>
        <v>13320</v>
      </c>
      <c r="I547" s="577">
        <f>F547</f>
        <v>370</v>
      </c>
      <c r="J547" s="582"/>
      <c r="K547" s="582"/>
      <c r="L547" s="582"/>
      <c r="M547" s="582"/>
      <c r="N547" s="575"/>
      <c r="O547" s="575"/>
      <c r="P547" s="575"/>
      <c r="Q547" s="575"/>
      <c r="R547" s="578">
        <v>36</v>
      </c>
      <c r="S547" s="579"/>
      <c r="T547" s="575"/>
      <c r="U547" s="575"/>
      <c r="V547" s="575"/>
      <c r="W547" s="575"/>
      <c r="X547" s="575"/>
      <c r="Y547" s="575"/>
      <c r="Z547" s="575"/>
      <c r="AA547" s="583"/>
    </row>
    <row r="548" spans="1:27" s="584" customFormat="1" ht="12.75" customHeight="1" x14ac:dyDescent="0.2">
      <c r="A548" s="575">
        <f>A546+1</f>
        <v>271</v>
      </c>
      <c r="B548" s="583" t="s">
        <v>674</v>
      </c>
      <c r="C548" s="583" t="s">
        <v>873</v>
      </c>
      <c r="D548" s="583" t="s">
        <v>1116</v>
      </c>
      <c r="E548" s="576"/>
      <c r="F548" s="576"/>
      <c r="G548" s="577"/>
      <c r="H548" s="575"/>
      <c r="I548" s="577"/>
      <c r="J548" s="578">
        <v>48</v>
      </c>
      <c r="K548" s="586">
        <v>4</v>
      </c>
      <c r="L548" s="578">
        <v>12</v>
      </c>
      <c r="M548" s="586"/>
      <c r="N548" s="580">
        <v>4</v>
      </c>
      <c r="O548" s="580">
        <v>4</v>
      </c>
      <c r="P548" s="580"/>
      <c r="Q548" s="580"/>
      <c r="R548" s="579"/>
      <c r="S548" s="575">
        <v>30</v>
      </c>
      <c r="T548" s="580">
        <v>72</v>
      </c>
      <c r="U548" s="575">
        <v>2</v>
      </c>
      <c r="V548" s="580"/>
      <c r="W548" s="575">
        <v>2</v>
      </c>
      <c r="X548" s="580"/>
      <c r="Y548" s="580"/>
      <c r="Z548" s="575">
        <v>4</v>
      </c>
      <c r="AA548" s="583"/>
    </row>
    <row r="549" spans="1:27" s="584" customFormat="1" ht="12.75" customHeight="1" x14ac:dyDescent="0.2">
      <c r="A549" s="575"/>
      <c r="B549" s="583"/>
      <c r="C549" s="583"/>
      <c r="D549" s="583"/>
      <c r="E549" s="576">
        <v>430</v>
      </c>
      <c r="F549" s="576">
        <f>+CEILING(E549,5)</f>
        <v>430</v>
      </c>
      <c r="G549" s="577"/>
      <c r="H549" s="575">
        <f>F549*36</f>
        <v>15480</v>
      </c>
      <c r="I549" s="577">
        <f>F549</f>
        <v>430</v>
      </c>
      <c r="J549" s="578"/>
      <c r="K549" s="578"/>
      <c r="L549" s="578"/>
      <c r="M549" s="578"/>
      <c r="N549" s="579"/>
      <c r="O549" s="579"/>
      <c r="P549" s="579"/>
      <c r="Q549" s="579"/>
      <c r="R549" s="578">
        <v>42</v>
      </c>
      <c r="S549" s="579"/>
      <c r="T549" s="579"/>
      <c r="U549" s="575"/>
      <c r="V549" s="575"/>
      <c r="W549" s="575"/>
      <c r="X549" s="575"/>
      <c r="Y549" s="575"/>
      <c r="Z549" s="575"/>
      <c r="AA549" s="583"/>
    </row>
    <row r="550" spans="1:27" s="584" customFormat="1" ht="12.75" customHeight="1" x14ac:dyDescent="0.2">
      <c r="A550" s="575">
        <f>A548+1</f>
        <v>272</v>
      </c>
      <c r="B550" s="583" t="s">
        <v>675</v>
      </c>
      <c r="C550" s="583" t="s">
        <v>233</v>
      </c>
      <c r="D550" s="583"/>
      <c r="E550" s="576"/>
      <c r="F550" s="576"/>
      <c r="G550" s="577"/>
      <c r="H550" s="575"/>
      <c r="I550" s="577"/>
      <c r="J550" s="586"/>
      <c r="K550" s="578">
        <f>(M550*4+N550*2)/2</f>
        <v>12</v>
      </c>
      <c r="L550" s="578"/>
      <c r="M550" s="578">
        <v>6</v>
      </c>
      <c r="N550" s="579"/>
      <c r="O550" s="579"/>
      <c r="P550" s="579"/>
      <c r="Q550" s="579"/>
      <c r="R550" s="579"/>
      <c r="S550" s="579"/>
      <c r="T550" s="579"/>
      <c r="U550" s="575"/>
      <c r="V550" s="575">
        <v>1</v>
      </c>
      <c r="W550" s="575">
        <v>1</v>
      </c>
      <c r="X550" s="575"/>
      <c r="Y550" s="575"/>
      <c r="Z550" s="575">
        <v>2</v>
      </c>
      <c r="AA550" s="583"/>
    </row>
    <row r="551" spans="1:27" s="584" customFormat="1" ht="12.75" customHeight="1" x14ac:dyDescent="0.2">
      <c r="A551" s="575"/>
      <c r="B551" s="583"/>
      <c r="C551" s="583"/>
      <c r="D551" s="583"/>
      <c r="E551" s="576">
        <v>365</v>
      </c>
      <c r="F551" s="576">
        <f>+CEILING(E551,5)</f>
        <v>365</v>
      </c>
      <c r="G551" s="577"/>
      <c r="H551" s="575">
        <f>F551*36</f>
        <v>13140</v>
      </c>
      <c r="I551" s="577">
        <f>F551</f>
        <v>365</v>
      </c>
      <c r="J551" s="582"/>
      <c r="K551" s="578"/>
      <c r="L551" s="582"/>
      <c r="M551" s="578"/>
      <c r="N551" s="579"/>
      <c r="O551" s="579"/>
      <c r="P551" s="579"/>
      <c r="Q551" s="579"/>
      <c r="R551" s="578">
        <v>36</v>
      </c>
      <c r="S551" s="579"/>
      <c r="T551" s="579"/>
      <c r="U551" s="575"/>
      <c r="V551" s="575"/>
      <c r="W551" s="575"/>
      <c r="X551" s="575"/>
      <c r="Y551" s="575"/>
      <c r="Z551" s="575"/>
      <c r="AA551" s="583"/>
    </row>
    <row r="552" spans="1:27" s="584" customFormat="1" x14ac:dyDescent="0.2">
      <c r="A552" s="575">
        <f>A550+1</f>
        <v>273</v>
      </c>
      <c r="B552" s="583" t="s">
        <v>676</v>
      </c>
      <c r="C552" s="583" t="s">
        <v>240</v>
      </c>
      <c r="D552" s="583" t="s">
        <v>1116</v>
      </c>
      <c r="E552" s="576"/>
      <c r="F552" s="576"/>
      <c r="G552" s="577"/>
      <c r="H552" s="575"/>
      <c r="I552" s="577"/>
      <c r="J552" s="578">
        <v>48</v>
      </c>
      <c r="K552" s="586"/>
      <c r="L552" s="578">
        <v>12</v>
      </c>
      <c r="M552" s="586"/>
      <c r="N552" s="580"/>
      <c r="O552" s="580"/>
      <c r="P552" s="580"/>
      <c r="Q552" s="580"/>
      <c r="R552" s="579"/>
      <c r="S552" s="575">
        <v>30</v>
      </c>
      <c r="T552" s="580"/>
      <c r="U552" s="575">
        <v>2</v>
      </c>
      <c r="V552" s="580"/>
      <c r="W552" s="575">
        <v>2</v>
      </c>
      <c r="X552" s="580"/>
      <c r="Y552" s="580"/>
      <c r="Z552" s="575">
        <v>4</v>
      </c>
      <c r="AA552" s="583"/>
    </row>
    <row r="553" spans="1:27" s="584" customFormat="1" ht="12.75" customHeight="1" x14ac:dyDescent="0.2">
      <c r="A553" s="575"/>
      <c r="B553" s="583"/>
      <c r="C553" s="583"/>
      <c r="D553" s="583"/>
      <c r="E553" s="576">
        <v>428</v>
      </c>
      <c r="F553" s="576">
        <f>+CEILING(E553,5)</f>
        <v>430</v>
      </c>
      <c r="G553" s="577"/>
      <c r="H553" s="575">
        <f>F553*36</f>
        <v>15480</v>
      </c>
      <c r="I553" s="577">
        <f>F553</f>
        <v>430</v>
      </c>
      <c r="J553" s="586"/>
      <c r="K553" s="578"/>
      <c r="L553" s="578"/>
      <c r="M553" s="578"/>
      <c r="N553" s="579"/>
      <c r="O553" s="579"/>
      <c r="P553" s="579"/>
      <c r="Q553" s="579"/>
      <c r="R553" s="578">
        <v>42</v>
      </c>
      <c r="S553" s="579"/>
      <c r="T553" s="579"/>
      <c r="U553" s="575"/>
      <c r="V553" s="575"/>
      <c r="W553" s="575"/>
      <c r="X553" s="575"/>
      <c r="Y553" s="575"/>
      <c r="Z553" s="575"/>
      <c r="AA553" s="583"/>
    </row>
    <row r="554" spans="1:27" s="584" customFormat="1" ht="12.75" customHeight="1" x14ac:dyDescent="0.2">
      <c r="A554" s="575">
        <f>A552+1</f>
        <v>274</v>
      </c>
      <c r="B554" s="583" t="s">
        <v>677</v>
      </c>
      <c r="C554" s="583" t="s">
        <v>231</v>
      </c>
      <c r="D554" s="583"/>
      <c r="E554" s="576"/>
      <c r="F554" s="576"/>
      <c r="G554" s="577"/>
      <c r="H554" s="575"/>
      <c r="I554" s="577"/>
      <c r="J554" s="586"/>
      <c r="K554" s="578">
        <f>(M554*4+N554*2)/2</f>
        <v>12</v>
      </c>
      <c r="L554" s="578"/>
      <c r="M554" s="578">
        <v>6</v>
      </c>
      <c r="N554" s="579"/>
      <c r="O554" s="579"/>
      <c r="P554" s="579"/>
      <c r="Q554" s="579"/>
      <c r="R554" s="579"/>
      <c r="S554" s="579"/>
      <c r="T554" s="579"/>
      <c r="U554" s="575"/>
      <c r="V554" s="575">
        <v>1</v>
      </c>
      <c r="W554" s="575">
        <v>1</v>
      </c>
      <c r="X554" s="575"/>
      <c r="Y554" s="575"/>
      <c r="Z554" s="575">
        <v>2</v>
      </c>
      <c r="AA554" s="583"/>
    </row>
    <row r="555" spans="1:27" s="584" customFormat="1" ht="12.75" customHeight="1" x14ac:dyDescent="0.2">
      <c r="A555" s="575"/>
      <c r="B555" s="583"/>
      <c r="C555" s="583"/>
      <c r="D555" s="583"/>
      <c r="E555" s="576">
        <v>327.23099999999999</v>
      </c>
      <c r="F555" s="576">
        <f>+CEILING(E555,5)</f>
        <v>330</v>
      </c>
      <c r="G555" s="577"/>
      <c r="H555" s="575">
        <f>F555*36</f>
        <v>11880</v>
      </c>
      <c r="I555" s="577">
        <f>F555</f>
        <v>330</v>
      </c>
      <c r="J555" s="586"/>
      <c r="K555" s="578"/>
      <c r="L555" s="578"/>
      <c r="M555" s="578"/>
      <c r="N555" s="579"/>
      <c r="O555" s="579"/>
      <c r="P555" s="579"/>
      <c r="Q555" s="579"/>
      <c r="R555" s="578">
        <v>30</v>
      </c>
      <c r="S555" s="579"/>
      <c r="T555" s="579"/>
      <c r="U555" s="575"/>
      <c r="V555" s="575"/>
      <c r="W555" s="575"/>
      <c r="X555" s="575"/>
      <c r="Y555" s="575"/>
      <c r="Z555" s="575"/>
      <c r="AA555" s="583"/>
    </row>
    <row r="556" spans="1:27" s="584" customFormat="1" x14ac:dyDescent="0.2">
      <c r="A556" s="575">
        <f>A554+1</f>
        <v>275</v>
      </c>
      <c r="B556" s="583" t="s">
        <v>678</v>
      </c>
      <c r="C556" s="583" t="s">
        <v>244</v>
      </c>
      <c r="D556" s="583" t="s">
        <v>1117</v>
      </c>
      <c r="E556" s="576"/>
      <c r="F556" s="576"/>
      <c r="G556" s="577"/>
      <c r="H556" s="575"/>
      <c r="I556" s="577"/>
      <c r="J556" s="578">
        <v>48</v>
      </c>
      <c r="K556" s="586"/>
      <c r="L556" s="578">
        <v>12</v>
      </c>
      <c r="M556" s="586"/>
      <c r="N556" s="580"/>
      <c r="O556" s="580"/>
      <c r="P556" s="580"/>
      <c r="Q556" s="580"/>
      <c r="R556" s="579"/>
      <c r="S556" s="575">
        <v>30</v>
      </c>
      <c r="T556" s="580"/>
      <c r="U556" s="575">
        <v>2</v>
      </c>
      <c r="V556" s="580"/>
      <c r="W556" s="575">
        <v>2</v>
      </c>
      <c r="X556" s="580"/>
      <c r="Y556" s="580"/>
      <c r="Z556" s="575">
        <v>4</v>
      </c>
      <c r="AA556" s="583"/>
    </row>
    <row r="557" spans="1:27" s="584" customFormat="1" ht="12.75" customHeight="1" x14ac:dyDescent="0.2">
      <c r="A557" s="575"/>
      <c r="B557" s="583"/>
      <c r="C557" s="583"/>
      <c r="D557" s="583"/>
      <c r="E557" s="576">
        <v>294.92099999999999</v>
      </c>
      <c r="F557" s="576">
        <f>+CEILING(E557,5)</f>
        <v>295</v>
      </c>
      <c r="G557" s="577"/>
      <c r="H557" s="575">
        <f>F557*36</f>
        <v>10620</v>
      </c>
      <c r="I557" s="577">
        <f>F557</f>
        <v>295</v>
      </c>
      <c r="J557" s="586"/>
      <c r="K557" s="578"/>
      <c r="L557" s="578"/>
      <c r="M557" s="578"/>
      <c r="N557" s="579"/>
      <c r="O557" s="579"/>
      <c r="P557" s="579"/>
      <c r="Q557" s="579"/>
      <c r="R557" s="578">
        <v>36</v>
      </c>
      <c r="S557" s="579"/>
      <c r="T557" s="579"/>
      <c r="U557" s="575"/>
      <c r="V557" s="575"/>
      <c r="W557" s="575"/>
      <c r="X557" s="575"/>
      <c r="Y557" s="575"/>
      <c r="Z557" s="575"/>
      <c r="AA557" s="583"/>
    </row>
    <row r="558" spans="1:27" s="584" customFormat="1" ht="12.75" customHeight="1" x14ac:dyDescent="0.2">
      <c r="A558" s="575">
        <f>A556+1</f>
        <v>276</v>
      </c>
      <c r="B558" s="583" t="s">
        <v>679</v>
      </c>
      <c r="C558" s="583" t="s">
        <v>233</v>
      </c>
      <c r="D558" s="583"/>
      <c r="E558" s="576"/>
      <c r="F558" s="576"/>
      <c r="G558" s="577"/>
      <c r="H558" s="575"/>
      <c r="I558" s="577"/>
      <c r="J558" s="586"/>
      <c r="K558" s="578">
        <f>(M558*4+N558*2)/2</f>
        <v>12</v>
      </c>
      <c r="L558" s="578"/>
      <c r="M558" s="578">
        <v>6</v>
      </c>
      <c r="N558" s="579"/>
      <c r="O558" s="579"/>
      <c r="P558" s="579"/>
      <c r="Q558" s="579"/>
      <c r="R558" s="579"/>
      <c r="S558" s="579"/>
      <c r="T558" s="579"/>
      <c r="U558" s="575"/>
      <c r="V558" s="575">
        <v>1</v>
      </c>
      <c r="W558" s="575">
        <v>1</v>
      </c>
      <c r="X558" s="575"/>
      <c r="Y558" s="575"/>
      <c r="Z558" s="575">
        <v>2</v>
      </c>
      <c r="AA558" s="583"/>
    </row>
    <row r="559" spans="1:27" s="584" customFormat="1" ht="12.75" customHeight="1" x14ac:dyDescent="0.2">
      <c r="A559" s="575"/>
      <c r="B559" s="583"/>
      <c r="C559" s="583"/>
      <c r="D559" s="583"/>
      <c r="E559" s="576">
        <v>406.54199999999997</v>
      </c>
      <c r="F559" s="576">
        <f>+CEILING(E559,5)</f>
        <v>410</v>
      </c>
      <c r="G559" s="577"/>
      <c r="H559" s="575">
        <f>F559*36</f>
        <v>14760</v>
      </c>
      <c r="I559" s="577">
        <f>F559</f>
        <v>410</v>
      </c>
      <c r="J559" s="586"/>
      <c r="K559" s="578"/>
      <c r="L559" s="578"/>
      <c r="M559" s="578"/>
      <c r="N559" s="579"/>
      <c r="O559" s="579"/>
      <c r="P559" s="579"/>
      <c r="Q559" s="579"/>
      <c r="R559" s="578">
        <v>42</v>
      </c>
      <c r="S559" s="579"/>
      <c r="T559" s="579"/>
      <c r="U559" s="575"/>
      <c r="V559" s="575"/>
      <c r="W559" s="575"/>
      <c r="X559" s="575"/>
      <c r="Y559" s="575"/>
      <c r="Z559" s="575"/>
      <c r="AA559" s="583"/>
    </row>
    <row r="560" spans="1:27" s="584" customFormat="1" ht="12.75" customHeight="1" x14ac:dyDescent="0.2">
      <c r="A560" s="575">
        <f>A558+1</f>
        <v>277</v>
      </c>
      <c r="B560" s="583" t="s">
        <v>89</v>
      </c>
      <c r="C560" s="583" t="s">
        <v>653</v>
      </c>
      <c r="D560" s="583" t="s">
        <v>1118</v>
      </c>
      <c r="E560" s="576"/>
      <c r="F560" s="576"/>
      <c r="G560" s="577"/>
      <c r="H560" s="575"/>
      <c r="I560" s="577"/>
      <c r="J560" s="578">
        <v>48</v>
      </c>
      <c r="K560" s="578">
        <v>6</v>
      </c>
      <c r="L560" s="578">
        <v>12</v>
      </c>
      <c r="M560" s="586"/>
      <c r="N560" s="575">
        <v>6</v>
      </c>
      <c r="O560" s="580"/>
      <c r="P560" s="580"/>
      <c r="Q560" s="580"/>
      <c r="R560" s="579"/>
      <c r="S560" s="575">
        <v>30</v>
      </c>
      <c r="T560" s="580"/>
      <c r="U560" s="575">
        <v>2</v>
      </c>
      <c r="V560" s="580"/>
      <c r="W560" s="575">
        <v>2</v>
      </c>
      <c r="X560" s="580"/>
      <c r="Y560" s="580"/>
      <c r="Z560" s="575">
        <v>4</v>
      </c>
      <c r="AA560" s="583"/>
    </row>
    <row r="561" spans="1:27" s="584" customFormat="1" ht="12.75" customHeight="1" x14ac:dyDescent="0.2">
      <c r="A561" s="575"/>
      <c r="B561" s="583"/>
      <c r="C561" s="583"/>
      <c r="D561" s="583"/>
      <c r="E561" s="576">
        <v>199.08199999999999</v>
      </c>
      <c r="F561" s="576">
        <f>+CEILING(E561,5)</f>
        <v>200</v>
      </c>
      <c r="G561" s="577"/>
      <c r="H561" s="575">
        <f>F561*36</f>
        <v>7200</v>
      </c>
      <c r="I561" s="577">
        <f>F561</f>
        <v>200</v>
      </c>
      <c r="J561" s="586"/>
      <c r="K561" s="578"/>
      <c r="L561" s="578"/>
      <c r="M561" s="578"/>
      <c r="N561" s="579"/>
      <c r="O561" s="579"/>
      <c r="P561" s="579"/>
      <c r="Q561" s="579"/>
      <c r="R561" s="578">
        <v>18</v>
      </c>
      <c r="S561" s="579"/>
      <c r="T561" s="579"/>
      <c r="U561" s="575"/>
      <c r="V561" s="575"/>
      <c r="W561" s="575"/>
      <c r="X561" s="575"/>
      <c r="Y561" s="575"/>
      <c r="Z561" s="575"/>
      <c r="AA561" s="583"/>
    </row>
    <row r="562" spans="1:27" s="584" customFormat="1" ht="12.75" customHeight="1" x14ac:dyDescent="0.2">
      <c r="A562" s="575">
        <f>A560+1</f>
        <v>278</v>
      </c>
      <c r="B562" s="583" t="s">
        <v>90</v>
      </c>
      <c r="C562" s="583" t="s">
        <v>653</v>
      </c>
      <c r="D562" s="583" t="s">
        <v>1119</v>
      </c>
      <c r="E562" s="576"/>
      <c r="F562" s="576"/>
      <c r="G562" s="577"/>
      <c r="H562" s="575"/>
      <c r="I562" s="577"/>
      <c r="J562" s="578">
        <v>48</v>
      </c>
      <c r="K562" s="578">
        <v>6</v>
      </c>
      <c r="L562" s="578">
        <v>12</v>
      </c>
      <c r="M562" s="586"/>
      <c r="N562" s="575">
        <v>6</v>
      </c>
      <c r="O562" s="580"/>
      <c r="P562" s="580"/>
      <c r="Q562" s="580"/>
      <c r="R562" s="579"/>
      <c r="S562" s="575">
        <v>30</v>
      </c>
      <c r="T562" s="580"/>
      <c r="U562" s="575">
        <v>2</v>
      </c>
      <c r="V562" s="580"/>
      <c r="W562" s="575">
        <v>2</v>
      </c>
      <c r="X562" s="580"/>
      <c r="Y562" s="580"/>
      <c r="Z562" s="575">
        <v>4</v>
      </c>
      <c r="AA562" s="583"/>
    </row>
    <row r="563" spans="1:27" s="584" customFormat="1" ht="12.75" customHeight="1" x14ac:dyDescent="0.2">
      <c r="A563" s="575"/>
      <c r="B563" s="583"/>
      <c r="C563" s="583"/>
      <c r="D563" s="583"/>
      <c r="E563" s="576">
        <v>441.18200000000002</v>
      </c>
      <c r="F563" s="576">
        <f>+CEILING(E563,5)</f>
        <v>445</v>
      </c>
      <c r="G563" s="577"/>
      <c r="H563" s="575">
        <f>F563*36</f>
        <v>16020</v>
      </c>
      <c r="I563" s="577">
        <f>F563</f>
        <v>445</v>
      </c>
      <c r="J563" s="586"/>
      <c r="K563" s="578"/>
      <c r="L563" s="578"/>
      <c r="M563" s="578"/>
      <c r="N563" s="579"/>
      <c r="O563" s="579"/>
      <c r="P563" s="579"/>
      <c r="Q563" s="579"/>
      <c r="R563" s="578">
        <v>42</v>
      </c>
      <c r="S563" s="579"/>
      <c r="T563" s="579"/>
      <c r="U563" s="575"/>
      <c r="V563" s="575"/>
      <c r="W563" s="575"/>
      <c r="X563" s="575"/>
      <c r="Y563" s="575"/>
      <c r="Z563" s="575"/>
      <c r="AA563" s="583"/>
    </row>
    <row r="564" spans="1:27" s="584" customFormat="1" ht="12.75" customHeight="1" x14ac:dyDescent="0.2">
      <c r="A564" s="575">
        <f>A562+1</f>
        <v>279</v>
      </c>
      <c r="B564" s="583" t="s">
        <v>680</v>
      </c>
      <c r="C564" s="583" t="s">
        <v>20</v>
      </c>
      <c r="D564" s="583"/>
      <c r="E564" s="576"/>
      <c r="F564" s="576"/>
      <c r="G564" s="577"/>
      <c r="H564" s="575"/>
      <c r="I564" s="577"/>
      <c r="J564" s="586"/>
      <c r="K564" s="578">
        <f>(M564*4+N564*2)/2</f>
        <v>12</v>
      </c>
      <c r="L564" s="578"/>
      <c r="M564" s="578">
        <v>6</v>
      </c>
      <c r="N564" s="579"/>
      <c r="O564" s="579"/>
      <c r="P564" s="579"/>
      <c r="Q564" s="579"/>
      <c r="R564" s="579"/>
      <c r="S564" s="579"/>
      <c r="T564" s="579"/>
      <c r="U564" s="575"/>
      <c r="V564" s="575">
        <v>1</v>
      </c>
      <c r="W564" s="575">
        <v>1</v>
      </c>
      <c r="X564" s="575"/>
      <c r="Y564" s="575"/>
      <c r="Z564" s="575">
        <v>2</v>
      </c>
      <c r="AA564" s="583"/>
    </row>
    <row r="565" spans="1:27" s="584" customFormat="1" ht="12.75" customHeight="1" x14ac:dyDescent="0.2">
      <c r="A565" s="575"/>
      <c r="B565" s="583"/>
      <c r="C565" s="583"/>
      <c r="D565" s="583"/>
      <c r="E565" s="576">
        <v>365.94499999999999</v>
      </c>
      <c r="F565" s="576">
        <f>+CEILING(E565,5)</f>
        <v>370</v>
      </c>
      <c r="G565" s="577"/>
      <c r="H565" s="575">
        <f>F565*36</f>
        <v>13320</v>
      </c>
      <c r="I565" s="577">
        <f>F565</f>
        <v>370</v>
      </c>
      <c r="J565" s="582"/>
      <c r="K565" s="578"/>
      <c r="L565" s="582"/>
      <c r="M565" s="578"/>
      <c r="N565" s="575"/>
      <c r="O565" s="575"/>
      <c r="P565" s="575"/>
      <c r="Q565" s="575"/>
      <c r="R565" s="578">
        <v>42</v>
      </c>
      <c r="S565" s="575"/>
      <c r="T565" s="575"/>
      <c r="U565" s="575"/>
      <c r="V565" s="575"/>
      <c r="W565" s="575"/>
      <c r="X565" s="575"/>
      <c r="Y565" s="575"/>
      <c r="Z565" s="575"/>
      <c r="AA565" s="583"/>
    </row>
    <row r="566" spans="1:27" s="584" customFormat="1" ht="12.75" customHeight="1" x14ac:dyDescent="0.2">
      <c r="A566" s="575">
        <f>A564+1</f>
        <v>280</v>
      </c>
      <c r="B566" s="583" t="s">
        <v>681</v>
      </c>
      <c r="C566" s="583" t="s">
        <v>233</v>
      </c>
      <c r="D566" s="583"/>
      <c r="E566" s="576"/>
      <c r="F566" s="576"/>
      <c r="G566" s="577"/>
      <c r="H566" s="575"/>
      <c r="I566" s="577"/>
      <c r="J566" s="582"/>
      <c r="K566" s="578">
        <f>(M566*4+N566*2)/2</f>
        <v>12</v>
      </c>
      <c r="L566" s="578"/>
      <c r="M566" s="578">
        <v>6</v>
      </c>
      <c r="N566" s="579"/>
      <c r="O566" s="579"/>
      <c r="P566" s="579"/>
      <c r="Q566" s="579"/>
      <c r="R566" s="579"/>
      <c r="S566" s="579"/>
      <c r="T566" s="579"/>
      <c r="U566" s="575"/>
      <c r="V566" s="575">
        <v>1</v>
      </c>
      <c r="W566" s="575">
        <v>1</v>
      </c>
      <c r="X566" s="575"/>
      <c r="Y566" s="575"/>
      <c r="Z566" s="575">
        <v>2</v>
      </c>
      <c r="AA566" s="583"/>
    </row>
    <row r="567" spans="1:27" s="584" customFormat="1" ht="12.75" customHeight="1" x14ac:dyDescent="0.2">
      <c r="A567" s="575"/>
      <c r="B567" s="583"/>
      <c r="C567" s="583"/>
      <c r="D567" s="583"/>
      <c r="E567" s="576">
        <v>417.36599999999999</v>
      </c>
      <c r="F567" s="576">
        <f>+CEILING(E567,5)</f>
        <v>420</v>
      </c>
      <c r="G567" s="577"/>
      <c r="H567" s="575">
        <f>F567*36</f>
        <v>15120</v>
      </c>
      <c r="I567" s="577">
        <f>F567</f>
        <v>420</v>
      </c>
      <c r="J567" s="582"/>
      <c r="K567" s="578"/>
      <c r="L567" s="578"/>
      <c r="M567" s="578"/>
      <c r="N567" s="579"/>
      <c r="O567" s="579"/>
      <c r="P567" s="579"/>
      <c r="Q567" s="579"/>
      <c r="R567" s="578">
        <v>42</v>
      </c>
      <c r="S567" s="579"/>
      <c r="T567" s="579"/>
      <c r="U567" s="575"/>
      <c r="V567" s="575"/>
      <c r="W567" s="575"/>
      <c r="X567" s="575"/>
      <c r="Y567" s="575"/>
      <c r="Z567" s="575"/>
      <c r="AA567" s="583"/>
    </row>
    <row r="568" spans="1:27" s="584" customFormat="1" ht="12.75" customHeight="1" x14ac:dyDescent="0.2">
      <c r="A568" s="575">
        <f>A566+1</f>
        <v>281</v>
      </c>
      <c r="B568" s="583" t="s">
        <v>682</v>
      </c>
      <c r="C568" s="583" t="s">
        <v>233</v>
      </c>
      <c r="D568" s="583"/>
      <c r="E568" s="576"/>
      <c r="F568" s="576"/>
      <c r="G568" s="577"/>
      <c r="H568" s="575"/>
      <c r="I568" s="577"/>
      <c r="J568" s="582"/>
      <c r="K568" s="578">
        <f>(M568*4+N568*2)/2</f>
        <v>12</v>
      </c>
      <c r="L568" s="578"/>
      <c r="M568" s="578">
        <v>6</v>
      </c>
      <c r="N568" s="579"/>
      <c r="O568" s="579"/>
      <c r="P568" s="579"/>
      <c r="Q568" s="579"/>
      <c r="R568" s="579"/>
      <c r="S568" s="579"/>
      <c r="T568" s="579"/>
      <c r="U568" s="575"/>
      <c r="V568" s="575">
        <v>1</v>
      </c>
      <c r="W568" s="575">
        <v>1</v>
      </c>
      <c r="X568" s="575"/>
      <c r="Y568" s="575"/>
      <c r="Z568" s="575">
        <v>2</v>
      </c>
      <c r="AA568" s="583"/>
    </row>
    <row r="569" spans="1:27" s="584" customFormat="1" ht="12.75" customHeight="1" x14ac:dyDescent="0.2">
      <c r="A569" s="575"/>
      <c r="B569" s="583"/>
      <c r="C569" s="583"/>
      <c r="D569" s="583"/>
      <c r="E569" s="576">
        <v>358.36</v>
      </c>
      <c r="F569" s="576">
        <f>+CEILING(E569,5)</f>
        <v>360</v>
      </c>
      <c r="G569" s="577"/>
      <c r="H569" s="575">
        <f>F569*36</f>
        <v>12960</v>
      </c>
      <c r="I569" s="577">
        <f>F569</f>
        <v>360</v>
      </c>
      <c r="J569" s="582"/>
      <c r="K569" s="578"/>
      <c r="L569" s="578"/>
      <c r="M569" s="578"/>
      <c r="N569" s="579"/>
      <c r="O569" s="579"/>
      <c r="P569" s="579"/>
      <c r="Q569" s="579"/>
      <c r="R569" s="578">
        <v>36</v>
      </c>
      <c r="S569" s="579"/>
      <c r="T569" s="579"/>
      <c r="U569" s="575"/>
      <c r="V569" s="575"/>
      <c r="W569" s="575"/>
      <c r="X569" s="575"/>
      <c r="Y569" s="575"/>
      <c r="Z569" s="575"/>
      <c r="AA569" s="583"/>
    </row>
    <row r="570" spans="1:27" s="584" customFormat="1" ht="12.75" customHeight="1" x14ac:dyDescent="0.2">
      <c r="A570" s="575">
        <f>A568+1</f>
        <v>282</v>
      </c>
      <c r="B570" s="583" t="s">
        <v>683</v>
      </c>
      <c r="C570" s="583" t="s">
        <v>20</v>
      </c>
      <c r="D570" s="583"/>
      <c r="E570" s="576"/>
      <c r="F570" s="576"/>
      <c r="G570" s="577"/>
      <c r="H570" s="575"/>
      <c r="I570" s="577"/>
      <c r="J570" s="582"/>
      <c r="K570" s="578">
        <f>(M570*4+N570*2)/2</f>
        <v>12</v>
      </c>
      <c r="L570" s="578"/>
      <c r="M570" s="578">
        <v>6</v>
      </c>
      <c r="N570" s="579"/>
      <c r="O570" s="579"/>
      <c r="P570" s="579"/>
      <c r="Q570" s="579"/>
      <c r="R570" s="579"/>
      <c r="S570" s="579"/>
      <c r="T570" s="579"/>
      <c r="U570" s="575"/>
      <c r="V570" s="575">
        <v>1</v>
      </c>
      <c r="W570" s="575">
        <v>1</v>
      </c>
      <c r="X570" s="575"/>
      <c r="Y570" s="575"/>
      <c r="Z570" s="575">
        <v>2</v>
      </c>
      <c r="AA570" s="583"/>
    </row>
    <row r="571" spans="1:27" s="584" customFormat="1" ht="12.75" customHeight="1" x14ac:dyDescent="0.2">
      <c r="A571" s="575"/>
      <c r="B571" s="583"/>
      <c r="C571" s="583"/>
      <c r="D571" s="583"/>
      <c r="E571" s="576">
        <v>461.19499999999999</v>
      </c>
      <c r="F571" s="576">
        <f>+CEILING(E571,5)</f>
        <v>465</v>
      </c>
      <c r="G571" s="577"/>
      <c r="H571" s="575">
        <f>F571*36</f>
        <v>16740</v>
      </c>
      <c r="I571" s="577">
        <f>F571</f>
        <v>465</v>
      </c>
      <c r="J571" s="582"/>
      <c r="K571" s="578"/>
      <c r="L571" s="582"/>
      <c r="M571" s="578"/>
      <c r="N571" s="579"/>
      <c r="O571" s="579"/>
      <c r="P571" s="579"/>
      <c r="Q571" s="579"/>
      <c r="R571" s="578">
        <v>48</v>
      </c>
      <c r="S571" s="579"/>
      <c r="T571" s="579"/>
      <c r="U571" s="575"/>
      <c r="V571" s="575"/>
      <c r="W571" s="575"/>
      <c r="X571" s="575"/>
      <c r="Y571" s="575"/>
      <c r="Z571" s="575"/>
      <c r="AA571" s="583"/>
    </row>
    <row r="572" spans="1:27" s="584" customFormat="1" ht="12.75" customHeight="1" x14ac:dyDescent="0.2">
      <c r="A572" s="575">
        <f>A570+1</f>
        <v>283</v>
      </c>
      <c r="B572" s="583" t="s">
        <v>684</v>
      </c>
      <c r="C572" s="583" t="s">
        <v>231</v>
      </c>
      <c r="D572" s="583"/>
      <c r="E572" s="576"/>
      <c r="F572" s="576"/>
      <c r="G572" s="577"/>
      <c r="H572" s="575"/>
      <c r="I572" s="577"/>
      <c r="J572" s="582"/>
      <c r="K572" s="578">
        <f>(M572*4+N572*2)/2</f>
        <v>12</v>
      </c>
      <c r="L572" s="578"/>
      <c r="M572" s="578">
        <v>6</v>
      </c>
      <c r="N572" s="579"/>
      <c r="O572" s="579"/>
      <c r="P572" s="579"/>
      <c r="Q572" s="579"/>
      <c r="R572" s="579"/>
      <c r="S572" s="579"/>
      <c r="T572" s="579"/>
      <c r="U572" s="575"/>
      <c r="V572" s="575">
        <v>1</v>
      </c>
      <c r="W572" s="575">
        <v>1</v>
      </c>
      <c r="X572" s="575"/>
      <c r="Y572" s="575"/>
      <c r="Z572" s="575">
        <v>2</v>
      </c>
      <c r="AA572" s="583"/>
    </row>
    <row r="573" spans="1:27" s="584" customFormat="1" ht="12.75" customHeight="1" x14ac:dyDescent="0.2">
      <c r="A573" s="575"/>
      <c r="B573" s="583"/>
      <c r="C573" s="583"/>
      <c r="D573" s="583"/>
      <c r="E573" s="576">
        <v>377.28199999999998</v>
      </c>
      <c r="F573" s="576">
        <f>+CEILING(E573,5)</f>
        <v>380</v>
      </c>
      <c r="G573" s="577"/>
      <c r="H573" s="575">
        <f>F573*36</f>
        <v>13680</v>
      </c>
      <c r="I573" s="577">
        <f>F573</f>
        <v>380</v>
      </c>
      <c r="J573" s="582"/>
      <c r="K573" s="578"/>
      <c r="L573" s="582"/>
      <c r="M573" s="578"/>
      <c r="N573" s="579"/>
      <c r="O573" s="579"/>
      <c r="P573" s="579"/>
      <c r="Q573" s="579"/>
      <c r="R573" s="578">
        <v>36</v>
      </c>
      <c r="S573" s="579"/>
      <c r="T573" s="579"/>
      <c r="U573" s="575"/>
      <c r="V573" s="575"/>
      <c r="W573" s="575"/>
      <c r="X573" s="575"/>
      <c r="Y573" s="575"/>
      <c r="Z573" s="575"/>
      <c r="AA573" s="583"/>
    </row>
    <row r="574" spans="1:27" s="584" customFormat="1" ht="12.75" customHeight="1" x14ac:dyDescent="0.2">
      <c r="A574" s="575">
        <f>A572+1</f>
        <v>284</v>
      </c>
      <c r="B574" s="583" t="s">
        <v>685</v>
      </c>
      <c r="C574" s="583" t="s">
        <v>20</v>
      </c>
      <c r="D574" s="583"/>
      <c r="E574" s="576"/>
      <c r="F574" s="576"/>
      <c r="G574" s="577"/>
      <c r="H574" s="575"/>
      <c r="I574" s="577"/>
      <c r="J574" s="582"/>
      <c r="K574" s="578">
        <f>(M574*4+N574*2)/2</f>
        <v>12</v>
      </c>
      <c r="L574" s="578"/>
      <c r="M574" s="578">
        <v>6</v>
      </c>
      <c r="N574" s="579"/>
      <c r="O574" s="579"/>
      <c r="P574" s="579"/>
      <c r="Q574" s="579"/>
      <c r="R574" s="579"/>
      <c r="S574" s="579"/>
      <c r="T574" s="579"/>
      <c r="U574" s="575"/>
      <c r="V574" s="575">
        <v>1</v>
      </c>
      <c r="W574" s="575">
        <v>1</v>
      </c>
      <c r="X574" s="575"/>
      <c r="Y574" s="575"/>
      <c r="Z574" s="575">
        <v>2</v>
      </c>
      <c r="AA574" s="583"/>
    </row>
    <row r="575" spans="1:27" s="584" customFormat="1" ht="12.75" customHeight="1" x14ac:dyDescent="0.2">
      <c r="A575" s="575"/>
      <c r="B575" s="583"/>
      <c r="C575" s="583"/>
      <c r="D575" s="583"/>
      <c r="E575" s="576">
        <v>431.51600000000002</v>
      </c>
      <c r="F575" s="576">
        <f>+CEILING(E575,5)</f>
        <v>435</v>
      </c>
      <c r="G575" s="577"/>
      <c r="H575" s="575">
        <f>F575*36</f>
        <v>15660</v>
      </c>
      <c r="I575" s="577">
        <f>F575</f>
        <v>435</v>
      </c>
      <c r="J575" s="582"/>
      <c r="K575" s="578"/>
      <c r="L575" s="582"/>
      <c r="M575" s="578"/>
      <c r="N575" s="579"/>
      <c r="O575" s="579"/>
      <c r="P575" s="579"/>
      <c r="Q575" s="579"/>
      <c r="R575" s="578">
        <v>42</v>
      </c>
      <c r="S575" s="579"/>
      <c r="T575" s="579"/>
      <c r="U575" s="575"/>
      <c r="V575" s="575"/>
      <c r="W575" s="575"/>
      <c r="X575" s="575"/>
      <c r="Y575" s="575"/>
      <c r="Z575" s="575"/>
      <c r="AA575" s="583"/>
    </row>
    <row r="576" spans="1:27" s="584" customFormat="1" ht="12.75" customHeight="1" x14ac:dyDescent="0.2">
      <c r="A576" s="575">
        <f>A574+1</f>
        <v>285</v>
      </c>
      <c r="B576" s="583" t="s">
        <v>686</v>
      </c>
      <c r="C576" s="583" t="s">
        <v>20</v>
      </c>
      <c r="D576" s="583"/>
      <c r="E576" s="576"/>
      <c r="F576" s="576"/>
      <c r="G576" s="577"/>
      <c r="H576" s="575"/>
      <c r="I576" s="577"/>
      <c r="J576" s="582"/>
      <c r="K576" s="578">
        <f>(M576*4+N576*2)/2</f>
        <v>12</v>
      </c>
      <c r="L576" s="578"/>
      <c r="M576" s="578">
        <v>6</v>
      </c>
      <c r="N576" s="579"/>
      <c r="O576" s="579"/>
      <c r="P576" s="579"/>
      <c r="Q576" s="579"/>
      <c r="R576" s="579"/>
      <c r="S576" s="579"/>
      <c r="T576" s="579"/>
      <c r="U576" s="575"/>
      <c r="V576" s="575">
        <v>1</v>
      </c>
      <c r="W576" s="575">
        <v>1</v>
      </c>
      <c r="X576" s="575"/>
      <c r="Y576" s="575"/>
      <c r="Z576" s="575">
        <v>2</v>
      </c>
      <c r="AA576" s="583"/>
    </row>
    <row r="577" spans="1:27" s="584" customFormat="1" ht="12.75" customHeight="1" x14ac:dyDescent="0.2">
      <c r="A577" s="575"/>
      <c r="B577" s="583"/>
      <c r="C577" s="583"/>
      <c r="D577" s="583"/>
      <c r="E577" s="576">
        <v>398.83499999999998</v>
      </c>
      <c r="F577" s="576">
        <f>+CEILING(E577,5)</f>
        <v>400</v>
      </c>
      <c r="G577" s="577"/>
      <c r="H577" s="575">
        <f>F577*36</f>
        <v>14400</v>
      </c>
      <c r="I577" s="577">
        <f>F577</f>
        <v>400</v>
      </c>
      <c r="J577" s="582"/>
      <c r="K577" s="578"/>
      <c r="L577" s="582"/>
      <c r="M577" s="578"/>
      <c r="N577" s="579"/>
      <c r="O577" s="579"/>
      <c r="P577" s="579"/>
      <c r="Q577" s="579"/>
      <c r="R577" s="578">
        <v>42</v>
      </c>
      <c r="S577" s="579"/>
      <c r="T577" s="579"/>
      <c r="U577" s="575"/>
      <c r="V577" s="575"/>
      <c r="W577" s="575"/>
      <c r="X577" s="575"/>
      <c r="Y577" s="575"/>
      <c r="Z577" s="575"/>
      <c r="AA577" s="583"/>
    </row>
    <row r="578" spans="1:27" s="584" customFormat="1" ht="12.75" customHeight="1" x14ac:dyDescent="0.2">
      <c r="A578" s="575">
        <f>A576+1</f>
        <v>286</v>
      </c>
      <c r="B578" s="583" t="s">
        <v>687</v>
      </c>
      <c r="C578" s="583" t="s">
        <v>231</v>
      </c>
      <c r="D578" s="583"/>
      <c r="E578" s="576"/>
      <c r="F578" s="576"/>
      <c r="G578" s="577"/>
      <c r="H578" s="575"/>
      <c r="I578" s="577"/>
      <c r="J578" s="582"/>
      <c r="K578" s="578">
        <f>(M578*4+N578*2)/2</f>
        <v>12</v>
      </c>
      <c r="L578" s="578"/>
      <c r="M578" s="578">
        <v>6</v>
      </c>
      <c r="N578" s="579"/>
      <c r="O578" s="579"/>
      <c r="P578" s="579"/>
      <c r="Q578" s="579"/>
      <c r="R578" s="579"/>
      <c r="S578" s="579"/>
      <c r="T578" s="579"/>
      <c r="U578" s="575"/>
      <c r="V578" s="575">
        <v>1</v>
      </c>
      <c r="W578" s="575">
        <v>1</v>
      </c>
      <c r="X578" s="575"/>
      <c r="Y578" s="575"/>
      <c r="Z578" s="575">
        <v>2</v>
      </c>
      <c r="AA578" s="583"/>
    </row>
    <row r="579" spans="1:27" s="584" customFormat="1" ht="12.75" customHeight="1" x14ac:dyDescent="0.2">
      <c r="A579" s="575"/>
      <c r="B579" s="583"/>
      <c r="C579" s="583"/>
      <c r="D579" s="583"/>
      <c r="E579" s="576">
        <v>405.86500000000001</v>
      </c>
      <c r="F579" s="576">
        <f>+CEILING(E579,5)</f>
        <v>410</v>
      </c>
      <c r="G579" s="577"/>
      <c r="H579" s="575">
        <f>F579*36</f>
        <v>14760</v>
      </c>
      <c r="I579" s="577">
        <f>F579</f>
        <v>410</v>
      </c>
      <c r="J579" s="582"/>
      <c r="K579" s="578"/>
      <c r="L579" s="578"/>
      <c r="M579" s="578"/>
      <c r="N579" s="579"/>
      <c r="O579" s="579"/>
      <c r="P579" s="579"/>
      <c r="Q579" s="579"/>
      <c r="R579" s="578">
        <v>42</v>
      </c>
      <c r="S579" s="579"/>
      <c r="T579" s="579"/>
      <c r="U579" s="575"/>
      <c r="V579" s="575"/>
      <c r="W579" s="575"/>
      <c r="X579" s="575"/>
      <c r="Y579" s="575"/>
      <c r="Z579" s="575"/>
      <c r="AA579" s="583"/>
    </row>
    <row r="580" spans="1:27" s="584" customFormat="1" ht="12.75" customHeight="1" x14ac:dyDescent="0.2">
      <c r="A580" s="575">
        <f>A578+1</f>
        <v>287</v>
      </c>
      <c r="B580" s="583" t="s">
        <v>688</v>
      </c>
      <c r="C580" s="583" t="s">
        <v>20</v>
      </c>
      <c r="D580" s="583"/>
      <c r="E580" s="576"/>
      <c r="F580" s="576"/>
      <c r="G580" s="577"/>
      <c r="H580" s="575"/>
      <c r="I580" s="577"/>
      <c r="J580" s="582"/>
      <c r="K580" s="578">
        <f>(M580*4+N580*2)/2</f>
        <v>12</v>
      </c>
      <c r="L580" s="578"/>
      <c r="M580" s="578">
        <v>6</v>
      </c>
      <c r="N580" s="579"/>
      <c r="O580" s="579"/>
      <c r="P580" s="579"/>
      <c r="Q580" s="579"/>
      <c r="R580" s="579"/>
      <c r="S580" s="579"/>
      <c r="T580" s="579"/>
      <c r="U580" s="575"/>
      <c r="V580" s="575">
        <v>1</v>
      </c>
      <c r="W580" s="575">
        <v>1</v>
      </c>
      <c r="X580" s="575"/>
      <c r="Y580" s="575"/>
      <c r="Z580" s="575">
        <v>2</v>
      </c>
      <c r="AA580" s="583"/>
    </row>
    <row r="581" spans="1:27" s="584" customFormat="1" ht="12.75" customHeight="1" x14ac:dyDescent="0.2">
      <c r="A581" s="575"/>
      <c r="B581" s="583"/>
      <c r="C581" s="583"/>
      <c r="D581" s="583"/>
      <c r="E581" s="576">
        <v>433.70400000000001</v>
      </c>
      <c r="F581" s="576">
        <f>+CEILING(E581,5)</f>
        <v>435</v>
      </c>
      <c r="G581" s="577"/>
      <c r="H581" s="575">
        <f>F581*36</f>
        <v>15660</v>
      </c>
      <c r="I581" s="577">
        <f>F581</f>
        <v>435</v>
      </c>
      <c r="J581" s="582"/>
      <c r="K581" s="578"/>
      <c r="L581" s="578"/>
      <c r="M581" s="578"/>
      <c r="N581" s="579"/>
      <c r="O581" s="579"/>
      <c r="P581" s="579"/>
      <c r="Q581" s="579"/>
      <c r="R581" s="578">
        <v>42</v>
      </c>
      <c r="S581" s="579"/>
      <c r="T581" s="579"/>
      <c r="U581" s="575"/>
      <c r="V581" s="575"/>
      <c r="W581" s="575"/>
      <c r="X581" s="575"/>
      <c r="Y581" s="575"/>
      <c r="Z581" s="575"/>
      <c r="AA581" s="583"/>
    </row>
    <row r="582" spans="1:27" s="584" customFormat="1" ht="12.75" customHeight="1" x14ac:dyDescent="0.2">
      <c r="A582" s="575">
        <f>A580+1</f>
        <v>288</v>
      </c>
      <c r="B582" s="583" t="s">
        <v>689</v>
      </c>
      <c r="C582" s="583" t="s">
        <v>232</v>
      </c>
      <c r="D582" s="583"/>
      <c r="E582" s="576"/>
      <c r="F582" s="576"/>
      <c r="G582" s="577"/>
      <c r="H582" s="575"/>
      <c r="I582" s="577"/>
      <c r="J582" s="582"/>
      <c r="K582" s="578">
        <f>(M582*4+N582*2)/2</f>
        <v>12</v>
      </c>
      <c r="L582" s="578"/>
      <c r="M582" s="578">
        <v>6</v>
      </c>
      <c r="N582" s="579"/>
      <c r="O582" s="579"/>
      <c r="P582" s="579"/>
      <c r="Q582" s="579"/>
      <c r="R582" s="579"/>
      <c r="S582" s="579"/>
      <c r="T582" s="579"/>
      <c r="U582" s="575"/>
      <c r="V582" s="575">
        <v>1</v>
      </c>
      <c r="W582" s="575">
        <v>1</v>
      </c>
      <c r="X582" s="575"/>
      <c r="Y582" s="575"/>
      <c r="Z582" s="575">
        <v>2</v>
      </c>
      <c r="AA582" s="583"/>
    </row>
    <row r="583" spans="1:27" s="584" customFormat="1" ht="12.75" customHeight="1" x14ac:dyDescent="0.2">
      <c r="A583" s="575"/>
      <c r="B583" s="583"/>
      <c r="C583" s="583"/>
      <c r="D583" s="583"/>
      <c r="E583" s="576">
        <v>386.154</v>
      </c>
      <c r="F583" s="576">
        <f>+CEILING(E583,5)</f>
        <v>390</v>
      </c>
      <c r="G583" s="577"/>
      <c r="H583" s="575">
        <f>F583*36</f>
        <v>14040</v>
      </c>
      <c r="I583" s="577">
        <f>F583</f>
        <v>390</v>
      </c>
      <c r="J583" s="578"/>
      <c r="K583" s="578"/>
      <c r="L583" s="578"/>
      <c r="M583" s="578"/>
      <c r="N583" s="579"/>
      <c r="O583" s="579"/>
      <c r="P583" s="579"/>
      <c r="Q583" s="579"/>
      <c r="R583" s="578">
        <v>36</v>
      </c>
      <c r="S583" s="579"/>
      <c r="T583" s="579"/>
      <c r="U583" s="575"/>
      <c r="V583" s="575"/>
      <c r="W583" s="575"/>
      <c r="X583" s="575"/>
      <c r="Y583" s="575"/>
      <c r="Z583" s="575"/>
      <c r="AA583" s="583"/>
    </row>
    <row r="584" spans="1:27" s="584" customFormat="1" ht="12.75" customHeight="1" x14ac:dyDescent="0.2">
      <c r="A584" s="575">
        <f>A582+1</f>
        <v>289</v>
      </c>
      <c r="B584" s="583" t="s">
        <v>690</v>
      </c>
      <c r="C584" s="583" t="s">
        <v>244</v>
      </c>
      <c r="D584" s="583" t="s">
        <v>1120</v>
      </c>
      <c r="E584" s="576"/>
      <c r="F584" s="576"/>
      <c r="G584" s="577"/>
      <c r="H584" s="575"/>
      <c r="I584" s="577"/>
      <c r="J584" s="578">
        <v>48</v>
      </c>
      <c r="K584" s="582"/>
      <c r="L584" s="578">
        <v>12</v>
      </c>
      <c r="M584" s="582"/>
      <c r="N584" s="575"/>
      <c r="O584" s="575"/>
      <c r="P584" s="575"/>
      <c r="Q584" s="575"/>
      <c r="R584" s="579"/>
      <c r="S584" s="575">
        <v>30</v>
      </c>
      <c r="T584" s="575"/>
      <c r="U584" s="575">
        <v>2</v>
      </c>
      <c r="V584" s="575"/>
      <c r="W584" s="575">
        <v>2</v>
      </c>
      <c r="X584" s="575"/>
      <c r="Y584" s="575"/>
      <c r="Z584" s="575">
        <v>4</v>
      </c>
      <c r="AA584" s="583"/>
    </row>
    <row r="585" spans="1:27" s="584" customFormat="1" ht="12.75" customHeight="1" x14ac:dyDescent="0.2">
      <c r="A585" s="575"/>
      <c r="B585" s="583"/>
      <c r="C585" s="583"/>
      <c r="D585" s="583"/>
      <c r="E585" s="576">
        <v>428.90100000000001</v>
      </c>
      <c r="F585" s="576">
        <f>+CEILING(E585,5)</f>
        <v>430</v>
      </c>
      <c r="G585" s="577"/>
      <c r="H585" s="575">
        <f>F585*36</f>
        <v>15480</v>
      </c>
      <c r="I585" s="577">
        <f>F585</f>
        <v>430</v>
      </c>
      <c r="J585" s="582"/>
      <c r="K585" s="578"/>
      <c r="L585" s="578"/>
      <c r="M585" s="578"/>
      <c r="N585" s="579"/>
      <c r="O585" s="579"/>
      <c r="P585" s="579"/>
      <c r="Q585" s="579"/>
      <c r="R585" s="578">
        <v>42</v>
      </c>
      <c r="S585" s="579"/>
      <c r="T585" s="579"/>
      <c r="U585" s="575"/>
      <c r="V585" s="575"/>
      <c r="W585" s="575"/>
      <c r="X585" s="575"/>
      <c r="Y585" s="575"/>
      <c r="Z585" s="575"/>
      <c r="AA585" s="583"/>
    </row>
    <row r="586" spans="1:27" s="584" customFormat="1" ht="12.75" customHeight="1" x14ac:dyDescent="0.2">
      <c r="A586" s="575">
        <f>A584+1</f>
        <v>290</v>
      </c>
      <c r="B586" s="583" t="s">
        <v>691</v>
      </c>
      <c r="C586" s="583" t="s">
        <v>233</v>
      </c>
      <c r="D586" s="583"/>
      <c r="E586" s="576"/>
      <c r="F586" s="576"/>
      <c r="G586" s="577"/>
      <c r="H586" s="575"/>
      <c r="I586" s="577"/>
      <c r="J586" s="582"/>
      <c r="K586" s="578">
        <f>(M586*4+N586*2)/2</f>
        <v>12</v>
      </c>
      <c r="L586" s="578"/>
      <c r="M586" s="578">
        <v>6</v>
      </c>
      <c r="N586" s="579"/>
      <c r="O586" s="579"/>
      <c r="P586" s="579"/>
      <c r="Q586" s="579"/>
      <c r="R586" s="579"/>
      <c r="S586" s="579"/>
      <c r="T586" s="579"/>
      <c r="U586" s="575"/>
      <c r="V586" s="575">
        <v>1</v>
      </c>
      <c r="W586" s="575">
        <v>1</v>
      </c>
      <c r="X586" s="575"/>
      <c r="Y586" s="575"/>
      <c r="Z586" s="575">
        <v>2</v>
      </c>
      <c r="AA586" s="583"/>
    </row>
    <row r="587" spans="1:27" s="584" customFormat="1" ht="12.75" customHeight="1" x14ac:dyDescent="0.2">
      <c r="A587" s="575"/>
      <c r="B587" s="583"/>
      <c r="C587" s="583"/>
      <c r="D587" s="583"/>
      <c r="E587" s="576">
        <v>402.92200000000003</v>
      </c>
      <c r="F587" s="576">
        <f>+CEILING(E587,5)</f>
        <v>405</v>
      </c>
      <c r="G587" s="577"/>
      <c r="H587" s="575">
        <f>F587*36</f>
        <v>14580</v>
      </c>
      <c r="I587" s="577">
        <f>F587</f>
        <v>405</v>
      </c>
      <c r="J587" s="582"/>
      <c r="K587" s="578"/>
      <c r="L587" s="578"/>
      <c r="M587" s="578"/>
      <c r="N587" s="579"/>
      <c r="O587" s="579"/>
      <c r="P587" s="579"/>
      <c r="Q587" s="579"/>
      <c r="R587" s="578">
        <v>42</v>
      </c>
      <c r="S587" s="579"/>
      <c r="T587" s="579"/>
      <c r="U587" s="575"/>
      <c r="V587" s="575"/>
      <c r="W587" s="575"/>
      <c r="X587" s="575"/>
      <c r="Y587" s="575"/>
      <c r="Z587" s="575"/>
      <c r="AA587" s="583"/>
    </row>
    <row r="588" spans="1:27" s="584" customFormat="1" ht="12.75" customHeight="1" x14ac:dyDescent="0.2">
      <c r="A588" s="575">
        <f>A586+1</f>
        <v>291</v>
      </c>
      <c r="B588" s="583" t="s">
        <v>91</v>
      </c>
      <c r="C588" s="583" t="s">
        <v>867</v>
      </c>
      <c r="D588" s="583" t="s">
        <v>1121</v>
      </c>
      <c r="E588" s="576"/>
      <c r="F588" s="576"/>
      <c r="G588" s="577"/>
      <c r="H588" s="575"/>
      <c r="I588" s="577"/>
      <c r="J588" s="578">
        <v>48</v>
      </c>
      <c r="K588" s="578">
        <v>6</v>
      </c>
      <c r="L588" s="578">
        <v>12</v>
      </c>
      <c r="M588" s="582"/>
      <c r="N588" s="575">
        <v>6</v>
      </c>
      <c r="O588" s="575"/>
      <c r="P588" s="575"/>
      <c r="Q588" s="575"/>
      <c r="R588" s="579"/>
      <c r="S588" s="575">
        <v>30</v>
      </c>
      <c r="T588" s="575"/>
      <c r="U588" s="575">
        <v>2</v>
      </c>
      <c r="V588" s="575"/>
      <c r="W588" s="575">
        <v>2</v>
      </c>
      <c r="X588" s="575"/>
      <c r="Y588" s="575"/>
      <c r="Z588" s="575">
        <v>4</v>
      </c>
      <c r="AA588" s="583"/>
    </row>
    <row r="589" spans="1:27" s="584" customFormat="1" ht="12.75" customHeight="1" x14ac:dyDescent="0.2">
      <c r="A589" s="575"/>
      <c r="B589" s="583"/>
      <c r="C589" s="583"/>
      <c r="D589" s="583"/>
      <c r="E589" s="576">
        <v>379.1</v>
      </c>
      <c r="F589" s="576">
        <f>+CEILING(E589,5)</f>
        <v>380</v>
      </c>
      <c r="G589" s="577"/>
      <c r="H589" s="575">
        <f>F589*36</f>
        <v>13680</v>
      </c>
      <c r="I589" s="577">
        <f>F589</f>
        <v>380</v>
      </c>
      <c r="J589" s="582"/>
      <c r="K589" s="578"/>
      <c r="L589" s="582"/>
      <c r="M589" s="578"/>
      <c r="N589" s="575"/>
      <c r="O589" s="575"/>
      <c r="P589" s="575"/>
      <c r="Q589" s="575"/>
      <c r="R589" s="578">
        <v>36</v>
      </c>
      <c r="S589" s="575"/>
      <c r="T589" s="575"/>
      <c r="U589" s="575"/>
      <c r="V589" s="575"/>
      <c r="W589" s="575"/>
      <c r="X589" s="575"/>
      <c r="Y589" s="575"/>
      <c r="Z589" s="575"/>
      <c r="AA589" s="583"/>
    </row>
    <row r="590" spans="1:27" s="584" customFormat="1" ht="12.75" customHeight="1" x14ac:dyDescent="0.2">
      <c r="A590" s="575">
        <f>A588+1</f>
        <v>292</v>
      </c>
      <c r="B590" s="583" t="s">
        <v>692</v>
      </c>
      <c r="C590" s="583" t="s">
        <v>231</v>
      </c>
      <c r="D590" s="583"/>
      <c r="E590" s="576"/>
      <c r="F590" s="576"/>
      <c r="G590" s="577"/>
      <c r="H590" s="575"/>
      <c r="I590" s="577"/>
      <c r="J590" s="582"/>
      <c r="K590" s="578">
        <f>(M590*4+N590*2)/2</f>
        <v>12</v>
      </c>
      <c r="L590" s="578"/>
      <c r="M590" s="578">
        <v>6</v>
      </c>
      <c r="N590" s="579"/>
      <c r="O590" s="579"/>
      <c r="P590" s="579"/>
      <c r="Q590" s="579"/>
      <c r="R590" s="579"/>
      <c r="S590" s="579"/>
      <c r="T590" s="579"/>
      <c r="U590" s="575"/>
      <c r="V590" s="575">
        <v>1</v>
      </c>
      <c r="W590" s="575">
        <v>1</v>
      </c>
      <c r="X590" s="575"/>
      <c r="Y590" s="575"/>
      <c r="Z590" s="575">
        <v>2</v>
      </c>
      <c r="AA590" s="583"/>
    </row>
    <row r="591" spans="1:27" s="584" customFormat="1" ht="12.75" customHeight="1" x14ac:dyDescent="0.2">
      <c r="A591" s="575"/>
      <c r="B591" s="583"/>
      <c r="C591" s="583"/>
      <c r="D591" s="583"/>
      <c r="E591" s="576">
        <v>386.63600000000002</v>
      </c>
      <c r="F591" s="576">
        <f>+CEILING(E591,5)</f>
        <v>390</v>
      </c>
      <c r="G591" s="577"/>
      <c r="H591" s="575">
        <f>F591*36</f>
        <v>14040</v>
      </c>
      <c r="I591" s="577">
        <f>F591</f>
        <v>390</v>
      </c>
      <c r="J591" s="582"/>
      <c r="K591" s="582"/>
      <c r="L591" s="582"/>
      <c r="M591" s="582"/>
      <c r="N591" s="575"/>
      <c r="O591" s="575"/>
      <c r="P591" s="575"/>
      <c r="Q591" s="575"/>
      <c r="R591" s="578">
        <v>36</v>
      </c>
      <c r="S591" s="579"/>
      <c r="T591" s="575"/>
      <c r="U591" s="575"/>
      <c r="V591" s="575"/>
      <c r="W591" s="575"/>
      <c r="X591" s="575"/>
      <c r="Y591" s="575"/>
      <c r="Z591" s="575"/>
      <c r="AA591" s="583"/>
    </row>
    <row r="592" spans="1:27" s="584" customFormat="1" ht="12.75" customHeight="1" x14ac:dyDescent="0.2">
      <c r="A592" s="575">
        <f>A590+1</f>
        <v>293</v>
      </c>
      <c r="B592" s="583" t="s">
        <v>693</v>
      </c>
      <c r="C592" s="583" t="s">
        <v>20</v>
      </c>
      <c r="D592" s="583"/>
      <c r="E592" s="576"/>
      <c r="F592" s="576"/>
      <c r="G592" s="577"/>
      <c r="H592" s="575"/>
      <c r="I592" s="577"/>
      <c r="J592" s="582"/>
      <c r="K592" s="578">
        <f>(M592*4+N592*2)/2</f>
        <v>12</v>
      </c>
      <c r="L592" s="578"/>
      <c r="M592" s="578">
        <v>6</v>
      </c>
      <c r="N592" s="579"/>
      <c r="O592" s="579"/>
      <c r="P592" s="579"/>
      <c r="Q592" s="579"/>
      <c r="R592" s="579"/>
      <c r="S592" s="579"/>
      <c r="T592" s="579"/>
      <c r="U592" s="575"/>
      <c r="V592" s="575">
        <v>1</v>
      </c>
      <c r="W592" s="575">
        <v>1</v>
      </c>
      <c r="X592" s="575"/>
      <c r="Y592" s="575"/>
      <c r="Z592" s="575">
        <v>2</v>
      </c>
      <c r="AA592" s="583"/>
    </row>
    <row r="593" spans="1:27" s="584" customFormat="1" ht="12.75" customHeight="1" x14ac:dyDescent="0.2">
      <c r="A593" s="575"/>
      <c r="B593" s="583"/>
      <c r="C593" s="583"/>
      <c r="D593" s="583"/>
      <c r="E593" s="576">
        <v>390.00200000000001</v>
      </c>
      <c r="F593" s="576">
        <f>+CEILING(E593,5)</f>
        <v>395</v>
      </c>
      <c r="G593" s="577"/>
      <c r="H593" s="575">
        <f>F593*36</f>
        <v>14220</v>
      </c>
      <c r="I593" s="577">
        <f>F593</f>
        <v>395</v>
      </c>
      <c r="J593" s="582"/>
      <c r="K593" s="578"/>
      <c r="L593" s="578"/>
      <c r="M593" s="578"/>
      <c r="N593" s="579"/>
      <c r="O593" s="579"/>
      <c r="P593" s="579"/>
      <c r="Q593" s="579"/>
      <c r="R593" s="578">
        <v>36</v>
      </c>
      <c r="S593" s="579"/>
      <c r="T593" s="579"/>
      <c r="U593" s="575"/>
      <c r="V593" s="575"/>
      <c r="W593" s="575"/>
      <c r="X593" s="575"/>
      <c r="Y593" s="575"/>
      <c r="Z593" s="575"/>
      <c r="AA593" s="583"/>
    </row>
    <row r="594" spans="1:27" s="584" customFormat="1" ht="12.75" customHeight="1" x14ac:dyDescent="0.2">
      <c r="A594" s="575">
        <f>A592+1</f>
        <v>294</v>
      </c>
      <c r="B594" s="583" t="s">
        <v>694</v>
      </c>
      <c r="C594" s="583" t="s">
        <v>20</v>
      </c>
      <c r="D594" s="583"/>
      <c r="E594" s="576"/>
      <c r="F594" s="576"/>
      <c r="G594" s="577"/>
      <c r="H594" s="575"/>
      <c r="I594" s="577"/>
      <c r="J594" s="582"/>
      <c r="K594" s="578">
        <f>(M594*4+N594*2)/2</f>
        <v>12</v>
      </c>
      <c r="L594" s="578"/>
      <c r="M594" s="578">
        <v>6</v>
      </c>
      <c r="N594" s="579"/>
      <c r="O594" s="579"/>
      <c r="P594" s="579"/>
      <c r="Q594" s="579"/>
      <c r="R594" s="579"/>
      <c r="S594" s="579"/>
      <c r="T594" s="579"/>
      <c r="U594" s="575"/>
      <c r="V594" s="575">
        <v>1</v>
      </c>
      <c r="W594" s="575">
        <v>1</v>
      </c>
      <c r="X594" s="575"/>
      <c r="Y594" s="575"/>
      <c r="Z594" s="575">
        <v>2</v>
      </c>
      <c r="AA594" s="583"/>
    </row>
    <row r="595" spans="1:27" s="584" customFormat="1" ht="12.75" customHeight="1" x14ac:dyDescent="0.2">
      <c r="A595" s="575"/>
      <c r="B595" s="583"/>
      <c r="C595" s="583"/>
      <c r="D595" s="583"/>
      <c r="E595" s="576">
        <v>421.72899999999998</v>
      </c>
      <c r="F595" s="576">
        <f>+CEILING(E595,5)</f>
        <v>425</v>
      </c>
      <c r="G595" s="577"/>
      <c r="H595" s="575">
        <f>F595*36</f>
        <v>15300</v>
      </c>
      <c r="I595" s="577">
        <f>F595</f>
        <v>425</v>
      </c>
      <c r="J595" s="582"/>
      <c r="K595" s="578"/>
      <c r="L595" s="578"/>
      <c r="M595" s="578"/>
      <c r="N595" s="579"/>
      <c r="O595" s="579"/>
      <c r="P595" s="579"/>
      <c r="Q595" s="579"/>
      <c r="R595" s="578">
        <v>42</v>
      </c>
      <c r="S595" s="579"/>
      <c r="T595" s="579"/>
      <c r="U595" s="575"/>
      <c r="V595" s="575"/>
      <c r="W595" s="575"/>
      <c r="X595" s="575"/>
      <c r="Y595" s="575"/>
      <c r="Z595" s="575"/>
      <c r="AA595" s="583"/>
    </row>
    <row r="596" spans="1:27" s="584" customFormat="1" ht="12.75" customHeight="1" x14ac:dyDescent="0.2">
      <c r="A596" s="575">
        <f>A594+1</f>
        <v>295</v>
      </c>
      <c r="B596" s="583" t="s">
        <v>695</v>
      </c>
      <c r="C596" s="583" t="s">
        <v>20</v>
      </c>
      <c r="D596" s="583"/>
      <c r="E596" s="576"/>
      <c r="F596" s="576"/>
      <c r="G596" s="577"/>
      <c r="H596" s="575"/>
      <c r="I596" s="577"/>
      <c r="J596" s="582"/>
      <c r="K596" s="578">
        <f>(M596*4+N596*2)/2</f>
        <v>12</v>
      </c>
      <c r="L596" s="578"/>
      <c r="M596" s="578">
        <v>6</v>
      </c>
      <c r="N596" s="579"/>
      <c r="O596" s="579"/>
      <c r="P596" s="579"/>
      <c r="Q596" s="579"/>
      <c r="R596" s="579"/>
      <c r="S596" s="579"/>
      <c r="T596" s="579"/>
      <c r="U596" s="575"/>
      <c r="V596" s="575">
        <v>1</v>
      </c>
      <c r="W596" s="575">
        <v>1</v>
      </c>
      <c r="X596" s="575"/>
      <c r="Y596" s="575"/>
      <c r="Z596" s="575">
        <v>2</v>
      </c>
      <c r="AA596" s="583"/>
    </row>
    <row r="597" spans="1:27" s="584" customFormat="1" ht="12.75" customHeight="1" x14ac:dyDescent="0.2">
      <c r="A597" s="575"/>
      <c r="B597" s="583"/>
      <c r="C597" s="583"/>
      <c r="D597" s="583"/>
      <c r="E597" s="576">
        <v>396.64299999999997</v>
      </c>
      <c r="F597" s="576">
        <f>+CEILING(E597,5)</f>
        <v>400</v>
      </c>
      <c r="G597" s="577"/>
      <c r="H597" s="575">
        <f>F597*36</f>
        <v>14400</v>
      </c>
      <c r="I597" s="577">
        <f>F597</f>
        <v>400</v>
      </c>
      <c r="J597" s="582"/>
      <c r="K597" s="578"/>
      <c r="L597" s="578"/>
      <c r="M597" s="578"/>
      <c r="N597" s="579"/>
      <c r="O597" s="579"/>
      <c r="P597" s="579"/>
      <c r="Q597" s="579"/>
      <c r="R597" s="578">
        <v>42</v>
      </c>
      <c r="S597" s="579"/>
      <c r="T597" s="579"/>
      <c r="U597" s="575"/>
      <c r="V597" s="575"/>
      <c r="W597" s="575"/>
      <c r="X597" s="575"/>
      <c r="Y597" s="575"/>
      <c r="Z597" s="575"/>
      <c r="AA597" s="583"/>
    </row>
    <row r="598" spans="1:27" s="584" customFormat="1" ht="12.75" customHeight="1" x14ac:dyDescent="0.2">
      <c r="A598" s="575">
        <f>A596+1</f>
        <v>296</v>
      </c>
      <c r="B598" s="583" t="s">
        <v>696</v>
      </c>
      <c r="C598" s="583" t="s">
        <v>20</v>
      </c>
      <c r="D598" s="583"/>
      <c r="E598" s="576"/>
      <c r="F598" s="576"/>
      <c r="G598" s="577"/>
      <c r="H598" s="575"/>
      <c r="I598" s="577"/>
      <c r="J598" s="582"/>
      <c r="K598" s="578">
        <f>(M598*4+N598*2)/2</f>
        <v>12</v>
      </c>
      <c r="L598" s="578"/>
      <c r="M598" s="578">
        <v>6</v>
      </c>
      <c r="N598" s="579"/>
      <c r="O598" s="579"/>
      <c r="P598" s="579"/>
      <c r="Q598" s="579"/>
      <c r="R598" s="579"/>
      <c r="S598" s="579"/>
      <c r="T598" s="579"/>
      <c r="U598" s="575"/>
      <c r="V598" s="575">
        <v>1</v>
      </c>
      <c r="W598" s="575">
        <v>1</v>
      </c>
      <c r="X598" s="575"/>
      <c r="Y598" s="575"/>
      <c r="Z598" s="575">
        <v>2</v>
      </c>
      <c r="AA598" s="583"/>
    </row>
    <row r="599" spans="1:27" s="584" customFormat="1" ht="12.75" customHeight="1" x14ac:dyDescent="0.2">
      <c r="A599" s="575"/>
      <c r="B599" s="583"/>
      <c r="C599" s="583"/>
      <c r="D599" s="583"/>
      <c r="E599" s="576">
        <v>412.78899999999999</v>
      </c>
      <c r="F599" s="576">
        <f>+CEILING(E599,5)</f>
        <v>415</v>
      </c>
      <c r="G599" s="577"/>
      <c r="H599" s="575">
        <f>F599*36</f>
        <v>14940</v>
      </c>
      <c r="I599" s="577">
        <f>F599</f>
        <v>415</v>
      </c>
      <c r="J599" s="582"/>
      <c r="K599" s="578"/>
      <c r="L599" s="582"/>
      <c r="M599" s="578"/>
      <c r="N599" s="575"/>
      <c r="O599" s="575"/>
      <c r="P599" s="575"/>
      <c r="Q599" s="575"/>
      <c r="R599" s="578">
        <v>42</v>
      </c>
      <c r="S599" s="575"/>
      <c r="T599" s="575"/>
      <c r="U599" s="575"/>
      <c r="V599" s="575"/>
      <c r="W599" s="575"/>
      <c r="X599" s="575"/>
      <c r="Y599" s="575"/>
      <c r="Z599" s="575"/>
      <c r="AA599" s="583"/>
    </row>
    <row r="600" spans="1:27" s="584" customFormat="1" ht="12.75" customHeight="1" x14ac:dyDescent="0.2">
      <c r="A600" s="575">
        <f>A598+1</f>
        <v>297</v>
      </c>
      <c r="B600" s="583" t="s">
        <v>697</v>
      </c>
      <c r="C600" s="583" t="s">
        <v>231</v>
      </c>
      <c r="D600" s="583"/>
      <c r="E600" s="576"/>
      <c r="F600" s="576"/>
      <c r="G600" s="577"/>
      <c r="H600" s="575"/>
      <c r="I600" s="577"/>
      <c r="J600" s="582"/>
      <c r="K600" s="578">
        <f>(M600*4+N600*2)/2</f>
        <v>12</v>
      </c>
      <c r="L600" s="578"/>
      <c r="M600" s="578">
        <v>6</v>
      </c>
      <c r="N600" s="579"/>
      <c r="O600" s="579"/>
      <c r="P600" s="579"/>
      <c r="Q600" s="579"/>
      <c r="R600" s="579"/>
      <c r="S600" s="579"/>
      <c r="T600" s="579"/>
      <c r="U600" s="575"/>
      <c r="V600" s="575">
        <v>1</v>
      </c>
      <c r="W600" s="575">
        <v>1</v>
      </c>
      <c r="X600" s="575"/>
      <c r="Y600" s="575"/>
      <c r="Z600" s="575">
        <v>2</v>
      </c>
      <c r="AA600" s="583"/>
    </row>
    <row r="601" spans="1:27" s="584" customFormat="1" ht="12.75" customHeight="1" x14ac:dyDescent="0.2">
      <c r="A601" s="575"/>
      <c r="B601" s="583"/>
      <c r="C601" s="583"/>
      <c r="D601" s="583"/>
      <c r="E601" s="576">
        <v>340.20600000000002</v>
      </c>
      <c r="F601" s="576">
        <f>+CEILING(E601,5)</f>
        <v>345</v>
      </c>
      <c r="G601" s="577"/>
      <c r="H601" s="575">
        <f>F601*36</f>
        <v>12420</v>
      </c>
      <c r="I601" s="577">
        <f>F601</f>
        <v>345</v>
      </c>
      <c r="J601" s="578"/>
      <c r="K601" s="578"/>
      <c r="L601" s="578"/>
      <c r="M601" s="578"/>
      <c r="N601" s="579"/>
      <c r="O601" s="579"/>
      <c r="P601" s="579"/>
      <c r="Q601" s="579"/>
      <c r="R601" s="578">
        <v>36</v>
      </c>
      <c r="S601" s="579"/>
      <c r="T601" s="579"/>
      <c r="U601" s="575"/>
      <c r="V601" s="575"/>
      <c r="W601" s="575"/>
      <c r="X601" s="575"/>
      <c r="Y601" s="575"/>
      <c r="Z601" s="575"/>
      <c r="AA601" s="583"/>
    </row>
    <row r="602" spans="1:27" s="584" customFormat="1" ht="12.75" customHeight="1" x14ac:dyDescent="0.2">
      <c r="A602" s="575">
        <f>A600+1</f>
        <v>298</v>
      </c>
      <c r="B602" s="583" t="s">
        <v>698</v>
      </c>
      <c r="C602" s="583" t="s">
        <v>231</v>
      </c>
      <c r="D602" s="583"/>
      <c r="E602" s="576"/>
      <c r="F602" s="576"/>
      <c r="G602" s="577"/>
      <c r="H602" s="575"/>
      <c r="I602" s="577"/>
      <c r="J602" s="582"/>
      <c r="K602" s="578">
        <f>(M602*4+N602*2)/2</f>
        <v>12</v>
      </c>
      <c r="L602" s="578"/>
      <c r="M602" s="578">
        <v>6</v>
      </c>
      <c r="N602" s="579"/>
      <c r="O602" s="579"/>
      <c r="P602" s="579"/>
      <c r="Q602" s="579"/>
      <c r="R602" s="579"/>
      <c r="S602" s="579"/>
      <c r="T602" s="579"/>
      <c r="U602" s="575"/>
      <c r="V602" s="575">
        <v>1</v>
      </c>
      <c r="W602" s="575">
        <v>1</v>
      </c>
      <c r="X602" s="575"/>
      <c r="Y602" s="575"/>
      <c r="Z602" s="575">
        <v>2</v>
      </c>
      <c r="AA602" s="583"/>
    </row>
    <row r="603" spans="1:27" s="584" customFormat="1" ht="12.75" customHeight="1" x14ac:dyDescent="0.2">
      <c r="A603" s="575"/>
      <c r="B603" s="583"/>
      <c r="C603" s="583"/>
      <c r="D603" s="583"/>
      <c r="E603" s="576">
        <v>500.23099999999999</v>
      </c>
      <c r="F603" s="576">
        <f>+CEILING(E603,5)</f>
        <v>505</v>
      </c>
      <c r="G603" s="577"/>
      <c r="H603" s="575">
        <f>F603*36</f>
        <v>18180</v>
      </c>
      <c r="I603" s="577">
        <f>F603</f>
        <v>505</v>
      </c>
      <c r="J603" s="578"/>
      <c r="K603" s="578"/>
      <c r="L603" s="582"/>
      <c r="M603" s="578"/>
      <c r="N603" s="575"/>
      <c r="O603" s="575"/>
      <c r="P603" s="575"/>
      <c r="Q603" s="575"/>
      <c r="R603" s="578">
        <v>48</v>
      </c>
      <c r="S603" s="575"/>
      <c r="T603" s="575"/>
      <c r="U603" s="575"/>
      <c r="V603" s="575"/>
      <c r="W603" s="575"/>
      <c r="X603" s="575"/>
      <c r="Y603" s="575"/>
      <c r="Z603" s="575"/>
      <c r="AA603" s="583"/>
    </row>
    <row r="604" spans="1:27" s="584" customFormat="1" x14ac:dyDescent="0.2">
      <c r="A604" s="575">
        <f>A602+1</f>
        <v>299</v>
      </c>
      <c r="B604" s="583" t="s">
        <v>92</v>
      </c>
      <c r="C604" s="583" t="s">
        <v>245</v>
      </c>
      <c r="D604" s="583" t="s">
        <v>1122</v>
      </c>
      <c r="E604" s="576"/>
      <c r="F604" s="576"/>
      <c r="G604" s="575"/>
      <c r="H604" s="575"/>
      <c r="I604" s="577"/>
      <c r="J604" s="578">
        <v>48</v>
      </c>
      <c r="K604" s="580"/>
      <c r="L604" s="578">
        <v>12</v>
      </c>
      <c r="M604" s="580"/>
      <c r="N604" s="580"/>
      <c r="O604" s="580"/>
      <c r="P604" s="580"/>
      <c r="Q604" s="580"/>
      <c r="R604" s="579"/>
      <c r="S604" s="575">
        <v>30</v>
      </c>
      <c r="T604" s="580"/>
      <c r="U604" s="575">
        <v>2</v>
      </c>
      <c r="V604" s="580"/>
      <c r="W604" s="575">
        <v>2</v>
      </c>
      <c r="X604" s="580"/>
      <c r="Y604" s="580"/>
      <c r="Z604" s="575">
        <v>4</v>
      </c>
      <c r="AA604" s="583"/>
    </row>
    <row r="605" spans="1:27" s="584" customFormat="1" ht="12" customHeight="1" x14ac:dyDescent="0.2">
      <c r="A605" s="575"/>
      <c r="B605" s="583"/>
      <c r="C605" s="583"/>
      <c r="D605" s="583"/>
      <c r="E605" s="576">
        <v>469.06900000000002</v>
      </c>
      <c r="F605" s="576">
        <f>+CEILING(E605,5)</f>
        <v>470</v>
      </c>
      <c r="G605" s="575"/>
      <c r="H605" s="575">
        <f>F605*36</f>
        <v>16920</v>
      </c>
      <c r="I605" s="577">
        <f>F605</f>
        <v>470</v>
      </c>
      <c r="J605" s="580"/>
      <c r="K605" s="578"/>
      <c r="L605" s="580"/>
      <c r="M605" s="578"/>
      <c r="N605" s="580"/>
      <c r="O605" s="580"/>
      <c r="P605" s="580"/>
      <c r="Q605" s="580"/>
      <c r="R605" s="578">
        <v>48</v>
      </c>
      <c r="S605" s="580"/>
      <c r="T605" s="580"/>
      <c r="U605" s="580"/>
      <c r="V605" s="575"/>
      <c r="W605" s="575"/>
      <c r="X605" s="580"/>
      <c r="Y605" s="580"/>
      <c r="Z605" s="575"/>
      <c r="AA605" s="583"/>
    </row>
    <row r="606" spans="1:27" s="584" customFormat="1" x14ac:dyDescent="0.2">
      <c r="A606" s="575">
        <f>A604+1</f>
        <v>300</v>
      </c>
      <c r="B606" s="583" t="s">
        <v>699</v>
      </c>
      <c r="C606" s="583" t="s">
        <v>232</v>
      </c>
      <c r="D606" s="583"/>
      <c r="E606" s="576"/>
      <c r="F606" s="576"/>
      <c r="G606" s="575"/>
      <c r="H606" s="575"/>
      <c r="I606" s="577"/>
      <c r="J606" s="580"/>
      <c r="K606" s="578">
        <f>(M606*4+N606*2)/2</f>
        <v>12</v>
      </c>
      <c r="L606" s="578"/>
      <c r="M606" s="578">
        <v>6</v>
      </c>
      <c r="N606" s="579"/>
      <c r="O606" s="579"/>
      <c r="P606" s="579"/>
      <c r="Q606" s="579"/>
      <c r="R606" s="579"/>
      <c r="S606" s="579"/>
      <c r="T606" s="579"/>
      <c r="U606" s="575"/>
      <c r="V606" s="575">
        <v>1</v>
      </c>
      <c r="W606" s="575">
        <v>1</v>
      </c>
      <c r="X606" s="575"/>
      <c r="Y606" s="575"/>
      <c r="Z606" s="575">
        <v>2</v>
      </c>
      <c r="AA606" s="583"/>
    </row>
    <row r="607" spans="1:27" s="584" customFormat="1" ht="13.9" customHeight="1" x14ac:dyDescent="0.2">
      <c r="A607" s="575"/>
      <c r="B607" s="583"/>
      <c r="C607" s="583"/>
      <c r="D607" s="583"/>
      <c r="E607" s="576">
        <v>367.13299999999998</v>
      </c>
      <c r="F607" s="576">
        <f>+CEILING(E607,5)</f>
        <v>370</v>
      </c>
      <c r="G607" s="575"/>
      <c r="H607" s="575">
        <f>F607*36</f>
        <v>13320</v>
      </c>
      <c r="I607" s="577">
        <f>F607</f>
        <v>370</v>
      </c>
      <c r="J607" s="580"/>
      <c r="K607" s="578"/>
      <c r="L607" s="580"/>
      <c r="M607" s="578"/>
      <c r="N607" s="580"/>
      <c r="O607" s="580"/>
      <c r="P607" s="580"/>
      <c r="Q607" s="580"/>
      <c r="R607" s="578">
        <v>36</v>
      </c>
      <c r="S607" s="580"/>
      <c r="T607" s="580"/>
      <c r="U607" s="580"/>
      <c r="V607" s="575"/>
      <c r="W607" s="575"/>
      <c r="X607" s="580"/>
      <c r="Y607" s="580"/>
      <c r="Z607" s="575"/>
      <c r="AA607" s="583"/>
    </row>
    <row r="608" spans="1:27" s="584" customFormat="1" ht="13.9" customHeight="1" x14ac:dyDescent="0.2">
      <c r="A608" s="575">
        <f>A606+1</f>
        <v>301</v>
      </c>
      <c r="B608" s="583" t="s">
        <v>700</v>
      </c>
      <c r="C608" s="583" t="s">
        <v>233</v>
      </c>
      <c r="D608" s="583"/>
      <c r="E608" s="576"/>
      <c r="F608" s="576"/>
      <c r="G608" s="575"/>
      <c r="H608" s="575"/>
      <c r="I608" s="577"/>
      <c r="J608" s="580"/>
      <c r="K608" s="578">
        <f>(M608*4+N608*2)/2</f>
        <v>12</v>
      </c>
      <c r="L608" s="578"/>
      <c r="M608" s="578">
        <v>6</v>
      </c>
      <c r="N608" s="579"/>
      <c r="O608" s="579"/>
      <c r="P608" s="579"/>
      <c r="Q608" s="579"/>
      <c r="R608" s="579"/>
      <c r="S608" s="579"/>
      <c r="T608" s="579"/>
      <c r="U608" s="575"/>
      <c r="V608" s="575">
        <v>1</v>
      </c>
      <c r="W608" s="575">
        <v>1</v>
      </c>
      <c r="X608" s="575"/>
      <c r="Y608" s="575"/>
      <c r="Z608" s="575">
        <v>2</v>
      </c>
      <c r="AA608" s="583"/>
    </row>
    <row r="609" spans="1:27" s="584" customFormat="1" ht="13.9" customHeight="1" x14ac:dyDescent="0.2">
      <c r="A609" s="575"/>
      <c r="B609" s="583"/>
      <c r="C609" s="583"/>
      <c r="D609" s="583"/>
      <c r="E609" s="576">
        <v>470.387</v>
      </c>
      <c r="F609" s="576">
        <f>+CEILING(E609,5)</f>
        <v>475</v>
      </c>
      <c r="G609" s="575"/>
      <c r="H609" s="575">
        <f>F609*36</f>
        <v>17100</v>
      </c>
      <c r="I609" s="577">
        <f>F609</f>
        <v>475</v>
      </c>
      <c r="J609" s="582"/>
      <c r="K609" s="580"/>
      <c r="L609" s="582"/>
      <c r="M609" s="580"/>
      <c r="N609" s="580"/>
      <c r="O609" s="580"/>
      <c r="P609" s="580"/>
      <c r="Q609" s="580"/>
      <c r="R609" s="578">
        <v>48</v>
      </c>
      <c r="S609" s="579"/>
      <c r="T609" s="580"/>
      <c r="U609" s="575"/>
      <c r="V609" s="580"/>
      <c r="W609" s="575"/>
      <c r="X609" s="580"/>
      <c r="Y609" s="580"/>
      <c r="Z609" s="575"/>
      <c r="AA609" s="583"/>
    </row>
    <row r="610" spans="1:27" s="584" customFormat="1" ht="13.9" customHeight="1" x14ac:dyDescent="0.2">
      <c r="A610" s="575">
        <f>A608+1</f>
        <v>302</v>
      </c>
      <c r="B610" s="583" t="s">
        <v>701</v>
      </c>
      <c r="C610" s="583" t="s">
        <v>232</v>
      </c>
      <c r="D610" s="583"/>
      <c r="E610" s="576"/>
      <c r="F610" s="576"/>
      <c r="G610" s="575"/>
      <c r="H610" s="575"/>
      <c r="I610" s="577"/>
      <c r="J610" s="580"/>
      <c r="K610" s="578">
        <f>(M610*4+N610*2)/2</f>
        <v>12</v>
      </c>
      <c r="L610" s="578"/>
      <c r="M610" s="578">
        <v>6</v>
      </c>
      <c r="N610" s="579"/>
      <c r="O610" s="579"/>
      <c r="P610" s="579"/>
      <c r="Q610" s="579"/>
      <c r="R610" s="579"/>
      <c r="S610" s="579"/>
      <c r="T610" s="579"/>
      <c r="U610" s="575"/>
      <c r="V610" s="575">
        <v>1</v>
      </c>
      <c r="W610" s="575">
        <v>1</v>
      </c>
      <c r="X610" s="575"/>
      <c r="Y610" s="575"/>
      <c r="Z610" s="575">
        <v>2</v>
      </c>
      <c r="AA610" s="583"/>
    </row>
    <row r="611" spans="1:27" s="584" customFormat="1" ht="13.9" customHeight="1" x14ac:dyDescent="0.2">
      <c r="A611" s="575"/>
      <c r="B611" s="583"/>
      <c r="C611" s="583"/>
      <c r="D611" s="583"/>
      <c r="E611" s="576">
        <v>354.81099999999998</v>
      </c>
      <c r="F611" s="576">
        <f>+CEILING(E611,5)</f>
        <v>355</v>
      </c>
      <c r="G611" s="575"/>
      <c r="H611" s="575">
        <f>F611*36</f>
        <v>12780</v>
      </c>
      <c r="I611" s="577">
        <f>F611</f>
        <v>355</v>
      </c>
      <c r="J611" s="582"/>
      <c r="K611" s="580"/>
      <c r="L611" s="582"/>
      <c r="M611" s="580"/>
      <c r="N611" s="580"/>
      <c r="O611" s="580"/>
      <c r="P611" s="580"/>
      <c r="Q611" s="580"/>
      <c r="R611" s="578">
        <v>36</v>
      </c>
      <c r="S611" s="579"/>
      <c r="T611" s="580"/>
      <c r="U611" s="575"/>
      <c r="V611" s="580"/>
      <c r="W611" s="575"/>
      <c r="X611" s="580"/>
      <c r="Y611" s="580"/>
      <c r="Z611" s="575"/>
      <c r="AA611" s="583"/>
    </row>
    <row r="612" spans="1:27" s="584" customFormat="1" ht="13.9" customHeight="1" x14ac:dyDescent="0.2">
      <c r="A612" s="575">
        <f>A610+1</f>
        <v>303</v>
      </c>
      <c r="B612" s="583" t="s">
        <v>702</v>
      </c>
      <c r="C612" s="583" t="s">
        <v>233</v>
      </c>
      <c r="D612" s="583"/>
      <c r="E612" s="576"/>
      <c r="F612" s="576"/>
      <c r="G612" s="575"/>
      <c r="H612" s="575"/>
      <c r="I612" s="577"/>
      <c r="J612" s="580"/>
      <c r="K612" s="578">
        <f>(M612*4+N612*2)/2</f>
        <v>12</v>
      </c>
      <c r="L612" s="578"/>
      <c r="M612" s="578">
        <v>6</v>
      </c>
      <c r="N612" s="579"/>
      <c r="O612" s="579"/>
      <c r="P612" s="579"/>
      <c r="Q612" s="579"/>
      <c r="R612" s="579"/>
      <c r="S612" s="579"/>
      <c r="T612" s="579"/>
      <c r="U612" s="575"/>
      <c r="V612" s="575">
        <v>1</v>
      </c>
      <c r="W612" s="575">
        <v>1</v>
      </c>
      <c r="X612" s="575"/>
      <c r="Y612" s="575"/>
      <c r="Z612" s="575">
        <v>2</v>
      </c>
      <c r="AA612" s="583"/>
    </row>
    <row r="613" spans="1:27" s="584" customFormat="1" ht="13.9" customHeight="1" x14ac:dyDescent="0.2">
      <c r="A613" s="575"/>
      <c r="B613" s="583"/>
      <c r="C613" s="583"/>
      <c r="D613" s="583"/>
      <c r="E613" s="576">
        <v>442.053</v>
      </c>
      <c r="F613" s="576">
        <f>+CEILING(E613,5)</f>
        <v>445</v>
      </c>
      <c r="G613" s="575"/>
      <c r="H613" s="575">
        <f>F613*36</f>
        <v>16020</v>
      </c>
      <c r="I613" s="577">
        <f>F613</f>
        <v>445</v>
      </c>
      <c r="J613" s="580"/>
      <c r="K613" s="578"/>
      <c r="L613" s="580"/>
      <c r="M613" s="578"/>
      <c r="N613" s="580"/>
      <c r="O613" s="580"/>
      <c r="P613" s="580"/>
      <c r="Q613" s="580"/>
      <c r="R613" s="578">
        <v>42</v>
      </c>
      <c r="S613" s="580"/>
      <c r="T613" s="580"/>
      <c r="U613" s="580"/>
      <c r="V613" s="575"/>
      <c r="W613" s="575"/>
      <c r="X613" s="580"/>
      <c r="Y613" s="580"/>
      <c r="Z613" s="575"/>
      <c r="AA613" s="583"/>
    </row>
    <row r="614" spans="1:27" s="584" customFormat="1" ht="13.9" customHeight="1" x14ac:dyDescent="0.2">
      <c r="A614" s="575">
        <f>A612+1</f>
        <v>304</v>
      </c>
      <c r="B614" s="583" t="s">
        <v>703</v>
      </c>
      <c r="C614" s="583" t="s">
        <v>233</v>
      </c>
      <c r="D614" s="583"/>
      <c r="E614" s="576"/>
      <c r="F614" s="576"/>
      <c r="G614" s="575"/>
      <c r="H614" s="575"/>
      <c r="I614" s="577"/>
      <c r="J614" s="580"/>
      <c r="K614" s="578">
        <f>(M614*4+N614*2)/2</f>
        <v>12</v>
      </c>
      <c r="L614" s="578"/>
      <c r="M614" s="578">
        <v>6</v>
      </c>
      <c r="N614" s="579"/>
      <c r="O614" s="579"/>
      <c r="P614" s="579"/>
      <c r="Q614" s="579"/>
      <c r="R614" s="579"/>
      <c r="S614" s="579"/>
      <c r="T614" s="579"/>
      <c r="U614" s="575"/>
      <c r="V614" s="575">
        <v>1</v>
      </c>
      <c r="W614" s="575">
        <v>1</v>
      </c>
      <c r="X614" s="575"/>
      <c r="Y614" s="575"/>
      <c r="Z614" s="575">
        <v>2</v>
      </c>
      <c r="AA614" s="583"/>
    </row>
    <row r="615" spans="1:27" s="584" customFormat="1" ht="13.9" customHeight="1" x14ac:dyDescent="0.2">
      <c r="A615" s="575"/>
      <c r="B615" s="583"/>
      <c r="C615" s="583"/>
      <c r="D615" s="583"/>
      <c r="E615" s="576">
        <v>364.42599999999999</v>
      </c>
      <c r="F615" s="576">
        <f>+CEILING(E615,5)</f>
        <v>365</v>
      </c>
      <c r="G615" s="575"/>
      <c r="H615" s="575">
        <f>F615*36</f>
        <v>13140</v>
      </c>
      <c r="I615" s="577">
        <f>F615</f>
        <v>365</v>
      </c>
      <c r="J615" s="580"/>
      <c r="K615" s="578"/>
      <c r="L615" s="580"/>
      <c r="M615" s="578"/>
      <c r="N615" s="580"/>
      <c r="O615" s="580"/>
      <c r="P615" s="580"/>
      <c r="Q615" s="580"/>
      <c r="R615" s="578">
        <v>36</v>
      </c>
      <c r="S615" s="580"/>
      <c r="T615" s="580"/>
      <c r="U615" s="580"/>
      <c r="V615" s="575"/>
      <c r="W615" s="575"/>
      <c r="X615" s="580"/>
      <c r="Y615" s="580"/>
      <c r="Z615" s="575"/>
      <c r="AA615" s="583"/>
    </row>
    <row r="616" spans="1:27" s="584" customFormat="1" ht="13.9" customHeight="1" x14ac:dyDescent="0.2">
      <c r="A616" s="575">
        <f>A614+1</f>
        <v>305</v>
      </c>
      <c r="B616" s="583" t="s">
        <v>704</v>
      </c>
      <c r="C616" s="583" t="s">
        <v>233</v>
      </c>
      <c r="D616" s="583"/>
      <c r="E616" s="576"/>
      <c r="F616" s="576"/>
      <c r="G616" s="575"/>
      <c r="H616" s="575"/>
      <c r="I616" s="577"/>
      <c r="J616" s="580"/>
      <c r="K616" s="578">
        <f>(M616*4+N616*2)/2</f>
        <v>12</v>
      </c>
      <c r="L616" s="578"/>
      <c r="M616" s="578">
        <v>6</v>
      </c>
      <c r="N616" s="579"/>
      <c r="O616" s="579"/>
      <c r="P616" s="579"/>
      <c r="Q616" s="579"/>
      <c r="R616" s="579"/>
      <c r="S616" s="579"/>
      <c r="T616" s="579"/>
      <c r="U616" s="575"/>
      <c r="V616" s="575">
        <v>1</v>
      </c>
      <c r="W616" s="575">
        <v>1</v>
      </c>
      <c r="X616" s="575"/>
      <c r="Y616" s="575"/>
      <c r="Z616" s="575">
        <v>2</v>
      </c>
      <c r="AA616" s="583"/>
    </row>
    <row r="617" spans="1:27" s="584" customFormat="1" ht="13.9" customHeight="1" x14ac:dyDescent="0.2">
      <c r="A617" s="575"/>
      <c r="B617" s="583"/>
      <c r="C617" s="583"/>
      <c r="D617" s="583"/>
      <c r="E617" s="576">
        <v>470.77699999999999</v>
      </c>
      <c r="F617" s="576">
        <f>+CEILING(E617,5)</f>
        <v>475</v>
      </c>
      <c r="G617" s="575"/>
      <c r="H617" s="575">
        <f>F617*36</f>
        <v>17100</v>
      </c>
      <c r="I617" s="577">
        <f>F617</f>
        <v>475</v>
      </c>
      <c r="J617" s="580"/>
      <c r="K617" s="578"/>
      <c r="L617" s="580"/>
      <c r="M617" s="578"/>
      <c r="N617" s="580"/>
      <c r="O617" s="580"/>
      <c r="P617" s="580"/>
      <c r="Q617" s="580"/>
      <c r="R617" s="578">
        <v>48</v>
      </c>
      <c r="S617" s="580"/>
      <c r="T617" s="580"/>
      <c r="U617" s="580"/>
      <c r="V617" s="575"/>
      <c r="W617" s="575"/>
      <c r="X617" s="580"/>
      <c r="Y617" s="580"/>
      <c r="Z617" s="575"/>
      <c r="AA617" s="583"/>
    </row>
    <row r="618" spans="1:27" s="584" customFormat="1" ht="13.9" customHeight="1" x14ac:dyDescent="0.2">
      <c r="A618" s="575">
        <f>A616+1</f>
        <v>306</v>
      </c>
      <c r="B618" s="583" t="s">
        <v>705</v>
      </c>
      <c r="C618" s="583" t="s">
        <v>231</v>
      </c>
      <c r="D618" s="583"/>
      <c r="E618" s="576"/>
      <c r="F618" s="576"/>
      <c r="G618" s="575"/>
      <c r="H618" s="575"/>
      <c r="I618" s="577"/>
      <c r="J618" s="580"/>
      <c r="K618" s="578">
        <f>(M618*4+N618*2)/2</f>
        <v>12</v>
      </c>
      <c r="L618" s="578"/>
      <c r="M618" s="578">
        <v>6</v>
      </c>
      <c r="N618" s="579"/>
      <c r="O618" s="579"/>
      <c r="P618" s="579"/>
      <c r="Q618" s="579"/>
      <c r="R618" s="579"/>
      <c r="S618" s="579"/>
      <c r="T618" s="579"/>
      <c r="U618" s="575"/>
      <c r="V618" s="575">
        <v>1</v>
      </c>
      <c r="W618" s="575">
        <v>1</v>
      </c>
      <c r="X618" s="575"/>
      <c r="Y618" s="575"/>
      <c r="Z618" s="575">
        <v>2</v>
      </c>
      <c r="AA618" s="583"/>
    </row>
    <row r="619" spans="1:27" s="584" customFormat="1" ht="13.9" customHeight="1" x14ac:dyDescent="0.2">
      <c r="A619" s="575"/>
      <c r="B619" s="583"/>
      <c r="C619" s="583"/>
      <c r="D619" s="583"/>
      <c r="E619" s="576">
        <v>345.00400000000002</v>
      </c>
      <c r="F619" s="576">
        <f>+CEILING(E619,5)</f>
        <v>350</v>
      </c>
      <c r="G619" s="575"/>
      <c r="H619" s="575">
        <f>F619*36</f>
        <v>12600</v>
      </c>
      <c r="I619" s="577">
        <f>F619</f>
        <v>350</v>
      </c>
      <c r="J619" s="580"/>
      <c r="K619" s="578"/>
      <c r="L619" s="580"/>
      <c r="M619" s="578"/>
      <c r="N619" s="580"/>
      <c r="O619" s="580"/>
      <c r="P619" s="580"/>
      <c r="Q619" s="580"/>
      <c r="R619" s="578">
        <v>36</v>
      </c>
      <c r="S619" s="580"/>
      <c r="T619" s="580"/>
      <c r="U619" s="580"/>
      <c r="V619" s="575"/>
      <c r="W619" s="575"/>
      <c r="X619" s="580"/>
      <c r="Y619" s="580"/>
      <c r="Z619" s="575"/>
      <c r="AA619" s="583"/>
    </row>
    <row r="620" spans="1:27" s="584" customFormat="1" ht="13.9" customHeight="1" x14ac:dyDescent="0.2">
      <c r="A620" s="575">
        <f>A618+1</f>
        <v>307</v>
      </c>
      <c r="B620" s="583" t="s">
        <v>706</v>
      </c>
      <c r="C620" s="583" t="s">
        <v>233</v>
      </c>
      <c r="D620" s="583"/>
      <c r="E620" s="576"/>
      <c r="F620" s="576"/>
      <c r="G620" s="575"/>
      <c r="H620" s="575"/>
      <c r="I620" s="577"/>
      <c r="J620" s="580"/>
      <c r="K620" s="578">
        <f>(M620*4+N620*2)/2</f>
        <v>12</v>
      </c>
      <c r="L620" s="578"/>
      <c r="M620" s="578">
        <v>6</v>
      </c>
      <c r="N620" s="579"/>
      <c r="O620" s="579"/>
      <c r="P620" s="579"/>
      <c r="Q620" s="579"/>
      <c r="R620" s="579"/>
      <c r="S620" s="579"/>
      <c r="T620" s="579"/>
      <c r="U620" s="575"/>
      <c r="V620" s="575">
        <v>1</v>
      </c>
      <c r="W620" s="575">
        <v>1</v>
      </c>
      <c r="X620" s="575"/>
      <c r="Y620" s="575"/>
      <c r="Z620" s="575">
        <v>2</v>
      </c>
      <c r="AA620" s="583"/>
    </row>
    <row r="621" spans="1:27" s="584" customFormat="1" ht="13.9" customHeight="1" x14ac:dyDescent="0.2">
      <c r="A621" s="575"/>
      <c r="B621" s="583"/>
      <c r="C621" s="583"/>
      <c r="D621" s="583"/>
      <c r="E621" s="576">
        <v>364.40600000000001</v>
      </c>
      <c r="F621" s="576">
        <f>+CEILING(E621,5)</f>
        <v>365</v>
      </c>
      <c r="G621" s="575"/>
      <c r="H621" s="575">
        <f>F621*36</f>
        <v>13140</v>
      </c>
      <c r="I621" s="577">
        <f>F621</f>
        <v>365</v>
      </c>
      <c r="J621" s="580"/>
      <c r="K621" s="578"/>
      <c r="L621" s="580"/>
      <c r="M621" s="578"/>
      <c r="N621" s="580"/>
      <c r="O621" s="580"/>
      <c r="P621" s="580"/>
      <c r="Q621" s="580"/>
      <c r="R621" s="578">
        <v>36</v>
      </c>
      <c r="S621" s="580"/>
      <c r="T621" s="580"/>
      <c r="U621" s="580"/>
      <c r="V621" s="575"/>
      <c r="W621" s="575"/>
      <c r="X621" s="580"/>
      <c r="Y621" s="580"/>
      <c r="Z621" s="575"/>
      <c r="AA621" s="583"/>
    </row>
    <row r="622" spans="1:27" s="584" customFormat="1" ht="13.9" customHeight="1" x14ac:dyDescent="0.2">
      <c r="A622" s="575">
        <f>A620+1</f>
        <v>308</v>
      </c>
      <c r="B622" s="583" t="s">
        <v>707</v>
      </c>
      <c r="C622" s="583" t="s">
        <v>231</v>
      </c>
      <c r="D622" s="583"/>
      <c r="E622" s="576"/>
      <c r="F622" s="576"/>
      <c r="G622" s="575"/>
      <c r="H622" s="575"/>
      <c r="I622" s="577"/>
      <c r="J622" s="580"/>
      <c r="K622" s="578">
        <f>(M622*4+N622*2)/2</f>
        <v>12</v>
      </c>
      <c r="L622" s="578"/>
      <c r="M622" s="578">
        <v>6</v>
      </c>
      <c r="N622" s="579"/>
      <c r="O622" s="579"/>
      <c r="P622" s="579"/>
      <c r="Q622" s="579"/>
      <c r="R622" s="579"/>
      <c r="S622" s="579"/>
      <c r="T622" s="579"/>
      <c r="U622" s="575"/>
      <c r="V622" s="575">
        <v>1</v>
      </c>
      <c r="W622" s="575">
        <v>1</v>
      </c>
      <c r="X622" s="575"/>
      <c r="Y622" s="575"/>
      <c r="Z622" s="575">
        <v>2</v>
      </c>
      <c r="AA622" s="583"/>
    </row>
    <row r="623" spans="1:27" s="584" customFormat="1" ht="13.9" customHeight="1" x14ac:dyDescent="0.2">
      <c r="A623" s="575"/>
      <c r="B623" s="583"/>
      <c r="C623" s="583"/>
      <c r="D623" s="583"/>
      <c r="E623" s="576">
        <v>394.59100000000001</v>
      </c>
      <c r="F623" s="576">
        <f>+CEILING(E623,5)</f>
        <v>395</v>
      </c>
      <c r="G623" s="575"/>
      <c r="H623" s="575">
        <f>F623*36</f>
        <v>14220</v>
      </c>
      <c r="I623" s="577">
        <f>F623</f>
        <v>395</v>
      </c>
      <c r="J623" s="580"/>
      <c r="K623" s="578"/>
      <c r="L623" s="580"/>
      <c r="M623" s="578"/>
      <c r="N623" s="580"/>
      <c r="O623" s="580"/>
      <c r="P623" s="580"/>
      <c r="Q623" s="580"/>
      <c r="R623" s="578">
        <v>42</v>
      </c>
      <c r="S623" s="580"/>
      <c r="T623" s="580"/>
      <c r="U623" s="580"/>
      <c r="V623" s="575"/>
      <c r="W623" s="575"/>
      <c r="X623" s="580"/>
      <c r="Y623" s="580"/>
      <c r="Z623" s="575"/>
      <c r="AA623" s="583"/>
    </row>
    <row r="624" spans="1:27" s="584" customFormat="1" ht="13.9" customHeight="1" x14ac:dyDescent="0.2">
      <c r="A624" s="575">
        <f>A622+1</f>
        <v>309</v>
      </c>
      <c r="B624" s="583" t="s">
        <v>708</v>
      </c>
      <c r="C624" s="583" t="s">
        <v>231</v>
      </c>
      <c r="D624" s="583"/>
      <c r="E624" s="589"/>
      <c r="F624" s="576"/>
      <c r="G624" s="575"/>
      <c r="H624" s="575"/>
      <c r="I624" s="577"/>
      <c r="J624" s="580"/>
      <c r="K624" s="578">
        <f>(M624*4+N624*2)/2</f>
        <v>12</v>
      </c>
      <c r="L624" s="578"/>
      <c r="M624" s="578">
        <v>6</v>
      </c>
      <c r="N624" s="579"/>
      <c r="O624" s="579"/>
      <c r="P624" s="579"/>
      <c r="Q624" s="579"/>
      <c r="R624" s="579"/>
      <c r="S624" s="579"/>
      <c r="T624" s="579"/>
      <c r="U624" s="575"/>
      <c r="V624" s="575">
        <v>1</v>
      </c>
      <c r="W624" s="575">
        <v>1</v>
      </c>
      <c r="X624" s="575"/>
      <c r="Y624" s="575"/>
      <c r="Z624" s="575">
        <v>2</v>
      </c>
      <c r="AA624" s="583"/>
    </row>
    <row r="625" spans="1:27" s="584" customFormat="1" ht="13.9" customHeight="1" x14ac:dyDescent="0.2">
      <c r="A625" s="575"/>
      <c r="B625" s="583"/>
      <c r="C625" s="583"/>
      <c r="D625" s="583"/>
      <c r="E625" s="576">
        <v>401.39699999999999</v>
      </c>
      <c r="F625" s="576">
        <f>+CEILING(E625,5)</f>
        <v>405</v>
      </c>
      <c r="G625" s="575"/>
      <c r="H625" s="575">
        <f>F625*36</f>
        <v>14580</v>
      </c>
      <c r="I625" s="577">
        <f>F625</f>
        <v>405</v>
      </c>
      <c r="J625" s="580"/>
      <c r="K625" s="578"/>
      <c r="L625" s="580"/>
      <c r="M625" s="578"/>
      <c r="N625" s="580"/>
      <c r="O625" s="580"/>
      <c r="P625" s="580"/>
      <c r="Q625" s="580"/>
      <c r="R625" s="578">
        <v>42</v>
      </c>
      <c r="S625" s="580"/>
      <c r="T625" s="580"/>
      <c r="U625" s="580"/>
      <c r="V625" s="575"/>
      <c r="W625" s="575"/>
      <c r="X625" s="580"/>
      <c r="Y625" s="580"/>
      <c r="Z625" s="575"/>
      <c r="AA625" s="583"/>
    </row>
    <row r="626" spans="1:27" s="584" customFormat="1" ht="13.9" customHeight="1" x14ac:dyDescent="0.2">
      <c r="A626" s="575">
        <f>A624+1</f>
        <v>310</v>
      </c>
      <c r="B626" s="583" t="s">
        <v>709</v>
      </c>
      <c r="C626" s="583" t="s">
        <v>244</v>
      </c>
      <c r="D626" s="583" t="s">
        <v>1123</v>
      </c>
      <c r="E626" s="576"/>
      <c r="F626" s="576"/>
      <c r="G626" s="575"/>
      <c r="H626" s="575"/>
      <c r="I626" s="577"/>
      <c r="J626" s="578">
        <v>48</v>
      </c>
      <c r="K626" s="580"/>
      <c r="L626" s="578">
        <v>12</v>
      </c>
      <c r="M626" s="580"/>
      <c r="N626" s="580"/>
      <c r="O626" s="580"/>
      <c r="P626" s="580"/>
      <c r="Q626" s="580"/>
      <c r="R626" s="579"/>
      <c r="S626" s="575">
        <v>30</v>
      </c>
      <c r="T626" s="580"/>
      <c r="U626" s="575">
        <v>2</v>
      </c>
      <c r="V626" s="580"/>
      <c r="W626" s="575">
        <v>2</v>
      </c>
      <c r="X626" s="580"/>
      <c r="Y626" s="580"/>
      <c r="Z626" s="575">
        <v>4</v>
      </c>
      <c r="AA626" s="583"/>
    </row>
    <row r="627" spans="1:27" s="584" customFormat="1" ht="13.9" customHeight="1" x14ac:dyDescent="0.2">
      <c r="A627" s="575"/>
      <c r="B627" s="583"/>
      <c r="C627" s="583"/>
      <c r="D627" s="583"/>
      <c r="E627" s="576">
        <v>356.57900000000001</v>
      </c>
      <c r="F627" s="576">
        <f>+CEILING(E627,5)</f>
        <v>360</v>
      </c>
      <c r="G627" s="575"/>
      <c r="H627" s="575">
        <f>F627*36</f>
        <v>12960</v>
      </c>
      <c r="I627" s="577">
        <f>F627</f>
        <v>360</v>
      </c>
      <c r="J627" s="582"/>
      <c r="K627" s="580"/>
      <c r="L627" s="582"/>
      <c r="M627" s="580"/>
      <c r="N627" s="580"/>
      <c r="O627" s="580"/>
      <c r="P627" s="580"/>
      <c r="Q627" s="580"/>
      <c r="R627" s="578">
        <v>36</v>
      </c>
      <c r="S627" s="579"/>
      <c r="T627" s="580"/>
      <c r="U627" s="575"/>
      <c r="V627" s="580"/>
      <c r="W627" s="575"/>
      <c r="X627" s="580"/>
      <c r="Y627" s="580"/>
      <c r="Z627" s="575"/>
      <c r="AA627" s="583"/>
    </row>
    <row r="628" spans="1:27" s="584" customFormat="1" ht="13.9" customHeight="1" x14ac:dyDescent="0.2">
      <c r="A628" s="575">
        <f>A626+1</f>
        <v>311</v>
      </c>
      <c r="B628" s="583" t="s">
        <v>710</v>
      </c>
      <c r="C628" s="583" t="s">
        <v>231</v>
      </c>
      <c r="D628" s="583"/>
      <c r="E628" s="576"/>
      <c r="F628" s="576"/>
      <c r="G628" s="575"/>
      <c r="H628" s="575"/>
      <c r="I628" s="577"/>
      <c r="J628" s="580"/>
      <c r="K628" s="578">
        <f>(M628*4+N628*2)/2</f>
        <v>12</v>
      </c>
      <c r="L628" s="578"/>
      <c r="M628" s="578">
        <v>6</v>
      </c>
      <c r="N628" s="579"/>
      <c r="O628" s="579"/>
      <c r="P628" s="579"/>
      <c r="Q628" s="579"/>
      <c r="R628" s="579"/>
      <c r="S628" s="579"/>
      <c r="T628" s="579"/>
      <c r="U628" s="575"/>
      <c r="V628" s="575">
        <v>1</v>
      </c>
      <c r="W628" s="575">
        <v>1</v>
      </c>
      <c r="X628" s="575"/>
      <c r="Y628" s="575"/>
      <c r="Z628" s="575">
        <v>2</v>
      </c>
      <c r="AA628" s="583"/>
    </row>
    <row r="629" spans="1:27" s="584" customFormat="1" ht="13.9" customHeight="1" x14ac:dyDescent="0.2">
      <c r="A629" s="575"/>
      <c r="B629" s="583"/>
      <c r="C629" s="583"/>
      <c r="D629" s="583"/>
      <c r="E629" s="576">
        <v>307.101</v>
      </c>
      <c r="F629" s="576">
        <f>+CEILING(E629,5)</f>
        <v>310</v>
      </c>
      <c r="G629" s="575"/>
      <c r="H629" s="575">
        <f>F629*36</f>
        <v>11160</v>
      </c>
      <c r="I629" s="577">
        <f>F629</f>
        <v>310</v>
      </c>
      <c r="J629" s="580"/>
      <c r="K629" s="578"/>
      <c r="L629" s="580"/>
      <c r="M629" s="578"/>
      <c r="N629" s="580"/>
      <c r="O629" s="580"/>
      <c r="P629" s="580"/>
      <c r="Q629" s="580"/>
      <c r="R629" s="578">
        <v>30</v>
      </c>
      <c r="S629" s="580"/>
      <c r="T629" s="580"/>
      <c r="U629" s="580"/>
      <c r="V629" s="575"/>
      <c r="W629" s="575"/>
      <c r="X629" s="580"/>
      <c r="Y629" s="580"/>
      <c r="Z629" s="575"/>
      <c r="AA629" s="583"/>
    </row>
    <row r="630" spans="1:27" s="584" customFormat="1" x14ac:dyDescent="0.2">
      <c r="A630" s="575">
        <f>A628+1</f>
        <v>312</v>
      </c>
      <c r="B630" s="583" t="s">
        <v>711</v>
      </c>
      <c r="C630" s="583" t="s">
        <v>231</v>
      </c>
      <c r="D630" s="583"/>
      <c r="E630" s="576"/>
      <c r="F630" s="576"/>
      <c r="G630" s="580"/>
      <c r="H630" s="575"/>
      <c r="I630" s="577"/>
      <c r="J630" s="580"/>
      <c r="K630" s="578">
        <f>(M630*4+N630*2)/2</f>
        <v>12</v>
      </c>
      <c r="L630" s="578"/>
      <c r="M630" s="578">
        <v>6</v>
      </c>
      <c r="N630" s="579"/>
      <c r="O630" s="579"/>
      <c r="P630" s="579"/>
      <c r="Q630" s="579"/>
      <c r="R630" s="579"/>
      <c r="S630" s="579"/>
      <c r="T630" s="579"/>
      <c r="U630" s="575"/>
      <c r="V630" s="575">
        <v>1</v>
      </c>
      <c r="W630" s="575">
        <v>1</v>
      </c>
      <c r="X630" s="575"/>
      <c r="Y630" s="575"/>
      <c r="Z630" s="575">
        <v>2</v>
      </c>
      <c r="AA630" s="583"/>
    </row>
    <row r="631" spans="1:27" s="584" customFormat="1" x14ac:dyDescent="0.2">
      <c r="A631" s="575"/>
      <c r="B631" s="583"/>
      <c r="C631" s="583"/>
      <c r="D631" s="583"/>
      <c r="E631" s="576">
        <v>384.96499999999997</v>
      </c>
      <c r="F631" s="576">
        <f>+CEILING(E631,5)</f>
        <v>385</v>
      </c>
      <c r="G631" s="575"/>
      <c r="H631" s="575">
        <f>F631*36</f>
        <v>13860</v>
      </c>
      <c r="I631" s="577">
        <f>F631</f>
        <v>385</v>
      </c>
      <c r="J631" s="582"/>
      <c r="K631" s="580"/>
      <c r="L631" s="582"/>
      <c r="M631" s="580"/>
      <c r="N631" s="580"/>
      <c r="O631" s="580"/>
      <c r="P631" s="580"/>
      <c r="Q631" s="580"/>
      <c r="R631" s="578">
        <v>36</v>
      </c>
      <c r="S631" s="579"/>
      <c r="T631" s="580"/>
      <c r="U631" s="575"/>
      <c r="V631" s="580"/>
      <c r="W631" s="575"/>
      <c r="X631" s="580"/>
      <c r="Y631" s="580"/>
      <c r="Z631" s="575"/>
      <c r="AA631" s="583"/>
    </row>
    <row r="632" spans="1:27" s="584" customFormat="1" x14ac:dyDescent="0.2">
      <c r="A632" s="575">
        <f>A630+1</f>
        <v>313</v>
      </c>
      <c r="B632" s="583" t="s">
        <v>712</v>
      </c>
      <c r="C632" s="583" t="s">
        <v>244</v>
      </c>
      <c r="D632" s="583" t="s">
        <v>1124</v>
      </c>
      <c r="E632" s="583"/>
      <c r="F632" s="576"/>
      <c r="G632" s="580"/>
      <c r="H632" s="575"/>
      <c r="I632" s="577"/>
      <c r="J632" s="578">
        <v>48</v>
      </c>
      <c r="K632" s="580"/>
      <c r="L632" s="578">
        <v>12</v>
      </c>
      <c r="M632" s="580"/>
      <c r="N632" s="580"/>
      <c r="O632" s="580"/>
      <c r="P632" s="580"/>
      <c r="Q632" s="580"/>
      <c r="R632" s="579"/>
      <c r="S632" s="575">
        <v>30</v>
      </c>
      <c r="T632" s="580"/>
      <c r="U632" s="575">
        <v>2</v>
      </c>
      <c r="V632" s="580"/>
      <c r="W632" s="575">
        <v>2</v>
      </c>
      <c r="X632" s="580"/>
      <c r="Y632" s="580"/>
      <c r="Z632" s="575">
        <v>4</v>
      </c>
      <c r="AA632" s="583"/>
    </row>
    <row r="633" spans="1:27" s="584" customFormat="1" ht="13.9" customHeight="1" x14ac:dyDescent="0.2">
      <c r="A633" s="575"/>
      <c r="B633" s="583"/>
      <c r="C633" s="583"/>
      <c r="D633" s="583"/>
      <c r="E633" s="576">
        <v>402.02100000000002</v>
      </c>
      <c r="F633" s="576">
        <f>+CEILING(E633,5)</f>
        <v>405</v>
      </c>
      <c r="G633" s="580"/>
      <c r="H633" s="575">
        <f>F633*36</f>
        <v>14580</v>
      </c>
      <c r="I633" s="577">
        <f>F633</f>
        <v>405</v>
      </c>
      <c r="J633" s="580"/>
      <c r="K633" s="578"/>
      <c r="L633" s="580"/>
      <c r="M633" s="578"/>
      <c r="N633" s="580"/>
      <c r="O633" s="580"/>
      <c r="P633" s="580"/>
      <c r="Q633" s="580"/>
      <c r="R633" s="578">
        <v>42</v>
      </c>
      <c r="S633" s="580"/>
      <c r="T633" s="580"/>
      <c r="U633" s="580"/>
      <c r="V633" s="575"/>
      <c r="W633" s="575"/>
      <c r="X633" s="580"/>
      <c r="Y633" s="580"/>
      <c r="Z633" s="575"/>
      <c r="AA633" s="583"/>
    </row>
    <row r="634" spans="1:27" s="584" customFormat="1" ht="13.9" customHeight="1" x14ac:dyDescent="0.2">
      <c r="A634" s="575">
        <f>A632+1</f>
        <v>314</v>
      </c>
      <c r="B634" s="583" t="s">
        <v>713</v>
      </c>
      <c r="C634" s="583" t="s">
        <v>232</v>
      </c>
      <c r="D634" s="583"/>
      <c r="E634" s="576"/>
      <c r="F634" s="576"/>
      <c r="G634" s="580"/>
      <c r="H634" s="575"/>
      <c r="I634" s="577"/>
      <c r="J634" s="580"/>
      <c r="K634" s="578">
        <f>(M634*4+N634*2)/2</f>
        <v>12</v>
      </c>
      <c r="L634" s="578"/>
      <c r="M634" s="578">
        <v>6</v>
      </c>
      <c r="N634" s="579"/>
      <c r="O634" s="579"/>
      <c r="P634" s="579"/>
      <c r="Q634" s="579"/>
      <c r="R634" s="579"/>
      <c r="S634" s="579"/>
      <c r="T634" s="579"/>
      <c r="U634" s="575"/>
      <c r="V634" s="575">
        <v>1</v>
      </c>
      <c r="W634" s="575">
        <v>1</v>
      </c>
      <c r="X634" s="575"/>
      <c r="Y634" s="575"/>
      <c r="Z634" s="575">
        <v>2</v>
      </c>
      <c r="AA634" s="583"/>
    </row>
    <row r="635" spans="1:27" s="584" customFormat="1" ht="13.9" customHeight="1" x14ac:dyDescent="0.2">
      <c r="A635" s="575"/>
      <c r="B635" s="583"/>
      <c r="C635" s="583"/>
      <c r="D635" s="583"/>
      <c r="E635" s="576">
        <v>402.64</v>
      </c>
      <c r="F635" s="576">
        <f>+CEILING(E635,5)</f>
        <v>405</v>
      </c>
      <c r="G635" s="580"/>
      <c r="H635" s="575">
        <f>F635*36</f>
        <v>14580</v>
      </c>
      <c r="I635" s="577">
        <f>F635</f>
        <v>405</v>
      </c>
      <c r="J635" s="580"/>
      <c r="K635" s="578"/>
      <c r="L635" s="580"/>
      <c r="M635" s="578"/>
      <c r="N635" s="580"/>
      <c r="O635" s="580"/>
      <c r="P635" s="580"/>
      <c r="Q635" s="580"/>
      <c r="R635" s="578">
        <v>42</v>
      </c>
      <c r="S635" s="580"/>
      <c r="T635" s="580"/>
      <c r="U635" s="580"/>
      <c r="V635" s="575"/>
      <c r="W635" s="575"/>
      <c r="X635" s="580"/>
      <c r="Y635" s="580"/>
      <c r="Z635" s="575"/>
      <c r="AA635" s="583"/>
    </row>
    <row r="636" spans="1:27" s="584" customFormat="1" ht="13.9" customHeight="1" x14ac:dyDescent="0.2">
      <c r="A636" s="575">
        <f>A634+1</f>
        <v>315</v>
      </c>
      <c r="B636" s="583" t="s">
        <v>714</v>
      </c>
      <c r="C636" s="583" t="s">
        <v>232</v>
      </c>
      <c r="D636" s="583"/>
      <c r="E636" s="576"/>
      <c r="F636" s="576"/>
      <c r="G636" s="580"/>
      <c r="H636" s="575"/>
      <c r="I636" s="577"/>
      <c r="J636" s="580"/>
      <c r="K636" s="578">
        <f>(M636*4+N636*2)/2</f>
        <v>12</v>
      </c>
      <c r="L636" s="578"/>
      <c r="M636" s="578">
        <v>6</v>
      </c>
      <c r="N636" s="579"/>
      <c r="O636" s="579"/>
      <c r="P636" s="579"/>
      <c r="Q636" s="579"/>
      <c r="R636" s="579"/>
      <c r="S636" s="579"/>
      <c r="T636" s="579"/>
      <c r="U636" s="575"/>
      <c r="V636" s="575">
        <v>1</v>
      </c>
      <c r="W636" s="575">
        <v>1</v>
      </c>
      <c r="X636" s="575"/>
      <c r="Y636" s="575"/>
      <c r="Z636" s="575">
        <v>2</v>
      </c>
      <c r="AA636" s="583"/>
    </row>
    <row r="637" spans="1:27" s="584" customFormat="1" ht="13.9" customHeight="1" x14ac:dyDescent="0.2">
      <c r="A637" s="575"/>
      <c r="B637" s="583"/>
      <c r="C637" s="583"/>
      <c r="D637" s="583"/>
      <c r="E637" s="576">
        <v>436.95600000000002</v>
      </c>
      <c r="F637" s="576">
        <f>+CEILING(E637,5)</f>
        <v>440</v>
      </c>
      <c r="G637" s="580"/>
      <c r="H637" s="575">
        <f>F637*36</f>
        <v>15840</v>
      </c>
      <c r="I637" s="577">
        <f>F637</f>
        <v>440</v>
      </c>
      <c r="J637" s="582"/>
      <c r="K637" s="580"/>
      <c r="L637" s="582"/>
      <c r="M637" s="580"/>
      <c r="N637" s="580"/>
      <c r="O637" s="580"/>
      <c r="P637" s="580"/>
      <c r="Q637" s="580"/>
      <c r="R637" s="578">
        <v>42</v>
      </c>
      <c r="S637" s="579"/>
      <c r="T637" s="580"/>
      <c r="U637" s="575"/>
      <c r="V637" s="580"/>
      <c r="W637" s="575"/>
      <c r="X637" s="580"/>
      <c r="Y637" s="580"/>
      <c r="Z637" s="575"/>
      <c r="AA637" s="583"/>
    </row>
    <row r="638" spans="1:27" s="584" customFormat="1" ht="13.9" customHeight="1" x14ac:dyDescent="0.2">
      <c r="A638" s="575">
        <f>A636+1</f>
        <v>316</v>
      </c>
      <c r="B638" s="583" t="s">
        <v>715</v>
      </c>
      <c r="C638" s="583" t="s">
        <v>233</v>
      </c>
      <c r="D638" s="583"/>
      <c r="E638" s="576"/>
      <c r="F638" s="576"/>
      <c r="G638" s="580"/>
      <c r="H638" s="575"/>
      <c r="I638" s="577"/>
      <c r="J638" s="580"/>
      <c r="K638" s="578">
        <f>(M638*4+N638*2)/2</f>
        <v>12</v>
      </c>
      <c r="L638" s="578"/>
      <c r="M638" s="578">
        <v>6</v>
      </c>
      <c r="N638" s="579"/>
      <c r="O638" s="579"/>
      <c r="P638" s="579"/>
      <c r="Q638" s="579"/>
      <c r="R638" s="579"/>
      <c r="S638" s="579"/>
      <c r="T638" s="579"/>
      <c r="U638" s="575"/>
      <c r="V638" s="575">
        <v>1</v>
      </c>
      <c r="W638" s="575">
        <v>1</v>
      </c>
      <c r="X638" s="575"/>
      <c r="Y638" s="575"/>
      <c r="Z638" s="575">
        <v>2</v>
      </c>
      <c r="AA638" s="583"/>
    </row>
    <row r="639" spans="1:27" s="584" customFormat="1" ht="13.9" customHeight="1" x14ac:dyDescent="0.2">
      <c r="A639" s="575"/>
      <c r="B639" s="583"/>
      <c r="C639" s="583"/>
      <c r="D639" s="583"/>
      <c r="E639" s="576">
        <v>393.80900000000003</v>
      </c>
      <c r="F639" s="576">
        <f>+CEILING(E639,5)</f>
        <v>395</v>
      </c>
      <c r="G639" s="580"/>
      <c r="H639" s="575">
        <f>F639*36</f>
        <v>14220</v>
      </c>
      <c r="I639" s="577">
        <f>F639</f>
        <v>395</v>
      </c>
      <c r="J639" s="580"/>
      <c r="K639" s="578"/>
      <c r="L639" s="580"/>
      <c r="M639" s="578"/>
      <c r="N639" s="580"/>
      <c r="O639" s="580"/>
      <c r="P639" s="580"/>
      <c r="Q639" s="580"/>
      <c r="R639" s="578">
        <v>42</v>
      </c>
      <c r="S639" s="580"/>
      <c r="T639" s="580"/>
      <c r="U639" s="580"/>
      <c r="V639" s="575"/>
      <c r="W639" s="575"/>
      <c r="X639" s="580"/>
      <c r="Y639" s="580"/>
      <c r="Z639" s="575"/>
      <c r="AA639" s="583"/>
    </row>
    <row r="640" spans="1:27" s="584" customFormat="1" ht="13.9" customHeight="1" x14ac:dyDescent="0.2">
      <c r="A640" s="575">
        <f>A638+1</f>
        <v>317</v>
      </c>
      <c r="B640" s="583" t="s">
        <v>716</v>
      </c>
      <c r="C640" s="583" t="s">
        <v>233</v>
      </c>
      <c r="D640" s="583"/>
      <c r="E640" s="576"/>
      <c r="F640" s="576"/>
      <c r="G640" s="580"/>
      <c r="H640" s="575"/>
      <c r="I640" s="577"/>
      <c r="J640" s="580"/>
      <c r="K640" s="578">
        <f>(M640*4+N640*2)/2</f>
        <v>12</v>
      </c>
      <c r="L640" s="578"/>
      <c r="M640" s="578">
        <v>6</v>
      </c>
      <c r="N640" s="579"/>
      <c r="O640" s="579"/>
      <c r="P640" s="579"/>
      <c r="Q640" s="579"/>
      <c r="R640" s="579"/>
      <c r="S640" s="579"/>
      <c r="T640" s="579"/>
      <c r="U640" s="575"/>
      <c r="V640" s="575">
        <v>1</v>
      </c>
      <c r="W640" s="575">
        <v>1</v>
      </c>
      <c r="X640" s="575"/>
      <c r="Y640" s="575"/>
      <c r="Z640" s="575">
        <v>2</v>
      </c>
      <c r="AA640" s="583"/>
    </row>
    <row r="641" spans="1:27" s="584" customFormat="1" ht="13.9" customHeight="1" x14ac:dyDescent="0.2">
      <c r="A641" s="575"/>
      <c r="B641" s="583"/>
      <c r="C641" s="583"/>
      <c r="D641" s="583"/>
      <c r="E641" s="576">
        <v>447.029</v>
      </c>
      <c r="F641" s="576">
        <f>+CEILING(E641,5)</f>
        <v>450</v>
      </c>
      <c r="G641" s="580"/>
      <c r="H641" s="575">
        <f>F641*36</f>
        <v>16200</v>
      </c>
      <c r="I641" s="577">
        <f>F641</f>
        <v>450</v>
      </c>
      <c r="J641" s="580"/>
      <c r="K641" s="578"/>
      <c r="L641" s="580"/>
      <c r="M641" s="578"/>
      <c r="N641" s="580"/>
      <c r="O641" s="580"/>
      <c r="P641" s="580"/>
      <c r="Q641" s="580"/>
      <c r="R641" s="578">
        <v>42</v>
      </c>
      <c r="S641" s="580"/>
      <c r="T641" s="580"/>
      <c r="U641" s="580"/>
      <c r="V641" s="575"/>
      <c r="W641" s="575"/>
      <c r="X641" s="580"/>
      <c r="Y641" s="580"/>
      <c r="Z641" s="575"/>
      <c r="AA641" s="583"/>
    </row>
    <row r="642" spans="1:27" s="584" customFormat="1" ht="13.9" customHeight="1" x14ac:dyDescent="0.2">
      <c r="A642" s="575">
        <f>A640+1</f>
        <v>318</v>
      </c>
      <c r="B642" s="583" t="s">
        <v>717</v>
      </c>
      <c r="C642" s="583" t="s">
        <v>233</v>
      </c>
      <c r="D642" s="583"/>
      <c r="E642" s="576"/>
      <c r="F642" s="576"/>
      <c r="G642" s="580"/>
      <c r="H642" s="575"/>
      <c r="I642" s="577"/>
      <c r="J642" s="580"/>
      <c r="K642" s="578">
        <f>(M642*4+N642*2)/2</f>
        <v>12</v>
      </c>
      <c r="L642" s="578"/>
      <c r="M642" s="578">
        <v>6</v>
      </c>
      <c r="N642" s="579"/>
      <c r="O642" s="579"/>
      <c r="P642" s="579"/>
      <c r="Q642" s="579"/>
      <c r="R642" s="579"/>
      <c r="S642" s="579"/>
      <c r="T642" s="579"/>
      <c r="U642" s="575"/>
      <c r="V642" s="575">
        <v>1</v>
      </c>
      <c r="W642" s="575">
        <v>1</v>
      </c>
      <c r="X642" s="575"/>
      <c r="Y642" s="575"/>
      <c r="Z642" s="575">
        <v>2</v>
      </c>
      <c r="AA642" s="583"/>
    </row>
    <row r="643" spans="1:27" s="584" customFormat="1" ht="13.9" customHeight="1" x14ac:dyDescent="0.2">
      <c r="A643" s="575"/>
      <c r="B643" s="583"/>
      <c r="C643" s="583"/>
      <c r="D643" s="583"/>
      <c r="E643" s="576">
        <v>373.00099999999998</v>
      </c>
      <c r="F643" s="576">
        <f>+CEILING(E643,5)</f>
        <v>375</v>
      </c>
      <c r="G643" s="580"/>
      <c r="H643" s="575">
        <f>F643*36</f>
        <v>13500</v>
      </c>
      <c r="I643" s="577">
        <f>F643</f>
        <v>375</v>
      </c>
      <c r="J643" s="580"/>
      <c r="K643" s="578"/>
      <c r="L643" s="580"/>
      <c r="M643" s="578"/>
      <c r="N643" s="580"/>
      <c r="O643" s="580"/>
      <c r="P643" s="580"/>
      <c r="Q643" s="580"/>
      <c r="R643" s="578">
        <v>36</v>
      </c>
      <c r="S643" s="580"/>
      <c r="T643" s="580"/>
      <c r="U643" s="580"/>
      <c r="V643" s="575"/>
      <c r="W643" s="575"/>
      <c r="X643" s="580"/>
      <c r="Y643" s="580"/>
      <c r="Z643" s="575"/>
      <c r="AA643" s="583"/>
    </row>
    <row r="644" spans="1:27" s="584" customFormat="1" ht="13.9" customHeight="1" x14ac:dyDescent="0.2">
      <c r="A644" s="575">
        <f>A642+1</f>
        <v>319</v>
      </c>
      <c r="B644" s="583" t="s">
        <v>718</v>
      </c>
      <c r="C644" s="583" t="s">
        <v>232</v>
      </c>
      <c r="D644" s="583"/>
      <c r="E644" s="576"/>
      <c r="F644" s="576"/>
      <c r="G644" s="580"/>
      <c r="H644" s="575"/>
      <c r="I644" s="577"/>
      <c r="J644" s="580"/>
      <c r="K644" s="578">
        <f>(M644*4+N644*2)/2</f>
        <v>12</v>
      </c>
      <c r="L644" s="578"/>
      <c r="M644" s="578">
        <v>6</v>
      </c>
      <c r="N644" s="579"/>
      <c r="O644" s="579"/>
      <c r="P644" s="579"/>
      <c r="Q644" s="579"/>
      <c r="R644" s="579"/>
      <c r="S644" s="579"/>
      <c r="T644" s="579"/>
      <c r="U644" s="575"/>
      <c r="V644" s="575">
        <v>1</v>
      </c>
      <c r="W644" s="575">
        <v>1</v>
      </c>
      <c r="X644" s="575"/>
      <c r="Y644" s="575"/>
      <c r="Z644" s="575">
        <v>2</v>
      </c>
      <c r="AA644" s="583"/>
    </row>
    <row r="645" spans="1:27" s="584" customFormat="1" ht="13.9" customHeight="1" x14ac:dyDescent="0.2">
      <c r="A645" s="575"/>
      <c r="B645" s="583"/>
      <c r="C645" s="583"/>
      <c r="D645" s="583"/>
      <c r="E645" s="576">
        <v>406.81900000000002</v>
      </c>
      <c r="F645" s="576">
        <f>+CEILING(E645,5)</f>
        <v>410</v>
      </c>
      <c r="G645" s="580"/>
      <c r="H645" s="575">
        <f>F645*36</f>
        <v>14760</v>
      </c>
      <c r="I645" s="577">
        <f>F645</f>
        <v>410</v>
      </c>
      <c r="J645" s="580"/>
      <c r="K645" s="578"/>
      <c r="L645" s="580"/>
      <c r="M645" s="578"/>
      <c r="N645" s="580"/>
      <c r="O645" s="580"/>
      <c r="P645" s="580"/>
      <c r="Q645" s="580"/>
      <c r="R645" s="578">
        <v>42</v>
      </c>
      <c r="S645" s="580"/>
      <c r="T645" s="580"/>
      <c r="U645" s="580"/>
      <c r="V645" s="575"/>
      <c r="W645" s="575"/>
      <c r="X645" s="580"/>
      <c r="Y645" s="580"/>
      <c r="Z645" s="575"/>
      <c r="AA645" s="583"/>
    </row>
    <row r="646" spans="1:27" s="584" customFormat="1" ht="13.9" customHeight="1" x14ac:dyDescent="0.2">
      <c r="A646" s="575">
        <f>A644+1</f>
        <v>320</v>
      </c>
      <c r="B646" s="583" t="s">
        <v>719</v>
      </c>
      <c r="C646" s="583" t="s">
        <v>20</v>
      </c>
      <c r="D646" s="583"/>
      <c r="E646" s="576"/>
      <c r="F646" s="576"/>
      <c r="G646" s="580"/>
      <c r="H646" s="575"/>
      <c r="I646" s="577"/>
      <c r="J646" s="580"/>
      <c r="K646" s="578">
        <f>(M646*4+N646*2)/2</f>
        <v>12</v>
      </c>
      <c r="L646" s="578"/>
      <c r="M646" s="578">
        <v>6</v>
      </c>
      <c r="N646" s="579"/>
      <c r="O646" s="579"/>
      <c r="P646" s="579"/>
      <c r="Q646" s="579"/>
      <c r="R646" s="579"/>
      <c r="S646" s="579"/>
      <c r="T646" s="579"/>
      <c r="U646" s="575"/>
      <c r="V646" s="575">
        <v>1</v>
      </c>
      <c r="W646" s="575">
        <v>1</v>
      </c>
      <c r="X646" s="575"/>
      <c r="Y646" s="575"/>
      <c r="Z646" s="575">
        <v>2</v>
      </c>
      <c r="AA646" s="583"/>
    </row>
    <row r="647" spans="1:27" s="584" customFormat="1" ht="13.9" customHeight="1" x14ac:dyDescent="0.2">
      <c r="A647" s="575"/>
      <c r="B647" s="583"/>
      <c r="C647" s="583"/>
      <c r="D647" s="583"/>
      <c r="E647" s="576">
        <v>433.03399999999999</v>
      </c>
      <c r="F647" s="576">
        <f>+CEILING(E647,5)</f>
        <v>435</v>
      </c>
      <c r="G647" s="580"/>
      <c r="H647" s="575">
        <f>F647*36</f>
        <v>15660</v>
      </c>
      <c r="I647" s="577">
        <f>F647</f>
        <v>435</v>
      </c>
      <c r="J647" s="582"/>
      <c r="K647" s="580"/>
      <c r="L647" s="582"/>
      <c r="M647" s="580"/>
      <c r="N647" s="580"/>
      <c r="O647" s="580"/>
      <c r="P647" s="580"/>
      <c r="Q647" s="580"/>
      <c r="R647" s="578">
        <v>42</v>
      </c>
      <c r="S647" s="579"/>
      <c r="T647" s="580"/>
      <c r="U647" s="575"/>
      <c r="V647" s="580"/>
      <c r="W647" s="575"/>
      <c r="X647" s="580"/>
      <c r="Y647" s="580"/>
      <c r="Z647" s="575"/>
      <c r="AA647" s="583"/>
    </row>
    <row r="648" spans="1:27" s="584" customFormat="1" ht="13.9" customHeight="1" x14ac:dyDescent="0.2">
      <c r="A648" s="575">
        <f>A646+1</f>
        <v>321</v>
      </c>
      <c r="B648" s="583" t="s">
        <v>720</v>
      </c>
      <c r="C648" s="583" t="s">
        <v>232</v>
      </c>
      <c r="D648" s="583"/>
      <c r="E648" s="576"/>
      <c r="F648" s="576"/>
      <c r="G648" s="580"/>
      <c r="H648" s="575"/>
      <c r="I648" s="577"/>
      <c r="J648" s="580"/>
      <c r="K648" s="578">
        <f>(M648*4+N648*2)/2</f>
        <v>12</v>
      </c>
      <c r="L648" s="578"/>
      <c r="M648" s="578">
        <v>6</v>
      </c>
      <c r="N648" s="579"/>
      <c r="O648" s="579"/>
      <c r="P648" s="579"/>
      <c r="Q648" s="579"/>
      <c r="R648" s="579"/>
      <c r="S648" s="579"/>
      <c r="T648" s="579"/>
      <c r="U648" s="575"/>
      <c r="V648" s="575">
        <v>1</v>
      </c>
      <c r="W648" s="575">
        <v>1</v>
      </c>
      <c r="X648" s="575"/>
      <c r="Y648" s="575"/>
      <c r="Z648" s="575">
        <v>2</v>
      </c>
      <c r="AA648" s="583"/>
    </row>
    <row r="649" spans="1:27" s="584" customFormat="1" ht="13.9" customHeight="1" x14ac:dyDescent="0.2">
      <c r="A649" s="575"/>
      <c r="B649" s="583"/>
      <c r="C649" s="583"/>
      <c r="D649" s="583"/>
      <c r="E649" s="576">
        <v>399.70299999999997</v>
      </c>
      <c r="F649" s="576">
        <f>+CEILING(E649,5)</f>
        <v>400</v>
      </c>
      <c r="G649" s="580"/>
      <c r="H649" s="575">
        <f>F649*36</f>
        <v>14400</v>
      </c>
      <c r="I649" s="577">
        <f>F649</f>
        <v>400</v>
      </c>
      <c r="J649" s="580"/>
      <c r="K649" s="578"/>
      <c r="L649" s="580"/>
      <c r="M649" s="578"/>
      <c r="N649" s="580"/>
      <c r="O649" s="580"/>
      <c r="P649" s="580"/>
      <c r="Q649" s="580"/>
      <c r="R649" s="578">
        <v>42</v>
      </c>
      <c r="S649" s="580"/>
      <c r="T649" s="580"/>
      <c r="U649" s="580"/>
      <c r="V649" s="575"/>
      <c r="W649" s="575"/>
      <c r="X649" s="580"/>
      <c r="Y649" s="580"/>
      <c r="Z649" s="575"/>
      <c r="AA649" s="583"/>
    </row>
    <row r="650" spans="1:27" s="584" customFormat="1" ht="13.9" customHeight="1" x14ac:dyDescent="0.2">
      <c r="A650" s="575">
        <f>A648+1</f>
        <v>322</v>
      </c>
      <c r="B650" s="583" t="s">
        <v>721</v>
      </c>
      <c r="C650" s="583" t="s">
        <v>20</v>
      </c>
      <c r="D650" s="583"/>
      <c r="E650" s="576"/>
      <c r="F650" s="576"/>
      <c r="G650" s="580"/>
      <c r="H650" s="575"/>
      <c r="I650" s="577"/>
      <c r="J650" s="580"/>
      <c r="K650" s="578">
        <f>(M650*4+N650*2)/2</f>
        <v>12</v>
      </c>
      <c r="L650" s="578"/>
      <c r="M650" s="578">
        <v>6</v>
      </c>
      <c r="N650" s="579"/>
      <c r="O650" s="579"/>
      <c r="P650" s="579"/>
      <c r="Q650" s="579"/>
      <c r="R650" s="579"/>
      <c r="S650" s="579"/>
      <c r="T650" s="579"/>
      <c r="U650" s="575"/>
      <c r="V650" s="575">
        <v>1</v>
      </c>
      <c r="W650" s="575">
        <v>1</v>
      </c>
      <c r="X650" s="575"/>
      <c r="Y650" s="575"/>
      <c r="Z650" s="575">
        <v>2</v>
      </c>
      <c r="AA650" s="583"/>
    </row>
    <row r="651" spans="1:27" s="584" customFormat="1" ht="13.9" customHeight="1" x14ac:dyDescent="0.2">
      <c r="A651" s="575"/>
      <c r="B651" s="583"/>
      <c r="C651" s="583"/>
      <c r="D651" s="583"/>
      <c r="E651" s="576">
        <v>384.142</v>
      </c>
      <c r="F651" s="576">
        <f>+CEILING(E651,5)</f>
        <v>385</v>
      </c>
      <c r="G651" s="580"/>
      <c r="H651" s="575">
        <f>F651*36</f>
        <v>13860</v>
      </c>
      <c r="I651" s="577">
        <f>F651</f>
        <v>385</v>
      </c>
      <c r="J651" s="580"/>
      <c r="K651" s="578"/>
      <c r="L651" s="580"/>
      <c r="M651" s="578"/>
      <c r="N651" s="580"/>
      <c r="O651" s="580"/>
      <c r="P651" s="580"/>
      <c r="Q651" s="580"/>
      <c r="R651" s="578">
        <v>36</v>
      </c>
      <c r="S651" s="580"/>
      <c r="T651" s="580"/>
      <c r="U651" s="580"/>
      <c r="V651" s="575"/>
      <c r="W651" s="575"/>
      <c r="X651" s="580"/>
      <c r="Y651" s="580"/>
      <c r="Z651" s="575"/>
      <c r="AA651" s="583"/>
    </row>
    <row r="652" spans="1:27" s="584" customFormat="1" ht="13.9" customHeight="1" x14ac:dyDescent="0.2">
      <c r="A652" s="575">
        <f>A650+1</f>
        <v>323</v>
      </c>
      <c r="B652" s="583" t="s">
        <v>722</v>
      </c>
      <c r="C652" s="583" t="s">
        <v>233</v>
      </c>
      <c r="D652" s="583"/>
      <c r="E652" s="576"/>
      <c r="F652" s="576"/>
      <c r="G652" s="580"/>
      <c r="H652" s="575"/>
      <c r="I652" s="577"/>
      <c r="J652" s="580"/>
      <c r="K652" s="578">
        <f>(M652*4+N652*2)/2</f>
        <v>12</v>
      </c>
      <c r="L652" s="578"/>
      <c r="M652" s="578">
        <v>6</v>
      </c>
      <c r="N652" s="579"/>
      <c r="O652" s="579"/>
      <c r="P652" s="579"/>
      <c r="Q652" s="579"/>
      <c r="R652" s="579"/>
      <c r="S652" s="579"/>
      <c r="T652" s="579"/>
      <c r="U652" s="575"/>
      <c r="V652" s="575">
        <v>1</v>
      </c>
      <c r="W652" s="575">
        <v>1</v>
      </c>
      <c r="X652" s="575"/>
      <c r="Y652" s="575"/>
      <c r="Z652" s="575">
        <v>2</v>
      </c>
      <c r="AA652" s="583"/>
    </row>
    <row r="653" spans="1:27" s="584" customFormat="1" ht="13.9" customHeight="1" x14ac:dyDescent="0.2">
      <c r="A653" s="575"/>
      <c r="B653" s="583"/>
      <c r="C653" s="583"/>
      <c r="D653" s="583"/>
      <c r="E653" s="576">
        <v>455.85700000000003</v>
      </c>
      <c r="F653" s="576">
        <f>+CEILING(E653,5)</f>
        <v>460</v>
      </c>
      <c r="G653" s="580"/>
      <c r="H653" s="575">
        <f>F653*36</f>
        <v>16560</v>
      </c>
      <c r="I653" s="577">
        <f>F653</f>
        <v>460</v>
      </c>
      <c r="J653" s="582"/>
      <c r="K653" s="580"/>
      <c r="L653" s="582"/>
      <c r="M653" s="580"/>
      <c r="N653" s="580"/>
      <c r="O653" s="580"/>
      <c r="P653" s="580"/>
      <c r="Q653" s="580"/>
      <c r="R653" s="578">
        <v>48</v>
      </c>
      <c r="S653" s="579"/>
      <c r="T653" s="580"/>
      <c r="U653" s="575"/>
      <c r="V653" s="580"/>
      <c r="W653" s="575"/>
      <c r="X653" s="580"/>
      <c r="Y653" s="580"/>
      <c r="Z653" s="575"/>
      <c r="AA653" s="583"/>
    </row>
    <row r="654" spans="1:27" s="584" customFormat="1" ht="13.9" customHeight="1" x14ac:dyDescent="0.2">
      <c r="A654" s="575">
        <f>A652+1</f>
        <v>324</v>
      </c>
      <c r="B654" s="583" t="s">
        <v>723</v>
      </c>
      <c r="C654" s="583" t="s">
        <v>241</v>
      </c>
      <c r="D654" s="583" t="s">
        <v>1125</v>
      </c>
      <c r="E654" s="576"/>
      <c r="F654" s="576"/>
      <c r="G654" s="580"/>
      <c r="H654" s="575"/>
      <c r="I654" s="577"/>
      <c r="J654" s="578">
        <v>48</v>
      </c>
      <c r="K654" s="580"/>
      <c r="L654" s="578">
        <v>12</v>
      </c>
      <c r="M654" s="580"/>
      <c r="N654" s="580"/>
      <c r="O654" s="580"/>
      <c r="P654" s="580"/>
      <c r="Q654" s="580"/>
      <c r="R654" s="579"/>
      <c r="S654" s="575">
        <v>30</v>
      </c>
      <c r="T654" s="580"/>
      <c r="U654" s="575">
        <v>2</v>
      </c>
      <c r="V654" s="580"/>
      <c r="W654" s="575">
        <v>2</v>
      </c>
      <c r="X654" s="580"/>
      <c r="Y654" s="580"/>
      <c r="Z654" s="575">
        <v>4</v>
      </c>
      <c r="AA654" s="583"/>
    </row>
    <row r="655" spans="1:27" s="584" customFormat="1" ht="13.9" customHeight="1" x14ac:dyDescent="0.2">
      <c r="A655" s="575"/>
      <c r="B655" s="583"/>
      <c r="C655" s="583"/>
      <c r="D655" s="583"/>
      <c r="E655" s="576">
        <v>433.24200000000002</v>
      </c>
      <c r="F655" s="576">
        <f>+CEILING(E655,5)</f>
        <v>435</v>
      </c>
      <c r="G655" s="580"/>
      <c r="H655" s="575">
        <f>F655*36</f>
        <v>15660</v>
      </c>
      <c r="I655" s="577">
        <f>F655</f>
        <v>435</v>
      </c>
      <c r="J655" s="580"/>
      <c r="K655" s="578"/>
      <c r="L655" s="580"/>
      <c r="M655" s="578"/>
      <c r="N655" s="580"/>
      <c r="O655" s="580"/>
      <c r="P655" s="580"/>
      <c r="Q655" s="580"/>
      <c r="R655" s="578">
        <v>42</v>
      </c>
      <c r="S655" s="580"/>
      <c r="T655" s="580"/>
      <c r="U655" s="580"/>
      <c r="V655" s="575"/>
      <c r="W655" s="575"/>
      <c r="X655" s="580"/>
      <c r="Y655" s="580"/>
      <c r="Z655" s="575"/>
      <c r="AA655" s="583"/>
    </row>
    <row r="656" spans="1:27" s="584" customFormat="1" x14ac:dyDescent="0.2">
      <c r="A656" s="575">
        <f>A654+1</f>
        <v>325</v>
      </c>
      <c r="B656" s="583" t="s">
        <v>724</v>
      </c>
      <c r="C656" s="583" t="s">
        <v>233</v>
      </c>
      <c r="D656" s="583"/>
      <c r="E656" s="576"/>
      <c r="F656" s="576"/>
      <c r="G656" s="580"/>
      <c r="H656" s="575"/>
      <c r="I656" s="577"/>
      <c r="J656" s="580"/>
      <c r="K656" s="578">
        <f>(M656*4+N656*2)/2</f>
        <v>12</v>
      </c>
      <c r="L656" s="578"/>
      <c r="M656" s="578">
        <v>6</v>
      </c>
      <c r="N656" s="579"/>
      <c r="O656" s="579"/>
      <c r="P656" s="579"/>
      <c r="Q656" s="579"/>
      <c r="R656" s="579"/>
      <c r="S656" s="579"/>
      <c r="T656" s="579"/>
      <c r="U656" s="575"/>
      <c r="V656" s="575">
        <v>1</v>
      </c>
      <c r="W656" s="575">
        <v>1</v>
      </c>
      <c r="X656" s="575"/>
      <c r="Y656" s="575"/>
      <c r="Z656" s="575">
        <v>2</v>
      </c>
      <c r="AA656" s="583"/>
    </row>
    <row r="657" spans="1:27" s="584" customFormat="1" ht="13.9" customHeight="1" x14ac:dyDescent="0.2">
      <c r="A657" s="575"/>
      <c r="B657" s="583"/>
      <c r="C657" s="583"/>
      <c r="D657" s="583"/>
      <c r="E657" s="576">
        <v>407.40600000000001</v>
      </c>
      <c r="F657" s="576">
        <f>+CEILING(E657,5)</f>
        <v>410</v>
      </c>
      <c r="G657" s="580"/>
      <c r="H657" s="575">
        <f>F657*36</f>
        <v>14760</v>
      </c>
      <c r="I657" s="577">
        <f>F657</f>
        <v>410</v>
      </c>
      <c r="J657" s="580"/>
      <c r="K657" s="578"/>
      <c r="L657" s="580"/>
      <c r="M657" s="578"/>
      <c r="N657" s="580"/>
      <c r="O657" s="580"/>
      <c r="P657" s="580"/>
      <c r="Q657" s="580"/>
      <c r="R657" s="578">
        <v>42</v>
      </c>
      <c r="S657" s="580"/>
      <c r="T657" s="580"/>
      <c r="U657" s="580"/>
      <c r="V657" s="575"/>
      <c r="W657" s="575"/>
      <c r="X657" s="580"/>
      <c r="Y657" s="580"/>
      <c r="Z657" s="575"/>
      <c r="AA657" s="583"/>
    </row>
    <row r="658" spans="1:27" s="584" customFormat="1" ht="13.9" customHeight="1" x14ac:dyDescent="0.2">
      <c r="A658" s="575">
        <f>A656+1</f>
        <v>326</v>
      </c>
      <c r="B658" s="583" t="s">
        <v>725</v>
      </c>
      <c r="C658" s="583" t="s">
        <v>231</v>
      </c>
      <c r="D658" s="583"/>
      <c r="E658" s="576"/>
      <c r="F658" s="576"/>
      <c r="G658" s="580"/>
      <c r="H658" s="575"/>
      <c r="I658" s="577"/>
      <c r="J658" s="580"/>
      <c r="K658" s="578">
        <f>(M658*4+N658*2)/2</f>
        <v>12</v>
      </c>
      <c r="L658" s="578"/>
      <c r="M658" s="578">
        <v>6</v>
      </c>
      <c r="N658" s="579"/>
      <c r="O658" s="579"/>
      <c r="P658" s="579"/>
      <c r="Q658" s="579"/>
      <c r="R658" s="579"/>
      <c r="S658" s="579"/>
      <c r="T658" s="579"/>
      <c r="U658" s="575"/>
      <c r="V658" s="575">
        <v>1</v>
      </c>
      <c r="W658" s="575">
        <v>1</v>
      </c>
      <c r="X658" s="575"/>
      <c r="Y658" s="575"/>
      <c r="Z658" s="575">
        <v>2</v>
      </c>
      <c r="AA658" s="583"/>
    </row>
    <row r="659" spans="1:27" s="584" customFormat="1" ht="13.9" customHeight="1" x14ac:dyDescent="0.2">
      <c r="A659" s="575"/>
      <c r="B659" s="583"/>
      <c r="C659" s="583"/>
      <c r="D659" s="583"/>
      <c r="E659" s="576">
        <v>394.49799999999999</v>
      </c>
      <c r="F659" s="576">
        <f>+CEILING(E659,5)</f>
        <v>395</v>
      </c>
      <c r="G659" s="580"/>
      <c r="H659" s="575">
        <f>F659*36</f>
        <v>14220</v>
      </c>
      <c r="I659" s="577">
        <f>F659</f>
        <v>395</v>
      </c>
      <c r="J659" s="580"/>
      <c r="K659" s="578"/>
      <c r="L659" s="580"/>
      <c r="M659" s="578"/>
      <c r="N659" s="580"/>
      <c r="O659" s="580"/>
      <c r="P659" s="580"/>
      <c r="Q659" s="580"/>
      <c r="R659" s="578">
        <v>42</v>
      </c>
      <c r="S659" s="580"/>
      <c r="T659" s="580"/>
      <c r="U659" s="580"/>
      <c r="V659" s="575"/>
      <c r="W659" s="575"/>
      <c r="X659" s="580"/>
      <c r="Y659" s="580"/>
      <c r="Z659" s="575"/>
      <c r="AA659" s="583"/>
    </row>
    <row r="660" spans="1:27" s="584" customFormat="1" ht="13.9" customHeight="1" x14ac:dyDescent="0.2">
      <c r="A660" s="575">
        <f>A658+1</f>
        <v>327</v>
      </c>
      <c r="B660" s="583" t="s">
        <v>726</v>
      </c>
      <c r="C660" s="583" t="s">
        <v>232</v>
      </c>
      <c r="D660" s="583"/>
      <c r="E660" s="576"/>
      <c r="F660" s="576"/>
      <c r="G660" s="580"/>
      <c r="H660" s="575"/>
      <c r="I660" s="577"/>
      <c r="J660" s="580"/>
      <c r="K660" s="578">
        <f>(M660*4+N660*2)/2</f>
        <v>12</v>
      </c>
      <c r="L660" s="578"/>
      <c r="M660" s="578">
        <v>6</v>
      </c>
      <c r="N660" s="579"/>
      <c r="O660" s="579"/>
      <c r="P660" s="579"/>
      <c r="Q660" s="579"/>
      <c r="R660" s="579"/>
      <c r="S660" s="579"/>
      <c r="T660" s="579"/>
      <c r="U660" s="575"/>
      <c r="V660" s="575">
        <v>1</v>
      </c>
      <c r="W660" s="575">
        <v>1</v>
      </c>
      <c r="X660" s="575"/>
      <c r="Y660" s="575"/>
      <c r="Z660" s="575">
        <v>2</v>
      </c>
      <c r="AA660" s="583"/>
    </row>
    <row r="661" spans="1:27" s="584" customFormat="1" ht="13.9" customHeight="1" x14ac:dyDescent="0.2">
      <c r="A661" s="575"/>
      <c r="B661" s="583"/>
      <c r="C661" s="583"/>
      <c r="D661" s="583"/>
      <c r="E661" s="576">
        <v>410.08199999999999</v>
      </c>
      <c r="F661" s="576">
        <f>+CEILING(E661,5)</f>
        <v>415</v>
      </c>
      <c r="G661" s="580"/>
      <c r="H661" s="575">
        <f>F661*36</f>
        <v>14940</v>
      </c>
      <c r="I661" s="577">
        <f>F661</f>
        <v>415</v>
      </c>
      <c r="J661" s="580"/>
      <c r="K661" s="578"/>
      <c r="L661" s="580"/>
      <c r="M661" s="578"/>
      <c r="N661" s="580"/>
      <c r="O661" s="580"/>
      <c r="P661" s="580"/>
      <c r="Q661" s="580"/>
      <c r="R661" s="578">
        <v>42</v>
      </c>
      <c r="S661" s="580"/>
      <c r="T661" s="580"/>
      <c r="U661" s="580"/>
      <c r="V661" s="575"/>
      <c r="W661" s="575"/>
      <c r="X661" s="580"/>
      <c r="Y661" s="580"/>
      <c r="Z661" s="575"/>
      <c r="AA661" s="583"/>
    </row>
    <row r="662" spans="1:27" s="584" customFormat="1" ht="13.9" customHeight="1" x14ac:dyDescent="0.2">
      <c r="A662" s="575">
        <f>A660+1</f>
        <v>328</v>
      </c>
      <c r="B662" s="583" t="s">
        <v>727</v>
      </c>
      <c r="C662" s="583" t="s">
        <v>231</v>
      </c>
      <c r="D662" s="583"/>
      <c r="E662" s="576"/>
      <c r="F662" s="576"/>
      <c r="G662" s="580"/>
      <c r="H662" s="575"/>
      <c r="I662" s="577"/>
      <c r="J662" s="580"/>
      <c r="K662" s="578">
        <f>(M662*4+N662*2)/2</f>
        <v>12</v>
      </c>
      <c r="L662" s="578"/>
      <c r="M662" s="578">
        <v>6</v>
      </c>
      <c r="N662" s="579"/>
      <c r="O662" s="579"/>
      <c r="P662" s="579"/>
      <c r="Q662" s="579"/>
      <c r="R662" s="579"/>
      <c r="S662" s="579"/>
      <c r="T662" s="579"/>
      <c r="U662" s="575"/>
      <c r="V662" s="575">
        <v>1</v>
      </c>
      <c r="W662" s="575">
        <v>1</v>
      </c>
      <c r="X662" s="575"/>
      <c r="Y662" s="575"/>
      <c r="Z662" s="575">
        <v>2</v>
      </c>
      <c r="AA662" s="583"/>
    </row>
    <row r="663" spans="1:27" s="584" customFormat="1" ht="13.9" customHeight="1" x14ac:dyDescent="0.2">
      <c r="A663" s="575"/>
      <c r="B663" s="583"/>
      <c r="C663" s="583"/>
      <c r="D663" s="583"/>
      <c r="E663" s="576">
        <v>428.07299999999998</v>
      </c>
      <c r="F663" s="576">
        <f>+CEILING(E663,5)</f>
        <v>430</v>
      </c>
      <c r="G663" s="580"/>
      <c r="H663" s="575">
        <f>F663*36</f>
        <v>15480</v>
      </c>
      <c r="I663" s="577">
        <f>F663</f>
        <v>430</v>
      </c>
      <c r="J663" s="580"/>
      <c r="K663" s="578"/>
      <c r="L663" s="580"/>
      <c r="M663" s="578"/>
      <c r="N663" s="580"/>
      <c r="O663" s="580"/>
      <c r="P663" s="580"/>
      <c r="Q663" s="580"/>
      <c r="R663" s="578">
        <v>42</v>
      </c>
      <c r="S663" s="580"/>
      <c r="T663" s="580"/>
      <c r="U663" s="580"/>
      <c r="V663" s="575"/>
      <c r="W663" s="575"/>
      <c r="X663" s="580"/>
      <c r="Y663" s="580"/>
      <c r="Z663" s="575"/>
      <c r="AA663" s="583"/>
    </row>
    <row r="664" spans="1:27" s="584" customFormat="1" ht="13.9" customHeight="1" x14ac:dyDescent="0.2">
      <c r="A664" s="575">
        <f>A662+1</f>
        <v>329</v>
      </c>
      <c r="B664" s="583" t="s">
        <v>728</v>
      </c>
      <c r="C664" s="583" t="s">
        <v>20</v>
      </c>
      <c r="D664" s="583"/>
      <c r="E664" s="576"/>
      <c r="F664" s="576"/>
      <c r="G664" s="580"/>
      <c r="H664" s="575"/>
      <c r="I664" s="577"/>
      <c r="J664" s="580"/>
      <c r="K664" s="578">
        <f>(M664*4+N664*2)/2</f>
        <v>12</v>
      </c>
      <c r="L664" s="578"/>
      <c r="M664" s="578">
        <v>6</v>
      </c>
      <c r="N664" s="579"/>
      <c r="O664" s="579"/>
      <c r="P664" s="579"/>
      <c r="Q664" s="579"/>
      <c r="R664" s="579"/>
      <c r="S664" s="579"/>
      <c r="T664" s="579"/>
      <c r="U664" s="575"/>
      <c r="V664" s="575">
        <v>1</v>
      </c>
      <c r="W664" s="575">
        <v>1</v>
      </c>
      <c r="X664" s="575"/>
      <c r="Y664" s="575"/>
      <c r="Z664" s="575">
        <v>2</v>
      </c>
      <c r="AA664" s="583"/>
    </row>
    <row r="665" spans="1:27" s="584" customFormat="1" ht="13.9" customHeight="1" x14ac:dyDescent="0.2">
      <c r="A665" s="575"/>
      <c r="B665" s="583"/>
      <c r="C665" s="583"/>
      <c r="D665" s="583"/>
      <c r="E665" s="576">
        <v>406.60399999999998</v>
      </c>
      <c r="F665" s="576">
        <f>+CEILING(E665,5)</f>
        <v>410</v>
      </c>
      <c r="G665" s="580"/>
      <c r="H665" s="575">
        <f>F665*36</f>
        <v>14760</v>
      </c>
      <c r="I665" s="577">
        <f>F665</f>
        <v>410</v>
      </c>
      <c r="J665" s="580"/>
      <c r="K665" s="578"/>
      <c r="L665" s="580"/>
      <c r="M665" s="578"/>
      <c r="N665" s="580"/>
      <c r="O665" s="580"/>
      <c r="P665" s="580"/>
      <c r="Q665" s="580"/>
      <c r="R665" s="578">
        <v>42</v>
      </c>
      <c r="S665" s="580"/>
      <c r="T665" s="580"/>
      <c r="U665" s="580"/>
      <c r="V665" s="575"/>
      <c r="W665" s="575"/>
      <c r="X665" s="580"/>
      <c r="Y665" s="580"/>
      <c r="Z665" s="575"/>
      <c r="AA665" s="583"/>
    </row>
    <row r="666" spans="1:27" s="584" customFormat="1" ht="13.9" customHeight="1" x14ac:dyDescent="0.2">
      <c r="A666" s="575">
        <f>A664+1</f>
        <v>330</v>
      </c>
      <c r="B666" s="583" t="s">
        <v>729</v>
      </c>
      <c r="C666" s="583" t="s">
        <v>232</v>
      </c>
      <c r="D666" s="583"/>
      <c r="E666" s="576"/>
      <c r="F666" s="576"/>
      <c r="G666" s="580"/>
      <c r="H666" s="575"/>
      <c r="I666" s="577"/>
      <c r="J666" s="580"/>
      <c r="K666" s="578">
        <f>(M666*4+N666*2)/2</f>
        <v>12</v>
      </c>
      <c r="L666" s="578"/>
      <c r="M666" s="578">
        <v>6</v>
      </c>
      <c r="N666" s="579"/>
      <c r="O666" s="579"/>
      <c r="P666" s="579"/>
      <c r="Q666" s="579"/>
      <c r="R666" s="579"/>
      <c r="S666" s="579"/>
      <c r="T666" s="579"/>
      <c r="U666" s="575"/>
      <c r="V666" s="575">
        <v>1</v>
      </c>
      <c r="W666" s="575">
        <v>1</v>
      </c>
      <c r="X666" s="575"/>
      <c r="Y666" s="575"/>
      <c r="Z666" s="575">
        <v>2</v>
      </c>
      <c r="AA666" s="583"/>
    </row>
    <row r="667" spans="1:27" s="584" customFormat="1" ht="13.9" customHeight="1" x14ac:dyDescent="0.2">
      <c r="A667" s="575"/>
      <c r="B667" s="583"/>
      <c r="C667" s="583"/>
      <c r="D667" s="583"/>
      <c r="E667" s="576">
        <v>411.298</v>
      </c>
      <c r="F667" s="576">
        <f>+CEILING(E667,5)</f>
        <v>415</v>
      </c>
      <c r="G667" s="580"/>
      <c r="H667" s="575">
        <f>F667*36</f>
        <v>14940</v>
      </c>
      <c r="I667" s="577">
        <f>F667</f>
        <v>415</v>
      </c>
      <c r="J667" s="580"/>
      <c r="K667" s="578"/>
      <c r="L667" s="580"/>
      <c r="M667" s="578"/>
      <c r="N667" s="580"/>
      <c r="O667" s="580"/>
      <c r="P667" s="580"/>
      <c r="Q667" s="580"/>
      <c r="R667" s="578">
        <v>42</v>
      </c>
      <c r="S667" s="580"/>
      <c r="T667" s="580"/>
      <c r="U667" s="580"/>
      <c r="V667" s="575"/>
      <c r="W667" s="575"/>
      <c r="X667" s="580"/>
      <c r="Y667" s="580"/>
      <c r="Z667" s="575"/>
      <c r="AA667" s="583"/>
    </row>
    <row r="668" spans="1:27" s="584" customFormat="1" ht="13.9" customHeight="1" x14ac:dyDescent="0.2">
      <c r="A668" s="575">
        <f>A666+1</f>
        <v>331</v>
      </c>
      <c r="B668" s="583" t="s">
        <v>730</v>
      </c>
      <c r="C668" s="583" t="s">
        <v>20</v>
      </c>
      <c r="D668" s="583"/>
      <c r="E668" s="576"/>
      <c r="F668" s="576"/>
      <c r="G668" s="580"/>
      <c r="H668" s="575"/>
      <c r="I668" s="577"/>
      <c r="J668" s="580"/>
      <c r="K668" s="578">
        <f>(M668*4+N668*2)/2</f>
        <v>12</v>
      </c>
      <c r="L668" s="578"/>
      <c r="M668" s="578">
        <v>6</v>
      </c>
      <c r="N668" s="579"/>
      <c r="O668" s="579"/>
      <c r="P668" s="579"/>
      <c r="Q668" s="579"/>
      <c r="R668" s="579"/>
      <c r="S668" s="579"/>
      <c r="T668" s="579"/>
      <c r="U668" s="575"/>
      <c r="V668" s="575">
        <v>1</v>
      </c>
      <c r="W668" s="575">
        <v>1</v>
      </c>
      <c r="X668" s="575"/>
      <c r="Y668" s="575"/>
      <c r="Z668" s="575">
        <v>2</v>
      </c>
      <c r="AA668" s="583"/>
    </row>
    <row r="669" spans="1:27" s="584" customFormat="1" ht="13.9" customHeight="1" x14ac:dyDescent="0.2">
      <c r="A669" s="575"/>
      <c r="B669" s="583"/>
      <c r="C669" s="583"/>
      <c r="D669" s="583"/>
      <c r="E669" s="576">
        <v>427.74799999999999</v>
      </c>
      <c r="F669" s="576">
        <f>+CEILING(E669,5)</f>
        <v>430</v>
      </c>
      <c r="G669" s="580"/>
      <c r="H669" s="575">
        <f>F669*36</f>
        <v>15480</v>
      </c>
      <c r="I669" s="577">
        <f>F669</f>
        <v>430</v>
      </c>
      <c r="J669" s="580"/>
      <c r="K669" s="578"/>
      <c r="L669" s="580"/>
      <c r="M669" s="578"/>
      <c r="N669" s="580"/>
      <c r="O669" s="580"/>
      <c r="P669" s="580"/>
      <c r="Q669" s="580"/>
      <c r="R669" s="578">
        <v>42</v>
      </c>
      <c r="S669" s="580"/>
      <c r="T669" s="580"/>
      <c r="U669" s="580"/>
      <c r="V669" s="575"/>
      <c r="W669" s="575"/>
      <c r="X669" s="580"/>
      <c r="Y669" s="580"/>
      <c r="Z669" s="575"/>
      <c r="AA669" s="583"/>
    </row>
    <row r="670" spans="1:27" s="584" customFormat="1" ht="13.9" customHeight="1" x14ac:dyDescent="0.2">
      <c r="A670" s="575">
        <f>A668+1</f>
        <v>332</v>
      </c>
      <c r="B670" s="583" t="s">
        <v>731</v>
      </c>
      <c r="C670" s="583" t="s">
        <v>20</v>
      </c>
      <c r="D670" s="583"/>
      <c r="E670" s="576"/>
      <c r="F670" s="576"/>
      <c r="G670" s="580"/>
      <c r="H670" s="575"/>
      <c r="I670" s="577"/>
      <c r="J670" s="580"/>
      <c r="K670" s="578">
        <f>(M670*4+N670*2)/2</f>
        <v>12</v>
      </c>
      <c r="L670" s="578"/>
      <c r="M670" s="578">
        <v>6</v>
      </c>
      <c r="N670" s="579"/>
      <c r="O670" s="579"/>
      <c r="P670" s="579"/>
      <c r="Q670" s="579"/>
      <c r="R670" s="579"/>
      <c r="S670" s="579"/>
      <c r="T670" s="579"/>
      <c r="U670" s="575"/>
      <c r="V670" s="575">
        <v>1</v>
      </c>
      <c r="W670" s="575">
        <v>1</v>
      </c>
      <c r="X670" s="575"/>
      <c r="Y670" s="575"/>
      <c r="Z670" s="575">
        <v>2</v>
      </c>
      <c r="AA670" s="583"/>
    </row>
    <row r="671" spans="1:27" s="584" customFormat="1" ht="13.9" customHeight="1" x14ac:dyDescent="0.2">
      <c r="A671" s="575"/>
      <c r="B671" s="583"/>
      <c r="C671" s="583"/>
      <c r="D671" s="583"/>
      <c r="E671" s="576">
        <v>371.30700000000002</v>
      </c>
      <c r="F671" s="576">
        <f>+CEILING(E671,5)</f>
        <v>375</v>
      </c>
      <c r="G671" s="580"/>
      <c r="H671" s="575">
        <f>F671*36</f>
        <v>13500</v>
      </c>
      <c r="I671" s="577">
        <f>F671</f>
        <v>375</v>
      </c>
      <c r="J671" s="580"/>
      <c r="K671" s="578"/>
      <c r="L671" s="580"/>
      <c r="M671" s="578"/>
      <c r="N671" s="580"/>
      <c r="O671" s="580"/>
      <c r="P671" s="580"/>
      <c r="Q671" s="580"/>
      <c r="R671" s="578">
        <v>36</v>
      </c>
      <c r="S671" s="580"/>
      <c r="T671" s="580"/>
      <c r="U671" s="580"/>
      <c r="V671" s="575"/>
      <c r="W671" s="575"/>
      <c r="X671" s="580"/>
      <c r="Y671" s="580"/>
      <c r="Z671" s="575"/>
      <c r="AA671" s="583"/>
    </row>
    <row r="672" spans="1:27" s="584" customFormat="1" ht="13.9" customHeight="1" x14ac:dyDescent="0.2">
      <c r="A672" s="575">
        <f>A670+1</f>
        <v>333</v>
      </c>
      <c r="B672" s="583" t="s">
        <v>732</v>
      </c>
      <c r="C672" s="583" t="s">
        <v>246</v>
      </c>
      <c r="D672" s="583" t="s">
        <v>1126</v>
      </c>
      <c r="E672" s="576"/>
      <c r="F672" s="576"/>
      <c r="G672" s="580"/>
      <c r="H672" s="575"/>
      <c r="I672" s="577"/>
      <c r="J672" s="578">
        <v>48</v>
      </c>
      <c r="K672" s="580"/>
      <c r="L672" s="578">
        <v>12</v>
      </c>
      <c r="M672" s="580"/>
      <c r="N672" s="580"/>
      <c r="O672" s="580"/>
      <c r="P672" s="580"/>
      <c r="Q672" s="580"/>
      <c r="R672" s="579"/>
      <c r="S672" s="575">
        <v>30</v>
      </c>
      <c r="T672" s="580"/>
      <c r="U672" s="575">
        <v>2</v>
      </c>
      <c r="V672" s="580"/>
      <c r="W672" s="575">
        <v>2</v>
      </c>
      <c r="X672" s="580"/>
      <c r="Y672" s="580"/>
      <c r="Z672" s="575">
        <v>4</v>
      </c>
      <c r="AA672" s="583"/>
    </row>
    <row r="673" spans="1:27" s="584" customFormat="1" ht="13.9" customHeight="1" x14ac:dyDescent="0.2">
      <c r="A673" s="575"/>
      <c r="B673" s="583"/>
      <c r="C673" s="583"/>
      <c r="D673" s="583"/>
      <c r="E673" s="576">
        <v>365.05099999999999</v>
      </c>
      <c r="F673" s="576">
        <f>+CEILING(E673,5)</f>
        <v>370</v>
      </c>
      <c r="G673" s="580"/>
      <c r="H673" s="575">
        <f>F673*36</f>
        <v>13320</v>
      </c>
      <c r="I673" s="577">
        <f>F673</f>
        <v>370</v>
      </c>
      <c r="J673" s="580"/>
      <c r="K673" s="578"/>
      <c r="L673" s="580"/>
      <c r="M673" s="578"/>
      <c r="N673" s="580"/>
      <c r="O673" s="580"/>
      <c r="P673" s="580"/>
      <c r="Q673" s="580"/>
      <c r="R673" s="578">
        <v>36</v>
      </c>
      <c r="S673" s="580"/>
      <c r="T673" s="580"/>
      <c r="U673" s="580"/>
      <c r="V673" s="575"/>
      <c r="W673" s="575"/>
      <c r="X673" s="580"/>
      <c r="Y673" s="580"/>
      <c r="Z673" s="575"/>
      <c r="AA673" s="583"/>
    </row>
    <row r="674" spans="1:27" s="584" customFormat="1" ht="13.9" customHeight="1" x14ac:dyDescent="0.2">
      <c r="A674" s="575">
        <f>A672+1</f>
        <v>334</v>
      </c>
      <c r="B674" s="583" t="s">
        <v>733</v>
      </c>
      <c r="C674" s="583" t="s">
        <v>20</v>
      </c>
      <c r="D674" s="583"/>
      <c r="E674" s="576"/>
      <c r="F674" s="576"/>
      <c r="G674" s="580"/>
      <c r="H674" s="575"/>
      <c r="I674" s="577"/>
      <c r="J674" s="580"/>
      <c r="K674" s="578">
        <f>(M674*4+N674*2)/2</f>
        <v>12</v>
      </c>
      <c r="L674" s="578"/>
      <c r="M674" s="578">
        <v>6</v>
      </c>
      <c r="N674" s="579"/>
      <c r="O674" s="579"/>
      <c r="P674" s="579"/>
      <c r="Q674" s="579"/>
      <c r="R674" s="579"/>
      <c r="S674" s="579"/>
      <c r="T674" s="579"/>
      <c r="U674" s="575"/>
      <c r="V674" s="575">
        <v>1</v>
      </c>
      <c r="W674" s="575">
        <v>1</v>
      </c>
      <c r="X674" s="575"/>
      <c r="Y674" s="575"/>
      <c r="Z674" s="575">
        <v>2</v>
      </c>
      <c r="AA674" s="583"/>
    </row>
    <row r="675" spans="1:27" s="584" customFormat="1" ht="13.9" customHeight="1" x14ac:dyDescent="0.2">
      <c r="A675" s="575"/>
      <c r="B675" s="583"/>
      <c r="C675" s="583"/>
      <c r="D675" s="583"/>
      <c r="E675" s="576">
        <v>380.98500000000001</v>
      </c>
      <c r="F675" s="576">
        <f>+CEILING(E675,5)</f>
        <v>385</v>
      </c>
      <c r="G675" s="580"/>
      <c r="H675" s="575">
        <f>F675*36</f>
        <v>13860</v>
      </c>
      <c r="I675" s="577">
        <f>F675</f>
        <v>385</v>
      </c>
      <c r="J675" s="580"/>
      <c r="K675" s="578"/>
      <c r="L675" s="580"/>
      <c r="M675" s="578"/>
      <c r="N675" s="580"/>
      <c r="O675" s="580"/>
      <c r="P675" s="580"/>
      <c r="Q675" s="580"/>
      <c r="R675" s="578">
        <v>36</v>
      </c>
      <c r="S675" s="580"/>
      <c r="T675" s="580"/>
      <c r="U675" s="580"/>
      <c r="V675" s="575"/>
      <c r="W675" s="575"/>
      <c r="X675" s="580"/>
      <c r="Y675" s="580"/>
      <c r="Z675" s="575"/>
      <c r="AA675" s="583"/>
    </row>
    <row r="676" spans="1:27" s="584" customFormat="1" ht="13.9" customHeight="1" x14ac:dyDescent="0.2">
      <c r="A676" s="575">
        <f>A674+1</f>
        <v>335</v>
      </c>
      <c r="B676" s="583" t="s">
        <v>734</v>
      </c>
      <c r="C676" s="583" t="s">
        <v>20</v>
      </c>
      <c r="D676" s="583"/>
      <c r="E676" s="576"/>
      <c r="F676" s="576"/>
      <c r="G676" s="580"/>
      <c r="H676" s="575"/>
      <c r="I676" s="577"/>
      <c r="J676" s="580"/>
      <c r="K676" s="578">
        <f>(M676*4+N676*2)/2</f>
        <v>12</v>
      </c>
      <c r="L676" s="578"/>
      <c r="M676" s="578">
        <v>6</v>
      </c>
      <c r="N676" s="579"/>
      <c r="O676" s="579"/>
      <c r="P676" s="579"/>
      <c r="Q676" s="579"/>
      <c r="R676" s="579"/>
      <c r="S676" s="579"/>
      <c r="T676" s="579"/>
      <c r="U676" s="575"/>
      <c r="V676" s="575">
        <v>1</v>
      </c>
      <c r="W676" s="575">
        <v>1</v>
      </c>
      <c r="X676" s="575"/>
      <c r="Y676" s="575"/>
      <c r="Z676" s="575">
        <v>2</v>
      </c>
      <c r="AA676" s="583"/>
    </row>
    <row r="677" spans="1:27" s="584" customFormat="1" ht="13.9" customHeight="1" x14ac:dyDescent="0.2">
      <c r="A677" s="575"/>
      <c r="B677" s="583"/>
      <c r="C677" s="583"/>
      <c r="D677" s="583"/>
      <c r="E677" s="576">
        <v>417.041</v>
      </c>
      <c r="F677" s="576">
        <f>+CEILING(E677,5)</f>
        <v>420</v>
      </c>
      <c r="G677" s="580"/>
      <c r="H677" s="575">
        <f>F677*36</f>
        <v>15120</v>
      </c>
      <c r="I677" s="577">
        <f>F677</f>
        <v>420</v>
      </c>
      <c r="J677" s="580"/>
      <c r="K677" s="578"/>
      <c r="L677" s="580"/>
      <c r="M677" s="578"/>
      <c r="N677" s="580"/>
      <c r="O677" s="580"/>
      <c r="P677" s="580"/>
      <c r="Q677" s="580"/>
      <c r="R677" s="578">
        <v>42</v>
      </c>
      <c r="S677" s="580"/>
      <c r="T677" s="580"/>
      <c r="U677" s="580"/>
      <c r="V677" s="575"/>
      <c r="W677" s="575"/>
      <c r="X677" s="580"/>
      <c r="Y677" s="580"/>
      <c r="Z677" s="575"/>
      <c r="AA677" s="583"/>
    </row>
    <row r="678" spans="1:27" s="584" customFormat="1" ht="13.9" customHeight="1" x14ac:dyDescent="0.2">
      <c r="A678" s="575">
        <f>A676+1</f>
        <v>336</v>
      </c>
      <c r="B678" s="583" t="s">
        <v>735</v>
      </c>
      <c r="C678" s="583" t="s">
        <v>232</v>
      </c>
      <c r="D678" s="583"/>
      <c r="E678" s="576"/>
      <c r="F678" s="576"/>
      <c r="G678" s="580"/>
      <c r="H678" s="575"/>
      <c r="I678" s="577"/>
      <c r="J678" s="580"/>
      <c r="K678" s="578">
        <f>(M678*4+N678*2)/2</f>
        <v>12</v>
      </c>
      <c r="L678" s="578"/>
      <c r="M678" s="578">
        <v>6</v>
      </c>
      <c r="N678" s="579"/>
      <c r="O678" s="579"/>
      <c r="P678" s="579"/>
      <c r="Q678" s="579"/>
      <c r="R678" s="579"/>
      <c r="S678" s="579"/>
      <c r="T678" s="579"/>
      <c r="U678" s="575"/>
      <c r="V678" s="575">
        <v>1</v>
      </c>
      <c r="W678" s="575">
        <v>1</v>
      </c>
      <c r="X678" s="575"/>
      <c r="Y678" s="575"/>
      <c r="Z678" s="575">
        <v>2</v>
      </c>
      <c r="AA678" s="583"/>
    </row>
    <row r="679" spans="1:27" s="584" customFormat="1" ht="13.9" customHeight="1" x14ac:dyDescent="0.2">
      <c r="A679" s="575"/>
      <c r="B679" s="583"/>
      <c r="C679" s="583"/>
      <c r="D679" s="583"/>
      <c r="E679" s="576">
        <v>423.34</v>
      </c>
      <c r="F679" s="576">
        <f>+CEILING(E679,5)</f>
        <v>425</v>
      </c>
      <c r="G679" s="580"/>
      <c r="H679" s="575">
        <f>F679*36</f>
        <v>15300</v>
      </c>
      <c r="I679" s="577">
        <f>F679</f>
        <v>425</v>
      </c>
      <c r="J679" s="582"/>
      <c r="K679" s="580"/>
      <c r="L679" s="582"/>
      <c r="M679" s="580"/>
      <c r="N679" s="580"/>
      <c r="O679" s="580"/>
      <c r="P679" s="580"/>
      <c r="Q679" s="580"/>
      <c r="R679" s="578">
        <v>42</v>
      </c>
      <c r="S679" s="579"/>
      <c r="T679" s="580"/>
      <c r="U679" s="575"/>
      <c r="V679" s="580"/>
      <c r="W679" s="575"/>
      <c r="X679" s="580"/>
      <c r="Y679" s="580"/>
      <c r="Z679" s="575"/>
      <c r="AA679" s="583"/>
    </row>
    <row r="680" spans="1:27" s="584" customFormat="1" x14ac:dyDescent="0.2">
      <c r="A680" s="575">
        <f>A678+1</f>
        <v>337</v>
      </c>
      <c r="B680" s="583" t="s">
        <v>736</v>
      </c>
      <c r="C680" s="583" t="s">
        <v>233</v>
      </c>
      <c r="D680" s="583"/>
      <c r="E680" s="576"/>
      <c r="F680" s="576"/>
      <c r="G680" s="580"/>
      <c r="H680" s="575"/>
      <c r="I680" s="577"/>
      <c r="J680" s="580"/>
      <c r="K680" s="578">
        <f>(M680*4+N680*2)/2</f>
        <v>12</v>
      </c>
      <c r="L680" s="578"/>
      <c r="M680" s="578">
        <v>6</v>
      </c>
      <c r="N680" s="579"/>
      <c r="O680" s="579"/>
      <c r="P680" s="579"/>
      <c r="Q680" s="579"/>
      <c r="R680" s="579"/>
      <c r="S680" s="579"/>
      <c r="T680" s="579"/>
      <c r="U680" s="575"/>
      <c r="V680" s="575">
        <v>1</v>
      </c>
      <c r="W680" s="575">
        <v>1</v>
      </c>
      <c r="X680" s="575"/>
      <c r="Y680" s="575"/>
      <c r="Z680" s="575">
        <v>2</v>
      </c>
      <c r="AA680" s="583"/>
    </row>
    <row r="681" spans="1:27" s="584" customFormat="1" ht="13.9" customHeight="1" x14ac:dyDescent="0.2">
      <c r="A681" s="575"/>
      <c r="B681" s="583"/>
      <c r="C681" s="583"/>
      <c r="D681" s="583"/>
      <c r="E681" s="576">
        <v>400.98099999999999</v>
      </c>
      <c r="F681" s="576">
        <f>+CEILING(E681,5)</f>
        <v>405</v>
      </c>
      <c r="G681" s="575"/>
      <c r="H681" s="575">
        <f>F681*36</f>
        <v>14580</v>
      </c>
      <c r="I681" s="577">
        <f>F681</f>
        <v>405</v>
      </c>
      <c r="J681" s="582"/>
      <c r="K681" s="580"/>
      <c r="L681" s="582"/>
      <c r="M681" s="580"/>
      <c r="N681" s="580"/>
      <c r="O681" s="580"/>
      <c r="P681" s="580"/>
      <c r="Q681" s="580"/>
      <c r="R681" s="578">
        <v>42</v>
      </c>
      <c r="S681" s="579"/>
      <c r="T681" s="580"/>
      <c r="U681" s="575"/>
      <c r="V681" s="580"/>
      <c r="W681" s="575"/>
      <c r="X681" s="580"/>
      <c r="Y681" s="580"/>
      <c r="Z681" s="575"/>
      <c r="AA681" s="583"/>
    </row>
    <row r="682" spans="1:27" s="584" customFormat="1" ht="13.9" customHeight="1" x14ac:dyDescent="0.2">
      <c r="A682" s="575">
        <f>A680+1</f>
        <v>338</v>
      </c>
      <c r="B682" s="583" t="s">
        <v>737</v>
      </c>
      <c r="C682" s="583" t="s">
        <v>233</v>
      </c>
      <c r="D682" s="583"/>
      <c r="E682" s="576"/>
      <c r="F682" s="576"/>
      <c r="G682" s="575"/>
      <c r="H682" s="575"/>
      <c r="I682" s="577"/>
      <c r="J682" s="580"/>
      <c r="K682" s="578">
        <f>(M682*4+N682*2)/2</f>
        <v>12</v>
      </c>
      <c r="L682" s="578"/>
      <c r="M682" s="578">
        <v>6</v>
      </c>
      <c r="N682" s="579"/>
      <c r="O682" s="579"/>
      <c r="P682" s="579"/>
      <c r="Q682" s="579"/>
      <c r="R682" s="579"/>
      <c r="S682" s="579"/>
      <c r="T682" s="579"/>
      <c r="U682" s="575"/>
      <c r="V682" s="575">
        <v>1</v>
      </c>
      <c r="W682" s="575">
        <v>1</v>
      </c>
      <c r="X682" s="575"/>
      <c r="Y682" s="575"/>
      <c r="Z682" s="575">
        <v>2</v>
      </c>
      <c r="AA682" s="583"/>
    </row>
    <row r="683" spans="1:27" s="584" customFormat="1" ht="13.9" customHeight="1" x14ac:dyDescent="0.2">
      <c r="A683" s="575"/>
      <c r="B683" s="583"/>
      <c r="C683" s="583"/>
      <c r="D683" s="583"/>
      <c r="E683" s="576">
        <v>424.01600000000002</v>
      </c>
      <c r="F683" s="576">
        <f>+CEILING(E683,5)</f>
        <v>425</v>
      </c>
      <c r="G683" s="575"/>
      <c r="H683" s="575">
        <f>F683*36</f>
        <v>15300</v>
      </c>
      <c r="I683" s="577">
        <f>F683</f>
        <v>425</v>
      </c>
      <c r="J683" s="580"/>
      <c r="K683" s="578"/>
      <c r="L683" s="580"/>
      <c r="M683" s="578"/>
      <c r="N683" s="580"/>
      <c r="O683" s="580"/>
      <c r="P683" s="580"/>
      <c r="Q683" s="580"/>
      <c r="R683" s="578">
        <v>42</v>
      </c>
      <c r="S683" s="580"/>
      <c r="T683" s="580"/>
      <c r="U683" s="580"/>
      <c r="V683" s="575"/>
      <c r="W683" s="575"/>
      <c r="X683" s="580"/>
      <c r="Y683" s="580"/>
      <c r="Z683" s="575"/>
      <c r="AA683" s="583"/>
    </row>
    <row r="684" spans="1:27" s="584" customFormat="1" ht="13.9" customHeight="1" x14ac:dyDescent="0.2">
      <c r="A684" s="575">
        <f>A682+1</f>
        <v>339</v>
      </c>
      <c r="B684" s="583" t="s">
        <v>738</v>
      </c>
      <c r="C684" s="583" t="s">
        <v>246</v>
      </c>
      <c r="D684" s="583" t="s">
        <v>1127</v>
      </c>
      <c r="E684" s="576"/>
      <c r="F684" s="576"/>
      <c r="G684" s="575"/>
      <c r="H684" s="575"/>
      <c r="I684" s="577"/>
      <c r="J684" s="578">
        <v>48</v>
      </c>
      <c r="K684" s="580"/>
      <c r="L684" s="578">
        <v>12</v>
      </c>
      <c r="M684" s="580"/>
      <c r="N684" s="580"/>
      <c r="O684" s="580"/>
      <c r="P684" s="580"/>
      <c r="Q684" s="580"/>
      <c r="R684" s="579"/>
      <c r="S684" s="575">
        <v>30</v>
      </c>
      <c r="T684" s="580"/>
      <c r="U684" s="575">
        <v>2</v>
      </c>
      <c r="V684" s="580"/>
      <c r="W684" s="575">
        <v>2</v>
      </c>
      <c r="X684" s="580"/>
      <c r="Y684" s="580"/>
      <c r="Z684" s="575">
        <v>4</v>
      </c>
      <c r="AA684" s="583"/>
    </row>
    <row r="685" spans="1:27" s="584" customFormat="1" ht="13.9" customHeight="1" x14ac:dyDescent="0.2">
      <c r="A685" s="575"/>
      <c r="B685" s="583"/>
      <c r="C685" s="583"/>
      <c r="D685" s="583"/>
      <c r="E685" s="576">
        <v>404.93900000000002</v>
      </c>
      <c r="F685" s="576">
        <f>+CEILING(E685,5)</f>
        <v>405</v>
      </c>
      <c r="G685" s="575"/>
      <c r="H685" s="575">
        <f>F685*36</f>
        <v>14580</v>
      </c>
      <c r="I685" s="577">
        <f>F685</f>
        <v>405</v>
      </c>
      <c r="J685" s="580"/>
      <c r="K685" s="578"/>
      <c r="L685" s="580"/>
      <c r="M685" s="578"/>
      <c r="N685" s="580"/>
      <c r="O685" s="580"/>
      <c r="P685" s="580"/>
      <c r="Q685" s="580"/>
      <c r="R685" s="578">
        <v>42</v>
      </c>
      <c r="S685" s="580"/>
      <c r="T685" s="580"/>
      <c r="U685" s="580"/>
      <c r="V685" s="575"/>
      <c r="W685" s="575"/>
      <c r="X685" s="580"/>
      <c r="Y685" s="580"/>
      <c r="Z685" s="575"/>
      <c r="AA685" s="583"/>
    </row>
    <row r="686" spans="1:27" s="584" customFormat="1" ht="13.9" customHeight="1" x14ac:dyDescent="0.2">
      <c r="A686" s="575">
        <f>A684+1</f>
        <v>340</v>
      </c>
      <c r="B686" s="583" t="s">
        <v>739</v>
      </c>
      <c r="C686" s="583" t="s">
        <v>231</v>
      </c>
      <c r="D686" s="583"/>
      <c r="E686" s="576"/>
      <c r="F686" s="576"/>
      <c r="G686" s="575"/>
      <c r="H686" s="575"/>
      <c r="I686" s="577"/>
      <c r="J686" s="580"/>
      <c r="K686" s="578">
        <f>(M686*4+N686*2)/2</f>
        <v>12</v>
      </c>
      <c r="L686" s="578"/>
      <c r="M686" s="578">
        <v>6</v>
      </c>
      <c r="N686" s="579"/>
      <c r="O686" s="579"/>
      <c r="P686" s="579"/>
      <c r="Q686" s="579"/>
      <c r="R686" s="579"/>
      <c r="S686" s="579"/>
      <c r="T686" s="579"/>
      <c r="U686" s="575"/>
      <c r="V686" s="575">
        <v>1</v>
      </c>
      <c r="W686" s="575">
        <v>1</v>
      </c>
      <c r="X686" s="575"/>
      <c r="Y686" s="575"/>
      <c r="Z686" s="575">
        <v>2</v>
      </c>
      <c r="AA686" s="583"/>
    </row>
    <row r="687" spans="1:27" s="584" customFormat="1" ht="13.9" customHeight="1" x14ac:dyDescent="0.2">
      <c r="A687" s="575"/>
      <c r="B687" s="583"/>
      <c r="C687" s="583"/>
      <c r="D687" s="583"/>
      <c r="E687" s="576">
        <v>343.12400000000002</v>
      </c>
      <c r="F687" s="576">
        <f>+CEILING(E687,5)</f>
        <v>345</v>
      </c>
      <c r="G687" s="575"/>
      <c r="H687" s="575">
        <f>F687*36</f>
        <v>12420</v>
      </c>
      <c r="I687" s="577">
        <f>F687</f>
        <v>345</v>
      </c>
      <c r="J687" s="580"/>
      <c r="K687" s="578"/>
      <c r="L687" s="580"/>
      <c r="M687" s="578"/>
      <c r="N687" s="580"/>
      <c r="O687" s="580"/>
      <c r="P687" s="580"/>
      <c r="Q687" s="580"/>
      <c r="R687" s="578">
        <v>36</v>
      </c>
      <c r="S687" s="580"/>
      <c r="T687" s="580"/>
      <c r="U687" s="580"/>
      <c r="V687" s="575"/>
      <c r="W687" s="575"/>
      <c r="X687" s="580"/>
      <c r="Y687" s="580"/>
      <c r="Z687" s="575"/>
      <c r="AA687" s="583"/>
    </row>
    <row r="688" spans="1:27" s="584" customFormat="1" ht="13.9" customHeight="1" x14ac:dyDescent="0.2">
      <c r="A688" s="575">
        <f>A686+1</f>
        <v>341</v>
      </c>
      <c r="B688" s="583" t="s">
        <v>740</v>
      </c>
      <c r="C688" s="583" t="s">
        <v>231</v>
      </c>
      <c r="D688" s="583"/>
      <c r="E688" s="576"/>
      <c r="F688" s="576"/>
      <c r="G688" s="575"/>
      <c r="H688" s="575"/>
      <c r="I688" s="577"/>
      <c r="J688" s="580"/>
      <c r="K688" s="578">
        <f>(M688*4+N688*2)/2</f>
        <v>12</v>
      </c>
      <c r="L688" s="578"/>
      <c r="M688" s="578">
        <v>6</v>
      </c>
      <c r="N688" s="579"/>
      <c r="O688" s="579"/>
      <c r="P688" s="579"/>
      <c r="Q688" s="579"/>
      <c r="R688" s="579"/>
      <c r="S688" s="579"/>
      <c r="T688" s="579"/>
      <c r="U688" s="575"/>
      <c r="V688" s="575">
        <v>1</v>
      </c>
      <c r="W688" s="575">
        <v>1</v>
      </c>
      <c r="X688" s="575"/>
      <c r="Y688" s="575"/>
      <c r="Z688" s="575">
        <v>2</v>
      </c>
      <c r="AA688" s="583"/>
    </row>
    <row r="689" spans="1:27" s="584" customFormat="1" ht="13.9" customHeight="1" x14ac:dyDescent="0.2">
      <c r="A689" s="575"/>
      <c r="B689" s="583"/>
      <c r="C689" s="583"/>
      <c r="D689" s="583"/>
      <c r="E689" s="576">
        <v>357.68700000000001</v>
      </c>
      <c r="F689" s="576">
        <f>+CEILING(E689,5)</f>
        <v>360</v>
      </c>
      <c r="G689" s="575"/>
      <c r="H689" s="575">
        <f>F689*36</f>
        <v>12960</v>
      </c>
      <c r="I689" s="577">
        <f>F689</f>
        <v>360</v>
      </c>
      <c r="J689" s="580"/>
      <c r="K689" s="578"/>
      <c r="L689" s="580"/>
      <c r="M689" s="578"/>
      <c r="N689" s="580"/>
      <c r="O689" s="580"/>
      <c r="P689" s="580"/>
      <c r="Q689" s="580"/>
      <c r="R689" s="578">
        <v>36</v>
      </c>
      <c r="S689" s="580"/>
      <c r="T689" s="580"/>
      <c r="U689" s="580"/>
      <c r="V689" s="575"/>
      <c r="W689" s="575"/>
      <c r="X689" s="580"/>
      <c r="Y689" s="580"/>
      <c r="Z689" s="575"/>
      <c r="AA689" s="583"/>
    </row>
    <row r="690" spans="1:27" s="584" customFormat="1" ht="13.9" customHeight="1" x14ac:dyDescent="0.2">
      <c r="A690" s="575">
        <f>A688+1</f>
        <v>342</v>
      </c>
      <c r="B690" s="583" t="s">
        <v>741</v>
      </c>
      <c r="C690" s="583" t="s">
        <v>231</v>
      </c>
      <c r="D690" s="583"/>
      <c r="E690" s="576"/>
      <c r="F690" s="576"/>
      <c r="G690" s="575"/>
      <c r="H690" s="575"/>
      <c r="I690" s="577"/>
      <c r="J690" s="580"/>
      <c r="K690" s="578">
        <f>(M690*4+N690*2)/2</f>
        <v>12</v>
      </c>
      <c r="L690" s="578"/>
      <c r="M690" s="578">
        <v>6</v>
      </c>
      <c r="N690" s="579"/>
      <c r="O690" s="579"/>
      <c r="P690" s="579"/>
      <c r="Q690" s="579"/>
      <c r="R690" s="579"/>
      <c r="S690" s="579"/>
      <c r="T690" s="579"/>
      <c r="U690" s="575"/>
      <c r="V690" s="575">
        <v>1</v>
      </c>
      <c r="W690" s="575">
        <v>1</v>
      </c>
      <c r="X690" s="575"/>
      <c r="Y690" s="575"/>
      <c r="Z690" s="575">
        <v>2</v>
      </c>
      <c r="AA690" s="583"/>
    </row>
    <row r="691" spans="1:27" s="584" customFormat="1" ht="13.9" customHeight="1" x14ac:dyDescent="0.2">
      <c r="A691" s="575"/>
      <c r="B691" s="583"/>
      <c r="C691" s="583"/>
      <c r="D691" s="583"/>
      <c r="E691" s="576">
        <v>365.15800000000002</v>
      </c>
      <c r="F691" s="576">
        <f>+CEILING(E691,5)</f>
        <v>370</v>
      </c>
      <c r="G691" s="575"/>
      <c r="H691" s="575">
        <f>F691*36</f>
        <v>13320</v>
      </c>
      <c r="I691" s="577">
        <f>F691</f>
        <v>370</v>
      </c>
      <c r="J691" s="580"/>
      <c r="K691" s="578"/>
      <c r="L691" s="580"/>
      <c r="M691" s="578"/>
      <c r="N691" s="580"/>
      <c r="O691" s="580"/>
      <c r="P691" s="580"/>
      <c r="Q691" s="580"/>
      <c r="R691" s="578">
        <v>36</v>
      </c>
      <c r="S691" s="580"/>
      <c r="T691" s="580"/>
      <c r="U691" s="580"/>
      <c r="V691" s="575"/>
      <c r="W691" s="575"/>
      <c r="X691" s="580"/>
      <c r="Y691" s="580"/>
      <c r="Z691" s="575"/>
      <c r="AA691" s="583"/>
    </row>
    <row r="692" spans="1:27" s="584" customFormat="1" ht="13.9" customHeight="1" x14ac:dyDescent="0.2">
      <c r="A692" s="575">
        <f>A690+1</f>
        <v>343</v>
      </c>
      <c r="B692" s="583" t="s">
        <v>742</v>
      </c>
      <c r="C692" s="583" t="s">
        <v>231</v>
      </c>
      <c r="D692" s="583"/>
      <c r="E692" s="576"/>
      <c r="F692" s="576"/>
      <c r="G692" s="575"/>
      <c r="H692" s="575"/>
      <c r="I692" s="577"/>
      <c r="J692" s="580"/>
      <c r="K692" s="578">
        <f>(M692*4+N692*2)/2</f>
        <v>12</v>
      </c>
      <c r="L692" s="578"/>
      <c r="M692" s="578">
        <v>6</v>
      </c>
      <c r="N692" s="579"/>
      <c r="O692" s="579"/>
      <c r="P692" s="579"/>
      <c r="Q692" s="579"/>
      <c r="R692" s="579"/>
      <c r="S692" s="579"/>
      <c r="T692" s="579"/>
      <c r="U692" s="575"/>
      <c r="V692" s="575">
        <v>1</v>
      </c>
      <c r="W692" s="575">
        <v>1</v>
      </c>
      <c r="X692" s="575"/>
      <c r="Y692" s="575"/>
      <c r="Z692" s="575">
        <v>2</v>
      </c>
      <c r="AA692" s="583"/>
    </row>
    <row r="693" spans="1:27" s="584" customFormat="1" ht="13.9" customHeight="1" x14ac:dyDescent="0.2">
      <c r="A693" s="575"/>
      <c r="B693" s="583"/>
      <c r="C693" s="583"/>
      <c r="D693" s="583"/>
      <c r="E693" s="576">
        <v>350.096</v>
      </c>
      <c r="F693" s="576">
        <f>+CEILING(E693,5)</f>
        <v>355</v>
      </c>
      <c r="G693" s="575"/>
      <c r="H693" s="575">
        <f>F693*36</f>
        <v>12780</v>
      </c>
      <c r="I693" s="577">
        <f>F693</f>
        <v>355</v>
      </c>
      <c r="J693" s="580"/>
      <c r="K693" s="578"/>
      <c r="L693" s="580"/>
      <c r="M693" s="578"/>
      <c r="N693" s="580"/>
      <c r="O693" s="580"/>
      <c r="P693" s="580"/>
      <c r="Q693" s="580"/>
      <c r="R693" s="578">
        <v>36</v>
      </c>
      <c r="S693" s="580"/>
      <c r="T693" s="580"/>
      <c r="U693" s="580"/>
      <c r="V693" s="575"/>
      <c r="W693" s="575"/>
      <c r="X693" s="580"/>
      <c r="Y693" s="580"/>
      <c r="Z693" s="575"/>
      <c r="AA693" s="583"/>
    </row>
    <row r="694" spans="1:27" s="584" customFormat="1" ht="13.9" customHeight="1" x14ac:dyDescent="0.2">
      <c r="A694" s="575">
        <f>A692+1</f>
        <v>344</v>
      </c>
      <c r="B694" s="583" t="s">
        <v>743</v>
      </c>
      <c r="C694" s="583" t="s">
        <v>231</v>
      </c>
      <c r="D694" s="583"/>
      <c r="E694" s="576"/>
      <c r="F694" s="576"/>
      <c r="G694" s="575"/>
      <c r="H694" s="575"/>
      <c r="I694" s="577"/>
      <c r="J694" s="580"/>
      <c r="K694" s="578">
        <f>(M694*4+N694*2)/2</f>
        <v>12</v>
      </c>
      <c r="L694" s="578"/>
      <c r="M694" s="578">
        <v>6</v>
      </c>
      <c r="N694" s="579"/>
      <c r="O694" s="579"/>
      <c r="P694" s="579"/>
      <c r="Q694" s="579"/>
      <c r="R694" s="579"/>
      <c r="S694" s="579"/>
      <c r="T694" s="579"/>
      <c r="U694" s="575"/>
      <c r="V694" s="575">
        <v>1</v>
      </c>
      <c r="W694" s="575">
        <v>1</v>
      </c>
      <c r="X694" s="575"/>
      <c r="Y694" s="575"/>
      <c r="Z694" s="575">
        <v>2</v>
      </c>
      <c r="AA694" s="583"/>
    </row>
    <row r="695" spans="1:27" s="584" customFormat="1" ht="13.9" customHeight="1" x14ac:dyDescent="0.2">
      <c r="A695" s="575"/>
      <c r="B695" s="583"/>
      <c r="C695" s="583"/>
      <c r="D695" s="583"/>
      <c r="E695" s="576">
        <v>357.68200000000002</v>
      </c>
      <c r="F695" s="576">
        <f>+CEILING(E695,5)</f>
        <v>360</v>
      </c>
      <c r="G695" s="575"/>
      <c r="H695" s="575">
        <f>F695*36</f>
        <v>12960</v>
      </c>
      <c r="I695" s="577">
        <f>F695</f>
        <v>360</v>
      </c>
      <c r="J695" s="582"/>
      <c r="K695" s="580"/>
      <c r="L695" s="582"/>
      <c r="M695" s="580"/>
      <c r="N695" s="580"/>
      <c r="O695" s="580"/>
      <c r="P695" s="580"/>
      <c r="Q695" s="580"/>
      <c r="R695" s="578">
        <v>36</v>
      </c>
      <c r="S695" s="579"/>
      <c r="T695" s="580"/>
      <c r="U695" s="575"/>
      <c r="V695" s="580"/>
      <c r="W695" s="575"/>
      <c r="X695" s="580"/>
      <c r="Y695" s="580"/>
      <c r="Z695" s="575"/>
      <c r="AA695" s="583"/>
    </row>
    <row r="696" spans="1:27" s="584" customFormat="1" ht="13.9" customHeight="1" x14ac:dyDescent="0.2">
      <c r="A696" s="575">
        <f>A694+1</f>
        <v>345</v>
      </c>
      <c r="B696" s="583" t="s">
        <v>744</v>
      </c>
      <c r="C696" s="583" t="s">
        <v>231</v>
      </c>
      <c r="D696" s="583"/>
      <c r="E696" s="576"/>
      <c r="F696" s="576"/>
      <c r="G696" s="575"/>
      <c r="H696" s="575"/>
      <c r="I696" s="577"/>
      <c r="J696" s="580"/>
      <c r="K696" s="578">
        <f>(M696*4+N696*2)/2</f>
        <v>12</v>
      </c>
      <c r="L696" s="578"/>
      <c r="M696" s="578">
        <v>6</v>
      </c>
      <c r="N696" s="579"/>
      <c r="O696" s="579"/>
      <c r="P696" s="579"/>
      <c r="Q696" s="579"/>
      <c r="R696" s="579"/>
      <c r="S696" s="579"/>
      <c r="T696" s="579"/>
      <c r="U696" s="575"/>
      <c r="V696" s="575">
        <v>1</v>
      </c>
      <c r="W696" s="575">
        <v>1</v>
      </c>
      <c r="X696" s="575"/>
      <c r="Y696" s="575"/>
      <c r="Z696" s="575">
        <v>2</v>
      </c>
      <c r="AA696" s="583"/>
    </row>
    <row r="697" spans="1:27" s="584" customFormat="1" ht="13.9" customHeight="1" x14ac:dyDescent="0.2">
      <c r="A697" s="575"/>
      <c r="B697" s="583"/>
      <c r="C697" s="583"/>
      <c r="D697" s="583"/>
      <c r="E697" s="576">
        <v>337.791</v>
      </c>
      <c r="F697" s="576">
        <f>+CEILING(E697,5)</f>
        <v>340</v>
      </c>
      <c r="G697" s="575"/>
      <c r="H697" s="575">
        <f>F697*36</f>
        <v>12240</v>
      </c>
      <c r="I697" s="577">
        <f>F697</f>
        <v>340</v>
      </c>
      <c r="J697" s="580"/>
      <c r="K697" s="578"/>
      <c r="L697" s="580"/>
      <c r="M697" s="578"/>
      <c r="N697" s="580"/>
      <c r="O697" s="580"/>
      <c r="P697" s="580"/>
      <c r="Q697" s="580"/>
      <c r="R697" s="578">
        <v>36</v>
      </c>
      <c r="S697" s="580"/>
      <c r="T697" s="580"/>
      <c r="U697" s="580"/>
      <c r="V697" s="575"/>
      <c r="W697" s="575"/>
      <c r="X697" s="580"/>
      <c r="Y697" s="580"/>
      <c r="Z697" s="575"/>
      <c r="AA697" s="583"/>
    </row>
    <row r="698" spans="1:27" s="584" customFormat="1" ht="13.9" customHeight="1" x14ac:dyDescent="0.2">
      <c r="A698" s="575">
        <f>A696+1</f>
        <v>346</v>
      </c>
      <c r="B698" s="583" t="s">
        <v>745</v>
      </c>
      <c r="C698" s="583" t="s">
        <v>231</v>
      </c>
      <c r="D698" s="583"/>
      <c r="E698" s="576"/>
      <c r="F698" s="576"/>
      <c r="G698" s="575"/>
      <c r="H698" s="575"/>
      <c r="I698" s="577"/>
      <c r="J698" s="580"/>
      <c r="K698" s="578">
        <f>(M698*4+N698*2)/2</f>
        <v>12</v>
      </c>
      <c r="L698" s="578"/>
      <c r="M698" s="578">
        <v>6</v>
      </c>
      <c r="N698" s="579"/>
      <c r="O698" s="579"/>
      <c r="P698" s="579"/>
      <c r="Q698" s="579"/>
      <c r="R698" s="579"/>
      <c r="S698" s="579"/>
      <c r="T698" s="579"/>
      <c r="U698" s="575"/>
      <c r="V698" s="575">
        <v>1</v>
      </c>
      <c r="W698" s="575">
        <v>1</v>
      </c>
      <c r="X698" s="575"/>
      <c r="Y698" s="575"/>
      <c r="Z698" s="575">
        <v>2</v>
      </c>
      <c r="AA698" s="583"/>
    </row>
    <row r="699" spans="1:27" s="584" customFormat="1" ht="13.9" customHeight="1" x14ac:dyDescent="0.2">
      <c r="A699" s="575"/>
      <c r="B699" s="583"/>
      <c r="C699" s="583"/>
      <c r="D699" s="583"/>
      <c r="E699" s="576">
        <v>341.21800000000002</v>
      </c>
      <c r="F699" s="576">
        <f>+CEILING(E699,5)</f>
        <v>345</v>
      </c>
      <c r="G699" s="575"/>
      <c r="H699" s="575">
        <f>F699*36</f>
        <v>12420</v>
      </c>
      <c r="I699" s="577">
        <f>F699</f>
        <v>345</v>
      </c>
      <c r="J699" s="580"/>
      <c r="K699" s="578"/>
      <c r="L699" s="580"/>
      <c r="M699" s="578"/>
      <c r="N699" s="580"/>
      <c r="O699" s="580"/>
      <c r="P699" s="580"/>
      <c r="Q699" s="580"/>
      <c r="R699" s="578">
        <v>42</v>
      </c>
      <c r="S699" s="580"/>
      <c r="T699" s="580"/>
      <c r="U699" s="580"/>
      <c r="V699" s="575"/>
      <c r="W699" s="575"/>
      <c r="X699" s="580"/>
      <c r="Y699" s="580"/>
      <c r="Z699" s="575"/>
      <c r="AA699" s="583"/>
    </row>
    <row r="700" spans="1:27" s="584" customFormat="1" ht="13.9" customHeight="1" x14ac:dyDescent="0.2">
      <c r="A700" s="575">
        <f>A698+1</f>
        <v>347</v>
      </c>
      <c r="B700" s="583" t="s">
        <v>746</v>
      </c>
      <c r="C700" s="583" t="s">
        <v>232</v>
      </c>
      <c r="D700" s="583"/>
      <c r="E700" s="576"/>
      <c r="F700" s="576"/>
      <c r="G700" s="575"/>
      <c r="H700" s="575"/>
      <c r="I700" s="577"/>
      <c r="J700" s="580"/>
      <c r="K700" s="578">
        <f>(M700*4+N700*2)/2</f>
        <v>12</v>
      </c>
      <c r="L700" s="578"/>
      <c r="M700" s="578">
        <v>6</v>
      </c>
      <c r="N700" s="579"/>
      <c r="O700" s="579"/>
      <c r="P700" s="579"/>
      <c r="Q700" s="579"/>
      <c r="R700" s="579"/>
      <c r="S700" s="579"/>
      <c r="T700" s="579"/>
      <c r="U700" s="575"/>
      <c r="V700" s="575">
        <v>1</v>
      </c>
      <c r="W700" s="575">
        <v>1</v>
      </c>
      <c r="X700" s="575"/>
      <c r="Y700" s="575"/>
      <c r="Z700" s="575">
        <v>2</v>
      </c>
      <c r="AA700" s="583"/>
    </row>
    <row r="701" spans="1:27" s="584" customFormat="1" ht="13.9" customHeight="1" x14ac:dyDescent="0.2">
      <c r="A701" s="575"/>
      <c r="B701" s="583"/>
      <c r="C701" s="583"/>
      <c r="D701" s="583"/>
      <c r="E701" s="576">
        <v>460.48899999999998</v>
      </c>
      <c r="F701" s="576">
        <f>+CEILING(E701,5)</f>
        <v>465</v>
      </c>
      <c r="G701" s="575"/>
      <c r="H701" s="575">
        <f>F701*36</f>
        <v>16740</v>
      </c>
      <c r="I701" s="577">
        <f>F701</f>
        <v>465</v>
      </c>
      <c r="J701" s="580"/>
      <c r="K701" s="578"/>
      <c r="L701" s="580"/>
      <c r="M701" s="578"/>
      <c r="N701" s="580"/>
      <c r="O701" s="580"/>
      <c r="P701" s="580"/>
      <c r="Q701" s="580"/>
      <c r="R701" s="578">
        <v>48</v>
      </c>
      <c r="S701" s="580"/>
      <c r="T701" s="580"/>
      <c r="U701" s="580"/>
      <c r="V701" s="575"/>
      <c r="W701" s="575"/>
      <c r="X701" s="580"/>
      <c r="Y701" s="580"/>
      <c r="Z701" s="575"/>
      <c r="AA701" s="583"/>
    </row>
    <row r="702" spans="1:27" s="584" customFormat="1" ht="13.9" customHeight="1" x14ac:dyDescent="0.2">
      <c r="A702" s="575">
        <f>A700+1</f>
        <v>348</v>
      </c>
      <c r="B702" s="583" t="s">
        <v>93</v>
      </c>
      <c r="C702" s="583" t="s">
        <v>653</v>
      </c>
      <c r="D702" s="583" t="s">
        <v>1128</v>
      </c>
      <c r="E702" s="576"/>
      <c r="F702" s="576"/>
      <c r="G702" s="575"/>
      <c r="H702" s="575"/>
      <c r="I702" s="577"/>
      <c r="J702" s="578">
        <v>48</v>
      </c>
      <c r="K702" s="578">
        <v>6</v>
      </c>
      <c r="L702" s="578">
        <v>12</v>
      </c>
      <c r="M702" s="580"/>
      <c r="N702" s="575">
        <v>6</v>
      </c>
      <c r="O702" s="580"/>
      <c r="P702" s="580"/>
      <c r="Q702" s="580"/>
      <c r="R702" s="579"/>
      <c r="S702" s="575">
        <v>30</v>
      </c>
      <c r="T702" s="580"/>
      <c r="U702" s="575">
        <v>2</v>
      </c>
      <c r="V702" s="580"/>
      <c r="W702" s="575">
        <v>2</v>
      </c>
      <c r="X702" s="580"/>
      <c r="Y702" s="580"/>
      <c r="Z702" s="575">
        <v>4</v>
      </c>
      <c r="AA702" s="583"/>
    </row>
    <row r="703" spans="1:27" s="584" customFormat="1" ht="13.9" customHeight="1" x14ac:dyDescent="0.2">
      <c r="A703" s="575"/>
      <c r="B703" s="583"/>
      <c r="C703" s="583"/>
      <c r="D703" s="583"/>
      <c r="E703" s="576">
        <v>219.76300000000001</v>
      </c>
      <c r="F703" s="576">
        <f>+CEILING(E703,5)</f>
        <v>220</v>
      </c>
      <c r="G703" s="575"/>
      <c r="H703" s="575">
        <f>F703*36</f>
        <v>7920</v>
      </c>
      <c r="I703" s="577">
        <f>F703</f>
        <v>220</v>
      </c>
      <c r="J703" s="580"/>
      <c r="K703" s="578"/>
      <c r="L703" s="580"/>
      <c r="M703" s="578"/>
      <c r="N703" s="580"/>
      <c r="O703" s="580"/>
      <c r="P703" s="580"/>
      <c r="Q703" s="580"/>
      <c r="R703" s="578">
        <v>24</v>
      </c>
      <c r="S703" s="580"/>
      <c r="T703" s="580"/>
      <c r="U703" s="580"/>
      <c r="V703" s="575"/>
      <c r="W703" s="575"/>
      <c r="X703" s="580"/>
      <c r="Y703" s="580"/>
      <c r="Z703" s="575"/>
      <c r="AA703" s="583"/>
    </row>
    <row r="704" spans="1:27" s="584" customFormat="1" x14ac:dyDescent="0.2">
      <c r="A704" s="575">
        <f>A702+1</f>
        <v>349</v>
      </c>
      <c r="B704" s="583" t="s">
        <v>94</v>
      </c>
      <c r="C704" s="583" t="s">
        <v>653</v>
      </c>
      <c r="D704" s="583" t="s">
        <v>1129</v>
      </c>
      <c r="E704" s="576"/>
      <c r="F704" s="576"/>
      <c r="G704" s="580"/>
      <c r="H704" s="575"/>
      <c r="I704" s="577"/>
      <c r="J704" s="578">
        <v>48</v>
      </c>
      <c r="K704" s="578">
        <v>6</v>
      </c>
      <c r="L704" s="578">
        <v>12</v>
      </c>
      <c r="M704" s="580"/>
      <c r="N704" s="575">
        <v>6</v>
      </c>
      <c r="O704" s="580"/>
      <c r="P704" s="580"/>
      <c r="Q704" s="580"/>
      <c r="R704" s="579"/>
      <c r="S704" s="575">
        <v>30</v>
      </c>
      <c r="T704" s="580"/>
      <c r="U704" s="575">
        <v>2</v>
      </c>
      <c r="V704" s="580"/>
      <c r="W704" s="575">
        <v>2</v>
      </c>
      <c r="X704" s="580"/>
      <c r="Y704" s="580"/>
      <c r="Z704" s="575">
        <v>4</v>
      </c>
      <c r="AA704" s="583"/>
    </row>
    <row r="705" spans="1:27" s="584" customFormat="1" ht="13.9" customHeight="1" x14ac:dyDescent="0.2">
      <c r="A705" s="575"/>
      <c r="B705" s="583"/>
      <c r="C705" s="583"/>
      <c r="D705" s="583"/>
      <c r="E705" s="576">
        <v>461.11500000000001</v>
      </c>
      <c r="F705" s="576">
        <f>+CEILING(E705,5)</f>
        <v>465</v>
      </c>
      <c r="G705" s="575"/>
      <c r="H705" s="575">
        <f>F705*36</f>
        <v>16740</v>
      </c>
      <c r="I705" s="577">
        <f>F705</f>
        <v>465</v>
      </c>
      <c r="J705" s="580"/>
      <c r="K705" s="578"/>
      <c r="L705" s="580"/>
      <c r="M705" s="578"/>
      <c r="N705" s="580"/>
      <c r="O705" s="580"/>
      <c r="P705" s="580"/>
      <c r="Q705" s="580"/>
      <c r="R705" s="578">
        <v>48</v>
      </c>
      <c r="S705" s="580"/>
      <c r="T705" s="580"/>
      <c r="U705" s="580"/>
      <c r="V705" s="575"/>
      <c r="W705" s="575"/>
      <c r="X705" s="580"/>
      <c r="Y705" s="580"/>
      <c r="Z705" s="575"/>
      <c r="AA705" s="583"/>
    </row>
    <row r="706" spans="1:27" s="584" customFormat="1" ht="13.9" customHeight="1" x14ac:dyDescent="0.2">
      <c r="A706" s="575">
        <f>A704+1</f>
        <v>350</v>
      </c>
      <c r="B706" s="583" t="s">
        <v>747</v>
      </c>
      <c r="C706" s="583" t="s">
        <v>231</v>
      </c>
      <c r="D706" s="583"/>
      <c r="E706" s="576"/>
      <c r="F706" s="576"/>
      <c r="G706" s="575"/>
      <c r="H706" s="575"/>
      <c r="I706" s="577"/>
      <c r="J706" s="580"/>
      <c r="K706" s="578">
        <f>(M706*4+N706*2)/2</f>
        <v>12</v>
      </c>
      <c r="L706" s="578"/>
      <c r="M706" s="578">
        <v>6</v>
      </c>
      <c r="N706" s="579"/>
      <c r="O706" s="579"/>
      <c r="P706" s="579"/>
      <c r="Q706" s="579"/>
      <c r="R706" s="579"/>
      <c r="S706" s="579"/>
      <c r="T706" s="579"/>
      <c r="U706" s="575"/>
      <c r="V706" s="575">
        <v>1</v>
      </c>
      <c r="W706" s="575">
        <v>1</v>
      </c>
      <c r="X706" s="575"/>
      <c r="Y706" s="575"/>
      <c r="Z706" s="575">
        <v>2</v>
      </c>
      <c r="AA706" s="583"/>
    </row>
    <row r="707" spans="1:27" s="584" customFormat="1" ht="13.9" customHeight="1" x14ac:dyDescent="0.2">
      <c r="A707" s="575"/>
      <c r="B707" s="583"/>
      <c r="C707" s="583"/>
      <c r="D707" s="583"/>
      <c r="E707" s="576">
        <v>355.49099999999999</v>
      </c>
      <c r="F707" s="576">
        <f>+CEILING(E707,5)</f>
        <v>360</v>
      </c>
      <c r="G707" s="575"/>
      <c r="H707" s="575">
        <f>F707*36</f>
        <v>12960</v>
      </c>
      <c r="I707" s="577">
        <f>F707</f>
        <v>360</v>
      </c>
      <c r="J707" s="582"/>
      <c r="K707" s="580"/>
      <c r="L707" s="582"/>
      <c r="M707" s="580"/>
      <c r="N707" s="580"/>
      <c r="O707" s="580"/>
      <c r="P707" s="580"/>
      <c r="Q707" s="580"/>
      <c r="R707" s="578">
        <v>42</v>
      </c>
      <c r="S707" s="579"/>
      <c r="T707" s="580"/>
      <c r="U707" s="575"/>
      <c r="V707" s="580"/>
      <c r="W707" s="575"/>
      <c r="X707" s="580"/>
      <c r="Y707" s="580"/>
      <c r="Z707" s="575"/>
      <c r="AA707" s="583"/>
    </row>
    <row r="708" spans="1:27" s="584" customFormat="1" ht="13.9" customHeight="1" x14ac:dyDescent="0.2">
      <c r="A708" s="575">
        <f>A706+1</f>
        <v>351</v>
      </c>
      <c r="B708" s="583" t="s">
        <v>748</v>
      </c>
      <c r="C708" s="583" t="s">
        <v>20</v>
      </c>
      <c r="D708" s="583"/>
      <c r="E708" s="576"/>
      <c r="F708" s="576"/>
      <c r="G708" s="575"/>
      <c r="H708" s="575"/>
      <c r="I708" s="577"/>
      <c r="J708" s="580"/>
      <c r="K708" s="578">
        <f>(M708*4+N708*2)/2</f>
        <v>12</v>
      </c>
      <c r="L708" s="578"/>
      <c r="M708" s="578">
        <v>6</v>
      </c>
      <c r="N708" s="579"/>
      <c r="O708" s="579"/>
      <c r="P708" s="579"/>
      <c r="Q708" s="579"/>
      <c r="R708" s="579"/>
      <c r="S708" s="579"/>
      <c r="T708" s="579"/>
      <c r="U708" s="575"/>
      <c r="V708" s="575">
        <v>1</v>
      </c>
      <c r="W708" s="575">
        <v>1</v>
      </c>
      <c r="X708" s="575"/>
      <c r="Y708" s="575"/>
      <c r="Z708" s="575">
        <v>2</v>
      </c>
      <c r="AA708" s="583"/>
    </row>
    <row r="709" spans="1:27" s="584" customFormat="1" ht="13.9" customHeight="1" x14ac:dyDescent="0.2">
      <c r="A709" s="575"/>
      <c r="B709" s="583"/>
      <c r="C709" s="583"/>
      <c r="D709" s="583"/>
      <c r="E709" s="576">
        <v>405.387</v>
      </c>
      <c r="F709" s="576">
        <f>+CEILING(E709,5)</f>
        <v>410</v>
      </c>
      <c r="G709" s="575"/>
      <c r="H709" s="575">
        <f>F709*36</f>
        <v>14760</v>
      </c>
      <c r="I709" s="577">
        <f>F709</f>
        <v>410</v>
      </c>
      <c r="J709" s="582"/>
      <c r="K709" s="580"/>
      <c r="L709" s="582"/>
      <c r="M709" s="580"/>
      <c r="N709" s="580"/>
      <c r="O709" s="580"/>
      <c r="P709" s="580"/>
      <c r="Q709" s="580"/>
      <c r="R709" s="578">
        <v>42</v>
      </c>
      <c r="S709" s="579"/>
      <c r="T709" s="580"/>
      <c r="U709" s="575"/>
      <c r="V709" s="580"/>
      <c r="W709" s="575"/>
      <c r="X709" s="580"/>
      <c r="Y709" s="580"/>
      <c r="Z709" s="575"/>
      <c r="AA709" s="583"/>
    </row>
    <row r="710" spans="1:27" s="584" customFormat="1" ht="13.9" customHeight="1" x14ac:dyDescent="0.2">
      <c r="A710" s="575">
        <f>A708+1</f>
        <v>352</v>
      </c>
      <c r="B710" s="583" t="s">
        <v>749</v>
      </c>
      <c r="C710" s="583" t="s">
        <v>231</v>
      </c>
      <c r="D710" s="583"/>
      <c r="E710" s="576"/>
      <c r="F710" s="576"/>
      <c r="G710" s="575"/>
      <c r="H710" s="575"/>
      <c r="I710" s="577"/>
      <c r="J710" s="580"/>
      <c r="K710" s="578">
        <f>(M710*4+N710*2)/2</f>
        <v>12</v>
      </c>
      <c r="L710" s="578"/>
      <c r="M710" s="578">
        <v>6</v>
      </c>
      <c r="N710" s="579"/>
      <c r="O710" s="579"/>
      <c r="P710" s="579"/>
      <c r="Q710" s="579"/>
      <c r="R710" s="579"/>
      <c r="S710" s="579"/>
      <c r="T710" s="579"/>
      <c r="U710" s="575"/>
      <c r="V710" s="575">
        <v>1</v>
      </c>
      <c r="W710" s="575">
        <v>1</v>
      </c>
      <c r="X710" s="575"/>
      <c r="Y710" s="575"/>
      <c r="Z710" s="575">
        <v>2</v>
      </c>
      <c r="AA710" s="583"/>
    </row>
    <row r="711" spans="1:27" s="584" customFormat="1" ht="13.9" customHeight="1" x14ac:dyDescent="0.2">
      <c r="A711" s="575"/>
      <c r="B711" s="583"/>
      <c r="C711" s="583"/>
      <c r="D711" s="583"/>
      <c r="E711" s="576">
        <v>418.15100000000001</v>
      </c>
      <c r="F711" s="576">
        <f>+CEILING(E711,5)</f>
        <v>420</v>
      </c>
      <c r="G711" s="575"/>
      <c r="H711" s="575">
        <f>F711*36</f>
        <v>15120</v>
      </c>
      <c r="I711" s="577">
        <f>F711</f>
        <v>420</v>
      </c>
      <c r="J711" s="580"/>
      <c r="K711" s="578"/>
      <c r="L711" s="580"/>
      <c r="M711" s="578"/>
      <c r="N711" s="580"/>
      <c r="O711" s="580"/>
      <c r="P711" s="580"/>
      <c r="Q711" s="580"/>
      <c r="R711" s="578">
        <v>42</v>
      </c>
      <c r="S711" s="580"/>
      <c r="T711" s="580"/>
      <c r="U711" s="580"/>
      <c r="V711" s="575"/>
      <c r="W711" s="575"/>
      <c r="X711" s="580"/>
      <c r="Y711" s="580"/>
      <c r="Z711" s="575"/>
      <c r="AA711" s="583"/>
    </row>
    <row r="712" spans="1:27" s="584" customFormat="1" ht="13.9" customHeight="1" x14ac:dyDescent="0.2">
      <c r="A712" s="575">
        <f>A710+1</f>
        <v>353</v>
      </c>
      <c r="B712" s="583" t="s">
        <v>750</v>
      </c>
      <c r="C712" s="583" t="s">
        <v>231</v>
      </c>
      <c r="D712" s="583"/>
      <c r="E712" s="576"/>
      <c r="F712" s="576"/>
      <c r="G712" s="575"/>
      <c r="H712" s="575"/>
      <c r="I712" s="577"/>
      <c r="J712" s="580"/>
      <c r="K712" s="578">
        <f>(M712*4+N712*2)/2</f>
        <v>12</v>
      </c>
      <c r="L712" s="578"/>
      <c r="M712" s="578">
        <v>6</v>
      </c>
      <c r="N712" s="579"/>
      <c r="O712" s="579"/>
      <c r="P712" s="579"/>
      <c r="Q712" s="579"/>
      <c r="R712" s="579"/>
      <c r="S712" s="579"/>
      <c r="T712" s="579"/>
      <c r="U712" s="575"/>
      <c r="V712" s="575">
        <v>1</v>
      </c>
      <c r="W712" s="575">
        <v>1</v>
      </c>
      <c r="X712" s="575"/>
      <c r="Y712" s="575"/>
      <c r="Z712" s="575">
        <v>2</v>
      </c>
      <c r="AA712" s="583"/>
    </row>
    <row r="713" spans="1:27" s="584" customFormat="1" ht="13.9" customHeight="1" x14ac:dyDescent="0.2">
      <c r="A713" s="575"/>
      <c r="B713" s="583"/>
      <c r="C713" s="583"/>
      <c r="D713" s="583"/>
      <c r="E713" s="576">
        <v>416.74700000000001</v>
      </c>
      <c r="F713" s="576">
        <f>+CEILING(E713,5)</f>
        <v>420</v>
      </c>
      <c r="G713" s="575"/>
      <c r="H713" s="575">
        <f>F713*36</f>
        <v>15120</v>
      </c>
      <c r="I713" s="577">
        <f>F713</f>
        <v>420</v>
      </c>
      <c r="J713" s="580"/>
      <c r="K713" s="578"/>
      <c r="L713" s="580"/>
      <c r="M713" s="578"/>
      <c r="N713" s="580"/>
      <c r="O713" s="580"/>
      <c r="P713" s="580"/>
      <c r="Q713" s="580"/>
      <c r="R713" s="578">
        <v>42</v>
      </c>
      <c r="S713" s="580"/>
      <c r="T713" s="580"/>
      <c r="U713" s="580"/>
      <c r="V713" s="575"/>
      <c r="W713" s="575"/>
      <c r="X713" s="580"/>
      <c r="Y713" s="580"/>
      <c r="Z713" s="575"/>
      <c r="AA713" s="583"/>
    </row>
    <row r="714" spans="1:27" s="584" customFormat="1" ht="13.9" customHeight="1" x14ac:dyDescent="0.2">
      <c r="A714" s="575">
        <f>A712+1</f>
        <v>354</v>
      </c>
      <c r="B714" s="583" t="s">
        <v>751</v>
      </c>
      <c r="C714" s="583" t="s">
        <v>20</v>
      </c>
      <c r="D714" s="583"/>
      <c r="E714" s="576"/>
      <c r="F714" s="576"/>
      <c r="G714" s="575"/>
      <c r="H714" s="575"/>
      <c r="I714" s="577"/>
      <c r="J714" s="580"/>
      <c r="K714" s="578">
        <f>(M714*4+N714*2)/2</f>
        <v>12</v>
      </c>
      <c r="L714" s="578"/>
      <c r="M714" s="578">
        <v>6</v>
      </c>
      <c r="N714" s="579"/>
      <c r="O714" s="579"/>
      <c r="P714" s="579"/>
      <c r="Q714" s="579"/>
      <c r="R714" s="579"/>
      <c r="S714" s="579"/>
      <c r="T714" s="579"/>
      <c r="U714" s="575"/>
      <c r="V714" s="575">
        <v>1</v>
      </c>
      <c r="W714" s="575">
        <v>1</v>
      </c>
      <c r="X714" s="575"/>
      <c r="Y714" s="575"/>
      <c r="Z714" s="575">
        <v>2</v>
      </c>
      <c r="AA714" s="583"/>
    </row>
    <row r="715" spans="1:27" s="584" customFormat="1" ht="13.9" customHeight="1" x14ac:dyDescent="0.2">
      <c r="A715" s="575"/>
      <c r="B715" s="583"/>
      <c r="C715" s="583"/>
      <c r="D715" s="583"/>
      <c r="E715" s="576">
        <v>394.97199999999998</v>
      </c>
      <c r="F715" s="576">
        <f>+CEILING(E715,5)</f>
        <v>395</v>
      </c>
      <c r="G715" s="575"/>
      <c r="H715" s="575">
        <f>F715*36</f>
        <v>14220</v>
      </c>
      <c r="I715" s="577">
        <f>F715</f>
        <v>395</v>
      </c>
      <c r="J715" s="580"/>
      <c r="K715" s="578"/>
      <c r="L715" s="580"/>
      <c r="M715" s="578"/>
      <c r="N715" s="580"/>
      <c r="O715" s="580"/>
      <c r="P715" s="580"/>
      <c r="Q715" s="580"/>
      <c r="R715" s="578">
        <v>42</v>
      </c>
      <c r="S715" s="580"/>
      <c r="T715" s="580"/>
      <c r="U715" s="580"/>
      <c r="V715" s="575"/>
      <c r="W715" s="575"/>
      <c r="X715" s="580"/>
      <c r="Y715" s="580"/>
      <c r="Z715" s="575"/>
      <c r="AA715" s="583"/>
    </row>
    <row r="716" spans="1:27" s="584" customFormat="1" ht="13.9" customHeight="1" x14ac:dyDescent="0.2">
      <c r="A716" s="575">
        <f>A714+1</f>
        <v>355</v>
      </c>
      <c r="B716" s="583" t="s">
        <v>752</v>
      </c>
      <c r="C716" s="583" t="s">
        <v>20</v>
      </c>
      <c r="D716" s="583"/>
      <c r="E716" s="576"/>
      <c r="F716" s="576"/>
      <c r="G716" s="575"/>
      <c r="H716" s="575"/>
      <c r="I716" s="577"/>
      <c r="J716" s="580"/>
      <c r="K716" s="578">
        <f>(M716*4+N716*2)/2</f>
        <v>12</v>
      </c>
      <c r="L716" s="578"/>
      <c r="M716" s="578">
        <v>6</v>
      </c>
      <c r="N716" s="579"/>
      <c r="O716" s="579"/>
      <c r="P716" s="579"/>
      <c r="Q716" s="579"/>
      <c r="R716" s="579"/>
      <c r="S716" s="579"/>
      <c r="T716" s="579"/>
      <c r="U716" s="575"/>
      <c r="V716" s="575">
        <v>1</v>
      </c>
      <c r="W716" s="575">
        <v>1</v>
      </c>
      <c r="X716" s="575"/>
      <c r="Y716" s="575"/>
      <c r="Z716" s="575">
        <v>2</v>
      </c>
      <c r="AA716" s="583"/>
    </row>
    <row r="717" spans="1:27" s="584" customFormat="1" ht="13.9" customHeight="1" x14ac:dyDescent="0.2">
      <c r="A717" s="575"/>
      <c r="B717" s="583"/>
      <c r="C717" s="583"/>
      <c r="D717" s="583"/>
      <c r="E717" s="576">
        <v>401.78199999999998</v>
      </c>
      <c r="F717" s="576">
        <f>+CEILING(E717,5)</f>
        <v>405</v>
      </c>
      <c r="G717" s="575"/>
      <c r="H717" s="575">
        <f>F717*36</f>
        <v>14580</v>
      </c>
      <c r="I717" s="577">
        <f>F717</f>
        <v>405</v>
      </c>
      <c r="J717" s="580"/>
      <c r="K717" s="578"/>
      <c r="L717" s="580"/>
      <c r="M717" s="578"/>
      <c r="N717" s="580"/>
      <c r="O717" s="580"/>
      <c r="P717" s="580"/>
      <c r="Q717" s="580"/>
      <c r="R717" s="578">
        <v>42</v>
      </c>
      <c r="S717" s="580"/>
      <c r="T717" s="580"/>
      <c r="U717" s="580"/>
      <c r="V717" s="575"/>
      <c r="W717" s="575"/>
      <c r="X717" s="580"/>
      <c r="Y717" s="580"/>
      <c r="Z717" s="575"/>
      <c r="AA717" s="583"/>
    </row>
    <row r="718" spans="1:27" s="584" customFormat="1" ht="13.9" customHeight="1" x14ac:dyDescent="0.2">
      <c r="A718" s="575">
        <f>A716+1</f>
        <v>356</v>
      </c>
      <c r="B718" s="583" t="s">
        <v>753</v>
      </c>
      <c r="C718" s="583" t="s">
        <v>20</v>
      </c>
      <c r="D718" s="583"/>
      <c r="E718" s="576"/>
      <c r="F718" s="576"/>
      <c r="G718" s="575"/>
      <c r="H718" s="575"/>
      <c r="I718" s="577"/>
      <c r="J718" s="580"/>
      <c r="K718" s="578">
        <f>(M718*4+N718*2)/2</f>
        <v>12</v>
      </c>
      <c r="L718" s="578"/>
      <c r="M718" s="578">
        <v>6</v>
      </c>
      <c r="N718" s="579"/>
      <c r="O718" s="579"/>
      <c r="P718" s="579"/>
      <c r="Q718" s="579"/>
      <c r="R718" s="579"/>
      <c r="S718" s="579"/>
      <c r="T718" s="579"/>
      <c r="U718" s="575"/>
      <c r="V718" s="575">
        <v>1</v>
      </c>
      <c r="W718" s="575">
        <v>1</v>
      </c>
      <c r="X718" s="575"/>
      <c r="Y718" s="575"/>
      <c r="Z718" s="575">
        <v>2</v>
      </c>
      <c r="AA718" s="583"/>
    </row>
    <row r="719" spans="1:27" s="584" customFormat="1" ht="13.9" customHeight="1" x14ac:dyDescent="0.2">
      <c r="A719" s="575"/>
      <c r="B719" s="583"/>
      <c r="C719" s="583"/>
      <c r="D719" s="583"/>
      <c r="E719" s="576">
        <v>433.93200000000002</v>
      </c>
      <c r="F719" s="576">
        <f>+CEILING(E719,5)</f>
        <v>435</v>
      </c>
      <c r="G719" s="575"/>
      <c r="H719" s="575">
        <f>F719*36</f>
        <v>15660</v>
      </c>
      <c r="I719" s="577">
        <f>F719</f>
        <v>435</v>
      </c>
      <c r="J719" s="582"/>
      <c r="K719" s="580"/>
      <c r="L719" s="582"/>
      <c r="M719" s="580"/>
      <c r="N719" s="580"/>
      <c r="O719" s="580"/>
      <c r="P719" s="580"/>
      <c r="Q719" s="580"/>
      <c r="R719" s="578">
        <v>42</v>
      </c>
      <c r="S719" s="579"/>
      <c r="T719" s="580"/>
      <c r="U719" s="575"/>
      <c r="V719" s="580"/>
      <c r="W719" s="575"/>
      <c r="X719" s="580"/>
      <c r="Y719" s="580"/>
      <c r="Z719" s="575"/>
      <c r="AA719" s="583"/>
    </row>
    <row r="720" spans="1:27" s="584" customFormat="1" ht="13.9" customHeight="1" x14ac:dyDescent="0.2">
      <c r="A720" s="575">
        <f>A718+1</f>
        <v>357</v>
      </c>
      <c r="B720" s="583" t="s">
        <v>95</v>
      </c>
      <c r="C720" s="583" t="s">
        <v>868</v>
      </c>
      <c r="D720" s="583" t="s">
        <v>1130</v>
      </c>
      <c r="E720" s="576"/>
      <c r="F720" s="576"/>
      <c r="G720" s="575"/>
      <c r="H720" s="575"/>
      <c r="I720" s="577"/>
      <c r="J720" s="578">
        <v>48</v>
      </c>
      <c r="K720" s="580"/>
      <c r="L720" s="578">
        <v>12</v>
      </c>
      <c r="M720" s="580"/>
      <c r="N720" s="580"/>
      <c r="O720" s="580"/>
      <c r="P720" s="580"/>
      <c r="Q720" s="580"/>
      <c r="R720" s="579"/>
      <c r="S720" s="575">
        <v>30</v>
      </c>
      <c r="T720" s="580"/>
      <c r="U720" s="575">
        <v>2</v>
      </c>
      <c r="V720" s="580"/>
      <c r="W720" s="575">
        <v>2</v>
      </c>
      <c r="X720" s="580"/>
      <c r="Y720" s="580"/>
      <c r="Z720" s="575">
        <v>4</v>
      </c>
      <c r="AA720" s="583"/>
    </row>
    <row r="721" spans="1:27" s="584" customFormat="1" ht="13.9" customHeight="1" x14ac:dyDescent="0.2">
      <c r="A721" s="575"/>
      <c r="B721" s="583"/>
      <c r="C721" s="583"/>
      <c r="D721" s="583"/>
      <c r="E721" s="576">
        <v>238.89699999999999</v>
      </c>
      <c r="F721" s="576">
        <f>+CEILING(E721,5)</f>
        <v>240</v>
      </c>
      <c r="G721" s="575"/>
      <c r="H721" s="575">
        <f>F721*36</f>
        <v>8640</v>
      </c>
      <c r="I721" s="577">
        <f>F721</f>
        <v>240</v>
      </c>
      <c r="J721" s="580"/>
      <c r="K721" s="578"/>
      <c r="L721" s="580"/>
      <c r="M721" s="578"/>
      <c r="N721" s="580"/>
      <c r="O721" s="580"/>
      <c r="P721" s="580"/>
      <c r="Q721" s="580"/>
      <c r="R721" s="578">
        <v>24</v>
      </c>
      <c r="S721" s="580"/>
      <c r="T721" s="580"/>
      <c r="U721" s="580"/>
      <c r="V721" s="575"/>
      <c r="W721" s="575"/>
      <c r="X721" s="580"/>
      <c r="Y721" s="580"/>
      <c r="Z721" s="575"/>
      <c r="AA721" s="583"/>
    </row>
    <row r="722" spans="1:27" s="584" customFormat="1" ht="13.9" customHeight="1" x14ac:dyDescent="0.2">
      <c r="A722" s="575">
        <f>A720+1</f>
        <v>358</v>
      </c>
      <c r="B722" s="583" t="s">
        <v>35</v>
      </c>
      <c r="C722" s="583" t="s">
        <v>244</v>
      </c>
      <c r="D722" s="583" t="s">
        <v>1131</v>
      </c>
      <c r="E722" s="576"/>
      <c r="F722" s="576"/>
      <c r="G722" s="575"/>
      <c r="H722" s="575"/>
      <c r="I722" s="577"/>
      <c r="J722" s="578">
        <v>48</v>
      </c>
      <c r="K722" s="580"/>
      <c r="L722" s="578">
        <v>12</v>
      </c>
      <c r="M722" s="580"/>
      <c r="N722" s="580"/>
      <c r="O722" s="580"/>
      <c r="P722" s="580"/>
      <c r="Q722" s="580"/>
      <c r="R722" s="579"/>
      <c r="S722" s="575">
        <v>30</v>
      </c>
      <c r="T722" s="580"/>
      <c r="U722" s="575">
        <v>2</v>
      </c>
      <c r="V722" s="580"/>
      <c r="W722" s="575">
        <v>2</v>
      </c>
      <c r="X722" s="580"/>
      <c r="Y722" s="580"/>
      <c r="Z722" s="575">
        <v>4</v>
      </c>
      <c r="AA722" s="583"/>
    </row>
    <row r="723" spans="1:27" s="584" customFormat="1" ht="13.9" customHeight="1" x14ac:dyDescent="0.2">
      <c r="A723" s="575"/>
      <c r="B723" s="583"/>
      <c r="C723" s="583"/>
      <c r="D723" s="583"/>
      <c r="E723" s="576">
        <v>411.33499999999998</v>
      </c>
      <c r="F723" s="576">
        <f>+CEILING(E723,5)</f>
        <v>415</v>
      </c>
      <c r="G723" s="575"/>
      <c r="H723" s="575">
        <f>F723*36</f>
        <v>14940</v>
      </c>
      <c r="I723" s="577">
        <f>F723</f>
        <v>415</v>
      </c>
      <c r="J723" s="580"/>
      <c r="K723" s="578"/>
      <c r="L723" s="580"/>
      <c r="M723" s="578"/>
      <c r="N723" s="580"/>
      <c r="O723" s="580"/>
      <c r="P723" s="580"/>
      <c r="Q723" s="580"/>
      <c r="R723" s="578">
        <v>42</v>
      </c>
      <c r="S723" s="580"/>
      <c r="T723" s="580"/>
      <c r="U723" s="580"/>
      <c r="V723" s="575"/>
      <c r="W723" s="575"/>
      <c r="X723" s="580"/>
      <c r="Y723" s="580"/>
      <c r="Z723" s="575"/>
      <c r="AA723" s="583"/>
    </row>
    <row r="724" spans="1:27" s="584" customFormat="1" ht="13.9" customHeight="1" x14ac:dyDescent="0.2">
      <c r="A724" s="575">
        <f>A722+1</f>
        <v>359</v>
      </c>
      <c r="B724" s="583" t="s">
        <v>754</v>
      </c>
      <c r="C724" s="583" t="s">
        <v>20</v>
      </c>
      <c r="D724" s="583"/>
      <c r="E724" s="576"/>
      <c r="F724" s="576"/>
      <c r="G724" s="575"/>
      <c r="H724" s="575"/>
      <c r="I724" s="577"/>
      <c r="J724" s="580"/>
      <c r="K724" s="578">
        <f>(M724*4+N724*2)/2</f>
        <v>12</v>
      </c>
      <c r="L724" s="578"/>
      <c r="M724" s="578">
        <v>6</v>
      </c>
      <c r="N724" s="579"/>
      <c r="O724" s="579"/>
      <c r="P724" s="579"/>
      <c r="Q724" s="579"/>
      <c r="R724" s="579"/>
      <c r="S724" s="579"/>
      <c r="T724" s="579"/>
      <c r="U724" s="575"/>
      <c r="V724" s="575">
        <v>1</v>
      </c>
      <c r="W724" s="575">
        <v>1</v>
      </c>
      <c r="X724" s="575"/>
      <c r="Y724" s="575"/>
      <c r="Z724" s="575">
        <v>2</v>
      </c>
      <c r="AA724" s="583"/>
    </row>
    <row r="725" spans="1:27" s="584" customFormat="1" ht="13.9" customHeight="1" x14ac:dyDescent="0.2">
      <c r="A725" s="575"/>
      <c r="B725" s="583"/>
      <c r="C725" s="583"/>
      <c r="D725" s="583"/>
      <c r="E725" s="576">
        <v>418.20400000000001</v>
      </c>
      <c r="F725" s="576">
        <f>+CEILING(E725,5)</f>
        <v>420</v>
      </c>
      <c r="G725" s="575"/>
      <c r="H725" s="575">
        <f>F725*36</f>
        <v>15120</v>
      </c>
      <c r="I725" s="577">
        <f>F725</f>
        <v>420</v>
      </c>
      <c r="J725" s="580"/>
      <c r="K725" s="578"/>
      <c r="L725" s="580"/>
      <c r="M725" s="578"/>
      <c r="N725" s="580"/>
      <c r="O725" s="580"/>
      <c r="P725" s="580"/>
      <c r="Q725" s="580"/>
      <c r="R725" s="578">
        <v>42</v>
      </c>
      <c r="S725" s="580"/>
      <c r="T725" s="580"/>
      <c r="U725" s="580"/>
      <c r="V725" s="575"/>
      <c r="W725" s="575"/>
      <c r="X725" s="580"/>
      <c r="Y725" s="580"/>
      <c r="Z725" s="575"/>
      <c r="AA725" s="583"/>
    </row>
    <row r="726" spans="1:27" s="584" customFormat="1" ht="13.9" customHeight="1" x14ac:dyDescent="0.2">
      <c r="A726" s="575">
        <f>A724+1</f>
        <v>360</v>
      </c>
      <c r="B726" s="583" t="s">
        <v>96</v>
      </c>
      <c r="C726" s="583" t="s">
        <v>20</v>
      </c>
      <c r="D726" s="583"/>
      <c r="E726" s="576"/>
      <c r="F726" s="576"/>
      <c r="G726" s="575"/>
      <c r="H726" s="575"/>
      <c r="I726" s="577"/>
      <c r="J726" s="580"/>
      <c r="K726" s="578">
        <f>(M726*4+N726*2)/2</f>
        <v>12</v>
      </c>
      <c r="L726" s="578"/>
      <c r="M726" s="578">
        <v>6</v>
      </c>
      <c r="N726" s="579"/>
      <c r="O726" s="579"/>
      <c r="P726" s="579"/>
      <c r="Q726" s="579"/>
      <c r="R726" s="579"/>
      <c r="S726" s="579"/>
      <c r="T726" s="579"/>
      <c r="U726" s="575"/>
      <c r="V726" s="575">
        <v>1</v>
      </c>
      <c r="W726" s="575">
        <v>1</v>
      </c>
      <c r="X726" s="575"/>
      <c r="Y726" s="575"/>
      <c r="Z726" s="575">
        <v>2</v>
      </c>
      <c r="AA726" s="583"/>
    </row>
    <row r="727" spans="1:27" s="584" customFormat="1" ht="13.9" customHeight="1" x14ac:dyDescent="0.2">
      <c r="A727" s="575"/>
      <c r="B727" s="583"/>
      <c r="C727" s="583"/>
      <c r="D727" s="583"/>
      <c r="E727" s="576">
        <v>412.31400000000002</v>
      </c>
      <c r="F727" s="576">
        <f>+CEILING(E727,5)</f>
        <v>415</v>
      </c>
      <c r="G727" s="575"/>
      <c r="H727" s="575">
        <f>F727*36</f>
        <v>14940</v>
      </c>
      <c r="I727" s="577">
        <f>F727</f>
        <v>415</v>
      </c>
      <c r="J727" s="582"/>
      <c r="K727" s="580"/>
      <c r="L727" s="582"/>
      <c r="M727" s="580"/>
      <c r="N727" s="580"/>
      <c r="O727" s="580"/>
      <c r="P727" s="580"/>
      <c r="Q727" s="580"/>
      <c r="R727" s="578">
        <v>42</v>
      </c>
      <c r="S727" s="579"/>
      <c r="T727" s="580"/>
      <c r="U727" s="575"/>
      <c r="V727" s="580"/>
      <c r="W727" s="575"/>
      <c r="X727" s="580"/>
      <c r="Y727" s="580"/>
      <c r="Z727" s="575"/>
      <c r="AA727" s="583"/>
    </row>
    <row r="728" spans="1:27" s="584" customFormat="1" ht="13.9" customHeight="1" x14ac:dyDescent="0.2">
      <c r="A728" s="575">
        <f>A726+1</f>
        <v>361</v>
      </c>
      <c r="B728" s="583" t="s">
        <v>218</v>
      </c>
      <c r="C728" s="583" t="s">
        <v>20</v>
      </c>
      <c r="D728" s="583"/>
      <c r="E728" s="576"/>
      <c r="F728" s="576"/>
      <c r="G728" s="575"/>
      <c r="H728" s="575"/>
      <c r="I728" s="577"/>
      <c r="J728" s="580"/>
      <c r="K728" s="578">
        <f>(M728*4+N728*2)/2</f>
        <v>12</v>
      </c>
      <c r="L728" s="578"/>
      <c r="M728" s="578">
        <v>6</v>
      </c>
      <c r="N728" s="579"/>
      <c r="O728" s="579"/>
      <c r="P728" s="579"/>
      <c r="Q728" s="579"/>
      <c r="R728" s="579"/>
      <c r="S728" s="579"/>
      <c r="T728" s="579"/>
      <c r="U728" s="575"/>
      <c r="V728" s="575">
        <v>1</v>
      </c>
      <c r="W728" s="575">
        <v>1</v>
      </c>
      <c r="X728" s="575"/>
      <c r="Y728" s="575"/>
      <c r="Z728" s="575">
        <v>2</v>
      </c>
      <c r="AA728" s="583"/>
    </row>
    <row r="729" spans="1:27" s="584" customFormat="1" ht="13.9" customHeight="1" x14ac:dyDescent="0.2">
      <c r="A729" s="575"/>
      <c r="B729" s="583"/>
      <c r="C729" s="583"/>
      <c r="D729" s="583"/>
      <c r="E729" s="576">
        <v>420.96899999999999</v>
      </c>
      <c r="F729" s="576">
        <f>+CEILING(E729,5)</f>
        <v>425</v>
      </c>
      <c r="G729" s="575"/>
      <c r="H729" s="575">
        <f>F729*36</f>
        <v>15300</v>
      </c>
      <c r="I729" s="577">
        <f>F729</f>
        <v>425</v>
      </c>
      <c r="J729" s="580"/>
      <c r="K729" s="578"/>
      <c r="L729" s="580"/>
      <c r="M729" s="578"/>
      <c r="N729" s="580"/>
      <c r="O729" s="580"/>
      <c r="P729" s="580"/>
      <c r="Q729" s="580"/>
      <c r="R729" s="578">
        <v>42</v>
      </c>
      <c r="S729" s="580"/>
      <c r="T729" s="580"/>
      <c r="U729" s="580"/>
      <c r="V729" s="575"/>
      <c r="W729" s="575"/>
      <c r="X729" s="580"/>
      <c r="Y729" s="580"/>
      <c r="Z729" s="575"/>
      <c r="AA729" s="583"/>
    </row>
    <row r="730" spans="1:27" s="584" customFormat="1" x14ac:dyDescent="0.2">
      <c r="A730" s="575">
        <f>A728+1</f>
        <v>362</v>
      </c>
      <c r="B730" s="583" t="s">
        <v>755</v>
      </c>
      <c r="C730" s="583" t="s">
        <v>20</v>
      </c>
      <c r="D730" s="583"/>
      <c r="E730" s="576"/>
      <c r="F730" s="576"/>
      <c r="G730" s="580"/>
      <c r="H730" s="575"/>
      <c r="I730" s="577"/>
      <c r="J730" s="580"/>
      <c r="K730" s="578">
        <f>(M730*4+N730*2)/2</f>
        <v>12</v>
      </c>
      <c r="L730" s="578"/>
      <c r="M730" s="578">
        <v>6</v>
      </c>
      <c r="N730" s="579"/>
      <c r="O730" s="579"/>
      <c r="P730" s="579"/>
      <c r="Q730" s="579"/>
      <c r="R730" s="579"/>
      <c r="S730" s="579"/>
      <c r="T730" s="579"/>
      <c r="U730" s="575"/>
      <c r="V730" s="575">
        <v>1</v>
      </c>
      <c r="W730" s="575">
        <v>1</v>
      </c>
      <c r="X730" s="575"/>
      <c r="Y730" s="575"/>
      <c r="Z730" s="575">
        <v>2</v>
      </c>
      <c r="AA730" s="583"/>
    </row>
    <row r="731" spans="1:27" s="584" customFormat="1" ht="13.9" customHeight="1" x14ac:dyDescent="0.2">
      <c r="A731" s="575"/>
      <c r="B731" s="583"/>
      <c r="C731" s="583"/>
      <c r="D731" s="583"/>
      <c r="E731" s="576">
        <v>419.66</v>
      </c>
      <c r="F731" s="576">
        <f>+CEILING(E731,5)</f>
        <v>420</v>
      </c>
      <c r="G731" s="575"/>
      <c r="H731" s="575">
        <f>F731*36</f>
        <v>15120</v>
      </c>
      <c r="I731" s="577">
        <f>F731</f>
        <v>420</v>
      </c>
      <c r="J731" s="580"/>
      <c r="K731" s="578"/>
      <c r="L731" s="580"/>
      <c r="M731" s="578"/>
      <c r="N731" s="580"/>
      <c r="O731" s="580"/>
      <c r="P731" s="580"/>
      <c r="Q731" s="580"/>
      <c r="R731" s="578">
        <v>42</v>
      </c>
      <c r="S731" s="580"/>
      <c r="T731" s="580"/>
      <c r="U731" s="580"/>
      <c r="V731" s="575"/>
      <c r="W731" s="575"/>
      <c r="X731" s="580"/>
      <c r="Y731" s="580"/>
      <c r="Z731" s="575"/>
      <c r="AA731" s="583"/>
    </row>
    <row r="732" spans="1:27" s="584" customFormat="1" ht="13.9" customHeight="1" x14ac:dyDescent="0.2">
      <c r="A732" s="575">
        <f>A730+1</f>
        <v>363</v>
      </c>
      <c r="B732" s="583" t="s">
        <v>756</v>
      </c>
      <c r="C732" s="583" t="s">
        <v>20</v>
      </c>
      <c r="D732" s="583"/>
      <c r="E732" s="576"/>
      <c r="F732" s="576"/>
      <c r="G732" s="575"/>
      <c r="H732" s="575"/>
      <c r="I732" s="577"/>
      <c r="J732" s="580"/>
      <c r="K732" s="578">
        <f>(M732*4+N732*2)/2</f>
        <v>12</v>
      </c>
      <c r="L732" s="578"/>
      <c r="M732" s="578">
        <v>6</v>
      </c>
      <c r="N732" s="579"/>
      <c r="O732" s="579"/>
      <c r="P732" s="579"/>
      <c r="Q732" s="579"/>
      <c r="R732" s="579"/>
      <c r="S732" s="579"/>
      <c r="T732" s="579"/>
      <c r="U732" s="575"/>
      <c r="V732" s="575">
        <v>1</v>
      </c>
      <c r="W732" s="575">
        <v>1</v>
      </c>
      <c r="X732" s="575"/>
      <c r="Y732" s="575"/>
      <c r="Z732" s="575">
        <v>2</v>
      </c>
      <c r="AA732" s="583"/>
    </row>
    <row r="733" spans="1:27" s="584" customFormat="1" ht="13.9" customHeight="1" x14ac:dyDescent="0.2">
      <c r="A733" s="575"/>
      <c r="B733" s="583"/>
      <c r="C733" s="583"/>
      <c r="D733" s="583"/>
      <c r="E733" s="576">
        <v>419.11099999999999</v>
      </c>
      <c r="F733" s="576">
        <f>+CEILING(E733,5)</f>
        <v>420</v>
      </c>
      <c r="G733" s="575"/>
      <c r="H733" s="575">
        <f>F733*36</f>
        <v>15120</v>
      </c>
      <c r="I733" s="577">
        <f>F733</f>
        <v>420</v>
      </c>
      <c r="J733" s="582"/>
      <c r="K733" s="580"/>
      <c r="L733" s="582"/>
      <c r="M733" s="580"/>
      <c r="N733" s="580"/>
      <c r="O733" s="580"/>
      <c r="P733" s="580"/>
      <c r="Q733" s="580"/>
      <c r="R733" s="578">
        <v>42</v>
      </c>
      <c r="S733" s="579"/>
      <c r="T733" s="580"/>
      <c r="U733" s="575"/>
      <c r="V733" s="580"/>
      <c r="W733" s="575"/>
      <c r="X733" s="580"/>
      <c r="Y733" s="580"/>
      <c r="Z733" s="575"/>
      <c r="AA733" s="583"/>
    </row>
    <row r="734" spans="1:27" s="584" customFormat="1" ht="13.9" customHeight="1" x14ac:dyDescent="0.2">
      <c r="A734" s="575">
        <f>A732+1</f>
        <v>364</v>
      </c>
      <c r="B734" s="583" t="s">
        <v>757</v>
      </c>
      <c r="C734" s="583" t="s">
        <v>20</v>
      </c>
      <c r="D734" s="583"/>
      <c r="E734" s="576"/>
      <c r="F734" s="576"/>
      <c r="G734" s="575"/>
      <c r="H734" s="575"/>
      <c r="I734" s="577"/>
      <c r="J734" s="580"/>
      <c r="K734" s="578">
        <f>(M734*4+N734*2)/2</f>
        <v>12</v>
      </c>
      <c r="L734" s="578"/>
      <c r="M734" s="578">
        <v>6</v>
      </c>
      <c r="N734" s="579"/>
      <c r="O734" s="579"/>
      <c r="P734" s="579"/>
      <c r="Q734" s="579"/>
      <c r="R734" s="579"/>
      <c r="S734" s="579"/>
      <c r="T734" s="579"/>
      <c r="U734" s="575"/>
      <c r="V734" s="575">
        <v>1</v>
      </c>
      <c r="W734" s="575">
        <v>1</v>
      </c>
      <c r="X734" s="575"/>
      <c r="Y734" s="575"/>
      <c r="Z734" s="575">
        <v>2</v>
      </c>
      <c r="AA734" s="583"/>
    </row>
    <row r="735" spans="1:27" s="584" customFormat="1" ht="13.9" customHeight="1" x14ac:dyDescent="0.2">
      <c r="A735" s="575"/>
      <c r="B735" s="583"/>
      <c r="C735" s="583"/>
      <c r="D735" s="583"/>
      <c r="E735" s="576">
        <v>408.80900000000003</v>
      </c>
      <c r="F735" s="576">
        <f>+CEILING(E735,5)</f>
        <v>410</v>
      </c>
      <c r="G735" s="575"/>
      <c r="H735" s="575">
        <f>F735*36</f>
        <v>14760</v>
      </c>
      <c r="I735" s="577">
        <f>F735</f>
        <v>410</v>
      </c>
      <c r="J735" s="582"/>
      <c r="K735" s="580"/>
      <c r="L735" s="582"/>
      <c r="M735" s="580"/>
      <c r="N735" s="580"/>
      <c r="O735" s="580"/>
      <c r="P735" s="580"/>
      <c r="Q735" s="580"/>
      <c r="R735" s="578">
        <v>42</v>
      </c>
      <c r="S735" s="579"/>
      <c r="T735" s="580"/>
      <c r="U735" s="575"/>
      <c r="V735" s="580"/>
      <c r="W735" s="575"/>
      <c r="X735" s="580"/>
      <c r="Y735" s="580"/>
      <c r="Z735" s="575"/>
      <c r="AA735" s="583"/>
    </row>
    <row r="736" spans="1:27" s="584" customFormat="1" ht="13.9" customHeight="1" x14ac:dyDescent="0.2">
      <c r="A736" s="575">
        <f>A734+1</f>
        <v>365</v>
      </c>
      <c r="B736" s="583" t="s">
        <v>758</v>
      </c>
      <c r="C736" s="583" t="s">
        <v>20</v>
      </c>
      <c r="D736" s="583"/>
      <c r="E736" s="576"/>
      <c r="F736" s="576"/>
      <c r="G736" s="575"/>
      <c r="H736" s="575"/>
      <c r="I736" s="577"/>
      <c r="J736" s="580"/>
      <c r="K736" s="578">
        <f>(M736*4+N736*2)/2</f>
        <v>12</v>
      </c>
      <c r="L736" s="578"/>
      <c r="M736" s="578">
        <v>6</v>
      </c>
      <c r="N736" s="579"/>
      <c r="O736" s="579"/>
      <c r="P736" s="579"/>
      <c r="Q736" s="579"/>
      <c r="R736" s="579"/>
      <c r="S736" s="579"/>
      <c r="T736" s="579"/>
      <c r="U736" s="575"/>
      <c r="V736" s="575">
        <v>1</v>
      </c>
      <c r="W736" s="575">
        <v>1</v>
      </c>
      <c r="X736" s="575"/>
      <c r="Y736" s="575"/>
      <c r="Z736" s="575">
        <v>2</v>
      </c>
      <c r="AA736" s="583"/>
    </row>
    <row r="737" spans="1:27" s="584" customFormat="1" ht="13.9" customHeight="1" x14ac:dyDescent="0.2">
      <c r="A737" s="575"/>
      <c r="B737" s="583"/>
      <c r="C737" s="583"/>
      <c r="D737" s="583"/>
      <c r="E737" s="576">
        <v>426.93299999999999</v>
      </c>
      <c r="F737" s="576">
        <f>+CEILING(E737,5)</f>
        <v>430</v>
      </c>
      <c r="G737" s="575"/>
      <c r="H737" s="575">
        <f>F737*36</f>
        <v>15480</v>
      </c>
      <c r="I737" s="577">
        <f>F737</f>
        <v>430</v>
      </c>
      <c r="J737" s="580"/>
      <c r="K737" s="578"/>
      <c r="L737" s="580"/>
      <c r="M737" s="578"/>
      <c r="N737" s="580"/>
      <c r="O737" s="580"/>
      <c r="P737" s="580"/>
      <c r="Q737" s="580"/>
      <c r="R737" s="578">
        <v>42</v>
      </c>
      <c r="S737" s="580"/>
      <c r="T737" s="580"/>
      <c r="U737" s="580"/>
      <c r="V737" s="575"/>
      <c r="W737" s="575"/>
      <c r="X737" s="580"/>
      <c r="Y737" s="580"/>
      <c r="Z737" s="575"/>
      <c r="AA737" s="583"/>
    </row>
    <row r="738" spans="1:27" s="584" customFormat="1" ht="13.9" customHeight="1" x14ac:dyDescent="0.2">
      <c r="A738" s="575">
        <f>A736+1</f>
        <v>366</v>
      </c>
      <c r="B738" s="583" t="s">
        <v>759</v>
      </c>
      <c r="C738" s="583" t="s">
        <v>243</v>
      </c>
      <c r="D738" s="583" t="s">
        <v>1132</v>
      </c>
      <c r="E738" s="576"/>
      <c r="F738" s="576"/>
      <c r="G738" s="575"/>
      <c r="H738" s="575"/>
      <c r="I738" s="577"/>
      <c r="J738" s="578">
        <v>48</v>
      </c>
      <c r="K738" s="580"/>
      <c r="L738" s="578">
        <v>12</v>
      </c>
      <c r="M738" s="580"/>
      <c r="N738" s="580"/>
      <c r="O738" s="580"/>
      <c r="P738" s="580"/>
      <c r="Q738" s="580"/>
      <c r="R738" s="579"/>
      <c r="S738" s="575">
        <v>30</v>
      </c>
      <c r="T738" s="580"/>
      <c r="U738" s="575">
        <v>2</v>
      </c>
      <c r="V738" s="580"/>
      <c r="W738" s="575">
        <v>2</v>
      </c>
      <c r="X738" s="580"/>
      <c r="Y738" s="580"/>
      <c r="Z738" s="575">
        <v>4</v>
      </c>
      <c r="AA738" s="583"/>
    </row>
    <row r="739" spans="1:27" s="584" customFormat="1" ht="13.9" customHeight="1" x14ac:dyDescent="0.2">
      <c r="A739" s="575"/>
      <c r="B739" s="583"/>
      <c r="C739" s="583"/>
      <c r="D739" s="583"/>
      <c r="E739" s="576">
        <v>434.72500000000002</v>
      </c>
      <c r="F739" s="576">
        <f>+CEILING(E739,5)</f>
        <v>435</v>
      </c>
      <c r="G739" s="575"/>
      <c r="H739" s="575">
        <f>F739*36</f>
        <v>15660</v>
      </c>
      <c r="I739" s="577">
        <f>F739</f>
        <v>435</v>
      </c>
      <c r="J739" s="580"/>
      <c r="K739" s="578"/>
      <c r="L739" s="580"/>
      <c r="M739" s="578"/>
      <c r="N739" s="580"/>
      <c r="O739" s="580"/>
      <c r="P739" s="580"/>
      <c r="Q739" s="580"/>
      <c r="R739" s="578">
        <v>42</v>
      </c>
      <c r="S739" s="580"/>
      <c r="T739" s="580"/>
      <c r="U739" s="580"/>
      <c r="V739" s="575"/>
      <c r="W739" s="575"/>
      <c r="X739" s="580"/>
      <c r="Y739" s="580"/>
      <c r="Z739" s="575"/>
      <c r="AA739" s="583"/>
    </row>
    <row r="740" spans="1:27" s="584" customFormat="1" ht="13.9" customHeight="1" x14ac:dyDescent="0.2">
      <c r="A740" s="575">
        <f>A738+1</f>
        <v>367</v>
      </c>
      <c r="B740" s="583" t="s">
        <v>760</v>
      </c>
      <c r="C740" s="583" t="s">
        <v>20</v>
      </c>
      <c r="D740" s="583"/>
      <c r="E740" s="576"/>
      <c r="F740" s="576"/>
      <c r="G740" s="575"/>
      <c r="H740" s="575"/>
      <c r="I740" s="577"/>
      <c r="J740" s="580"/>
      <c r="K740" s="578">
        <f>(M740*4+N740*2)/2</f>
        <v>12</v>
      </c>
      <c r="L740" s="578"/>
      <c r="M740" s="578">
        <v>6</v>
      </c>
      <c r="N740" s="579"/>
      <c r="O740" s="579"/>
      <c r="P740" s="579"/>
      <c r="Q740" s="579"/>
      <c r="R740" s="579"/>
      <c r="S740" s="579"/>
      <c r="T740" s="579"/>
      <c r="U740" s="575"/>
      <c r="V740" s="575">
        <v>1</v>
      </c>
      <c r="W740" s="575">
        <v>1</v>
      </c>
      <c r="X740" s="575"/>
      <c r="Y740" s="575"/>
      <c r="Z740" s="575">
        <v>2</v>
      </c>
      <c r="AA740" s="583"/>
    </row>
    <row r="741" spans="1:27" s="584" customFormat="1" ht="13.9" customHeight="1" x14ac:dyDescent="0.2">
      <c r="A741" s="575"/>
      <c r="B741" s="583"/>
      <c r="C741" s="583"/>
      <c r="D741" s="583"/>
      <c r="E741" s="576">
        <v>400.82600000000002</v>
      </c>
      <c r="F741" s="576">
        <f>+CEILING(E741,5)</f>
        <v>405</v>
      </c>
      <c r="G741" s="575"/>
      <c r="H741" s="575">
        <f>F741*36</f>
        <v>14580</v>
      </c>
      <c r="I741" s="577">
        <f>F741</f>
        <v>405</v>
      </c>
      <c r="J741" s="580"/>
      <c r="K741" s="578"/>
      <c r="L741" s="580"/>
      <c r="M741" s="578"/>
      <c r="N741" s="580"/>
      <c r="O741" s="580"/>
      <c r="P741" s="580"/>
      <c r="Q741" s="580"/>
      <c r="R741" s="578">
        <v>42</v>
      </c>
      <c r="S741" s="580"/>
      <c r="T741" s="580"/>
      <c r="U741" s="580"/>
      <c r="V741" s="575"/>
      <c r="W741" s="575"/>
      <c r="X741" s="580"/>
      <c r="Y741" s="580"/>
      <c r="Z741" s="575"/>
      <c r="AA741" s="583"/>
    </row>
    <row r="742" spans="1:27" s="584" customFormat="1" ht="13.9" customHeight="1" x14ac:dyDescent="0.2">
      <c r="A742" s="575">
        <f>A740+1</f>
        <v>368</v>
      </c>
      <c r="B742" s="583" t="s">
        <v>761</v>
      </c>
      <c r="C742" s="583" t="s">
        <v>231</v>
      </c>
      <c r="D742" s="583"/>
      <c r="E742" s="576"/>
      <c r="F742" s="576"/>
      <c r="G742" s="575"/>
      <c r="H742" s="575"/>
      <c r="I742" s="577"/>
      <c r="J742" s="580"/>
      <c r="K742" s="578">
        <f>(M742*4+N742*2)/2</f>
        <v>12</v>
      </c>
      <c r="L742" s="578"/>
      <c r="M742" s="578">
        <v>6</v>
      </c>
      <c r="N742" s="579"/>
      <c r="O742" s="579"/>
      <c r="P742" s="579"/>
      <c r="Q742" s="579"/>
      <c r="R742" s="579"/>
      <c r="S742" s="579"/>
      <c r="T742" s="579"/>
      <c r="U742" s="575"/>
      <c r="V742" s="575">
        <v>1</v>
      </c>
      <c r="W742" s="575">
        <v>1</v>
      </c>
      <c r="X742" s="575"/>
      <c r="Y742" s="575"/>
      <c r="Z742" s="575">
        <v>2</v>
      </c>
      <c r="AA742" s="583"/>
    </row>
    <row r="743" spans="1:27" s="584" customFormat="1" ht="13.9" customHeight="1" x14ac:dyDescent="0.2">
      <c r="A743" s="575"/>
      <c r="B743" s="583"/>
      <c r="C743" s="583"/>
      <c r="D743" s="583"/>
      <c r="E743" s="576">
        <v>436.29700000000003</v>
      </c>
      <c r="F743" s="576">
        <f>+CEILING(E743,5)</f>
        <v>440</v>
      </c>
      <c r="G743" s="575"/>
      <c r="H743" s="575">
        <f>F743*36</f>
        <v>15840</v>
      </c>
      <c r="I743" s="577">
        <f>F743</f>
        <v>440</v>
      </c>
      <c r="J743" s="580"/>
      <c r="K743" s="578"/>
      <c r="L743" s="580"/>
      <c r="M743" s="578"/>
      <c r="N743" s="580"/>
      <c r="O743" s="580"/>
      <c r="P743" s="580"/>
      <c r="Q743" s="580"/>
      <c r="R743" s="578">
        <v>42</v>
      </c>
      <c r="S743" s="580"/>
      <c r="T743" s="580"/>
      <c r="U743" s="580"/>
      <c r="V743" s="575"/>
      <c r="W743" s="575"/>
      <c r="X743" s="580"/>
      <c r="Y743" s="580"/>
      <c r="Z743" s="575"/>
      <c r="AA743" s="583"/>
    </row>
    <row r="744" spans="1:27" s="584" customFormat="1" ht="13.9" customHeight="1" x14ac:dyDescent="0.2">
      <c r="A744" s="575">
        <f>A742+1</f>
        <v>369</v>
      </c>
      <c r="B744" s="583" t="s">
        <v>762</v>
      </c>
      <c r="C744" s="583" t="s">
        <v>232</v>
      </c>
      <c r="D744" s="583"/>
      <c r="E744" s="576"/>
      <c r="F744" s="576"/>
      <c r="G744" s="575"/>
      <c r="H744" s="575"/>
      <c r="I744" s="577"/>
      <c r="J744" s="580"/>
      <c r="K744" s="578">
        <f>(M744*4+N744*2)/2</f>
        <v>12</v>
      </c>
      <c r="L744" s="578"/>
      <c r="M744" s="578">
        <v>6</v>
      </c>
      <c r="N744" s="579"/>
      <c r="O744" s="579"/>
      <c r="P744" s="579"/>
      <c r="Q744" s="579"/>
      <c r="R744" s="579"/>
      <c r="S744" s="579"/>
      <c r="T744" s="579"/>
      <c r="U744" s="575"/>
      <c r="V744" s="575">
        <v>1</v>
      </c>
      <c r="W744" s="575">
        <v>1</v>
      </c>
      <c r="X744" s="575"/>
      <c r="Y744" s="575"/>
      <c r="Z744" s="575">
        <v>2</v>
      </c>
      <c r="AA744" s="583"/>
    </row>
    <row r="745" spans="1:27" s="584" customFormat="1" ht="13.9" customHeight="1" x14ac:dyDescent="0.2">
      <c r="A745" s="575"/>
      <c r="B745" s="583"/>
      <c r="C745" s="583"/>
      <c r="D745" s="583"/>
      <c r="E745" s="576">
        <v>393.11399999999998</v>
      </c>
      <c r="F745" s="576">
        <f>+CEILING(E745,5)</f>
        <v>395</v>
      </c>
      <c r="G745" s="575"/>
      <c r="H745" s="575">
        <f>F745*36</f>
        <v>14220</v>
      </c>
      <c r="I745" s="577">
        <f>F745</f>
        <v>395</v>
      </c>
      <c r="J745" s="582"/>
      <c r="K745" s="580"/>
      <c r="L745" s="582"/>
      <c r="M745" s="580"/>
      <c r="N745" s="580"/>
      <c r="O745" s="580"/>
      <c r="P745" s="580"/>
      <c r="Q745" s="580"/>
      <c r="R745" s="578">
        <v>42</v>
      </c>
      <c r="S745" s="579"/>
      <c r="T745" s="580"/>
      <c r="U745" s="575"/>
      <c r="V745" s="580"/>
      <c r="W745" s="575"/>
      <c r="X745" s="580"/>
      <c r="Y745" s="580"/>
      <c r="Z745" s="575"/>
      <c r="AA745" s="583"/>
    </row>
    <row r="746" spans="1:27" s="584" customFormat="1" ht="13.9" customHeight="1" x14ac:dyDescent="0.2">
      <c r="A746" s="575">
        <f>A744+1</f>
        <v>370</v>
      </c>
      <c r="B746" s="583" t="s">
        <v>763</v>
      </c>
      <c r="C746" s="583" t="s">
        <v>232</v>
      </c>
      <c r="D746" s="583"/>
      <c r="E746" s="576"/>
      <c r="F746" s="576"/>
      <c r="G746" s="575"/>
      <c r="H746" s="575"/>
      <c r="I746" s="577"/>
      <c r="J746" s="580"/>
      <c r="K746" s="578">
        <f>(M746*4+N746*2)/2</f>
        <v>12</v>
      </c>
      <c r="L746" s="578"/>
      <c r="M746" s="578">
        <v>6</v>
      </c>
      <c r="N746" s="579"/>
      <c r="O746" s="579"/>
      <c r="P746" s="579"/>
      <c r="Q746" s="579"/>
      <c r="R746" s="579"/>
      <c r="S746" s="579"/>
      <c r="T746" s="579"/>
      <c r="U746" s="575"/>
      <c r="V746" s="575">
        <v>1</v>
      </c>
      <c r="W746" s="575">
        <v>1</v>
      </c>
      <c r="X746" s="575"/>
      <c r="Y746" s="575"/>
      <c r="Z746" s="575">
        <v>2</v>
      </c>
      <c r="AA746" s="583"/>
    </row>
    <row r="747" spans="1:27" s="584" customFormat="1" ht="13.9" customHeight="1" x14ac:dyDescent="0.2">
      <c r="A747" s="575"/>
      <c r="B747" s="583"/>
      <c r="C747" s="583"/>
      <c r="D747" s="583"/>
      <c r="E747" s="576">
        <v>447.36099999999999</v>
      </c>
      <c r="F747" s="576">
        <f>+CEILING(E747,5)</f>
        <v>450</v>
      </c>
      <c r="G747" s="575"/>
      <c r="H747" s="575">
        <f>F747*36</f>
        <v>16200</v>
      </c>
      <c r="I747" s="577">
        <f>F747</f>
        <v>450</v>
      </c>
      <c r="J747" s="580"/>
      <c r="K747" s="578"/>
      <c r="L747" s="580"/>
      <c r="M747" s="578"/>
      <c r="N747" s="580"/>
      <c r="O747" s="580"/>
      <c r="P747" s="580"/>
      <c r="Q747" s="580"/>
      <c r="R747" s="578">
        <v>42</v>
      </c>
      <c r="S747" s="580"/>
      <c r="T747" s="580"/>
      <c r="U747" s="580"/>
      <c r="V747" s="575"/>
      <c r="W747" s="575"/>
      <c r="X747" s="580"/>
      <c r="Y747" s="580"/>
      <c r="Z747" s="575"/>
      <c r="AA747" s="583"/>
    </row>
    <row r="748" spans="1:27" s="584" customFormat="1" ht="13.9" customHeight="1" x14ac:dyDescent="0.2">
      <c r="A748" s="575">
        <f>A746+1</f>
        <v>371</v>
      </c>
      <c r="B748" s="583" t="s">
        <v>764</v>
      </c>
      <c r="C748" s="583" t="s">
        <v>20</v>
      </c>
      <c r="D748" s="583"/>
      <c r="E748" s="576"/>
      <c r="F748" s="576"/>
      <c r="G748" s="575"/>
      <c r="H748" s="575"/>
      <c r="I748" s="577"/>
      <c r="J748" s="580"/>
      <c r="K748" s="578">
        <f>(M748*4+N748*2)/2</f>
        <v>12</v>
      </c>
      <c r="L748" s="578"/>
      <c r="M748" s="578">
        <v>6</v>
      </c>
      <c r="N748" s="579"/>
      <c r="O748" s="579"/>
      <c r="P748" s="579"/>
      <c r="Q748" s="579"/>
      <c r="R748" s="579"/>
      <c r="S748" s="579"/>
      <c r="T748" s="579"/>
      <c r="U748" s="575"/>
      <c r="V748" s="575">
        <v>1</v>
      </c>
      <c r="W748" s="575">
        <v>1</v>
      </c>
      <c r="X748" s="575"/>
      <c r="Y748" s="575"/>
      <c r="Z748" s="575">
        <v>2</v>
      </c>
      <c r="AA748" s="583"/>
    </row>
    <row r="749" spans="1:27" s="584" customFormat="1" ht="13.9" customHeight="1" x14ac:dyDescent="0.2">
      <c r="A749" s="575"/>
      <c r="B749" s="583"/>
      <c r="C749" s="583"/>
      <c r="D749" s="583"/>
      <c r="E749" s="576">
        <v>391.11200000000002</v>
      </c>
      <c r="F749" s="576">
        <f>+CEILING(E749,5)</f>
        <v>395</v>
      </c>
      <c r="G749" s="575"/>
      <c r="H749" s="575">
        <f>F749*36</f>
        <v>14220</v>
      </c>
      <c r="I749" s="577">
        <f>F749</f>
        <v>395</v>
      </c>
      <c r="J749" s="580"/>
      <c r="K749" s="578"/>
      <c r="L749" s="580"/>
      <c r="M749" s="578"/>
      <c r="N749" s="580"/>
      <c r="O749" s="580"/>
      <c r="P749" s="580"/>
      <c r="Q749" s="580"/>
      <c r="R749" s="578">
        <v>42</v>
      </c>
      <c r="S749" s="580"/>
      <c r="T749" s="580"/>
      <c r="U749" s="580"/>
      <c r="V749" s="575"/>
      <c r="W749" s="575"/>
      <c r="X749" s="580"/>
      <c r="Y749" s="580"/>
      <c r="Z749" s="575"/>
      <c r="AA749" s="583"/>
    </row>
    <row r="750" spans="1:27" s="584" customFormat="1" ht="13.9" customHeight="1" x14ac:dyDescent="0.2">
      <c r="A750" s="575">
        <f>A748+1</f>
        <v>372</v>
      </c>
      <c r="B750" s="583" t="s">
        <v>765</v>
      </c>
      <c r="C750" s="583" t="s">
        <v>232</v>
      </c>
      <c r="D750" s="583"/>
      <c r="E750" s="576"/>
      <c r="F750" s="576"/>
      <c r="G750" s="575"/>
      <c r="H750" s="575"/>
      <c r="I750" s="577"/>
      <c r="J750" s="580"/>
      <c r="K750" s="578">
        <f>(M750*4+N750*2)/2</f>
        <v>12</v>
      </c>
      <c r="L750" s="578"/>
      <c r="M750" s="578">
        <v>6</v>
      </c>
      <c r="N750" s="579"/>
      <c r="O750" s="579"/>
      <c r="P750" s="579"/>
      <c r="Q750" s="579"/>
      <c r="R750" s="579"/>
      <c r="S750" s="579"/>
      <c r="T750" s="579"/>
      <c r="U750" s="575"/>
      <c r="V750" s="575">
        <v>1</v>
      </c>
      <c r="W750" s="575">
        <v>1</v>
      </c>
      <c r="X750" s="575"/>
      <c r="Y750" s="575"/>
      <c r="Z750" s="575">
        <v>2</v>
      </c>
      <c r="AA750" s="583"/>
    </row>
    <row r="751" spans="1:27" s="584" customFormat="1" ht="13.9" customHeight="1" x14ac:dyDescent="0.2">
      <c r="A751" s="575"/>
      <c r="B751" s="583"/>
      <c r="C751" s="583"/>
      <c r="D751" s="583"/>
      <c r="E751" s="576">
        <v>448.59300000000002</v>
      </c>
      <c r="F751" s="576">
        <f>+CEILING(E751,5)</f>
        <v>450</v>
      </c>
      <c r="G751" s="575"/>
      <c r="H751" s="575">
        <f>F751*36</f>
        <v>16200</v>
      </c>
      <c r="I751" s="577">
        <f>F751</f>
        <v>450</v>
      </c>
      <c r="J751" s="580"/>
      <c r="K751" s="578"/>
      <c r="L751" s="580"/>
      <c r="M751" s="578"/>
      <c r="N751" s="580"/>
      <c r="O751" s="580"/>
      <c r="P751" s="580"/>
      <c r="Q751" s="580"/>
      <c r="R751" s="578">
        <v>42</v>
      </c>
      <c r="S751" s="580"/>
      <c r="T751" s="580"/>
      <c r="U751" s="580"/>
      <c r="V751" s="575"/>
      <c r="W751" s="575"/>
      <c r="X751" s="580"/>
      <c r="Y751" s="580"/>
      <c r="Z751" s="575"/>
      <c r="AA751" s="583"/>
    </row>
    <row r="752" spans="1:27" s="584" customFormat="1" ht="13.9" customHeight="1" x14ac:dyDescent="0.2">
      <c r="A752" s="575">
        <f>A750+1</f>
        <v>373</v>
      </c>
      <c r="B752" s="583" t="s">
        <v>766</v>
      </c>
      <c r="C752" s="583" t="s">
        <v>232</v>
      </c>
      <c r="D752" s="583"/>
      <c r="E752" s="576"/>
      <c r="F752" s="576"/>
      <c r="G752" s="575"/>
      <c r="H752" s="575"/>
      <c r="I752" s="577"/>
      <c r="J752" s="580"/>
      <c r="K752" s="578">
        <f>(M752*4+N752*2)/2</f>
        <v>12</v>
      </c>
      <c r="L752" s="578"/>
      <c r="M752" s="578">
        <v>6</v>
      </c>
      <c r="N752" s="579"/>
      <c r="O752" s="579"/>
      <c r="P752" s="579"/>
      <c r="Q752" s="579"/>
      <c r="R752" s="579"/>
      <c r="S752" s="579"/>
      <c r="T752" s="579"/>
      <c r="U752" s="575"/>
      <c r="V752" s="575">
        <v>1</v>
      </c>
      <c r="W752" s="575">
        <v>1</v>
      </c>
      <c r="X752" s="575"/>
      <c r="Y752" s="575"/>
      <c r="Z752" s="575">
        <v>2</v>
      </c>
      <c r="AA752" s="583"/>
    </row>
    <row r="753" spans="1:27" s="584" customFormat="1" ht="13.9" customHeight="1" x14ac:dyDescent="0.2">
      <c r="A753" s="575"/>
      <c r="B753" s="583"/>
      <c r="C753" s="583"/>
      <c r="D753" s="583"/>
      <c r="E753" s="576">
        <v>388</v>
      </c>
      <c r="F753" s="576">
        <f>+CEILING(E753,5)</f>
        <v>390</v>
      </c>
      <c r="G753" s="575"/>
      <c r="H753" s="575">
        <f>F753*36</f>
        <v>14040</v>
      </c>
      <c r="I753" s="577">
        <f>F753</f>
        <v>390</v>
      </c>
      <c r="J753" s="580"/>
      <c r="K753" s="578"/>
      <c r="L753" s="580"/>
      <c r="M753" s="578"/>
      <c r="N753" s="580"/>
      <c r="O753" s="580"/>
      <c r="P753" s="580"/>
      <c r="Q753" s="580"/>
      <c r="R753" s="578">
        <v>36</v>
      </c>
      <c r="S753" s="580"/>
      <c r="T753" s="580"/>
      <c r="U753" s="580"/>
      <c r="V753" s="575"/>
      <c r="W753" s="575"/>
      <c r="X753" s="580"/>
      <c r="Y753" s="580"/>
      <c r="Z753" s="575"/>
      <c r="AA753" s="583"/>
    </row>
    <row r="754" spans="1:27" s="584" customFormat="1" x14ac:dyDescent="0.2">
      <c r="A754" s="575">
        <f>A752+1</f>
        <v>374</v>
      </c>
      <c r="B754" s="583" t="s">
        <v>767</v>
      </c>
      <c r="C754" s="583" t="s">
        <v>233</v>
      </c>
      <c r="D754" s="583"/>
      <c r="E754" s="576"/>
      <c r="F754" s="576"/>
      <c r="G754" s="580"/>
      <c r="H754" s="575"/>
      <c r="I754" s="577"/>
      <c r="J754" s="580"/>
      <c r="K754" s="578">
        <f>(M754*4+N754*2)/2</f>
        <v>12</v>
      </c>
      <c r="L754" s="578"/>
      <c r="M754" s="578">
        <v>6</v>
      </c>
      <c r="N754" s="579"/>
      <c r="O754" s="579"/>
      <c r="P754" s="579"/>
      <c r="Q754" s="579"/>
      <c r="R754" s="579"/>
      <c r="S754" s="579"/>
      <c r="T754" s="579"/>
      <c r="U754" s="575"/>
      <c r="V754" s="575">
        <v>1</v>
      </c>
      <c r="W754" s="575">
        <v>1</v>
      </c>
      <c r="X754" s="575"/>
      <c r="Y754" s="575"/>
      <c r="Z754" s="575">
        <v>2</v>
      </c>
      <c r="AA754" s="583"/>
    </row>
    <row r="755" spans="1:27" s="584" customFormat="1" ht="13.9" customHeight="1" x14ac:dyDescent="0.2">
      <c r="A755" s="575"/>
      <c r="B755" s="583"/>
      <c r="C755" s="583"/>
      <c r="D755" s="583"/>
      <c r="E755" s="576">
        <v>437.95499999999998</v>
      </c>
      <c r="F755" s="576">
        <f>+CEILING(E755,5)</f>
        <v>440</v>
      </c>
      <c r="G755" s="575"/>
      <c r="H755" s="575">
        <f>F755*36</f>
        <v>15840</v>
      </c>
      <c r="I755" s="577">
        <f>F755</f>
        <v>440</v>
      </c>
      <c r="J755" s="580"/>
      <c r="K755" s="578"/>
      <c r="L755" s="580"/>
      <c r="M755" s="578"/>
      <c r="N755" s="580"/>
      <c r="O755" s="580"/>
      <c r="P755" s="580"/>
      <c r="Q755" s="580"/>
      <c r="R755" s="578">
        <v>42</v>
      </c>
      <c r="S755" s="580"/>
      <c r="T755" s="580"/>
      <c r="U755" s="580"/>
      <c r="V755" s="575"/>
      <c r="W755" s="575"/>
      <c r="X755" s="580"/>
      <c r="Y755" s="580"/>
      <c r="Z755" s="575"/>
      <c r="AA755" s="583"/>
    </row>
    <row r="756" spans="1:27" s="584" customFormat="1" ht="13.9" customHeight="1" x14ac:dyDescent="0.2">
      <c r="A756" s="575">
        <f>A754+1</f>
        <v>375</v>
      </c>
      <c r="B756" s="583" t="s">
        <v>97</v>
      </c>
      <c r="C756" s="583" t="s">
        <v>239</v>
      </c>
      <c r="D756" s="583" t="s">
        <v>1133</v>
      </c>
      <c r="E756" s="576"/>
      <c r="F756" s="576"/>
      <c r="G756" s="575"/>
      <c r="H756" s="575"/>
      <c r="I756" s="577"/>
      <c r="J756" s="578">
        <v>48</v>
      </c>
      <c r="K756" s="580"/>
      <c r="L756" s="578">
        <v>12</v>
      </c>
      <c r="M756" s="580"/>
      <c r="N756" s="580"/>
      <c r="O756" s="580"/>
      <c r="P756" s="580"/>
      <c r="Q756" s="580"/>
      <c r="R756" s="579"/>
      <c r="S756" s="575">
        <v>30</v>
      </c>
      <c r="T756" s="580"/>
      <c r="U756" s="575">
        <v>2</v>
      </c>
      <c r="V756" s="580"/>
      <c r="W756" s="575">
        <v>2</v>
      </c>
      <c r="X756" s="580"/>
      <c r="Y756" s="580"/>
      <c r="Z756" s="575">
        <v>4</v>
      </c>
      <c r="AA756" s="583"/>
    </row>
    <row r="757" spans="1:27" s="584" customFormat="1" ht="13.9" customHeight="1" x14ac:dyDescent="0.2">
      <c r="A757" s="575"/>
      <c r="B757" s="583"/>
      <c r="C757" s="583"/>
      <c r="D757" s="583"/>
      <c r="E757" s="576">
        <v>413.81</v>
      </c>
      <c r="F757" s="576">
        <f>+CEILING(E757,5)</f>
        <v>415</v>
      </c>
      <c r="G757" s="575"/>
      <c r="H757" s="575">
        <f>F757*36</f>
        <v>14940</v>
      </c>
      <c r="I757" s="577">
        <f>F757</f>
        <v>415</v>
      </c>
      <c r="J757" s="580"/>
      <c r="K757" s="578"/>
      <c r="L757" s="580"/>
      <c r="M757" s="578"/>
      <c r="N757" s="580"/>
      <c r="O757" s="580"/>
      <c r="P757" s="580"/>
      <c r="Q757" s="580"/>
      <c r="R757" s="578">
        <v>42</v>
      </c>
      <c r="S757" s="580"/>
      <c r="T757" s="580"/>
      <c r="U757" s="580"/>
      <c r="V757" s="575"/>
      <c r="W757" s="575"/>
      <c r="X757" s="580"/>
      <c r="Y757" s="580"/>
      <c r="Z757" s="575"/>
      <c r="AA757" s="583"/>
    </row>
    <row r="758" spans="1:27" s="584" customFormat="1" ht="13.9" customHeight="1" x14ac:dyDescent="0.2">
      <c r="A758" s="575">
        <f>A756+1</f>
        <v>376</v>
      </c>
      <c r="B758" s="583" t="s">
        <v>768</v>
      </c>
      <c r="C758" s="583" t="s">
        <v>232</v>
      </c>
      <c r="D758" s="583"/>
      <c r="E758" s="576"/>
      <c r="F758" s="576"/>
      <c r="G758" s="575"/>
      <c r="H758" s="575"/>
      <c r="I758" s="577"/>
      <c r="J758" s="580"/>
      <c r="K758" s="578">
        <f>(M758*4+N758*2)/2</f>
        <v>12</v>
      </c>
      <c r="L758" s="578"/>
      <c r="M758" s="578">
        <v>6</v>
      </c>
      <c r="N758" s="579"/>
      <c r="O758" s="579"/>
      <c r="P758" s="579"/>
      <c r="Q758" s="579"/>
      <c r="R758" s="579"/>
      <c r="S758" s="579"/>
      <c r="T758" s="579"/>
      <c r="U758" s="575"/>
      <c r="V758" s="575">
        <v>1</v>
      </c>
      <c r="W758" s="575">
        <v>1</v>
      </c>
      <c r="X758" s="575"/>
      <c r="Y758" s="575"/>
      <c r="Z758" s="575">
        <v>2</v>
      </c>
      <c r="AA758" s="583"/>
    </row>
    <row r="759" spans="1:27" s="584" customFormat="1" ht="13.9" customHeight="1" x14ac:dyDescent="0.2">
      <c r="A759" s="575"/>
      <c r="B759" s="583"/>
      <c r="C759" s="583"/>
      <c r="D759" s="583"/>
      <c r="E759" s="576">
        <v>424.2</v>
      </c>
      <c r="F759" s="576">
        <f>+CEILING(E759,5)</f>
        <v>425</v>
      </c>
      <c r="G759" s="575"/>
      <c r="H759" s="575">
        <f>F759*36</f>
        <v>15300</v>
      </c>
      <c r="I759" s="577">
        <f>F759</f>
        <v>425</v>
      </c>
      <c r="J759" s="580"/>
      <c r="K759" s="578"/>
      <c r="L759" s="580"/>
      <c r="M759" s="578"/>
      <c r="N759" s="580"/>
      <c r="O759" s="580"/>
      <c r="P759" s="580"/>
      <c r="Q759" s="580"/>
      <c r="R759" s="578">
        <v>42</v>
      </c>
      <c r="S759" s="580"/>
      <c r="T759" s="580"/>
      <c r="U759" s="580"/>
      <c r="V759" s="575"/>
      <c r="W759" s="575"/>
      <c r="X759" s="580"/>
      <c r="Y759" s="580"/>
      <c r="Z759" s="575"/>
      <c r="AA759" s="583"/>
    </row>
    <row r="760" spans="1:27" s="584" customFormat="1" ht="13.9" customHeight="1" x14ac:dyDescent="0.2">
      <c r="A760" s="575">
        <f>A758+1</f>
        <v>377</v>
      </c>
      <c r="B760" s="583" t="s">
        <v>769</v>
      </c>
      <c r="C760" s="583" t="s">
        <v>20</v>
      </c>
      <c r="D760" s="583"/>
      <c r="E760" s="576"/>
      <c r="F760" s="576"/>
      <c r="G760" s="575"/>
      <c r="H760" s="575"/>
      <c r="I760" s="577"/>
      <c r="J760" s="580"/>
      <c r="K760" s="578">
        <f>(M760*4+N760*2)/2</f>
        <v>12</v>
      </c>
      <c r="L760" s="578"/>
      <c r="M760" s="578">
        <v>6</v>
      </c>
      <c r="N760" s="579"/>
      <c r="O760" s="579"/>
      <c r="P760" s="579"/>
      <c r="Q760" s="579"/>
      <c r="R760" s="579"/>
      <c r="S760" s="579"/>
      <c r="T760" s="579"/>
      <c r="U760" s="575"/>
      <c r="V760" s="575">
        <v>1</v>
      </c>
      <c r="W760" s="575">
        <v>1</v>
      </c>
      <c r="X760" s="575"/>
      <c r="Y760" s="575"/>
      <c r="Z760" s="575">
        <v>2</v>
      </c>
      <c r="AA760" s="583"/>
    </row>
    <row r="761" spans="1:27" s="584" customFormat="1" ht="13.9" customHeight="1" x14ac:dyDescent="0.2">
      <c r="A761" s="575"/>
      <c r="B761" s="583"/>
      <c r="C761" s="583"/>
      <c r="D761" s="583"/>
      <c r="E761" s="576">
        <v>414.52100000000002</v>
      </c>
      <c r="F761" s="576">
        <f>+CEILING(E761,5)</f>
        <v>415</v>
      </c>
      <c r="G761" s="575"/>
      <c r="H761" s="575">
        <f>F761*36</f>
        <v>14940</v>
      </c>
      <c r="I761" s="577">
        <f>F761</f>
        <v>415</v>
      </c>
      <c r="J761" s="580"/>
      <c r="K761" s="578"/>
      <c r="L761" s="580"/>
      <c r="M761" s="578"/>
      <c r="N761" s="580"/>
      <c r="O761" s="580"/>
      <c r="P761" s="580"/>
      <c r="Q761" s="580"/>
      <c r="R761" s="578">
        <v>42</v>
      </c>
      <c r="S761" s="580"/>
      <c r="T761" s="580"/>
      <c r="U761" s="580"/>
      <c r="V761" s="575"/>
      <c r="W761" s="575"/>
      <c r="X761" s="580"/>
      <c r="Y761" s="580"/>
      <c r="Z761" s="575"/>
      <c r="AA761" s="583"/>
    </row>
    <row r="762" spans="1:27" s="584" customFormat="1" ht="13.9" customHeight="1" x14ac:dyDescent="0.2">
      <c r="A762" s="575">
        <f>A760+1</f>
        <v>378</v>
      </c>
      <c r="B762" s="583" t="s">
        <v>770</v>
      </c>
      <c r="C762" s="583" t="s">
        <v>20</v>
      </c>
      <c r="D762" s="583"/>
      <c r="E762" s="576"/>
      <c r="F762" s="576"/>
      <c r="G762" s="575"/>
      <c r="H762" s="575"/>
      <c r="I762" s="577"/>
      <c r="J762" s="580"/>
      <c r="K762" s="578">
        <f>(M762*4+N762*2)/2</f>
        <v>12</v>
      </c>
      <c r="L762" s="578"/>
      <c r="M762" s="578">
        <v>6</v>
      </c>
      <c r="N762" s="579"/>
      <c r="O762" s="579"/>
      <c r="P762" s="579"/>
      <c r="Q762" s="579"/>
      <c r="R762" s="579"/>
      <c r="S762" s="579"/>
      <c r="T762" s="579"/>
      <c r="U762" s="575"/>
      <c r="V762" s="575">
        <v>1</v>
      </c>
      <c r="W762" s="575">
        <v>1</v>
      </c>
      <c r="X762" s="575"/>
      <c r="Y762" s="575"/>
      <c r="Z762" s="575">
        <v>2</v>
      </c>
      <c r="AA762" s="583"/>
    </row>
    <row r="763" spans="1:27" s="584" customFormat="1" ht="13.9" customHeight="1" x14ac:dyDescent="0.2">
      <c r="A763" s="575"/>
      <c r="B763" s="583"/>
      <c r="C763" s="583"/>
      <c r="D763" s="583"/>
      <c r="E763" s="576">
        <v>425.58100000000002</v>
      </c>
      <c r="F763" s="576">
        <f>+CEILING(E763,5)</f>
        <v>430</v>
      </c>
      <c r="G763" s="575"/>
      <c r="H763" s="575">
        <f>F763*36</f>
        <v>15480</v>
      </c>
      <c r="I763" s="577">
        <f>F763</f>
        <v>430</v>
      </c>
      <c r="J763" s="580"/>
      <c r="K763" s="578"/>
      <c r="L763" s="580"/>
      <c r="M763" s="578"/>
      <c r="N763" s="580"/>
      <c r="O763" s="580"/>
      <c r="P763" s="580"/>
      <c r="Q763" s="580"/>
      <c r="R763" s="578">
        <v>42</v>
      </c>
      <c r="S763" s="580"/>
      <c r="T763" s="580"/>
      <c r="U763" s="580"/>
      <c r="V763" s="575"/>
      <c r="W763" s="575"/>
      <c r="X763" s="580"/>
      <c r="Y763" s="580"/>
      <c r="Z763" s="575"/>
      <c r="AA763" s="583"/>
    </row>
    <row r="764" spans="1:27" s="584" customFormat="1" ht="13.9" customHeight="1" x14ac:dyDescent="0.2">
      <c r="A764" s="575">
        <f>A762+1</f>
        <v>379</v>
      </c>
      <c r="B764" s="583" t="s">
        <v>771</v>
      </c>
      <c r="C764" s="583" t="s">
        <v>20</v>
      </c>
      <c r="D764" s="583"/>
      <c r="E764" s="576"/>
      <c r="F764" s="576"/>
      <c r="G764" s="575"/>
      <c r="H764" s="575"/>
      <c r="I764" s="577"/>
      <c r="J764" s="580"/>
      <c r="K764" s="578">
        <f>(M764*4+N764*2)/2</f>
        <v>12</v>
      </c>
      <c r="L764" s="578"/>
      <c r="M764" s="578">
        <v>6</v>
      </c>
      <c r="N764" s="579"/>
      <c r="O764" s="579"/>
      <c r="P764" s="579"/>
      <c r="Q764" s="579"/>
      <c r="R764" s="579"/>
      <c r="S764" s="579"/>
      <c r="T764" s="579"/>
      <c r="U764" s="575"/>
      <c r="V764" s="575">
        <v>1</v>
      </c>
      <c r="W764" s="575">
        <v>1</v>
      </c>
      <c r="X764" s="575"/>
      <c r="Y764" s="575"/>
      <c r="Z764" s="575">
        <v>2</v>
      </c>
      <c r="AA764" s="583"/>
    </row>
    <row r="765" spans="1:27" s="584" customFormat="1" ht="13.9" customHeight="1" x14ac:dyDescent="0.2">
      <c r="A765" s="575"/>
      <c r="B765" s="583"/>
      <c r="C765" s="583"/>
      <c r="D765" s="583"/>
      <c r="E765" s="576">
        <v>412.27</v>
      </c>
      <c r="F765" s="576">
        <f>+CEILING(E765,5)</f>
        <v>415</v>
      </c>
      <c r="G765" s="575"/>
      <c r="H765" s="575">
        <f>F765*36</f>
        <v>14940</v>
      </c>
      <c r="I765" s="577">
        <f>F765</f>
        <v>415</v>
      </c>
      <c r="J765" s="580"/>
      <c r="K765" s="578"/>
      <c r="L765" s="580"/>
      <c r="M765" s="578"/>
      <c r="N765" s="580"/>
      <c r="O765" s="580"/>
      <c r="P765" s="580"/>
      <c r="Q765" s="580"/>
      <c r="R765" s="578">
        <v>42</v>
      </c>
      <c r="S765" s="580"/>
      <c r="T765" s="580"/>
      <c r="U765" s="580"/>
      <c r="V765" s="575"/>
      <c r="W765" s="575"/>
      <c r="X765" s="580"/>
      <c r="Y765" s="580"/>
      <c r="Z765" s="575"/>
      <c r="AA765" s="583"/>
    </row>
    <row r="766" spans="1:27" s="584" customFormat="1" ht="13.9" customHeight="1" x14ac:dyDescent="0.2">
      <c r="A766" s="575">
        <f>A764+1</f>
        <v>380</v>
      </c>
      <c r="B766" s="583" t="s">
        <v>772</v>
      </c>
      <c r="C766" s="583" t="s">
        <v>20</v>
      </c>
      <c r="D766" s="583"/>
      <c r="E766" s="576"/>
      <c r="F766" s="576"/>
      <c r="G766" s="575"/>
      <c r="H766" s="575"/>
      <c r="I766" s="577"/>
      <c r="J766" s="580"/>
      <c r="K766" s="578">
        <f>(M766*4+N766*2)/2</f>
        <v>12</v>
      </c>
      <c r="L766" s="578"/>
      <c r="M766" s="578">
        <v>6</v>
      </c>
      <c r="N766" s="579"/>
      <c r="O766" s="579"/>
      <c r="P766" s="579"/>
      <c r="Q766" s="579"/>
      <c r="R766" s="579"/>
      <c r="S766" s="579"/>
      <c r="T766" s="579"/>
      <c r="U766" s="575"/>
      <c r="V766" s="575">
        <v>1</v>
      </c>
      <c r="W766" s="575">
        <v>1</v>
      </c>
      <c r="X766" s="575"/>
      <c r="Y766" s="575"/>
      <c r="Z766" s="575">
        <v>2</v>
      </c>
      <c r="AA766" s="583"/>
    </row>
    <row r="767" spans="1:27" s="584" customFormat="1" ht="13.9" customHeight="1" x14ac:dyDescent="0.2">
      <c r="A767" s="575"/>
      <c r="B767" s="583"/>
      <c r="C767" s="583"/>
      <c r="D767" s="583"/>
      <c r="E767" s="576">
        <v>374.12700000000001</v>
      </c>
      <c r="F767" s="576">
        <f>+CEILING(E767,5)</f>
        <v>375</v>
      </c>
      <c r="G767" s="575"/>
      <c r="H767" s="575">
        <f>F767*36</f>
        <v>13500</v>
      </c>
      <c r="I767" s="577">
        <f>F767</f>
        <v>375</v>
      </c>
      <c r="J767" s="582"/>
      <c r="K767" s="580"/>
      <c r="L767" s="582"/>
      <c r="M767" s="580"/>
      <c r="N767" s="580"/>
      <c r="O767" s="580"/>
      <c r="P767" s="580"/>
      <c r="Q767" s="580"/>
      <c r="R767" s="578">
        <v>36</v>
      </c>
      <c r="S767" s="579"/>
      <c r="T767" s="580"/>
      <c r="U767" s="575"/>
      <c r="V767" s="580"/>
      <c r="W767" s="575"/>
      <c r="X767" s="580"/>
      <c r="Y767" s="580"/>
      <c r="Z767" s="575"/>
      <c r="AA767" s="583"/>
    </row>
    <row r="768" spans="1:27" s="584" customFormat="1" ht="13.9" customHeight="1" x14ac:dyDescent="0.2">
      <c r="A768" s="575">
        <f>A766+1</f>
        <v>381</v>
      </c>
      <c r="B768" s="583" t="s">
        <v>773</v>
      </c>
      <c r="C768" s="583" t="s">
        <v>231</v>
      </c>
      <c r="D768" s="583"/>
      <c r="E768" s="576"/>
      <c r="F768" s="576"/>
      <c r="G768" s="575"/>
      <c r="H768" s="575"/>
      <c r="I768" s="577"/>
      <c r="J768" s="580"/>
      <c r="K768" s="578">
        <f>(M768*4+N768*2)/2</f>
        <v>12</v>
      </c>
      <c r="L768" s="578"/>
      <c r="M768" s="578">
        <v>6</v>
      </c>
      <c r="N768" s="579"/>
      <c r="O768" s="579"/>
      <c r="P768" s="579"/>
      <c r="Q768" s="579"/>
      <c r="R768" s="579"/>
      <c r="S768" s="579"/>
      <c r="T768" s="579"/>
      <c r="U768" s="575"/>
      <c r="V768" s="575">
        <v>1</v>
      </c>
      <c r="W768" s="575">
        <v>1</v>
      </c>
      <c r="X768" s="575"/>
      <c r="Y768" s="575"/>
      <c r="Z768" s="575">
        <v>2</v>
      </c>
      <c r="AA768" s="583"/>
    </row>
    <row r="769" spans="1:27" s="584" customFormat="1" ht="13.9" customHeight="1" x14ac:dyDescent="0.2">
      <c r="A769" s="575"/>
      <c r="B769" s="583"/>
      <c r="C769" s="583"/>
      <c r="D769" s="583"/>
      <c r="E769" s="576">
        <v>410.05</v>
      </c>
      <c r="F769" s="576">
        <f>+CEILING(E769,5)</f>
        <v>415</v>
      </c>
      <c r="G769" s="575"/>
      <c r="H769" s="575">
        <f>F769*36</f>
        <v>14940</v>
      </c>
      <c r="I769" s="577">
        <f>F769</f>
        <v>415</v>
      </c>
      <c r="J769" s="580"/>
      <c r="K769" s="578"/>
      <c r="L769" s="580"/>
      <c r="M769" s="578"/>
      <c r="N769" s="580"/>
      <c r="O769" s="580"/>
      <c r="P769" s="580"/>
      <c r="Q769" s="580"/>
      <c r="R769" s="578">
        <v>42</v>
      </c>
      <c r="S769" s="580"/>
      <c r="T769" s="580"/>
      <c r="U769" s="580"/>
      <c r="V769" s="575"/>
      <c r="W769" s="575"/>
      <c r="X769" s="580"/>
      <c r="Y769" s="580"/>
      <c r="Z769" s="575"/>
      <c r="AA769" s="583"/>
    </row>
    <row r="770" spans="1:27" s="584" customFormat="1" ht="13.9" customHeight="1" x14ac:dyDescent="0.2">
      <c r="A770" s="575">
        <f>A768+1</f>
        <v>382</v>
      </c>
      <c r="B770" s="583" t="s">
        <v>774</v>
      </c>
      <c r="C770" s="583" t="s">
        <v>20</v>
      </c>
      <c r="D770" s="583"/>
      <c r="E770" s="576"/>
      <c r="F770" s="576"/>
      <c r="G770" s="575"/>
      <c r="H770" s="575"/>
      <c r="I770" s="577"/>
      <c r="J770" s="580"/>
      <c r="K770" s="578">
        <f>(M770*4+N770*2)/2</f>
        <v>12</v>
      </c>
      <c r="L770" s="578"/>
      <c r="M770" s="578">
        <v>6</v>
      </c>
      <c r="N770" s="579"/>
      <c r="O770" s="579"/>
      <c r="P770" s="579"/>
      <c r="Q770" s="579"/>
      <c r="R770" s="579"/>
      <c r="S770" s="579"/>
      <c r="T770" s="579"/>
      <c r="U770" s="575"/>
      <c r="V770" s="575">
        <v>1</v>
      </c>
      <c r="W770" s="575">
        <v>1</v>
      </c>
      <c r="X770" s="575"/>
      <c r="Y770" s="575"/>
      <c r="Z770" s="575">
        <v>2</v>
      </c>
      <c r="AA770" s="583"/>
    </row>
    <row r="771" spans="1:27" s="584" customFormat="1" ht="13.9" customHeight="1" x14ac:dyDescent="0.2">
      <c r="A771" s="575"/>
      <c r="B771" s="583"/>
      <c r="C771" s="583"/>
      <c r="D771" s="583"/>
      <c r="E771" s="576">
        <v>400.35500000000002</v>
      </c>
      <c r="F771" s="576">
        <f>+CEILING(E771,5)</f>
        <v>405</v>
      </c>
      <c r="G771" s="575"/>
      <c r="H771" s="575">
        <f>F771*36</f>
        <v>14580</v>
      </c>
      <c r="I771" s="577">
        <f>F771</f>
        <v>405</v>
      </c>
      <c r="J771" s="580"/>
      <c r="K771" s="578"/>
      <c r="L771" s="580"/>
      <c r="M771" s="578"/>
      <c r="N771" s="580"/>
      <c r="O771" s="580"/>
      <c r="P771" s="580"/>
      <c r="Q771" s="580"/>
      <c r="R771" s="578">
        <v>42</v>
      </c>
      <c r="S771" s="580"/>
      <c r="T771" s="580"/>
      <c r="U771" s="580"/>
      <c r="V771" s="575"/>
      <c r="W771" s="575"/>
      <c r="X771" s="580"/>
      <c r="Y771" s="580"/>
      <c r="Z771" s="575"/>
      <c r="AA771" s="583"/>
    </row>
    <row r="772" spans="1:27" s="584" customFormat="1" ht="13.9" customHeight="1" x14ac:dyDescent="0.2">
      <c r="A772" s="575">
        <f>A770+1</f>
        <v>383</v>
      </c>
      <c r="B772" s="583" t="s">
        <v>775</v>
      </c>
      <c r="C772" s="583" t="s">
        <v>231</v>
      </c>
      <c r="D772" s="583"/>
      <c r="E772" s="576"/>
      <c r="F772" s="576"/>
      <c r="G772" s="575"/>
      <c r="H772" s="575"/>
      <c r="I772" s="577"/>
      <c r="J772" s="580"/>
      <c r="K772" s="578">
        <f>(M772*4+N772*2)/2</f>
        <v>12</v>
      </c>
      <c r="L772" s="578"/>
      <c r="M772" s="578">
        <v>6</v>
      </c>
      <c r="N772" s="579"/>
      <c r="O772" s="579"/>
      <c r="P772" s="579"/>
      <c r="Q772" s="579"/>
      <c r="R772" s="579"/>
      <c r="S772" s="579"/>
      <c r="T772" s="579"/>
      <c r="U772" s="575"/>
      <c r="V772" s="575">
        <v>1</v>
      </c>
      <c r="W772" s="575">
        <v>1</v>
      </c>
      <c r="X772" s="575"/>
      <c r="Y772" s="575"/>
      <c r="Z772" s="575">
        <v>2</v>
      </c>
      <c r="AA772" s="583"/>
    </row>
    <row r="773" spans="1:27" s="584" customFormat="1" ht="13.9" customHeight="1" x14ac:dyDescent="0.2">
      <c r="A773" s="575"/>
      <c r="B773" s="583"/>
      <c r="C773" s="583"/>
      <c r="D773" s="583"/>
      <c r="E773" s="576">
        <v>409.166</v>
      </c>
      <c r="F773" s="576">
        <f>+CEILING(E773,5)</f>
        <v>410</v>
      </c>
      <c r="G773" s="575"/>
      <c r="H773" s="575">
        <f>F773*36</f>
        <v>14760</v>
      </c>
      <c r="I773" s="577">
        <f>F773</f>
        <v>410</v>
      </c>
      <c r="J773" s="580"/>
      <c r="K773" s="578"/>
      <c r="L773" s="580"/>
      <c r="M773" s="578"/>
      <c r="N773" s="580"/>
      <c r="O773" s="580"/>
      <c r="P773" s="580"/>
      <c r="Q773" s="580"/>
      <c r="R773" s="578">
        <v>42</v>
      </c>
      <c r="S773" s="580"/>
      <c r="T773" s="580"/>
      <c r="U773" s="580"/>
      <c r="V773" s="575"/>
      <c r="W773" s="575"/>
      <c r="X773" s="580"/>
      <c r="Y773" s="580"/>
      <c r="Z773" s="575"/>
      <c r="AA773" s="583"/>
    </row>
    <row r="774" spans="1:27" s="584" customFormat="1" ht="13.9" customHeight="1" x14ac:dyDescent="0.2">
      <c r="A774" s="575">
        <f>A772+1</f>
        <v>384</v>
      </c>
      <c r="B774" s="583" t="s">
        <v>776</v>
      </c>
      <c r="C774" s="583" t="s">
        <v>20</v>
      </c>
      <c r="D774" s="583"/>
      <c r="E774" s="576"/>
      <c r="F774" s="576"/>
      <c r="G774" s="575"/>
      <c r="H774" s="575"/>
      <c r="I774" s="577"/>
      <c r="J774" s="580"/>
      <c r="K774" s="578">
        <f>(M774*4+N774*2)/2</f>
        <v>12</v>
      </c>
      <c r="L774" s="578"/>
      <c r="M774" s="578">
        <v>6</v>
      </c>
      <c r="N774" s="579"/>
      <c r="O774" s="579"/>
      <c r="P774" s="579"/>
      <c r="Q774" s="579"/>
      <c r="R774" s="579"/>
      <c r="S774" s="579"/>
      <c r="T774" s="579"/>
      <c r="U774" s="575"/>
      <c r="V774" s="575">
        <v>1</v>
      </c>
      <c r="W774" s="575">
        <v>1</v>
      </c>
      <c r="X774" s="575"/>
      <c r="Y774" s="575"/>
      <c r="Z774" s="575">
        <v>2</v>
      </c>
      <c r="AA774" s="583"/>
    </row>
    <row r="775" spans="1:27" s="584" customFormat="1" ht="13.9" customHeight="1" x14ac:dyDescent="0.2">
      <c r="A775" s="575"/>
      <c r="B775" s="583"/>
      <c r="C775" s="583"/>
      <c r="D775" s="583"/>
      <c r="E775" s="576">
        <v>400.96699999999998</v>
      </c>
      <c r="F775" s="576">
        <f>+CEILING(E775,5)</f>
        <v>405</v>
      </c>
      <c r="G775" s="575"/>
      <c r="H775" s="575">
        <f>F775*36</f>
        <v>14580</v>
      </c>
      <c r="I775" s="577">
        <f>F775</f>
        <v>405</v>
      </c>
      <c r="J775" s="580"/>
      <c r="K775" s="578"/>
      <c r="L775" s="580"/>
      <c r="M775" s="578"/>
      <c r="N775" s="580"/>
      <c r="O775" s="580"/>
      <c r="P775" s="580"/>
      <c r="Q775" s="580"/>
      <c r="R775" s="578">
        <v>42</v>
      </c>
      <c r="S775" s="580"/>
      <c r="T775" s="580"/>
      <c r="U775" s="580"/>
      <c r="V775" s="575"/>
      <c r="W775" s="575"/>
      <c r="X775" s="580"/>
      <c r="Y775" s="580"/>
      <c r="Z775" s="575"/>
      <c r="AA775" s="583"/>
    </row>
    <row r="776" spans="1:27" s="584" customFormat="1" ht="13.9" customHeight="1" x14ac:dyDescent="0.2">
      <c r="A776" s="575">
        <f>A774+1</f>
        <v>385</v>
      </c>
      <c r="B776" s="583" t="s">
        <v>777</v>
      </c>
      <c r="C776" s="583" t="s">
        <v>231</v>
      </c>
      <c r="D776" s="583"/>
      <c r="E776" s="576"/>
      <c r="F776" s="576"/>
      <c r="G776" s="575"/>
      <c r="H776" s="575"/>
      <c r="I776" s="577"/>
      <c r="J776" s="580"/>
      <c r="K776" s="578">
        <f>(M776*4+N776*2)/2</f>
        <v>12</v>
      </c>
      <c r="L776" s="578"/>
      <c r="M776" s="578">
        <v>6</v>
      </c>
      <c r="N776" s="579"/>
      <c r="O776" s="579"/>
      <c r="P776" s="579"/>
      <c r="Q776" s="579"/>
      <c r="R776" s="579"/>
      <c r="S776" s="579"/>
      <c r="T776" s="579"/>
      <c r="U776" s="575"/>
      <c r="V776" s="575">
        <v>1</v>
      </c>
      <c r="W776" s="575">
        <v>1</v>
      </c>
      <c r="X776" s="575"/>
      <c r="Y776" s="575"/>
      <c r="Z776" s="575">
        <v>2</v>
      </c>
      <c r="AA776" s="583"/>
    </row>
    <row r="777" spans="1:27" s="584" customFormat="1" ht="13.9" customHeight="1" x14ac:dyDescent="0.2">
      <c r="A777" s="575"/>
      <c r="B777" s="583"/>
      <c r="C777" s="583"/>
      <c r="D777" s="583"/>
      <c r="E777" s="576">
        <v>394.536</v>
      </c>
      <c r="F777" s="576">
        <f>+CEILING(E777,5)</f>
        <v>395</v>
      </c>
      <c r="G777" s="575"/>
      <c r="H777" s="575">
        <f>F777*36</f>
        <v>14220</v>
      </c>
      <c r="I777" s="577">
        <f>F777</f>
        <v>395</v>
      </c>
      <c r="J777" s="580"/>
      <c r="K777" s="578"/>
      <c r="L777" s="580"/>
      <c r="M777" s="578"/>
      <c r="N777" s="580"/>
      <c r="O777" s="580"/>
      <c r="P777" s="580"/>
      <c r="Q777" s="580"/>
      <c r="R777" s="578">
        <v>42</v>
      </c>
      <c r="S777" s="580"/>
      <c r="T777" s="580"/>
      <c r="U777" s="580"/>
      <c r="V777" s="575"/>
      <c r="W777" s="575"/>
      <c r="X777" s="580"/>
      <c r="Y777" s="580"/>
      <c r="Z777" s="575"/>
      <c r="AA777" s="583"/>
    </row>
    <row r="778" spans="1:27" s="584" customFormat="1" x14ac:dyDescent="0.2">
      <c r="A778" s="575">
        <f>A776+1</f>
        <v>386</v>
      </c>
      <c r="B778" s="583" t="s">
        <v>778</v>
      </c>
      <c r="C778" s="583" t="s">
        <v>20</v>
      </c>
      <c r="D778" s="583"/>
      <c r="E778" s="576"/>
      <c r="F778" s="576"/>
      <c r="G778" s="580"/>
      <c r="H778" s="575"/>
      <c r="I778" s="577"/>
      <c r="J778" s="580"/>
      <c r="K778" s="578">
        <f>(M778*4+N778*2)/2</f>
        <v>12</v>
      </c>
      <c r="L778" s="578"/>
      <c r="M778" s="578">
        <v>6</v>
      </c>
      <c r="N778" s="579"/>
      <c r="O778" s="579"/>
      <c r="P778" s="579"/>
      <c r="Q778" s="579"/>
      <c r="R778" s="579"/>
      <c r="S778" s="579"/>
      <c r="T778" s="579"/>
      <c r="U778" s="575"/>
      <c r="V778" s="575">
        <v>1</v>
      </c>
      <c r="W778" s="575">
        <v>1</v>
      </c>
      <c r="X778" s="575"/>
      <c r="Y778" s="575"/>
      <c r="Z778" s="575">
        <v>2</v>
      </c>
      <c r="AA778" s="583"/>
    </row>
    <row r="779" spans="1:27" s="584" customFormat="1" ht="13.9" customHeight="1" x14ac:dyDescent="0.2">
      <c r="A779" s="575"/>
      <c r="B779" s="583"/>
      <c r="C779" s="583"/>
      <c r="D779" s="583"/>
      <c r="E779" s="576">
        <v>397.858</v>
      </c>
      <c r="F779" s="576">
        <f>+CEILING(E779,5)</f>
        <v>400</v>
      </c>
      <c r="G779" s="575"/>
      <c r="H779" s="575">
        <f>F779*36</f>
        <v>14400</v>
      </c>
      <c r="I779" s="577">
        <f>F779</f>
        <v>400</v>
      </c>
      <c r="J779" s="582"/>
      <c r="K779" s="580"/>
      <c r="L779" s="582"/>
      <c r="M779" s="580"/>
      <c r="N779" s="580"/>
      <c r="O779" s="580"/>
      <c r="P779" s="580"/>
      <c r="Q779" s="580"/>
      <c r="R779" s="578">
        <v>42</v>
      </c>
      <c r="S779" s="579"/>
      <c r="T779" s="580"/>
      <c r="U779" s="575"/>
      <c r="V779" s="580"/>
      <c r="W779" s="575"/>
      <c r="X779" s="580"/>
      <c r="Y779" s="580"/>
      <c r="Z779" s="575"/>
      <c r="AA779" s="583"/>
    </row>
    <row r="780" spans="1:27" s="584" customFormat="1" ht="13.9" customHeight="1" x14ac:dyDescent="0.2">
      <c r="A780" s="575">
        <f>A778+1</f>
        <v>387</v>
      </c>
      <c r="B780" s="583" t="s">
        <v>98</v>
      </c>
      <c r="C780" s="583" t="s">
        <v>245</v>
      </c>
      <c r="D780" s="583" t="s">
        <v>1134</v>
      </c>
      <c r="E780" s="576"/>
      <c r="F780" s="576"/>
      <c r="G780" s="575"/>
      <c r="H780" s="575"/>
      <c r="I780" s="577"/>
      <c r="J780" s="578">
        <v>48</v>
      </c>
      <c r="K780" s="580"/>
      <c r="L780" s="578">
        <v>12</v>
      </c>
      <c r="M780" s="580"/>
      <c r="N780" s="580"/>
      <c r="O780" s="580"/>
      <c r="P780" s="580"/>
      <c r="Q780" s="580"/>
      <c r="R780" s="579"/>
      <c r="S780" s="575">
        <v>30</v>
      </c>
      <c r="T780" s="580"/>
      <c r="U780" s="575">
        <v>2</v>
      </c>
      <c r="V780" s="580"/>
      <c r="W780" s="575">
        <v>2</v>
      </c>
      <c r="X780" s="580"/>
      <c r="Y780" s="580"/>
      <c r="Z780" s="575">
        <v>4</v>
      </c>
      <c r="AA780" s="583"/>
    </row>
    <row r="781" spans="1:27" s="584" customFormat="1" ht="13.9" customHeight="1" x14ac:dyDescent="0.2">
      <c r="A781" s="575"/>
      <c r="B781" s="583"/>
      <c r="C781" s="583"/>
      <c r="D781" s="583"/>
      <c r="E781" s="576">
        <v>405.65600000000001</v>
      </c>
      <c r="F781" s="576">
        <f>+CEILING(E781,5)</f>
        <v>410</v>
      </c>
      <c r="G781" s="575"/>
      <c r="H781" s="575">
        <f>F781*36</f>
        <v>14760</v>
      </c>
      <c r="I781" s="577">
        <f>F781</f>
        <v>410</v>
      </c>
      <c r="J781" s="580"/>
      <c r="K781" s="578"/>
      <c r="L781" s="580"/>
      <c r="M781" s="578"/>
      <c r="N781" s="580"/>
      <c r="O781" s="580"/>
      <c r="P781" s="580"/>
      <c r="Q781" s="580"/>
      <c r="R781" s="578">
        <v>42</v>
      </c>
      <c r="S781" s="580"/>
      <c r="T781" s="580"/>
      <c r="U781" s="580"/>
      <c r="V781" s="575"/>
      <c r="W781" s="575"/>
      <c r="X781" s="580"/>
      <c r="Y781" s="580"/>
      <c r="Z781" s="575"/>
      <c r="AA781" s="583"/>
    </row>
    <row r="782" spans="1:27" s="584" customFormat="1" ht="13.9" customHeight="1" x14ac:dyDescent="0.2">
      <c r="A782" s="575">
        <f>A780+1</f>
        <v>388</v>
      </c>
      <c r="B782" s="583" t="s">
        <v>779</v>
      </c>
      <c r="C782" s="583" t="s">
        <v>232</v>
      </c>
      <c r="D782" s="583"/>
      <c r="E782" s="576"/>
      <c r="F782" s="576"/>
      <c r="G782" s="575"/>
      <c r="H782" s="575"/>
      <c r="I782" s="577"/>
      <c r="J782" s="580"/>
      <c r="K782" s="578">
        <f>(M782*4+N782*2)/2</f>
        <v>12</v>
      </c>
      <c r="L782" s="578"/>
      <c r="M782" s="578">
        <v>6</v>
      </c>
      <c r="N782" s="579"/>
      <c r="O782" s="579"/>
      <c r="P782" s="579"/>
      <c r="Q782" s="579"/>
      <c r="R782" s="579"/>
      <c r="S782" s="579"/>
      <c r="T782" s="579"/>
      <c r="U782" s="575"/>
      <c r="V782" s="575">
        <v>1</v>
      </c>
      <c r="W782" s="575">
        <v>1</v>
      </c>
      <c r="X782" s="575"/>
      <c r="Y782" s="575"/>
      <c r="Z782" s="575">
        <v>2</v>
      </c>
      <c r="AA782" s="583"/>
    </row>
    <row r="783" spans="1:27" s="584" customFormat="1" ht="13.9" customHeight="1" x14ac:dyDescent="0.2">
      <c r="A783" s="575"/>
      <c r="B783" s="583"/>
      <c r="C783" s="583"/>
      <c r="D783" s="583"/>
      <c r="E783" s="576">
        <v>433.15800000000002</v>
      </c>
      <c r="F783" s="576">
        <f>+CEILING(E783,5)</f>
        <v>435</v>
      </c>
      <c r="G783" s="575"/>
      <c r="H783" s="575">
        <f>F783*36</f>
        <v>15660</v>
      </c>
      <c r="I783" s="577">
        <f>F783</f>
        <v>435</v>
      </c>
      <c r="J783" s="580"/>
      <c r="K783" s="578"/>
      <c r="L783" s="580"/>
      <c r="M783" s="578"/>
      <c r="N783" s="580"/>
      <c r="O783" s="580"/>
      <c r="P783" s="580"/>
      <c r="Q783" s="580"/>
      <c r="R783" s="578">
        <v>42</v>
      </c>
      <c r="S783" s="580"/>
      <c r="T783" s="580"/>
      <c r="U783" s="580"/>
      <c r="V783" s="575"/>
      <c r="W783" s="575"/>
      <c r="X783" s="580"/>
      <c r="Y783" s="580"/>
      <c r="Z783" s="575"/>
      <c r="AA783" s="583"/>
    </row>
    <row r="784" spans="1:27" s="584" customFormat="1" ht="13.9" customHeight="1" x14ac:dyDescent="0.2">
      <c r="A784" s="575">
        <f>A782+1</f>
        <v>389</v>
      </c>
      <c r="B784" s="583" t="s">
        <v>780</v>
      </c>
      <c r="C784" s="583" t="s">
        <v>232</v>
      </c>
      <c r="D784" s="583"/>
      <c r="E784" s="576"/>
      <c r="F784" s="576"/>
      <c r="G784" s="575"/>
      <c r="H784" s="575"/>
      <c r="I784" s="577"/>
      <c r="J784" s="580"/>
      <c r="K784" s="578">
        <f>(M784*4+N784*2)/2</f>
        <v>12</v>
      </c>
      <c r="L784" s="578"/>
      <c r="M784" s="578">
        <v>6</v>
      </c>
      <c r="N784" s="579"/>
      <c r="O784" s="579"/>
      <c r="P784" s="579"/>
      <c r="Q784" s="579"/>
      <c r="R784" s="579"/>
      <c r="S784" s="579"/>
      <c r="T784" s="579"/>
      <c r="U784" s="575"/>
      <c r="V784" s="575">
        <v>1</v>
      </c>
      <c r="W784" s="575">
        <v>1</v>
      </c>
      <c r="X784" s="575"/>
      <c r="Y784" s="575"/>
      <c r="Z784" s="575">
        <v>2</v>
      </c>
      <c r="AA784" s="583"/>
    </row>
    <row r="785" spans="1:27" s="584" customFormat="1" ht="13.9" customHeight="1" x14ac:dyDescent="0.2">
      <c r="A785" s="575"/>
      <c r="B785" s="583"/>
      <c r="C785" s="583"/>
      <c r="D785" s="583"/>
      <c r="E785" s="576">
        <v>400.923</v>
      </c>
      <c r="F785" s="576">
        <f>+CEILING(E785,5)</f>
        <v>405</v>
      </c>
      <c r="G785" s="575"/>
      <c r="H785" s="575">
        <f>F785*36</f>
        <v>14580</v>
      </c>
      <c r="I785" s="577">
        <f>F785</f>
        <v>405</v>
      </c>
      <c r="J785" s="580"/>
      <c r="K785" s="578"/>
      <c r="L785" s="580"/>
      <c r="M785" s="578"/>
      <c r="N785" s="580"/>
      <c r="O785" s="580"/>
      <c r="P785" s="580"/>
      <c r="Q785" s="580"/>
      <c r="R785" s="578">
        <v>42</v>
      </c>
      <c r="S785" s="580"/>
      <c r="T785" s="580"/>
      <c r="U785" s="580"/>
      <c r="V785" s="575"/>
      <c r="W785" s="575"/>
      <c r="X785" s="580"/>
      <c r="Y785" s="580"/>
      <c r="Z785" s="575"/>
      <c r="AA785" s="583"/>
    </row>
    <row r="786" spans="1:27" s="584" customFormat="1" ht="13.9" customHeight="1" x14ac:dyDescent="0.2">
      <c r="A786" s="575">
        <f>A784+1</f>
        <v>390</v>
      </c>
      <c r="B786" s="583" t="s">
        <v>781</v>
      </c>
      <c r="C786" s="583" t="s">
        <v>232</v>
      </c>
      <c r="D786" s="583"/>
      <c r="E786" s="576"/>
      <c r="F786" s="576"/>
      <c r="G786" s="575"/>
      <c r="H786" s="575"/>
      <c r="I786" s="577"/>
      <c r="J786" s="580"/>
      <c r="K786" s="578">
        <f>(M786*4+N786*2)/2</f>
        <v>12</v>
      </c>
      <c r="L786" s="578"/>
      <c r="M786" s="578">
        <v>6</v>
      </c>
      <c r="N786" s="579"/>
      <c r="O786" s="579"/>
      <c r="P786" s="579"/>
      <c r="Q786" s="579"/>
      <c r="R786" s="579"/>
      <c r="S786" s="579"/>
      <c r="T786" s="579"/>
      <c r="U786" s="575"/>
      <c r="V786" s="575">
        <v>1</v>
      </c>
      <c r="W786" s="575">
        <v>1</v>
      </c>
      <c r="X786" s="575"/>
      <c r="Y786" s="575"/>
      <c r="Z786" s="575">
        <v>2</v>
      </c>
      <c r="AA786" s="583"/>
    </row>
    <row r="787" spans="1:27" s="584" customFormat="1" ht="13.9" customHeight="1" x14ac:dyDescent="0.2">
      <c r="A787" s="575"/>
      <c r="B787" s="583"/>
      <c r="C787" s="583"/>
      <c r="D787" s="583"/>
      <c r="E787" s="576">
        <v>427.00400000000002</v>
      </c>
      <c r="F787" s="576">
        <f>+CEILING(E787,5)</f>
        <v>430</v>
      </c>
      <c r="G787" s="575"/>
      <c r="H787" s="575">
        <f>F787*36</f>
        <v>15480</v>
      </c>
      <c r="I787" s="577">
        <f>F787</f>
        <v>430</v>
      </c>
      <c r="J787" s="580"/>
      <c r="K787" s="578"/>
      <c r="L787" s="580"/>
      <c r="M787" s="578"/>
      <c r="N787" s="580"/>
      <c r="O787" s="580"/>
      <c r="P787" s="580"/>
      <c r="Q787" s="580"/>
      <c r="R787" s="578">
        <v>42</v>
      </c>
      <c r="S787" s="580"/>
      <c r="T787" s="580"/>
      <c r="U787" s="580"/>
      <c r="V787" s="575"/>
      <c r="W787" s="575"/>
      <c r="X787" s="580"/>
      <c r="Y787" s="580"/>
      <c r="Z787" s="575"/>
      <c r="AA787" s="583"/>
    </row>
    <row r="788" spans="1:27" s="584" customFormat="1" ht="13.9" customHeight="1" x14ac:dyDescent="0.2">
      <c r="A788" s="575">
        <f>A786+1</f>
        <v>391</v>
      </c>
      <c r="B788" s="583" t="s">
        <v>782</v>
      </c>
      <c r="C788" s="583" t="s">
        <v>20</v>
      </c>
      <c r="D788" s="583"/>
      <c r="E788" s="576"/>
      <c r="F788" s="576"/>
      <c r="G788" s="575"/>
      <c r="H788" s="575"/>
      <c r="I788" s="577"/>
      <c r="J788" s="580"/>
      <c r="K788" s="578">
        <f>(M788*4+N788*2)/2</f>
        <v>12</v>
      </c>
      <c r="L788" s="578"/>
      <c r="M788" s="578">
        <v>6</v>
      </c>
      <c r="N788" s="579"/>
      <c r="O788" s="579"/>
      <c r="P788" s="579"/>
      <c r="Q788" s="579"/>
      <c r="R788" s="579"/>
      <c r="S788" s="579"/>
      <c r="T788" s="579"/>
      <c r="U788" s="575"/>
      <c r="V788" s="575">
        <v>1</v>
      </c>
      <c r="W788" s="575">
        <v>1</v>
      </c>
      <c r="X788" s="575"/>
      <c r="Y788" s="575"/>
      <c r="Z788" s="575">
        <v>2</v>
      </c>
      <c r="AA788" s="583"/>
    </row>
    <row r="789" spans="1:27" s="584" customFormat="1" ht="13.9" customHeight="1" x14ac:dyDescent="0.2">
      <c r="A789" s="575"/>
      <c r="B789" s="583"/>
      <c r="C789" s="583"/>
      <c r="D789" s="583"/>
      <c r="E789" s="576">
        <v>413.92700000000002</v>
      </c>
      <c r="F789" s="576">
        <f>+CEILING(E789,5)</f>
        <v>415</v>
      </c>
      <c r="G789" s="575"/>
      <c r="H789" s="575">
        <f>F789*36</f>
        <v>14940</v>
      </c>
      <c r="I789" s="577">
        <f>F789</f>
        <v>415</v>
      </c>
      <c r="J789" s="582"/>
      <c r="K789" s="580"/>
      <c r="L789" s="582"/>
      <c r="M789" s="580"/>
      <c r="N789" s="580"/>
      <c r="O789" s="580"/>
      <c r="P789" s="580"/>
      <c r="Q789" s="580"/>
      <c r="R789" s="578">
        <v>42</v>
      </c>
      <c r="S789" s="579"/>
      <c r="T789" s="580"/>
      <c r="U789" s="575"/>
      <c r="V789" s="580"/>
      <c r="W789" s="575"/>
      <c r="X789" s="580"/>
      <c r="Y789" s="580"/>
      <c r="Z789" s="575"/>
      <c r="AA789" s="583"/>
    </row>
    <row r="790" spans="1:27" s="584" customFormat="1" ht="13.9" customHeight="1" x14ac:dyDescent="0.2">
      <c r="A790" s="575">
        <f>A788+1</f>
        <v>392</v>
      </c>
      <c r="B790" s="583" t="s">
        <v>783</v>
      </c>
      <c r="C790" s="583" t="s">
        <v>20</v>
      </c>
      <c r="D790" s="583"/>
      <c r="E790" s="576"/>
      <c r="F790" s="576"/>
      <c r="G790" s="575"/>
      <c r="H790" s="575"/>
      <c r="I790" s="577"/>
      <c r="J790" s="580"/>
      <c r="K790" s="578">
        <f>(M790*4+N790*2)/2</f>
        <v>12</v>
      </c>
      <c r="L790" s="578"/>
      <c r="M790" s="578">
        <v>6</v>
      </c>
      <c r="N790" s="579"/>
      <c r="O790" s="579"/>
      <c r="P790" s="579"/>
      <c r="Q790" s="579"/>
      <c r="R790" s="579"/>
      <c r="S790" s="579"/>
      <c r="T790" s="579"/>
      <c r="U790" s="575"/>
      <c r="V790" s="575">
        <v>1</v>
      </c>
      <c r="W790" s="575">
        <v>1</v>
      </c>
      <c r="X790" s="575"/>
      <c r="Y790" s="575"/>
      <c r="Z790" s="575">
        <v>2</v>
      </c>
      <c r="AA790" s="583"/>
    </row>
    <row r="791" spans="1:27" s="584" customFormat="1" ht="13.9" customHeight="1" x14ac:dyDescent="0.2">
      <c r="A791" s="575"/>
      <c r="B791" s="583"/>
      <c r="C791" s="583"/>
      <c r="D791" s="583"/>
      <c r="E791" s="576">
        <v>426.392</v>
      </c>
      <c r="F791" s="576">
        <f>+CEILING(E791,5)</f>
        <v>430</v>
      </c>
      <c r="G791" s="575"/>
      <c r="H791" s="575">
        <f>F791*36</f>
        <v>15480</v>
      </c>
      <c r="I791" s="577">
        <f>F791</f>
        <v>430</v>
      </c>
      <c r="J791" s="580"/>
      <c r="K791" s="578"/>
      <c r="L791" s="580"/>
      <c r="M791" s="578"/>
      <c r="N791" s="580"/>
      <c r="O791" s="580"/>
      <c r="P791" s="580"/>
      <c r="Q791" s="580"/>
      <c r="R791" s="578">
        <v>42</v>
      </c>
      <c r="S791" s="580"/>
      <c r="T791" s="580"/>
      <c r="U791" s="580"/>
      <c r="V791" s="575"/>
      <c r="W791" s="575"/>
      <c r="X791" s="580"/>
      <c r="Y791" s="580"/>
      <c r="Z791" s="575"/>
      <c r="AA791" s="583"/>
    </row>
    <row r="792" spans="1:27" s="584" customFormat="1" ht="13.9" customHeight="1" x14ac:dyDescent="0.2">
      <c r="A792" s="575">
        <f>A790+1</f>
        <v>393</v>
      </c>
      <c r="B792" s="583" t="s">
        <v>784</v>
      </c>
      <c r="C792" s="583" t="s">
        <v>20</v>
      </c>
      <c r="D792" s="583"/>
      <c r="E792" s="576"/>
      <c r="F792" s="576"/>
      <c r="G792" s="575"/>
      <c r="H792" s="575"/>
      <c r="I792" s="577"/>
      <c r="J792" s="580"/>
      <c r="K792" s="578">
        <f>(M792*4+N792*2)/2</f>
        <v>12</v>
      </c>
      <c r="L792" s="578"/>
      <c r="M792" s="578">
        <v>6</v>
      </c>
      <c r="N792" s="579"/>
      <c r="O792" s="579"/>
      <c r="P792" s="579"/>
      <c r="Q792" s="579"/>
      <c r="R792" s="579"/>
      <c r="S792" s="579"/>
      <c r="T792" s="579"/>
      <c r="U792" s="575"/>
      <c r="V792" s="575">
        <v>1</v>
      </c>
      <c r="W792" s="575">
        <v>1</v>
      </c>
      <c r="X792" s="575"/>
      <c r="Y792" s="575"/>
      <c r="Z792" s="575">
        <v>2</v>
      </c>
      <c r="AA792" s="583"/>
    </row>
    <row r="793" spans="1:27" s="584" customFormat="1" ht="13.9" customHeight="1" x14ac:dyDescent="0.2">
      <c r="A793" s="575"/>
      <c r="B793" s="583"/>
      <c r="C793" s="583"/>
      <c r="D793" s="583"/>
      <c r="E793" s="576">
        <v>411.44799999999998</v>
      </c>
      <c r="F793" s="576">
        <f>+CEILING(E793,5)</f>
        <v>415</v>
      </c>
      <c r="G793" s="575"/>
      <c r="H793" s="575">
        <f>F793*36</f>
        <v>14940</v>
      </c>
      <c r="I793" s="577">
        <f>F793</f>
        <v>415</v>
      </c>
      <c r="J793" s="580"/>
      <c r="K793" s="578"/>
      <c r="L793" s="580"/>
      <c r="M793" s="578"/>
      <c r="N793" s="580"/>
      <c r="O793" s="580"/>
      <c r="P793" s="580"/>
      <c r="Q793" s="580"/>
      <c r="R793" s="578">
        <v>42</v>
      </c>
      <c r="S793" s="580"/>
      <c r="T793" s="580"/>
      <c r="U793" s="580"/>
      <c r="V793" s="575"/>
      <c r="W793" s="575"/>
      <c r="X793" s="580"/>
      <c r="Y793" s="580"/>
      <c r="Z793" s="575"/>
      <c r="AA793" s="583"/>
    </row>
    <row r="794" spans="1:27" s="584" customFormat="1" ht="13.9" customHeight="1" x14ac:dyDescent="0.2">
      <c r="A794" s="575">
        <f>A792+1</f>
        <v>394</v>
      </c>
      <c r="B794" s="583" t="s">
        <v>785</v>
      </c>
      <c r="C794" s="583" t="s">
        <v>233</v>
      </c>
      <c r="D794" s="583"/>
      <c r="E794" s="576"/>
      <c r="F794" s="576"/>
      <c r="G794" s="575"/>
      <c r="H794" s="575"/>
      <c r="I794" s="577"/>
      <c r="J794" s="580"/>
      <c r="K794" s="578">
        <f>(M794*4+N794*2)/2</f>
        <v>12</v>
      </c>
      <c r="L794" s="578"/>
      <c r="M794" s="578">
        <v>6</v>
      </c>
      <c r="N794" s="579"/>
      <c r="O794" s="579"/>
      <c r="P794" s="579"/>
      <c r="Q794" s="579"/>
      <c r="R794" s="579"/>
      <c r="S794" s="579"/>
      <c r="T794" s="579"/>
      <c r="U794" s="575"/>
      <c r="V794" s="575">
        <v>1</v>
      </c>
      <c r="W794" s="575">
        <v>1</v>
      </c>
      <c r="X794" s="575"/>
      <c r="Y794" s="575"/>
      <c r="Z794" s="575">
        <v>2</v>
      </c>
      <c r="AA794" s="583"/>
    </row>
    <row r="795" spans="1:27" s="584" customFormat="1" ht="13.9" customHeight="1" x14ac:dyDescent="0.2">
      <c r="A795" s="575"/>
      <c r="B795" s="583"/>
      <c r="C795" s="583"/>
      <c r="D795" s="583"/>
      <c r="E795" s="576">
        <v>376.24599999999998</v>
      </c>
      <c r="F795" s="576">
        <f>+CEILING(E795,5)</f>
        <v>380</v>
      </c>
      <c r="G795" s="575"/>
      <c r="H795" s="575">
        <f>F795*36</f>
        <v>13680</v>
      </c>
      <c r="I795" s="577">
        <f>F795</f>
        <v>380</v>
      </c>
      <c r="J795" s="580"/>
      <c r="K795" s="578"/>
      <c r="L795" s="580"/>
      <c r="M795" s="578"/>
      <c r="N795" s="580"/>
      <c r="O795" s="580"/>
      <c r="P795" s="580"/>
      <c r="Q795" s="580"/>
      <c r="R795" s="578">
        <v>36</v>
      </c>
      <c r="S795" s="580"/>
      <c r="T795" s="580"/>
      <c r="U795" s="580"/>
      <c r="V795" s="575"/>
      <c r="W795" s="575"/>
      <c r="X795" s="580"/>
      <c r="Y795" s="580"/>
      <c r="Z795" s="575"/>
      <c r="AA795" s="583"/>
    </row>
    <row r="796" spans="1:27" s="584" customFormat="1" ht="13.9" customHeight="1" x14ac:dyDescent="0.2">
      <c r="A796" s="575">
        <f>A794+1</f>
        <v>395</v>
      </c>
      <c r="B796" s="583" t="s">
        <v>786</v>
      </c>
      <c r="C796" s="583" t="s">
        <v>232</v>
      </c>
      <c r="D796" s="583"/>
      <c r="E796" s="576"/>
      <c r="F796" s="576"/>
      <c r="G796" s="575"/>
      <c r="H796" s="575"/>
      <c r="I796" s="577"/>
      <c r="J796" s="580"/>
      <c r="K796" s="578">
        <f>(M796*4+N796*2)/2</f>
        <v>12</v>
      </c>
      <c r="L796" s="578"/>
      <c r="M796" s="578">
        <v>6</v>
      </c>
      <c r="N796" s="579"/>
      <c r="O796" s="579"/>
      <c r="P796" s="579"/>
      <c r="Q796" s="579"/>
      <c r="R796" s="579"/>
      <c r="S796" s="579"/>
      <c r="T796" s="579"/>
      <c r="U796" s="575"/>
      <c r="V796" s="575">
        <v>1</v>
      </c>
      <c r="W796" s="575">
        <v>1</v>
      </c>
      <c r="X796" s="575"/>
      <c r="Y796" s="575"/>
      <c r="Z796" s="575">
        <v>2</v>
      </c>
      <c r="AA796" s="583"/>
    </row>
    <row r="797" spans="1:27" s="584" customFormat="1" ht="13.9" customHeight="1" x14ac:dyDescent="0.2">
      <c r="A797" s="575"/>
      <c r="B797" s="583"/>
      <c r="C797" s="583"/>
      <c r="D797" s="583"/>
      <c r="E797" s="576">
        <v>433.37099999999998</v>
      </c>
      <c r="F797" s="576">
        <f>+CEILING(E797,5)</f>
        <v>435</v>
      </c>
      <c r="G797" s="575"/>
      <c r="H797" s="575">
        <f>F797*36</f>
        <v>15660</v>
      </c>
      <c r="I797" s="577">
        <f>F797</f>
        <v>435</v>
      </c>
      <c r="J797" s="580"/>
      <c r="K797" s="578"/>
      <c r="L797" s="580"/>
      <c r="M797" s="578"/>
      <c r="N797" s="580"/>
      <c r="O797" s="580"/>
      <c r="P797" s="580"/>
      <c r="Q797" s="580"/>
      <c r="R797" s="578">
        <v>42</v>
      </c>
      <c r="S797" s="580"/>
      <c r="T797" s="580"/>
      <c r="U797" s="580"/>
      <c r="V797" s="575"/>
      <c r="W797" s="575"/>
      <c r="X797" s="580"/>
      <c r="Y797" s="580"/>
      <c r="Z797" s="575"/>
      <c r="AA797" s="583"/>
    </row>
    <row r="798" spans="1:27" s="584" customFormat="1" ht="13.9" customHeight="1" x14ac:dyDescent="0.2">
      <c r="A798" s="575">
        <f>A796+1</f>
        <v>396</v>
      </c>
      <c r="B798" s="583" t="s">
        <v>787</v>
      </c>
      <c r="C798" s="583" t="s">
        <v>231</v>
      </c>
      <c r="D798" s="583"/>
      <c r="E798" s="576"/>
      <c r="F798" s="576"/>
      <c r="G798" s="575"/>
      <c r="H798" s="575"/>
      <c r="I798" s="577"/>
      <c r="J798" s="580"/>
      <c r="K798" s="578">
        <f>(M798*4+N798*2)/2</f>
        <v>12</v>
      </c>
      <c r="L798" s="578"/>
      <c r="M798" s="578">
        <v>6</v>
      </c>
      <c r="N798" s="579"/>
      <c r="O798" s="579"/>
      <c r="P798" s="579"/>
      <c r="Q798" s="579"/>
      <c r="R798" s="579"/>
      <c r="S798" s="579"/>
      <c r="T798" s="579"/>
      <c r="U798" s="575"/>
      <c r="V798" s="575">
        <v>1</v>
      </c>
      <c r="W798" s="575">
        <v>1</v>
      </c>
      <c r="X798" s="575"/>
      <c r="Y798" s="575"/>
      <c r="Z798" s="575">
        <v>2</v>
      </c>
      <c r="AA798" s="583"/>
    </row>
    <row r="799" spans="1:27" s="584" customFormat="1" ht="13.9" customHeight="1" x14ac:dyDescent="0.2">
      <c r="A799" s="575"/>
      <c r="B799" s="583"/>
      <c r="C799" s="583"/>
      <c r="D799" s="583"/>
      <c r="E799" s="576">
        <v>405.61500000000001</v>
      </c>
      <c r="F799" s="576">
        <f>+CEILING(E799,5)</f>
        <v>410</v>
      </c>
      <c r="G799" s="575"/>
      <c r="H799" s="575">
        <f>F799*36</f>
        <v>14760</v>
      </c>
      <c r="I799" s="577">
        <f>F799</f>
        <v>410</v>
      </c>
      <c r="J799" s="580"/>
      <c r="K799" s="578"/>
      <c r="L799" s="580"/>
      <c r="M799" s="578"/>
      <c r="N799" s="580"/>
      <c r="O799" s="580"/>
      <c r="P799" s="580"/>
      <c r="Q799" s="580"/>
      <c r="R799" s="578">
        <v>42</v>
      </c>
      <c r="S799" s="580"/>
      <c r="T799" s="580"/>
      <c r="U799" s="580"/>
      <c r="V799" s="575"/>
      <c r="W799" s="575"/>
      <c r="X799" s="580"/>
      <c r="Y799" s="580"/>
      <c r="Z799" s="575"/>
      <c r="AA799" s="583"/>
    </row>
    <row r="800" spans="1:27" s="584" customFormat="1" ht="13.9" customHeight="1" x14ac:dyDescent="0.2">
      <c r="A800" s="575">
        <f>A798+1</f>
        <v>397</v>
      </c>
      <c r="B800" s="583" t="s">
        <v>788</v>
      </c>
      <c r="C800" s="583" t="s">
        <v>233</v>
      </c>
      <c r="D800" s="583"/>
      <c r="E800" s="576"/>
      <c r="F800" s="576"/>
      <c r="G800" s="575"/>
      <c r="H800" s="575"/>
      <c r="I800" s="577"/>
      <c r="J800" s="580"/>
      <c r="K800" s="578">
        <f>(M800*4+N800*2)/2</f>
        <v>12</v>
      </c>
      <c r="L800" s="578"/>
      <c r="M800" s="578">
        <v>6</v>
      </c>
      <c r="N800" s="579"/>
      <c r="O800" s="579"/>
      <c r="P800" s="579"/>
      <c r="Q800" s="579"/>
      <c r="R800" s="579"/>
      <c r="S800" s="579"/>
      <c r="T800" s="579"/>
      <c r="U800" s="575"/>
      <c r="V800" s="575">
        <v>1</v>
      </c>
      <c r="W800" s="575">
        <v>1</v>
      </c>
      <c r="X800" s="575"/>
      <c r="Y800" s="575"/>
      <c r="Z800" s="575">
        <v>2</v>
      </c>
      <c r="AA800" s="583"/>
    </row>
    <row r="801" spans="1:27" s="584" customFormat="1" ht="13.9" customHeight="1" x14ac:dyDescent="0.2">
      <c r="A801" s="575"/>
      <c r="B801" s="583"/>
      <c r="C801" s="583"/>
      <c r="D801" s="583"/>
      <c r="E801" s="576">
        <v>434.245</v>
      </c>
      <c r="F801" s="576">
        <f>+CEILING(E801,5)</f>
        <v>435</v>
      </c>
      <c r="G801" s="575"/>
      <c r="H801" s="575">
        <f>F801*36</f>
        <v>15660</v>
      </c>
      <c r="I801" s="577">
        <f>F801</f>
        <v>435</v>
      </c>
      <c r="J801" s="580"/>
      <c r="K801" s="578"/>
      <c r="L801" s="580"/>
      <c r="M801" s="578"/>
      <c r="N801" s="580"/>
      <c r="O801" s="580"/>
      <c r="P801" s="580"/>
      <c r="Q801" s="580"/>
      <c r="R801" s="578">
        <v>42</v>
      </c>
      <c r="S801" s="580"/>
      <c r="T801" s="580"/>
      <c r="U801" s="580"/>
      <c r="V801" s="575"/>
      <c r="W801" s="575"/>
      <c r="X801" s="580"/>
      <c r="Y801" s="580"/>
      <c r="Z801" s="575"/>
      <c r="AA801" s="583"/>
    </row>
    <row r="802" spans="1:27" s="584" customFormat="1" ht="13.9" customHeight="1" x14ac:dyDescent="0.2">
      <c r="A802" s="575">
        <f>A800+1</f>
        <v>398</v>
      </c>
      <c r="B802" s="583" t="s">
        <v>99</v>
      </c>
      <c r="C802" s="583" t="s">
        <v>245</v>
      </c>
      <c r="D802" s="583" t="s">
        <v>1135</v>
      </c>
      <c r="E802" s="576"/>
      <c r="F802" s="576"/>
      <c r="G802" s="575"/>
      <c r="H802" s="575"/>
      <c r="I802" s="577"/>
      <c r="J802" s="578">
        <v>48</v>
      </c>
      <c r="K802" s="580"/>
      <c r="L802" s="578">
        <v>12</v>
      </c>
      <c r="M802" s="580"/>
      <c r="N802" s="580"/>
      <c r="O802" s="580"/>
      <c r="P802" s="580"/>
      <c r="Q802" s="580"/>
      <c r="R802" s="579"/>
      <c r="S802" s="575">
        <v>30</v>
      </c>
      <c r="T802" s="580"/>
      <c r="U802" s="575">
        <v>2</v>
      </c>
      <c r="V802" s="580"/>
      <c r="W802" s="575">
        <v>2</v>
      </c>
      <c r="X802" s="580"/>
      <c r="Y802" s="580"/>
      <c r="Z802" s="575">
        <v>4</v>
      </c>
      <c r="AA802" s="583"/>
    </row>
    <row r="803" spans="1:27" s="584" customFormat="1" ht="13.9" customHeight="1" x14ac:dyDescent="0.2">
      <c r="A803" s="575"/>
      <c r="B803" s="583"/>
      <c r="C803" s="583"/>
      <c r="D803" s="583"/>
      <c r="E803" s="576">
        <v>418.00099999999998</v>
      </c>
      <c r="F803" s="576">
        <f>+CEILING(E803,5)</f>
        <v>420</v>
      </c>
      <c r="G803" s="575"/>
      <c r="H803" s="575">
        <f>F803*36</f>
        <v>15120</v>
      </c>
      <c r="I803" s="577">
        <f>F803</f>
        <v>420</v>
      </c>
      <c r="J803" s="580"/>
      <c r="K803" s="578"/>
      <c r="L803" s="580"/>
      <c r="M803" s="578"/>
      <c r="N803" s="580"/>
      <c r="O803" s="580"/>
      <c r="P803" s="580"/>
      <c r="Q803" s="580"/>
      <c r="R803" s="578">
        <v>42</v>
      </c>
      <c r="S803" s="580"/>
      <c r="T803" s="580"/>
      <c r="U803" s="580"/>
      <c r="V803" s="575"/>
      <c r="W803" s="575"/>
      <c r="X803" s="580"/>
      <c r="Y803" s="580"/>
      <c r="Z803" s="575"/>
      <c r="AA803" s="583"/>
    </row>
    <row r="804" spans="1:27" s="584" customFormat="1" x14ac:dyDescent="0.2">
      <c r="A804" s="575">
        <f>A802+1</f>
        <v>399</v>
      </c>
      <c r="B804" s="583" t="s">
        <v>789</v>
      </c>
      <c r="C804" s="583" t="s">
        <v>20</v>
      </c>
      <c r="D804" s="583"/>
      <c r="E804" s="576"/>
      <c r="F804" s="576"/>
      <c r="G804" s="580"/>
      <c r="H804" s="575"/>
      <c r="I804" s="577"/>
      <c r="J804" s="580"/>
      <c r="K804" s="578">
        <f>(M804*4+N804*2)/2</f>
        <v>12</v>
      </c>
      <c r="L804" s="578"/>
      <c r="M804" s="578">
        <v>6</v>
      </c>
      <c r="N804" s="579"/>
      <c r="O804" s="579"/>
      <c r="P804" s="579"/>
      <c r="Q804" s="579"/>
      <c r="R804" s="579"/>
      <c r="S804" s="579"/>
      <c r="T804" s="579"/>
      <c r="U804" s="575"/>
      <c r="V804" s="575">
        <v>1</v>
      </c>
      <c r="W804" s="575">
        <v>1</v>
      </c>
      <c r="X804" s="575"/>
      <c r="Y804" s="575"/>
      <c r="Z804" s="575">
        <v>2</v>
      </c>
      <c r="AA804" s="583"/>
    </row>
    <row r="805" spans="1:27" s="584" customFormat="1" ht="13.9" customHeight="1" x14ac:dyDescent="0.2">
      <c r="A805" s="575"/>
      <c r="B805" s="583"/>
      <c r="C805" s="583"/>
      <c r="D805" s="583"/>
      <c r="E805" s="576">
        <v>386.00200000000001</v>
      </c>
      <c r="F805" s="576">
        <f>+CEILING(E805,5)</f>
        <v>390</v>
      </c>
      <c r="G805" s="575"/>
      <c r="H805" s="575">
        <f>F805*36</f>
        <v>14040</v>
      </c>
      <c r="I805" s="577">
        <f>F805</f>
        <v>390</v>
      </c>
      <c r="J805" s="580"/>
      <c r="K805" s="578"/>
      <c r="L805" s="580"/>
      <c r="M805" s="578"/>
      <c r="N805" s="580"/>
      <c r="O805" s="580"/>
      <c r="P805" s="580"/>
      <c r="Q805" s="580"/>
      <c r="R805" s="578">
        <v>36</v>
      </c>
      <c r="S805" s="580"/>
      <c r="T805" s="580"/>
      <c r="U805" s="580"/>
      <c r="V805" s="575"/>
      <c r="W805" s="575"/>
      <c r="X805" s="580"/>
      <c r="Y805" s="580"/>
      <c r="Z805" s="575"/>
      <c r="AA805" s="583"/>
    </row>
    <row r="806" spans="1:27" s="584" customFormat="1" ht="13.9" customHeight="1" x14ac:dyDescent="0.2">
      <c r="A806" s="575">
        <f>A804+1</f>
        <v>400</v>
      </c>
      <c r="B806" s="583" t="s">
        <v>790</v>
      </c>
      <c r="C806" s="583" t="s">
        <v>20</v>
      </c>
      <c r="D806" s="583"/>
      <c r="E806" s="576"/>
      <c r="F806" s="576"/>
      <c r="G806" s="575"/>
      <c r="H806" s="575"/>
      <c r="I806" s="577"/>
      <c r="J806" s="580"/>
      <c r="K806" s="578">
        <f>(M806*4+N806*2)/2</f>
        <v>12</v>
      </c>
      <c r="L806" s="578"/>
      <c r="M806" s="578">
        <v>6</v>
      </c>
      <c r="N806" s="579"/>
      <c r="O806" s="579"/>
      <c r="P806" s="579"/>
      <c r="Q806" s="579"/>
      <c r="R806" s="579"/>
      <c r="S806" s="579"/>
      <c r="T806" s="579"/>
      <c r="U806" s="575"/>
      <c r="V806" s="575">
        <v>1</v>
      </c>
      <c r="W806" s="575">
        <v>1</v>
      </c>
      <c r="X806" s="575"/>
      <c r="Y806" s="575"/>
      <c r="Z806" s="575">
        <v>2</v>
      </c>
      <c r="AA806" s="583"/>
    </row>
    <row r="807" spans="1:27" s="584" customFormat="1" ht="13.9" customHeight="1" x14ac:dyDescent="0.2">
      <c r="A807" s="575"/>
      <c r="B807" s="583"/>
      <c r="C807" s="583"/>
      <c r="D807" s="583"/>
      <c r="E807" s="576">
        <v>399.99900000000002</v>
      </c>
      <c r="F807" s="576">
        <f>+CEILING(E807,5)</f>
        <v>400</v>
      </c>
      <c r="G807" s="575"/>
      <c r="H807" s="575">
        <f>F807*36</f>
        <v>14400</v>
      </c>
      <c r="I807" s="577">
        <f>F807</f>
        <v>400</v>
      </c>
      <c r="J807" s="580"/>
      <c r="K807" s="578"/>
      <c r="L807" s="580"/>
      <c r="M807" s="578"/>
      <c r="N807" s="580"/>
      <c r="O807" s="580"/>
      <c r="P807" s="580"/>
      <c r="Q807" s="580"/>
      <c r="R807" s="578">
        <v>42</v>
      </c>
      <c r="S807" s="580"/>
      <c r="T807" s="580"/>
      <c r="U807" s="580"/>
      <c r="V807" s="575"/>
      <c r="W807" s="575"/>
      <c r="X807" s="580"/>
      <c r="Y807" s="580"/>
      <c r="Z807" s="575"/>
      <c r="AA807" s="583"/>
    </row>
    <row r="808" spans="1:27" s="584" customFormat="1" ht="13.9" customHeight="1" x14ac:dyDescent="0.2">
      <c r="A808" s="575">
        <f>A806+1</f>
        <v>401</v>
      </c>
      <c r="B808" s="583" t="s">
        <v>791</v>
      </c>
      <c r="C808" s="583" t="s">
        <v>231</v>
      </c>
      <c r="D808" s="583"/>
      <c r="E808" s="576"/>
      <c r="F808" s="576"/>
      <c r="G808" s="575"/>
      <c r="H808" s="575"/>
      <c r="I808" s="577"/>
      <c r="J808" s="580"/>
      <c r="K808" s="578">
        <f>(M808*4+N808*2)/2</f>
        <v>12</v>
      </c>
      <c r="L808" s="578"/>
      <c r="M808" s="578">
        <v>6</v>
      </c>
      <c r="N808" s="579"/>
      <c r="O808" s="579"/>
      <c r="P808" s="579"/>
      <c r="Q808" s="579"/>
      <c r="R808" s="579"/>
      <c r="S808" s="579"/>
      <c r="T808" s="579"/>
      <c r="U808" s="575"/>
      <c r="V808" s="575">
        <v>1</v>
      </c>
      <c r="W808" s="575">
        <v>1</v>
      </c>
      <c r="X808" s="575"/>
      <c r="Y808" s="575"/>
      <c r="Z808" s="575">
        <v>2</v>
      </c>
      <c r="AA808" s="583"/>
    </row>
    <row r="809" spans="1:27" s="584" customFormat="1" ht="13.9" customHeight="1" x14ac:dyDescent="0.2">
      <c r="A809" s="575"/>
      <c r="B809" s="583"/>
      <c r="C809" s="583"/>
      <c r="D809" s="583"/>
      <c r="E809" s="576">
        <v>400.99900000000002</v>
      </c>
      <c r="F809" s="576">
        <f>+CEILING(E809,5)</f>
        <v>405</v>
      </c>
      <c r="G809" s="575"/>
      <c r="H809" s="575">
        <f>F809*36</f>
        <v>14580</v>
      </c>
      <c r="I809" s="577">
        <f>F809</f>
        <v>405</v>
      </c>
      <c r="J809" s="580"/>
      <c r="K809" s="578"/>
      <c r="L809" s="580"/>
      <c r="M809" s="578"/>
      <c r="N809" s="580"/>
      <c r="O809" s="580"/>
      <c r="P809" s="580"/>
      <c r="Q809" s="580"/>
      <c r="R809" s="578">
        <v>42</v>
      </c>
      <c r="S809" s="580"/>
      <c r="T809" s="580"/>
      <c r="U809" s="580"/>
      <c r="V809" s="575"/>
      <c r="W809" s="575"/>
      <c r="X809" s="580"/>
      <c r="Y809" s="580"/>
      <c r="Z809" s="575"/>
      <c r="AA809" s="583"/>
    </row>
    <row r="810" spans="1:27" s="584" customFormat="1" ht="13.9" customHeight="1" x14ac:dyDescent="0.2">
      <c r="A810" s="575">
        <f>A808+1</f>
        <v>402</v>
      </c>
      <c r="B810" s="583" t="s">
        <v>792</v>
      </c>
      <c r="C810" s="583" t="s">
        <v>20</v>
      </c>
      <c r="D810" s="583"/>
      <c r="E810" s="576"/>
      <c r="F810" s="576"/>
      <c r="G810" s="575"/>
      <c r="H810" s="575"/>
      <c r="I810" s="577"/>
      <c r="J810" s="580"/>
      <c r="K810" s="578">
        <f>(M810*4+N810*2)/2</f>
        <v>12</v>
      </c>
      <c r="L810" s="578"/>
      <c r="M810" s="578">
        <v>6</v>
      </c>
      <c r="N810" s="579"/>
      <c r="O810" s="579"/>
      <c r="P810" s="579"/>
      <c r="Q810" s="579"/>
      <c r="R810" s="579"/>
      <c r="S810" s="579"/>
      <c r="T810" s="579"/>
      <c r="U810" s="575"/>
      <c r="V810" s="575">
        <v>1</v>
      </c>
      <c r="W810" s="575">
        <v>1</v>
      </c>
      <c r="X810" s="575"/>
      <c r="Y810" s="575"/>
      <c r="Z810" s="575">
        <v>2</v>
      </c>
      <c r="AA810" s="583"/>
    </row>
    <row r="811" spans="1:27" s="584" customFormat="1" ht="13.9" customHeight="1" x14ac:dyDescent="0.2">
      <c r="A811" s="575"/>
      <c r="B811" s="583"/>
      <c r="C811" s="583"/>
      <c r="D811" s="583"/>
      <c r="E811" s="576">
        <v>403</v>
      </c>
      <c r="F811" s="576">
        <f>+CEILING(E811,5)</f>
        <v>405</v>
      </c>
      <c r="G811" s="575"/>
      <c r="H811" s="575">
        <f>F811*36</f>
        <v>14580</v>
      </c>
      <c r="I811" s="577">
        <f>F811</f>
        <v>405</v>
      </c>
      <c r="J811" s="580"/>
      <c r="K811" s="578"/>
      <c r="L811" s="580"/>
      <c r="M811" s="578"/>
      <c r="N811" s="580"/>
      <c r="O811" s="580"/>
      <c r="P811" s="580"/>
      <c r="Q811" s="580"/>
      <c r="R811" s="578">
        <v>42</v>
      </c>
      <c r="S811" s="580"/>
      <c r="T811" s="580"/>
      <c r="U811" s="580"/>
      <c r="V811" s="575"/>
      <c r="W811" s="575"/>
      <c r="X811" s="580"/>
      <c r="Y811" s="580"/>
      <c r="Z811" s="575"/>
      <c r="AA811" s="583"/>
    </row>
    <row r="812" spans="1:27" s="584" customFormat="1" ht="13.9" customHeight="1" x14ac:dyDescent="0.2">
      <c r="A812" s="575">
        <f>A810+1</f>
        <v>403</v>
      </c>
      <c r="B812" s="583" t="s">
        <v>793</v>
      </c>
      <c r="C812" s="583" t="s">
        <v>231</v>
      </c>
      <c r="D812" s="583"/>
      <c r="E812" s="576"/>
      <c r="F812" s="576"/>
      <c r="G812" s="575"/>
      <c r="H812" s="575"/>
      <c r="I812" s="577"/>
      <c r="J812" s="580"/>
      <c r="K812" s="578">
        <f>(M812*4+N812*2)/2</f>
        <v>12</v>
      </c>
      <c r="L812" s="578"/>
      <c r="M812" s="578">
        <v>6</v>
      </c>
      <c r="N812" s="579"/>
      <c r="O812" s="579"/>
      <c r="P812" s="579"/>
      <c r="Q812" s="579"/>
      <c r="R812" s="579"/>
      <c r="S812" s="579"/>
      <c r="T812" s="579"/>
      <c r="U812" s="575"/>
      <c r="V812" s="575">
        <v>1</v>
      </c>
      <c r="W812" s="575">
        <v>1</v>
      </c>
      <c r="X812" s="575"/>
      <c r="Y812" s="575"/>
      <c r="Z812" s="575">
        <v>2</v>
      </c>
      <c r="AA812" s="583"/>
    </row>
    <row r="813" spans="1:27" s="584" customFormat="1" ht="13.9" customHeight="1" x14ac:dyDescent="0.2">
      <c r="A813" s="575"/>
      <c r="B813" s="583"/>
      <c r="C813" s="583"/>
      <c r="D813" s="583"/>
      <c r="E813" s="576">
        <v>404.00099999999998</v>
      </c>
      <c r="F813" s="576">
        <f>+CEILING(E813,5)</f>
        <v>405</v>
      </c>
      <c r="G813" s="575"/>
      <c r="H813" s="575">
        <f>F813*36</f>
        <v>14580</v>
      </c>
      <c r="I813" s="577">
        <f>F813</f>
        <v>405</v>
      </c>
      <c r="J813" s="582"/>
      <c r="K813" s="580"/>
      <c r="L813" s="582"/>
      <c r="M813" s="580"/>
      <c r="N813" s="580"/>
      <c r="O813" s="580"/>
      <c r="P813" s="580"/>
      <c r="Q813" s="580"/>
      <c r="R813" s="578">
        <v>42</v>
      </c>
      <c r="S813" s="579"/>
      <c r="T813" s="580"/>
      <c r="U813" s="575"/>
      <c r="V813" s="580"/>
      <c r="W813" s="575"/>
      <c r="X813" s="580"/>
      <c r="Y813" s="580"/>
      <c r="Z813" s="575"/>
      <c r="AA813" s="583"/>
    </row>
    <row r="814" spans="1:27" s="584" customFormat="1" ht="13.9" customHeight="1" x14ac:dyDescent="0.2">
      <c r="A814" s="575">
        <f>A812+1</f>
        <v>404</v>
      </c>
      <c r="B814" s="583" t="s">
        <v>794</v>
      </c>
      <c r="C814" s="583" t="s">
        <v>20</v>
      </c>
      <c r="D814" s="583"/>
      <c r="E814" s="576"/>
      <c r="F814" s="576"/>
      <c r="G814" s="575"/>
      <c r="H814" s="575"/>
      <c r="I814" s="577"/>
      <c r="J814" s="580"/>
      <c r="K814" s="578">
        <f>(M814*4+N814*2)/2</f>
        <v>12</v>
      </c>
      <c r="L814" s="578"/>
      <c r="M814" s="578">
        <v>6</v>
      </c>
      <c r="N814" s="579"/>
      <c r="O814" s="579"/>
      <c r="P814" s="579"/>
      <c r="Q814" s="579"/>
      <c r="R814" s="579"/>
      <c r="S814" s="579"/>
      <c r="T814" s="579"/>
      <c r="U814" s="575"/>
      <c r="V814" s="575">
        <v>1</v>
      </c>
      <c r="W814" s="575">
        <v>1</v>
      </c>
      <c r="X814" s="575"/>
      <c r="Y814" s="575"/>
      <c r="Z814" s="575">
        <v>2</v>
      </c>
      <c r="AA814" s="583"/>
    </row>
    <row r="815" spans="1:27" s="584" customFormat="1" ht="13.9" customHeight="1" x14ac:dyDescent="0.2">
      <c r="A815" s="575"/>
      <c r="B815" s="583"/>
      <c r="C815" s="583"/>
      <c r="D815" s="583"/>
      <c r="E815" s="576">
        <v>423</v>
      </c>
      <c r="F815" s="576">
        <f>+CEILING(E815,5)</f>
        <v>425</v>
      </c>
      <c r="G815" s="575"/>
      <c r="H815" s="575">
        <f>F815*36</f>
        <v>15300</v>
      </c>
      <c r="I815" s="577">
        <f>F815</f>
        <v>425</v>
      </c>
      <c r="J815" s="580"/>
      <c r="K815" s="578"/>
      <c r="L815" s="580"/>
      <c r="M815" s="578"/>
      <c r="N815" s="580"/>
      <c r="O815" s="580"/>
      <c r="P815" s="580"/>
      <c r="Q815" s="580"/>
      <c r="R815" s="578">
        <v>42</v>
      </c>
      <c r="S815" s="580"/>
      <c r="T815" s="580"/>
      <c r="U815" s="580"/>
      <c r="V815" s="575"/>
      <c r="W815" s="575"/>
      <c r="X815" s="580"/>
      <c r="Y815" s="580"/>
      <c r="Z815" s="575"/>
      <c r="AA815" s="583"/>
    </row>
    <row r="816" spans="1:27" s="584" customFormat="1" ht="13.9" customHeight="1" x14ac:dyDescent="0.2">
      <c r="A816" s="575">
        <f>A814+1</f>
        <v>405</v>
      </c>
      <c r="B816" s="583" t="s">
        <v>795</v>
      </c>
      <c r="C816" s="583" t="s">
        <v>20</v>
      </c>
      <c r="D816" s="583"/>
      <c r="E816" s="576"/>
      <c r="F816" s="576"/>
      <c r="G816" s="575"/>
      <c r="H816" s="575"/>
      <c r="I816" s="577"/>
      <c r="J816" s="580"/>
      <c r="K816" s="578">
        <f>(M816*4+N816*2)/2</f>
        <v>12</v>
      </c>
      <c r="L816" s="578"/>
      <c r="M816" s="578">
        <v>6</v>
      </c>
      <c r="N816" s="579"/>
      <c r="O816" s="579"/>
      <c r="P816" s="579"/>
      <c r="Q816" s="579"/>
      <c r="R816" s="579"/>
      <c r="S816" s="579"/>
      <c r="T816" s="579"/>
      <c r="U816" s="575"/>
      <c r="V816" s="575">
        <v>1</v>
      </c>
      <c r="W816" s="575">
        <v>1</v>
      </c>
      <c r="X816" s="575"/>
      <c r="Y816" s="575"/>
      <c r="Z816" s="575">
        <v>2</v>
      </c>
      <c r="AA816" s="583"/>
    </row>
    <row r="817" spans="1:27" s="584" customFormat="1" ht="13.9" customHeight="1" x14ac:dyDescent="0.2">
      <c r="A817" s="575"/>
      <c r="B817" s="583"/>
      <c r="C817" s="583"/>
      <c r="D817" s="583"/>
      <c r="E817" s="576">
        <v>408.99900000000002</v>
      </c>
      <c r="F817" s="576">
        <f>+CEILING(E817,5)</f>
        <v>410</v>
      </c>
      <c r="G817" s="575"/>
      <c r="H817" s="575">
        <f>F817*36</f>
        <v>14760</v>
      </c>
      <c r="I817" s="577">
        <f>F817</f>
        <v>410</v>
      </c>
      <c r="J817" s="580"/>
      <c r="K817" s="578"/>
      <c r="L817" s="580"/>
      <c r="M817" s="578"/>
      <c r="N817" s="580"/>
      <c r="O817" s="580"/>
      <c r="P817" s="580"/>
      <c r="Q817" s="580"/>
      <c r="R817" s="578">
        <v>42</v>
      </c>
      <c r="S817" s="580"/>
      <c r="T817" s="580"/>
      <c r="U817" s="580"/>
      <c r="V817" s="575"/>
      <c r="W817" s="575"/>
      <c r="X817" s="580"/>
      <c r="Y817" s="580"/>
      <c r="Z817" s="575"/>
      <c r="AA817" s="583"/>
    </row>
    <row r="818" spans="1:27" s="584" customFormat="1" ht="13.9" customHeight="1" x14ac:dyDescent="0.2">
      <c r="A818" s="575">
        <f>A816+1</f>
        <v>406</v>
      </c>
      <c r="B818" s="583" t="s">
        <v>796</v>
      </c>
      <c r="C818" s="583" t="s">
        <v>231</v>
      </c>
      <c r="D818" s="583"/>
      <c r="E818" s="576"/>
      <c r="F818" s="576"/>
      <c r="G818" s="575"/>
      <c r="H818" s="575"/>
      <c r="I818" s="577"/>
      <c r="J818" s="580"/>
      <c r="K818" s="578">
        <f>(M818*4+N818*2)/2</f>
        <v>12</v>
      </c>
      <c r="L818" s="578"/>
      <c r="M818" s="578">
        <v>6</v>
      </c>
      <c r="N818" s="579"/>
      <c r="O818" s="579"/>
      <c r="P818" s="579"/>
      <c r="Q818" s="579"/>
      <c r="R818" s="579"/>
      <c r="S818" s="579"/>
      <c r="T818" s="579"/>
      <c r="U818" s="575"/>
      <c r="V818" s="575">
        <v>1</v>
      </c>
      <c r="W818" s="575">
        <v>1</v>
      </c>
      <c r="X818" s="575"/>
      <c r="Y818" s="575"/>
      <c r="Z818" s="575">
        <v>2</v>
      </c>
      <c r="AA818" s="583"/>
    </row>
    <row r="819" spans="1:27" s="584" customFormat="1" ht="13.9" customHeight="1" x14ac:dyDescent="0.2">
      <c r="A819" s="575"/>
      <c r="B819" s="583"/>
      <c r="C819" s="583"/>
      <c r="D819" s="583"/>
      <c r="E819" s="576">
        <v>409</v>
      </c>
      <c r="F819" s="576">
        <f>+CEILING(E819,5)</f>
        <v>410</v>
      </c>
      <c r="G819" s="575"/>
      <c r="H819" s="575">
        <f>F819*36</f>
        <v>14760</v>
      </c>
      <c r="I819" s="577">
        <f>F819</f>
        <v>410</v>
      </c>
      <c r="J819" s="580"/>
      <c r="K819" s="578"/>
      <c r="L819" s="580"/>
      <c r="M819" s="578"/>
      <c r="N819" s="580"/>
      <c r="O819" s="580"/>
      <c r="P819" s="580"/>
      <c r="Q819" s="580"/>
      <c r="R819" s="578">
        <v>42</v>
      </c>
      <c r="S819" s="580"/>
      <c r="T819" s="580"/>
      <c r="U819" s="580"/>
      <c r="V819" s="575"/>
      <c r="W819" s="575"/>
      <c r="X819" s="580"/>
      <c r="Y819" s="580"/>
      <c r="Z819" s="575"/>
      <c r="AA819" s="583"/>
    </row>
    <row r="820" spans="1:27" s="584" customFormat="1" ht="13.9" customHeight="1" x14ac:dyDescent="0.2">
      <c r="A820" s="575">
        <f>A818+1</f>
        <v>407</v>
      </c>
      <c r="B820" s="583" t="s">
        <v>797</v>
      </c>
      <c r="C820" s="583" t="s">
        <v>20</v>
      </c>
      <c r="D820" s="583"/>
      <c r="E820" s="576"/>
      <c r="F820" s="576"/>
      <c r="G820" s="575"/>
      <c r="H820" s="575"/>
      <c r="I820" s="577"/>
      <c r="J820" s="580"/>
      <c r="K820" s="578">
        <f>(M820*4+N820*2)/2</f>
        <v>12</v>
      </c>
      <c r="L820" s="578"/>
      <c r="M820" s="578">
        <v>6</v>
      </c>
      <c r="N820" s="579"/>
      <c r="O820" s="579"/>
      <c r="P820" s="579"/>
      <c r="Q820" s="579"/>
      <c r="R820" s="579"/>
      <c r="S820" s="579"/>
      <c r="T820" s="579"/>
      <c r="U820" s="575"/>
      <c r="V820" s="575">
        <v>1</v>
      </c>
      <c r="W820" s="575">
        <v>1</v>
      </c>
      <c r="X820" s="575"/>
      <c r="Y820" s="575"/>
      <c r="Z820" s="575">
        <v>2</v>
      </c>
      <c r="AA820" s="583"/>
    </row>
    <row r="821" spans="1:27" s="584" customFormat="1" ht="13.9" customHeight="1" x14ac:dyDescent="0.2">
      <c r="A821" s="575"/>
      <c r="B821" s="583"/>
      <c r="C821" s="583"/>
      <c r="D821" s="583"/>
      <c r="E821" s="576">
        <v>411.00099999999998</v>
      </c>
      <c r="F821" s="576">
        <f>+CEILING(E821,5)</f>
        <v>415</v>
      </c>
      <c r="G821" s="575"/>
      <c r="H821" s="575">
        <f>F821*36</f>
        <v>14940</v>
      </c>
      <c r="I821" s="577">
        <f>F821</f>
        <v>415</v>
      </c>
      <c r="J821" s="580"/>
      <c r="K821" s="578"/>
      <c r="L821" s="580"/>
      <c r="M821" s="578"/>
      <c r="N821" s="580"/>
      <c r="O821" s="580"/>
      <c r="P821" s="580"/>
      <c r="Q821" s="580"/>
      <c r="R821" s="578">
        <v>42</v>
      </c>
      <c r="S821" s="580"/>
      <c r="T821" s="580"/>
      <c r="U821" s="580"/>
      <c r="V821" s="575"/>
      <c r="W821" s="575"/>
      <c r="X821" s="580"/>
      <c r="Y821" s="580"/>
      <c r="Z821" s="575"/>
      <c r="AA821" s="583"/>
    </row>
    <row r="822" spans="1:27" s="584" customFormat="1" ht="13.9" customHeight="1" x14ac:dyDescent="0.2">
      <c r="A822" s="575">
        <f>A820+1</f>
        <v>408</v>
      </c>
      <c r="B822" s="583" t="s">
        <v>798</v>
      </c>
      <c r="C822" s="583" t="s">
        <v>231</v>
      </c>
      <c r="D822" s="583"/>
      <c r="E822" s="576"/>
      <c r="F822" s="576"/>
      <c r="G822" s="575"/>
      <c r="H822" s="575"/>
      <c r="I822" s="577"/>
      <c r="J822" s="580"/>
      <c r="K822" s="578">
        <f>(M822*4+N822*2)/2</f>
        <v>12</v>
      </c>
      <c r="L822" s="578"/>
      <c r="M822" s="578">
        <v>6</v>
      </c>
      <c r="N822" s="579"/>
      <c r="O822" s="579"/>
      <c r="P822" s="579"/>
      <c r="Q822" s="579"/>
      <c r="R822" s="579"/>
      <c r="S822" s="579"/>
      <c r="T822" s="579"/>
      <c r="U822" s="575"/>
      <c r="V822" s="575">
        <v>1</v>
      </c>
      <c r="W822" s="575">
        <v>1</v>
      </c>
      <c r="X822" s="575"/>
      <c r="Y822" s="575"/>
      <c r="Z822" s="575">
        <v>2</v>
      </c>
      <c r="AA822" s="583"/>
    </row>
    <row r="823" spans="1:27" s="584" customFormat="1" ht="13.9" customHeight="1" x14ac:dyDescent="0.2">
      <c r="A823" s="575"/>
      <c r="B823" s="583"/>
      <c r="C823" s="583"/>
      <c r="D823" s="583"/>
      <c r="E823" s="576">
        <v>412.99799999999999</v>
      </c>
      <c r="F823" s="576">
        <f>+CEILING(E823,5)</f>
        <v>415</v>
      </c>
      <c r="G823" s="575"/>
      <c r="H823" s="575">
        <f>F823*36</f>
        <v>14940</v>
      </c>
      <c r="I823" s="577">
        <f>F823</f>
        <v>415</v>
      </c>
      <c r="J823" s="580"/>
      <c r="K823" s="578"/>
      <c r="L823" s="580"/>
      <c r="M823" s="578"/>
      <c r="N823" s="580"/>
      <c r="O823" s="580"/>
      <c r="P823" s="580"/>
      <c r="Q823" s="580"/>
      <c r="R823" s="578">
        <v>42</v>
      </c>
      <c r="S823" s="580"/>
      <c r="T823" s="580"/>
      <c r="U823" s="580"/>
      <c r="V823" s="575"/>
      <c r="W823" s="575"/>
      <c r="X823" s="580"/>
      <c r="Y823" s="580"/>
      <c r="Z823" s="575"/>
      <c r="AA823" s="583"/>
    </row>
    <row r="824" spans="1:27" s="584" customFormat="1" ht="13.9" customHeight="1" x14ac:dyDescent="0.2">
      <c r="A824" s="575">
        <f>A822+1</f>
        <v>409</v>
      </c>
      <c r="B824" s="583" t="s">
        <v>799</v>
      </c>
      <c r="C824" s="583" t="s">
        <v>20</v>
      </c>
      <c r="D824" s="583"/>
      <c r="E824" s="576"/>
      <c r="F824" s="576"/>
      <c r="G824" s="575"/>
      <c r="H824" s="575"/>
      <c r="I824" s="577"/>
      <c r="J824" s="580"/>
      <c r="K824" s="578">
        <f>(M824*4+N824*2)/2</f>
        <v>12</v>
      </c>
      <c r="L824" s="578"/>
      <c r="M824" s="578">
        <v>6</v>
      </c>
      <c r="N824" s="579"/>
      <c r="O824" s="579"/>
      <c r="P824" s="579"/>
      <c r="Q824" s="579"/>
      <c r="R824" s="579"/>
      <c r="S824" s="579"/>
      <c r="T824" s="579"/>
      <c r="U824" s="575"/>
      <c r="V824" s="575">
        <v>1</v>
      </c>
      <c r="W824" s="575">
        <v>1</v>
      </c>
      <c r="X824" s="575"/>
      <c r="Y824" s="575"/>
      <c r="Z824" s="575">
        <v>2</v>
      </c>
      <c r="AA824" s="583"/>
    </row>
    <row r="825" spans="1:27" s="584" customFormat="1" ht="13.9" customHeight="1" x14ac:dyDescent="0.2">
      <c r="A825" s="575"/>
      <c r="B825" s="583"/>
      <c r="C825" s="583"/>
      <c r="D825" s="583"/>
      <c r="E825" s="576">
        <v>386.10599999999999</v>
      </c>
      <c r="F825" s="576">
        <f>+CEILING(E825,5)</f>
        <v>390</v>
      </c>
      <c r="G825" s="575"/>
      <c r="H825" s="575">
        <f>F825*36</f>
        <v>14040</v>
      </c>
      <c r="I825" s="577">
        <f>F825</f>
        <v>390</v>
      </c>
      <c r="J825" s="580"/>
      <c r="K825" s="578"/>
      <c r="L825" s="580"/>
      <c r="M825" s="578"/>
      <c r="N825" s="580"/>
      <c r="O825" s="580"/>
      <c r="P825" s="580"/>
      <c r="Q825" s="580"/>
      <c r="R825" s="578">
        <v>36</v>
      </c>
      <c r="S825" s="580"/>
      <c r="T825" s="580"/>
      <c r="U825" s="580"/>
      <c r="V825" s="575"/>
      <c r="W825" s="575"/>
      <c r="X825" s="580"/>
      <c r="Y825" s="580"/>
      <c r="Z825" s="575"/>
      <c r="AA825" s="583"/>
    </row>
    <row r="826" spans="1:27" s="584" customFormat="1" ht="13.9" customHeight="1" x14ac:dyDescent="0.2">
      <c r="A826" s="575">
        <f>A824+1</f>
        <v>410</v>
      </c>
      <c r="B826" s="583" t="s">
        <v>100</v>
      </c>
      <c r="C826" s="583" t="s">
        <v>239</v>
      </c>
      <c r="D826" s="583" t="s">
        <v>1136</v>
      </c>
      <c r="E826" s="576"/>
      <c r="F826" s="576"/>
      <c r="G826" s="575"/>
      <c r="H826" s="575"/>
      <c r="I826" s="577"/>
      <c r="J826" s="578">
        <v>48</v>
      </c>
      <c r="K826" s="580"/>
      <c r="L826" s="578">
        <v>12</v>
      </c>
      <c r="M826" s="580"/>
      <c r="N826" s="580"/>
      <c r="O826" s="580"/>
      <c r="P826" s="580"/>
      <c r="Q826" s="580"/>
      <c r="R826" s="579"/>
      <c r="S826" s="575">
        <v>30</v>
      </c>
      <c r="T826" s="580"/>
      <c r="U826" s="575">
        <v>2</v>
      </c>
      <c r="V826" s="580"/>
      <c r="W826" s="575">
        <v>2</v>
      </c>
      <c r="X826" s="580"/>
      <c r="Y826" s="580"/>
      <c r="Z826" s="575">
        <v>4</v>
      </c>
      <c r="AA826" s="583"/>
    </row>
    <row r="827" spans="1:27" s="584" customFormat="1" ht="13.9" customHeight="1" x14ac:dyDescent="0.2">
      <c r="A827" s="575"/>
      <c r="B827" s="583"/>
      <c r="C827" s="583"/>
      <c r="D827" s="583"/>
      <c r="E827" s="576">
        <v>400</v>
      </c>
      <c r="F827" s="576">
        <f>+CEILING(E827,5)</f>
        <v>400</v>
      </c>
      <c r="G827" s="575"/>
      <c r="H827" s="575">
        <f>F827*36</f>
        <v>14400</v>
      </c>
      <c r="I827" s="577">
        <f>F827</f>
        <v>400</v>
      </c>
      <c r="J827" s="580"/>
      <c r="K827" s="578"/>
      <c r="L827" s="580"/>
      <c r="M827" s="578"/>
      <c r="N827" s="580"/>
      <c r="O827" s="580"/>
      <c r="P827" s="580"/>
      <c r="Q827" s="580"/>
      <c r="R827" s="578">
        <v>42</v>
      </c>
      <c r="S827" s="580"/>
      <c r="T827" s="580"/>
      <c r="U827" s="580"/>
      <c r="V827" s="575"/>
      <c r="W827" s="575"/>
      <c r="X827" s="580"/>
      <c r="Y827" s="580"/>
      <c r="Z827" s="575"/>
      <c r="AA827" s="583"/>
    </row>
    <row r="828" spans="1:27" s="584" customFormat="1" x14ac:dyDescent="0.2">
      <c r="A828" s="575">
        <f>A826+1</f>
        <v>411</v>
      </c>
      <c r="B828" s="583" t="s">
        <v>800</v>
      </c>
      <c r="C828" s="583" t="s">
        <v>20</v>
      </c>
      <c r="D828" s="583"/>
      <c r="E828" s="576"/>
      <c r="F828" s="576"/>
      <c r="G828" s="580"/>
      <c r="H828" s="575"/>
      <c r="I828" s="577"/>
      <c r="J828" s="580"/>
      <c r="K828" s="578">
        <f>(M828*4+N828*2)/2</f>
        <v>12</v>
      </c>
      <c r="L828" s="578"/>
      <c r="M828" s="578">
        <v>6</v>
      </c>
      <c r="N828" s="579"/>
      <c r="O828" s="579"/>
      <c r="P828" s="579"/>
      <c r="Q828" s="579"/>
      <c r="R828" s="579"/>
      <c r="S828" s="579"/>
      <c r="T828" s="579"/>
      <c r="U828" s="575"/>
      <c r="V828" s="575">
        <v>1</v>
      </c>
      <c r="W828" s="575">
        <v>1</v>
      </c>
      <c r="X828" s="575"/>
      <c r="Y828" s="575"/>
      <c r="Z828" s="575">
        <v>2</v>
      </c>
      <c r="AA828" s="583"/>
    </row>
    <row r="829" spans="1:27" s="584" customFormat="1" ht="13.9" customHeight="1" x14ac:dyDescent="0.2">
      <c r="A829" s="575"/>
      <c r="B829" s="583"/>
      <c r="C829" s="583"/>
      <c r="D829" s="583"/>
      <c r="E829" s="576">
        <v>416.00099999999998</v>
      </c>
      <c r="F829" s="576">
        <f>+CEILING(E829,5)</f>
        <v>420</v>
      </c>
      <c r="G829" s="580"/>
      <c r="H829" s="575">
        <f>F829*36</f>
        <v>15120</v>
      </c>
      <c r="I829" s="577">
        <f>F829</f>
        <v>420</v>
      </c>
      <c r="J829" s="580"/>
      <c r="K829" s="578"/>
      <c r="L829" s="580"/>
      <c r="M829" s="578"/>
      <c r="N829" s="580"/>
      <c r="O829" s="580"/>
      <c r="P829" s="580"/>
      <c r="Q829" s="580"/>
      <c r="R829" s="578">
        <v>42</v>
      </c>
      <c r="S829" s="580"/>
      <c r="T829" s="580"/>
      <c r="U829" s="580"/>
      <c r="V829" s="575"/>
      <c r="W829" s="575"/>
      <c r="X829" s="580"/>
      <c r="Y829" s="580"/>
      <c r="Z829" s="575"/>
      <c r="AA829" s="583"/>
    </row>
    <row r="830" spans="1:27" s="584" customFormat="1" ht="13.9" customHeight="1" x14ac:dyDescent="0.2">
      <c r="A830" s="575">
        <f>A828+1</f>
        <v>412</v>
      </c>
      <c r="B830" s="583" t="s">
        <v>801</v>
      </c>
      <c r="C830" s="583" t="s">
        <v>231</v>
      </c>
      <c r="D830" s="583"/>
      <c r="E830" s="576"/>
      <c r="F830" s="576"/>
      <c r="G830" s="580"/>
      <c r="H830" s="575"/>
      <c r="I830" s="577"/>
      <c r="J830" s="580"/>
      <c r="K830" s="578">
        <f>(M830*4+N830*2)/2</f>
        <v>12</v>
      </c>
      <c r="L830" s="578"/>
      <c r="M830" s="578">
        <v>6</v>
      </c>
      <c r="N830" s="579"/>
      <c r="O830" s="579"/>
      <c r="P830" s="579"/>
      <c r="Q830" s="579"/>
      <c r="R830" s="579"/>
      <c r="S830" s="579"/>
      <c r="T830" s="579"/>
      <c r="U830" s="575"/>
      <c r="V830" s="575">
        <v>1</v>
      </c>
      <c r="W830" s="575">
        <v>1</v>
      </c>
      <c r="X830" s="575"/>
      <c r="Y830" s="575"/>
      <c r="Z830" s="575">
        <v>2</v>
      </c>
      <c r="AA830" s="583"/>
    </row>
    <row r="831" spans="1:27" s="584" customFormat="1" ht="13.9" customHeight="1" x14ac:dyDescent="0.2">
      <c r="A831" s="575"/>
      <c r="B831" s="583"/>
      <c r="C831" s="583"/>
      <c r="D831" s="583"/>
      <c r="E831" s="576">
        <v>410.99900000000002</v>
      </c>
      <c r="F831" s="576">
        <f>+CEILING(E831,5)</f>
        <v>415</v>
      </c>
      <c r="G831" s="580"/>
      <c r="H831" s="575">
        <f>F831*36</f>
        <v>14940</v>
      </c>
      <c r="I831" s="577">
        <f>F831</f>
        <v>415</v>
      </c>
      <c r="J831" s="580"/>
      <c r="K831" s="578"/>
      <c r="L831" s="580"/>
      <c r="M831" s="578"/>
      <c r="N831" s="580"/>
      <c r="O831" s="580"/>
      <c r="P831" s="580"/>
      <c r="Q831" s="580"/>
      <c r="R831" s="578">
        <v>42</v>
      </c>
      <c r="S831" s="580"/>
      <c r="T831" s="580"/>
      <c r="U831" s="580"/>
      <c r="V831" s="575"/>
      <c r="W831" s="575"/>
      <c r="X831" s="580"/>
      <c r="Y831" s="580"/>
      <c r="Z831" s="575"/>
      <c r="AA831" s="583"/>
    </row>
    <row r="832" spans="1:27" s="584" customFormat="1" ht="13.9" customHeight="1" x14ac:dyDescent="0.2">
      <c r="A832" s="575">
        <f>A830+1</f>
        <v>413</v>
      </c>
      <c r="B832" s="583" t="s">
        <v>802</v>
      </c>
      <c r="C832" s="583" t="s">
        <v>20</v>
      </c>
      <c r="D832" s="583"/>
      <c r="E832" s="576"/>
      <c r="F832" s="576"/>
      <c r="G832" s="580"/>
      <c r="H832" s="575"/>
      <c r="I832" s="577"/>
      <c r="J832" s="580"/>
      <c r="K832" s="578">
        <f>(M832*4+N832*2)/2</f>
        <v>12</v>
      </c>
      <c r="L832" s="578"/>
      <c r="M832" s="578">
        <v>6</v>
      </c>
      <c r="N832" s="579"/>
      <c r="O832" s="579"/>
      <c r="P832" s="579"/>
      <c r="Q832" s="579"/>
      <c r="R832" s="579"/>
      <c r="S832" s="579"/>
      <c r="T832" s="579"/>
      <c r="U832" s="575"/>
      <c r="V832" s="575">
        <v>1</v>
      </c>
      <c r="W832" s="575">
        <v>1</v>
      </c>
      <c r="X832" s="575"/>
      <c r="Y832" s="575"/>
      <c r="Z832" s="575">
        <v>2</v>
      </c>
      <c r="AA832" s="583"/>
    </row>
    <row r="833" spans="1:27" s="584" customFormat="1" ht="13.9" customHeight="1" x14ac:dyDescent="0.2">
      <c r="A833" s="575"/>
      <c r="B833" s="583"/>
      <c r="C833" s="583"/>
      <c r="D833" s="583"/>
      <c r="E833" s="576">
        <v>398.99900000000002</v>
      </c>
      <c r="F833" s="576">
        <f>+CEILING(E833,5)</f>
        <v>400</v>
      </c>
      <c r="G833" s="580"/>
      <c r="H833" s="575">
        <f>F833*36</f>
        <v>14400</v>
      </c>
      <c r="I833" s="577">
        <f>F833</f>
        <v>400</v>
      </c>
      <c r="J833" s="582"/>
      <c r="K833" s="580"/>
      <c r="L833" s="582"/>
      <c r="M833" s="580"/>
      <c r="N833" s="580"/>
      <c r="O833" s="580"/>
      <c r="P833" s="580"/>
      <c r="Q833" s="580"/>
      <c r="R833" s="578">
        <v>42</v>
      </c>
      <c r="S833" s="579"/>
      <c r="T833" s="580"/>
      <c r="U833" s="575"/>
      <c r="V833" s="580"/>
      <c r="W833" s="575"/>
      <c r="X833" s="580"/>
      <c r="Y833" s="580"/>
      <c r="Z833" s="575"/>
      <c r="AA833" s="583"/>
    </row>
    <row r="834" spans="1:27" s="584" customFormat="1" ht="13.9" customHeight="1" x14ac:dyDescent="0.2">
      <c r="A834" s="575">
        <f>A832+1</f>
        <v>414</v>
      </c>
      <c r="B834" s="583" t="s">
        <v>803</v>
      </c>
      <c r="C834" s="583" t="s">
        <v>231</v>
      </c>
      <c r="D834" s="583"/>
      <c r="E834" s="576"/>
      <c r="F834" s="576"/>
      <c r="G834" s="580"/>
      <c r="H834" s="575"/>
      <c r="I834" s="577"/>
      <c r="J834" s="580"/>
      <c r="K834" s="578">
        <f>(M834*4+N834*2)/2</f>
        <v>12</v>
      </c>
      <c r="L834" s="578"/>
      <c r="M834" s="578">
        <v>6</v>
      </c>
      <c r="N834" s="579"/>
      <c r="O834" s="579"/>
      <c r="P834" s="579"/>
      <c r="Q834" s="579"/>
      <c r="R834" s="579"/>
      <c r="S834" s="579"/>
      <c r="T834" s="579"/>
      <c r="U834" s="575"/>
      <c r="V834" s="575">
        <v>1</v>
      </c>
      <c r="W834" s="575">
        <v>1</v>
      </c>
      <c r="X834" s="575"/>
      <c r="Y834" s="575"/>
      <c r="Z834" s="575">
        <v>2</v>
      </c>
      <c r="AA834" s="583"/>
    </row>
    <row r="835" spans="1:27" s="584" customFormat="1" ht="13.9" customHeight="1" x14ac:dyDescent="0.2">
      <c r="A835" s="575"/>
      <c r="B835" s="583"/>
      <c r="C835" s="583"/>
      <c r="D835" s="583"/>
      <c r="E835" s="576">
        <v>413.00200000000001</v>
      </c>
      <c r="F835" s="576">
        <f>+CEILING(E835,5)</f>
        <v>415</v>
      </c>
      <c r="G835" s="580"/>
      <c r="H835" s="575">
        <f>F835*36</f>
        <v>14940</v>
      </c>
      <c r="I835" s="577">
        <f>F835</f>
        <v>415</v>
      </c>
      <c r="J835" s="580"/>
      <c r="K835" s="578"/>
      <c r="L835" s="580"/>
      <c r="M835" s="578"/>
      <c r="N835" s="580"/>
      <c r="O835" s="580"/>
      <c r="P835" s="580"/>
      <c r="Q835" s="580"/>
      <c r="R835" s="578">
        <v>42</v>
      </c>
      <c r="S835" s="580"/>
      <c r="T835" s="580"/>
      <c r="U835" s="580"/>
      <c r="V835" s="575"/>
      <c r="W835" s="575"/>
      <c r="X835" s="580"/>
      <c r="Y835" s="580"/>
      <c r="Z835" s="575"/>
      <c r="AA835" s="583"/>
    </row>
    <row r="836" spans="1:27" s="584" customFormat="1" ht="13.9" customHeight="1" x14ac:dyDescent="0.2">
      <c r="A836" s="575">
        <f>A834+1</f>
        <v>415</v>
      </c>
      <c r="B836" s="583" t="s">
        <v>804</v>
      </c>
      <c r="C836" s="583" t="s">
        <v>20</v>
      </c>
      <c r="D836" s="583"/>
      <c r="E836" s="576"/>
      <c r="F836" s="576"/>
      <c r="G836" s="580"/>
      <c r="H836" s="575"/>
      <c r="I836" s="577"/>
      <c r="J836" s="580"/>
      <c r="K836" s="578">
        <f>(M836*4+N836*2)/2</f>
        <v>12</v>
      </c>
      <c r="L836" s="578"/>
      <c r="M836" s="578">
        <v>6</v>
      </c>
      <c r="N836" s="579"/>
      <c r="O836" s="579"/>
      <c r="P836" s="579"/>
      <c r="Q836" s="579"/>
      <c r="R836" s="579"/>
      <c r="S836" s="579"/>
      <c r="T836" s="579"/>
      <c r="U836" s="575"/>
      <c r="V836" s="575">
        <v>1</v>
      </c>
      <c r="W836" s="575">
        <v>1</v>
      </c>
      <c r="X836" s="575"/>
      <c r="Y836" s="575"/>
      <c r="Z836" s="575">
        <v>2</v>
      </c>
      <c r="AA836" s="583"/>
    </row>
    <row r="837" spans="1:27" s="584" customFormat="1" ht="13.9" customHeight="1" x14ac:dyDescent="0.2">
      <c r="A837" s="575"/>
      <c r="B837" s="583"/>
      <c r="C837" s="583"/>
      <c r="D837" s="583"/>
      <c r="E837" s="576">
        <v>426</v>
      </c>
      <c r="F837" s="576">
        <f>+CEILING(E837,5)</f>
        <v>430</v>
      </c>
      <c r="G837" s="580"/>
      <c r="H837" s="575">
        <f>F837*36</f>
        <v>15480</v>
      </c>
      <c r="I837" s="577">
        <f>F837</f>
        <v>430</v>
      </c>
      <c r="J837" s="580"/>
      <c r="K837" s="578"/>
      <c r="L837" s="580"/>
      <c r="M837" s="578"/>
      <c r="N837" s="580"/>
      <c r="O837" s="580"/>
      <c r="P837" s="580"/>
      <c r="Q837" s="580"/>
      <c r="R837" s="578">
        <v>42</v>
      </c>
      <c r="S837" s="580"/>
      <c r="T837" s="580"/>
      <c r="U837" s="580"/>
      <c r="V837" s="575"/>
      <c r="W837" s="575"/>
      <c r="X837" s="580"/>
      <c r="Y837" s="580"/>
      <c r="Z837" s="575"/>
      <c r="AA837" s="583"/>
    </row>
    <row r="838" spans="1:27" s="584" customFormat="1" ht="13.9" customHeight="1" x14ac:dyDescent="0.2">
      <c r="A838" s="575">
        <f>A836+1</f>
        <v>416</v>
      </c>
      <c r="B838" s="583" t="s">
        <v>805</v>
      </c>
      <c r="C838" s="583" t="s">
        <v>20</v>
      </c>
      <c r="D838" s="583"/>
      <c r="E838" s="576"/>
      <c r="F838" s="576"/>
      <c r="G838" s="580"/>
      <c r="H838" s="575"/>
      <c r="I838" s="577"/>
      <c r="J838" s="580"/>
      <c r="K838" s="578">
        <f>(M838*4+N838*2)/2</f>
        <v>12</v>
      </c>
      <c r="L838" s="578"/>
      <c r="M838" s="578">
        <v>6</v>
      </c>
      <c r="N838" s="579"/>
      <c r="O838" s="579"/>
      <c r="P838" s="579"/>
      <c r="Q838" s="579"/>
      <c r="R838" s="579"/>
      <c r="S838" s="579"/>
      <c r="T838" s="579"/>
      <c r="U838" s="575"/>
      <c r="V838" s="575">
        <v>1</v>
      </c>
      <c r="W838" s="575">
        <v>1</v>
      </c>
      <c r="X838" s="575"/>
      <c r="Y838" s="575"/>
      <c r="Z838" s="575">
        <v>2</v>
      </c>
      <c r="AA838" s="583"/>
    </row>
    <row r="839" spans="1:27" s="584" customFormat="1" ht="13.9" customHeight="1" x14ac:dyDescent="0.2">
      <c r="A839" s="575"/>
      <c r="B839" s="583"/>
      <c r="C839" s="583"/>
      <c r="D839" s="583"/>
      <c r="E839" s="576">
        <v>412.99799999999999</v>
      </c>
      <c r="F839" s="576">
        <f>+CEILING(E839,5)</f>
        <v>415</v>
      </c>
      <c r="G839" s="580"/>
      <c r="H839" s="575">
        <f>F839*36</f>
        <v>14940</v>
      </c>
      <c r="I839" s="577">
        <f>F839</f>
        <v>415</v>
      </c>
      <c r="J839" s="580"/>
      <c r="K839" s="578"/>
      <c r="L839" s="580"/>
      <c r="M839" s="578"/>
      <c r="N839" s="580"/>
      <c r="O839" s="580"/>
      <c r="P839" s="580"/>
      <c r="Q839" s="580"/>
      <c r="R839" s="578">
        <v>42</v>
      </c>
      <c r="S839" s="580"/>
      <c r="T839" s="580"/>
      <c r="U839" s="580"/>
      <c r="V839" s="575"/>
      <c r="W839" s="575"/>
      <c r="X839" s="580"/>
      <c r="Y839" s="580"/>
      <c r="Z839" s="575"/>
      <c r="AA839" s="583"/>
    </row>
    <row r="840" spans="1:27" s="584" customFormat="1" ht="13.9" customHeight="1" x14ac:dyDescent="0.2">
      <c r="A840" s="575">
        <f>A838+1</f>
        <v>417</v>
      </c>
      <c r="B840" s="583" t="s">
        <v>806</v>
      </c>
      <c r="C840" s="583" t="s">
        <v>20</v>
      </c>
      <c r="D840" s="583"/>
      <c r="E840" s="576"/>
      <c r="F840" s="576"/>
      <c r="G840" s="580"/>
      <c r="H840" s="575"/>
      <c r="I840" s="577"/>
      <c r="J840" s="580"/>
      <c r="K840" s="578">
        <f>(M840*4+N840*2)/2</f>
        <v>12</v>
      </c>
      <c r="L840" s="578"/>
      <c r="M840" s="578">
        <v>6</v>
      </c>
      <c r="N840" s="579"/>
      <c r="O840" s="579"/>
      <c r="P840" s="579"/>
      <c r="Q840" s="579"/>
      <c r="R840" s="579"/>
      <c r="S840" s="579"/>
      <c r="T840" s="579"/>
      <c r="U840" s="575"/>
      <c r="V840" s="575">
        <v>1</v>
      </c>
      <c r="W840" s="575">
        <v>1</v>
      </c>
      <c r="X840" s="575"/>
      <c r="Y840" s="575"/>
      <c r="Z840" s="575">
        <v>2</v>
      </c>
      <c r="AA840" s="583"/>
    </row>
    <row r="841" spans="1:27" s="584" customFormat="1" ht="13.9" customHeight="1" x14ac:dyDescent="0.2">
      <c r="A841" s="575"/>
      <c r="B841" s="583"/>
      <c r="C841" s="583"/>
      <c r="D841" s="583"/>
      <c r="E841" s="576">
        <v>425.00099999999998</v>
      </c>
      <c r="F841" s="576">
        <f>+CEILING(E841,5)</f>
        <v>430</v>
      </c>
      <c r="G841" s="580"/>
      <c r="H841" s="575">
        <f>F841*36</f>
        <v>15480</v>
      </c>
      <c r="I841" s="577">
        <f>F841</f>
        <v>430</v>
      </c>
      <c r="J841" s="580"/>
      <c r="K841" s="578"/>
      <c r="L841" s="580"/>
      <c r="M841" s="578"/>
      <c r="N841" s="580"/>
      <c r="O841" s="580"/>
      <c r="P841" s="580"/>
      <c r="Q841" s="580"/>
      <c r="R841" s="578">
        <v>42</v>
      </c>
      <c r="S841" s="580"/>
      <c r="T841" s="580"/>
      <c r="U841" s="580"/>
      <c r="V841" s="575"/>
      <c r="W841" s="575"/>
      <c r="X841" s="580"/>
      <c r="Y841" s="580"/>
      <c r="Z841" s="575"/>
      <c r="AA841" s="583"/>
    </row>
    <row r="842" spans="1:27" s="584" customFormat="1" x14ac:dyDescent="0.2">
      <c r="A842" s="575">
        <f>A840+1</f>
        <v>418</v>
      </c>
      <c r="B842" s="583" t="s">
        <v>807</v>
      </c>
      <c r="C842" s="583" t="s">
        <v>20</v>
      </c>
      <c r="D842" s="583"/>
      <c r="E842" s="576"/>
      <c r="F842" s="576"/>
      <c r="G842" s="580"/>
      <c r="H842" s="575"/>
      <c r="I842" s="577"/>
      <c r="J842" s="580"/>
      <c r="K842" s="578">
        <f>(M842*4+N842*2)/2</f>
        <v>12</v>
      </c>
      <c r="L842" s="578"/>
      <c r="M842" s="578">
        <v>6</v>
      </c>
      <c r="N842" s="579"/>
      <c r="O842" s="579"/>
      <c r="P842" s="579"/>
      <c r="Q842" s="579"/>
      <c r="R842" s="579"/>
      <c r="S842" s="579"/>
      <c r="T842" s="579"/>
      <c r="U842" s="575"/>
      <c r="V842" s="575">
        <v>1</v>
      </c>
      <c r="W842" s="575">
        <v>1</v>
      </c>
      <c r="X842" s="575"/>
      <c r="Y842" s="575"/>
      <c r="Z842" s="575">
        <v>2</v>
      </c>
      <c r="AA842" s="583"/>
    </row>
    <row r="843" spans="1:27" s="584" customFormat="1" ht="13.9" customHeight="1" x14ac:dyDescent="0.2">
      <c r="A843" s="575"/>
      <c r="B843" s="583"/>
      <c r="C843" s="583"/>
      <c r="D843" s="583"/>
      <c r="E843" s="576">
        <v>408.34199999999998</v>
      </c>
      <c r="F843" s="576">
        <f>+CEILING(E843,5)</f>
        <v>410</v>
      </c>
      <c r="G843" s="575"/>
      <c r="H843" s="575">
        <f>F843*36</f>
        <v>14760</v>
      </c>
      <c r="I843" s="577">
        <f>F843</f>
        <v>410</v>
      </c>
      <c r="J843" s="580"/>
      <c r="K843" s="578"/>
      <c r="L843" s="580"/>
      <c r="M843" s="578"/>
      <c r="N843" s="580"/>
      <c r="O843" s="580"/>
      <c r="P843" s="580"/>
      <c r="Q843" s="580"/>
      <c r="R843" s="578">
        <v>42</v>
      </c>
      <c r="S843" s="580"/>
      <c r="T843" s="580"/>
      <c r="U843" s="580"/>
      <c r="V843" s="575"/>
      <c r="W843" s="575"/>
      <c r="X843" s="580"/>
      <c r="Y843" s="580"/>
      <c r="Z843" s="575"/>
      <c r="AA843" s="583"/>
    </row>
    <row r="844" spans="1:27" s="584" customFormat="1" ht="13.9" customHeight="1" x14ac:dyDescent="0.2">
      <c r="A844" s="575">
        <f>A842+1</f>
        <v>419</v>
      </c>
      <c r="B844" s="583" t="s">
        <v>808</v>
      </c>
      <c r="C844" s="583" t="s">
        <v>245</v>
      </c>
      <c r="D844" s="583" t="s">
        <v>1137</v>
      </c>
      <c r="E844" s="576"/>
      <c r="F844" s="576"/>
      <c r="G844" s="575"/>
      <c r="H844" s="575"/>
      <c r="I844" s="577"/>
      <c r="J844" s="578">
        <v>48</v>
      </c>
      <c r="K844" s="580"/>
      <c r="L844" s="578">
        <v>12</v>
      </c>
      <c r="M844" s="580"/>
      <c r="N844" s="580"/>
      <c r="O844" s="580"/>
      <c r="P844" s="580"/>
      <c r="Q844" s="580"/>
      <c r="R844" s="579"/>
      <c r="S844" s="575">
        <v>30</v>
      </c>
      <c r="T844" s="580"/>
      <c r="U844" s="575">
        <v>2</v>
      </c>
      <c r="V844" s="580"/>
      <c r="W844" s="575">
        <v>2</v>
      </c>
      <c r="X844" s="580"/>
      <c r="Y844" s="580"/>
      <c r="Z844" s="575">
        <v>4</v>
      </c>
      <c r="AA844" s="583"/>
    </row>
    <row r="845" spans="1:27" s="584" customFormat="1" ht="13.9" customHeight="1" x14ac:dyDescent="0.2">
      <c r="A845" s="575"/>
      <c r="B845" s="583"/>
      <c r="C845" s="583"/>
      <c r="D845" s="583"/>
      <c r="E845" s="576">
        <v>375.07499999999999</v>
      </c>
      <c r="F845" s="576">
        <f>+CEILING(E845,5)</f>
        <v>380</v>
      </c>
      <c r="G845" s="575"/>
      <c r="H845" s="575">
        <f>F845*36</f>
        <v>13680</v>
      </c>
      <c r="I845" s="577">
        <f>F845</f>
        <v>380</v>
      </c>
      <c r="J845" s="582"/>
      <c r="K845" s="580"/>
      <c r="L845" s="582"/>
      <c r="M845" s="580"/>
      <c r="N845" s="580"/>
      <c r="O845" s="580"/>
      <c r="P845" s="580"/>
      <c r="Q845" s="580"/>
      <c r="R845" s="578">
        <v>36</v>
      </c>
      <c r="S845" s="579"/>
      <c r="T845" s="580"/>
      <c r="U845" s="575"/>
      <c r="V845" s="580"/>
      <c r="W845" s="575"/>
      <c r="X845" s="580"/>
      <c r="Y845" s="580"/>
      <c r="Z845" s="575"/>
      <c r="AA845" s="583"/>
    </row>
    <row r="846" spans="1:27" s="584" customFormat="1" ht="13.9" customHeight="1" x14ac:dyDescent="0.2">
      <c r="A846" s="575">
        <f>A844+1</f>
        <v>420</v>
      </c>
      <c r="B846" s="583" t="s">
        <v>809</v>
      </c>
      <c r="C846" s="583" t="s">
        <v>231</v>
      </c>
      <c r="D846" s="583"/>
      <c r="E846" s="576"/>
      <c r="F846" s="576"/>
      <c r="G846" s="575"/>
      <c r="H846" s="575"/>
      <c r="I846" s="577"/>
      <c r="J846" s="580"/>
      <c r="K846" s="578">
        <f>(M846*4+N846*2)/2</f>
        <v>12</v>
      </c>
      <c r="L846" s="578"/>
      <c r="M846" s="578">
        <v>6</v>
      </c>
      <c r="N846" s="579"/>
      <c r="O846" s="579"/>
      <c r="P846" s="579"/>
      <c r="Q846" s="579"/>
      <c r="R846" s="579"/>
      <c r="S846" s="579"/>
      <c r="T846" s="579"/>
      <c r="U846" s="575"/>
      <c r="V846" s="575">
        <v>1</v>
      </c>
      <c r="W846" s="575">
        <v>1</v>
      </c>
      <c r="X846" s="575"/>
      <c r="Y846" s="575"/>
      <c r="Z846" s="575">
        <v>2</v>
      </c>
      <c r="AA846" s="583"/>
    </row>
    <row r="847" spans="1:27" s="584" customFormat="1" ht="13.9" customHeight="1" x14ac:dyDescent="0.2">
      <c r="A847" s="575"/>
      <c r="B847" s="583"/>
      <c r="C847" s="583"/>
      <c r="D847" s="583"/>
      <c r="E847" s="576">
        <v>408.721</v>
      </c>
      <c r="F847" s="576">
        <f>+CEILING(E847,5)</f>
        <v>410</v>
      </c>
      <c r="G847" s="575"/>
      <c r="H847" s="575">
        <f>F847*36</f>
        <v>14760</v>
      </c>
      <c r="I847" s="577">
        <f>F847</f>
        <v>410</v>
      </c>
      <c r="J847" s="580"/>
      <c r="K847" s="578"/>
      <c r="L847" s="580"/>
      <c r="M847" s="578"/>
      <c r="N847" s="580"/>
      <c r="O847" s="580"/>
      <c r="P847" s="580"/>
      <c r="Q847" s="580"/>
      <c r="R847" s="578">
        <v>42</v>
      </c>
      <c r="S847" s="580"/>
      <c r="T847" s="580"/>
      <c r="U847" s="580"/>
      <c r="V847" s="575"/>
      <c r="W847" s="575"/>
      <c r="X847" s="580"/>
      <c r="Y847" s="580"/>
      <c r="Z847" s="575"/>
      <c r="AA847" s="583"/>
    </row>
    <row r="848" spans="1:27" s="584" customFormat="1" x14ac:dyDescent="0.2">
      <c r="A848" s="575">
        <f>A846+1</f>
        <v>421</v>
      </c>
      <c r="B848" s="583" t="s">
        <v>810</v>
      </c>
      <c r="C848" s="583" t="s">
        <v>20</v>
      </c>
      <c r="D848" s="583"/>
      <c r="E848" s="576"/>
      <c r="F848" s="576"/>
      <c r="G848" s="580"/>
      <c r="H848" s="575"/>
      <c r="I848" s="577"/>
      <c r="J848" s="580"/>
      <c r="K848" s="578">
        <f>(M848*4+N848*2)/2</f>
        <v>12</v>
      </c>
      <c r="L848" s="578"/>
      <c r="M848" s="578">
        <v>6</v>
      </c>
      <c r="N848" s="579"/>
      <c r="O848" s="579"/>
      <c r="P848" s="579"/>
      <c r="Q848" s="579"/>
      <c r="R848" s="579"/>
      <c r="S848" s="579"/>
      <c r="T848" s="579"/>
      <c r="U848" s="575"/>
      <c r="V848" s="575">
        <v>1</v>
      </c>
      <c r="W848" s="575">
        <v>1</v>
      </c>
      <c r="X848" s="575"/>
      <c r="Y848" s="575"/>
      <c r="Z848" s="575">
        <v>2</v>
      </c>
      <c r="AA848" s="583"/>
    </row>
    <row r="849" spans="1:27" s="584" customFormat="1" x14ac:dyDescent="0.2">
      <c r="A849" s="575"/>
      <c r="B849" s="583"/>
      <c r="C849" s="583"/>
      <c r="D849" s="583"/>
      <c r="E849" s="576">
        <v>410.74099999999999</v>
      </c>
      <c r="F849" s="576">
        <f>+CEILING(E849,5)</f>
        <v>415</v>
      </c>
      <c r="G849" s="575"/>
      <c r="H849" s="575">
        <f>F849*36</f>
        <v>14940</v>
      </c>
      <c r="I849" s="577">
        <f>F849</f>
        <v>415</v>
      </c>
      <c r="J849" s="580"/>
      <c r="K849" s="578"/>
      <c r="L849" s="580"/>
      <c r="M849" s="578"/>
      <c r="N849" s="580"/>
      <c r="O849" s="580"/>
      <c r="P849" s="580"/>
      <c r="Q849" s="580"/>
      <c r="R849" s="578">
        <v>42</v>
      </c>
      <c r="S849" s="580"/>
      <c r="T849" s="580"/>
      <c r="U849" s="580"/>
      <c r="V849" s="575"/>
      <c r="W849" s="575"/>
      <c r="X849" s="580"/>
      <c r="Y849" s="580"/>
      <c r="Z849" s="575"/>
      <c r="AA849" s="583"/>
    </row>
    <row r="850" spans="1:27" s="584" customFormat="1" x14ac:dyDescent="0.2">
      <c r="A850" s="575">
        <f>A848+1</f>
        <v>422</v>
      </c>
      <c r="B850" s="583" t="s">
        <v>811</v>
      </c>
      <c r="C850" s="583" t="s">
        <v>231</v>
      </c>
      <c r="D850" s="583"/>
      <c r="E850" s="576"/>
      <c r="F850" s="576"/>
      <c r="G850" s="580"/>
      <c r="H850" s="575"/>
      <c r="I850" s="577"/>
      <c r="J850" s="580"/>
      <c r="K850" s="578">
        <f>(M850*4+N850*2)/2</f>
        <v>12</v>
      </c>
      <c r="L850" s="578"/>
      <c r="M850" s="578">
        <v>6</v>
      </c>
      <c r="N850" s="579"/>
      <c r="O850" s="579"/>
      <c r="P850" s="579"/>
      <c r="Q850" s="579"/>
      <c r="R850" s="579"/>
      <c r="S850" s="579"/>
      <c r="T850" s="579"/>
      <c r="U850" s="575"/>
      <c r="V850" s="575">
        <v>1</v>
      </c>
      <c r="W850" s="575">
        <v>1</v>
      </c>
      <c r="X850" s="575"/>
      <c r="Y850" s="575"/>
      <c r="Z850" s="575">
        <v>2</v>
      </c>
      <c r="AA850" s="583"/>
    </row>
    <row r="851" spans="1:27" s="584" customFormat="1" x14ac:dyDescent="0.2">
      <c r="A851" s="575"/>
      <c r="B851" s="583"/>
      <c r="C851" s="583"/>
      <c r="D851" s="583"/>
      <c r="E851" s="576">
        <v>408.233</v>
      </c>
      <c r="F851" s="576">
        <f>+CEILING(E851,5)</f>
        <v>410</v>
      </c>
      <c r="G851" s="575"/>
      <c r="H851" s="575">
        <f>F851*36</f>
        <v>14760</v>
      </c>
      <c r="I851" s="577">
        <f>F851</f>
        <v>410</v>
      </c>
      <c r="J851" s="580"/>
      <c r="K851" s="578"/>
      <c r="L851" s="580"/>
      <c r="M851" s="578"/>
      <c r="N851" s="580"/>
      <c r="O851" s="580"/>
      <c r="P851" s="580"/>
      <c r="Q851" s="580"/>
      <c r="R851" s="578">
        <v>42</v>
      </c>
      <c r="S851" s="580"/>
      <c r="T851" s="580"/>
      <c r="U851" s="580"/>
      <c r="V851" s="575"/>
      <c r="W851" s="575"/>
      <c r="X851" s="580"/>
      <c r="Y851" s="580"/>
      <c r="Z851" s="575"/>
      <c r="AA851" s="583"/>
    </row>
    <row r="852" spans="1:27" s="584" customFormat="1" x14ac:dyDescent="0.2">
      <c r="A852" s="575">
        <f>A850+1</f>
        <v>423</v>
      </c>
      <c r="B852" s="583" t="s">
        <v>812</v>
      </c>
      <c r="C852" s="583" t="s">
        <v>20</v>
      </c>
      <c r="D852" s="583"/>
      <c r="E852" s="576"/>
      <c r="F852" s="576"/>
      <c r="G852" s="580"/>
      <c r="H852" s="575"/>
      <c r="I852" s="577"/>
      <c r="J852" s="580"/>
      <c r="K852" s="578">
        <f>(M852*4+N852*2)/2</f>
        <v>12</v>
      </c>
      <c r="L852" s="578"/>
      <c r="M852" s="578">
        <v>6</v>
      </c>
      <c r="N852" s="579"/>
      <c r="O852" s="579"/>
      <c r="P852" s="579"/>
      <c r="Q852" s="579"/>
      <c r="R852" s="579"/>
      <c r="S852" s="579"/>
      <c r="T852" s="579"/>
      <c r="U852" s="575"/>
      <c r="V852" s="575">
        <v>1</v>
      </c>
      <c r="W852" s="575">
        <v>1</v>
      </c>
      <c r="X852" s="575"/>
      <c r="Y852" s="575"/>
      <c r="Z852" s="575">
        <v>2</v>
      </c>
      <c r="AA852" s="583"/>
    </row>
    <row r="853" spans="1:27" s="584" customFormat="1" ht="13.9" customHeight="1" x14ac:dyDescent="0.2">
      <c r="A853" s="575"/>
      <c r="B853" s="583"/>
      <c r="C853" s="583"/>
      <c r="D853" s="583"/>
      <c r="E853" s="576">
        <v>426.149</v>
      </c>
      <c r="F853" s="576">
        <f>+CEILING(E853,5)</f>
        <v>430</v>
      </c>
      <c r="G853" s="575"/>
      <c r="H853" s="575">
        <f>F853*36</f>
        <v>15480</v>
      </c>
      <c r="I853" s="577">
        <f>F853</f>
        <v>430</v>
      </c>
      <c r="J853" s="580"/>
      <c r="K853" s="578"/>
      <c r="L853" s="580"/>
      <c r="M853" s="578"/>
      <c r="N853" s="580"/>
      <c r="O853" s="580"/>
      <c r="P853" s="580"/>
      <c r="Q853" s="580"/>
      <c r="R853" s="578">
        <v>42</v>
      </c>
      <c r="S853" s="580"/>
      <c r="T853" s="580"/>
      <c r="U853" s="580"/>
      <c r="V853" s="575"/>
      <c r="W853" s="575"/>
      <c r="X853" s="580"/>
      <c r="Y853" s="580"/>
      <c r="Z853" s="575"/>
      <c r="AA853" s="583"/>
    </row>
    <row r="854" spans="1:27" s="584" customFormat="1" ht="13.9" customHeight="1" x14ac:dyDescent="0.2">
      <c r="A854" s="575">
        <f>A852+1</f>
        <v>424</v>
      </c>
      <c r="B854" s="583" t="s">
        <v>813</v>
      </c>
      <c r="C854" s="583" t="s">
        <v>20</v>
      </c>
      <c r="D854" s="583"/>
      <c r="E854" s="576"/>
      <c r="F854" s="576"/>
      <c r="G854" s="575"/>
      <c r="H854" s="575"/>
      <c r="I854" s="577"/>
      <c r="J854" s="580"/>
      <c r="K854" s="578">
        <f>(M854*4+N854*2)/2</f>
        <v>12</v>
      </c>
      <c r="L854" s="578"/>
      <c r="M854" s="578">
        <v>6</v>
      </c>
      <c r="N854" s="579"/>
      <c r="O854" s="579"/>
      <c r="P854" s="579"/>
      <c r="Q854" s="579"/>
      <c r="R854" s="579"/>
      <c r="S854" s="579"/>
      <c r="T854" s="579"/>
      <c r="U854" s="575"/>
      <c r="V854" s="575">
        <v>1</v>
      </c>
      <c r="W854" s="575">
        <v>1</v>
      </c>
      <c r="X854" s="575"/>
      <c r="Y854" s="575"/>
      <c r="Z854" s="575">
        <v>2</v>
      </c>
      <c r="AA854" s="583"/>
    </row>
    <row r="855" spans="1:27" s="584" customFormat="1" ht="13.9" customHeight="1" x14ac:dyDescent="0.2">
      <c r="A855" s="575"/>
      <c r="B855" s="583"/>
      <c r="C855" s="583"/>
      <c r="D855" s="583"/>
      <c r="E855" s="576">
        <v>407.71499999999997</v>
      </c>
      <c r="F855" s="576">
        <f>+CEILING(E855,5)</f>
        <v>410</v>
      </c>
      <c r="G855" s="575"/>
      <c r="H855" s="575">
        <f>F855*36</f>
        <v>14760</v>
      </c>
      <c r="I855" s="577">
        <f>F855</f>
        <v>410</v>
      </c>
      <c r="J855" s="580"/>
      <c r="K855" s="578"/>
      <c r="L855" s="580"/>
      <c r="M855" s="578"/>
      <c r="N855" s="580"/>
      <c r="O855" s="580"/>
      <c r="P855" s="580"/>
      <c r="Q855" s="580"/>
      <c r="R855" s="578">
        <v>42</v>
      </c>
      <c r="S855" s="580"/>
      <c r="T855" s="580"/>
      <c r="U855" s="580"/>
      <c r="V855" s="575"/>
      <c r="W855" s="575"/>
      <c r="X855" s="580"/>
      <c r="Y855" s="580"/>
      <c r="Z855" s="575"/>
      <c r="AA855" s="583"/>
    </row>
    <row r="856" spans="1:27" s="584" customFormat="1" ht="13.9" customHeight="1" x14ac:dyDescent="0.2">
      <c r="A856" s="575">
        <f>A854+1</f>
        <v>425</v>
      </c>
      <c r="B856" s="583" t="s">
        <v>814</v>
      </c>
      <c r="C856" s="583" t="s">
        <v>231</v>
      </c>
      <c r="D856" s="583"/>
      <c r="E856" s="576"/>
      <c r="F856" s="576"/>
      <c r="G856" s="575"/>
      <c r="H856" s="575"/>
      <c r="I856" s="577"/>
      <c r="J856" s="580"/>
      <c r="K856" s="578">
        <f>(M856*4+N856*2)/2</f>
        <v>12</v>
      </c>
      <c r="L856" s="578"/>
      <c r="M856" s="578">
        <v>6</v>
      </c>
      <c r="N856" s="579"/>
      <c r="O856" s="579"/>
      <c r="P856" s="579"/>
      <c r="Q856" s="579"/>
      <c r="R856" s="579"/>
      <c r="S856" s="579"/>
      <c r="T856" s="579"/>
      <c r="U856" s="575"/>
      <c r="V856" s="575">
        <v>1</v>
      </c>
      <c r="W856" s="575">
        <v>1</v>
      </c>
      <c r="X856" s="575"/>
      <c r="Y856" s="575"/>
      <c r="Z856" s="575">
        <v>2</v>
      </c>
      <c r="AA856" s="583"/>
    </row>
    <row r="857" spans="1:27" s="584" customFormat="1" ht="13.9" customHeight="1" x14ac:dyDescent="0.2">
      <c r="A857" s="575"/>
      <c r="B857" s="583"/>
      <c r="C857" s="583"/>
      <c r="D857" s="583"/>
      <c r="E857" s="576">
        <v>401.62400000000002</v>
      </c>
      <c r="F857" s="576">
        <f>+CEILING(E857,5)</f>
        <v>405</v>
      </c>
      <c r="G857" s="575"/>
      <c r="H857" s="575">
        <f>F857*36</f>
        <v>14580</v>
      </c>
      <c r="I857" s="577">
        <f>F857</f>
        <v>405</v>
      </c>
      <c r="J857" s="580"/>
      <c r="K857" s="578"/>
      <c r="L857" s="580"/>
      <c r="M857" s="578"/>
      <c r="N857" s="580"/>
      <c r="O857" s="580"/>
      <c r="P857" s="580"/>
      <c r="Q857" s="580"/>
      <c r="R857" s="578">
        <v>42</v>
      </c>
      <c r="S857" s="580"/>
      <c r="T857" s="580"/>
      <c r="U857" s="580"/>
      <c r="V857" s="575"/>
      <c r="W857" s="575"/>
      <c r="X857" s="580"/>
      <c r="Y857" s="580"/>
      <c r="Z857" s="575"/>
      <c r="AA857" s="583"/>
    </row>
    <row r="858" spans="1:27" s="584" customFormat="1" ht="13.9" customHeight="1" x14ac:dyDescent="0.2">
      <c r="A858" s="575">
        <f>A856+1</f>
        <v>426</v>
      </c>
      <c r="B858" s="583" t="s">
        <v>815</v>
      </c>
      <c r="C858" s="583" t="s">
        <v>20</v>
      </c>
      <c r="D858" s="583"/>
      <c r="E858" s="576"/>
      <c r="F858" s="576"/>
      <c r="G858" s="575"/>
      <c r="H858" s="575"/>
      <c r="I858" s="577"/>
      <c r="J858" s="580"/>
      <c r="K858" s="578">
        <f>(M858*4+N858*2)/2</f>
        <v>12</v>
      </c>
      <c r="L858" s="578"/>
      <c r="M858" s="578">
        <v>6</v>
      </c>
      <c r="N858" s="579"/>
      <c r="O858" s="579"/>
      <c r="P858" s="579"/>
      <c r="Q858" s="579"/>
      <c r="R858" s="579"/>
      <c r="S858" s="579"/>
      <c r="T858" s="579"/>
      <c r="U858" s="575"/>
      <c r="V858" s="575">
        <v>1</v>
      </c>
      <c r="W858" s="575">
        <v>1</v>
      </c>
      <c r="X858" s="575"/>
      <c r="Y858" s="575"/>
      <c r="Z858" s="575">
        <v>2</v>
      </c>
      <c r="AA858" s="583"/>
    </row>
    <row r="859" spans="1:27" s="584" customFormat="1" ht="13.9" customHeight="1" x14ac:dyDescent="0.2">
      <c r="A859" s="575"/>
      <c r="B859" s="583"/>
      <c r="C859" s="583"/>
      <c r="D859" s="583"/>
      <c r="E859" s="576">
        <v>425.512</v>
      </c>
      <c r="F859" s="576">
        <f>+CEILING(E859,5)</f>
        <v>430</v>
      </c>
      <c r="G859" s="575"/>
      <c r="H859" s="575">
        <f>F859*36</f>
        <v>15480</v>
      </c>
      <c r="I859" s="577">
        <f>F859</f>
        <v>430</v>
      </c>
      <c r="J859" s="580"/>
      <c r="K859" s="578"/>
      <c r="L859" s="580"/>
      <c r="M859" s="578"/>
      <c r="N859" s="580"/>
      <c r="O859" s="580"/>
      <c r="P859" s="580"/>
      <c r="Q859" s="580"/>
      <c r="R859" s="578">
        <v>42</v>
      </c>
      <c r="S859" s="580"/>
      <c r="T859" s="580"/>
      <c r="U859" s="580"/>
      <c r="V859" s="575"/>
      <c r="W859" s="575"/>
      <c r="X859" s="580"/>
      <c r="Y859" s="580"/>
      <c r="Z859" s="575"/>
      <c r="AA859" s="583"/>
    </row>
    <row r="860" spans="1:27" s="584" customFormat="1" x14ac:dyDescent="0.2">
      <c r="A860" s="575">
        <f>A858+1</f>
        <v>427</v>
      </c>
      <c r="B860" s="583" t="s">
        <v>816</v>
      </c>
      <c r="C860" s="583" t="s">
        <v>20</v>
      </c>
      <c r="D860" s="583"/>
      <c r="E860" s="576"/>
      <c r="F860" s="576"/>
      <c r="G860" s="580"/>
      <c r="H860" s="575"/>
      <c r="I860" s="577"/>
      <c r="J860" s="580"/>
      <c r="K860" s="578">
        <f>(M860*4+N860*2)/2</f>
        <v>12</v>
      </c>
      <c r="L860" s="578"/>
      <c r="M860" s="578">
        <v>6</v>
      </c>
      <c r="N860" s="579"/>
      <c r="O860" s="579"/>
      <c r="P860" s="579"/>
      <c r="Q860" s="579"/>
      <c r="R860" s="579"/>
      <c r="S860" s="579"/>
      <c r="T860" s="579"/>
      <c r="U860" s="575"/>
      <c r="V860" s="575">
        <v>1</v>
      </c>
      <c r="W860" s="575">
        <v>1</v>
      </c>
      <c r="X860" s="575"/>
      <c r="Y860" s="575"/>
      <c r="Z860" s="575">
        <v>2</v>
      </c>
      <c r="AA860" s="583"/>
    </row>
    <row r="861" spans="1:27" s="584" customFormat="1" ht="13.9" customHeight="1" x14ac:dyDescent="0.2">
      <c r="A861" s="575"/>
      <c r="B861" s="583"/>
      <c r="C861" s="583"/>
      <c r="D861" s="583"/>
      <c r="E861" s="576">
        <v>414.346</v>
      </c>
      <c r="F861" s="576">
        <f>+CEILING(E861,5)</f>
        <v>415</v>
      </c>
      <c r="G861" s="575"/>
      <c r="H861" s="575">
        <f>F861*36</f>
        <v>14940</v>
      </c>
      <c r="I861" s="577">
        <f>F861</f>
        <v>415</v>
      </c>
      <c r="J861" s="582"/>
      <c r="K861" s="580"/>
      <c r="L861" s="582"/>
      <c r="M861" s="580"/>
      <c r="N861" s="580"/>
      <c r="O861" s="580"/>
      <c r="P861" s="580"/>
      <c r="Q861" s="580"/>
      <c r="R861" s="578">
        <v>42</v>
      </c>
      <c r="S861" s="579"/>
      <c r="T861" s="580"/>
      <c r="U861" s="575"/>
      <c r="V861" s="580"/>
      <c r="W861" s="575"/>
      <c r="X861" s="580"/>
      <c r="Y861" s="580"/>
      <c r="Z861" s="575"/>
      <c r="AA861" s="583"/>
    </row>
    <row r="862" spans="1:27" s="584" customFormat="1" ht="13.9" customHeight="1" x14ac:dyDescent="0.2">
      <c r="A862" s="575">
        <f>A860+1</f>
        <v>428</v>
      </c>
      <c r="B862" s="583" t="s">
        <v>817</v>
      </c>
      <c r="C862" s="583" t="s">
        <v>20</v>
      </c>
      <c r="D862" s="583"/>
      <c r="E862" s="576"/>
      <c r="F862" s="576"/>
      <c r="G862" s="575"/>
      <c r="H862" s="575"/>
      <c r="I862" s="577"/>
      <c r="J862" s="580"/>
      <c r="K862" s="578">
        <f>(M862*4+N862*2)/2</f>
        <v>12</v>
      </c>
      <c r="L862" s="578"/>
      <c r="M862" s="578">
        <v>6</v>
      </c>
      <c r="N862" s="579"/>
      <c r="O862" s="579"/>
      <c r="P862" s="579"/>
      <c r="Q862" s="579"/>
      <c r="R862" s="579"/>
      <c r="S862" s="579"/>
      <c r="T862" s="579"/>
      <c r="U862" s="575"/>
      <c r="V862" s="575">
        <v>1</v>
      </c>
      <c r="W862" s="575">
        <v>1</v>
      </c>
      <c r="X862" s="575"/>
      <c r="Y862" s="575"/>
      <c r="Z862" s="575">
        <v>2</v>
      </c>
      <c r="AA862" s="583"/>
    </row>
    <row r="863" spans="1:27" s="584" customFormat="1" ht="13.9" customHeight="1" x14ac:dyDescent="0.2">
      <c r="A863" s="575"/>
      <c r="B863" s="583"/>
      <c r="C863" s="583"/>
      <c r="D863" s="583"/>
      <c r="E863" s="576">
        <v>410.63</v>
      </c>
      <c r="F863" s="576">
        <f>+CEILING(E863,5)</f>
        <v>415</v>
      </c>
      <c r="G863" s="575"/>
      <c r="H863" s="575">
        <f>F863*36</f>
        <v>14940</v>
      </c>
      <c r="I863" s="577">
        <f>F863</f>
        <v>415</v>
      </c>
      <c r="J863" s="580"/>
      <c r="K863" s="578"/>
      <c r="L863" s="580"/>
      <c r="M863" s="578"/>
      <c r="N863" s="580"/>
      <c r="O863" s="580"/>
      <c r="P863" s="580"/>
      <c r="Q863" s="580"/>
      <c r="R863" s="578">
        <v>42</v>
      </c>
      <c r="S863" s="580"/>
      <c r="T863" s="580"/>
      <c r="U863" s="580"/>
      <c r="V863" s="575"/>
      <c r="W863" s="575"/>
      <c r="X863" s="580"/>
      <c r="Y863" s="580"/>
      <c r="Z863" s="575"/>
      <c r="AA863" s="583"/>
    </row>
    <row r="864" spans="1:27" s="584" customFormat="1" ht="13.9" customHeight="1" x14ac:dyDescent="0.2">
      <c r="A864" s="575">
        <f>A862+1</f>
        <v>429</v>
      </c>
      <c r="B864" s="583" t="s">
        <v>818</v>
      </c>
      <c r="C864" s="583" t="s">
        <v>20</v>
      </c>
      <c r="D864" s="583"/>
      <c r="E864" s="576"/>
      <c r="F864" s="576"/>
      <c r="G864" s="575"/>
      <c r="H864" s="575"/>
      <c r="I864" s="577"/>
      <c r="J864" s="580"/>
      <c r="K864" s="578">
        <f>(M864*4+N864*2)/2</f>
        <v>12</v>
      </c>
      <c r="L864" s="578"/>
      <c r="M864" s="578">
        <v>6</v>
      </c>
      <c r="N864" s="579"/>
      <c r="O864" s="579"/>
      <c r="P864" s="579"/>
      <c r="Q864" s="579"/>
      <c r="R864" s="579"/>
      <c r="S864" s="579"/>
      <c r="T864" s="579"/>
      <c r="U864" s="575"/>
      <c r="V864" s="575">
        <v>1</v>
      </c>
      <c r="W864" s="575">
        <v>1</v>
      </c>
      <c r="X864" s="575"/>
      <c r="Y864" s="575"/>
      <c r="Z864" s="575">
        <v>2</v>
      </c>
      <c r="AA864" s="583"/>
    </row>
    <row r="865" spans="1:27" s="584" customFormat="1" ht="13.9" customHeight="1" x14ac:dyDescent="0.2">
      <c r="A865" s="575"/>
      <c r="B865" s="583"/>
      <c r="C865" s="583"/>
      <c r="D865" s="583"/>
      <c r="E865" s="576">
        <v>428.42399999999998</v>
      </c>
      <c r="F865" s="576">
        <f>+CEILING(E865,5)</f>
        <v>430</v>
      </c>
      <c r="G865" s="575"/>
      <c r="H865" s="575">
        <f>F865*36</f>
        <v>15480</v>
      </c>
      <c r="I865" s="577">
        <f>F865</f>
        <v>430</v>
      </c>
      <c r="J865" s="580"/>
      <c r="K865" s="578"/>
      <c r="L865" s="580"/>
      <c r="M865" s="578"/>
      <c r="N865" s="580"/>
      <c r="O865" s="580"/>
      <c r="P865" s="580"/>
      <c r="Q865" s="580"/>
      <c r="R865" s="578">
        <v>42</v>
      </c>
      <c r="S865" s="580"/>
      <c r="T865" s="580"/>
      <c r="U865" s="580"/>
      <c r="V865" s="575"/>
      <c r="W865" s="575"/>
      <c r="X865" s="580"/>
      <c r="Y865" s="580"/>
      <c r="Z865" s="575"/>
      <c r="AA865" s="583"/>
    </row>
    <row r="866" spans="1:27" s="584" customFormat="1" ht="13.9" customHeight="1" x14ac:dyDescent="0.2">
      <c r="A866" s="575">
        <f>A864+1</f>
        <v>430</v>
      </c>
      <c r="B866" s="583" t="s">
        <v>819</v>
      </c>
      <c r="C866" s="583" t="s">
        <v>20</v>
      </c>
      <c r="D866" s="583"/>
      <c r="E866" s="576"/>
      <c r="F866" s="576"/>
      <c r="G866" s="575"/>
      <c r="H866" s="575"/>
      <c r="I866" s="577"/>
      <c r="J866" s="580"/>
      <c r="K866" s="578">
        <f>(M866*4+N866*2)/2</f>
        <v>12</v>
      </c>
      <c r="L866" s="578"/>
      <c r="M866" s="578">
        <v>6</v>
      </c>
      <c r="N866" s="579"/>
      <c r="O866" s="579"/>
      <c r="P866" s="579"/>
      <c r="Q866" s="579"/>
      <c r="R866" s="579"/>
      <c r="S866" s="579"/>
      <c r="T866" s="579"/>
      <c r="U866" s="575"/>
      <c r="V866" s="575">
        <v>1</v>
      </c>
      <c r="W866" s="575">
        <v>1</v>
      </c>
      <c r="X866" s="575"/>
      <c r="Y866" s="575"/>
      <c r="Z866" s="575">
        <v>2</v>
      </c>
      <c r="AA866" s="583"/>
    </row>
    <row r="867" spans="1:27" s="584" customFormat="1" ht="13.9" customHeight="1" x14ac:dyDescent="0.2">
      <c r="A867" s="575"/>
      <c r="B867" s="583"/>
      <c r="C867" s="583"/>
      <c r="D867" s="583"/>
      <c r="E867" s="576">
        <v>400.56200000000001</v>
      </c>
      <c r="F867" s="576">
        <f>+CEILING(E867,5)</f>
        <v>405</v>
      </c>
      <c r="G867" s="575"/>
      <c r="H867" s="575">
        <f>F867*36</f>
        <v>14580</v>
      </c>
      <c r="I867" s="577">
        <f>F867</f>
        <v>405</v>
      </c>
      <c r="J867" s="580"/>
      <c r="K867" s="578"/>
      <c r="L867" s="580"/>
      <c r="M867" s="578"/>
      <c r="N867" s="580"/>
      <c r="O867" s="580"/>
      <c r="P867" s="580"/>
      <c r="Q867" s="580"/>
      <c r="R867" s="578">
        <v>42</v>
      </c>
      <c r="S867" s="580"/>
      <c r="T867" s="580"/>
      <c r="U867" s="580"/>
      <c r="V867" s="575"/>
      <c r="W867" s="575"/>
      <c r="X867" s="580"/>
      <c r="Y867" s="580"/>
      <c r="Z867" s="575"/>
      <c r="AA867" s="583"/>
    </row>
    <row r="868" spans="1:27" s="584" customFormat="1" ht="13.9" customHeight="1" x14ac:dyDescent="0.2">
      <c r="A868" s="575">
        <f>A866+1</f>
        <v>431</v>
      </c>
      <c r="B868" s="583" t="s">
        <v>820</v>
      </c>
      <c r="C868" s="583" t="s">
        <v>242</v>
      </c>
      <c r="D868" s="583" t="s">
        <v>1138</v>
      </c>
      <c r="E868" s="576"/>
      <c r="F868" s="576"/>
      <c r="G868" s="575"/>
      <c r="H868" s="575"/>
      <c r="I868" s="577"/>
      <c r="J868" s="578">
        <v>48</v>
      </c>
      <c r="K868" s="580"/>
      <c r="L868" s="578">
        <v>12</v>
      </c>
      <c r="M868" s="580"/>
      <c r="N868" s="580"/>
      <c r="O868" s="580"/>
      <c r="P868" s="580"/>
      <c r="Q868" s="580"/>
      <c r="R868" s="579"/>
      <c r="S868" s="575">
        <v>30</v>
      </c>
      <c r="T868" s="580"/>
      <c r="U868" s="575">
        <v>2</v>
      </c>
      <c r="V868" s="580"/>
      <c r="W868" s="575">
        <v>2</v>
      </c>
      <c r="X868" s="580"/>
      <c r="Y868" s="580"/>
      <c r="Z868" s="575">
        <v>4</v>
      </c>
      <c r="AA868" s="583"/>
    </row>
    <row r="869" spans="1:27" s="584" customFormat="1" ht="13.9" customHeight="1" x14ac:dyDescent="0.2">
      <c r="A869" s="575"/>
      <c r="B869" s="583"/>
      <c r="C869" s="583"/>
      <c r="D869" s="583"/>
      <c r="E869" s="576">
        <v>395.375</v>
      </c>
      <c r="F869" s="576">
        <f>+CEILING(E869,5)</f>
        <v>400</v>
      </c>
      <c r="G869" s="575"/>
      <c r="H869" s="575">
        <f>F869*36</f>
        <v>14400</v>
      </c>
      <c r="I869" s="577">
        <f>F869</f>
        <v>400</v>
      </c>
      <c r="J869" s="580"/>
      <c r="K869" s="578"/>
      <c r="L869" s="580"/>
      <c r="M869" s="578"/>
      <c r="N869" s="580"/>
      <c r="O869" s="580"/>
      <c r="P869" s="580"/>
      <c r="Q869" s="580"/>
      <c r="R869" s="578">
        <v>42</v>
      </c>
      <c r="S869" s="580"/>
      <c r="T869" s="580"/>
      <c r="U869" s="580"/>
      <c r="V869" s="575"/>
      <c r="W869" s="575"/>
      <c r="X869" s="580"/>
      <c r="Y869" s="580"/>
      <c r="Z869" s="575"/>
      <c r="AA869" s="583"/>
    </row>
    <row r="870" spans="1:27" s="584" customFormat="1" x14ac:dyDescent="0.2">
      <c r="A870" s="575">
        <f>A868+1</f>
        <v>432</v>
      </c>
      <c r="B870" s="583" t="s">
        <v>821</v>
      </c>
      <c r="C870" s="583" t="s">
        <v>231</v>
      </c>
      <c r="D870" s="583"/>
      <c r="E870" s="576"/>
      <c r="F870" s="576"/>
      <c r="G870" s="580"/>
      <c r="H870" s="575"/>
      <c r="I870" s="577"/>
      <c r="J870" s="580"/>
      <c r="K870" s="578">
        <f>(M870*4+N870*2)/2</f>
        <v>12</v>
      </c>
      <c r="L870" s="578"/>
      <c r="M870" s="578">
        <v>6</v>
      </c>
      <c r="N870" s="579"/>
      <c r="O870" s="579"/>
      <c r="P870" s="579"/>
      <c r="Q870" s="579"/>
      <c r="R870" s="579"/>
      <c r="S870" s="579"/>
      <c r="T870" s="579"/>
      <c r="U870" s="575"/>
      <c r="V870" s="575">
        <v>1</v>
      </c>
      <c r="W870" s="575">
        <v>1</v>
      </c>
      <c r="X870" s="575"/>
      <c r="Y870" s="575"/>
      <c r="Z870" s="575">
        <v>2</v>
      </c>
      <c r="AA870" s="583"/>
    </row>
    <row r="871" spans="1:27" s="584" customFormat="1" ht="13.9" customHeight="1" x14ac:dyDescent="0.2">
      <c r="A871" s="575"/>
      <c r="B871" s="583"/>
      <c r="C871" s="583"/>
      <c r="D871" s="583"/>
      <c r="E871" s="576">
        <v>393.73700000000002</v>
      </c>
      <c r="F871" s="576">
        <f>+CEILING(E871,5)</f>
        <v>395</v>
      </c>
      <c r="G871" s="575"/>
      <c r="H871" s="575">
        <f>F871*36</f>
        <v>14220</v>
      </c>
      <c r="I871" s="577">
        <f>F871</f>
        <v>395</v>
      </c>
      <c r="J871" s="580"/>
      <c r="K871" s="578"/>
      <c r="L871" s="580"/>
      <c r="M871" s="578"/>
      <c r="N871" s="580"/>
      <c r="O871" s="580"/>
      <c r="P871" s="580"/>
      <c r="Q871" s="580"/>
      <c r="R871" s="578">
        <v>42</v>
      </c>
      <c r="S871" s="580"/>
      <c r="T871" s="580"/>
      <c r="U871" s="580"/>
      <c r="V871" s="575"/>
      <c r="W871" s="575"/>
      <c r="X871" s="580"/>
      <c r="Y871" s="580"/>
      <c r="Z871" s="575"/>
      <c r="AA871" s="583"/>
    </row>
    <row r="872" spans="1:27" s="584" customFormat="1" ht="13.9" customHeight="1" x14ac:dyDescent="0.2">
      <c r="A872" s="575">
        <f>A870+1</f>
        <v>433</v>
      </c>
      <c r="B872" s="583" t="s">
        <v>822</v>
      </c>
      <c r="C872" s="583" t="s">
        <v>231</v>
      </c>
      <c r="D872" s="583"/>
      <c r="E872" s="576"/>
      <c r="F872" s="576"/>
      <c r="G872" s="575"/>
      <c r="H872" s="575"/>
      <c r="I872" s="577"/>
      <c r="J872" s="580"/>
      <c r="K872" s="578">
        <f>(M872*4+N872*2)/2</f>
        <v>12</v>
      </c>
      <c r="L872" s="578"/>
      <c r="M872" s="578">
        <v>6</v>
      </c>
      <c r="N872" s="579"/>
      <c r="O872" s="579"/>
      <c r="P872" s="579"/>
      <c r="Q872" s="579"/>
      <c r="R872" s="579"/>
      <c r="S872" s="579"/>
      <c r="T872" s="579"/>
      <c r="U872" s="575"/>
      <c r="V872" s="575">
        <v>1</v>
      </c>
      <c r="W872" s="575">
        <v>1</v>
      </c>
      <c r="X872" s="575"/>
      <c r="Y872" s="575"/>
      <c r="Z872" s="575">
        <v>2</v>
      </c>
      <c r="AA872" s="583"/>
    </row>
    <row r="873" spans="1:27" s="584" customFormat="1" ht="13.9" customHeight="1" x14ac:dyDescent="0.2">
      <c r="A873" s="575"/>
      <c r="B873" s="583"/>
      <c r="C873" s="583"/>
      <c r="D873" s="583"/>
      <c r="E873" s="576">
        <v>403.69400000000002</v>
      </c>
      <c r="F873" s="576">
        <f>+CEILING(E873,5)</f>
        <v>405</v>
      </c>
      <c r="G873" s="575"/>
      <c r="H873" s="575">
        <f>F873*36</f>
        <v>14580</v>
      </c>
      <c r="I873" s="577">
        <f>F873</f>
        <v>405</v>
      </c>
      <c r="J873" s="580"/>
      <c r="K873" s="578"/>
      <c r="L873" s="580"/>
      <c r="M873" s="578"/>
      <c r="N873" s="580"/>
      <c r="O873" s="580"/>
      <c r="P873" s="580"/>
      <c r="Q873" s="580"/>
      <c r="R873" s="578">
        <v>42</v>
      </c>
      <c r="S873" s="580"/>
      <c r="T873" s="580"/>
      <c r="U873" s="580"/>
      <c r="V873" s="575"/>
      <c r="W873" s="575"/>
      <c r="X873" s="580"/>
      <c r="Y873" s="580"/>
      <c r="Z873" s="575"/>
      <c r="AA873" s="583"/>
    </row>
    <row r="874" spans="1:27" s="584" customFormat="1" x14ac:dyDescent="0.2">
      <c r="A874" s="575">
        <f>A872+1</f>
        <v>434</v>
      </c>
      <c r="B874" s="583" t="s">
        <v>823</v>
      </c>
      <c r="C874" s="583" t="s">
        <v>20</v>
      </c>
      <c r="D874" s="583"/>
      <c r="E874" s="576"/>
      <c r="F874" s="576"/>
      <c r="G874" s="580"/>
      <c r="H874" s="575"/>
      <c r="I874" s="577"/>
      <c r="J874" s="580"/>
      <c r="K874" s="578">
        <f>(M874*4+N874*2)/2</f>
        <v>12</v>
      </c>
      <c r="L874" s="578"/>
      <c r="M874" s="578">
        <v>6</v>
      </c>
      <c r="N874" s="579"/>
      <c r="O874" s="579"/>
      <c r="P874" s="579"/>
      <c r="Q874" s="579"/>
      <c r="R874" s="579"/>
      <c r="S874" s="579"/>
      <c r="T874" s="579"/>
      <c r="U874" s="575"/>
      <c r="V874" s="575">
        <v>1</v>
      </c>
      <c r="W874" s="575">
        <v>1</v>
      </c>
      <c r="X874" s="575"/>
      <c r="Y874" s="575"/>
      <c r="Z874" s="575">
        <v>2</v>
      </c>
      <c r="AA874" s="583"/>
    </row>
    <row r="875" spans="1:27" s="584" customFormat="1" x14ac:dyDescent="0.2">
      <c r="A875" s="575"/>
      <c r="B875" s="583"/>
      <c r="C875" s="583"/>
      <c r="D875" s="583"/>
      <c r="E875" s="576">
        <v>402.93</v>
      </c>
      <c r="F875" s="576">
        <f>+CEILING(E875,5)</f>
        <v>405</v>
      </c>
      <c r="G875" s="575"/>
      <c r="H875" s="575">
        <f>F875*36</f>
        <v>14580</v>
      </c>
      <c r="I875" s="577">
        <f>F875</f>
        <v>405</v>
      </c>
      <c r="J875" s="582"/>
      <c r="K875" s="580"/>
      <c r="L875" s="582"/>
      <c r="M875" s="580"/>
      <c r="N875" s="580"/>
      <c r="O875" s="580"/>
      <c r="P875" s="580"/>
      <c r="Q875" s="580"/>
      <c r="R875" s="578">
        <v>42</v>
      </c>
      <c r="S875" s="579"/>
      <c r="T875" s="580"/>
      <c r="U875" s="575"/>
      <c r="V875" s="580"/>
      <c r="W875" s="575"/>
      <c r="X875" s="580"/>
      <c r="Y875" s="580"/>
      <c r="Z875" s="575"/>
      <c r="AA875" s="583"/>
    </row>
    <row r="876" spans="1:27" s="584" customFormat="1" x14ac:dyDescent="0.2">
      <c r="A876" s="575">
        <f>A874+1</f>
        <v>435</v>
      </c>
      <c r="B876" s="583" t="s">
        <v>824</v>
      </c>
      <c r="C876" s="583" t="s">
        <v>231</v>
      </c>
      <c r="D876" s="583"/>
      <c r="E876" s="576"/>
      <c r="F876" s="576"/>
      <c r="G876" s="575"/>
      <c r="H876" s="575"/>
      <c r="I876" s="577"/>
      <c r="J876" s="580"/>
      <c r="K876" s="578">
        <f>(M876*4+N876*2)/2</f>
        <v>12</v>
      </c>
      <c r="L876" s="578"/>
      <c r="M876" s="578">
        <v>6</v>
      </c>
      <c r="N876" s="579"/>
      <c r="O876" s="579"/>
      <c r="P876" s="579"/>
      <c r="Q876" s="579"/>
      <c r="R876" s="579"/>
      <c r="S876" s="579"/>
      <c r="T876" s="579"/>
      <c r="U876" s="575"/>
      <c r="V876" s="575">
        <v>1</v>
      </c>
      <c r="W876" s="575">
        <v>1</v>
      </c>
      <c r="X876" s="575"/>
      <c r="Y876" s="575"/>
      <c r="Z876" s="575">
        <v>2</v>
      </c>
      <c r="AA876" s="583"/>
    </row>
    <row r="877" spans="1:27" s="584" customFormat="1" ht="13.9" customHeight="1" x14ac:dyDescent="0.2">
      <c r="A877" s="575"/>
      <c r="B877" s="583"/>
      <c r="C877" s="583"/>
      <c r="D877" s="583"/>
      <c r="E877" s="576">
        <v>376.37599999999998</v>
      </c>
      <c r="F877" s="576">
        <f>+CEILING(E877,5)</f>
        <v>380</v>
      </c>
      <c r="G877" s="575"/>
      <c r="H877" s="575">
        <f>F877*36</f>
        <v>13680</v>
      </c>
      <c r="I877" s="577">
        <f>F877</f>
        <v>380</v>
      </c>
      <c r="J877" s="580"/>
      <c r="K877" s="578"/>
      <c r="L877" s="580"/>
      <c r="M877" s="578"/>
      <c r="N877" s="580"/>
      <c r="O877" s="580"/>
      <c r="P877" s="580"/>
      <c r="Q877" s="580"/>
      <c r="R877" s="578">
        <v>36</v>
      </c>
      <c r="S877" s="580"/>
      <c r="T877" s="580"/>
      <c r="U877" s="580"/>
      <c r="V877" s="575"/>
      <c r="W877" s="575"/>
      <c r="X877" s="580"/>
      <c r="Y877" s="580"/>
      <c r="Z877" s="575"/>
      <c r="AA877" s="583"/>
    </row>
    <row r="878" spans="1:27" s="584" customFormat="1" ht="13.9" customHeight="1" x14ac:dyDescent="0.2">
      <c r="A878" s="575">
        <f>A876+1</f>
        <v>436</v>
      </c>
      <c r="B878" s="583" t="s">
        <v>825</v>
      </c>
      <c r="C878" s="583" t="s">
        <v>231</v>
      </c>
      <c r="D878" s="583"/>
      <c r="E878" s="576"/>
      <c r="F878" s="576"/>
      <c r="G878" s="575"/>
      <c r="H878" s="575"/>
      <c r="I878" s="577"/>
      <c r="J878" s="580"/>
      <c r="K878" s="578">
        <f>(M878*4+N878*2)/2</f>
        <v>12</v>
      </c>
      <c r="L878" s="578"/>
      <c r="M878" s="578">
        <v>6</v>
      </c>
      <c r="N878" s="579"/>
      <c r="O878" s="579"/>
      <c r="P878" s="579"/>
      <c r="Q878" s="579"/>
      <c r="R878" s="579"/>
      <c r="S878" s="579"/>
      <c r="T878" s="579"/>
      <c r="U878" s="575"/>
      <c r="V878" s="575">
        <v>1</v>
      </c>
      <c r="W878" s="575">
        <v>1</v>
      </c>
      <c r="X878" s="575"/>
      <c r="Y878" s="575"/>
      <c r="Z878" s="575">
        <v>2</v>
      </c>
      <c r="AA878" s="583"/>
    </row>
    <row r="879" spans="1:27" s="584" customFormat="1" ht="13.9" customHeight="1" x14ac:dyDescent="0.2">
      <c r="A879" s="575"/>
      <c r="B879" s="583"/>
      <c r="C879" s="583"/>
      <c r="D879" s="583"/>
      <c r="E879" s="576">
        <v>389.19099999999997</v>
      </c>
      <c r="F879" s="576">
        <f>+CEILING(E879,5)</f>
        <v>390</v>
      </c>
      <c r="G879" s="575"/>
      <c r="H879" s="575">
        <f>F879*36</f>
        <v>14040</v>
      </c>
      <c r="I879" s="577">
        <f>F879</f>
        <v>390</v>
      </c>
      <c r="J879" s="580"/>
      <c r="K879" s="578"/>
      <c r="L879" s="580"/>
      <c r="M879" s="578"/>
      <c r="N879" s="580"/>
      <c r="O879" s="580"/>
      <c r="P879" s="580"/>
      <c r="Q879" s="580"/>
      <c r="R879" s="578">
        <v>36</v>
      </c>
      <c r="S879" s="580"/>
      <c r="T879" s="580"/>
      <c r="U879" s="580"/>
      <c r="V879" s="575"/>
      <c r="W879" s="575"/>
      <c r="X879" s="580"/>
      <c r="Y879" s="580"/>
      <c r="Z879" s="575"/>
      <c r="AA879" s="583"/>
    </row>
    <row r="880" spans="1:27" s="584" customFormat="1" ht="13.9" customHeight="1" x14ac:dyDescent="0.2">
      <c r="A880" s="575">
        <f>A878+1</f>
        <v>437</v>
      </c>
      <c r="B880" s="583" t="s">
        <v>826</v>
      </c>
      <c r="C880" s="583" t="s">
        <v>231</v>
      </c>
      <c r="D880" s="583"/>
      <c r="E880" s="576"/>
      <c r="F880" s="576"/>
      <c r="G880" s="575"/>
      <c r="H880" s="575"/>
      <c r="I880" s="577"/>
      <c r="J880" s="580"/>
      <c r="K880" s="578">
        <f>(M880*4+N880*2)/2</f>
        <v>12</v>
      </c>
      <c r="L880" s="578"/>
      <c r="M880" s="578">
        <v>6</v>
      </c>
      <c r="N880" s="579"/>
      <c r="O880" s="579"/>
      <c r="P880" s="579"/>
      <c r="Q880" s="579"/>
      <c r="R880" s="579"/>
      <c r="S880" s="579"/>
      <c r="T880" s="579"/>
      <c r="U880" s="575"/>
      <c r="V880" s="575">
        <v>1</v>
      </c>
      <c r="W880" s="575">
        <v>1</v>
      </c>
      <c r="X880" s="575"/>
      <c r="Y880" s="575"/>
      <c r="Z880" s="575">
        <v>2</v>
      </c>
      <c r="AA880" s="583"/>
    </row>
    <row r="881" spans="1:27" s="584" customFormat="1" ht="13.9" customHeight="1" x14ac:dyDescent="0.2">
      <c r="A881" s="575"/>
      <c r="B881" s="583"/>
      <c r="C881" s="583"/>
      <c r="D881" s="583"/>
      <c r="E881" s="576">
        <v>397.57900000000001</v>
      </c>
      <c r="F881" s="576">
        <f>+CEILING(E881,5)</f>
        <v>400</v>
      </c>
      <c r="G881" s="575"/>
      <c r="H881" s="575">
        <f>F881*36</f>
        <v>14400</v>
      </c>
      <c r="I881" s="577">
        <f>F881</f>
        <v>400</v>
      </c>
      <c r="J881" s="580"/>
      <c r="K881" s="578"/>
      <c r="L881" s="580"/>
      <c r="M881" s="578"/>
      <c r="N881" s="580"/>
      <c r="O881" s="580"/>
      <c r="P881" s="580"/>
      <c r="Q881" s="580"/>
      <c r="R881" s="578">
        <v>42</v>
      </c>
      <c r="S881" s="580"/>
      <c r="T881" s="580"/>
      <c r="U881" s="580"/>
      <c r="V881" s="575"/>
      <c r="W881" s="575"/>
      <c r="X881" s="580"/>
      <c r="Y881" s="580"/>
      <c r="Z881" s="575"/>
      <c r="AA881" s="583"/>
    </row>
    <row r="882" spans="1:27" s="584" customFormat="1" x14ac:dyDescent="0.2">
      <c r="A882" s="575">
        <f>A880+1</f>
        <v>438</v>
      </c>
      <c r="B882" s="583" t="s">
        <v>219</v>
      </c>
      <c r="C882" s="583" t="s">
        <v>231</v>
      </c>
      <c r="D882" s="583"/>
      <c r="E882" s="576"/>
      <c r="F882" s="576"/>
      <c r="G882" s="575"/>
      <c r="H882" s="575"/>
      <c r="I882" s="577"/>
      <c r="J882" s="580"/>
      <c r="K882" s="578">
        <f>(M882*4+N882*2)/2</f>
        <v>12</v>
      </c>
      <c r="L882" s="578"/>
      <c r="M882" s="578">
        <v>6</v>
      </c>
      <c r="N882" s="579"/>
      <c r="O882" s="579"/>
      <c r="P882" s="579"/>
      <c r="Q882" s="579"/>
      <c r="R882" s="579"/>
      <c r="S882" s="579"/>
      <c r="T882" s="579"/>
      <c r="U882" s="575"/>
      <c r="V882" s="575">
        <v>1</v>
      </c>
      <c r="W882" s="575">
        <v>1</v>
      </c>
      <c r="X882" s="575"/>
      <c r="Y882" s="575"/>
      <c r="Z882" s="575">
        <v>2</v>
      </c>
      <c r="AA882" s="583"/>
    </row>
    <row r="883" spans="1:27" s="584" customFormat="1" x14ac:dyDescent="0.2">
      <c r="A883" s="575"/>
      <c r="B883" s="583"/>
      <c r="C883" s="583"/>
      <c r="D883" s="583"/>
      <c r="E883" s="576">
        <v>394.26499999999999</v>
      </c>
      <c r="F883" s="576">
        <f>+CEILING(E883,5)</f>
        <v>395</v>
      </c>
      <c r="G883" s="575"/>
      <c r="H883" s="575">
        <f>F883*36</f>
        <v>14220</v>
      </c>
      <c r="I883" s="577">
        <f>F883</f>
        <v>395</v>
      </c>
      <c r="J883" s="580"/>
      <c r="K883" s="578"/>
      <c r="L883" s="580"/>
      <c r="M883" s="578"/>
      <c r="N883" s="580"/>
      <c r="O883" s="580"/>
      <c r="P883" s="580"/>
      <c r="Q883" s="580"/>
      <c r="R883" s="578">
        <v>42</v>
      </c>
      <c r="S883" s="580"/>
      <c r="T883" s="580"/>
      <c r="U883" s="580"/>
      <c r="V883" s="575"/>
      <c r="W883" s="575"/>
      <c r="X883" s="580"/>
      <c r="Y883" s="580"/>
      <c r="Z883" s="575"/>
      <c r="AA883" s="583"/>
    </row>
    <row r="884" spans="1:27" s="584" customFormat="1" x14ac:dyDescent="0.2">
      <c r="A884" s="575">
        <f>A882+1</f>
        <v>439</v>
      </c>
      <c r="B884" s="583" t="s">
        <v>220</v>
      </c>
      <c r="C884" s="583" t="s">
        <v>231</v>
      </c>
      <c r="D884" s="583"/>
      <c r="E884" s="576"/>
      <c r="F884" s="576"/>
      <c r="G884" s="575"/>
      <c r="H884" s="575"/>
      <c r="I884" s="577"/>
      <c r="J884" s="580"/>
      <c r="K884" s="578">
        <f>(M884*4+N884*2)/2</f>
        <v>12</v>
      </c>
      <c r="L884" s="578"/>
      <c r="M884" s="578">
        <v>6</v>
      </c>
      <c r="N884" s="579"/>
      <c r="O884" s="579"/>
      <c r="P884" s="579"/>
      <c r="Q884" s="579"/>
      <c r="R884" s="579"/>
      <c r="S884" s="579"/>
      <c r="T884" s="579"/>
      <c r="U884" s="575"/>
      <c r="V884" s="575">
        <v>1</v>
      </c>
      <c r="W884" s="575">
        <v>1</v>
      </c>
      <c r="X884" s="575"/>
      <c r="Y884" s="575"/>
      <c r="Z884" s="575">
        <v>2</v>
      </c>
      <c r="AA884" s="583"/>
    </row>
    <row r="885" spans="1:27" s="584" customFormat="1" x14ac:dyDescent="0.2">
      <c r="A885" s="575"/>
      <c r="B885" s="583"/>
      <c r="C885" s="583"/>
      <c r="D885" s="583"/>
      <c r="E885" s="576">
        <v>388.95299999999997</v>
      </c>
      <c r="F885" s="576">
        <f>+CEILING(E885,5)</f>
        <v>390</v>
      </c>
      <c r="G885" s="575"/>
      <c r="H885" s="575">
        <f>F885*36</f>
        <v>14040</v>
      </c>
      <c r="I885" s="577">
        <f>F885</f>
        <v>390</v>
      </c>
      <c r="J885" s="580"/>
      <c r="K885" s="578"/>
      <c r="L885" s="580"/>
      <c r="M885" s="578"/>
      <c r="N885" s="580"/>
      <c r="O885" s="580"/>
      <c r="P885" s="580"/>
      <c r="Q885" s="580"/>
      <c r="R885" s="578">
        <v>36</v>
      </c>
      <c r="S885" s="580"/>
      <c r="T885" s="580"/>
      <c r="U885" s="580"/>
      <c r="V885" s="575"/>
      <c r="W885" s="575"/>
      <c r="X885" s="580"/>
      <c r="Y885" s="580"/>
      <c r="Z885" s="575"/>
      <c r="AA885" s="583"/>
    </row>
    <row r="886" spans="1:27" s="584" customFormat="1" x14ac:dyDescent="0.2">
      <c r="A886" s="575">
        <f>A884+1</f>
        <v>440</v>
      </c>
      <c r="B886" s="583" t="s">
        <v>827</v>
      </c>
      <c r="C886" s="583" t="s">
        <v>231</v>
      </c>
      <c r="D886" s="583"/>
      <c r="E886" s="576"/>
      <c r="F886" s="576"/>
      <c r="G886" s="575"/>
      <c r="H886" s="575"/>
      <c r="I886" s="577"/>
      <c r="J886" s="580"/>
      <c r="K886" s="578">
        <f>(M886*4+N886*2)/2</f>
        <v>12</v>
      </c>
      <c r="L886" s="578"/>
      <c r="M886" s="578">
        <v>6</v>
      </c>
      <c r="N886" s="579"/>
      <c r="O886" s="579"/>
      <c r="P886" s="579"/>
      <c r="Q886" s="579"/>
      <c r="R886" s="579"/>
      <c r="S886" s="579"/>
      <c r="T886" s="579"/>
      <c r="U886" s="575"/>
      <c r="V886" s="575">
        <v>1</v>
      </c>
      <c r="W886" s="575">
        <v>1</v>
      </c>
      <c r="X886" s="575"/>
      <c r="Y886" s="575"/>
      <c r="Z886" s="575">
        <v>2</v>
      </c>
      <c r="AA886" s="583"/>
    </row>
    <row r="887" spans="1:27" s="584" customFormat="1" x14ac:dyDescent="0.2">
      <c r="A887" s="575"/>
      <c r="B887" s="583"/>
      <c r="C887" s="583"/>
      <c r="D887" s="583"/>
      <c r="E887" s="576">
        <v>379.10300000000001</v>
      </c>
      <c r="F887" s="576">
        <f>+CEILING(E887,5)</f>
        <v>380</v>
      </c>
      <c r="G887" s="575"/>
      <c r="H887" s="575">
        <f>F887*36</f>
        <v>13680</v>
      </c>
      <c r="I887" s="577">
        <f>F887</f>
        <v>380</v>
      </c>
      <c r="J887" s="580"/>
      <c r="K887" s="578"/>
      <c r="L887" s="580"/>
      <c r="M887" s="578"/>
      <c r="N887" s="580"/>
      <c r="O887" s="580"/>
      <c r="P887" s="580"/>
      <c r="Q887" s="580"/>
      <c r="R887" s="578">
        <v>36</v>
      </c>
      <c r="S887" s="580"/>
      <c r="T887" s="580"/>
      <c r="U887" s="580"/>
      <c r="V887" s="575"/>
      <c r="W887" s="575"/>
      <c r="X887" s="580"/>
      <c r="Y887" s="580"/>
      <c r="Z887" s="575"/>
      <c r="AA887" s="583"/>
    </row>
    <row r="888" spans="1:27" s="584" customFormat="1" x14ac:dyDescent="0.2">
      <c r="A888" s="575">
        <f>A886+1</f>
        <v>441</v>
      </c>
      <c r="B888" s="583" t="s">
        <v>828</v>
      </c>
      <c r="C888" s="583" t="s">
        <v>231</v>
      </c>
      <c r="D888" s="583"/>
      <c r="E888" s="576"/>
      <c r="F888" s="576"/>
      <c r="G888" s="575"/>
      <c r="H888" s="575"/>
      <c r="I888" s="577"/>
      <c r="J888" s="580"/>
      <c r="K888" s="578">
        <f>(M888*4+N888*2)/2</f>
        <v>12</v>
      </c>
      <c r="L888" s="578"/>
      <c r="M888" s="578">
        <v>6</v>
      </c>
      <c r="N888" s="579"/>
      <c r="O888" s="579"/>
      <c r="P888" s="579"/>
      <c r="Q888" s="579"/>
      <c r="R888" s="579"/>
      <c r="S888" s="579"/>
      <c r="T888" s="579"/>
      <c r="U888" s="575"/>
      <c r="V888" s="575">
        <v>1</v>
      </c>
      <c r="W888" s="575">
        <v>1</v>
      </c>
      <c r="X888" s="575"/>
      <c r="Y888" s="575"/>
      <c r="Z888" s="575">
        <v>2</v>
      </c>
      <c r="AA888" s="583"/>
    </row>
    <row r="889" spans="1:27" s="584" customFormat="1" ht="13.9" customHeight="1" x14ac:dyDescent="0.2">
      <c r="A889" s="575"/>
      <c r="B889" s="583"/>
      <c r="C889" s="583"/>
      <c r="D889" s="583"/>
      <c r="E889" s="576">
        <v>387.62799999999999</v>
      </c>
      <c r="F889" s="576">
        <f>+CEILING(E889,5)</f>
        <v>390</v>
      </c>
      <c r="G889" s="575"/>
      <c r="H889" s="575">
        <f>F889*36</f>
        <v>14040</v>
      </c>
      <c r="I889" s="577">
        <f>F889</f>
        <v>390</v>
      </c>
      <c r="J889" s="580"/>
      <c r="K889" s="578"/>
      <c r="L889" s="580"/>
      <c r="M889" s="578"/>
      <c r="N889" s="580"/>
      <c r="O889" s="580"/>
      <c r="P889" s="580"/>
      <c r="Q889" s="580"/>
      <c r="R889" s="578">
        <v>36</v>
      </c>
      <c r="S889" s="580"/>
      <c r="T889" s="580"/>
      <c r="U889" s="580"/>
      <c r="V889" s="575"/>
      <c r="W889" s="575"/>
      <c r="X889" s="580"/>
      <c r="Y889" s="580"/>
      <c r="Z889" s="575"/>
      <c r="AA889" s="583"/>
    </row>
    <row r="890" spans="1:27" s="584" customFormat="1" ht="13.9" customHeight="1" x14ac:dyDescent="0.2">
      <c r="A890" s="575">
        <f>A888+1</f>
        <v>442</v>
      </c>
      <c r="B890" s="583" t="s">
        <v>829</v>
      </c>
      <c r="C890" s="583" t="s">
        <v>231</v>
      </c>
      <c r="D890" s="583"/>
      <c r="E890" s="576"/>
      <c r="F890" s="576"/>
      <c r="G890" s="575"/>
      <c r="H890" s="575"/>
      <c r="I890" s="577"/>
      <c r="J890" s="580"/>
      <c r="K890" s="578">
        <f>(M890*4+N890*2)/2</f>
        <v>12</v>
      </c>
      <c r="L890" s="578"/>
      <c r="M890" s="578">
        <v>6</v>
      </c>
      <c r="N890" s="579"/>
      <c r="O890" s="579"/>
      <c r="P890" s="579"/>
      <c r="Q890" s="579"/>
      <c r="R890" s="579"/>
      <c r="S890" s="579"/>
      <c r="T890" s="579"/>
      <c r="U890" s="575"/>
      <c r="V890" s="575">
        <v>1</v>
      </c>
      <c r="W890" s="575">
        <v>1</v>
      </c>
      <c r="X890" s="575"/>
      <c r="Y890" s="575"/>
      <c r="Z890" s="575">
        <v>2</v>
      </c>
      <c r="AA890" s="583"/>
    </row>
    <row r="891" spans="1:27" s="584" customFormat="1" ht="13.9" customHeight="1" x14ac:dyDescent="0.2">
      <c r="A891" s="575"/>
      <c r="B891" s="583"/>
      <c r="C891" s="583"/>
      <c r="D891" s="583"/>
      <c r="E891" s="576">
        <v>426.92700000000002</v>
      </c>
      <c r="F891" s="576">
        <f>+CEILING(E891,5)</f>
        <v>430</v>
      </c>
      <c r="G891" s="575"/>
      <c r="H891" s="575">
        <f>F891*36</f>
        <v>15480</v>
      </c>
      <c r="I891" s="577">
        <f>F891</f>
        <v>430</v>
      </c>
      <c r="J891" s="580"/>
      <c r="K891" s="578"/>
      <c r="L891" s="580"/>
      <c r="M891" s="578"/>
      <c r="N891" s="580"/>
      <c r="O891" s="580"/>
      <c r="P891" s="580"/>
      <c r="Q891" s="580"/>
      <c r="R891" s="578">
        <v>42</v>
      </c>
      <c r="S891" s="580"/>
      <c r="T891" s="580"/>
      <c r="U891" s="580"/>
      <c r="V891" s="575"/>
      <c r="W891" s="575"/>
      <c r="X891" s="580"/>
      <c r="Y891" s="580"/>
      <c r="Z891" s="575"/>
      <c r="AA891" s="583"/>
    </row>
    <row r="892" spans="1:27" s="584" customFormat="1" ht="13.9" customHeight="1" x14ac:dyDescent="0.2">
      <c r="A892" s="575">
        <f>A890+1</f>
        <v>443</v>
      </c>
      <c r="B892" s="583" t="s">
        <v>101</v>
      </c>
      <c r="C892" s="583" t="s">
        <v>869</v>
      </c>
      <c r="D892" s="583" t="s">
        <v>1139</v>
      </c>
      <c r="E892" s="576"/>
      <c r="F892" s="576"/>
      <c r="G892" s="575"/>
      <c r="H892" s="575"/>
      <c r="I892" s="577"/>
      <c r="J892" s="578">
        <v>48</v>
      </c>
      <c r="K892" s="580"/>
      <c r="L892" s="578">
        <v>12</v>
      </c>
      <c r="M892" s="580"/>
      <c r="N892" s="580"/>
      <c r="O892" s="580"/>
      <c r="P892" s="580"/>
      <c r="Q892" s="580"/>
      <c r="R892" s="579"/>
      <c r="S892" s="575">
        <v>30</v>
      </c>
      <c r="T892" s="580"/>
      <c r="U892" s="575">
        <v>2</v>
      </c>
      <c r="V892" s="580"/>
      <c r="W892" s="575">
        <v>2</v>
      </c>
      <c r="X892" s="580"/>
      <c r="Y892" s="580"/>
      <c r="Z892" s="575">
        <v>4</v>
      </c>
      <c r="AA892" s="583"/>
    </row>
    <row r="893" spans="1:27" s="584" customFormat="1" ht="13.9" customHeight="1" x14ac:dyDescent="0.2">
      <c r="A893" s="575"/>
      <c r="B893" s="583"/>
      <c r="C893" s="583"/>
      <c r="D893" s="583"/>
      <c r="E893" s="576">
        <v>207.839</v>
      </c>
      <c r="F893" s="576">
        <f>+CEILING(E893,5)</f>
        <v>210</v>
      </c>
      <c r="G893" s="575"/>
      <c r="H893" s="575">
        <f>F893*36</f>
        <v>7560</v>
      </c>
      <c r="I893" s="577">
        <f>F893</f>
        <v>210</v>
      </c>
      <c r="J893" s="580"/>
      <c r="K893" s="578"/>
      <c r="L893" s="580"/>
      <c r="M893" s="578"/>
      <c r="N893" s="580"/>
      <c r="O893" s="580"/>
      <c r="P893" s="580"/>
      <c r="Q893" s="580"/>
      <c r="R893" s="578">
        <v>18</v>
      </c>
      <c r="S893" s="580"/>
      <c r="T893" s="580"/>
      <c r="U893" s="580"/>
      <c r="V893" s="575"/>
      <c r="W893" s="575"/>
      <c r="X893" s="580"/>
      <c r="Y893" s="580"/>
      <c r="Z893" s="575"/>
      <c r="AA893" s="583"/>
    </row>
    <row r="894" spans="1:27" s="584" customFormat="1" ht="13.9" customHeight="1" x14ac:dyDescent="0.2">
      <c r="A894" s="575">
        <f>A892+1</f>
        <v>444</v>
      </c>
      <c r="B894" s="583" t="s">
        <v>102</v>
      </c>
      <c r="C894" s="583" t="s">
        <v>870</v>
      </c>
      <c r="D894" s="583" t="s">
        <v>1140</v>
      </c>
      <c r="E894" s="576"/>
      <c r="F894" s="576"/>
      <c r="G894" s="575"/>
      <c r="H894" s="575"/>
      <c r="I894" s="577"/>
      <c r="J894" s="578">
        <v>48</v>
      </c>
      <c r="K894" s="580"/>
      <c r="L894" s="578">
        <v>12</v>
      </c>
      <c r="M894" s="580"/>
      <c r="N894" s="580"/>
      <c r="O894" s="580"/>
      <c r="P894" s="580"/>
      <c r="Q894" s="580"/>
      <c r="R894" s="579"/>
      <c r="S894" s="575">
        <v>30</v>
      </c>
      <c r="T894" s="580"/>
      <c r="U894" s="575">
        <v>2</v>
      </c>
      <c r="V894" s="580"/>
      <c r="W894" s="575">
        <v>2</v>
      </c>
      <c r="X894" s="580"/>
      <c r="Y894" s="580"/>
      <c r="Z894" s="575">
        <v>4</v>
      </c>
      <c r="AA894" s="583"/>
    </row>
    <row r="895" spans="1:27" s="584" customFormat="1" ht="13.9" customHeight="1" x14ac:dyDescent="0.2">
      <c r="A895" s="575"/>
      <c r="B895" s="583"/>
      <c r="C895" s="583"/>
      <c r="D895" s="583"/>
      <c r="E895" s="576">
        <v>347.14100000000002</v>
      </c>
      <c r="F895" s="576">
        <f>+CEILING(E895,5)</f>
        <v>350</v>
      </c>
      <c r="G895" s="575"/>
      <c r="H895" s="575">
        <f>F895*36</f>
        <v>12600</v>
      </c>
      <c r="I895" s="577">
        <f>F895</f>
        <v>350</v>
      </c>
      <c r="J895" s="582"/>
      <c r="K895" s="580"/>
      <c r="L895" s="582"/>
      <c r="M895" s="580"/>
      <c r="N895" s="580"/>
      <c r="O895" s="580"/>
      <c r="P895" s="580"/>
      <c r="Q895" s="580"/>
      <c r="R895" s="578">
        <v>36</v>
      </c>
      <c r="S895" s="579"/>
      <c r="T895" s="580"/>
      <c r="U895" s="575"/>
      <c r="V895" s="580"/>
      <c r="W895" s="575"/>
      <c r="X895" s="580"/>
      <c r="Y895" s="580"/>
      <c r="Z895" s="575"/>
      <c r="AA895" s="583"/>
    </row>
    <row r="896" spans="1:27" s="584" customFormat="1" ht="13.9" customHeight="1" x14ac:dyDescent="0.2">
      <c r="A896" s="575">
        <f>A894+1</f>
        <v>445</v>
      </c>
      <c r="B896" s="583" t="s">
        <v>830</v>
      </c>
      <c r="C896" s="583" t="s">
        <v>231</v>
      </c>
      <c r="D896" s="583"/>
      <c r="E896" s="576"/>
      <c r="F896" s="576"/>
      <c r="G896" s="575"/>
      <c r="H896" s="575"/>
      <c r="I896" s="577"/>
      <c r="J896" s="580"/>
      <c r="K896" s="578">
        <f>(M896*4+N896*2)/2</f>
        <v>12</v>
      </c>
      <c r="L896" s="578"/>
      <c r="M896" s="578">
        <v>6</v>
      </c>
      <c r="N896" s="579"/>
      <c r="O896" s="579"/>
      <c r="P896" s="579"/>
      <c r="Q896" s="579"/>
      <c r="R896" s="579"/>
      <c r="S896" s="579"/>
      <c r="T896" s="579"/>
      <c r="U896" s="575"/>
      <c r="V896" s="575">
        <v>1</v>
      </c>
      <c r="W896" s="575">
        <v>1</v>
      </c>
      <c r="X896" s="575"/>
      <c r="Y896" s="575"/>
      <c r="Z896" s="575">
        <v>2</v>
      </c>
      <c r="AA896" s="583"/>
    </row>
    <row r="897" spans="1:27" s="584" customFormat="1" ht="13.9" customHeight="1" x14ac:dyDescent="0.2">
      <c r="A897" s="575"/>
      <c r="B897" s="583"/>
      <c r="C897" s="583"/>
      <c r="D897" s="583"/>
      <c r="E897" s="576">
        <v>344.93099999999998</v>
      </c>
      <c r="F897" s="576">
        <f>+CEILING(E897,5)</f>
        <v>345</v>
      </c>
      <c r="G897" s="575"/>
      <c r="H897" s="575">
        <f>F897*36</f>
        <v>12420</v>
      </c>
      <c r="I897" s="577">
        <f>F897</f>
        <v>345</v>
      </c>
      <c r="J897" s="580"/>
      <c r="K897" s="578"/>
      <c r="L897" s="580"/>
      <c r="M897" s="578"/>
      <c r="N897" s="580"/>
      <c r="O897" s="580"/>
      <c r="P897" s="580"/>
      <c r="Q897" s="580"/>
      <c r="R897" s="578">
        <v>36</v>
      </c>
      <c r="S897" s="580"/>
      <c r="T897" s="580"/>
      <c r="U897" s="580"/>
      <c r="V897" s="575"/>
      <c r="W897" s="575"/>
      <c r="X897" s="580"/>
      <c r="Y897" s="580"/>
      <c r="Z897" s="575"/>
      <c r="AA897" s="583"/>
    </row>
    <row r="898" spans="1:27" s="584" customFormat="1" ht="13.9" customHeight="1" x14ac:dyDescent="0.2">
      <c r="A898" s="575">
        <f>A896+1</f>
        <v>446</v>
      </c>
      <c r="B898" s="583" t="s">
        <v>831</v>
      </c>
      <c r="C898" s="583" t="s">
        <v>231</v>
      </c>
      <c r="D898" s="583"/>
      <c r="E898" s="576"/>
      <c r="F898" s="576"/>
      <c r="G898" s="575"/>
      <c r="H898" s="575"/>
      <c r="I898" s="577"/>
      <c r="J898" s="580"/>
      <c r="K898" s="578">
        <f>(M898*4+N898*2)/2</f>
        <v>12</v>
      </c>
      <c r="L898" s="578"/>
      <c r="M898" s="578">
        <v>6</v>
      </c>
      <c r="N898" s="579"/>
      <c r="O898" s="579"/>
      <c r="P898" s="579"/>
      <c r="Q898" s="579"/>
      <c r="R898" s="579"/>
      <c r="S898" s="579"/>
      <c r="T898" s="579"/>
      <c r="U898" s="575"/>
      <c r="V898" s="575">
        <v>1</v>
      </c>
      <c r="W898" s="575">
        <v>1</v>
      </c>
      <c r="X898" s="575"/>
      <c r="Y898" s="575"/>
      <c r="Z898" s="575">
        <v>2</v>
      </c>
      <c r="AA898" s="583"/>
    </row>
    <row r="899" spans="1:27" s="584" customFormat="1" ht="13.9" customHeight="1" x14ac:dyDescent="0.2">
      <c r="A899" s="575"/>
      <c r="B899" s="583"/>
      <c r="C899" s="583"/>
      <c r="D899" s="583"/>
      <c r="E899" s="576">
        <v>369.226</v>
      </c>
      <c r="F899" s="576">
        <f>+CEILING(E899,5)</f>
        <v>370</v>
      </c>
      <c r="G899" s="575"/>
      <c r="H899" s="575">
        <f>F899*36</f>
        <v>13320</v>
      </c>
      <c r="I899" s="577">
        <f>F899</f>
        <v>370</v>
      </c>
      <c r="J899" s="580"/>
      <c r="K899" s="578"/>
      <c r="L899" s="580"/>
      <c r="M899" s="578"/>
      <c r="N899" s="580"/>
      <c r="O899" s="580"/>
      <c r="P899" s="580"/>
      <c r="Q899" s="580"/>
      <c r="R899" s="578">
        <v>36</v>
      </c>
      <c r="S899" s="580"/>
      <c r="T899" s="580"/>
      <c r="U899" s="580"/>
      <c r="V899" s="575"/>
      <c r="W899" s="575"/>
      <c r="X899" s="580"/>
      <c r="Y899" s="580"/>
      <c r="Z899" s="575"/>
      <c r="AA899" s="583"/>
    </row>
    <row r="900" spans="1:27" s="584" customFormat="1" ht="13.9" customHeight="1" x14ac:dyDescent="0.2">
      <c r="A900" s="575">
        <f>A898+1</f>
        <v>447</v>
      </c>
      <c r="B900" s="583" t="s">
        <v>103</v>
      </c>
      <c r="C900" s="583" t="s">
        <v>867</v>
      </c>
      <c r="D900" s="583" t="s">
        <v>1141</v>
      </c>
      <c r="E900" s="576"/>
      <c r="F900" s="576"/>
      <c r="G900" s="575"/>
      <c r="H900" s="575"/>
      <c r="I900" s="577"/>
      <c r="J900" s="578">
        <v>48</v>
      </c>
      <c r="K900" s="578">
        <v>6</v>
      </c>
      <c r="L900" s="578">
        <v>12</v>
      </c>
      <c r="M900" s="580"/>
      <c r="N900" s="575">
        <v>6</v>
      </c>
      <c r="O900" s="580"/>
      <c r="P900" s="580"/>
      <c r="Q900" s="580"/>
      <c r="R900" s="579"/>
      <c r="S900" s="575">
        <v>30</v>
      </c>
      <c r="T900" s="580"/>
      <c r="U900" s="575">
        <v>2</v>
      </c>
      <c r="V900" s="580"/>
      <c r="W900" s="575">
        <v>2</v>
      </c>
      <c r="X900" s="580"/>
      <c r="Y900" s="580"/>
      <c r="Z900" s="575">
        <v>4</v>
      </c>
      <c r="AA900" s="583"/>
    </row>
    <row r="901" spans="1:27" s="584" customFormat="1" ht="13.9" customHeight="1" x14ac:dyDescent="0.2">
      <c r="A901" s="575"/>
      <c r="B901" s="583"/>
      <c r="C901" s="583"/>
      <c r="D901" s="583"/>
      <c r="E901" s="576">
        <v>200.88900000000001</v>
      </c>
      <c r="F901" s="576">
        <f>+CEILING(E901,5)</f>
        <v>205</v>
      </c>
      <c r="G901" s="575"/>
      <c r="H901" s="575">
        <f>F901*36</f>
        <v>7380</v>
      </c>
      <c r="I901" s="577">
        <f>F901</f>
        <v>205</v>
      </c>
      <c r="J901" s="580"/>
      <c r="K901" s="578"/>
      <c r="L901" s="580"/>
      <c r="M901" s="578"/>
      <c r="N901" s="580"/>
      <c r="O901" s="580"/>
      <c r="P901" s="580"/>
      <c r="Q901" s="580"/>
      <c r="R901" s="578">
        <v>18</v>
      </c>
      <c r="S901" s="580"/>
      <c r="T901" s="580"/>
      <c r="U901" s="580"/>
      <c r="V901" s="575"/>
      <c r="W901" s="575"/>
      <c r="X901" s="580"/>
      <c r="Y901" s="580"/>
      <c r="Z901" s="575"/>
      <c r="AA901" s="583"/>
    </row>
    <row r="902" spans="1:27" s="584" customFormat="1" ht="13.9" customHeight="1" x14ac:dyDescent="0.2">
      <c r="A902" s="575">
        <f>A900+1</f>
        <v>448</v>
      </c>
      <c r="B902" s="583" t="s">
        <v>104</v>
      </c>
      <c r="C902" s="583" t="s">
        <v>245</v>
      </c>
      <c r="D902" s="583" t="s">
        <v>1142</v>
      </c>
      <c r="E902" s="576"/>
      <c r="F902" s="576"/>
      <c r="G902" s="575"/>
      <c r="H902" s="575"/>
      <c r="I902" s="577"/>
      <c r="J902" s="578">
        <v>48</v>
      </c>
      <c r="K902" s="580"/>
      <c r="L902" s="578">
        <v>12</v>
      </c>
      <c r="M902" s="580"/>
      <c r="N902" s="580"/>
      <c r="O902" s="580"/>
      <c r="P902" s="580"/>
      <c r="Q902" s="580"/>
      <c r="R902" s="579"/>
      <c r="S902" s="575">
        <v>30</v>
      </c>
      <c r="T902" s="580"/>
      <c r="U902" s="575">
        <v>2</v>
      </c>
      <c r="V902" s="580"/>
      <c r="W902" s="575">
        <v>2</v>
      </c>
      <c r="X902" s="580"/>
      <c r="Y902" s="580"/>
      <c r="Z902" s="575">
        <v>4</v>
      </c>
      <c r="AA902" s="583"/>
    </row>
    <row r="903" spans="1:27" s="584" customFormat="1" ht="13.9" customHeight="1" x14ac:dyDescent="0.2">
      <c r="A903" s="575"/>
      <c r="B903" s="583"/>
      <c r="C903" s="583"/>
      <c r="D903" s="583"/>
      <c r="E903" s="576">
        <v>374.13200000000001</v>
      </c>
      <c r="F903" s="576">
        <f>+CEILING(E903,5)</f>
        <v>375</v>
      </c>
      <c r="G903" s="575"/>
      <c r="H903" s="575">
        <f>F903*36</f>
        <v>13500</v>
      </c>
      <c r="I903" s="577">
        <f>F903</f>
        <v>375</v>
      </c>
      <c r="J903" s="580"/>
      <c r="K903" s="578"/>
      <c r="L903" s="580"/>
      <c r="M903" s="578"/>
      <c r="N903" s="580"/>
      <c r="O903" s="580"/>
      <c r="P903" s="580"/>
      <c r="Q903" s="580"/>
      <c r="R903" s="578">
        <v>36</v>
      </c>
      <c r="S903" s="580"/>
      <c r="T903" s="580"/>
      <c r="U903" s="580"/>
      <c r="V903" s="575"/>
      <c r="W903" s="575"/>
      <c r="X903" s="580"/>
      <c r="Y903" s="580"/>
      <c r="Z903" s="575"/>
      <c r="AA903" s="583"/>
    </row>
    <row r="904" spans="1:27" s="584" customFormat="1" ht="13.9" customHeight="1" x14ac:dyDescent="0.2">
      <c r="A904" s="575">
        <f>A902+1</f>
        <v>449</v>
      </c>
      <c r="B904" s="583" t="s">
        <v>832</v>
      </c>
      <c r="C904" s="583" t="s">
        <v>20</v>
      </c>
      <c r="D904" s="583"/>
      <c r="E904" s="576"/>
      <c r="F904" s="576"/>
      <c r="G904" s="575"/>
      <c r="H904" s="575"/>
      <c r="I904" s="577"/>
      <c r="J904" s="580"/>
      <c r="K904" s="578">
        <f>(M904*4+N904*2)/2</f>
        <v>12</v>
      </c>
      <c r="L904" s="578"/>
      <c r="M904" s="578">
        <v>6</v>
      </c>
      <c r="N904" s="579"/>
      <c r="O904" s="579"/>
      <c r="P904" s="579"/>
      <c r="Q904" s="579"/>
      <c r="R904" s="579"/>
      <c r="S904" s="579"/>
      <c r="T904" s="579"/>
      <c r="U904" s="575"/>
      <c r="V904" s="575">
        <v>1</v>
      </c>
      <c r="W904" s="575">
        <v>1</v>
      </c>
      <c r="X904" s="575"/>
      <c r="Y904" s="575"/>
      <c r="Z904" s="575">
        <v>2</v>
      </c>
      <c r="AA904" s="583"/>
    </row>
    <row r="905" spans="1:27" s="584" customFormat="1" ht="13.9" customHeight="1" x14ac:dyDescent="0.2">
      <c r="A905" s="575"/>
      <c r="B905" s="583"/>
      <c r="C905" s="583"/>
      <c r="D905" s="583"/>
      <c r="E905" s="576">
        <v>394.88600000000002</v>
      </c>
      <c r="F905" s="576">
        <f>+CEILING(E905,5)</f>
        <v>395</v>
      </c>
      <c r="G905" s="575"/>
      <c r="H905" s="575">
        <f>F905*36</f>
        <v>14220</v>
      </c>
      <c r="I905" s="577">
        <f>F905</f>
        <v>395</v>
      </c>
      <c r="J905" s="580"/>
      <c r="K905" s="578"/>
      <c r="L905" s="580"/>
      <c r="M905" s="578"/>
      <c r="N905" s="580"/>
      <c r="O905" s="580"/>
      <c r="P905" s="580"/>
      <c r="Q905" s="580"/>
      <c r="R905" s="578">
        <v>42</v>
      </c>
      <c r="S905" s="580"/>
      <c r="T905" s="580"/>
      <c r="U905" s="580"/>
      <c r="V905" s="575"/>
      <c r="W905" s="575"/>
      <c r="X905" s="580"/>
      <c r="Y905" s="580"/>
      <c r="Z905" s="575"/>
      <c r="AA905" s="583"/>
    </row>
    <row r="906" spans="1:27" s="584" customFormat="1" ht="13.9" customHeight="1" x14ac:dyDescent="0.2">
      <c r="A906" s="575">
        <f>A904+1</f>
        <v>450</v>
      </c>
      <c r="B906" s="583" t="s">
        <v>105</v>
      </c>
      <c r="C906" s="583" t="s">
        <v>239</v>
      </c>
      <c r="D906" s="583" t="s">
        <v>1143</v>
      </c>
      <c r="E906" s="576"/>
      <c r="F906" s="576"/>
      <c r="G906" s="575"/>
      <c r="H906" s="575"/>
      <c r="I906" s="577"/>
      <c r="J906" s="578">
        <v>48</v>
      </c>
      <c r="K906" s="580"/>
      <c r="L906" s="578">
        <v>12</v>
      </c>
      <c r="M906" s="580"/>
      <c r="N906" s="580"/>
      <c r="O906" s="580"/>
      <c r="P906" s="580"/>
      <c r="Q906" s="580"/>
      <c r="R906" s="579"/>
      <c r="S906" s="575">
        <v>30</v>
      </c>
      <c r="T906" s="580"/>
      <c r="U906" s="575">
        <v>2</v>
      </c>
      <c r="V906" s="580"/>
      <c r="W906" s="575">
        <v>2</v>
      </c>
      <c r="X906" s="580"/>
      <c r="Y906" s="580"/>
      <c r="Z906" s="575">
        <v>4</v>
      </c>
      <c r="AA906" s="583"/>
    </row>
    <row r="907" spans="1:27" s="584" customFormat="1" ht="13.9" customHeight="1" x14ac:dyDescent="0.2">
      <c r="A907" s="575"/>
      <c r="B907" s="583"/>
      <c r="C907" s="583"/>
      <c r="D907" s="583"/>
      <c r="E907" s="576">
        <v>388.38499999999999</v>
      </c>
      <c r="F907" s="576">
        <f>+CEILING(E907,5)</f>
        <v>390</v>
      </c>
      <c r="G907" s="575"/>
      <c r="H907" s="575">
        <f>F907*36</f>
        <v>14040</v>
      </c>
      <c r="I907" s="577">
        <f>F907</f>
        <v>390</v>
      </c>
      <c r="J907" s="580"/>
      <c r="K907" s="578"/>
      <c r="L907" s="580"/>
      <c r="M907" s="578"/>
      <c r="N907" s="580"/>
      <c r="O907" s="580"/>
      <c r="P907" s="580"/>
      <c r="Q907" s="580"/>
      <c r="R907" s="578">
        <v>36</v>
      </c>
      <c r="S907" s="580"/>
      <c r="T907" s="580"/>
      <c r="U907" s="580"/>
      <c r="V907" s="575"/>
      <c r="W907" s="575"/>
      <c r="X907" s="580"/>
      <c r="Y907" s="580"/>
      <c r="Z907" s="575"/>
      <c r="AA907" s="583"/>
    </row>
    <row r="908" spans="1:27" s="584" customFormat="1" x14ac:dyDescent="0.2">
      <c r="A908" s="575">
        <f>A906+1</f>
        <v>451</v>
      </c>
      <c r="B908" s="583" t="s">
        <v>833</v>
      </c>
      <c r="C908" s="583" t="s">
        <v>20</v>
      </c>
      <c r="D908" s="583"/>
      <c r="E908" s="576"/>
      <c r="F908" s="576"/>
      <c r="G908" s="575"/>
      <c r="H908" s="575"/>
      <c r="I908" s="577"/>
      <c r="J908" s="580"/>
      <c r="K908" s="578">
        <f>(M908*4+N908*2)/2</f>
        <v>12</v>
      </c>
      <c r="L908" s="578"/>
      <c r="M908" s="578">
        <v>6</v>
      </c>
      <c r="N908" s="579"/>
      <c r="O908" s="579"/>
      <c r="P908" s="579"/>
      <c r="Q908" s="579"/>
      <c r="R908" s="579"/>
      <c r="S908" s="579"/>
      <c r="T908" s="579"/>
      <c r="U908" s="575"/>
      <c r="V908" s="575">
        <v>1</v>
      </c>
      <c r="W908" s="575">
        <v>1</v>
      </c>
      <c r="X908" s="575"/>
      <c r="Y908" s="575"/>
      <c r="Z908" s="575">
        <v>2</v>
      </c>
      <c r="AA908" s="583"/>
    </row>
    <row r="909" spans="1:27" s="584" customFormat="1" ht="13.9" customHeight="1" x14ac:dyDescent="0.2">
      <c r="A909" s="575"/>
      <c r="B909" s="583"/>
      <c r="C909" s="583"/>
      <c r="D909" s="583"/>
      <c r="E909" s="576">
        <v>418.86500000000001</v>
      </c>
      <c r="F909" s="576">
        <f>+CEILING(E909,5)</f>
        <v>420</v>
      </c>
      <c r="G909" s="575"/>
      <c r="H909" s="575">
        <f>F909*36</f>
        <v>15120</v>
      </c>
      <c r="I909" s="577">
        <f>F909</f>
        <v>420</v>
      </c>
      <c r="J909" s="582"/>
      <c r="K909" s="580"/>
      <c r="L909" s="582"/>
      <c r="M909" s="580"/>
      <c r="N909" s="580"/>
      <c r="O909" s="580"/>
      <c r="P909" s="580"/>
      <c r="Q909" s="580"/>
      <c r="R909" s="578">
        <v>42</v>
      </c>
      <c r="S909" s="579"/>
      <c r="T909" s="580"/>
      <c r="U909" s="575"/>
      <c r="V909" s="580"/>
      <c r="W909" s="575"/>
      <c r="X909" s="580"/>
      <c r="Y909" s="580"/>
      <c r="Z909" s="575"/>
      <c r="AA909" s="583"/>
    </row>
    <row r="910" spans="1:27" s="584" customFormat="1" ht="13.9" customHeight="1" x14ac:dyDescent="0.2">
      <c r="A910" s="575">
        <f>A908+1</f>
        <v>452</v>
      </c>
      <c r="B910" s="583" t="s">
        <v>834</v>
      </c>
      <c r="C910" s="583" t="s">
        <v>20</v>
      </c>
      <c r="D910" s="583"/>
      <c r="E910" s="576"/>
      <c r="F910" s="576"/>
      <c r="G910" s="575"/>
      <c r="H910" s="575"/>
      <c r="I910" s="577"/>
      <c r="J910" s="580"/>
      <c r="K910" s="578">
        <f>(M910*4+N910*2)/2</f>
        <v>12</v>
      </c>
      <c r="L910" s="578"/>
      <c r="M910" s="578">
        <v>6</v>
      </c>
      <c r="N910" s="579"/>
      <c r="O910" s="579"/>
      <c r="P910" s="579"/>
      <c r="Q910" s="579"/>
      <c r="R910" s="579"/>
      <c r="S910" s="579"/>
      <c r="T910" s="579"/>
      <c r="U910" s="575"/>
      <c r="V910" s="575">
        <v>1</v>
      </c>
      <c r="W910" s="575">
        <v>1</v>
      </c>
      <c r="X910" s="575"/>
      <c r="Y910" s="575"/>
      <c r="Z910" s="575">
        <v>2</v>
      </c>
      <c r="AA910" s="583"/>
    </row>
    <row r="911" spans="1:27" s="584" customFormat="1" ht="13.9" customHeight="1" x14ac:dyDescent="0.2">
      <c r="A911" s="575"/>
      <c r="B911" s="583"/>
      <c r="C911" s="583"/>
      <c r="D911" s="583"/>
      <c r="E911" s="576">
        <v>418.601</v>
      </c>
      <c r="F911" s="576">
        <f>+CEILING(E911,5)</f>
        <v>420</v>
      </c>
      <c r="G911" s="575"/>
      <c r="H911" s="575">
        <f>F911*36</f>
        <v>15120</v>
      </c>
      <c r="I911" s="577">
        <f>F911</f>
        <v>420</v>
      </c>
      <c r="J911" s="582"/>
      <c r="K911" s="580"/>
      <c r="L911" s="582"/>
      <c r="M911" s="580"/>
      <c r="N911" s="580"/>
      <c r="O911" s="580"/>
      <c r="P911" s="580"/>
      <c r="Q911" s="580"/>
      <c r="R911" s="578">
        <v>42</v>
      </c>
      <c r="S911" s="579"/>
      <c r="T911" s="580"/>
      <c r="U911" s="575"/>
      <c r="V911" s="580"/>
      <c r="W911" s="575"/>
      <c r="X911" s="580"/>
      <c r="Y911" s="580"/>
      <c r="Z911" s="575"/>
      <c r="AA911" s="583"/>
    </row>
    <row r="912" spans="1:27" s="584" customFormat="1" ht="13.9" customHeight="1" x14ac:dyDescent="0.2">
      <c r="A912" s="575">
        <f>A910+1</f>
        <v>453</v>
      </c>
      <c r="B912" s="583" t="s">
        <v>835</v>
      </c>
      <c r="C912" s="583" t="s">
        <v>20</v>
      </c>
      <c r="D912" s="583"/>
      <c r="E912" s="576"/>
      <c r="F912" s="576"/>
      <c r="G912" s="575"/>
      <c r="H912" s="575"/>
      <c r="I912" s="577"/>
      <c r="J912" s="580"/>
      <c r="K912" s="578">
        <f>(M912*4+N912*2)/2</f>
        <v>12</v>
      </c>
      <c r="L912" s="578"/>
      <c r="M912" s="578">
        <v>6</v>
      </c>
      <c r="N912" s="579"/>
      <c r="O912" s="579"/>
      <c r="P912" s="579"/>
      <c r="Q912" s="579"/>
      <c r="R912" s="579"/>
      <c r="S912" s="579"/>
      <c r="T912" s="579"/>
      <c r="U912" s="575"/>
      <c r="V912" s="575">
        <v>1</v>
      </c>
      <c r="W912" s="575">
        <v>1</v>
      </c>
      <c r="X912" s="575"/>
      <c r="Y912" s="575"/>
      <c r="Z912" s="575">
        <v>2</v>
      </c>
      <c r="AA912" s="583"/>
    </row>
    <row r="913" spans="1:27" s="584" customFormat="1" ht="13.9" customHeight="1" x14ac:dyDescent="0.2">
      <c r="A913" s="575"/>
      <c r="B913" s="583"/>
      <c r="C913" s="583"/>
      <c r="D913" s="583"/>
      <c r="E913" s="576">
        <v>413.98700000000002</v>
      </c>
      <c r="F913" s="576">
        <f>+CEILING(E913,5)</f>
        <v>415</v>
      </c>
      <c r="G913" s="575"/>
      <c r="H913" s="575">
        <f>F913*36</f>
        <v>14940</v>
      </c>
      <c r="I913" s="577">
        <f>F913</f>
        <v>415</v>
      </c>
      <c r="J913" s="580"/>
      <c r="K913" s="578"/>
      <c r="L913" s="580"/>
      <c r="M913" s="578"/>
      <c r="N913" s="580"/>
      <c r="O913" s="580"/>
      <c r="P913" s="580"/>
      <c r="Q913" s="580"/>
      <c r="R913" s="578">
        <v>42</v>
      </c>
      <c r="S913" s="580"/>
      <c r="T913" s="580"/>
      <c r="U913" s="580"/>
      <c r="V913" s="575"/>
      <c r="W913" s="575"/>
      <c r="X913" s="580"/>
      <c r="Y913" s="580"/>
      <c r="Z913" s="575"/>
      <c r="AA913" s="583"/>
    </row>
    <row r="914" spans="1:27" s="584" customFormat="1" ht="13.9" customHeight="1" x14ac:dyDescent="0.2">
      <c r="A914" s="575">
        <f>A912+1</f>
        <v>454</v>
      </c>
      <c r="B914" s="583" t="s">
        <v>836</v>
      </c>
      <c r="C914" s="583" t="s">
        <v>20</v>
      </c>
      <c r="D914" s="583"/>
      <c r="E914" s="576"/>
      <c r="F914" s="576"/>
      <c r="G914" s="575"/>
      <c r="H914" s="575"/>
      <c r="I914" s="577"/>
      <c r="J914" s="580"/>
      <c r="K914" s="578">
        <f>(M914*4+N914*2)/2</f>
        <v>12</v>
      </c>
      <c r="L914" s="578"/>
      <c r="M914" s="578">
        <v>6</v>
      </c>
      <c r="N914" s="579"/>
      <c r="O914" s="579"/>
      <c r="P914" s="579"/>
      <c r="Q914" s="579"/>
      <c r="R914" s="579"/>
      <c r="S914" s="579"/>
      <c r="T914" s="579"/>
      <c r="U914" s="575"/>
      <c r="V914" s="575">
        <v>1</v>
      </c>
      <c r="W914" s="575">
        <v>1</v>
      </c>
      <c r="X914" s="575"/>
      <c r="Y914" s="575"/>
      <c r="Z914" s="575">
        <v>2</v>
      </c>
      <c r="AA914" s="583"/>
    </row>
    <row r="915" spans="1:27" s="584" customFormat="1" ht="13.9" customHeight="1" x14ac:dyDescent="0.2">
      <c r="A915" s="575"/>
      <c r="B915" s="583"/>
      <c r="C915" s="583"/>
      <c r="D915" s="583"/>
      <c r="E915" s="576">
        <v>419.58300000000003</v>
      </c>
      <c r="F915" s="576">
        <f>+CEILING(E915,5)</f>
        <v>420</v>
      </c>
      <c r="G915" s="575"/>
      <c r="H915" s="575">
        <f>F915*36</f>
        <v>15120</v>
      </c>
      <c r="I915" s="577">
        <f>F915</f>
        <v>420</v>
      </c>
      <c r="J915" s="580"/>
      <c r="K915" s="578"/>
      <c r="L915" s="580"/>
      <c r="M915" s="578"/>
      <c r="N915" s="580"/>
      <c r="O915" s="580"/>
      <c r="P915" s="580"/>
      <c r="Q915" s="580"/>
      <c r="R915" s="578">
        <v>42</v>
      </c>
      <c r="S915" s="580"/>
      <c r="T915" s="580"/>
      <c r="U915" s="580"/>
      <c r="V915" s="575"/>
      <c r="W915" s="575"/>
      <c r="X915" s="580"/>
      <c r="Y915" s="580"/>
      <c r="Z915" s="575"/>
      <c r="AA915" s="583"/>
    </row>
    <row r="916" spans="1:27" s="584" customFormat="1" ht="13.9" customHeight="1" x14ac:dyDescent="0.2">
      <c r="A916" s="575">
        <f>A914+1</f>
        <v>455</v>
      </c>
      <c r="B916" s="583" t="s">
        <v>837</v>
      </c>
      <c r="C916" s="583" t="s">
        <v>20</v>
      </c>
      <c r="D916" s="583"/>
      <c r="E916" s="576"/>
      <c r="F916" s="576"/>
      <c r="G916" s="575"/>
      <c r="H916" s="575"/>
      <c r="I916" s="577"/>
      <c r="J916" s="580"/>
      <c r="K916" s="578">
        <f>(M916*4+N916*2)/2</f>
        <v>12</v>
      </c>
      <c r="L916" s="578"/>
      <c r="M916" s="578">
        <v>6</v>
      </c>
      <c r="N916" s="579"/>
      <c r="O916" s="579"/>
      <c r="P916" s="579"/>
      <c r="Q916" s="579"/>
      <c r="R916" s="579"/>
      <c r="S916" s="579"/>
      <c r="T916" s="579"/>
      <c r="U916" s="575"/>
      <c r="V916" s="575">
        <v>1</v>
      </c>
      <c r="W916" s="575">
        <v>1</v>
      </c>
      <c r="X916" s="575"/>
      <c r="Y916" s="575"/>
      <c r="Z916" s="575">
        <v>2</v>
      </c>
      <c r="AA916" s="583"/>
    </row>
    <row r="917" spans="1:27" s="584" customFormat="1" ht="13.9" customHeight="1" x14ac:dyDescent="0.2">
      <c r="A917" s="575"/>
      <c r="B917" s="583"/>
      <c r="C917" s="583"/>
      <c r="D917" s="583"/>
      <c r="E917" s="576">
        <v>420.33100000000002</v>
      </c>
      <c r="F917" s="576">
        <f>+CEILING(E917,5)</f>
        <v>425</v>
      </c>
      <c r="G917" s="575"/>
      <c r="H917" s="575">
        <f>F917*36</f>
        <v>15300</v>
      </c>
      <c r="I917" s="577">
        <f>F917</f>
        <v>425</v>
      </c>
      <c r="J917" s="582"/>
      <c r="K917" s="580"/>
      <c r="L917" s="582"/>
      <c r="M917" s="580"/>
      <c r="N917" s="580"/>
      <c r="O917" s="580"/>
      <c r="P917" s="580"/>
      <c r="Q917" s="580"/>
      <c r="R917" s="578">
        <v>42</v>
      </c>
      <c r="S917" s="579"/>
      <c r="T917" s="580"/>
      <c r="U917" s="575"/>
      <c r="V917" s="580"/>
      <c r="W917" s="575"/>
      <c r="X917" s="580"/>
      <c r="Y917" s="580"/>
      <c r="Z917" s="575"/>
      <c r="AA917" s="583"/>
    </row>
    <row r="918" spans="1:27" s="584" customFormat="1" ht="13.9" customHeight="1" x14ac:dyDescent="0.2">
      <c r="A918" s="575">
        <f>A916+1</f>
        <v>456</v>
      </c>
      <c r="B918" s="583" t="s">
        <v>838</v>
      </c>
      <c r="C918" s="583" t="s">
        <v>20</v>
      </c>
      <c r="D918" s="583"/>
      <c r="E918" s="576"/>
      <c r="F918" s="576"/>
      <c r="G918" s="575"/>
      <c r="H918" s="575"/>
      <c r="I918" s="577"/>
      <c r="J918" s="580"/>
      <c r="K918" s="578">
        <f>(M918*4+N918*2)/2</f>
        <v>12</v>
      </c>
      <c r="L918" s="578"/>
      <c r="M918" s="578">
        <v>6</v>
      </c>
      <c r="N918" s="579"/>
      <c r="O918" s="579"/>
      <c r="P918" s="579"/>
      <c r="Q918" s="579"/>
      <c r="R918" s="579"/>
      <c r="S918" s="579"/>
      <c r="T918" s="579"/>
      <c r="U918" s="575"/>
      <c r="V918" s="575">
        <v>1</v>
      </c>
      <c r="W918" s="575">
        <v>1</v>
      </c>
      <c r="X918" s="575"/>
      <c r="Y918" s="575"/>
      <c r="Z918" s="575">
        <v>2</v>
      </c>
      <c r="AA918" s="583"/>
    </row>
    <row r="919" spans="1:27" s="584" customFormat="1" ht="13.9" customHeight="1" x14ac:dyDescent="0.2">
      <c r="A919" s="575"/>
      <c r="B919" s="583"/>
      <c r="C919" s="583"/>
      <c r="D919" s="583"/>
      <c r="E919" s="576">
        <v>419.63200000000001</v>
      </c>
      <c r="F919" s="576">
        <f>+CEILING(E919,5)</f>
        <v>420</v>
      </c>
      <c r="G919" s="575"/>
      <c r="H919" s="575">
        <f>F919*36</f>
        <v>15120</v>
      </c>
      <c r="I919" s="577">
        <f>F919</f>
        <v>420</v>
      </c>
      <c r="J919" s="582"/>
      <c r="K919" s="580"/>
      <c r="L919" s="582"/>
      <c r="M919" s="580"/>
      <c r="N919" s="580"/>
      <c r="O919" s="580"/>
      <c r="P919" s="580"/>
      <c r="Q919" s="580"/>
      <c r="R919" s="578">
        <v>42</v>
      </c>
      <c r="S919" s="579"/>
      <c r="T919" s="580"/>
      <c r="U919" s="575"/>
      <c r="V919" s="580"/>
      <c r="W919" s="575"/>
      <c r="X919" s="580"/>
      <c r="Y919" s="580"/>
      <c r="Z919" s="575"/>
      <c r="AA919" s="583"/>
    </row>
    <row r="920" spans="1:27" s="584" customFormat="1" ht="13.9" customHeight="1" x14ac:dyDescent="0.2">
      <c r="A920" s="575">
        <f>A918+1</f>
        <v>457</v>
      </c>
      <c r="B920" s="583" t="s">
        <v>839</v>
      </c>
      <c r="C920" s="583" t="s">
        <v>20</v>
      </c>
      <c r="D920" s="583"/>
      <c r="E920" s="576"/>
      <c r="F920" s="576"/>
      <c r="G920" s="575"/>
      <c r="H920" s="575"/>
      <c r="I920" s="577"/>
      <c r="J920" s="580"/>
      <c r="K920" s="578">
        <f>(M920*4+N920*2)/2</f>
        <v>12</v>
      </c>
      <c r="L920" s="578"/>
      <c r="M920" s="578">
        <v>6</v>
      </c>
      <c r="N920" s="579"/>
      <c r="O920" s="579"/>
      <c r="P920" s="579"/>
      <c r="Q920" s="579"/>
      <c r="R920" s="579"/>
      <c r="S920" s="579"/>
      <c r="T920" s="579"/>
      <c r="U920" s="575"/>
      <c r="V920" s="575">
        <v>1</v>
      </c>
      <c r="W920" s="575">
        <v>1</v>
      </c>
      <c r="X920" s="575"/>
      <c r="Y920" s="575"/>
      <c r="Z920" s="575">
        <v>2</v>
      </c>
      <c r="AA920" s="583"/>
    </row>
    <row r="921" spans="1:27" s="584" customFormat="1" ht="13.9" customHeight="1" x14ac:dyDescent="0.2">
      <c r="A921" s="575"/>
      <c r="B921" s="583"/>
      <c r="C921" s="583"/>
      <c r="D921" s="583"/>
      <c r="E921" s="576">
        <v>418.14699999999999</v>
      </c>
      <c r="F921" s="576">
        <f>+CEILING(E921,5)</f>
        <v>420</v>
      </c>
      <c r="G921" s="575"/>
      <c r="H921" s="575">
        <f>F921*36</f>
        <v>15120</v>
      </c>
      <c r="I921" s="577">
        <f>F921</f>
        <v>420</v>
      </c>
      <c r="J921" s="580"/>
      <c r="K921" s="578"/>
      <c r="L921" s="580"/>
      <c r="M921" s="578"/>
      <c r="N921" s="580"/>
      <c r="O921" s="580"/>
      <c r="P921" s="580"/>
      <c r="Q921" s="580"/>
      <c r="R921" s="578">
        <v>42</v>
      </c>
      <c r="S921" s="580"/>
      <c r="T921" s="580"/>
      <c r="U921" s="580"/>
      <c r="V921" s="575"/>
      <c r="W921" s="575"/>
      <c r="X921" s="580"/>
      <c r="Y921" s="580"/>
      <c r="Z921" s="575"/>
      <c r="AA921" s="583"/>
    </row>
    <row r="922" spans="1:27" s="584" customFormat="1" ht="13.9" customHeight="1" x14ac:dyDescent="0.2">
      <c r="A922" s="575">
        <f>A920+1</f>
        <v>458</v>
      </c>
      <c r="B922" s="583" t="s">
        <v>840</v>
      </c>
      <c r="C922" s="583" t="s">
        <v>20</v>
      </c>
      <c r="D922" s="583"/>
      <c r="E922" s="576"/>
      <c r="F922" s="576"/>
      <c r="G922" s="575"/>
      <c r="H922" s="575"/>
      <c r="I922" s="577"/>
      <c r="J922" s="580"/>
      <c r="K922" s="578">
        <f>(M922*4+N922*2)/2</f>
        <v>12</v>
      </c>
      <c r="L922" s="578"/>
      <c r="M922" s="578">
        <v>6</v>
      </c>
      <c r="N922" s="579"/>
      <c r="O922" s="579"/>
      <c r="P922" s="579"/>
      <c r="Q922" s="579"/>
      <c r="R922" s="579"/>
      <c r="S922" s="579"/>
      <c r="T922" s="579"/>
      <c r="U922" s="575"/>
      <c r="V922" s="575">
        <v>1</v>
      </c>
      <c r="W922" s="575">
        <v>1</v>
      </c>
      <c r="X922" s="575"/>
      <c r="Y922" s="575"/>
      <c r="Z922" s="575">
        <v>2</v>
      </c>
      <c r="AA922" s="583"/>
    </row>
    <row r="923" spans="1:27" s="584" customFormat="1" ht="13.9" customHeight="1" x14ac:dyDescent="0.2">
      <c r="A923" s="575"/>
      <c r="B923" s="583"/>
      <c r="C923" s="583"/>
      <c r="D923" s="583"/>
      <c r="E923" s="576">
        <v>414.142</v>
      </c>
      <c r="F923" s="576">
        <f>+CEILING(E923,5)</f>
        <v>415</v>
      </c>
      <c r="G923" s="575"/>
      <c r="H923" s="575">
        <f>F923*36</f>
        <v>14940</v>
      </c>
      <c r="I923" s="577">
        <f>F923</f>
        <v>415</v>
      </c>
      <c r="J923" s="580"/>
      <c r="K923" s="578"/>
      <c r="L923" s="580"/>
      <c r="M923" s="578"/>
      <c r="N923" s="580"/>
      <c r="O923" s="580"/>
      <c r="P923" s="580"/>
      <c r="Q923" s="580"/>
      <c r="R923" s="578">
        <v>42</v>
      </c>
      <c r="S923" s="580"/>
      <c r="T923" s="580"/>
      <c r="U923" s="580"/>
      <c r="V923" s="575"/>
      <c r="W923" s="575"/>
      <c r="X923" s="580"/>
      <c r="Y923" s="580"/>
      <c r="Z923" s="575"/>
      <c r="AA923" s="583"/>
    </row>
    <row r="924" spans="1:27" s="584" customFormat="1" ht="13.9" customHeight="1" x14ac:dyDescent="0.2">
      <c r="A924" s="575">
        <f>A922+1</f>
        <v>459</v>
      </c>
      <c r="B924" s="583" t="s">
        <v>841</v>
      </c>
      <c r="C924" s="583" t="s">
        <v>20</v>
      </c>
      <c r="D924" s="583"/>
      <c r="E924" s="576"/>
      <c r="F924" s="576"/>
      <c r="G924" s="575"/>
      <c r="H924" s="575"/>
      <c r="I924" s="577"/>
      <c r="J924" s="580"/>
      <c r="K924" s="578">
        <f>(M924*4+N924*2)/2</f>
        <v>12</v>
      </c>
      <c r="L924" s="578"/>
      <c r="M924" s="578">
        <v>6</v>
      </c>
      <c r="N924" s="579"/>
      <c r="O924" s="579"/>
      <c r="P924" s="579"/>
      <c r="Q924" s="579"/>
      <c r="R924" s="579"/>
      <c r="S924" s="579"/>
      <c r="T924" s="579"/>
      <c r="U924" s="575"/>
      <c r="V924" s="575">
        <v>1</v>
      </c>
      <c r="W924" s="575">
        <v>1</v>
      </c>
      <c r="X924" s="575"/>
      <c r="Y924" s="575"/>
      <c r="Z924" s="575">
        <v>2</v>
      </c>
      <c r="AA924" s="583"/>
    </row>
    <row r="925" spans="1:27" s="584" customFormat="1" ht="13.9" customHeight="1" x14ac:dyDescent="0.2">
      <c r="A925" s="575"/>
      <c r="B925" s="583"/>
      <c r="C925" s="583"/>
      <c r="D925" s="583"/>
      <c r="E925" s="576">
        <v>406.07299999999998</v>
      </c>
      <c r="F925" s="576">
        <f>+CEILING(E925,5)</f>
        <v>410</v>
      </c>
      <c r="G925" s="575"/>
      <c r="H925" s="575">
        <f>F925*36</f>
        <v>14760</v>
      </c>
      <c r="I925" s="577">
        <f>F925</f>
        <v>410</v>
      </c>
      <c r="J925" s="580"/>
      <c r="K925" s="578"/>
      <c r="L925" s="580"/>
      <c r="M925" s="578"/>
      <c r="N925" s="580"/>
      <c r="O925" s="580"/>
      <c r="P925" s="580"/>
      <c r="Q925" s="580"/>
      <c r="R925" s="578">
        <v>42</v>
      </c>
      <c r="S925" s="580"/>
      <c r="T925" s="580"/>
      <c r="U925" s="580"/>
      <c r="V925" s="575"/>
      <c r="W925" s="575"/>
      <c r="X925" s="580"/>
      <c r="Y925" s="580"/>
      <c r="Z925" s="575"/>
      <c r="AA925" s="583"/>
    </row>
    <row r="926" spans="1:27" s="584" customFormat="1" ht="13.9" customHeight="1" x14ac:dyDescent="0.2">
      <c r="A926" s="575">
        <f>A924+1</f>
        <v>460</v>
      </c>
      <c r="B926" s="583" t="s">
        <v>842</v>
      </c>
      <c r="C926" s="583" t="s">
        <v>20</v>
      </c>
      <c r="D926" s="583"/>
      <c r="E926" s="576"/>
      <c r="F926" s="576"/>
      <c r="G926" s="575"/>
      <c r="H926" s="575"/>
      <c r="I926" s="577"/>
      <c r="J926" s="580"/>
      <c r="K926" s="578">
        <f>(M926*4+N926*2)/2</f>
        <v>12</v>
      </c>
      <c r="L926" s="578"/>
      <c r="M926" s="578">
        <v>6</v>
      </c>
      <c r="N926" s="579"/>
      <c r="O926" s="579"/>
      <c r="P926" s="579"/>
      <c r="Q926" s="579"/>
      <c r="R926" s="579"/>
      <c r="S926" s="579"/>
      <c r="T926" s="579"/>
      <c r="U926" s="575"/>
      <c r="V926" s="575">
        <v>1</v>
      </c>
      <c r="W926" s="575">
        <v>1</v>
      </c>
      <c r="X926" s="575"/>
      <c r="Y926" s="575"/>
      <c r="Z926" s="575">
        <v>2</v>
      </c>
      <c r="AA926" s="583"/>
    </row>
    <row r="927" spans="1:27" s="584" customFormat="1" ht="13.9" customHeight="1" x14ac:dyDescent="0.2">
      <c r="A927" s="575"/>
      <c r="B927" s="583"/>
      <c r="C927" s="583"/>
      <c r="D927" s="583"/>
      <c r="E927" s="576">
        <v>408.56599999999997</v>
      </c>
      <c r="F927" s="576">
        <f>+CEILING(E927,5)</f>
        <v>410</v>
      </c>
      <c r="G927" s="575"/>
      <c r="H927" s="575">
        <f>F927*36</f>
        <v>14760</v>
      </c>
      <c r="I927" s="577">
        <f>F927</f>
        <v>410</v>
      </c>
      <c r="J927" s="580"/>
      <c r="K927" s="578"/>
      <c r="L927" s="580"/>
      <c r="M927" s="578"/>
      <c r="N927" s="580"/>
      <c r="O927" s="580"/>
      <c r="P927" s="580"/>
      <c r="Q927" s="580"/>
      <c r="R927" s="578">
        <v>42</v>
      </c>
      <c r="S927" s="580"/>
      <c r="T927" s="580"/>
      <c r="U927" s="580"/>
      <c r="V927" s="575"/>
      <c r="W927" s="575"/>
      <c r="X927" s="580"/>
      <c r="Y927" s="580"/>
      <c r="Z927" s="575"/>
      <c r="AA927" s="583"/>
    </row>
    <row r="928" spans="1:27" s="584" customFormat="1" ht="13.9" customHeight="1" x14ac:dyDescent="0.2">
      <c r="A928" s="575">
        <f>A926+1</f>
        <v>461</v>
      </c>
      <c r="B928" s="583" t="s">
        <v>843</v>
      </c>
      <c r="C928" s="583" t="s">
        <v>20</v>
      </c>
      <c r="D928" s="583"/>
      <c r="E928" s="576"/>
      <c r="F928" s="576"/>
      <c r="G928" s="575"/>
      <c r="H928" s="575"/>
      <c r="I928" s="577"/>
      <c r="J928" s="580"/>
      <c r="K928" s="578">
        <f>(M928*4+N928*2)/2</f>
        <v>12</v>
      </c>
      <c r="L928" s="578"/>
      <c r="M928" s="578">
        <v>6</v>
      </c>
      <c r="N928" s="579"/>
      <c r="O928" s="579"/>
      <c r="P928" s="579"/>
      <c r="Q928" s="579"/>
      <c r="R928" s="579"/>
      <c r="S928" s="579"/>
      <c r="T928" s="579"/>
      <c r="U928" s="575"/>
      <c r="V928" s="575">
        <v>1</v>
      </c>
      <c r="W928" s="575">
        <v>1</v>
      </c>
      <c r="X928" s="575"/>
      <c r="Y928" s="575"/>
      <c r="Z928" s="575">
        <v>2</v>
      </c>
      <c r="AA928" s="583"/>
    </row>
    <row r="929" spans="1:27" s="584" customFormat="1" ht="13.9" customHeight="1" x14ac:dyDescent="0.2">
      <c r="A929" s="575"/>
      <c r="B929" s="583"/>
      <c r="C929" s="583"/>
      <c r="D929" s="583"/>
      <c r="E929" s="576">
        <v>420.44400000000002</v>
      </c>
      <c r="F929" s="576">
        <f>+CEILING(E929,5)</f>
        <v>425</v>
      </c>
      <c r="G929" s="575"/>
      <c r="H929" s="575">
        <f>F929*36</f>
        <v>15300</v>
      </c>
      <c r="I929" s="577">
        <f>F929</f>
        <v>425</v>
      </c>
      <c r="J929" s="580"/>
      <c r="K929" s="578"/>
      <c r="L929" s="580"/>
      <c r="M929" s="578"/>
      <c r="N929" s="580"/>
      <c r="O929" s="580"/>
      <c r="P929" s="580"/>
      <c r="Q929" s="580"/>
      <c r="R929" s="578">
        <v>42</v>
      </c>
      <c r="S929" s="580"/>
      <c r="T929" s="580"/>
      <c r="U929" s="580"/>
      <c r="V929" s="575"/>
      <c r="W929" s="575"/>
      <c r="X929" s="580"/>
      <c r="Y929" s="580"/>
      <c r="Z929" s="575"/>
      <c r="AA929" s="583"/>
    </row>
    <row r="930" spans="1:27" s="584" customFormat="1" x14ac:dyDescent="0.2">
      <c r="A930" s="575">
        <f>A928+1</f>
        <v>462</v>
      </c>
      <c r="B930" s="583" t="s">
        <v>106</v>
      </c>
      <c r="C930" s="583" t="s">
        <v>249</v>
      </c>
      <c r="D930" s="583" t="s">
        <v>1144</v>
      </c>
      <c r="E930" s="576"/>
      <c r="F930" s="576"/>
      <c r="G930" s="575"/>
      <c r="H930" s="575"/>
      <c r="I930" s="577"/>
      <c r="J930" s="578">
        <v>48</v>
      </c>
      <c r="K930" s="580"/>
      <c r="L930" s="578">
        <v>12</v>
      </c>
      <c r="M930" s="580"/>
      <c r="N930" s="580"/>
      <c r="O930" s="580"/>
      <c r="P930" s="580"/>
      <c r="Q930" s="580"/>
      <c r="R930" s="579"/>
      <c r="S930" s="575">
        <v>30</v>
      </c>
      <c r="T930" s="580"/>
      <c r="U930" s="575">
        <v>2</v>
      </c>
      <c r="V930" s="580"/>
      <c r="W930" s="575">
        <v>2</v>
      </c>
      <c r="X930" s="580"/>
      <c r="Y930" s="580"/>
      <c r="Z930" s="575">
        <v>4</v>
      </c>
      <c r="AA930" s="583"/>
    </row>
    <row r="931" spans="1:27" s="584" customFormat="1" ht="13.9" customHeight="1" x14ac:dyDescent="0.2">
      <c r="A931" s="575"/>
      <c r="B931" s="583"/>
      <c r="C931" s="583"/>
      <c r="D931" s="583"/>
      <c r="E931" s="576">
        <v>398.637</v>
      </c>
      <c r="F931" s="576">
        <f>+CEILING(E931,5)</f>
        <v>400</v>
      </c>
      <c r="G931" s="575"/>
      <c r="H931" s="575">
        <f>F931*36</f>
        <v>14400</v>
      </c>
      <c r="I931" s="577">
        <f>F931</f>
        <v>400</v>
      </c>
      <c r="J931" s="580"/>
      <c r="K931" s="578"/>
      <c r="L931" s="580"/>
      <c r="M931" s="578"/>
      <c r="N931" s="580"/>
      <c r="O931" s="580"/>
      <c r="P931" s="580"/>
      <c r="Q931" s="580"/>
      <c r="R931" s="578">
        <v>42</v>
      </c>
      <c r="S931" s="580"/>
      <c r="T931" s="580"/>
      <c r="U931" s="580"/>
      <c r="V931" s="575"/>
      <c r="W931" s="575"/>
      <c r="X931" s="580"/>
      <c r="Y931" s="580"/>
      <c r="Z931" s="575"/>
      <c r="AA931" s="583"/>
    </row>
    <row r="932" spans="1:27" s="584" customFormat="1" ht="13.9" customHeight="1" x14ac:dyDescent="0.2">
      <c r="A932" s="575">
        <f>A930+1</f>
        <v>463</v>
      </c>
      <c r="B932" s="583" t="s">
        <v>844</v>
      </c>
      <c r="C932" s="583" t="s">
        <v>20</v>
      </c>
      <c r="D932" s="583"/>
      <c r="E932" s="576"/>
      <c r="F932" s="576"/>
      <c r="G932" s="575"/>
      <c r="H932" s="575"/>
      <c r="I932" s="577"/>
      <c r="J932" s="580"/>
      <c r="K932" s="578">
        <f>(M932*4+N932*2)/2</f>
        <v>12</v>
      </c>
      <c r="L932" s="578"/>
      <c r="M932" s="578">
        <v>6</v>
      </c>
      <c r="N932" s="579"/>
      <c r="O932" s="579"/>
      <c r="P932" s="579"/>
      <c r="Q932" s="579"/>
      <c r="R932" s="579"/>
      <c r="S932" s="579"/>
      <c r="T932" s="579"/>
      <c r="U932" s="575"/>
      <c r="V932" s="575">
        <v>1</v>
      </c>
      <c r="W932" s="575">
        <v>1</v>
      </c>
      <c r="X932" s="575"/>
      <c r="Y932" s="575"/>
      <c r="Z932" s="575">
        <v>2</v>
      </c>
      <c r="AA932" s="583"/>
    </row>
    <row r="933" spans="1:27" s="584" customFormat="1" ht="13.9" customHeight="1" x14ac:dyDescent="0.2">
      <c r="A933" s="575"/>
      <c r="B933" s="583"/>
      <c r="C933" s="583"/>
      <c r="D933" s="583"/>
      <c r="E933" s="576">
        <v>414.33</v>
      </c>
      <c r="F933" s="576">
        <f>+CEILING(E933,5)</f>
        <v>415</v>
      </c>
      <c r="G933" s="575"/>
      <c r="H933" s="575">
        <f>F933*36</f>
        <v>14940</v>
      </c>
      <c r="I933" s="577">
        <f>F933</f>
        <v>415</v>
      </c>
      <c r="J933" s="582"/>
      <c r="K933" s="580"/>
      <c r="L933" s="582"/>
      <c r="M933" s="580"/>
      <c r="N933" s="580"/>
      <c r="O933" s="580"/>
      <c r="P933" s="580"/>
      <c r="Q933" s="580"/>
      <c r="R933" s="578">
        <v>42</v>
      </c>
      <c r="S933" s="579"/>
      <c r="T933" s="580"/>
      <c r="U933" s="575"/>
      <c r="V933" s="580"/>
      <c r="W933" s="575"/>
      <c r="X933" s="580"/>
      <c r="Y933" s="580"/>
      <c r="Z933" s="575"/>
      <c r="AA933" s="583"/>
    </row>
    <row r="934" spans="1:27" s="584" customFormat="1" ht="13.9" customHeight="1" x14ac:dyDescent="0.2">
      <c r="A934" s="575">
        <f>A932+1</f>
        <v>464</v>
      </c>
      <c r="B934" s="583" t="s">
        <v>845</v>
      </c>
      <c r="C934" s="583" t="s">
        <v>20</v>
      </c>
      <c r="D934" s="583"/>
      <c r="E934" s="576"/>
      <c r="F934" s="576"/>
      <c r="G934" s="575"/>
      <c r="H934" s="575"/>
      <c r="I934" s="577"/>
      <c r="J934" s="580"/>
      <c r="K934" s="578">
        <f>(M934*4+N934*2)/2</f>
        <v>12</v>
      </c>
      <c r="L934" s="578"/>
      <c r="M934" s="578">
        <v>6</v>
      </c>
      <c r="N934" s="579"/>
      <c r="O934" s="579"/>
      <c r="P934" s="579"/>
      <c r="Q934" s="579"/>
      <c r="R934" s="579"/>
      <c r="S934" s="579"/>
      <c r="T934" s="579"/>
      <c r="U934" s="575"/>
      <c r="V934" s="575">
        <v>1</v>
      </c>
      <c r="W934" s="575">
        <v>1</v>
      </c>
      <c r="X934" s="575"/>
      <c r="Y934" s="575"/>
      <c r="Z934" s="575">
        <v>2</v>
      </c>
      <c r="AA934" s="583"/>
    </row>
    <row r="935" spans="1:27" s="584" customFormat="1" ht="13.9" customHeight="1" x14ac:dyDescent="0.2">
      <c r="A935" s="575"/>
      <c r="B935" s="583"/>
      <c r="C935" s="583"/>
      <c r="D935" s="583"/>
      <c r="E935" s="576">
        <v>413.012</v>
      </c>
      <c r="F935" s="576">
        <f>+CEILING(E935,5)</f>
        <v>415</v>
      </c>
      <c r="G935" s="575"/>
      <c r="H935" s="575">
        <f>F935*36</f>
        <v>14940</v>
      </c>
      <c r="I935" s="577">
        <f>F935</f>
        <v>415</v>
      </c>
      <c r="J935" s="580"/>
      <c r="K935" s="578"/>
      <c r="L935" s="580"/>
      <c r="M935" s="578"/>
      <c r="N935" s="580"/>
      <c r="O935" s="580"/>
      <c r="P935" s="580"/>
      <c r="Q935" s="580"/>
      <c r="R935" s="578">
        <v>42</v>
      </c>
      <c r="S935" s="580"/>
      <c r="T935" s="580"/>
      <c r="U935" s="580"/>
      <c r="V935" s="575"/>
      <c r="W935" s="575"/>
      <c r="X935" s="580"/>
      <c r="Y935" s="580"/>
      <c r="Z935" s="575"/>
      <c r="AA935" s="583"/>
    </row>
    <row r="936" spans="1:27" s="584" customFormat="1" ht="13.9" customHeight="1" x14ac:dyDescent="0.2">
      <c r="A936" s="575">
        <f>A934+1</f>
        <v>465</v>
      </c>
      <c r="B936" s="583" t="s">
        <v>846</v>
      </c>
      <c r="C936" s="583" t="s">
        <v>232</v>
      </c>
      <c r="D936" s="583"/>
      <c r="E936" s="576"/>
      <c r="F936" s="576"/>
      <c r="G936" s="575"/>
      <c r="H936" s="575"/>
      <c r="I936" s="577"/>
      <c r="J936" s="580"/>
      <c r="K936" s="578">
        <f>(M936*4+N936*2)/2</f>
        <v>12</v>
      </c>
      <c r="L936" s="578"/>
      <c r="M936" s="578">
        <v>6</v>
      </c>
      <c r="N936" s="579"/>
      <c r="O936" s="579"/>
      <c r="P936" s="579"/>
      <c r="Q936" s="579"/>
      <c r="R936" s="579"/>
      <c r="S936" s="579"/>
      <c r="T936" s="579"/>
      <c r="U936" s="575"/>
      <c r="V936" s="575">
        <v>1</v>
      </c>
      <c r="W936" s="575">
        <v>1</v>
      </c>
      <c r="X936" s="575"/>
      <c r="Y936" s="575"/>
      <c r="Z936" s="575">
        <v>2</v>
      </c>
      <c r="AA936" s="583"/>
    </row>
    <row r="937" spans="1:27" s="584" customFormat="1" ht="13.9" customHeight="1" x14ac:dyDescent="0.2">
      <c r="A937" s="575"/>
      <c r="B937" s="583"/>
      <c r="C937" s="583"/>
      <c r="D937" s="583"/>
      <c r="E937" s="576">
        <v>367.65800000000002</v>
      </c>
      <c r="F937" s="576">
        <f>+CEILING(E937,5)</f>
        <v>370</v>
      </c>
      <c r="G937" s="575"/>
      <c r="H937" s="575">
        <f>F937*36</f>
        <v>13320</v>
      </c>
      <c r="I937" s="577">
        <f>F937</f>
        <v>370</v>
      </c>
      <c r="J937" s="580"/>
      <c r="K937" s="578"/>
      <c r="L937" s="580"/>
      <c r="M937" s="578"/>
      <c r="N937" s="580"/>
      <c r="O937" s="580"/>
      <c r="P937" s="580"/>
      <c r="Q937" s="580"/>
      <c r="R937" s="578">
        <v>36</v>
      </c>
      <c r="S937" s="580"/>
      <c r="T937" s="580"/>
      <c r="U937" s="580"/>
      <c r="V937" s="575"/>
      <c r="W937" s="575"/>
      <c r="X937" s="580"/>
      <c r="Y937" s="580"/>
      <c r="Z937" s="575"/>
      <c r="AA937" s="583"/>
    </row>
    <row r="938" spans="1:27" s="584" customFormat="1" ht="13.9" customHeight="1" x14ac:dyDescent="0.2">
      <c r="A938" s="575">
        <f>A936+1</f>
        <v>466</v>
      </c>
      <c r="B938" s="583" t="s">
        <v>847</v>
      </c>
      <c r="C938" s="583" t="s">
        <v>20</v>
      </c>
      <c r="D938" s="583"/>
      <c r="E938" s="576"/>
      <c r="F938" s="576"/>
      <c r="G938" s="575"/>
      <c r="H938" s="575"/>
      <c r="I938" s="577"/>
      <c r="J938" s="580"/>
      <c r="K938" s="578">
        <f>(M938*4+N938*2)/2</f>
        <v>12</v>
      </c>
      <c r="L938" s="578"/>
      <c r="M938" s="578">
        <v>6</v>
      </c>
      <c r="N938" s="579"/>
      <c r="O938" s="579"/>
      <c r="P938" s="579"/>
      <c r="Q938" s="579"/>
      <c r="R938" s="579"/>
      <c r="S938" s="579"/>
      <c r="T938" s="579"/>
      <c r="U938" s="575"/>
      <c r="V938" s="575">
        <v>1</v>
      </c>
      <c r="W938" s="575">
        <v>1</v>
      </c>
      <c r="X938" s="575"/>
      <c r="Y938" s="575"/>
      <c r="Z938" s="575">
        <v>2</v>
      </c>
      <c r="AA938" s="583"/>
    </row>
    <row r="939" spans="1:27" s="584" customFormat="1" ht="13.9" customHeight="1" x14ac:dyDescent="0.2">
      <c r="A939" s="575"/>
      <c r="B939" s="583"/>
      <c r="C939" s="583"/>
      <c r="D939" s="583"/>
      <c r="E939" s="576">
        <v>429.40899999999999</v>
      </c>
      <c r="F939" s="576">
        <f>+CEILING(E939,5)</f>
        <v>430</v>
      </c>
      <c r="G939" s="575"/>
      <c r="H939" s="575">
        <f>F939*36</f>
        <v>15480</v>
      </c>
      <c r="I939" s="577">
        <f>F939</f>
        <v>430</v>
      </c>
      <c r="J939" s="580"/>
      <c r="K939" s="578"/>
      <c r="L939" s="580"/>
      <c r="M939" s="578"/>
      <c r="N939" s="580"/>
      <c r="O939" s="580"/>
      <c r="P939" s="580"/>
      <c r="Q939" s="580"/>
      <c r="R939" s="578">
        <v>42</v>
      </c>
      <c r="S939" s="580"/>
      <c r="T939" s="580"/>
      <c r="U939" s="580"/>
      <c r="V939" s="575"/>
      <c r="W939" s="575"/>
      <c r="X939" s="580"/>
      <c r="Y939" s="580"/>
      <c r="Z939" s="575"/>
      <c r="AA939" s="583"/>
    </row>
    <row r="940" spans="1:27" s="584" customFormat="1" ht="13.9" customHeight="1" x14ac:dyDescent="0.2">
      <c r="A940" s="575">
        <f>A938+1</f>
        <v>467</v>
      </c>
      <c r="B940" s="583" t="s">
        <v>848</v>
      </c>
      <c r="C940" s="583" t="s">
        <v>20</v>
      </c>
      <c r="D940" s="583"/>
      <c r="E940" s="576"/>
      <c r="F940" s="576"/>
      <c r="G940" s="575"/>
      <c r="H940" s="575"/>
      <c r="I940" s="577"/>
      <c r="J940" s="580"/>
      <c r="K940" s="578">
        <f>(M940*4+N940*2)/2</f>
        <v>12</v>
      </c>
      <c r="L940" s="578"/>
      <c r="M940" s="578">
        <v>6</v>
      </c>
      <c r="N940" s="579"/>
      <c r="O940" s="579"/>
      <c r="P940" s="579"/>
      <c r="Q940" s="579"/>
      <c r="R940" s="579"/>
      <c r="S940" s="579"/>
      <c r="T940" s="579"/>
      <c r="U940" s="575"/>
      <c r="V940" s="575">
        <v>1</v>
      </c>
      <c r="W940" s="575">
        <v>1</v>
      </c>
      <c r="X940" s="575"/>
      <c r="Y940" s="575"/>
      <c r="Z940" s="575">
        <v>2</v>
      </c>
      <c r="AA940" s="583"/>
    </row>
    <row r="941" spans="1:27" s="584" customFormat="1" ht="13.9" customHeight="1" x14ac:dyDescent="0.2">
      <c r="A941" s="575"/>
      <c r="B941" s="583"/>
      <c r="C941" s="583"/>
      <c r="D941" s="583"/>
      <c r="E941" s="576">
        <v>408.03100000000001</v>
      </c>
      <c r="F941" s="576">
        <f>+CEILING(E941,5)</f>
        <v>410</v>
      </c>
      <c r="G941" s="575"/>
      <c r="H941" s="575">
        <f>F941*36</f>
        <v>14760</v>
      </c>
      <c r="I941" s="577">
        <f>F941</f>
        <v>410</v>
      </c>
      <c r="J941" s="580"/>
      <c r="K941" s="578"/>
      <c r="L941" s="580"/>
      <c r="M941" s="578"/>
      <c r="N941" s="580"/>
      <c r="O941" s="580"/>
      <c r="P941" s="580"/>
      <c r="Q941" s="580"/>
      <c r="R941" s="578">
        <v>42</v>
      </c>
      <c r="S941" s="580"/>
      <c r="T941" s="580"/>
      <c r="U941" s="580"/>
      <c r="V941" s="575"/>
      <c r="W941" s="575"/>
      <c r="X941" s="580"/>
      <c r="Y941" s="580"/>
      <c r="Z941" s="575"/>
      <c r="AA941" s="583"/>
    </row>
    <row r="942" spans="1:27" s="584" customFormat="1" ht="13.9" customHeight="1" x14ac:dyDescent="0.2">
      <c r="A942" s="575">
        <f>A940+1</f>
        <v>468</v>
      </c>
      <c r="B942" s="583" t="s">
        <v>849</v>
      </c>
      <c r="C942" s="583" t="s">
        <v>231</v>
      </c>
      <c r="D942" s="583"/>
      <c r="E942" s="576"/>
      <c r="F942" s="576"/>
      <c r="G942" s="575"/>
      <c r="H942" s="575"/>
      <c r="I942" s="577"/>
      <c r="J942" s="580"/>
      <c r="K942" s="578">
        <f>(M942*4+N942*2)/2</f>
        <v>12</v>
      </c>
      <c r="L942" s="578"/>
      <c r="M942" s="578">
        <v>6</v>
      </c>
      <c r="N942" s="579"/>
      <c r="O942" s="579"/>
      <c r="P942" s="579"/>
      <c r="Q942" s="579"/>
      <c r="R942" s="579"/>
      <c r="S942" s="579"/>
      <c r="T942" s="579"/>
      <c r="U942" s="575"/>
      <c r="V942" s="575">
        <v>1</v>
      </c>
      <c r="W942" s="575">
        <v>1</v>
      </c>
      <c r="X942" s="575"/>
      <c r="Y942" s="575"/>
      <c r="Z942" s="575">
        <v>2</v>
      </c>
      <c r="AA942" s="583"/>
    </row>
    <row r="943" spans="1:27" s="584" customFormat="1" ht="13.9" customHeight="1" x14ac:dyDescent="0.2">
      <c r="A943" s="575"/>
      <c r="B943" s="583"/>
      <c r="C943" s="583"/>
      <c r="D943" s="583"/>
      <c r="E943" s="576">
        <v>404.84899999999999</v>
      </c>
      <c r="F943" s="576">
        <f>+CEILING(E943,5)</f>
        <v>405</v>
      </c>
      <c r="G943" s="575"/>
      <c r="H943" s="575">
        <f>F943*36</f>
        <v>14580</v>
      </c>
      <c r="I943" s="577">
        <f>F943</f>
        <v>405</v>
      </c>
      <c r="J943" s="580"/>
      <c r="K943" s="578"/>
      <c r="L943" s="580"/>
      <c r="M943" s="578"/>
      <c r="N943" s="580"/>
      <c r="O943" s="580"/>
      <c r="P943" s="580"/>
      <c r="Q943" s="580"/>
      <c r="R943" s="578">
        <v>42</v>
      </c>
      <c r="S943" s="580"/>
      <c r="T943" s="580"/>
      <c r="U943" s="580"/>
      <c r="V943" s="575"/>
      <c r="W943" s="575"/>
      <c r="X943" s="580"/>
      <c r="Y943" s="580"/>
      <c r="Z943" s="575"/>
      <c r="AA943" s="583"/>
    </row>
    <row r="944" spans="1:27" s="584" customFormat="1" x14ac:dyDescent="0.2">
      <c r="A944" s="575">
        <f>A942+1</f>
        <v>469</v>
      </c>
      <c r="B944" s="583" t="s">
        <v>850</v>
      </c>
      <c r="C944" s="583" t="s">
        <v>20</v>
      </c>
      <c r="D944" s="583"/>
      <c r="E944" s="576"/>
      <c r="F944" s="576"/>
      <c r="G944" s="575"/>
      <c r="H944" s="575"/>
      <c r="I944" s="577"/>
      <c r="J944" s="580"/>
      <c r="K944" s="578">
        <f>(M944*4+N944*2)/2</f>
        <v>12</v>
      </c>
      <c r="L944" s="578"/>
      <c r="M944" s="578">
        <v>6</v>
      </c>
      <c r="N944" s="579"/>
      <c r="O944" s="579"/>
      <c r="P944" s="579"/>
      <c r="Q944" s="579"/>
      <c r="R944" s="579"/>
      <c r="S944" s="579"/>
      <c r="T944" s="579"/>
      <c r="U944" s="575"/>
      <c r="V944" s="575">
        <v>1</v>
      </c>
      <c r="W944" s="575">
        <v>1</v>
      </c>
      <c r="X944" s="575"/>
      <c r="Y944" s="575"/>
      <c r="Z944" s="575">
        <v>2</v>
      </c>
      <c r="AA944" s="583"/>
    </row>
    <row r="945" spans="1:27" s="584" customFormat="1" ht="13.9" customHeight="1" x14ac:dyDescent="0.2">
      <c r="A945" s="575"/>
      <c r="B945" s="583"/>
      <c r="C945" s="583"/>
      <c r="D945" s="583"/>
      <c r="E945" s="576">
        <v>431.601</v>
      </c>
      <c r="F945" s="576">
        <f>+CEILING(E945,5)</f>
        <v>435</v>
      </c>
      <c r="G945" s="575"/>
      <c r="H945" s="575">
        <f>F945*36</f>
        <v>15660</v>
      </c>
      <c r="I945" s="577">
        <f>F945</f>
        <v>435</v>
      </c>
      <c r="J945" s="580"/>
      <c r="K945" s="578"/>
      <c r="L945" s="580"/>
      <c r="M945" s="578"/>
      <c r="N945" s="580"/>
      <c r="O945" s="580"/>
      <c r="P945" s="580"/>
      <c r="Q945" s="580"/>
      <c r="R945" s="578">
        <v>42</v>
      </c>
      <c r="S945" s="580"/>
      <c r="T945" s="580"/>
      <c r="U945" s="580"/>
      <c r="V945" s="575"/>
      <c r="W945" s="575"/>
      <c r="X945" s="580"/>
      <c r="Y945" s="580"/>
      <c r="Z945" s="575"/>
      <c r="AA945" s="583"/>
    </row>
    <row r="946" spans="1:27" s="584" customFormat="1" ht="13.9" customHeight="1" x14ac:dyDescent="0.2">
      <c r="A946" s="575">
        <f>A944+1</f>
        <v>470</v>
      </c>
      <c r="B946" s="583" t="s">
        <v>851</v>
      </c>
      <c r="C946" s="583" t="s">
        <v>20</v>
      </c>
      <c r="D946" s="583"/>
      <c r="E946" s="576"/>
      <c r="F946" s="576"/>
      <c r="G946" s="575"/>
      <c r="H946" s="575"/>
      <c r="I946" s="577"/>
      <c r="J946" s="580"/>
      <c r="K946" s="578">
        <f>(M946*4+N946*2)/2</f>
        <v>12</v>
      </c>
      <c r="L946" s="578"/>
      <c r="M946" s="578">
        <v>6</v>
      </c>
      <c r="N946" s="579"/>
      <c r="O946" s="579"/>
      <c r="P946" s="579"/>
      <c r="Q946" s="579"/>
      <c r="R946" s="579"/>
      <c r="S946" s="579"/>
      <c r="T946" s="579"/>
      <c r="U946" s="575"/>
      <c r="V946" s="575">
        <v>1</v>
      </c>
      <c r="W946" s="575">
        <v>1</v>
      </c>
      <c r="X946" s="575"/>
      <c r="Y946" s="575"/>
      <c r="Z946" s="575">
        <v>2</v>
      </c>
      <c r="AA946" s="583"/>
    </row>
    <row r="947" spans="1:27" s="584" customFormat="1" ht="13.9" customHeight="1" x14ac:dyDescent="0.2">
      <c r="A947" s="575"/>
      <c r="B947" s="583"/>
      <c r="C947" s="583"/>
      <c r="D947" s="583"/>
      <c r="E947" s="576">
        <v>408.37099999999998</v>
      </c>
      <c r="F947" s="576">
        <f>+CEILING(E947,5)</f>
        <v>410</v>
      </c>
      <c r="G947" s="575"/>
      <c r="H947" s="575">
        <f>F947*36</f>
        <v>14760</v>
      </c>
      <c r="I947" s="577">
        <f>F947</f>
        <v>410</v>
      </c>
      <c r="J947" s="580"/>
      <c r="K947" s="578"/>
      <c r="L947" s="580"/>
      <c r="M947" s="578"/>
      <c r="N947" s="580"/>
      <c r="O947" s="580"/>
      <c r="P947" s="580"/>
      <c r="Q947" s="580"/>
      <c r="R947" s="578">
        <v>42</v>
      </c>
      <c r="S947" s="580"/>
      <c r="T947" s="580"/>
      <c r="U947" s="580"/>
      <c r="V947" s="575"/>
      <c r="W947" s="575"/>
      <c r="X947" s="580"/>
      <c r="Y947" s="580"/>
      <c r="Z947" s="575"/>
      <c r="AA947" s="583"/>
    </row>
    <row r="948" spans="1:27" s="584" customFormat="1" ht="13.9" customHeight="1" x14ac:dyDescent="0.2">
      <c r="A948" s="575">
        <f>A946+1</f>
        <v>471</v>
      </c>
      <c r="B948" s="583" t="s">
        <v>852</v>
      </c>
      <c r="C948" s="583" t="s">
        <v>249</v>
      </c>
      <c r="D948" s="583" t="s">
        <v>1145</v>
      </c>
      <c r="E948" s="576"/>
      <c r="F948" s="576"/>
      <c r="G948" s="575"/>
      <c r="H948" s="575"/>
      <c r="I948" s="577"/>
      <c r="J948" s="578">
        <v>48</v>
      </c>
      <c r="K948" s="580"/>
      <c r="L948" s="578">
        <v>12</v>
      </c>
      <c r="M948" s="580"/>
      <c r="N948" s="580"/>
      <c r="O948" s="580"/>
      <c r="P948" s="580"/>
      <c r="Q948" s="580"/>
      <c r="R948" s="579"/>
      <c r="S948" s="575">
        <v>30</v>
      </c>
      <c r="T948" s="580"/>
      <c r="U948" s="575">
        <v>2</v>
      </c>
      <c r="V948" s="580"/>
      <c r="W948" s="575">
        <v>2</v>
      </c>
      <c r="X948" s="580"/>
      <c r="Y948" s="580"/>
      <c r="Z948" s="575">
        <v>4</v>
      </c>
      <c r="AA948" s="583"/>
    </row>
    <row r="949" spans="1:27" s="584" customFormat="1" ht="13.9" customHeight="1" x14ac:dyDescent="0.2">
      <c r="A949" s="575"/>
      <c r="B949" s="583"/>
      <c r="C949" s="583"/>
      <c r="D949" s="583"/>
      <c r="E949" s="576">
        <v>435.26900000000001</v>
      </c>
      <c r="F949" s="576">
        <f>+CEILING(E949,5)</f>
        <v>440</v>
      </c>
      <c r="G949" s="575"/>
      <c r="H949" s="575">
        <f>F949*36</f>
        <v>15840</v>
      </c>
      <c r="I949" s="577">
        <f>F949</f>
        <v>440</v>
      </c>
      <c r="J949" s="580"/>
      <c r="K949" s="578"/>
      <c r="L949" s="580"/>
      <c r="M949" s="578"/>
      <c r="N949" s="580"/>
      <c r="O949" s="580"/>
      <c r="P949" s="580"/>
      <c r="Q949" s="580"/>
      <c r="R949" s="578">
        <v>42</v>
      </c>
      <c r="S949" s="580"/>
      <c r="T949" s="580"/>
      <c r="U949" s="580"/>
      <c r="V949" s="575"/>
      <c r="W949" s="575"/>
      <c r="X949" s="580"/>
      <c r="Y949" s="580"/>
      <c r="Z949" s="575"/>
      <c r="AA949" s="583"/>
    </row>
    <row r="950" spans="1:27" s="584" customFormat="1" ht="13.9" customHeight="1" x14ac:dyDescent="0.2">
      <c r="A950" s="575">
        <f>A948+1</f>
        <v>472</v>
      </c>
      <c r="B950" s="583" t="s">
        <v>853</v>
      </c>
      <c r="C950" s="583" t="s">
        <v>20</v>
      </c>
      <c r="D950" s="583"/>
      <c r="E950" s="576"/>
      <c r="F950" s="576"/>
      <c r="G950" s="575"/>
      <c r="H950" s="575"/>
      <c r="I950" s="577"/>
      <c r="J950" s="580"/>
      <c r="K950" s="578">
        <f>(M950*4+N950*2)/2</f>
        <v>12</v>
      </c>
      <c r="L950" s="578"/>
      <c r="M950" s="578">
        <v>6</v>
      </c>
      <c r="N950" s="579"/>
      <c r="O950" s="579"/>
      <c r="P950" s="579"/>
      <c r="Q950" s="579"/>
      <c r="R950" s="579"/>
      <c r="S950" s="579"/>
      <c r="T950" s="579"/>
      <c r="U950" s="575"/>
      <c r="V950" s="575">
        <v>1</v>
      </c>
      <c r="W950" s="575">
        <v>1</v>
      </c>
      <c r="X950" s="575"/>
      <c r="Y950" s="575"/>
      <c r="Z950" s="575">
        <v>2</v>
      </c>
      <c r="AA950" s="583"/>
    </row>
    <row r="951" spans="1:27" s="584" customFormat="1" ht="13.9" customHeight="1" x14ac:dyDescent="0.2">
      <c r="A951" s="575"/>
      <c r="B951" s="583"/>
      <c r="C951" s="583"/>
      <c r="D951" s="583"/>
      <c r="E951" s="576">
        <v>403.85199999999998</v>
      </c>
      <c r="F951" s="576">
        <f>+CEILING(E951,5)</f>
        <v>405</v>
      </c>
      <c r="G951" s="575"/>
      <c r="H951" s="575">
        <f>F951*36</f>
        <v>14580</v>
      </c>
      <c r="I951" s="577">
        <f>F951</f>
        <v>405</v>
      </c>
      <c r="J951" s="580"/>
      <c r="K951" s="578"/>
      <c r="L951" s="580"/>
      <c r="M951" s="578"/>
      <c r="N951" s="580"/>
      <c r="O951" s="580"/>
      <c r="P951" s="580"/>
      <c r="Q951" s="580"/>
      <c r="R951" s="578">
        <v>42</v>
      </c>
      <c r="S951" s="580"/>
      <c r="T951" s="580"/>
      <c r="U951" s="580"/>
      <c r="V951" s="575"/>
      <c r="W951" s="575"/>
      <c r="X951" s="580"/>
      <c r="Y951" s="580"/>
      <c r="Z951" s="575"/>
      <c r="AA951" s="583"/>
    </row>
    <row r="952" spans="1:27" s="584" customFormat="1" ht="13.9" customHeight="1" x14ac:dyDescent="0.2">
      <c r="A952" s="575">
        <f>A950+1</f>
        <v>473</v>
      </c>
      <c r="B952" s="583" t="s">
        <v>854</v>
      </c>
      <c r="C952" s="583" t="s">
        <v>231</v>
      </c>
      <c r="D952" s="583"/>
      <c r="E952" s="576"/>
      <c r="F952" s="576"/>
      <c r="G952" s="575"/>
      <c r="H952" s="575"/>
      <c r="I952" s="577"/>
      <c r="J952" s="580"/>
      <c r="K952" s="578">
        <f>(M952*4+N952*2)/2</f>
        <v>12</v>
      </c>
      <c r="L952" s="578"/>
      <c r="M952" s="578">
        <v>6</v>
      </c>
      <c r="N952" s="579"/>
      <c r="O952" s="579"/>
      <c r="P952" s="579"/>
      <c r="Q952" s="579"/>
      <c r="R952" s="579"/>
      <c r="S952" s="579"/>
      <c r="T952" s="579"/>
      <c r="U952" s="575"/>
      <c r="V952" s="575">
        <v>1</v>
      </c>
      <c r="W952" s="575">
        <v>1</v>
      </c>
      <c r="X952" s="575"/>
      <c r="Y952" s="575"/>
      <c r="Z952" s="575">
        <v>2</v>
      </c>
      <c r="AA952" s="583"/>
    </row>
    <row r="953" spans="1:27" s="584" customFormat="1" ht="13.9" customHeight="1" x14ac:dyDescent="0.2">
      <c r="A953" s="575"/>
      <c r="B953" s="583"/>
      <c r="C953" s="583"/>
      <c r="D953" s="583"/>
      <c r="E953" s="576">
        <v>389.16699999999997</v>
      </c>
      <c r="F953" s="576">
        <f>+CEILING(E953,5)</f>
        <v>390</v>
      </c>
      <c r="G953" s="575"/>
      <c r="H953" s="575">
        <f>F953*36</f>
        <v>14040</v>
      </c>
      <c r="I953" s="577">
        <f>F953</f>
        <v>390</v>
      </c>
      <c r="J953" s="582"/>
      <c r="K953" s="580"/>
      <c r="L953" s="582"/>
      <c r="M953" s="580"/>
      <c r="N953" s="580"/>
      <c r="O953" s="580"/>
      <c r="P953" s="580"/>
      <c r="Q953" s="580"/>
      <c r="R953" s="578">
        <v>36</v>
      </c>
      <c r="S953" s="579"/>
      <c r="T953" s="580"/>
      <c r="U953" s="575"/>
      <c r="V953" s="580"/>
      <c r="W953" s="575"/>
      <c r="X953" s="580"/>
      <c r="Y953" s="580"/>
      <c r="Z953" s="575"/>
      <c r="AA953" s="583"/>
    </row>
    <row r="954" spans="1:27" s="584" customFormat="1" ht="13.9" customHeight="1" x14ac:dyDescent="0.2">
      <c r="A954" s="575">
        <f>A952+1</f>
        <v>474</v>
      </c>
      <c r="B954" s="583" t="s">
        <v>221</v>
      </c>
      <c r="C954" s="583" t="s">
        <v>20</v>
      </c>
      <c r="D954" s="583"/>
      <c r="E954" s="576"/>
      <c r="F954" s="576"/>
      <c r="G954" s="575"/>
      <c r="H954" s="575"/>
      <c r="I954" s="577"/>
      <c r="J954" s="580"/>
      <c r="K954" s="578">
        <f>(M954*4+N954*2)/2</f>
        <v>12</v>
      </c>
      <c r="L954" s="578"/>
      <c r="M954" s="578">
        <v>6</v>
      </c>
      <c r="N954" s="579"/>
      <c r="O954" s="579"/>
      <c r="P954" s="579"/>
      <c r="Q954" s="579"/>
      <c r="R954" s="579"/>
      <c r="S954" s="579"/>
      <c r="T954" s="579"/>
      <c r="U954" s="575"/>
      <c r="V954" s="575">
        <v>1</v>
      </c>
      <c r="W954" s="575">
        <v>1</v>
      </c>
      <c r="X954" s="575"/>
      <c r="Y954" s="575"/>
      <c r="Z954" s="575">
        <v>2</v>
      </c>
      <c r="AA954" s="583"/>
    </row>
    <row r="955" spans="1:27" s="584" customFormat="1" ht="13.9" customHeight="1" x14ac:dyDescent="0.2">
      <c r="A955" s="575"/>
      <c r="B955" s="583"/>
      <c r="C955" s="583"/>
      <c r="D955" s="583"/>
      <c r="E955" s="576">
        <v>400.08499999999998</v>
      </c>
      <c r="F955" s="576">
        <f>+CEILING(E955,5)</f>
        <v>405</v>
      </c>
      <c r="G955" s="575"/>
      <c r="H955" s="575">
        <f>F955*36</f>
        <v>14580</v>
      </c>
      <c r="I955" s="577">
        <f>F955</f>
        <v>405</v>
      </c>
      <c r="J955" s="580"/>
      <c r="K955" s="578"/>
      <c r="L955" s="580"/>
      <c r="M955" s="578"/>
      <c r="N955" s="580"/>
      <c r="O955" s="580"/>
      <c r="P955" s="580"/>
      <c r="Q955" s="580"/>
      <c r="R955" s="578">
        <v>42</v>
      </c>
      <c r="S955" s="580"/>
      <c r="T955" s="580"/>
      <c r="U955" s="580"/>
      <c r="V955" s="575"/>
      <c r="W955" s="575"/>
      <c r="X955" s="580"/>
      <c r="Y955" s="580"/>
      <c r="Z955" s="575"/>
      <c r="AA955" s="583"/>
    </row>
    <row r="956" spans="1:27" s="584" customFormat="1" ht="13.9" customHeight="1" x14ac:dyDescent="0.2">
      <c r="A956" s="575">
        <f>A954+1</f>
        <v>475</v>
      </c>
      <c r="B956" s="583" t="s">
        <v>855</v>
      </c>
      <c r="C956" s="583" t="s">
        <v>245</v>
      </c>
      <c r="D956" s="583" t="s">
        <v>1146</v>
      </c>
      <c r="E956" s="576"/>
      <c r="F956" s="576"/>
      <c r="G956" s="575"/>
      <c r="H956" s="575"/>
      <c r="I956" s="577"/>
      <c r="J956" s="578">
        <v>48</v>
      </c>
      <c r="K956" s="580"/>
      <c r="L956" s="578">
        <v>12</v>
      </c>
      <c r="M956" s="580"/>
      <c r="N956" s="580"/>
      <c r="O956" s="580"/>
      <c r="P956" s="580"/>
      <c r="Q956" s="580"/>
      <c r="R956" s="579"/>
      <c r="S956" s="575">
        <v>30</v>
      </c>
      <c r="T956" s="580"/>
      <c r="U956" s="575">
        <v>2</v>
      </c>
      <c r="V956" s="580"/>
      <c r="W956" s="575">
        <v>2</v>
      </c>
      <c r="X956" s="580"/>
      <c r="Y956" s="580"/>
      <c r="Z956" s="575">
        <v>4</v>
      </c>
      <c r="AA956" s="583"/>
    </row>
    <row r="957" spans="1:27" s="584" customFormat="1" ht="13.9" customHeight="1" x14ac:dyDescent="0.2">
      <c r="A957" s="575"/>
      <c r="B957" s="583"/>
      <c r="C957" s="583"/>
      <c r="D957" s="583"/>
      <c r="E957" s="576">
        <v>383.33699999999999</v>
      </c>
      <c r="F957" s="576">
        <f>+CEILING(E957,5)</f>
        <v>385</v>
      </c>
      <c r="G957" s="575"/>
      <c r="H957" s="575">
        <f>F957*36</f>
        <v>13860</v>
      </c>
      <c r="I957" s="577">
        <f>F957</f>
        <v>385</v>
      </c>
      <c r="J957" s="580"/>
      <c r="K957" s="578"/>
      <c r="L957" s="580"/>
      <c r="M957" s="578"/>
      <c r="N957" s="580"/>
      <c r="O957" s="580"/>
      <c r="P957" s="580"/>
      <c r="Q957" s="580"/>
      <c r="R957" s="578">
        <v>36</v>
      </c>
      <c r="S957" s="580"/>
      <c r="T957" s="580"/>
      <c r="U957" s="580"/>
      <c r="V957" s="575"/>
      <c r="W957" s="575"/>
      <c r="X957" s="580"/>
      <c r="Y957" s="580"/>
      <c r="Z957" s="575"/>
      <c r="AA957" s="583"/>
    </row>
    <row r="958" spans="1:27" s="584" customFormat="1" x14ac:dyDescent="0.2">
      <c r="A958" s="575">
        <f>A956+1</f>
        <v>476</v>
      </c>
      <c r="B958" s="583" t="s">
        <v>856</v>
      </c>
      <c r="C958" s="583" t="s">
        <v>231</v>
      </c>
      <c r="D958" s="583"/>
      <c r="E958" s="576"/>
      <c r="F958" s="576"/>
      <c r="G958" s="575"/>
      <c r="H958" s="575"/>
      <c r="I958" s="577"/>
      <c r="J958" s="580"/>
      <c r="K958" s="578">
        <f>(M958*4+N958*2)/2</f>
        <v>12</v>
      </c>
      <c r="L958" s="578"/>
      <c r="M958" s="578">
        <v>6</v>
      </c>
      <c r="N958" s="579"/>
      <c r="O958" s="579"/>
      <c r="P958" s="579"/>
      <c r="Q958" s="579"/>
      <c r="R958" s="579"/>
      <c r="S958" s="579"/>
      <c r="T958" s="579"/>
      <c r="U958" s="575"/>
      <c r="V958" s="575">
        <v>1</v>
      </c>
      <c r="W958" s="575">
        <v>1</v>
      </c>
      <c r="X958" s="575"/>
      <c r="Y958" s="575"/>
      <c r="Z958" s="575">
        <v>2</v>
      </c>
      <c r="AA958" s="583"/>
    </row>
    <row r="959" spans="1:27" s="584" customFormat="1" x14ac:dyDescent="0.2">
      <c r="A959" s="575"/>
      <c r="B959" s="583"/>
      <c r="C959" s="583"/>
      <c r="D959" s="583"/>
      <c r="E959" s="576">
        <v>378.99</v>
      </c>
      <c r="F959" s="576">
        <f>+CEILING(E959,5)</f>
        <v>380</v>
      </c>
      <c r="G959" s="575"/>
      <c r="H959" s="575">
        <f>F959*36</f>
        <v>13680</v>
      </c>
      <c r="I959" s="577">
        <f>F959</f>
        <v>380</v>
      </c>
      <c r="J959" s="580"/>
      <c r="K959" s="578"/>
      <c r="L959" s="580"/>
      <c r="M959" s="578"/>
      <c r="N959" s="580"/>
      <c r="O959" s="580"/>
      <c r="P959" s="580"/>
      <c r="Q959" s="580"/>
      <c r="R959" s="578">
        <v>36</v>
      </c>
      <c r="S959" s="580"/>
      <c r="T959" s="580"/>
      <c r="U959" s="580"/>
      <c r="V959" s="575"/>
      <c r="W959" s="575"/>
      <c r="X959" s="580"/>
      <c r="Y959" s="580"/>
      <c r="Z959" s="575"/>
      <c r="AA959" s="583"/>
    </row>
    <row r="960" spans="1:27" s="584" customFormat="1" x14ac:dyDescent="0.2">
      <c r="A960" s="575">
        <f>A958+1</f>
        <v>477</v>
      </c>
      <c r="B960" s="583" t="s">
        <v>857</v>
      </c>
      <c r="C960" s="583" t="s">
        <v>231</v>
      </c>
      <c r="D960" s="583"/>
      <c r="E960" s="576"/>
      <c r="F960" s="576"/>
      <c r="G960" s="575"/>
      <c r="H960" s="575"/>
      <c r="I960" s="577"/>
      <c r="J960" s="580"/>
      <c r="K960" s="578">
        <f>(M960*4+N960*2)/2</f>
        <v>12</v>
      </c>
      <c r="L960" s="578"/>
      <c r="M960" s="578">
        <v>6</v>
      </c>
      <c r="N960" s="579"/>
      <c r="O960" s="579"/>
      <c r="P960" s="579"/>
      <c r="Q960" s="579"/>
      <c r="R960" s="579"/>
      <c r="S960" s="579"/>
      <c r="T960" s="579"/>
      <c r="U960" s="575"/>
      <c r="V960" s="575">
        <v>1</v>
      </c>
      <c r="W960" s="575">
        <v>1</v>
      </c>
      <c r="X960" s="575"/>
      <c r="Y960" s="575"/>
      <c r="Z960" s="575">
        <v>2</v>
      </c>
      <c r="AA960" s="583"/>
    </row>
    <row r="961" spans="1:27" s="584" customFormat="1" ht="13.9" customHeight="1" x14ac:dyDescent="0.2">
      <c r="A961" s="575"/>
      <c r="B961" s="583"/>
      <c r="C961" s="583"/>
      <c r="D961" s="583"/>
      <c r="E961" s="576">
        <v>381.209</v>
      </c>
      <c r="F961" s="576">
        <f>+CEILING(E961,5)</f>
        <v>385</v>
      </c>
      <c r="G961" s="575"/>
      <c r="H961" s="575">
        <f>F961*36</f>
        <v>13860</v>
      </c>
      <c r="I961" s="577">
        <f>F961</f>
        <v>385</v>
      </c>
      <c r="J961" s="580"/>
      <c r="K961" s="578"/>
      <c r="L961" s="580"/>
      <c r="M961" s="578"/>
      <c r="N961" s="580"/>
      <c r="O961" s="580"/>
      <c r="P961" s="580"/>
      <c r="Q961" s="580"/>
      <c r="R961" s="578">
        <v>36</v>
      </c>
      <c r="S961" s="580"/>
      <c r="T961" s="580"/>
      <c r="U961" s="580"/>
      <c r="V961" s="575"/>
      <c r="W961" s="575"/>
      <c r="X961" s="580"/>
      <c r="Y961" s="580"/>
      <c r="Z961" s="575"/>
      <c r="AA961" s="583"/>
    </row>
    <row r="962" spans="1:27" s="584" customFormat="1" ht="13.9" customHeight="1" x14ac:dyDescent="0.2">
      <c r="A962" s="575">
        <f>A960+1</f>
        <v>478</v>
      </c>
      <c r="B962" s="583" t="s">
        <v>858</v>
      </c>
      <c r="C962" s="583" t="s">
        <v>231</v>
      </c>
      <c r="D962" s="583"/>
      <c r="E962" s="576"/>
      <c r="F962" s="576"/>
      <c r="G962" s="575"/>
      <c r="H962" s="575"/>
      <c r="I962" s="577"/>
      <c r="J962" s="580"/>
      <c r="K962" s="578">
        <f>(M962*4+N962*2)/2</f>
        <v>12</v>
      </c>
      <c r="L962" s="578"/>
      <c r="M962" s="578">
        <v>6</v>
      </c>
      <c r="N962" s="579"/>
      <c r="O962" s="579"/>
      <c r="P962" s="579"/>
      <c r="Q962" s="579"/>
      <c r="R962" s="579"/>
      <c r="S962" s="579"/>
      <c r="T962" s="579"/>
      <c r="U962" s="575"/>
      <c r="V962" s="575">
        <v>1</v>
      </c>
      <c r="W962" s="575">
        <v>1</v>
      </c>
      <c r="X962" s="575"/>
      <c r="Y962" s="575"/>
      <c r="Z962" s="575">
        <v>2</v>
      </c>
      <c r="AA962" s="583"/>
    </row>
    <row r="963" spans="1:27" s="584" customFormat="1" ht="13.9" customHeight="1" x14ac:dyDescent="0.2">
      <c r="A963" s="575"/>
      <c r="B963" s="583"/>
      <c r="C963" s="583"/>
      <c r="D963" s="583"/>
      <c r="E963" s="576">
        <v>384.65699999999998</v>
      </c>
      <c r="F963" s="576">
        <f>+CEILING(E963,5)</f>
        <v>385</v>
      </c>
      <c r="G963" s="575"/>
      <c r="H963" s="575">
        <f>F963*36</f>
        <v>13860</v>
      </c>
      <c r="I963" s="577">
        <f>F963</f>
        <v>385</v>
      </c>
      <c r="J963" s="580"/>
      <c r="K963" s="578"/>
      <c r="L963" s="580"/>
      <c r="M963" s="578"/>
      <c r="N963" s="580"/>
      <c r="O963" s="580"/>
      <c r="P963" s="580"/>
      <c r="Q963" s="580"/>
      <c r="R963" s="578">
        <v>36</v>
      </c>
      <c r="S963" s="580"/>
      <c r="T963" s="580"/>
      <c r="U963" s="580"/>
      <c r="V963" s="575"/>
      <c r="W963" s="575"/>
      <c r="X963" s="580"/>
      <c r="Y963" s="580"/>
      <c r="Z963" s="575"/>
      <c r="AA963" s="583"/>
    </row>
    <row r="964" spans="1:27" s="584" customFormat="1" ht="13.9" customHeight="1" x14ac:dyDescent="0.2">
      <c r="A964" s="575">
        <f>A962+1</f>
        <v>479</v>
      </c>
      <c r="B964" s="583" t="s">
        <v>859</v>
      </c>
      <c r="C964" s="583" t="s">
        <v>231</v>
      </c>
      <c r="D964" s="583"/>
      <c r="E964" s="576"/>
      <c r="F964" s="576"/>
      <c r="G964" s="575"/>
      <c r="H964" s="575"/>
      <c r="I964" s="577"/>
      <c r="J964" s="580"/>
      <c r="K964" s="578">
        <f>(M964*4+N964*2)/2</f>
        <v>12</v>
      </c>
      <c r="L964" s="578"/>
      <c r="M964" s="578">
        <v>6</v>
      </c>
      <c r="N964" s="579"/>
      <c r="O964" s="579"/>
      <c r="P964" s="579"/>
      <c r="Q964" s="579"/>
      <c r="R964" s="579"/>
      <c r="S964" s="579"/>
      <c r="T964" s="579"/>
      <c r="U964" s="575"/>
      <c r="V964" s="575">
        <v>1</v>
      </c>
      <c r="W964" s="575">
        <v>1</v>
      </c>
      <c r="X964" s="575"/>
      <c r="Y964" s="575"/>
      <c r="Z964" s="575">
        <v>2</v>
      </c>
      <c r="AA964" s="583"/>
    </row>
    <row r="965" spans="1:27" s="584" customFormat="1" ht="13.9" customHeight="1" x14ac:dyDescent="0.2">
      <c r="A965" s="575"/>
      <c r="B965" s="583"/>
      <c r="C965" s="583"/>
      <c r="D965" s="583"/>
      <c r="E965" s="576">
        <v>368.81599999999997</v>
      </c>
      <c r="F965" s="576">
        <f>+CEILING(E965,5)</f>
        <v>370</v>
      </c>
      <c r="G965" s="575"/>
      <c r="H965" s="575">
        <f>F965*36</f>
        <v>13320</v>
      </c>
      <c r="I965" s="577">
        <f>F965</f>
        <v>370</v>
      </c>
      <c r="J965" s="580"/>
      <c r="K965" s="578"/>
      <c r="L965" s="580"/>
      <c r="M965" s="578"/>
      <c r="N965" s="580"/>
      <c r="O965" s="580"/>
      <c r="P965" s="580"/>
      <c r="Q965" s="580"/>
      <c r="R965" s="578">
        <v>36</v>
      </c>
      <c r="S965" s="580"/>
      <c r="T965" s="580"/>
      <c r="U965" s="580"/>
      <c r="V965" s="575"/>
      <c r="W965" s="575"/>
      <c r="X965" s="580"/>
      <c r="Y965" s="580"/>
      <c r="Z965" s="575"/>
      <c r="AA965" s="583"/>
    </row>
    <row r="966" spans="1:27" s="584" customFormat="1" ht="13.9" customHeight="1" x14ac:dyDescent="0.2">
      <c r="A966" s="575">
        <f>A964+1</f>
        <v>480</v>
      </c>
      <c r="B966" s="583" t="s">
        <v>860</v>
      </c>
      <c r="C966" s="583" t="s">
        <v>231</v>
      </c>
      <c r="D966" s="583"/>
      <c r="E966" s="576"/>
      <c r="F966" s="576"/>
      <c r="G966" s="575"/>
      <c r="H966" s="575"/>
      <c r="I966" s="577"/>
      <c r="J966" s="580"/>
      <c r="K966" s="578">
        <f>(M966*4+N966*2)/2</f>
        <v>12</v>
      </c>
      <c r="L966" s="578"/>
      <c r="M966" s="578">
        <v>6</v>
      </c>
      <c r="N966" s="579"/>
      <c r="O966" s="579"/>
      <c r="P966" s="579"/>
      <c r="Q966" s="579"/>
      <c r="R966" s="579"/>
      <c r="S966" s="579"/>
      <c r="T966" s="579"/>
      <c r="U966" s="575"/>
      <c r="V966" s="575">
        <v>1</v>
      </c>
      <c r="W966" s="575">
        <v>1</v>
      </c>
      <c r="X966" s="575"/>
      <c r="Y966" s="575"/>
      <c r="Z966" s="575">
        <v>2</v>
      </c>
      <c r="AA966" s="583"/>
    </row>
    <row r="967" spans="1:27" s="584" customFormat="1" ht="13.9" customHeight="1" x14ac:dyDescent="0.2">
      <c r="A967" s="575"/>
      <c r="B967" s="583"/>
      <c r="C967" s="583"/>
      <c r="D967" s="583"/>
      <c r="E967" s="576">
        <v>365.47699999999998</v>
      </c>
      <c r="F967" s="576">
        <f>+CEILING(E967,5)</f>
        <v>370</v>
      </c>
      <c r="G967" s="575"/>
      <c r="H967" s="575">
        <f>F967*36</f>
        <v>13320</v>
      </c>
      <c r="I967" s="577">
        <f>F967</f>
        <v>370</v>
      </c>
      <c r="J967" s="580"/>
      <c r="K967" s="578"/>
      <c r="L967" s="580"/>
      <c r="M967" s="578"/>
      <c r="N967" s="580"/>
      <c r="O967" s="580"/>
      <c r="P967" s="580"/>
      <c r="Q967" s="580"/>
      <c r="R967" s="578">
        <v>36</v>
      </c>
      <c r="S967" s="580"/>
      <c r="T967" s="580"/>
      <c r="U967" s="580"/>
      <c r="V967" s="575"/>
      <c r="W967" s="575"/>
      <c r="X967" s="580"/>
      <c r="Y967" s="580"/>
      <c r="Z967" s="575"/>
      <c r="AA967" s="583"/>
    </row>
    <row r="968" spans="1:27" s="584" customFormat="1" x14ac:dyDescent="0.2">
      <c r="A968" s="575">
        <f>A966+1</f>
        <v>481</v>
      </c>
      <c r="B968" s="583" t="s">
        <v>861</v>
      </c>
      <c r="C968" s="583" t="s">
        <v>231</v>
      </c>
      <c r="D968" s="583"/>
      <c r="E968" s="576"/>
      <c r="F968" s="576"/>
      <c r="G968" s="575"/>
      <c r="H968" s="575"/>
      <c r="I968" s="577"/>
      <c r="J968" s="580"/>
      <c r="K968" s="578">
        <f>(M968*4+N968*2)/2</f>
        <v>12</v>
      </c>
      <c r="L968" s="578"/>
      <c r="M968" s="578">
        <v>6</v>
      </c>
      <c r="N968" s="579"/>
      <c r="O968" s="579"/>
      <c r="P968" s="579"/>
      <c r="Q968" s="579"/>
      <c r="R968" s="579"/>
      <c r="S968" s="579"/>
      <c r="T968" s="579"/>
      <c r="U968" s="575"/>
      <c r="V968" s="575">
        <v>1</v>
      </c>
      <c r="W968" s="575">
        <v>1</v>
      </c>
      <c r="X968" s="575"/>
      <c r="Y968" s="575"/>
      <c r="Z968" s="575">
        <v>2</v>
      </c>
      <c r="AA968" s="583"/>
    </row>
    <row r="969" spans="1:27" s="584" customFormat="1" ht="13.9" customHeight="1" x14ac:dyDescent="0.2">
      <c r="A969" s="575"/>
      <c r="B969" s="583"/>
      <c r="C969" s="583"/>
      <c r="D969" s="583"/>
      <c r="E969" s="576">
        <v>392.38600000000002</v>
      </c>
      <c r="F969" s="576">
        <f>+CEILING(E969,5)</f>
        <v>395</v>
      </c>
      <c r="G969" s="575"/>
      <c r="H969" s="575">
        <f>F969*36</f>
        <v>14220</v>
      </c>
      <c r="I969" s="577">
        <f>F969</f>
        <v>395</v>
      </c>
      <c r="J969" s="582"/>
      <c r="K969" s="580"/>
      <c r="L969" s="582"/>
      <c r="M969" s="580"/>
      <c r="N969" s="580"/>
      <c r="O969" s="580"/>
      <c r="P969" s="580"/>
      <c r="Q969" s="580"/>
      <c r="R969" s="578">
        <v>42</v>
      </c>
      <c r="S969" s="579"/>
      <c r="T969" s="580"/>
      <c r="U969" s="575"/>
      <c r="V969" s="580"/>
      <c r="W969" s="575"/>
      <c r="X969" s="580"/>
      <c r="Y969" s="580"/>
      <c r="Z969" s="575"/>
      <c r="AA969" s="583"/>
    </row>
    <row r="970" spans="1:27" s="584" customFormat="1" ht="13.9" customHeight="1" x14ac:dyDescent="0.2">
      <c r="A970" s="575">
        <f>A968+1</f>
        <v>482</v>
      </c>
      <c r="B970" s="583" t="s">
        <v>862</v>
      </c>
      <c r="C970" s="583" t="s">
        <v>231</v>
      </c>
      <c r="D970" s="583"/>
      <c r="E970" s="576"/>
      <c r="F970" s="576"/>
      <c r="G970" s="575"/>
      <c r="H970" s="575"/>
      <c r="I970" s="577"/>
      <c r="J970" s="580"/>
      <c r="K970" s="578">
        <f>(M970*4+N970*2)/2</f>
        <v>12</v>
      </c>
      <c r="L970" s="578"/>
      <c r="M970" s="578">
        <v>6</v>
      </c>
      <c r="N970" s="579"/>
      <c r="O970" s="579"/>
      <c r="P970" s="579"/>
      <c r="Q970" s="579"/>
      <c r="R970" s="579"/>
      <c r="S970" s="579"/>
      <c r="T970" s="579"/>
      <c r="U970" s="575"/>
      <c r="V970" s="575">
        <v>1</v>
      </c>
      <c r="W970" s="575">
        <v>1</v>
      </c>
      <c r="X970" s="575"/>
      <c r="Y970" s="575"/>
      <c r="Z970" s="575">
        <v>2</v>
      </c>
      <c r="AA970" s="583"/>
    </row>
    <row r="971" spans="1:27" s="584" customFormat="1" ht="13.9" customHeight="1" x14ac:dyDescent="0.2">
      <c r="A971" s="575"/>
      <c r="B971" s="583"/>
      <c r="C971" s="583"/>
      <c r="D971" s="583"/>
      <c r="E971" s="576">
        <v>374.923</v>
      </c>
      <c r="F971" s="576">
        <f>+CEILING(E971,5)</f>
        <v>375</v>
      </c>
      <c r="G971" s="575"/>
      <c r="H971" s="575">
        <f>F971*36</f>
        <v>13500</v>
      </c>
      <c r="I971" s="577">
        <f>F971</f>
        <v>375</v>
      </c>
      <c r="J971" s="580"/>
      <c r="K971" s="578"/>
      <c r="L971" s="580"/>
      <c r="M971" s="578"/>
      <c r="N971" s="580"/>
      <c r="O971" s="580"/>
      <c r="P971" s="580"/>
      <c r="Q971" s="580"/>
      <c r="R971" s="578">
        <v>36</v>
      </c>
      <c r="S971" s="580"/>
      <c r="T971" s="580"/>
      <c r="U971" s="580"/>
      <c r="V971" s="575"/>
      <c r="W971" s="575"/>
      <c r="X971" s="580"/>
      <c r="Y971" s="580"/>
      <c r="Z971" s="575"/>
      <c r="AA971" s="583"/>
    </row>
    <row r="972" spans="1:27" s="584" customFormat="1" ht="13.9" customHeight="1" x14ac:dyDescent="0.2">
      <c r="A972" s="575">
        <f>A970+1</f>
        <v>483</v>
      </c>
      <c r="B972" s="583" t="s">
        <v>863</v>
      </c>
      <c r="C972" s="583" t="s">
        <v>20</v>
      </c>
      <c r="D972" s="583"/>
      <c r="E972" s="576"/>
      <c r="F972" s="576"/>
      <c r="G972" s="575"/>
      <c r="H972" s="575"/>
      <c r="I972" s="577"/>
      <c r="J972" s="580"/>
      <c r="K972" s="578">
        <f>(M972*4+N972*2)/2</f>
        <v>12</v>
      </c>
      <c r="L972" s="578"/>
      <c r="M972" s="578">
        <v>6</v>
      </c>
      <c r="N972" s="579"/>
      <c r="O972" s="579"/>
      <c r="P972" s="579"/>
      <c r="Q972" s="579"/>
      <c r="R972" s="579"/>
      <c r="S972" s="579"/>
      <c r="T972" s="579"/>
      <c r="U972" s="575"/>
      <c r="V972" s="575">
        <v>1</v>
      </c>
      <c r="W972" s="575">
        <v>1</v>
      </c>
      <c r="X972" s="575"/>
      <c r="Y972" s="575"/>
      <c r="Z972" s="575">
        <v>2</v>
      </c>
      <c r="AA972" s="583"/>
    </row>
    <row r="973" spans="1:27" s="584" customFormat="1" ht="13.9" customHeight="1" x14ac:dyDescent="0.2">
      <c r="A973" s="575"/>
      <c r="B973" s="583"/>
      <c r="C973" s="583"/>
      <c r="D973" s="583"/>
      <c r="E973" s="576">
        <v>379.52600000000001</v>
      </c>
      <c r="F973" s="576">
        <f>+CEILING(E973,5)</f>
        <v>380</v>
      </c>
      <c r="G973" s="575"/>
      <c r="H973" s="575">
        <f>F973*36</f>
        <v>13680</v>
      </c>
      <c r="I973" s="577">
        <f>F973</f>
        <v>380</v>
      </c>
      <c r="J973" s="580"/>
      <c r="K973" s="578"/>
      <c r="L973" s="580"/>
      <c r="M973" s="578"/>
      <c r="N973" s="580"/>
      <c r="O973" s="580"/>
      <c r="P973" s="580"/>
      <c r="Q973" s="580"/>
      <c r="R973" s="578">
        <v>36</v>
      </c>
      <c r="S973" s="580"/>
      <c r="T973" s="580"/>
      <c r="U973" s="580"/>
      <c r="V973" s="575"/>
      <c r="W973" s="575"/>
      <c r="X973" s="580"/>
      <c r="Y973" s="580"/>
      <c r="Z973" s="575"/>
      <c r="AA973" s="583"/>
    </row>
    <row r="974" spans="1:27" s="584" customFormat="1" ht="13.9" customHeight="1" x14ac:dyDescent="0.2">
      <c r="A974" s="575">
        <f>A972+1</f>
        <v>484</v>
      </c>
      <c r="B974" s="583" t="s">
        <v>864</v>
      </c>
      <c r="C974" s="583" t="s">
        <v>231</v>
      </c>
      <c r="D974" s="583"/>
      <c r="E974" s="576"/>
      <c r="F974" s="576"/>
      <c r="G974" s="575"/>
      <c r="H974" s="575"/>
      <c r="I974" s="577"/>
      <c r="J974" s="580"/>
      <c r="K974" s="578">
        <f>(M974*4+N974*2)/2</f>
        <v>12</v>
      </c>
      <c r="L974" s="578"/>
      <c r="M974" s="578">
        <v>6</v>
      </c>
      <c r="N974" s="579"/>
      <c r="O974" s="579"/>
      <c r="P974" s="579"/>
      <c r="Q974" s="579"/>
      <c r="R974" s="579"/>
      <c r="S974" s="579"/>
      <c r="T974" s="579"/>
      <c r="U974" s="575"/>
      <c r="V974" s="575">
        <v>1</v>
      </c>
      <c r="W974" s="575">
        <v>1</v>
      </c>
      <c r="X974" s="575"/>
      <c r="Y974" s="575"/>
      <c r="Z974" s="575">
        <v>2</v>
      </c>
      <c r="AA974" s="583"/>
    </row>
    <row r="975" spans="1:27" s="584" customFormat="1" ht="13.9" customHeight="1" x14ac:dyDescent="0.2">
      <c r="A975" s="575"/>
      <c r="B975" s="583"/>
      <c r="C975" s="583"/>
      <c r="D975" s="583"/>
      <c r="E975" s="576">
        <v>378.90300000000002</v>
      </c>
      <c r="F975" s="576">
        <f>+CEILING(E975,5)</f>
        <v>380</v>
      </c>
      <c r="G975" s="575"/>
      <c r="H975" s="575">
        <f>F975*36</f>
        <v>13680</v>
      </c>
      <c r="I975" s="577">
        <f>F975</f>
        <v>380</v>
      </c>
      <c r="J975" s="580"/>
      <c r="K975" s="578"/>
      <c r="L975" s="580"/>
      <c r="M975" s="578"/>
      <c r="N975" s="580"/>
      <c r="O975" s="580"/>
      <c r="P975" s="580"/>
      <c r="Q975" s="580"/>
      <c r="R975" s="578">
        <v>36</v>
      </c>
      <c r="S975" s="580"/>
      <c r="T975" s="580"/>
      <c r="U975" s="580"/>
      <c r="V975" s="575"/>
      <c r="W975" s="575"/>
      <c r="X975" s="580"/>
      <c r="Y975" s="580"/>
      <c r="Z975" s="575"/>
      <c r="AA975" s="583"/>
    </row>
    <row r="976" spans="1:27" s="584" customFormat="1" ht="13.9" customHeight="1" x14ac:dyDescent="0.2">
      <c r="A976" s="575">
        <f>A974+1</f>
        <v>485</v>
      </c>
      <c r="B976" s="583" t="s">
        <v>865</v>
      </c>
      <c r="C976" s="583" t="s">
        <v>245</v>
      </c>
      <c r="D976" s="583" t="s">
        <v>1147</v>
      </c>
      <c r="E976" s="583"/>
      <c r="F976" s="576"/>
      <c r="G976" s="575"/>
      <c r="H976" s="575"/>
      <c r="I976" s="577"/>
      <c r="J976" s="578">
        <v>48</v>
      </c>
      <c r="K976" s="580"/>
      <c r="L976" s="578">
        <v>12</v>
      </c>
      <c r="M976" s="580"/>
      <c r="N976" s="580"/>
      <c r="O976" s="580"/>
      <c r="P976" s="580"/>
      <c r="Q976" s="580"/>
      <c r="R976" s="579"/>
      <c r="S976" s="575">
        <v>30</v>
      </c>
      <c r="T976" s="580"/>
      <c r="U976" s="575">
        <v>2</v>
      </c>
      <c r="V976" s="580"/>
      <c r="W976" s="575">
        <v>2</v>
      </c>
      <c r="X976" s="580"/>
      <c r="Y976" s="580"/>
      <c r="Z976" s="575">
        <v>4</v>
      </c>
      <c r="AA976" s="583"/>
    </row>
    <row r="977" spans="1:27" s="584" customFormat="1" x14ac:dyDescent="0.2">
      <c r="A977" s="580"/>
      <c r="B977" s="590"/>
      <c r="C977" s="583"/>
      <c r="D977" s="583"/>
      <c r="E977" s="576"/>
      <c r="F977" s="576"/>
      <c r="G977" s="575"/>
      <c r="H977" s="575"/>
      <c r="I977" s="577"/>
      <c r="J977" s="580"/>
      <c r="K977" s="580"/>
      <c r="L977" s="580"/>
      <c r="M977" s="580"/>
      <c r="N977" s="580"/>
      <c r="O977" s="580"/>
      <c r="P977" s="580"/>
      <c r="Q977" s="580"/>
      <c r="R977" s="579"/>
      <c r="S977" s="580"/>
      <c r="T977" s="580"/>
      <c r="U977" s="580"/>
      <c r="V977" s="580"/>
      <c r="W977" s="580"/>
      <c r="X977" s="580"/>
      <c r="Y977" s="580"/>
      <c r="Z977" s="580"/>
      <c r="AA977" s="583"/>
    </row>
    <row r="978" spans="1:27" s="584" customFormat="1" ht="13.15" customHeight="1" x14ac:dyDescent="0.2">
      <c r="A978" s="580"/>
      <c r="B978" s="590"/>
      <c r="C978" s="583"/>
      <c r="D978" s="583"/>
      <c r="E978" s="576"/>
      <c r="F978" s="580"/>
      <c r="G978" s="575"/>
      <c r="H978" s="580"/>
      <c r="I978" s="580"/>
      <c r="J978" s="582"/>
      <c r="K978" s="580"/>
      <c r="L978" s="582"/>
      <c r="M978" s="580"/>
      <c r="N978" s="580"/>
      <c r="O978" s="580"/>
      <c r="P978" s="580"/>
      <c r="Q978" s="580"/>
      <c r="R978" s="580"/>
      <c r="S978" s="578"/>
      <c r="T978" s="580"/>
      <c r="U978" s="582"/>
      <c r="V978" s="580"/>
      <c r="W978" s="582"/>
      <c r="X978" s="580"/>
      <c r="Y978" s="580"/>
      <c r="Z978" s="582"/>
      <c r="AA978" s="583"/>
    </row>
    <row r="979" spans="1:27" s="584" customFormat="1" ht="22.9" customHeight="1" x14ac:dyDescent="0.2">
      <c r="A979" s="933" t="s">
        <v>19</v>
      </c>
      <c r="B979" s="934"/>
      <c r="C979" s="934"/>
      <c r="D979" s="935"/>
      <c r="E979" s="807">
        <f>SUM(E5:E978)</f>
        <v>191391.81999999998</v>
      </c>
      <c r="F979" s="808"/>
      <c r="G979" s="809"/>
      <c r="H979" s="807">
        <f>SUM(H5:H978)</f>
        <v>6932340</v>
      </c>
      <c r="I979" s="807">
        <f t="shared" ref="I979:AA979" si="0">SUM(I5:I978)</f>
        <v>192565</v>
      </c>
      <c r="J979" s="807">
        <f>SUM(J5:J978)</f>
        <v>4272</v>
      </c>
      <c r="K979" s="807">
        <f t="shared" si="0"/>
        <v>4876</v>
      </c>
      <c r="L979" s="807">
        <f t="shared" si="0"/>
        <v>1068</v>
      </c>
      <c r="M979" s="807">
        <f t="shared" si="0"/>
        <v>2382</v>
      </c>
      <c r="N979" s="807">
        <f t="shared" si="0"/>
        <v>106</v>
      </c>
      <c r="O979" s="807">
        <f>SUM(O5:O978)</f>
        <v>4</v>
      </c>
      <c r="P979" s="807">
        <f t="shared" si="0"/>
        <v>0</v>
      </c>
      <c r="Q979" s="807">
        <f t="shared" si="0"/>
        <v>0</v>
      </c>
      <c r="R979" s="807">
        <f t="shared" si="0"/>
        <v>19188</v>
      </c>
      <c r="S979" s="807">
        <f t="shared" si="0"/>
        <v>2670</v>
      </c>
      <c r="T979" s="807">
        <f t="shared" si="0"/>
        <v>72</v>
      </c>
      <c r="U979" s="807">
        <f t="shared" si="0"/>
        <v>178</v>
      </c>
      <c r="V979" s="807">
        <f t="shared" si="0"/>
        <v>397</v>
      </c>
      <c r="W979" s="807">
        <f t="shared" si="0"/>
        <v>574</v>
      </c>
      <c r="X979" s="807">
        <f t="shared" si="0"/>
        <v>0</v>
      </c>
      <c r="Y979" s="807">
        <f t="shared" si="0"/>
        <v>0</v>
      </c>
      <c r="Z979" s="807">
        <f t="shared" si="0"/>
        <v>1150</v>
      </c>
      <c r="AA979" s="807">
        <f t="shared" si="0"/>
        <v>0</v>
      </c>
    </row>
    <row r="980" spans="1:27" x14ac:dyDescent="0.25">
      <c r="A980" s="930" t="s">
        <v>1743</v>
      </c>
      <c r="B980" s="930"/>
      <c r="C980" s="930"/>
      <c r="D980" s="930"/>
      <c r="E980" s="930"/>
      <c r="F980" s="930"/>
      <c r="G980" s="930"/>
      <c r="H980" s="580"/>
      <c r="I980" s="580"/>
      <c r="J980" s="580"/>
      <c r="K980" s="580"/>
      <c r="L980" s="580">
        <v>1002</v>
      </c>
      <c r="M980" s="580">
        <v>2394</v>
      </c>
      <c r="N980" s="580">
        <v>164</v>
      </c>
      <c r="O980" s="580">
        <v>4</v>
      </c>
      <c r="P980" s="580">
        <v>3827</v>
      </c>
      <c r="Q980" s="580">
        <v>1276</v>
      </c>
      <c r="R980" s="580">
        <v>15372</v>
      </c>
      <c r="S980" s="580">
        <v>1401</v>
      </c>
      <c r="T980" s="580">
        <v>72</v>
      </c>
      <c r="U980" s="580">
        <v>83</v>
      </c>
      <c r="V980" s="580">
        <v>399</v>
      </c>
      <c r="W980" s="580">
        <v>399</v>
      </c>
      <c r="X980" s="580">
        <v>100</v>
      </c>
      <c r="Y980" s="580">
        <v>32</v>
      </c>
      <c r="Z980" s="580">
        <v>1130</v>
      </c>
      <c r="AA980" s="583"/>
    </row>
    <row r="981" spans="1:27" x14ac:dyDescent="0.25">
      <c r="A981" s="930" t="s">
        <v>1740</v>
      </c>
      <c r="B981" s="930"/>
      <c r="C981" s="930"/>
      <c r="D981" s="930"/>
      <c r="E981" s="930"/>
      <c r="F981" s="930"/>
      <c r="G981" s="930"/>
      <c r="H981" s="580"/>
      <c r="I981" s="580"/>
      <c r="J981" s="580"/>
      <c r="K981" s="580"/>
      <c r="L981" s="580">
        <f>61+2+38+1</f>
        <v>102</v>
      </c>
      <c r="M981" s="580">
        <v>24</v>
      </c>
      <c r="N981" s="580"/>
      <c r="O981" s="580"/>
      <c r="P981" s="580">
        <v>60</v>
      </c>
      <c r="Q981" s="580">
        <v>76</v>
      </c>
      <c r="R981" s="580">
        <f>936+936+936+936+936+444</f>
        <v>5124</v>
      </c>
      <c r="S981" s="580">
        <f>560+546+140</f>
        <v>1246</v>
      </c>
      <c r="T981" s="580">
        <v>5</v>
      </c>
      <c r="U981" s="580">
        <v>102</v>
      </c>
      <c r="V981" s="580">
        <v>258</v>
      </c>
      <c r="W981" s="580">
        <v>179</v>
      </c>
      <c r="X981" s="580">
        <v>74</v>
      </c>
      <c r="Y981" s="580">
        <v>69</v>
      </c>
      <c r="Z981" s="580">
        <f>38+32</f>
        <v>70</v>
      </c>
      <c r="AA981" s="583"/>
    </row>
    <row r="982" spans="1:27" s="803" customFormat="1" x14ac:dyDescent="0.25">
      <c r="A982" s="931" t="s">
        <v>19</v>
      </c>
      <c r="B982" s="931"/>
      <c r="C982" s="931"/>
      <c r="D982" s="931"/>
      <c r="E982" s="931"/>
      <c r="F982" s="931"/>
      <c r="G982" s="931"/>
      <c r="H982" s="805">
        <f>+H980+H981</f>
        <v>0</v>
      </c>
      <c r="I982" s="805">
        <f t="shared" ref="I982:Z982" si="1">+I980+I981</f>
        <v>0</v>
      </c>
      <c r="J982" s="805">
        <f t="shared" si="1"/>
        <v>0</v>
      </c>
      <c r="K982" s="805">
        <f t="shared" si="1"/>
        <v>0</v>
      </c>
      <c r="L982" s="805">
        <f t="shared" si="1"/>
        <v>1104</v>
      </c>
      <c r="M982" s="805">
        <f t="shared" si="1"/>
        <v>2418</v>
      </c>
      <c r="N982" s="805">
        <f t="shared" si="1"/>
        <v>164</v>
      </c>
      <c r="O982" s="805">
        <f t="shared" si="1"/>
        <v>4</v>
      </c>
      <c r="P982" s="805">
        <f t="shared" si="1"/>
        <v>3887</v>
      </c>
      <c r="Q982" s="805">
        <f t="shared" si="1"/>
        <v>1352</v>
      </c>
      <c r="R982" s="805">
        <f t="shared" si="1"/>
        <v>20496</v>
      </c>
      <c r="S982" s="805">
        <f t="shared" si="1"/>
        <v>2647</v>
      </c>
      <c r="T982" s="805">
        <f t="shared" si="1"/>
        <v>77</v>
      </c>
      <c r="U982" s="805">
        <f t="shared" si="1"/>
        <v>185</v>
      </c>
      <c r="V982" s="805">
        <f t="shared" si="1"/>
        <v>657</v>
      </c>
      <c r="W982" s="805">
        <f t="shared" si="1"/>
        <v>578</v>
      </c>
      <c r="X982" s="805">
        <f t="shared" si="1"/>
        <v>174</v>
      </c>
      <c r="Y982" s="805">
        <f t="shared" si="1"/>
        <v>101</v>
      </c>
      <c r="Z982" s="805">
        <f t="shared" si="1"/>
        <v>1200</v>
      </c>
      <c r="AA982" s="806"/>
    </row>
    <row r="984" spans="1:27" x14ac:dyDescent="0.25">
      <c r="A984" s="932" t="s">
        <v>16</v>
      </c>
      <c r="B984" s="932"/>
      <c r="C984" s="932"/>
      <c r="D984" s="932"/>
      <c r="E984" s="932"/>
      <c r="F984" s="932"/>
      <c r="G984" s="932"/>
      <c r="H984" s="804">
        <f>H979-H982</f>
        <v>6932340</v>
      </c>
      <c r="I984" s="804">
        <f t="shared" ref="I984:Z984" si="2">I979-I982</f>
        <v>192565</v>
      </c>
      <c r="J984" s="804">
        <f t="shared" si="2"/>
        <v>4272</v>
      </c>
      <c r="K984" s="804">
        <f t="shared" si="2"/>
        <v>4876</v>
      </c>
      <c r="L984" s="804">
        <f t="shared" si="2"/>
        <v>-36</v>
      </c>
      <c r="M984" s="804">
        <f t="shared" si="2"/>
        <v>-36</v>
      </c>
      <c r="N984" s="804">
        <f t="shared" si="2"/>
        <v>-58</v>
      </c>
      <c r="O984" s="804">
        <f t="shared" si="2"/>
        <v>0</v>
      </c>
      <c r="P984" s="804">
        <f t="shared" si="2"/>
        <v>-3887</v>
      </c>
      <c r="Q984" s="804">
        <f t="shared" si="2"/>
        <v>-1352</v>
      </c>
      <c r="R984" s="804">
        <f t="shared" si="2"/>
        <v>-1308</v>
      </c>
      <c r="S984" s="804">
        <f t="shared" si="2"/>
        <v>23</v>
      </c>
      <c r="T984" s="804">
        <f t="shared" si="2"/>
        <v>-5</v>
      </c>
      <c r="U984" s="804">
        <f t="shared" si="2"/>
        <v>-7</v>
      </c>
      <c r="V984" s="804">
        <f t="shared" si="2"/>
        <v>-260</v>
      </c>
      <c r="W984" s="804">
        <f t="shared" si="2"/>
        <v>-4</v>
      </c>
      <c r="X984" s="804">
        <f t="shared" si="2"/>
        <v>-174</v>
      </c>
      <c r="Y984" s="804">
        <f t="shared" si="2"/>
        <v>-101</v>
      </c>
      <c r="Z984" s="804">
        <f t="shared" si="2"/>
        <v>-50</v>
      </c>
      <c r="AA984" s="804"/>
    </row>
  </sheetData>
  <autoFilter ref="A4:Z981" xr:uid="{00000000-0009-0000-0000-000002000000}"/>
  <mergeCells count="12">
    <mergeCell ref="A980:G980"/>
    <mergeCell ref="A981:G981"/>
    <mergeCell ref="A982:G982"/>
    <mergeCell ref="A984:G984"/>
    <mergeCell ref="A979:D979"/>
    <mergeCell ref="A2:AA2"/>
    <mergeCell ref="J3:K3"/>
    <mergeCell ref="AA3:AA4"/>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3" customWidth="1"/>
    <col min="2" max="2" width="19" style="433" bestFit="1" customWidth="1"/>
    <col min="3" max="3" width="6" style="433" bestFit="1" customWidth="1"/>
    <col min="4" max="4" width="5" style="433" bestFit="1" customWidth="1"/>
    <col min="5" max="5" width="6.28515625" style="433" bestFit="1" customWidth="1"/>
    <col min="6" max="29" width="3.28515625" style="433" bestFit="1" customWidth="1"/>
    <col min="30" max="36" width="3.28515625" style="433" customWidth="1"/>
    <col min="37" max="37" width="9.28515625" style="433" customWidth="1"/>
    <col min="38" max="38" width="9.85546875" style="433" customWidth="1"/>
    <col min="39" max="39" width="9" style="497" bestFit="1" customWidth="1"/>
    <col min="40" max="40" width="9.7109375" style="433" bestFit="1" customWidth="1"/>
    <col min="41" max="41" width="5.85546875" style="433" bestFit="1" customWidth="1"/>
    <col min="42" max="42" width="14" style="433" bestFit="1" customWidth="1"/>
    <col min="43" max="43" width="14.5703125" style="433" customWidth="1"/>
    <col min="44" max="16384" width="9.140625" style="433"/>
  </cols>
  <sheetData>
    <row r="1" spans="1:42" x14ac:dyDescent="0.2">
      <c r="A1" s="491" t="s">
        <v>1362</v>
      </c>
      <c r="B1" s="492"/>
      <c r="C1" s="492"/>
      <c r="D1" s="492"/>
      <c r="E1" s="492"/>
      <c r="F1" s="492"/>
      <c r="G1" s="492"/>
      <c r="H1" s="492"/>
      <c r="I1" s="492"/>
      <c r="J1" s="492"/>
      <c r="K1" s="492"/>
      <c r="L1" s="492"/>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c r="AM1" s="492"/>
      <c r="AN1" s="492"/>
      <c r="AO1" s="498" t="s">
        <v>1363</v>
      </c>
      <c r="AP1" s="499">
        <f ca="1">+TODAY()</f>
        <v>46074</v>
      </c>
    </row>
    <row r="2" spans="1:42" s="349" customFormat="1" ht="12.75" customHeight="1" x14ac:dyDescent="0.25">
      <c r="A2" s="940" t="s">
        <v>303</v>
      </c>
      <c r="B2" s="940" t="s">
        <v>1358</v>
      </c>
      <c r="C2" s="944" t="s">
        <v>1364</v>
      </c>
      <c r="D2" s="945"/>
      <c r="E2" s="946"/>
      <c r="F2" s="944" t="s">
        <v>15</v>
      </c>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c r="AH2" s="945"/>
      <c r="AI2" s="945"/>
      <c r="AJ2" s="945"/>
      <c r="AK2" s="940" t="s">
        <v>1367</v>
      </c>
      <c r="AL2" s="940" t="s">
        <v>1365</v>
      </c>
      <c r="AM2" s="938" t="s">
        <v>6</v>
      </c>
      <c r="AN2" s="940" t="s">
        <v>1359</v>
      </c>
      <c r="AO2" s="942" t="s">
        <v>1167</v>
      </c>
      <c r="AP2" s="940" t="s">
        <v>1366</v>
      </c>
    </row>
    <row r="3" spans="1:42" ht="53.25" x14ac:dyDescent="0.2">
      <c r="A3" s="941"/>
      <c r="B3" s="941"/>
      <c r="C3" s="486" t="s">
        <v>1166</v>
      </c>
      <c r="D3" s="486" t="s">
        <v>119</v>
      </c>
      <c r="E3" s="486" t="s">
        <v>1283</v>
      </c>
      <c r="F3" s="636">
        <v>45870</v>
      </c>
      <c r="G3" s="636">
        <v>45871</v>
      </c>
      <c r="H3" s="636">
        <v>45872</v>
      </c>
      <c r="I3" s="636">
        <v>45873</v>
      </c>
      <c r="J3" s="636">
        <v>45874</v>
      </c>
      <c r="K3" s="636">
        <v>45875</v>
      </c>
      <c r="L3" s="636">
        <v>45876</v>
      </c>
      <c r="M3" s="636">
        <v>45877</v>
      </c>
      <c r="N3" s="636">
        <v>45878</v>
      </c>
      <c r="O3" s="636">
        <v>45879</v>
      </c>
      <c r="P3" s="636">
        <v>45880</v>
      </c>
      <c r="Q3" s="636">
        <v>45881</v>
      </c>
      <c r="R3" s="636">
        <v>45882</v>
      </c>
      <c r="S3" s="636">
        <v>45883</v>
      </c>
      <c r="T3" s="636">
        <v>45884</v>
      </c>
      <c r="U3" s="636">
        <v>45885</v>
      </c>
      <c r="V3" s="636">
        <v>45886</v>
      </c>
      <c r="W3" s="636">
        <v>45887</v>
      </c>
      <c r="X3" s="636">
        <v>45888</v>
      </c>
      <c r="Y3" s="636">
        <v>45889</v>
      </c>
      <c r="Z3" s="636">
        <v>45890</v>
      </c>
      <c r="AA3" s="636">
        <v>45891</v>
      </c>
      <c r="AB3" s="636">
        <v>45892</v>
      </c>
      <c r="AC3" s="636">
        <v>45893</v>
      </c>
      <c r="AD3" s="636">
        <v>45894</v>
      </c>
      <c r="AE3" s="636">
        <v>45895</v>
      </c>
      <c r="AF3" s="636">
        <v>45896</v>
      </c>
      <c r="AG3" s="636">
        <v>45897</v>
      </c>
      <c r="AH3" s="636">
        <v>45898</v>
      </c>
      <c r="AI3" s="636">
        <v>45899</v>
      </c>
      <c r="AJ3" s="636">
        <v>45900</v>
      </c>
      <c r="AK3" s="941"/>
      <c r="AL3" s="941"/>
      <c r="AM3" s="939"/>
      <c r="AN3" s="941"/>
      <c r="AO3" s="943"/>
      <c r="AP3" s="941"/>
    </row>
    <row r="4" spans="1:42" x14ac:dyDescent="0.2">
      <c r="A4" s="484"/>
      <c r="B4" s="484"/>
      <c r="C4" s="494"/>
      <c r="D4" s="494"/>
      <c r="E4" s="615"/>
      <c r="F4" s="484"/>
      <c r="G4" s="484"/>
      <c r="H4" s="484"/>
      <c r="I4" s="484"/>
      <c r="J4" s="484"/>
      <c r="K4" s="484"/>
      <c r="L4" s="484"/>
      <c r="M4" s="484"/>
      <c r="N4" s="484"/>
      <c r="O4" s="484"/>
      <c r="P4" s="484"/>
      <c r="Q4" s="484"/>
      <c r="R4" s="484"/>
      <c r="S4" s="484"/>
      <c r="T4" s="484"/>
      <c r="U4" s="484"/>
      <c r="V4" s="484"/>
      <c r="W4" s="484"/>
      <c r="X4" s="484"/>
      <c r="Y4" s="484"/>
      <c r="Z4" s="484"/>
      <c r="AA4" s="484"/>
      <c r="AB4" s="484"/>
      <c r="AC4" s="484"/>
      <c r="AD4" s="484"/>
      <c r="AE4" s="484"/>
      <c r="AF4" s="484"/>
      <c r="AG4" s="484"/>
      <c r="AH4" s="484"/>
      <c r="AI4" s="484"/>
      <c r="AJ4" s="484"/>
      <c r="AK4" s="484"/>
      <c r="AL4" s="484"/>
      <c r="AM4" s="485"/>
      <c r="AN4" s="485"/>
      <c r="AO4" s="533"/>
      <c r="AP4" s="936"/>
    </row>
    <row r="5" spans="1:42" x14ac:dyDescent="0.2">
      <c r="A5" s="484"/>
      <c r="B5" s="484"/>
      <c r="C5" s="494"/>
      <c r="D5" s="494"/>
      <c r="E5" s="615"/>
      <c r="F5" s="494"/>
      <c r="G5" s="494"/>
      <c r="H5" s="494"/>
      <c r="I5" s="494"/>
      <c r="J5" s="494"/>
      <c r="K5" s="494"/>
      <c r="L5" s="484"/>
      <c r="M5" s="484"/>
      <c r="N5" s="484"/>
      <c r="O5" s="484"/>
      <c r="P5" s="494"/>
      <c r="Q5" s="494"/>
      <c r="R5" s="494"/>
      <c r="S5" s="494"/>
      <c r="T5" s="494"/>
      <c r="U5" s="494"/>
      <c r="V5" s="494"/>
      <c r="W5" s="494"/>
      <c r="X5" s="494"/>
      <c r="Y5" s="494"/>
      <c r="Z5" s="494"/>
      <c r="AA5" s="494"/>
      <c r="AB5" s="494"/>
      <c r="AC5" s="494"/>
      <c r="AD5" s="494"/>
      <c r="AE5" s="494"/>
      <c r="AF5" s="494"/>
      <c r="AG5" s="494"/>
      <c r="AH5" s="494"/>
      <c r="AI5" s="494"/>
      <c r="AJ5" s="494"/>
      <c r="AK5" s="484"/>
      <c r="AL5" s="484"/>
      <c r="AM5" s="485"/>
      <c r="AN5" s="485"/>
      <c r="AO5" s="533"/>
      <c r="AP5" s="937"/>
    </row>
    <row r="6" spans="1:42" x14ac:dyDescent="0.2">
      <c r="A6" s="484"/>
      <c r="B6" s="484"/>
      <c r="C6" s="494"/>
      <c r="D6" s="494"/>
      <c r="E6" s="615">
        <f>+SUM(E4:E5)</f>
        <v>0</v>
      </c>
      <c r="F6" s="494"/>
      <c r="G6" s="494"/>
      <c r="H6" s="494"/>
      <c r="I6" s="494"/>
      <c r="J6" s="494"/>
      <c r="K6" s="494"/>
      <c r="L6" s="494"/>
      <c r="M6" s="494"/>
      <c r="N6" s="494"/>
      <c r="O6" s="494"/>
      <c r="P6" s="494"/>
      <c r="Q6" s="494"/>
      <c r="R6" s="494"/>
      <c r="S6" s="494"/>
      <c r="T6" s="494"/>
      <c r="U6" s="494"/>
      <c r="V6" s="494"/>
      <c r="W6" s="494"/>
      <c r="X6" s="494"/>
      <c r="Y6" s="494"/>
      <c r="Z6" s="494"/>
      <c r="AA6" s="494"/>
      <c r="AB6" s="494"/>
      <c r="AC6" s="494"/>
      <c r="AD6" s="494"/>
      <c r="AE6" s="494"/>
      <c r="AF6" s="494"/>
      <c r="AG6" s="494"/>
      <c r="AH6" s="494"/>
      <c r="AI6" s="494"/>
      <c r="AJ6" s="494"/>
      <c r="AK6" s="484"/>
      <c r="AL6" s="484"/>
      <c r="AM6" s="485"/>
      <c r="AN6" s="484"/>
      <c r="AO6" s="493"/>
      <c r="AP6" s="484"/>
    </row>
    <row r="7" spans="1:42" x14ac:dyDescent="0.2">
      <c r="D7" s="495"/>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row>
    <row r="8" spans="1:42" x14ac:dyDescent="0.2">
      <c r="N8" s="755"/>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0" activePane="bottomLeft" state="frozen"/>
      <selection activeCell="N9" sqref="N9"/>
      <selection pane="bottomLeft" activeCell="J26" activeCellId="1" sqref="J24 J26:J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949" t="s">
        <v>1149</v>
      </c>
      <c r="B3" s="949"/>
      <c r="C3" s="949"/>
      <c r="D3" s="949"/>
      <c r="E3" s="949"/>
      <c r="F3" s="949"/>
      <c r="G3" s="949"/>
      <c r="H3" s="949"/>
      <c r="I3" s="949"/>
      <c r="J3" s="949"/>
      <c r="K3" s="949"/>
      <c r="L3" s="949"/>
      <c r="M3" s="949"/>
      <c r="N3" s="949"/>
      <c r="O3" s="949"/>
      <c r="P3" s="949"/>
    </row>
    <row r="4" spans="1:16" x14ac:dyDescent="0.25">
      <c r="A4" s="949" t="s">
        <v>22</v>
      </c>
      <c r="B4" s="949" t="s">
        <v>13</v>
      </c>
      <c r="C4" s="949"/>
      <c r="D4" s="949" t="s">
        <v>7</v>
      </c>
      <c r="E4" s="949" t="s">
        <v>14</v>
      </c>
      <c r="F4" s="948" t="s">
        <v>1150</v>
      </c>
      <c r="G4" s="948"/>
      <c r="H4" s="948"/>
      <c r="I4" s="948"/>
      <c r="J4" s="949" t="s">
        <v>11</v>
      </c>
      <c r="K4" s="949"/>
      <c r="L4" s="949"/>
      <c r="M4" s="949"/>
      <c r="N4" s="950" t="s">
        <v>1157</v>
      </c>
      <c r="O4" s="950" t="s">
        <v>1151</v>
      </c>
      <c r="P4" s="950" t="s">
        <v>1152</v>
      </c>
    </row>
    <row r="5" spans="1:16" ht="25.5" x14ac:dyDescent="0.25">
      <c r="A5" s="949"/>
      <c r="B5" s="411" t="s">
        <v>118</v>
      </c>
      <c r="C5" s="410" t="s">
        <v>119</v>
      </c>
      <c r="D5" s="949"/>
      <c r="E5" s="949"/>
      <c r="F5" s="410" t="s">
        <v>14</v>
      </c>
      <c r="G5" s="410" t="s">
        <v>6</v>
      </c>
      <c r="H5" s="410" t="s">
        <v>5</v>
      </c>
      <c r="I5" s="410" t="s">
        <v>9</v>
      </c>
      <c r="J5" s="410" t="s">
        <v>14</v>
      </c>
      <c r="K5" s="410" t="s">
        <v>6</v>
      </c>
      <c r="L5" s="410" t="s">
        <v>5</v>
      </c>
      <c r="M5" s="410" t="s">
        <v>9</v>
      </c>
      <c r="N5" s="951"/>
      <c r="O5" s="951"/>
      <c r="P5" s="951"/>
    </row>
    <row r="6" spans="1:16" x14ac:dyDescent="0.25">
      <c r="A6" s="412">
        <v>1</v>
      </c>
      <c r="B6" s="412" t="s">
        <v>35</v>
      </c>
      <c r="C6" s="412" t="s">
        <v>759</v>
      </c>
      <c r="D6" s="413" t="s">
        <v>1154</v>
      </c>
      <c r="E6" s="763">
        <v>3.3370000000000002</v>
      </c>
      <c r="F6" s="763">
        <f>E6</f>
        <v>3.3370000000000002</v>
      </c>
      <c r="G6" s="414">
        <v>45698</v>
      </c>
      <c r="H6" s="414">
        <v>45699</v>
      </c>
      <c r="I6" s="414"/>
      <c r="J6" s="763">
        <f>E6</f>
        <v>3.3370000000000002</v>
      </c>
      <c r="K6" s="414">
        <f>G6</f>
        <v>45698</v>
      </c>
      <c r="L6" s="414">
        <f>H6</f>
        <v>45699</v>
      </c>
      <c r="M6" s="415" t="s">
        <v>1033</v>
      </c>
      <c r="N6" s="754">
        <v>45689</v>
      </c>
      <c r="O6" s="417">
        <v>45721</v>
      </c>
      <c r="P6" s="418" t="s">
        <v>1153</v>
      </c>
    </row>
    <row r="7" spans="1:16" x14ac:dyDescent="0.25">
      <c r="A7" s="412">
        <v>2</v>
      </c>
      <c r="B7" s="412" t="s">
        <v>759</v>
      </c>
      <c r="C7" s="412" t="s">
        <v>97</v>
      </c>
      <c r="D7" s="413" t="s">
        <v>1154</v>
      </c>
      <c r="E7" s="763">
        <v>3.778</v>
      </c>
      <c r="F7" s="763">
        <f t="shared" ref="F7:F27" si="0">E7</f>
        <v>3.778</v>
      </c>
      <c r="G7" s="414">
        <v>45700</v>
      </c>
      <c r="H7" s="414">
        <v>45701</v>
      </c>
      <c r="I7" s="414"/>
      <c r="J7" s="763">
        <f t="shared" ref="J7:J27" si="1">E7</f>
        <v>3.778</v>
      </c>
      <c r="K7" s="414">
        <f t="shared" ref="K7:K17" si="2">G7</f>
        <v>45700</v>
      </c>
      <c r="L7" s="414">
        <f t="shared" ref="L7:L16" si="3">H7</f>
        <v>45701</v>
      </c>
      <c r="M7" s="419" t="s">
        <v>1033</v>
      </c>
      <c r="N7" s="754">
        <v>45689</v>
      </c>
      <c r="O7" s="417">
        <v>45714</v>
      </c>
      <c r="P7" s="418" t="s">
        <v>1153</v>
      </c>
    </row>
    <row r="8" spans="1:16" x14ac:dyDescent="0.25">
      <c r="A8" s="412">
        <v>3</v>
      </c>
      <c r="B8" s="412" t="s">
        <v>97</v>
      </c>
      <c r="C8" s="412" t="s">
        <v>98</v>
      </c>
      <c r="D8" s="413" t="s">
        <v>1154</v>
      </c>
      <c r="E8" s="763">
        <v>4.8769999999999998</v>
      </c>
      <c r="F8" s="763">
        <f t="shared" si="0"/>
        <v>4.8769999999999998</v>
      </c>
      <c r="G8" s="414">
        <v>45703</v>
      </c>
      <c r="H8" s="414">
        <v>45704</v>
      </c>
      <c r="I8" s="414"/>
      <c r="J8" s="763">
        <f t="shared" si="1"/>
        <v>4.8769999999999998</v>
      </c>
      <c r="K8" s="414">
        <f t="shared" si="2"/>
        <v>45703</v>
      </c>
      <c r="L8" s="414">
        <f t="shared" si="3"/>
        <v>45704</v>
      </c>
      <c r="M8" s="419" t="s">
        <v>1033</v>
      </c>
      <c r="N8" s="754">
        <v>45689</v>
      </c>
      <c r="O8" s="420"/>
      <c r="P8" s="418"/>
    </row>
    <row r="9" spans="1:16" x14ac:dyDescent="0.25">
      <c r="A9" s="412">
        <v>4</v>
      </c>
      <c r="B9" s="412" t="s">
        <v>98</v>
      </c>
      <c r="C9" s="412" t="s">
        <v>99</v>
      </c>
      <c r="D9" s="413" t="s">
        <v>1154</v>
      </c>
      <c r="E9" s="763">
        <v>4.5679999999999996</v>
      </c>
      <c r="F9" s="763">
        <f t="shared" si="0"/>
        <v>4.5679999999999996</v>
      </c>
      <c r="G9" s="414">
        <v>45707</v>
      </c>
      <c r="H9" s="414">
        <v>45707</v>
      </c>
      <c r="I9" s="412"/>
      <c r="J9" s="763">
        <f t="shared" si="1"/>
        <v>4.5679999999999996</v>
      </c>
      <c r="K9" s="414">
        <f t="shared" si="2"/>
        <v>45707</v>
      </c>
      <c r="L9" s="414">
        <f t="shared" si="3"/>
        <v>45707</v>
      </c>
      <c r="M9" s="415" t="s">
        <v>1033</v>
      </c>
      <c r="N9" s="754">
        <v>45689</v>
      </c>
      <c r="O9" s="417">
        <v>45715</v>
      </c>
      <c r="P9" s="418" t="s">
        <v>1153</v>
      </c>
    </row>
    <row r="10" spans="1:16" x14ac:dyDescent="0.25">
      <c r="A10" s="412">
        <v>5</v>
      </c>
      <c r="B10" s="412" t="s">
        <v>99</v>
      </c>
      <c r="C10" s="412" t="s">
        <v>100</v>
      </c>
      <c r="D10" s="413" t="s">
        <v>1154</v>
      </c>
      <c r="E10" s="763">
        <v>4.8630000000000004</v>
      </c>
      <c r="F10" s="763">
        <f t="shared" si="0"/>
        <v>4.8630000000000004</v>
      </c>
      <c r="G10" s="414">
        <v>45711</v>
      </c>
      <c r="H10" s="414">
        <v>45712</v>
      </c>
      <c r="I10" s="412"/>
      <c r="J10" s="763">
        <f t="shared" si="1"/>
        <v>4.8630000000000004</v>
      </c>
      <c r="K10" s="414">
        <f t="shared" si="2"/>
        <v>45711</v>
      </c>
      <c r="L10" s="414">
        <f t="shared" si="3"/>
        <v>45712</v>
      </c>
      <c r="M10" s="415" t="s">
        <v>1033</v>
      </c>
      <c r="N10" s="754">
        <v>45689</v>
      </c>
      <c r="O10" s="420"/>
      <c r="P10" s="418"/>
    </row>
    <row r="11" spans="1:16" x14ac:dyDescent="0.25">
      <c r="A11" s="412">
        <v>6</v>
      </c>
      <c r="B11" s="412" t="s">
        <v>100</v>
      </c>
      <c r="C11" s="412" t="s">
        <v>808</v>
      </c>
      <c r="D11" s="413" t="s">
        <v>1154</v>
      </c>
      <c r="E11" s="763">
        <v>3.7109999999999999</v>
      </c>
      <c r="F11" s="763">
        <f t="shared" si="0"/>
        <v>3.7109999999999999</v>
      </c>
      <c r="G11" s="414">
        <v>45717</v>
      </c>
      <c r="H11" s="414">
        <v>45718</v>
      </c>
      <c r="I11" s="412"/>
      <c r="J11" s="763">
        <f t="shared" si="1"/>
        <v>3.7109999999999999</v>
      </c>
      <c r="K11" s="414">
        <f t="shared" si="2"/>
        <v>45717</v>
      </c>
      <c r="L11" s="414">
        <f t="shared" si="3"/>
        <v>45718</v>
      </c>
      <c r="M11" s="415" t="s">
        <v>1033</v>
      </c>
      <c r="N11" s="416">
        <v>45717</v>
      </c>
      <c r="O11" s="420"/>
      <c r="P11" s="418"/>
    </row>
    <row r="12" spans="1:16" x14ac:dyDescent="0.25">
      <c r="A12" s="412">
        <v>7</v>
      </c>
      <c r="B12" s="412" t="s">
        <v>808</v>
      </c>
      <c r="C12" s="412" t="s">
        <v>820</v>
      </c>
      <c r="D12" s="413" t="s">
        <v>1154</v>
      </c>
      <c r="E12" s="763">
        <v>4.9180000000000001</v>
      </c>
      <c r="F12" s="763">
        <f t="shared" si="0"/>
        <v>4.9180000000000001</v>
      </c>
      <c r="G12" s="414">
        <v>45719</v>
      </c>
      <c r="H12" s="414">
        <v>45719</v>
      </c>
      <c r="I12" s="412"/>
      <c r="J12" s="763">
        <f t="shared" si="1"/>
        <v>4.9180000000000001</v>
      </c>
      <c r="K12" s="414">
        <f t="shared" si="2"/>
        <v>45719</v>
      </c>
      <c r="L12" s="414">
        <f t="shared" si="3"/>
        <v>45719</v>
      </c>
      <c r="M12" s="415" t="s">
        <v>1033</v>
      </c>
      <c r="N12" s="416">
        <v>45717</v>
      </c>
      <c r="O12" s="420"/>
      <c r="P12" s="418"/>
    </row>
    <row r="13" spans="1:16" x14ac:dyDescent="0.25">
      <c r="A13" s="412">
        <v>8</v>
      </c>
      <c r="B13" s="412" t="s">
        <v>709</v>
      </c>
      <c r="C13" s="412" t="s">
        <v>712</v>
      </c>
      <c r="D13" s="413" t="s">
        <v>1154</v>
      </c>
      <c r="E13" s="763">
        <v>1.0489999999999999</v>
      </c>
      <c r="F13" s="763">
        <f t="shared" si="0"/>
        <v>1.0489999999999999</v>
      </c>
      <c r="G13" s="414">
        <v>45861</v>
      </c>
      <c r="H13" s="414">
        <v>45862</v>
      </c>
      <c r="I13" s="412"/>
      <c r="J13" s="763">
        <f t="shared" si="1"/>
        <v>1.0489999999999999</v>
      </c>
      <c r="K13" s="414">
        <f t="shared" si="2"/>
        <v>45861</v>
      </c>
      <c r="L13" s="414">
        <f t="shared" si="3"/>
        <v>45862</v>
      </c>
      <c r="M13" s="415" t="s">
        <v>1033</v>
      </c>
      <c r="N13" s="416">
        <v>45839</v>
      </c>
      <c r="O13" s="415"/>
      <c r="P13" s="415"/>
    </row>
    <row r="14" spans="1:16" x14ac:dyDescent="0.25">
      <c r="A14" s="412">
        <v>9</v>
      </c>
      <c r="B14" s="635" t="s">
        <v>92</v>
      </c>
      <c r="C14" s="412" t="s">
        <v>709</v>
      </c>
      <c r="D14" s="413" t="s">
        <v>1154</v>
      </c>
      <c r="E14" s="763">
        <v>4.444</v>
      </c>
      <c r="F14" s="763">
        <f t="shared" si="0"/>
        <v>4.444</v>
      </c>
      <c r="G14" s="414">
        <v>45864</v>
      </c>
      <c r="H14" s="414">
        <v>45864</v>
      </c>
      <c r="I14" s="412"/>
      <c r="J14" s="763">
        <f t="shared" si="1"/>
        <v>4.444</v>
      </c>
      <c r="K14" s="414">
        <f t="shared" si="2"/>
        <v>45864</v>
      </c>
      <c r="L14" s="414">
        <f t="shared" si="3"/>
        <v>45864</v>
      </c>
      <c r="M14" s="415" t="s">
        <v>1033</v>
      </c>
      <c r="N14" s="416">
        <v>45839</v>
      </c>
      <c r="O14" s="415"/>
      <c r="P14" s="415"/>
    </row>
    <row r="15" spans="1:16" x14ac:dyDescent="0.25">
      <c r="A15" s="412">
        <v>10</v>
      </c>
      <c r="B15" s="635" t="s">
        <v>690</v>
      </c>
      <c r="C15" s="635" t="s">
        <v>91</v>
      </c>
      <c r="D15" s="413" t="s">
        <v>1154</v>
      </c>
      <c r="E15" s="763">
        <v>0.83099999999999996</v>
      </c>
      <c r="F15" s="763">
        <f t="shared" si="0"/>
        <v>0.83099999999999996</v>
      </c>
      <c r="G15" s="414">
        <v>45871</v>
      </c>
      <c r="H15" s="414">
        <v>45874</v>
      </c>
      <c r="I15" s="412"/>
      <c r="J15" s="763">
        <f t="shared" si="1"/>
        <v>0.83099999999999996</v>
      </c>
      <c r="K15" s="414">
        <f t="shared" si="2"/>
        <v>45871</v>
      </c>
      <c r="L15" s="414">
        <f t="shared" si="3"/>
        <v>45874</v>
      </c>
      <c r="M15" s="415" t="s">
        <v>1033</v>
      </c>
      <c r="N15" s="416">
        <v>45870</v>
      </c>
      <c r="O15" s="415"/>
      <c r="P15" s="415"/>
    </row>
    <row r="16" spans="1:16" x14ac:dyDescent="0.25">
      <c r="A16" s="412">
        <v>11</v>
      </c>
      <c r="B16" s="635" t="s">
        <v>91</v>
      </c>
      <c r="C16" s="412" t="s">
        <v>92</v>
      </c>
      <c r="D16" s="413" t="s">
        <v>1154</v>
      </c>
      <c r="E16" s="763">
        <v>3.2269999999999999</v>
      </c>
      <c r="F16" s="763">
        <f t="shared" si="0"/>
        <v>3.2269999999999999</v>
      </c>
      <c r="G16" s="414">
        <v>45879</v>
      </c>
      <c r="H16" s="414">
        <v>45883</v>
      </c>
      <c r="I16" s="412"/>
      <c r="J16" s="763">
        <f t="shared" si="1"/>
        <v>3.2269999999999999</v>
      </c>
      <c r="K16" s="414">
        <f t="shared" si="2"/>
        <v>45879</v>
      </c>
      <c r="L16" s="414">
        <f t="shared" si="3"/>
        <v>45883</v>
      </c>
      <c r="M16" s="415" t="s">
        <v>1033</v>
      </c>
      <c r="N16" s="416">
        <v>45870</v>
      </c>
      <c r="O16" s="415"/>
      <c r="P16" s="415"/>
    </row>
    <row r="17" spans="1:16" x14ac:dyDescent="0.25">
      <c r="A17" s="412">
        <v>12</v>
      </c>
      <c r="B17" s="412" t="s">
        <v>105</v>
      </c>
      <c r="C17" s="412" t="s">
        <v>106</v>
      </c>
      <c r="D17" s="413" t="s">
        <v>1154</v>
      </c>
      <c r="E17" s="763">
        <v>4.9660000000000002</v>
      </c>
      <c r="F17" s="763">
        <f t="shared" si="0"/>
        <v>4.9660000000000002</v>
      </c>
      <c r="G17" s="414">
        <v>46008</v>
      </c>
      <c r="H17" s="414">
        <v>46008</v>
      </c>
      <c r="I17" s="412"/>
      <c r="J17" s="763">
        <f t="shared" si="1"/>
        <v>4.9660000000000002</v>
      </c>
      <c r="K17" s="414">
        <f t="shared" si="2"/>
        <v>46008</v>
      </c>
      <c r="L17" s="414">
        <v>46009</v>
      </c>
      <c r="M17" s="415" t="s">
        <v>1033</v>
      </c>
      <c r="N17" s="416">
        <v>45992</v>
      </c>
      <c r="O17" s="415"/>
      <c r="P17" s="415"/>
    </row>
    <row r="18" spans="1:16" x14ac:dyDescent="0.25">
      <c r="A18" s="412">
        <v>13</v>
      </c>
      <c r="B18" s="635" t="s">
        <v>106</v>
      </c>
      <c r="C18" s="412" t="s">
        <v>852</v>
      </c>
      <c r="D18" s="413" t="s">
        <v>1154</v>
      </c>
      <c r="E18" s="763">
        <v>3.6749999999999998</v>
      </c>
      <c r="F18" s="763">
        <f t="shared" si="0"/>
        <v>3.6749999999999998</v>
      </c>
      <c r="G18" s="414">
        <v>46011</v>
      </c>
      <c r="H18" s="414">
        <v>46011</v>
      </c>
      <c r="I18" s="412"/>
      <c r="J18" s="763">
        <f t="shared" si="1"/>
        <v>3.6749999999999998</v>
      </c>
      <c r="K18" s="414">
        <v>46012</v>
      </c>
      <c r="L18" s="414">
        <v>46012</v>
      </c>
      <c r="M18" s="415" t="s">
        <v>1033</v>
      </c>
      <c r="N18" s="416">
        <v>45992</v>
      </c>
      <c r="O18" s="415"/>
      <c r="P18" s="415"/>
    </row>
    <row r="19" spans="1:16" x14ac:dyDescent="0.25">
      <c r="A19" s="412">
        <v>14</v>
      </c>
      <c r="B19" s="412" t="s">
        <v>852</v>
      </c>
      <c r="C19" s="412" t="s">
        <v>855</v>
      </c>
      <c r="D19" s="413" t="s">
        <v>1154</v>
      </c>
      <c r="E19" s="763">
        <v>1.6279999999999999</v>
      </c>
      <c r="F19" s="763">
        <f t="shared" si="0"/>
        <v>1.6279999999999999</v>
      </c>
      <c r="G19" s="414">
        <v>46014</v>
      </c>
      <c r="H19" s="414">
        <v>46014</v>
      </c>
      <c r="I19" s="412"/>
      <c r="J19" s="763">
        <f t="shared" si="1"/>
        <v>1.6279999999999999</v>
      </c>
      <c r="K19" s="414">
        <v>46015</v>
      </c>
      <c r="L19" s="414">
        <v>46015</v>
      </c>
      <c r="M19" s="415" t="s">
        <v>1033</v>
      </c>
      <c r="N19" s="416">
        <v>45992</v>
      </c>
      <c r="O19" s="415"/>
      <c r="P19" s="415"/>
    </row>
    <row r="20" spans="1:16" x14ac:dyDescent="0.25">
      <c r="A20" s="412">
        <v>15</v>
      </c>
      <c r="B20" s="412" t="s">
        <v>855</v>
      </c>
      <c r="C20" s="412" t="s">
        <v>865</v>
      </c>
      <c r="D20" s="413" t="s">
        <v>1154</v>
      </c>
      <c r="E20" s="763">
        <v>3.7879999999999998</v>
      </c>
      <c r="F20" s="763">
        <f t="shared" si="0"/>
        <v>3.7879999999999998</v>
      </c>
      <c r="G20" s="414">
        <v>46015</v>
      </c>
      <c r="H20" s="414">
        <v>46015</v>
      </c>
      <c r="I20" s="412"/>
      <c r="J20" s="763">
        <f t="shared" si="1"/>
        <v>3.7879999999999998</v>
      </c>
      <c r="K20" s="414">
        <v>46015</v>
      </c>
      <c r="L20" s="414">
        <v>46015</v>
      </c>
      <c r="M20" s="415" t="s">
        <v>1033</v>
      </c>
      <c r="N20" s="416">
        <v>45992</v>
      </c>
      <c r="O20" s="415"/>
      <c r="P20" s="415"/>
    </row>
    <row r="21" spans="1:16" x14ac:dyDescent="0.25">
      <c r="A21" s="412">
        <v>16</v>
      </c>
      <c r="B21" s="412" t="s">
        <v>820</v>
      </c>
      <c r="C21" s="412" t="s">
        <v>101</v>
      </c>
      <c r="D21" s="413" t="s">
        <v>1154</v>
      </c>
      <c r="E21" s="763">
        <v>4.7358000000000002</v>
      </c>
      <c r="F21" s="763">
        <f t="shared" si="0"/>
        <v>4.7358000000000002</v>
      </c>
      <c r="G21" s="414">
        <v>46026</v>
      </c>
      <c r="H21" s="414">
        <v>46026</v>
      </c>
      <c r="I21" s="412"/>
      <c r="J21" s="763">
        <f t="shared" si="1"/>
        <v>4.7358000000000002</v>
      </c>
      <c r="K21" s="414">
        <v>46026</v>
      </c>
      <c r="L21" s="414">
        <v>46026</v>
      </c>
      <c r="M21" s="415" t="s">
        <v>1033</v>
      </c>
      <c r="N21" s="416">
        <v>46023</v>
      </c>
      <c r="O21" s="415"/>
      <c r="P21" s="415"/>
    </row>
    <row r="22" spans="1:16" x14ac:dyDescent="0.25">
      <c r="A22" s="412">
        <v>17</v>
      </c>
      <c r="B22" s="635" t="s">
        <v>101</v>
      </c>
      <c r="C22" s="635" t="s">
        <v>105</v>
      </c>
      <c r="D22" s="413" t="s">
        <v>1154</v>
      </c>
      <c r="E22" s="763">
        <v>2.2389999999999999</v>
      </c>
      <c r="F22" s="763">
        <f t="shared" si="0"/>
        <v>2.2389999999999999</v>
      </c>
      <c r="G22" s="414">
        <v>46027</v>
      </c>
      <c r="H22" s="414">
        <v>46027</v>
      </c>
      <c r="I22" s="412"/>
      <c r="J22" s="763">
        <f t="shared" si="1"/>
        <v>2.2389999999999999</v>
      </c>
      <c r="K22" s="414">
        <v>46029</v>
      </c>
      <c r="L22" s="414">
        <v>46029</v>
      </c>
      <c r="M22" s="415" t="s">
        <v>1033</v>
      </c>
      <c r="N22" s="416">
        <v>46023</v>
      </c>
      <c r="O22" s="415"/>
      <c r="P22" s="415"/>
    </row>
    <row r="23" spans="1:16" x14ac:dyDescent="0.25">
      <c r="A23" s="412">
        <v>18</v>
      </c>
      <c r="B23" s="412" t="s">
        <v>654</v>
      </c>
      <c r="C23" s="412" t="s">
        <v>446</v>
      </c>
      <c r="D23" s="415" t="s">
        <v>1629</v>
      </c>
      <c r="E23" s="763">
        <v>3.6379999999999999</v>
      </c>
      <c r="F23" s="763">
        <f t="shared" si="0"/>
        <v>3.6379999999999999</v>
      </c>
      <c r="G23" s="414">
        <v>46029</v>
      </c>
      <c r="H23" s="414">
        <v>46029</v>
      </c>
      <c r="I23" s="412"/>
      <c r="J23" s="763">
        <f t="shared" si="1"/>
        <v>3.6379999999999999</v>
      </c>
      <c r="K23" s="414">
        <v>46040</v>
      </c>
      <c r="L23" s="414">
        <v>46041</v>
      </c>
      <c r="M23" s="415" t="s">
        <v>1033</v>
      </c>
      <c r="N23" s="416">
        <v>46023</v>
      </c>
      <c r="O23" s="415"/>
      <c r="P23" s="415"/>
    </row>
    <row r="24" spans="1:16" x14ac:dyDescent="0.25">
      <c r="A24" s="412">
        <v>19</v>
      </c>
      <c r="B24" s="412" t="s">
        <v>90</v>
      </c>
      <c r="C24" s="412" t="s">
        <v>690</v>
      </c>
      <c r="D24" s="413" t="s">
        <v>1154</v>
      </c>
      <c r="E24" s="421">
        <v>4.4770000000000003</v>
      </c>
      <c r="F24" s="421">
        <f t="shared" si="0"/>
        <v>4.4770000000000003</v>
      </c>
      <c r="G24" s="414">
        <v>46058</v>
      </c>
      <c r="H24" s="414">
        <v>46058</v>
      </c>
      <c r="I24" s="412"/>
      <c r="J24" s="412">
        <f t="shared" si="1"/>
        <v>4.4770000000000003</v>
      </c>
      <c r="K24" s="414">
        <v>46058</v>
      </c>
      <c r="L24" s="414">
        <v>46058</v>
      </c>
      <c r="M24" s="415" t="s">
        <v>1033</v>
      </c>
      <c r="N24" s="416">
        <v>46054</v>
      </c>
      <c r="O24" s="415"/>
      <c r="P24" s="415"/>
    </row>
    <row r="25" spans="1:16" x14ac:dyDescent="0.25">
      <c r="A25" s="412">
        <v>20</v>
      </c>
      <c r="B25" s="635" t="s">
        <v>446</v>
      </c>
      <c r="C25" s="635" t="s">
        <v>39</v>
      </c>
      <c r="D25" s="415" t="s">
        <v>1629</v>
      </c>
      <c r="E25" s="421">
        <v>4.05</v>
      </c>
      <c r="F25" s="421">
        <f t="shared" si="0"/>
        <v>4.05</v>
      </c>
      <c r="G25" s="414">
        <v>46059</v>
      </c>
      <c r="H25" s="414">
        <v>46059</v>
      </c>
      <c r="I25" s="412"/>
      <c r="J25" s="412">
        <f t="shared" si="1"/>
        <v>4.05</v>
      </c>
      <c r="K25" s="414">
        <v>46059</v>
      </c>
      <c r="L25" s="414">
        <v>46059</v>
      </c>
      <c r="M25" s="415" t="s">
        <v>1033</v>
      </c>
      <c r="N25" s="416">
        <v>46054</v>
      </c>
      <c r="O25" s="415"/>
      <c r="P25" s="415"/>
    </row>
    <row r="26" spans="1:16" x14ac:dyDescent="0.25">
      <c r="A26" s="412">
        <v>21</v>
      </c>
      <c r="B26" s="635" t="s">
        <v>94</v>
      </c>
      <c r="C26" s="635" t="s">
        <v>35</v>
      </c>
      <c r="D26" s="415" t="s">
        <v>1154</v>
      </c>
      <c r="E26" s="421">
        <v>3.5259999999999998</v>
      </c>
      <c r="F26" s="421">
        <f t="shared" si="0"/>
        <v>3.5259999999999998</v>
      </c>
      <c r="G26" s="414">
        <v>46060</v>
      </c>
      <c r="H26" s="414">
        <v>46060</v>
      </c>
      <c r="I26" s="412"/>
      <c r="J26" s="412">
        <f t="shared" si="1"/>
        <v>3.5259999999999998</v>
      </c>
      <c r="K26" s="414">
        <v>46060</v>
      </c>
      <c r="L26" s="414">
        <v>46060</v>
      </c>
      <c r="M26" s="415" t="s">
        <v>1033</v>
      </c>
      <c r="N26" s="416">
        <v>46054</v>
      </c>
      <c r="O26" s="415"/>
      <c r="P26" s="415"/>
    </row>
    <row r="27" spans="1:16" x14ac:dyDescent="0.25">
      <c r="A27" s="412">
        <v>22</v>
      </c>
      <c r="B27" s="635" t="s">
        <v>164</v>
      </c>
      <c r="C27" s="635" t="s">
        <v>476</v>
      </c>
      <c r="D27" s="415" t="s">
        <v>1154</v>
      </c>
      <c r="E27" s="421">
        <v>4.95</v>
      </c>
      <c r="F27" s="421">
        <f t="shared" si="0"/>
        <v>4.95</v>
      </c>
      <c r="G27" s="414">
        <v>46062</v>
      </c>
      <c r="H27" s="414">
        <v>46062</v>
      </c>
      <c r="I27" s="412"/>
      <c r="J27" s="412">
        <f t="shared" si="1"/>
        <v>4.95</v>
      </c>
      <c r="K27" s="414">
        <v>46062</v>
      </c>
      <c r="L27" s="414">
        <v>46062</v>
      </c>
      <c r="M27" s="415" t="s">
        <v>1033</v>
      </c>
      <c r="N27" s="416">
        <v>46054</v>
      </c>
      <c r="O27" s="415"/>
      <c r="P27" s="415"/>
    </row>
    <row r="28" spans="1:16" x14ac:dyDescent="0.25">
      <c r="A28" s="412"/>
      <c r="B28" s="412"/>
      <c r="C28" s="412"/>
      <c r="D28" s="415"/>
      <c r="E28" s="421"/>
      <c r="F28" s="421"/>
      <c r="G28" s="414"/>
      <c r="H28" s="414"/>
      <c r="I28" s="412"/>
      <c r="J28" s="412"/>
      <c r="K28" s="415"/>
      <c r="L28" s="415"/>
      <c r="M28" s="415"/>
      <c r="N28" s="415"/>
      <c r="O28" s="415"/>
      <c r="P28" s="415"/>
    </row>
    <row r="29" spans="1:16" x14ac:dyDescent="0.25">
      <c r="A29" s="412"/>
      <c r="B29" s="412"/>
      <c r="C29" s="412"/>
      <c r="D29" s="412"/>
      <c r="E29" s="412"/>
      <c r="F29" s="412"/>
      <c r="G29" s="414"/>
      <c r="H29" s="414"/>
      <c r="I29" s="414"/>
      <c r="J29" s="412"/>
      <c r="K29" s="412"/>
      <c r="L29" s="412"/>
      <c r="M29" s="412"/>
      <c r="N29" s="412"/>
      <c r="O29" s="415"/>
      <c r="P29" s="415"/>
    </row>
    <row r="30" spans="1:16" s="424" customFormat="1" x14ac:dyDescent="0.25">
      <c r="A30" s="947" t="s">
        <v>136</v>
      </c>
      <c r="B30" s="947"/>
      <c r="C30" s="947"/>
      <c r="D30" s="422"/>
      <c r="E30" s="422">
        <f>+SUM(E6:E29)</f>
        <v>81.27579999999999</v>
      </c>
      <c r="F30" s="422"/>
      <c r="G30" s="422"/>
      <c r="H30" s="422"/>
      <c r="I30" s="422"/>
      <c r="J30" s="422">
        <f>+SUM(J6:J29)</f>
        <v>81.27579999999999</v>
      </c>
      <c r="K30" s="422"/>
      <c r="L30" s="422"/>
      <c r="M30" s="422"/>
      <c r="N30" s="422"/>
      <c r="O30" s="423"/>
      <c r="P30" s="423"/>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2" zoomScale="84" zoomScaleNormal="90" workbookViewId="0">
      <selection activeCell="R9" sqref="R9"/>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59" t="s">
        <v>913</v>
      </c>
      <c r="D3" s="960"/>
      <c r="E3" s="960"/>
      <c r="F3" s="960"/>
      <c r="G3" s="960"/>
      <c r="H3" s="960"/>
      <c r="I3" s="960"/>
      <c r="J3" s="960"/>
      <c r="K3" s="960"/>
      <c r="L3" s="960"/>
      <c r="M3" s="960"/>
      <c r="N3" s="960"/>
      <c r="O3" s="960"/>
      <c r="P3" s="960"/>
      <c r="Q3" s="960"/>
      <c r="R3" s="961"/>
      <c r="S3" s="965" t="s">
        <v>400</v>
      </c>
      <c r="T3" s="966"/>
      <c r="U3" s="966"/>
      <c r="V3" s="966"/>
      <c r="W3" s="966"/>
      <c r="X3" s="966"/>
      <c r="Y3" s="966"/>
      <c r="Z3" s="967"/>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62">
        <f ca="1">+TODAY()</f>
        <v>46074</v>
      </c>
      <c r="J4" s="963"/>
      <c r="K4" s="963"/>
      <c r="L4" s="963"/>
      <c r="M4" s="963"/>
      <c r="N4" s="963"/>
      <c r="O4" s="963"/>
      <c r="P4" s="963"/>
      <c r="Q4" s="963"/>
      <c r="R4" s="964"/>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53" t="s">
        <v>303</v>
      </c>
      <c r="D5" s="955"/>
      <c r="E5" s="953" t="s">
        <v>37</v>
      </c>
      <c r="F5" s="954"/>
      <c r="G5" s="954"/>
      <c r="H5" s="955"/>
      <c r="I5" s="953" t="s">
        <v>402</v>
      </c>
      <c r="J5" s="955"/>
      <c r="K5" s="953" t="s">
        <v>403</v>
      </c>
      <c r="L5" s="955"/>
      <c r="M5" s="953" t="s">
        <v>404</v>
      </c>
      <c r="N5" s="954"/>
      <c r="O5" s="955"/>
      <c r="P5" s="953" t="s">
        <v>16</v>
      </c>
      <c r="Q5" s="955"/>
      <c r="R5" s="1011" t="s">
        <v>124</v>
      </c>
      <c r="T5" s="13"/>
      <c r="U5" s="13"/>
      <c r="W5" s="953" t="s">
        <v>405</v>
      </c>
      <c r="X5" s="954"/>
      <c r="Y5" s="954"/>
      <c r="Z5" s="955"/>
      <c r="AC5" s="149"/>
      <c r="AD5" s="149"/>
      <c r="AE5" s="149"/>
      <c r="AF5" s="149"/>
      <c r="AG5" s="149"/>
      <c r="AH5" s="149"/>
      <c r="AI5" s="149"/>
      <c r="AJ5" s="149"/>
      <c r="AK5" s="149"/>
      <c r="AL5" s="149"/>
      <c r="AM5" s="149"/>
      <c r="AN5" s="149"/>
      <c r="AO5" s="149"/>
      <c r="AP5" s="149"/>
      <c r="AQ5" s="149"/>
      <c r="AR5" s="154"/>
      <c r="AS5" s="155"/>
      <c r="AT5" s="18"/>
      <c r="AV5" s="952" t="s">
        <v>406</v>
      </c>
      <c r="AW5" s="952"/>
      <c r="AX5" s="952"/>
      <c r="AY5" s="952"/>
      <c r="AZ5" s="952"/>
      <c r="BA5" s="952"/>
      <c r="BB5" s="952"/>
      <c r="BC5" s="952"/>
      <c r="BD5" s="952"/>
      <c r="BE5" s="952"/>
    </row>
    <row r="6" spans="1:63" s="15" customFormat="1" ht="15.75" customHeight="1" x14ac:dyDescent="0.25">
      <c r="A6" s="16"/>
      <c r="B6" s="17"/>
      <c r="C6" s="953">
        <v>1</v>
      </c>
      <c r="D6" s="955"/>
      <c r="E6" s="953" t="s">
        <v>10</v>
      </c>
      <c r="F6" s="954"/>
      <c r="G6" s="954"/>
      <c r="H6" s="955"/>
      <c r="I6" s="953" t="s">
        <v>407</v>
      </c>
      <c r="J6" s="955"/>
      <c r="K6" s="953">
        <v>485</v>
      </c>
      <c r="L6" s="955"/>
      <c r="M6" s="953">
        <f>BA18</f>
        <v>484</v>
      </c>
      <c r="N6" s="954"/>
      <c r="O6" s="955"/>
      <c r="P6" s="956">
        <f>K6-M6</f>
        <v>1</v>
      </c>
      <c r="Q6" s="958"/>
      <c r="R6" s="1012">
        <f>BB18</f>
        <v>0</v>
      </c>
      <c r="U6" s="13"/>
      <c r="W6" s="953" t="s">
        <v>408</v>
      </c>
      <c r="X6" s="954"/>
      <c r="Y6" s="954"/>
      <c r="Z6" s="955"/>
      <c r="AC6" s="149"/>
      <c r="AD6" s="149"/>
      <c r="AE6" s="149"/>
      <c r="AF6" s="149"/>
      <c r="AG6" s="149"/>
      <c r="AH6" s="149"/>
      <c r="AI6" s="149"/>
      <c r="AJ6" s="149"/>
      <c r="AK6" s="149"/>
      <c r="AL6" s="149"/>
      <c r="AM6" s="149"/>
      <c r="AN6" s="149"/>
      <c r="AO6" s="149"/>
      <c r="AP6" s="156"/>
      <c r="AQ6" s="156"/>
      <c r="AR6" s="157"/>
      <c r="AS6" s="155"/>
      <c r="AT6" s="18"/>
      <c r="AV6" s="632"/>
      <c r="AW6" s="632"/>
      <c r="AX6" s="632"/>
      <c r="AY6" s="632"/>
      <c r="AZ6" s="632"/>
      <c r="BA6" s="632"/>
      <c r="BB6" s="632"/>
      <c r="BC6" s="632"/>
      <c r="BD6" s="633"/>
    </row>
    <row r="7" spans="1:63" s="15" customFormat="1" ht="15.75" customHeight="1" x14ac:dyDescent="0.25">
      <c r="A7" s="16"/>
      <c r="B7" s="17"/>
      <c r="C7" s="953">
        <v>2</v>
      </c>
      <c r="D7" s="955"/>
      <c r="E7" s="956" t="s">
        <v>121</v>
      </c>
      <c r="F7" s="957"/>
      <c r="G7" s="957"/>
      <c r="H7" s="958"/>
      <c r="I7" s="953" t="s">
        <v>407</v>
      </c>
      <c r="J7" s="955"/>
      <c r="K7" s="956">
        <v>485</v>
      </c>
      <c r="L7" s="958"/>
      <c r="M7" s="953">
        <f>BC18</f>
        <v>484</v>
      </c>
      <c r="N7" s="954"/>
      <c r="O7" s="955"/>
      <c r="P7" s="956">
        <f t="shared" ref="P7:P11" si="0">K7-M7</f>
        <v>1</v>
      </c>
      <c r="Q7" s="958"/>
      <c r="R7" s="1013">
        <v>0</v>
      </c>
      <c r="U7" s="20"/>
      <c r="W7" s="953" t="s">
        <v>409</v>
      </c>
      <c r="X7" s="954"/>
      <c r="Y7" s="954"/>
      <c r="Z7" s="955"/>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53">
        <v>3</v>
      </c>
      <c r="D8" s="955"/>
      <c r="E8" s="953" t="s">
        <v>411</v>
      </c>
      <c r="F8" s="954"/>
      <c r="G8" s="954"/>
      <c r="H8" s="955"/>
      <c r="I8" s="953" t="s">
        <v>407</v>
      </c>
      <c r="J8" s="955"/>
      <c r="K8" s="953">
        <v>485</v>
      </c>
      <c r="L8" s="955"/>
      <c r="M8" s="953">
        <f>BD18</f>
        <v>461</v>
      </c>
      <c r="N8" s="954"/>
      <c r="O8" s="955"/>
      <c r="P8" s="956">
        <f>K8-M8</f>
        <v>24</v>
      </c>
      <c r="Q8" s="958"/>
      <c r="R8" s="1013">
        <v>3</v>
      </c>
      <c r="U8" s="500"/>
      <c r="W8" s="953" t="s">
        <v>412</v>
      </c>
      <c r="X8" s="954"/>
      <c r="Y8" s="954"/>
      <c r="Z8" s="955"/>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53">
        <v>4</v>
      </c>
      <c r="D9" s="955"/>
      <c r="E9" s="956" t="s">
        <v>1374</v>
      </c>
      <c r="F9" s="957"/>
      <c r="G9" s="957"/>
      <c r="H9" s="958"/>
      <c r="I9" s="953" t="s">
        <v>407</v>
      </c>
      <c r="J9" s="955"/>
      <c r="K9" s="956">
        <v>485</v>
      </c>
      <c r="L9" s="958"/>
      <c r="M9" s="953">
        <f>BE18</f>
        <v>352</v>
      </c>
      <c r="N9" s="954"/>
      <c r="O9" s="955"/>
      <c r="P9" s="956">
        <f>K9-M9</f>
        <v>133</v>
      </c>
      <c r="Q9" s="958"/>
      <c r="R9" s="1013">
        <v>0</v>
      </c>
      <c r="U9" s="20"/>
      <c r="W9" s="953" t="s">
        <v>415</v>
      </c>
      <c r="X9" s="954"/>
      <c r="Y9" s="954"/>
      <c r="Z9" s="955"/>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53">
        <v>5</v>
      </c>
      <c r="D10" s="955"/>
      <c r="E10" s="953" t="s">
        <v>413</v>
      </c>
      <c r="F10" s="954"/>
      <c r="G10" s="954"/>
      <c r="H10" s="955"/>
      <c r="I10" s="953" t="s">
        <v>414</v>
      </c>
      <c r="J10" s="955"/>
      <c r="K10" s="968">
        <v>191.36</v>
      </c>
      <c r="L10" s="969"/>
      <c r="M10" s="970">
        <f>(BK18/1000)+BJ18/1000+33.766</f>
        <v>116.70772999999997</v>
      </c>
      <c r="N10" s="971"/>
      <c r="O10" s="972"/>
      <c r="P10" s="973">
        <f t="shared" si="0"/>
        <v>74.652270000000044</v>
      </c>
      <c r="Q10" s="974"/>
      <c r="R10" s="1014">
        <f>BI18/1000</f>
        <v>3.3182100000000001</v>
      </c>
      <c r="S10" s="797"/>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53">
        <v>6</v>
      </c>
      <c r="D11" s="955"/>
      <c r="E11" s="953" t="s">
        <v>417</v>
      </c>
      <c r="F11" s="954"/>
      <c r="G11" s="954"/>
      <c r="H11" s="955"/>
      <c r="I11" s="953" t="s">
        <v>414</v>
      </c>
      <c r="J11" s="955"/>
      <c r="K11" s="968">
        <v>191.36</v>
      </c>
      <c r="L11" s="969"/>
      <c r="M11" s="970">
        <f>BK18/1000+33.766</f>
        <v>116.70772999999997</v>
      </c>
      <c r="N11" s="971"/>
      <c r="O11" s="972"/>
      <c r="P11" s="973">
        <f t="shared" si="0"/>
        <v>74.652270000000044</v>
      </c>
      <c r="Q11" s="974"/>
      <c r="R11" s="1015">
        <f>M10-M11</f>
        <v>0</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53" t="s">
        <v>907</v>
      </c>
      <c r="X12" s="954"/>
      <c r="Y12" s="954"/>
      <c r="Z12" s="955"/>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95" t="s">
        <v>908</v>
      </c>
      <c r="X13" s="995"/>
      <c r="Y13" s="995"/>
      <c r="Z13" s="995"/>
      <c r="AA13" s="162"/>
      <c r="AB13" s="989"/>
      <c r="AC13" s="989"/>
      <c r="AD13" s="989"/>
      <c r="AE13" s="989"/>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953" t="s">
        <v>423</v>
      </c>
      <c r="X14" s="954"/>
      <c r="Y14" s="954"/>
      <c r="Z14" s="955"/>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953" t="s">
        <v>424</v>
      </c>
      <c r="X15" s="954"/>
      <c r="Y15" s="954"/>
      <c r="Z15" s="955"/>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53" t="s">
        <v>428</v>
      </c>
      <c r="X16" s="954"/>
      <c r="Y16" s="954"/>
      <c r="Z16" s="955"/>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53" t="s">
        <v>433</v>
      </c>
      <c r="X17" s="954"/>
      <c r="Y17" s="954"/>
      <c r="Z17" s="955"/>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95" t="s">
        <v>912</v>
      </c>
      <c r="X18" s="995"/>
      <c r="Y18" s="995"/>
      <c r="Z18" s="995"/>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461</v>
      </c>
      <c r="BE18" s="10">
        <f t="shared" si="1"/>
        <v>352</v>
      </c>
      <c r="BF18" s="10">
        <f t="shared" si="1"/>
        <v>0</v>
      </c>
      <c r="BG18" s="10">
        <f t="shared" si="1"/>
        <v>0</v>
      </c>
      <c r="BH18" s="10">
        <f t="shared" si="1"/>
        <v>191392.64300000004</v>
      </c>
      <c r="BI18" s="10">
        <f t="shared" si="1"/>
        <v>3318.21</v>
      </c>
      <c r="BJ18" s="10">
        <f t="shared" si="1"/>
        <v>0</v>
      </c>
      <c r="BK18" s="10">
        <f t="shared" si="1"/>
        <v>82941.729999999981</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1739</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t="s">
        <v>419</v>
      </c>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19</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11</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8</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9</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1739</v>
      </c>
      <c r="AR153" s="13" t="s">
        <v>1739</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14</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911</v>
      </c>
      <c r="F164" s="13" t="s">
        <v>911</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44">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7" t="s">
        <v>138</v>
      </c>
      <c r="D285" s="977"/>
      <c r="E285" s="975" t="s">
        <v>920</v>
      </c>
      <c r="F285" s="975"/>
      <c r="G285" s="990" t="s">
        <v>919</v>
      </c>
      <c r="H285" s="979" t="s">
        <v>921</v>
      </c>
      <c r="I285" s="979"/>
      <c r="J285" s="979"/>
      <c r="K285" s="979"/>
      <c r="L285" s="979"/>
      <c r="M285" s="979"/>
      <c r="N285" s="979"/>
      <c r="O285" s="979"/>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78"/>
      <c r="D286" s="978"/>
      <c r="E286" s="976"/>
      <c r="F286" s="976"/>
      <c r="G286" s="991"/>
      <c r="H286" s="980" t="s">
        <v>437</v>
      </c>
      <c r="I286" s="980"/>
      <c r="J286" s="981" t="s">
        <v>435</v>
      </c>
      <c r="K286" s="981"/>
      <c r="L286" s="981"/>
      <c r="M286" s="981"/>
      <c r="N286" s="981"/>
      <c r="O286" s="981"/>
      <c r="P286" s="147"/>
      <c r="Q286" s="144"/>
      <c r="R286" s="143"/>
      <c r="S286" s="143"/>
      <c r="T286" s="143"/>
      <c r="U286" s="143"/>
      <c r="V286" s="147"/>
      <c r="W286" s="998" t="s">
        <v>926</v>
      </c>
      <c r="X286" s="998"/>
      <c r="Y286" s="998"/>
      <c r="Z286" s="998"/>
      <c r="AA286" s="998"/>
      <c r="AB286" s="998"/>
      <c r="AC286" s="998"/>
      <c r="AD286" s="998"/>
      <c r="AE286" s="998"/>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78"/>
      <c r="D287" s="978"/>
      <c r="E287" s="976"/>
      <c r="F287" s="976"/>
      <c r="G287" s="992"/>
      <c r="H287" s="148" t="s">
        <v>577</v>
      </c>
      <c r="I287" s="148" t="s">
        <v>16</v>
      </c>
      <c r="J287" s="148" t="s">
        <v>577</v>
      </c>
      <c r="K287" s="976" t="s">
        <v>917</v>
      </c>
      <c r="L287" s="976"/>
      <c r="M287" s="148" t="s">
        <v>16</v>
      </c>
      <c r="N287" s="976" t="s">
        <v>918</v>
      </c>
      <c r="O287" s="976"/>
      <c r="P287" s="145"/>
      <c r="R287" s="143"/>
      <c r="S287" s="145"/>
      <c r="T287" s="145"/>
      <c r="U287" s="145"/>
      <c r="V287" s="145"/>
      <c r="W287" s="997" t="s">
        <v>37</v>
      </c>
      <c r="X287" s="997"/>
      <c r="Y287" s="997"/>
      <c r="Z287" s="184" t="s">
        <v>922</v>
      </c>
      <c r="AA287" s="184" t="s">
        <v>923</v>
      </c>
      <c r="AB287" s="184" t="s">
        <v>16</v>
      </c>
      <c r="AC287" s="184" t="s">
        <v>925</v>
      </c>
      <c r="AD287" s="184" t="s">
        <v>924</v>
      </c>
      <c r="AE287" s="184" t="s">
        <v>927</v>
      </c>
      <c r="AT287" s="84"/>
      <c r="BO287" s="13"/>
    </row>
    <row r="288" spans="1:67" s="13" customFormat="1" x14ac:dyDescent="0.25">
      <c r="A288" s="11"/>
      <c r="B288" s="56"/>
      <c r="C288" s="510" t="s">
        <v>231</v>
      </c>
      <c r="D288" s="25"/>
      <c r="E288" s="1000">
        <f>+COUNTIF('Visual chart Edit'!$C$6:$C$520,'Visual chart'!C288)</f>
        <v>150</v>
      </c>
      <c r="F288" s="1001"/>
      <c r="G288" s="508">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147</v>
      </c>
      <c r="K288" s="984">
        <f>G288*J288</f>
        <v>5513.1426840000004</v>
      </c>
      <c r="L288" s="985"/>
      <c r="M288" s="94">
        <f t="shared" ref="M288:M316" si="3">E288-J288</f>
        <v>3</v>
      </c>
      <c r="N288" s="988">
        <f>+M288*G288</f>
        <v>112.51311600000001</v>
      </c>
      <c r="O288" s="988"/>
      <c r="P288" s="133"/>
      <c r="Q288" s="133"/>
      <c r="R288" s="133"/>
      <c r="S288" s="146"/>
      <c r="T288" s="133"/>
      <c r="U288" s="146"/>
      <c r="V288" s="133"/>
      <c r="W288" s="996" t="s">
        <v>10</v>
      </c>
      <c r="X288" s="996"/>
      <c r="Y288" s="996"/>
      <c r="Z288" s="172">
        <f>H317</f>
        <v>484</v>
      </c>
      <c r="AA288" s="172"/>
      <c r="AB288" s="172"/>
      <c r="AC288" s="172"/>
      <c r="AD288" s="172"/>
      <c r="AE288" s="172"/>
      <c r="AT288" s="30"/>
      <c r="BD288" s="509"/>
    </row>
    <row r="289" spans="1:56" s="13" customFormat="1" x14ac:dyDescent="0.25">
      <c r="A289" s="11"/>
      <c r="B289" s="56"/>
      <c r="C289" s="510" t="s">
        <v>20</v>
      </c>
      <c r="D289" s="25"/>
      <c r="E289" s="1000">
        <f>+COUNTIF('Visual chart Edit'!$C$6:$C$520,'Visual chart'!C289)</f>
        <v>161</v>
      </c>
      <c r="F289" s="1001"/>
      <c r="G289" s="508">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155</v>
      </c>
      <c r="K289" s="984">
        <f t="shared" ref="K289:K316" si="4">G289*J289</f>
        <v>6021.3789299999989</v>
      </c>
      <c r="L289" s="985"/>
      <c r="M289" s="94">
        <f t="shared" si="3"/>
        <v>6</v>
      </c>
      <c r="N289" s="988">
        <f t="shared" ref="N289:N316" si="5">+M289*G289</f>
        <v>233.08563599999997</v>
      </c>
      <c r="O289" s="988"/>
      <c r="P289" s="133"/>
      <c r="Q289" s="133"/>
      <c r="R289" s="133"/>
      <c r="S289" s="146"/>
      <c r="T289" s="133"/>
      <c r="U289" s="146"/>
      <c r="V289" s="133"/>
      <c r="W289" s="996" t="s">
        <v>126</v>
      </c>
      <c r="X289" s="996"/>
      <c r="Y289" s="996"/>
      <c r="Z289" s="172">
        <f>J317</f>
        <v>461</v>
      </c>
      <c r="AA289" s="172"/>
      <c r="AB289" s="172"/>
      <c r="AC289" s="172"/>
      <c r="AD289" s="172"/>
      <c r="AE289" s="172"/>
      <c r="AT289" s="30"/>
      <c r="BD289" s="509"/>
    </row>
    <row r="290" spans="1:56" s="13" customFormat="1" x14ac:dyDescent="0.25">
      <c r="A290" s="11"/>
      <c r="B290" s="56"/>
      <c r="C290" s="510" t="s">
        <v>232</v>
      </c>
      <c r="D290" s="25"/>
      <c r="E290" s="1000">
        <f>+COUNTIF('Visual chart Edit'!$C$6:$C$520,'Visual chart'!C290)</f>
        <v>48</v>
      </c>
      <c r="F290" s="1001"/>
      <c r="G290" s="508">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42</v>
      </c>
      <c r="K290" s="984">
        <f t="shared" si="4"/>
        <v>1907.3471760000002</v>
      </c>
      <c r="L290" s="985"/>
      <c r="M290" s="94">
        <f t="shared" si="3"/>
        <v>6</v>
      </c>
      <c r="N290" s="988">
        <f t="shared" si="5"/>
        <v>272.47816800000004</v>
      </c>
      <c r="O290" s="988"/>
      <c r="P290" s="133"/>
      <c r="Q290" s="133"/>
      <c r="R290" s="133"/>
      <c r="S290" s="146"/>
      <c r="T290" s="133"/>
      <c r="U290" s="146"/>
      <c r="V290" s="133"/>
      <c r="X290" s="23"/>
      <c r="AT290" s="30"/>
      <c r="BD290" s="509"/>
    </row>
    <row r="291" spans="1:56" s="13" customFormat="1" x14ac:dyDescent="0.25">
      <c r="A291" s="11"/>
      <c r="B291" s="56"/>
      <c r="C291" s="510" t="s">
        <v>233</v>
      </c>
      <c r="D291" s="25"/>
      <c r="E291" s="1000">
        <f>+COUNTIF('Visual chart Edit'!$C$6:$C$520,'Visual chart'!C291)</f>
        <v>38</v>
      </c>
      <c r="F291" s="1001"/>
      <c r="G291" s="508">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84">
        <f t="shared" si="4"/>
        <v>1698.6366</v>
      </c>
      <c r="L291" s="985"/>
      <c r="M291" s="94">
        <f t="shared" si="3"/>
        <v>2</v>
      </c>
      <c r="N291" s="988">
        <f t="shared" si="5"/>
        <v>94.368700000000004</v>
      </c>
      <c r="O291" s="988"/>
      <c r="P291" s="133"/>
      <c r="Q291" s="133"/>
      <c r="R291" s="133"/>
      <c r="S291" s="146"/>
      <c r="T291" s="133"/>
      <c r="U291" s="146"/>
      <c r="V291" s="133"/>
      <c r="X291" s="23"/>
      <c r="AT291" s="30"/>
      <c r="BD291" s="509"/>
    </row>
    <row r="292" spans="1:56" s="13" customFormat="1" x14ac:dyDescent="0.25">
      <c r="A292" s="11"/>
      <c r="B292" s="56"/>
      <c r="C292" s="510" t="s">
        <v>242</v>
      </c>
      <c r="D292" s="25"/>
      <c r="E292" s="1000">
        <f>+COUNTIF('Visual chart Edit'!$C$6:$C$520,'Visual chart'!C292)</f>
        <v>13</v>
      </c>
      <c r="F292" s="1001"/>
      <c r="G292" s="508">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84">
        <f t="shared" si="4"/>
        <v>633.56965100000002</v>
      </c>
      <c r="L292" s="985"/>
      <c r="M292" s="94">
        <f t="shared" si="3"/>
        <v>2</v>
      </c>
      <c r="N292" s="988">
        <f t="shared" si="5"/>
        <v>115.19448199999999</v>
      </c>
      <c r="O292" s="988"/>
      <c r="P292" s="133"/>
      <c r="Q292" s="133"/>
      <c r="R292" s="133"/>
      <c r="S292" s="146"/>
      <c r="T292" s="133"/>
      <c r="U292" s="146"/>
      <c r="V292" s="133"/>
      <c r="X292" s="23"/>
      <c r="AT292" s="30"/>
      <c r="BD292" s="509"/>
    </row>
    <row r="293" spans="1:56" s="13" customFormat="1" x14ac:dyDescent="0.25">
      <c r="A293" s="11"/>
      <c r="B293" s="56"/>
      <c r="C293" s="510" t="s">
        <v>243</v>
      </c>
      <c r="D293" s="25"/>
      <c r="E293" s="1000">
        <f>+COUNTIF('Visual chart Edit'!$C$6:$C$520,'Visual chart'!C293)</f>
        <v>3</v>
      </c>
      <c r="F293" s="1001"/>
      <c r="G293" s="508">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84">
        <f t="shared" si="4"/>
        <v>180.29033100000001</v>
      </c>
      <c r="L293" s="985"/>
      <c r="M293" s="94">
        <f t="shared" si="3"/>
        <v>0</v>
      </c>
      <c r="N293" s="988">
        <f t="shared" si="5"/>
        <v>0</v>
      </c>
      <c r="O293" s="988"/>
      <c r="P293" s="133"/>
      <c r="Q293" s="133"/>
      <c r="R293" s="133"/>
      <c r="S293" s="146"/>
      <c r="T293" s="133"/>
      <c r="U293" s="146"/>
      <c r="V293" s="133"/>
      <c r="X293" s="23"/>
      <c r="AT293" s="30"/>
      <c r="BD293" s="509"/>
    </row>
    <row r="294" spans="1:56" s="13" customFormat="1" x14ac:dyDescent="0.25">
      <c r="A294" s="11"/>
      <c r="B294" s="56"/>
      <c r="C294" s="510" t="s">
        <v>246</v>
      </c>
      <c r="D294" s="25"/>
      <c r="E294" s="1000">
        <f>+COUNTIF('Visual chart Edit'!$C$6:$C$520,'Visual chart'!C294)</f>
        <v>3</v>
      </c>
      <c r="F294" s="1001"/>
      <c r="G294" s="508">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84">
        <f t="shared" si="4"/>
        <v>203.62095299999999</v>
      </c>
      <c r="L294" s="985"/>
      <c r="M294" s="94">
        <f t="shared" si="3"/>
        <v>0</v>
      </c>
      <c r="N294" s="988">
        <f t="shared" si="5"/>
        <v>0</v>
      </c>
      <c r="O294" s="988"/>
      <c r="P294" s="133"/>
      <c r="Q294" s="133"/>
      <c r="R294" s="133"/>
      <c r="S294" s="146"/>
      <c r="T294" s="133"/>
      <c r="U294" s="146"/>
      <c r="V294" s="133"/>
      <c r="X294" s="23"/>
      <c r="AT294" s="30"/>
      <c r="BD294" s="509"/>
    </row>
    <row r="295" spans="1:56" s="13" customFormat="1" x14ac:dyDescent="0.25">
      <c r="A295" s="11"/>
      <c r="B295" s="56"/>
      <c r="C295" s="510" t="s">
        <v>240</v>
      </c>
      <c r="D295" s="25"/>
      <c r="E295" s="1000">
        <f>+COUNTIF('Visual chart Edit'!$C$6:$C$520,'Visual chart'!C295)</f>
        <v>3</v>
      </c>
      <c r="F295" s="1001"/>
      <c r="G295" s="508">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84">
        <f t="shared" si="4"/>
        <v>212.10510899999997</v>
      </c>
      <c r="L295" s="985"/>
      <c r="M295" s="94">
        <f t="shared" si="3"/>
        <v>0</v>
      </c>
      <c r="N295" s="988">
        <f t="shared" si="5"/>
        <v>0</v>
      </c>
      <c r="O295" s="988"/>
      <c r="P295" s="133"/>
      <c r="Q295" s="133"/>
      <c r="R295" s="133"/>
      <c r="S295" s="146"/>
      <c r="T295" s="133"/>
      <c r="U295" s="146"/>
      <c r="V295" s="133"/>
      <c r="X295" s="23"/>
      <c r="AT295" s="30"/>
      <c r="BD295" s="509"/>
    </row>
    <row r="296" spans="1:56" s="13" customFormat="1" x14ac:dyDescent="0.25">
      <c r="A296" s="11"/>
      <c r="B296" s="56"/>
      <c r="C296" s="510" t="s">
        <v>245</v>
      </c>
      <c r="D296" s="25"/>
      <c r="E296" s="1000">
        <f>+COUNTIF('Visual chart Edit'!$C$6:$C$520,'Visual chart'!C296)</f>
        <v>14</v>
      </c>
      <c r="F296" s="1001"/>
      <c r="G296" s="508">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84">
        <f t="shared" si="4"/>
        <v>806.36137399999996</v>
      </c>
      <c r="L296" s="985"/>
      <c r="M296" s="94">
        <f t="shared" si="3"/>
        <v>0</v>
      </c>
      <c r="N296" s="988">
        <f t="shared" si="5"/>
        <v>0</v>
      </c>
      <c r="O296" s="988"/>
      <c r="P296" s="133"/>
      <c r="Q296" s="133"/>
      <c r="R296" s="133"/>
      <c r="S296" s="146"/>
      <c r="T296" s="133"/>
      <c r="U296" s="146"/>
      <c r="V296" s="133"/>
      <c r="X296" s="23"/>
      <c r="AT296" s="30"/>
      <c r="BD296" s="509"/>
    </row>
    <row r="297" spans="1:56" s="13" customFormat="1" x14ac:dyDescent="0.25">
      <c r="A297" s="11"/>
      <c r="B297" s="56"/>
      <c r="C297" s="510" t="s">
        <v>249</v>
      </c>
      <c r="D297" s="25"/>
      <c r="E297" s="1000">
        <f>+COUNTIF('Visual chart Edit'!$C$6:$C$520,'Visual chart'!C297)</f>
        <v>4</v>
      </c>
      <c r="F297" s="1001"/>
      <c r="G297" s="508">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84">
        <f t="shared" si="4"/>
        <v>180.29033100000001</v>
      </c>
      <c r="L297" s="985"/>
      <c r="M297" s="94">
        <f t="shared" si="3"/>
        <v>1</v>
      </c>
      <c r="N297" s="988">
        <f t="shared" si="5"/>
        <v>60.096777000000003</v>
      </c>
      <c r="O297" s="988"/>
      <c r="P297" s="133"/>
      <c r="Q297" s="133"/>
      <c r="R297" s="133"/>
      <c r="S297" s="146"/>
      <c r="T297" s="133"/>
      <c r="U297" s="146"/>
      <c r="V297" s="133"/>
      <c r="X297" s="23"/>
      <c r="AT297" s="30"/>
      <c r="BD297" s="509"/>
    </row>
    <row r="298" spans="1:56" s="13" customFormat="1" x14ac:dyDescent="0.25">
      <c r="A298" s="11"/>
      <c r="B298" s="56"/>
      <c r="C298" s="510" t="s">
        <v>234</v>
      </c>
      <c r="D298" s="25"/>
      <c r="E298" s="1000">
        <f>+COUNTIF('Visual chart Edit'!$C$6:$C$520,'Visual chart'!C298)</f>
        <v>3</v>
      </c>
      <c r="F298" s="1001"/>
      <c r="G298" s="508">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84">
        <f t="shared" si="4"/>
        <v>203.62095299999999</v>
      </c>
      <c r="L298" s="985"/>
      <c r="M298" s="94">
        <f t="shared" si="3"/>
        <v>0</v>
      </c>
      <c r="N298" s="988">
        <f t="shared" si="5"/>
        <v>0</v>
      </c>
      <c r="O298" s="988"/>
      <c r="P298" s="133"/>
      <c r="Q298" s="133"/>
      <c r="R298" s="133"/>
      <c r="S298" s="146"/>
      <c r="T298" s="133"/>
      <c r="U298" s="146"/>
      <c r="V298" s="133"/>
      <c r="X298" s="23"/>
      <c r="AT298" s="30"/>
      <c r="BD298" s="509"/>
    </row>
    <row r="299" spans="1:56" s="13" customFormat="1" x14ac:dyDescent="0.25">
      <c r="A299" s="11"/>
      <c r="B299" s="56"/>
      <c r="C299" s="510" t="s">
        <v>241</v>
      </c>
      <c r="D299" s="25"/>
      <c r="E299" s="1000">
        <f>+COUNTIF('Visual chart Edit'!$C$6:$C$520,'Visual chart'!C299)</f>
        <v>2</v>
      </c>
      <c r="F299" s="1001"/>
      <c r="G299" s="508">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84">
        <f t="shared" si="4"/>
        <v>141.40340599999999</v>
      </c>
      <c r="L299" s="985"/>
      <c r="M299" s="94">
        <f t="shared" si="3"/>
        <v>0</v>
      </c>
      <c r="N299" s="988">
        <f t="shared" si="5"/>
        <v>0</v>
      </c>
      <c r="O299" s="988"/>
      <c r="P299" s="133"/>
      <c r="Q299" s="133"/>
      <c r="R299" s="133"/>
      <c r="S299" s="146"/>
      <c r="T299" s="133"/>
      <c r="U299" s="146"/>
      <c r="V299" s="133"/>
      <c r="X299" s="23"/>
      <c r="AT299" s="30"/>
      <c r="BD299" s="509"/>
    </row>
    <row r="300" spans="1:56" s="13" customFormat="1" x14ac:dyDescent="0.25">
      <c r="A300" s="11"/>
      <c r="B300" s="56"/>
      <c r="C300" s="510" t="s">
        <v>239</v>
      </c>
      <c r="D300" s="25"/>
      <c r="E300" s="1000">
        <f>+COUNTIF('Visual chart Edit'!$C$6:$C$520,'Visual chart'!C300)</f>
        <v>12</v>
      </c>
      <c r="F300" s="1001"/>
      <c r="G300" s="508">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86">
        <f t="shared" si="4"/>
        <v>730.1921769999999</v>
      </c>
      <c r="L300" s="986"/>
      <c r="M300" s="94">
        <f t="shared" si="3"/>
        <v>1</v>
      </c>
      <c r="N300" s="988">
        <f t="shared" si="5"/>
        <v>66.381106999999986</v>
      </c>
      <c r="O300" s="988"/>
      <c r="P300" s="133"/>
      <c r="Q300" s="133"/>
      <c r="R300" s="133"/>
      <c r="S300" s="146"/>
      <c r="T300" s="133"/>
      <c r="U300" s="146"/>
      <c r="V300" s="133"/>
      <c r="AT300" s="30"/>
      <c r="BD300" s="509"/>
    </row>
    <row r="301" spans="1:56" s="13" customFormat="1" x14ac:dyDescent="0.25">
      <c r="A301" s="11"/>
      <c r="B301" s="56"/>
      <c r="C301" s="510" t="s">
        <v>866</v>
      </c>
      <c r="D301" s="25"/>
      <c r="E301" s="1000">
        <f>+COUNTIF('Visual chart Edit'!$C$6:$C$520,'Visual chart'!C301)</f>
        <v>1</v>
      </c>
      <c r="F301" s="1001"/>
      <c r="G301" s="508">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86">
        <f t="shared" si="4"/>
        <v>94.219902999999988</v>
      </c>
      <c r="L301" s="986"/>
      <c r="M301" s="94">
        <f t="shared" si="3"/>
        <v>0</v>
      </c>
      <c r="N301" s="988">
        <f t="shared" si="5"/>
        <v>0</v>
      </c>
      <c r="O301" s="988"/>
      <c r="P301" s="133"/>
      <c r="Q301" s="133"/>
      <c r="R301" s="133"/>
      <c r="S301" s="146"/>
      <c r="T301" s="133"/>
      <c r="U301" s="146"/>
      <c r="V301" s="133"/>
      <c r="AT301" s="30"/>
      <c r="BD301" s="509"/>
    </row>
    <row r="302" spans="1:56" s="13" customFormat="1" x14ac:dyDescent="0.25">
      <c r="A302" s="11"/>
      <c r="B302" s="56"/>
      <c r="C302" s="510" t="s">
        <v>868</v>
      </c>
      <c r="D302" s="25"/>
      <c r="E302" s="1000">
        <f>+COUNTIF('Visual chart Edit'!$C$6:$C$520,'Visual chart'!C302)</f>
        <v>1</v>
      </c>
      <c r="F302" s="1001"/>
      <c r="G302" s="508">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86">
        <f t="shared" si="4"/>
        <v>69.228687000000008</v>
      </c>
      <c r="L302" s="986"/>
      <c r="M302" s="94">
        <f t="shared" si="3"/>
        <v>0</v>
      </c>
      <c r="N302" s="988">
        <f t="shared" si="5"/>
        <v>0</v>
      </c>
      <c r="O302" s="988"/>
      <c r="P302" s="133"/>
      <c r="Q302" s="133"/>
      <c r="R302" s="133"/>
      <c r="S302" s="146"/>
      <c r="T302" s="133"/>
      <c r="U302" s="146"/>
      <c r="V302" s="133"/>
      <c r="AT302" s="30"/>
      <c r="BD302" s="509"/>
    </row>
    <row r="303" spans="1:56" s="13" customFormat="1" x14ac:dyDescent="0.25">
      <c r="A303" s="11"/>
      <c r="B303" s="56"/>
      <c r="C303" s="510" t="s">
        <v>361</v>
      </c>
      <c r="D303" s="25"/>
      <c r="E303" s="1000">
        <f>+COUNTIF('Visual chart Edit'!$C$6:$C$520,'Visual chart'!C303)</f>
        <v>2</v>
      </c>
      <c r="F303" s="1001"/>
      <c r="G303" s="508">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86">
        <f t="shared" si="4"/>
        <v>156.26409399999997</v>
      </c>
      <c r="L303" s="986"/>
      <c r="M303" s="94">
        <f t="shared" si="3"/>
        <v>0</v>
      </c>
      <c r="N303" s="988">
        <f t="shared" si="5"/>
        <v>0</v>
      </c>
      <c r="O303" s="988"/>
      <c r="P303" s="133"/>
      <c r="Q303" s="133"/>
      <c r="R303" s="133"/>
      <c r="S303" s="146"/>
      <c r="T303" s="133"/>
      <c r="U303" s="146"/>
      <c r="V303" s="133"/>
      <c r="AT303" s="30"/>
      <c r="BD303" s="509"/>
    </row>
    <row r="304" spans="1:56" s="13" customFormat="1" x14ac:dyDescent="0.25">
      <c r="A304" s="11"/>
      <c r="B304" s="56"/>
      <c r="C304" s="510" t="s">
        <v>870</v>
      </c>
      <c r="D304" s="25"/>
      <c r="E304" s="1000">
        <f>+COUNTIF('Visual chart Edit'!$C$6:$C$520,'Visual chart'!C304)</f>
        <v>1</v>
      </c>
      <c r="F304" s="1001"/>
      <c r="G304" s="508">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86">
        <f t="shared" si="4"/>
        <v>81.494626999999994</v>
      </c>
      <c r="L304" s="986"/>
      <c r="M304" s="94">
        <f t="shared" si="3"/>
        <v>0</v>
      </c>
      <c r="N304" s="988">
        <f t="shared" si="5"/>
        <v>0</v>
      </c>
      <c r="O304" s="988"/>
      <c r="P304" s="133"/>
      <c r="Q304" s="133"/>
      <c r="R304" s="133"/>
      <c r="S304" s="146"/>
      <c r="T304" s="133"/>
      <c r="U304" s="146"/>
      <c r="V304" s="133"/>
      <c r="AT304" s="30"/>
      <c r="BD304" s="509"/>
    </row>
    <row r="305" spans="1:67" s="13" customFormat="1" x14ac:dyDescent="0.25">
      <c r="A305" s="11"/>
      <c r="B305" s="56"/>
      <c r="C305" s="510" t="s">
        <v>244</v>
      </c>
      <c r="D305" s="25"/>
      <c r="E305" s="1000">
        <f>+COUNTIF('Visual chart Edit'!$C$6:$C$520,'Visual chart'!C305)</f>
        <v>9</v>
      </c>
      <c r="F305" s="1001"/>
      <c r="G305" s="508">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86">
        <f t="shared" si="4"/>
        <v>597.42996299999982</v>
      </c>
      <c r="L305" s="986"/>
      <c r="M305" s="94">
        <f t="shared" si="3"/>
        <v>0</v>
      </c>
      <c r="N305" s="988">
        <f t="shared" si="5"/>
        <v>0</v>
      </c>
      <c r="O305" s="988"/>
      <c r="P305" s="133"/>
      <c r="Q305" s="133"/>
      <c r="R305" s="133"/>
      <c r="S305" s="146"/>
      <c r="T305" s="133"/>
      <c r="U305" s="146"/>
      <c r="V305" s="133"/>
      <c r="AT305" s="30"/>
      <c r="BD305" s="509"/>
    </row>
    <row r="306" spans="1:67" s="13" customFormat="1" x14ac:dyDescent="0.25">
      <c r="A306" s="11"/>
      <c r="B306" s="56"/>
      <c r="C306" s="510" t="s">
        <v>905</v>
      </c>
      <c r="D306" s="25"/>
      <c r="E306" s="1000">
        <f>+COUNTIF('Visual chart Edit'!$C$6:$C$520,'Visual chart'!C306)</f>
        <v>0</v>
      </c>
      <c r="F306" s="1001"/>
      <c r="G306" s="508">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86">
        <f t="shared" si="4"/>
        <v>0</v>
      </c>
      <c r="L306" s="986"/>
      <c r="M306" s="94">
        <f t="shared" si="3"/>
        <v>0</v>
      </c>
      <c r="N306" s="988">
        <f t="shared" si="5"/>
        <v>0</v>
      </c>
      <c r="O306" s="988"/>
      <c r="P306" s="133"/>
      <c r="Q306" s="133"/>
      <c r="R306" s="133"/>
      <c r="S306" s="146"/>
      <c r="T306" s="133"/>
      <c r="U306" s="146"/>
      <c r="V306" s="133"/>
      <c r="AT306" s="30"/>
      <c r="BD306" s="509"/>
    </row>
    <row r="307" spans="1:67" s="13" customFormat="1" x14ac:dyDescent="0.25">
      <c r="A307" s="11"/>
      <c r="B307" s="56"/>
      <c r="C307" s="510" t="s">
        <v>869</v>
      </c>
      <c r="D307" s="25"/>
      <c r="E307" s="1000">
        <f>+COUNTIF('Visual chart Edit'!$C$6:$C$520,'Visual chart'!C307)</f>
        <v>1</v>
      </c>
      <c r="F307" s="1001"/>
      <c r="G307" s="508">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86">
        <f t="shared" si="4"/>
        <v>78.132046999999986</v>
      </c>
      <c r="L307" s="986"/>
      <c r="M307" s="94">
        <f t="shared" si="3"/>
        <v>0</v>
      </c>
      <c r="N307" s="988">
        <f t="shared" si="5"/>
        <v>0</v>
      </c>
      <c r="O307" s="988"/>
      <c r="P307" s="133"/>
      <c r="Q307" s="133"/>
      <c r="R307" s="133"/>
      <c r="S307" s="146"/>
      <c r="T307" s="133"/>
      <c r="U307" s="146"/>
      <c r="V307" s="133"/>
      <c r="AT307" s="30"/>
      <c r="BD307" s="509"/>
    </row>
    <row r="308" spans="1:67" s="13" customFormat="1" x14ac:dyDescent="0.25">
      <c r="A308" s="11"/>
      <c r="B308" s="56"/>
      <c r="C308" s="510" t="s">
        <v>248</v>
      </c>
      <c r="D308" s="25"/>
      <c r="E308" s="1000">
        <f>+COUNTIF('Visual chart Edit'!$C$6:$C$520,'Visual chart'!C308)</f>
        <v>0</v>
      </c>
      <c r="F308" s="1001"/>
      <c r="G308" s="508">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86">
        <f t="shared" si="4"/>
        <v>0</v>
      </c>
      <c r="L308" s="986"/>
      <c r="M308" s="94">
        <f t="shared" si="3"/>
        <v>0</v>
      </c>
      <c r="N308" s="988">
        <f t="shared" si="5"/>
        <v>0</v>
      </c>
      <c r="O308" s="988"/>
      <c r="P308" s="133"/>
      <c r="Q308" s="133"/>
      <c r="R308" s="133"/>
      <c r="S308" s="146"/>
      <c r="T308" s="133"/>
      <c r="U308" s="146"/>
      <c r="V308" s="133"/>
      <c r="AT308" s="30"/>
      <c r="BD308" s="509"/>
    </row>
    <row r="309" spans="1:67" s="13" customFormat="1" x14ac:dyDescent="0.25">
      <c r="A309" s="11"/>
      <c r="B309" s="56"/>
      <c r="C309" s="510" t="s">
        <v>867</v>
      </c>
      <c r="D309" s="25"/>
      <c r="E309" s="1000">
        <f>+COUNTIF('Visual chart Edit'!$C$6:$C$520,'Visual chart'!C309)</f>
        <v>2</v>
      </c>
      <c r="F309" s="1001"/>
      <c r="G309" s="508">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86">
        <f t="shared" si="4"/>
        <v>172.25855799999999</v>
      </c>
      <c r="L309" s="986"/>
      <c r="M309" s="94">
        <f t="shared" si="3"/>
        <v>0</v>
      </c>
      <c r="N309" s="988">
        <f t="shared" si="5"/>
        <v>0</v>
      </c>
      <c r="O309" s="988"/>
      <c r="P309" s="133"/>
      <c r="Q309" s="133"/>
      <c r="R309" s="133"/>
      <c r="S309" s="146"/>
      <c r="T309" s="133"/>
      <c r="U309" s="146"/>
      <c r="V309" s="133"/>
      <c r="AT309" s="30"/>
      <c r="BD309" s="509"/>
    </row>
    <row r="310" spans="1:67" s="13" customFormat="1" x14ac:dyDescent="0.25">
      <c r="A310" s="11"/>
      <c r="B310" s="56"/>
      <c r="C310" s="510" t="s">
        <v>247</v>
      </c>
      <c r="D310" s="25"/>
      <c r="E310" s="1000">
        <f>+COUNTIF('Visual chart Edit'!$C$6:$C$520,'Visual chart'!C310)</f>
        <v>2</v>
      </c>
      <c r="F310" s="1001"/>
      <c r="G310" s="508">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86">
        <f t="shared" si="4"/>
        <v>89.909625000000005</v>
      </c>
      <c r="L310" s="986"/>
      <c r="M310" s="94">
        <f t="shared" si="3"/>
        <v>1</v>
      </c>
      <c r="N310" s="988">
        <f t="shared" si="5"/>
        <v>89.909625000000005</v>
      </c>
      <c r="O310" s="988"/>
      <c r="P310" s="133"/>
      <c r="Q310" s="133"/>
      <c r="R310" s="133"/>
      <c r="S310" s="146"/>
      <c r="T310" s="133"/>
      <c r="U310" s="146"/>
      <c r="V310" s="133"/>
      <c r="AT310" s="30"/>
      <c r="BD310" s="509"/>
    </row>
    <row r="311" spans="1:67" s="13" customFormat="1" x14ac:dyDescent="0.25">
      <c r="A311" s="11"/>
      <c r="B311" s="56"/>
      <c r="C311" s="510" t="s">
        <v>238</v>
      </c>
      <c r="D311" s="25"/>
      <c r="E311" s="1000">
        <f>+COUNTIF('Visual chart Edit'!$C$6:$C$520,'Visual chart'!C311)</f>
        <v>3</v>
      </c>
      <c r="F311" s="1001"/>
      <c r="G311" s="508">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86">
        <f t="shared" si="4"/>
        <v>258.38783699999999</v>
      </c>
      <c r="L311" s="986"/>
      <c r="M311" s="94">
        <f t="shared" si="3"/>
        <v>0</v>
      </c>
      <c r="N311" s="988">
        <f t="shared" si="5"/>
        <v>0</v>
      </c>
      <c r="O311" s="988"/>
      <c r="P311" s="133"/>
      <c r="Q311" s="133"/>
      <c r="R311" s="133"/>
      <c r="S311" s="146"/>
      <c r="T311" s="133"/>
      <c r="U311" s="146"/>
      <c r="V311" s="133"/>
      <c r="AT311" s="30"/>
      <c r="BD311" s="509"/>
    </row>
    <row r="312" spans="1:67" s="13" customFormat="1" x14ac:dyDescent="0.25">
      <c r="A312" s="11"/>
      <c r="B312" s="56"/>
      <c r="C312" s="510" t="s">
        <v>362</v>
      </c>
      <c r="D312" s="25"/>
      <c r="E312" s="1000">
        <f>+COUNTIF('Visual chart Edit'!$C$6:$C$520,'Visual chart'!C312)</f>
        <v>1</v>
      </c>
      <c r="F312" s="1001"/>
      <c r="G312" s="508">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86">
        <f t="shared" si="4"/>
        <v>0</v>
      </c>
      <c r="L312" s="986"/>
      <c r="M312" s="94">
        <f t="shared" si="3"/>
        <v>1</v>
      </c>
      <c r="N312" s="988">
        <f t="shared" si="5"/>
        <v>89.909625000000005</v>
      </c>
      <c r="O312" s="988"/>
      <c r="P312" s="133"/>
      <c r="Q312" s="133"/>
      <c r="R312" s="133"/>
      <c r="S312" s="146"/>
      <c r="T312" s="133"/>
      <c r="U312" s="146"/>
      <c r="V312" s="133"/>
      <c r="AT312" s="30"/>
      <c r="BD312" s="509"/>
    </row>
    <row r="313" spans="1:67" s="13" customFormat="1" x14ac:dyDescent="0.25">
      <c r="A313" s="11"/>
      <c r="B313" s="56"/>
      <c r="C313" s="510" t="s">
        <v>651</v>
      </c>
      <c r="D313" s="25"/>
      <c r="E313" s="1000">
        <f>+COUNTIF('Visual chart Edit'!$C$6:$C$520,'Visual chart'!C313)</f>
        <v>2</v>
      </c>
      <c r="F313" s="1001"/>
      <c r="G313" s="508">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86">
        <f t="shared" si="4"/>
        <v>201.93601800000002</v>
      </c>
      <c r="L313" s="986"/>
      <c r="M313" s="94">
        <f t="shared" si="3"/>
        <v>0</v>
      </c>
      <c r="N313" s="988">
        <f t="shared" si="5"/>
        <v>0</v>
      </c>
      <c r="O313" s="988"/>
      <c r="P313" s="133"/>
      <c r="Q313" s="133"/>
      <c r="R313" s="133"/>
      <c r="S313" s="146"/>
      <c r="T313" s="133"/>
      <c r="U313" s="146"/>
      <c r="V313" s="133"/>
      <c r="AT313" s="30"/>
      <c r="BD313" s="509"/>
    </row>
    <row r="314" spans="1:67" s="13" customFormat="1" x14ac:dyDescent="0.25">
      <c r="A314" s="11"/>
      <c r="B314" s="56"/>
      <c r="C314" s="510" t="s">
        <v>357</v>
      </c>
      <c r="D314" s="25"/>
      <c r="E314" s="1000">
        <f>+COUNTIF('Visual chart Edit'!$C$6:$C$520,'Visual chart'!C314)</f>
        <v>0</v>
      </c>
      <c r="F314" s="1001"/>
      <c r="G314" s="508">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86">
        <f t="shared" si="4"/>
        <v>0</v>
      </c>
      <c r="L314" s="986"/>
      <c r="M314" s="94">
        <f t="shared" si="3"/>
        <v>0</v>
      </c>
      <c r="N314" s="988">
        <f t="shared" si="5"/>
        <v>0</v>
      </c>
      <c r="O314" s="988"/>
      <c r="P314" s="133"/>
      <c r="Q314" s="133"/>
      <c r="R314" s="133"/>
      <c r="S314" s="146"/>
      <c r="T314" s="133"/>
      <c r="U314" s="146"/>
      <c r="V314" s="133"/>
      <c r="AT314" s="30"/>
      <c r="BD314" s="509"/>
    </row>
    <row r="315" spans="1:67" s="13" customFormat="1" x14ac:dyDescent="0.25">
      <c r="A315" s="11"/>
      <c r="B315" s="56"/>
      <c r="C315" s="510" t="s">
        <v>652</v>
      </c>
      <c r="D315" s="25"/>
      <c r="E315" s="1000">
        <f>+COUNTIF('Visual chart Edit'!$C$6:$C$520,'Visual chart'!C315)</f>
        <v>1</v>
      </c>
      <c r="F315" s="1001"/>
      <c r="G315" s="508">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86">
        <f t="shared" si="4"/>
        <v>129.110961</v>
      </c>
      <c r="L315" s="986"/>
      <c r="M315" s="94">
        <f t="shared" si="3"/>
        <v>0</v>
      </c>
      <c r="N315" s="988">
        <f t="shared" si="5"/>
        <v>0</v>
      </c>
      <c r="O315" s="988"/>
      <c r="P315" s="133"/>
      <c r="Q315" s="133"/>
      <c r="R315" s="133"/>
      <c r="S315" s="146"/>
      <c r="T315" s="133"/>
      <c r="U315" s="146"/>
      <c r="V315" s="133"/>
      <c r="AT315" s="30"/>
      <c r="BD315" s="509"/>
    </row>
    <row r="316" spans="1:67" s="13" customFormat="1" x14ac:dyDescent="0.25">
      <c r="A316" s="11"/>
      <c r="B316" s="56"/>
      <c r="C316" s="510" t="s">
        <v>653</v>
      </c>
      <c r="D316" s="25"/>
      <c r="E316" s="1000">
        <f>+COUNTIF('Visual chart Edit'!$C$6:$C$520,'Visual chart'!C316)</f>
        <v>5</v>
      </c>
      <c r="F316" s="1001"/>
      <c r="G316" s="508">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86">
        <f t="shared" si="4"/>
        <v>574.40749200000005</v>
      </c>
      <c r="L316" s="986"/>
      <c r="M316" s="94">
        <f t="shared" si="3"/>
        <v>1</v>
      </c>
      <c r="N316" s="988">
        <f t="shared" si="5"/>
        <v>143.60187300000001</v>
      </c>
      <c r="O316" s="988"/>
      <c r="P316" s="133"/>
      <c r="Q316" s="133"/>
      <c r="R316" s="133"/>
      <c r="S316" s="146"/>
      <c r="T316" s="133"/>
      <c r="U316" s="146"/>
      <c r="V316" s="133"/>
      <c r="AT316" s="30"/>
      <c r="BD316" s="509"/>
    </row>
    <row r="317" spans="1:67" s="23" customFormat="1" ht="15.75" customHeight="1" thickBot="1" x14ac:dyDescent="0.25">
      <c r="A317" s="46"/>
      <c r="B317" s="58"/>
      <c r="C317" s="993" t="s">
        <v>19</v>
      </c>
      <c r="D317" s="994"/>
      <c r="E317" s="982">
        <f>SUM(E288:F316)</f>
        <v>485</v>
      </c>
      <c r="F317" s="983"/>
      <c r="G317" s="629"/>
      <c r="H317" s="630">
        <f>+SUM(H288:H316)</f>
        <v>484</v>
      </c>
      <c r="I317" s="631">
        <f>SUM(I288:I316)</f>
        <v>1</v>
      </c>
      <c r="J317" s="630">
        <f>SUM(J288:J316)</f>
        <v>461</v>
      </c>
      <c r="K317" s="987">
        <f t="shared" ref="K317" si="6">SUM(K288:K316)</f>
        <v>20934.739486999995</v>
      </c>
      <c r="L317" s="987"/>
      <c r="M317" s="631">
        <f>+SUM(M288:M316)</f>
        <v>24</v>
      </c>
      <c r="N317" s="999">
        <f>+SUM(N288:N316)</f>
        <v>1277.5391090000001</v>
      </c>
      <c r="O317" s="999"/>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5"/>
    <col min="3" max="3" width="11.42578125" style="425" customWidth="1"/>
    <col min="4" max="4" width="3" style="425" customWidth="1"/>
    <col min="5" max="6" width="2.140625" style="425" customWidth="1"/>
    <col min="7" max="7" width="2.28515625" style="425" customWidth="1"/>
    <col min="8" max="8" width="23.28515625" style="425" customWidth="1"/>
    <col min="9" max="9" width="11.42578125" style="425" customWidth="1"/>
    <col min="10" max="10" width="22" style="425" bestFit="1" customWidth="1"/>
    <col min="11" max="11" width="7" style="425" bestFit="1" customWidth="1"/>
    <col min="12" max="12" width="13.28515625" style="425" bestFit="1" customWidth="1"/>
    <col min="13" max="13" width="15" style="425" bestFit="1" customWidth="1"/>
    <col min="14" max="14" width="31.28515625" style="426" customWidth="1"/>
    <col min="15" max="16384" width="9.140625" style="426"/>
  </cols>
  <sheetData>
    <row r="1" spans="1:14" x14ac:dyDescent="0.25">
      <c r="A1" s="661" t="s">
        <v>1260</v>
      </c>
      <c r="M1" s="662"/>
    </row>
    <row r="2" spans="1:14" s="425" customFormat="1" x14ac:dyDescent="0.25">
      <c r="A2" s="425">
        <v>1</v>
      </c>
      <c r="B2" s="425">
        <v>2</v>
      </c>
      <c r="C2" s="425">
        <v>3</v>
      </c>
      <c r="D2" s="425">
        <v>4</v>
      </c>
      <c r="E2" s="425">
        <v>5</v>
      </c>
      <c r="F2" s="425">
        <v>6</v>
      </c>
      <c r="G2" s="425">
        <v>7</v>
      </c>
      <c r="H2" s="425">
        <v>8</v>
      </c>
      <c r="I2" s="425">
        <v>9</v>
      </c>
      <c r="J2" s="425">
        <v>10</v>
      </c>
      <c r="K2" s="425">
        <v>11</v>
      </c>
      <c r="L2" s="425">
        <v>12</v>
      </c>
      <c r="M2" s="425">
        <v>13</v>
      </c>
    </row>
    <row r="3" spans="1:14" x14ac:dyDescent="0.25">
      <c r="B3" s="1002" t="s">
        <v>655</v>
      </c>
      <c r="C3" s="1002"/>
      <c r="D3" s="1002"/>
      <c r="E3" s="1002"/>
      <c r="F3" s="1002"/>
      <c r="G3" s="1002"/>
      <c r="H3" s="1002"/>
      <c r="I3" s="1002"/>
      <c r="J3" s="1002"/>
    </row>
    <row r="4" spans="1:14" x14ac:dyDescent="0.25">
      <c r="A4" s="427" t="s">
        <v>303</v>
      </c>
      <c r="B4" s="1003" t="s">
        <v>292</v>
      </c>
      <c r="C4" s="1003"/>
      <c r="D4" s="1003"/>
      <c r="E4" s="1003"/>
      <c r="F4" s="1003"/>
      <c r="G4" s="1003"/>
      <c r="H4" s="1003"/>
      <c r="I4" s="1003"/>
      <c r="J4" s="1003"/>
    </row>
    <row r="5" spans="1:14" x14ac:dyDescent="0.25">
      <c r="A5" s="427"/>
      <c r="B5" s="427" t="s">
        <v>440</v>
      </c>
      <c r="C5" s="427" t="s">
        <v>138</v>
      </c>
      <c r="D5" s="427" t="s">
        <v>108</v>
      </c>
      <c r="E5" s="427" t="s">
        <v>441</v>
      </c>
      <c r="F5" s="427" t="s">
        <v>419</v>
      </c>
      <c r="G5" s="427" t="s">
        <v>442</v>
      </c>
      <c r="H5" s="427" t="s">
        <v>443</v>
      </c>
      <c r="I5" s="427" t="s">
        <v>444</v>
      </c>
      <c r="J5" s="427" t="s">
        <v>9</v>
      </c>
      <c r="K5" s="427" t="s">
        <v>437</v>
      </c>
      <c r="L5" s="427" t="s">
        <v>126</v>
      </c>
      <c r="M5" s="427" t="s">
        <v>1188</v>
      </c>
    </row>
    <row r="6" spans="1:14" x14ac:dyDescent="0.25">
      <c r="A6" s="425">
        <v>0</v>
      </c>
      <c r="B6" s="425" t="s">
        <v>654</v>
      </c>
      <c r="I6" s="428"/>
    </row>
    <row r="7" spans="1:14" x14ac:dyDescent="0.25">
      <c r="A7" s="425">
        <v>1</v>
      </c>
      <c r="B7" s="425" t="s">
        <v>445</v>
      </c>
      <c r="C7" s="425" t="s">
        <v>238</v>
      </c>
      <c r="H7" s="425" t="str">
        <f>+CONCATENATE(D7,",",E7,",",F7,",",G7)</f>
        <v>,,,</v>
      </c>
      <c r="I7" s="428">
        <v>122</v>
      </c>
      <c r="K7" s="425" t="str">
        <f>+IFERROR(VLOOKUP(B7,Foundation!$C$8:$E$696,3,FALSE),"")</f>
        <v>DRY</v>
      </c>
      <c r="L7" s="425" t="str">
        <f>+IF(IFERROR(MATCH(B7,'Erection Compiled'!$C$6:$C$818,0),"B")="B","","E")</f>
        <v>E</v>
      </c>
      <c r="M7" s="425" t="str">
        <f>+IFERROR(VLOOKUP(B7,Tackwelding!$B$6:$G$367,6,FALSE),"")</f>
        <v>Done</v>
      </c>
    </row>
    <row r="8" spans="1:14" x14ac:dyDescent="0.25">
      <c r="A8" s="425">
        <v>2</v>
      </c>
      <c r="B8" s="425" t="s">
        <v>626</v>
      </c>
      <c r="C8" s="425" t="s">
        <v>238</v>
      </c>
      <c r="H8" s="425" t="str">
        <f>+CONCATENATE(D8,",",E8,",",F8,",",G8)</f>
        <v>,,,</v>
      </c>
      <c r="I8" s="428">
        <v>90</v>
      </c>
      <c r="J8" s="425" t="s">
        <v>664</v>
      </c>
      <c r="K8" s="425" t="str">
        <f>+IFERROR(VLOOKUP(B8,Foundation!$C$8:$E$696,3,FALSE),"")</f>
        <v>DRY</v>
      </c>
      <c r="L8" s="425" t="str">
        <f>+IF(IFERROR(MATCH(B8,'Erection Compiled'!$C$6:$C$818,0),"B")="B","","E")</f>
        <v>E</v>
      </c>
      <c r="M8" s="425" t="str">
        <f>+IFERROR(VLOOKUP(B8,Tackwelding!$B$6:$G$367,6,FALSE),"")</f>
        <v>Done</v>
      </c>
      <c r="N8" s="753"/>
    </row>
    <row r="9" spans="1:14" x14ac:dyDescent="0.25">
      <c r="A9" s="425">
        <v>3</v>
      </c>
      <c r="B9" s="425" t="s">
        <v>627</v>
      </c>
      <c r="C9" s="425" t="s">
        <v>232</v>
      </c>
      <c r="H9" s="425" t="str">
        <f t="shared" ref="H9:H72" si="0">+CONCATENATE(D9,",",E9,",",F9,",",G9)</f>
        <v>,,,</v>
      </c>
      <c r="I9" s="428">
        <v>277.7</v>
      </c>
      <c r="K9" s="425" t="str">
        <f>+IFERROR(VLOOKUP(B9,Foundation!$C$8:$E$696,3,FALSE),"")</f>
        <v>DFR</v>
      </c>
      <c r="L9" s="425" t="str">
        <f>+IF(IFERROR(MATCH(B9,'Erection Compiled'!$C$6:$C$818,0),"B")="B","","E")</f>
        <v>E</v>
      </c>
      <c r="M9" s="425" t="str">
        <f>+IFERROR(VLOOKUP(B9,Tackwelding!$B$6:$G$367,6,FALSE),"")</f>
        <v>Done</v>
      </c>
    </row>
    <row r="10" spans="1:14" x14ac:dyDescent="0.25">
      <c r="A10" s="425">
        <v>4</v>
      </c>
      <c r="B10" s="425" t="s">
        <v>628</v>
      </c>
      <c r="C10" s="425" t="s">
        <v>231</v>
      </c>
      <c r="E10" s="425">
        <v>1</v>
      </c>
      <c r="F10" s="425">
        <v>1</v>
      </c>
      <c r="H10" s="425" t="str">
        <f t="shared" si="0"/>
        <v>,1,1,</v>
      </c>
      <c r="I10" s="428">
        <v>386</v>
      </c>
      <c r="K10" s="425" t="str">
        <f>+IFERROR(VLOOKUP(B10,Foundation!$C$8:$E$696,3,FALSE),"")</f>
        <v>DRY</v>
      </c>
      <c r="L10" s="425" t="str">
        <f>+IF(IFERROR(MATCH(B10,'Erection Compiled'!$C$6:$C$818,0),"B")="B","","E")</f>
        <v>E</v>
      </c>
      <c r="M10" s="425" t="str">
        <f>+IFERROR(VLOOKUP(B10,Tackwelding!$B$6:$G$367,6,FALSE),"")</f>
        <v>Done</v>
      </c>
    </row>
    <row r="11" spans="1:14" x14ac:dyDescent="0.25">
      <c r="A11" s="425">
        <v>5</v>
      </c>
      <c r="B11" s="425" t="s">
        <v>629</v>
      </c>
      <c r="C11" s="425" t="s">
        <v>231</v>
      </c>
      <c r="H11" s="425" t="str">
        <f t="shared" si="0"/>
        <v>,,,</v>
      </c>
      <c r="I11" s="428">
        <v>443.6</v>
      </c>
      <c r="K11" s="425" t="str">
        <f>+IFERROR(VLOOKUP(B11,Foundation!$C$8:$E$696,3,FALSE),"")</f>
        <v>DRY</v>
      </c>
      <c r="L11" s="425" t="str">
        <f>+IF(IFERROR(MATCH(B11,'Erection Compiled'!$C$6:$C$818,0),"B")="B","","E")</f>
        <v>E</v>
      </c>
      <c r="M11" s="425" t="str">
        <f>+IFERROR(VLOOKUP(B11,Tackwelding!$B$6:$G$367,6,FALSE),"")</f>
        <v>Done</v>
      </c>
    </row>
    <row r="12" spans="1:14" x14ac:dyDescent="0.25">
      <c r="A12" s="425">
        <v>6</v>
      </c>
      <c r="B12" s="425" t="s">
        <v>630</v>
      </c>
      <c r="C12" s="425" t="s">
        <v>20</v>
      </c>
      <c r="F12" s="425">
        <v>1</v>
      </c>
      <c r="H12" s="425" t="str">
        <f t="shared" si="0"/>
        <v>,,1,</v>
      </c>
      <c r="I12" s="428">
        <v>333.4</v>
      </c>
      <c r="K12" s="425" t="str">
        <f>+IFERROR(VLOOKUP(B12,Foundation!$C$8:$E$696,3,FALSE),"")</f>
        <v>DFR</v>
      </c>
      <c r="L12" s="425" t="str">
        <f>+IF(IFERROR(MATCH(B12,'Erection Compiled'!$C$6:$C$818,0),"B")="B","","E")</f>
        <v>E</v>
      </c>
      <c r="M12" s="425" t="str">
        <f>+IFERROR(VLOOKUP(B12,Tackwelding!$B$6:$G$367,6,FALSE),"")</f>
        <v>Done</v>
      </c>
    </row>
    <row r="13" spans="1:14" x14ac:dyDescent="0.25">
      <c r="A13" s="425">
        <v>7</v>
      </c>
      <c r="B13" s="425" t="s">
        <v>631</v>
      </c>
      <c r="C13" s="425" t="s">
        <v>231</v>
      </c>
      <c r="D13" s="425">
        <v>1</v>
      </c>
      <c r="E13" s="425">
        <v>1</v>
      </c>
      <c r="H13" s="425" t="str">
        <f t="shared" si="0"/>
        <v>1,1,,</v>
      </c>
      <c r="I13" s="428">
        <v>431.9</v>
      </c>
      <c r="K13" s="425" t="str">
        <f>+IFERROR(VLOOKUP(B13,Foundation!$C$8:$E$696,3,FALSE),"")</f>
        <v>DRY</v>
      </c>
      <c r="L13" s="425" t="str">
        <f>+IF(IFERROR(MATCH(B13,'Erection Compiled'!$C$6:$C$818,0),"B")="B","","E")</f>
        <v>E</v>
      </c>
      <c r="M13" s="425" t="str">
        <f>+IFERROR(VLOOKUP(B13,Tackwelding!$B$6:$G$367,6,FALSE),"")</f>
        <v>Done</v>
      </c>
    </row>
    <row r="14" spans="1:14" x14ac:dyDescent="0.25">
      <c r="A14" s="425">
        <v>8</v>
      </c>
      <c r="B14" s="425" t="s">
        <v>632</v>
      </c>
      <c r="C14" s="425" t="s">
        <v>231</v>
      </c>
      <c r="D14" s="425">
        <v>1</v>
      </c>
      <c r="G14" s="425">
        <v>1</v>
      </c>
      <c r="H14" s="425" t="str">
        <f t="shared" si="0"/>
        <v>1,,,1</v>
      </c>
      <c r="I14" s="428">
        <v>348.7</v>
      </c>
      <c r="K14" s="425" t="str">
        <f>+IFERROR(VLOOKUP(B14,Foundation!$C$8:$E$696,3,FALSE),"")</f>
        <v>Sandy</v>
      </c>
      <c r="L14" s="425" t="str">
        <f>+IF(IFERROR(MATCH(B14,'Erection Compiled'!$C$6:$C$818,0),"B")="B","","E")</f>
        <v>E</v>
      </c>
      <c r="M14" s="425" t="str">
        <f>+IFERROR(VLOOKUP(B14,Tackwelding!$B$6:$G$367,6,FALSE),"")</f>
        <v>Done</v>
      </c>
    </row>
    <row r="15" spans="1:14" x14ac:dyDescent="0.25">
      <c r="A15" s="425">
        <v>9</v>
      </c>
      <c r="B15" s="425" t="s">
        <v>633</v>
      </c>
      <c r="C15" s="425" t="s">
        <v>20</v>
      </c>
      <c r="E15" s="425">
        <v>1</v>
      </c>
      <c r="H15" s="425" t="str">
        <f t="shared" si="0"/>
        <v>,1,,</v>
      </c>
      <c r="I15" s="428">
        <v>395.7</v>
      </c>
      <c r="K15" s="425" t="str">
        <f>+IFERROR(VLOOKUP(B15,Foundation!$C$8:$E$696,3,FALSE),"")</f>
        <v>Sandy</v>
      </c>
      <c r="L15" s="425" t="str">
        <f>+IF(IFERROR(MATCH(B15,'Erection Compiled'!$C$6:$C$818,0),"B")="B","","E")</f>
        <v>E</v>
      </c>
      <c r="M15" s="425" t="str">
        <f>+IFERROR(VLOOKUP(B15,Tackwelding!$B$6:$G$367,6,FALSE),"")</f>
        <v>Done</v>
      </c>
    </row>
    <row r="16" spans="1:14" x14ac:dyDescent="0.25">
      <c r="A16" s="425">
        <v>10</v>
      </c>
      <c r="B16" s="425" t="s">
        <v>634</v>
      </c>
      <c r="C16" s="425" t="s">
        <v>231</v>
      </c>
      <c r="H16" s="425" t="str">
        <f t="shared" si="0"/>
        <v>,,,</v>
      </c>
      <c r="I16" s="428">
        <v>415</v>
      </c>
      <c r="K16" s="425" t="str">
        <f>+IFERROR(VLOOKUP(B16,Foundation!$C$8:$E$696,3,FALSE),"")</f>
        <v>Sandy</v>
      </c>
      <c r="L16" s="425" t="str">
        <f>+IF(IFERROR(MATCH(B16,'Erection Compiled'!$C$6:$C$818,0),"B")="B","","E")</f>
        <v>E</v>
      </c>
      <c r="M16" s="425" t="str">
        <f>+IFERROR(VLOOKUP(B16,Tackwelding!$B$6:$G$367,6,FALSE),"")</f>
        <v>Done</v>
      </c>
    </row>
    <row r="17" spans="1:13" x14ac:dyDescent="0.25">
      <c r="A17" s="425">
        <v>11</v>
      </c>
      <c r="B17" s="425" t="s">
        <v>446</v>
      </c>
      <c r="C17" s="425" t="s">
        <v>239</v>
      </c>
      <c r="H17" s="425" t="str">
        <f t="shared" si="0"/>
        <v>,,,</v>
      </c>
      <c r="I17" s="428">
        <v>394.3</v>
      </c>
      <c r="K17" s="425" t="str">
        <f>+IFERROR(VLOOKUP(B17,Foundation!$C$8:$E$696,3,FALSE),"")</f>
        <v>DRY</v>
      </c>
      <c r="L17" s="425" t="str">
        <f>+IF(IFERROR(MATCH(B17,'Erection Compiled'!$C$6:$C$818,0),"B")="B","","E")</f>
        <v>E</v>
      </c>
      <c r="M17" s="425" t="str">
        <f>+IFERROR(VLOOKUP(B17,Tackwelding!$B$6:$G$367,6,FALSE),"")</f>
        <v>Done</v>
      </c>
    </row>
    <row r="18" spans="1:13" x14ac:dyDescent="0.25">
      <c r="A18" s="425">
        <v>12</v>
      </c>
      <c r="B18" s="425" t="s">
        <v>447</v>
      </c>
      <c r="C18" s="425" t="s">
        <v>20</v>
      </c>
      <c r="H18" s="425" t="str">
        <f t="shared" si="0"/>
        <v>,,,</v>
      </c>
      <c r="I18" s="428">
        <v>405.3</v>
      </c>
      <c r="K18" s="425" t="str">
        <f>+IFERROR(VLOOKUP(B18,Foundation!$C$8:$E$696,3,FALSE),"")</f>
        <v>Sandy</v>
      </c>
      <c r="L18" s="425" t="str">
        <f>+IF(IFERROR(MATCH(B18,'Erection Compiled'!$C$6:$C$818,0),"B")="B","","E")</f>
        <v>E</v>
      </c>
      <c r="M18" s="425" t="str">
        <f>+IFERROR(VLOOKUP(B18,Tackwelding!$B$6:$G$367,6,FALSE),"")</f>
        <v>Done</v>
      </c>
    </row>
    <row r="19" spans="1:13" x14ac:dyDescent="0.25">
      <c r="A19" s="425">
        <v>13</v>
      </c>
      <c r="B19" s="425" t="s">
        <v>448</v>
      </c>
      <c r="C19" s="425" t="s">
        <v>20</v>
      </c>
      <c r="G19" s="425">
        <v>1</v>
      </c>
      <c r="H19" s="425" t="str">
        <f t="shared" si="0"/>
        <v>,,,1</v>
      </c>
      <c r="I19" s="428">
        <v>338.5</v>
      </c>
      <c r="K19" s="425" t="str">
        <f>+IFERROR(VLOOKUP(B19,Foundation!$C$8:$E$696,3,FALSE),"")</f>
        <v>Sandy</v>
      </c>
      <c r="L19" s="425" t="str">
        <f>+IF(IFERROR(MATCH(B19,'Erection Compiled'!$C$6:$C$818,0),"B")="B","","E")</f>
        <v>E</v>
      </c>
      <c r="M19" s="425" t="str">
        <f>+IFERROR(VLOOKUP(B19,Tackwelding!$B$6:$G$367,6,FALSE),"")</f>
        <v>Done</v>
      </c>
    </row>
    <row r="20" spans="1:13" x14ac:dyDescent="0.25">
      <c r="A20" s="425">
        <v>14</v>
      </c>
      <c r="B20" s="425" t="s">
        <v>449</v>
      </c>
      <c r="C20" s="425" t="s">
        <v>20</v>
      </c>
      <c r="D20" s="425">
        <v>1</v>
      </c>
      <c r="F20" s="425">
        <v>1</v>
      </c>
      <c r="G20" s="425">
        <v>1</v>
      </c>
      <c r="H20" s="425" t="str">
        <f t="shared" si="0"/>
        <v>1,,1,1</v>
      </c>
      <c r="I20" s="428">
        <v>406</v>
      </c>
      <c r="K20" s="425" t="str">
        <f>+IFERROR(VLOOKUP(B20,Foundation!$C$8:$E$696,3,FALSE),"")</f>
        <v>Sandy</v>
      </c>
      <c r="L20" s="425" t="str">
        <f>+IF(IFERROR(MATCH(B20,'Erection Compiled'!$C$6:$C$818,0),"B")="B","","E")</f>
        <v>E</v>
      </c>
      <c r="M20" s="425" t="str">
        <f>+IFERROR(VLOOKUP(B20,Tackwelding!$B$6:$G$367,6,FALSE),"")</f>
        <v>Done</v>
      </c>
    </row>
    <row r="21" spans="1:13" x14ac:dyDescent="0.25">
      <c r="A21" s="425">
        <v>15</v>
      </c>
      <c r="B21" s="425" t="s">
        <v>450</v>
      </c>
      <c r="C21" s="425" t="s">
        <v>20</v>
      </c>
      <c r="H21" s="425" t="str">
        <f t="shared" si="0"/>
        <v>,,,</v>
      </c>
      <c r="I21" s="428">
        <v>429</v>
      </c>
      <c r="K21" s="425" t="str">
        <f>+IFERROR(VLOOKUP(B21,Foundation!$C$8:$E$696,3,FALSE),"")</f>
        <v>Sandy</v>
      </c>
      <c r="L21" s="425" t="str">
        <f>+IF(IFERROR(MATCH(B21,'Erection Compiled'!$C$6:$C$818,0),"B")="B","","E")</f>
        <v>E</v>
      </c>
      <c r="M21" s="425" t="str">
        <f>+IFERROR(VLOOKUP(B21,Tackwelding!$B$6:$G$367,6,FALSE),"")</f>
        <v>Done</v>
      </c>
    </row>
    <row r="22" spans="1:13" x14ac:dyDescent="0.25">
      <c r="A22" s="425">
        <v>16</v>
      </c>
      <c r="B22" s="425" t="s">
        <v>451</v>
      </c>
      <c r="C22" s="425" t="s">
        <v>20</v>
      </c>
      <c r="F22" s="425">
        <v>1</v>
      </c>
      <c r="G22" s="425">
        <v>1</v>
      </c>
      <c r="H22" s="425" t="str">
        <f t="shared" si="0"/>
        <v>,,1,1</v>
      </c>
      <c r="I22" s="428">
        <v>411.6</v>
      </c>
      <c r="K22" s="425" t="str">
        <f>+IFERROR(VLOOKUP(B22,Foundation!$C$8:$E$696,3,FALSE),"")</f>
        <v>Sandy</v>
      </c>
      <c r="L22" s="425" t="str">
        <f>+IF(IFERROR(MATCH(B22,'Erection Compiled'!$C$6:$C$818,0),"B")="B","","E")</f>
        <v>E</v>
      </c>
      <c r="M22" s="425" t="str">
        <f>+IFERROR(VLOOKUP(B22,Tackwelding!$B$6:$G$367,6,FALSE),"")</f>
        <v>Done</v>
      </c>
    </row>
    <row r="23" spans="1:13" x14ac:dyDescent="0.25">
      <c r="A23" s="425">
        <v>17</v>
      </c>
      <c r="B23" s="425" t="s">
        <v>452</v>
      </c>
      <c r="C23" s="425" t="s">
        <v>20</v>
      </c>
      <c r="G23" s="425">
        <v>1</v>
      </c>
      <c r="H23" s="425" t="str">
        <f t="shared" si="0"/>
        <v>,,,1</v>
      </c>
      <c r="I23" s="428">
        <v>425.7</v>
      </c>
      <c r="K23" s="425" t="str">
        <f>+IFERROR(VLOOKUP(B23,Foundation!$C$8:$E$696,3,FALSE),"")</f>
        <v>Sandy</v>
      </c>
      <c r="L23" s="425" t="str">
        <f>+IF(IFERROR(MATCH(B23,'Erection Compiled'!$C$6:$C$818,0),"B")="B","","E")</f>
        <v>E</v>
      </c>
      <c r="M23" s="425" t="str">
        <f>+IFERROR(VLOOKUP(B23,Tackwelding!$B$6:$G$367,6,FALSE),"")</f>
        <v>Done</v>
      </c>
    </row>
    <row r="24" spans="1:13" x14ac:dyDescent="0.25">
      <c r="A24" s="425">
        <v>18</v>
      </c>
      <c r="B24" s="425" t="s">
        <v>453</v>
      </c>
      <c r="C24" s="425" t="s">
        <v>20</v>
      </c>
      <c r="H24" s="425" t="str">
        <f t="shared" si="0"/>
        <v>,,,</v>
      </c>
      <c r="I24" s="428">
        <v>408.2</v>
      </c>
      <c r="K24" s="425" t="str">
        <f>+IFERROR(VLOOKUP(B24,Foundation!$C$8:$E$696,3,FALSE),"")</f>
        <v>Sandy</v>
      </c>
      <c r="L24" s="425" t="str">
        <f>+IF(IFERROR(MATCH(B24,'Erection Compiled'!$C$6:$C$818,0),"B")="B","","E")</f>
        <v>E</v>
      </c>
      <c r="M24" s="425" t="str">
        <f>+IFERROR(VLOOKUP(B24,Tackwelding!$B$6:$G$367,6,FALSE),"")</f>
        <v>Done</v>
      </c>
    </row>
    <row r="25" spans="1:13" x14ac:dyDescent="0.25">
      <c r="A25" s="425">
        <v>19</v>
      </c>
      <c r="B25" s="425" t="s">
        <v>454</v>
      </c>
      <c r="C25" s="425" t="s">
        <v>231</v>
      </c>
      <c r="H25" s="425" t="str">
        <f t="shared" si="0"/>
        <v>,,,</v>
      </c>
      <c r="I25" s="428">
        <v>354.6</v>
      </c>
      <c r="K25" s="425" t="str">
        <f>+IFERROR(VLOOKUP(B25,Foundation!$C$8:$E$696,3,FALSE),"")</f>
        <v>Sandy</v>
      </c>
      <c r="L25" s="425" t="str">
        <f>+IF(IFERROR(MATCH(B25,'Erection Compiled'!$C$6:$C$818,0),"B")="B","","E")</f>
        <v>E</v>
      </c>
      <c r="M25" s="425" t="str">
        <f>+IFERROR(VLOOKUP(B25,Tackwelding!$B$6:$G$367,6,FALSE),"")</f>
        <v>Done</v>
      </c>
    </row>
    <row r="26" spans="1:13" x14ac:dyDescent="0.25">
      <c r="A26" s="425">
        <v>20</v>
      </c>
      <c r="B26" s="429" t="s">
        <v>455</v>
      </c>
      <c r="C26" s="429" t="s">
        <v>231</v>
      </c>
      <c r="D26" s="429"/>
      <c r="E26" s="429"/>
      <c r="F26" s="429"/>
      <c r="G26" s="429"/>
      <c r="H26" s="429" t="str">
        <f t="shared" si="0"/>
        <v>,,,</v>
      </c>
      <c r="I26" s="428">
        <v>308.7</v>
      </c>
      <c r="K26" s="425" t="str">
        <f>+IFERROR(VLOOKUP(B26,Foundation!$C$8:$E$696,3,FALSE),"")</f>
        <v>DRY</v>
      </c>
      <c r="L26" s="425" t="str">
        <f>+IF(IFERROR(MATCH(B26,'Erection Compiled'!$C$6:$C$818,0),"B")="B","","E")</f>
        <v>E</v>
      </c>
      <c r="M26" s="425" t="str">
        <f>+IFERROR(VLOOKUP(B26,Tackwelding!$B$6:$G$367,6,FALSE),"")</f>
        <v>Done</v>
      </c>
    </row>
    <row r="27" spans="1:13" x14ac:dyDescent="0.25">
      <c r="A27" s="425">
        <v>21</v>
      </c>
      <c r="B27" s="429" t="s">
        <v>38</v>
      </c>
      <c r="C27" s="429" t="s">
        <v>651</v>
      </c>
      <c r="D27" s="429"/>
      <c r="E27" s="429"/>
      <c r="F27" s="429"/>
      <c r="G27" s="429"/>
      <c r="H27" s="429" t="str">
        <f t="shared" si="0"/>
        <v>,,,</v>
      </c>
      <c r="I27" s="430">
        <v>336</v>
      </c>
      <c r="K27" s="425" t="str">
        <f>+IFERROR(VLOOKUP(B27,Foundation!$C$8:$E$696,3,FALSE),"")</f>
        <v>DRY</v>
      </c>
      <c r="L27" s="425" t="str">
        <f>+IF(IFERROR(MATCH(B27,'Erection Compiled'!$C$6:$C$818,0),"B")="B","","E")</f>
        <v>E</v>
      </c>
      <c r="M27" s="425" t="str">
        <f>+IFERROR(VLOOKUP(B27,Tackwelding!$B$6:$G$367,6,FALSE),"")</f>
        <v>Done</v>
      </c>
    </row>
    <row r="28" spans="1:13" x14ac:dyDescent="0.25">
      <c r="A28" s="425">
        <v>22</v>
      </c>
      <c r="B28" s="425" t="s">
        <v>39</v>
      </c>
      <c r="C28" s="425" t="s">
        <v>651</v>
      </c>
      <c r="H28" s="425" t="str">
        <f t="shared" si="0"/>
        <v>,,,</v>
      </c>
      <c r="I28" s="430">
        <v>226.5</v>
      </c>
      <c r="K28" s="425" t="str">
        <f>+IFERROR(VLOOKUP(B28,Foundation!$C$8:$E$696,3,FALSE),"")</f>
        <v>DRY</v>
      </c>
      <c r="L28" s="425" t="str">
        <f>+IF(IFERROR(MATCH(B28,'Erection Compiled'!$C$6:$C$818,0),"B")="B","","E")</f>
        <v>E</v>
      </c>
      <c r="M28" s="425" t="str">
        <f>+IFERROR(VLOOKUP(B28,Tackwelding!$B$6:$G$367,6,FALSE),"")</f>
        <v>Done</v>
      </c>
    </row>
    <row r="29" spans="1:13" x14ac:dyDescent="0.25">
      <c r="A29" s="425">
        <v>23</v>
      </c>
      <c r="B29" s="425" t="s">
        <v>456</v>
      </c>
      <c r="C29" s="425" t="s">
        <v>231</v>
      </c>
      <c r="H29" s="425" t="str">
        <f t="shared" si="0"/>
        <v>,,,</v>
      </c>
      <c r="I29" s="428">
        <v>343</v>
      </c>
      <c r="K29" s="425" t="str">
        <f>+IFERROR(VLOOKUP(B29,Foundation!$C$8:$E$696,3,FALSE),"")</f>
        <v>DRY</v>
      </c>
      <c r="L29" s="425" t="str">
        <f>+IF(IFERROR(MATCH(B29,'Erection Compiled'!$C$6:$C$818,0),"B")="B","","E")</f>
        <v>E</v>
      </c>
      <c r="M29" s="425" t="str">
        <f>+IFERROR(VLOOKUP(B29,Tackwelding!$B$6:$G$367,6,FALSE),"")</f>
        <v>Done</v>
      </c>
    </row>
    <row r="30" spans="1:13" x14ac:dyDescent="0.25">
      <c r="A30" s="425">
        <v>24</v>
      </c>
      <c r="B30" s="425" t="s">
        <v>457</v>
      </c>
      <c r="C30" s="425" t="s">
        <v>231</v>
      </c>
      <c r="H30" s="425" t="str">
        <f t="shared" si="0"/>
        <v>,,,</v>
      </c>
      <c r="I30" s="428">
        <v>358.4</v>
      </c>
      <c r="K30" s="425" t="str">
        <f>+IFERROR(VLOOKUP(B30,Foundation!$C$8:$E$696,3,FALSE),"")</f>
        <v>DRY</v>
      </c>
      <c r="L30" s="425" t="str">
        <f>+IF(IFERROR(MATCH(B30,'Erection Compiled'!$C$6:$C$818,0),"B")="B","","E")</f>
        <v>E</v>
      </c>
      <c r="M30" s="425" t="str">
        <f>+IFERROR(VLOOKUP(B30,Tackwelding!$B$6:$G$367,6,FALSE),"")</f>
        <v>Done</v>
      </c>
    </row>
    <row r="31" spans="1:13" x14ac:dyDescent="0.25">
      <c r="A31" s="425">
        <v>25</v>
      </c>
      <c r="B31" s="425" t="s">
        <v>458</v>
      </c>
      <c r="C31" s="425" t="s">
        <v>231</v>
      </c>
      <c r="H31" s="425" t="str">
        <f t="shared" si="0"/>
        <v>,,,</v>
      </c>
      <c r="I31" s="428">
        <v>381</v>
      </c>
      <c r="K31" s="425" t="str">
        <f>+IFERROR(VLOOKUP(B31,Foundation!$C$8:$E$696,3,FALSE),"")</f>
        <v>DRY</v>
      </c>
      <c r="L31" s="425" t="str">
        <f>+IF(IFERROR(MATCH(B31,'Erection Compiled'!$C$6:$C$818,0),"B")="B","","E")</f>
        <v>E</v>
      </c>
      <c r="M31" s="425" t="str">
        <f>+IFERROR(VLOOKUP(B31,Tackwelding!$B$6:$G$367,6,FALSE),"")</f>
        <v>Done</v>
      </c>
    </row>
    <row r="32" spans="1:13" x14ac:dyDescent="0.25">
      <c r="A32" s="425">
        <v>26</v>
      </c>
      <c r="B32" s="429" t="s">
        <v>459</v>
      </c>
      <c r="C32" s="429" t="s">
        <v>231</v>
      </c>
      <c r="D32" s="429"/>
      <c r="E32" s="429"/>
      <c r="F32" s="429"/>
      <c r="G32" s="429"/>
      <c r="H32" s="429" t="str">
        <f t="shared" si="0"/>
        <v>,,,</v>
      </c>
      <c r="I32" s="428">
        <v>367.6</v>
      </c>
      <c r="K32" s="425" t="str">
        <f>+IFERROR(VLOOKUP(B32,Foundation!$C$8:$E$696,3,FALSE),"")</f>
        <v>DRY</v>
      </c>
      <c r="L32" s="425" t="str">
        <f>+IF(IFERROR(MATCH(B32,'Erection Compiled'!$C$6:$C$818,0),"B")="B","","E")</f>
        <v>E</v>
      </c>
      <c r="M32" s="425" t="str">
        <f>+IFERROR(VLOOKUP(B32,Tackwelding!$B$6:$G$367,6,FALSE),"")</f>
        <v>Done</v>
      </c>
    </row>
    <row r="33" spans="1:13" x14ac:dyDescent="0.25">
      <c r="A33" s="425">
        <v>27</v>
      </c>
      <c r="B33" s="429" t="s">
        <v>40</v>
      </c>
      <c r="C33" s="429" t="s">
        <v>240</v>
      </c>
      <c r="D33" s="429">
        <v>5</v>
      </c>
      <c r="E33" s="429">
        <v>5</v>
      </c>
      <c r="F33" s="429">
        <v>5</v>
      </c>
      <c r="G33" s="429">
        <v>5</v>
      </c>
      <c r="H33" s="429" t="str">
        <f t="shared" si="0"/>
        <v>5,5,5,5</v>
      </c>
      <c r="I33" s="430">
        <v>423.1</v>
      </c>
      <c r="K33" s="425" t="str">
        <f>+IFERROR(VLOOKUP(B33,Foundation!$C$8:$E$696,3,FALSE),"")</f>
        <v>DRY</v>
      </c>
      <c r="L33" s="425" t="str">
        <f>+IF(IFERROR(MATCH(B33,'Erection Compiled'!$C$6:$C$818,0),"B")="B","","E")</f>
        <v>E</v>
      </c>
      <c r="M33" s="425" t="str">
        <f>+IFERROR(VLOOKUP(B33,Tackwelding!$B$6:$G$367,6,FALSE),"")</f>
        <v>Done</v>
      </c>
    </row>
    <row r="34" spans="1:13" x14ac:dyDescent="0.25">
      <c r="A34" s="425">
        <v>28</v>
      </c>
      <c r="B34" s="425" t="s">
        <v>41</v>
      </c>
      <c r="C34" s="425" t="s">
        <v>241</v>
      </c>
      <c r="D34" s="425">
        <v>5</v>
      </c>
      <c r="E34" s="425">
        <v>5</v>
      </c>
      <c r="F34" s="425">
        <v>5</v>
      </c>
      <c r="G34" s="425">
        <v>5</v>
      </c>
      <c r="H34" s="425" t="str">
        <f t="shared" si="0"/>
        <v>5,5,5,5</v>
      </c>
      <c r="I34" s="430">
        <v>246</v>
      </c>
      <c r="K34" s="425" t="str">
        <f>+IFERROR(VLOOKUP(B34,Foundation!$C$8:$E$696,3,FALSE),"")</f>
        <v>DRY</v>
      </c>
      <c r="L34" s="425" t="str">
        <f>+IF(IFERROR(MATCH(B34,'Erection Compiled'!$C$6:$C$818,0),"B")="B","","E")</f>
        <v>E</v>
      </c>
      <c r="M34" s="425" t="str">
        <f>+IFERROR(VLOOKUP(B34,Tackwelding!$B$6:$G$367,6,FALSE),"")</f>
        <v>Done</v>
      </c>
    </row>
    <row r="35" spans="1:13" x14ac:dyDescent="0.25">
      <c r="A35" s="425">
        <v>29</v>
      </c>
      <c r="B35" s="425" t="s">
        <v>460</v>
      </c>
      <c r="C35" s="425" t="s">
        <v>231</v>
      </c>
      <c r="H35" s="425" t="str">
        <f t="shared" si="0"/>
        <v>,,,</v>
      </c>
      <c r="I35" s="428">
        <v>429.9</v>
      </c>
      <c r="K35" s="425" t="str">
        <f>+IFERROR(VLOOKUP(B35,Foundation!$C$8:$E$696,3,FALSE),"")</f>
        <v>DFR</v>
      </c>
      <c r="L35" s="425" t="str">
        <f>+IF(IFERROR(MATCH(B35,'Erection Compiled'!$C$6:$C$818,0),"B")="B","","E")</f>
        <v>E</v>
      </c>
      <c r="M35" s="425" t="str">
        <f>+IFERROR(VLOOKUP(B35,Tackwelding!$B$6:$G$367,6,FALSE),"")</f>
        <v>Done</v>
      </c>
    </row>
    <row r="36" spans="1:13" x14ac:dyDescent="0.25">
      <c r="A36" s="425">
        <v>30</v>
      </c>
      <c r="B36" s="429" t="s">
        <v>42</v>
      </c>
      <c r="C36" s="429" t="s">
        <v>231</v>
      </c>
      <c r="D36" s="429"/>
      <c r="E36" s="429"/>
      <c r="F36" s="429"/>
      <c r="G36" s="429"/>
      <c r="H36" s="429" t="str">
        <f t="shared" si="0"/>
        <v>,,,</v>
      </c>
      <c r="I36" s="428">
        <v>362.4</v>
      </c>
      <c r="K36" s="425" t="str">
        <f>+IFERROR(VLOOKUP(B36,Foundation!$C$8:$E$696,3,FALSE),"")</f>
        <v>DFR</v>
      </c>
      <c r="L36" s="425" t="str">
        <f>+IF(IFERROR(MATCH(B36,'Erection Compiled'!$C$6:$C$818,0),"B")="B","","E")</f>
        <v>E</v>
      </c>
      <c r="M36" s="425" t="str">
        <f>+IFERROR(VLOOKUP(B36,Tackwelding!$B$6:$G$367,6,FALSE),"")</f>
        <v>Done</v>
      </c>
    </row>
    <row r="37" spans="1:13" x14ac:dyDescent="0.25">
      <c r="A37" s="425">
        <v>31</v>
      </c>
      <c r="B37" s="429" t="s">
        <v>43</v>
      </c>
      <c r="C37" s="429" t="s">
        <v>242</v>
      </c>
      <c r="D37" s="429">
        <v>2</v>
      </c>
      <c r="E37" s="429">
        <v>3</v>
      </c>
      <c r="F37" s="429">
        <v>3</v>
      </c>
      <c r="G37" s="429">
        <v>2</v>
      </c>
      <c r="H37" s="429" t="str">
        <f t="shared" si="0"/>
        <v>2,3,3,2</v>
      </c>
      <c r="I37" s="430">
        <v>347.9</v>
      </c>
      <c r="K37" s="425" t="str">
        <f>+IFERROR(VLOOKUP(B37,Foundation!$C$8:$E$696,3,FALSE),"")</f>
        <v>DRY</v>
      </c>
      <c r="L37" s="425" t="str">
        <f>+IF(IFERROR(MATCH(B37,'Erection Compiled'!$C$6:$C$818,0),"B")="B","","E")</f>
        <v>E</v>
      </c>
      <c r="M37" s="425" t="str">
        <f>+IFERROR(VLOOKUP(B37,Tackwelding!$B$6:$G$367,6,FALSE),"")</f>
        <v>Done</v>
      </c>
    </row>
    <row r="38" spans="1:13" x14ac:dyDescent="0.25">
      <c r="A38" s="425">
        <v>32</v>
      </c>
      <c r="B38" s="425" t="s">
        <v>44</v>
      </c>
      <c r="C38" s="425" t="s">
        <v>242</v>
      </c>
      <c r="H38" s="425" t="str">
        <f t="shared" si="0"/>
        <v>,,,</v>
      </c>
      <c r="I38" s="430">
        <v>210.8</v>
      </c>
      <c r="K38" s="425" t="str">
        <f>+IFERROR(VLOOKUP(B38,Foundation!$C$8:$E$696,3,FALSE),"")</f>
        <v>DRY</v>
      </c>
      <c r="L38" s="425" t="str">
        <f>+IF(IFERROR(MATCH(B38,'Erection Compiled'!$C$6:$C$818,0),"B")="B","","E")</f>
        <v>E</v>
      </c>
      <c r="M38" s="425" t="str">
        <f>+IFERROR(VLOOKUP(B38,Tackwelding!$B$6:$G$367,6,FALSE),"")</f>
        <v>Done</v>
      </c>
    </row>
    <row r="39" spans="1:13" x14ac:dyDescent="0.25">
      <c r="A39" s="425">
        <v>33</v>
      </c>
      <c r="B39" s="425" t="s">
        <v>150</v>
      </c>
      <c r="C39" s="425" t="s">
        <v>20</v>
      </c>
      <c r="H39" s="425" t="str">
        <f t="shared" si="0"/>
        <v>,,,</v>
      </c>
      <c r="I39" s="428">
        <v>409.2</v>
      </c>
      <c r="K39" s="425" t="str">
        <f>+IFERROR(VLOOKUP(B39,Foundation!$C$8:$E$696,3,FALSE),"")</f>
        <v>DRY</v>
      </c>
      <c r="L39" s="425" t="str">
        <f>+IF(IFERROR(MATCH(B39,'Erection Compiled'!$C$6:$C$818,0),"B")="B","","E")</f>
        <v>E</v>
      </c>
      <c r="M39" s="425" t="str">
        <f>+IFERROR(VLOOKUP(B39,Tackwelding!$B$6:$G$367,6,FALSE),"")</f>
        <v>Done</v>
      </c>
    </row>
    <row r="40" spans="1:13" x14ac:dyDescent="0.25">
      <c r="A40" s="425">
        <v>34</v>
      </c>
      <c r="B40" s="425" t="s">
        <v>461</v>
      </c>
      <c r="C40" s="425" t="s">
        <v>20</v>
      </c>
      <c r="H40" s="425" t="str">
        <f t="shared" si="0"/>
        <v>,,,</v>
      </c>
      <c r="I40" s="428">
        <v>413.6</v>
      </c>
      <c r="K40" s="425" t="str">
        <f>+IFERROR(VLOOKUP(B40,Foundation!$C$8:$E$696,3,FALSE),"")</f>
        <v>DRY</v>
      </c>
      <c r="L40" s="425" t="str">
        <f>+IF(IFERROR(MATCH(B40,'Erection Compiled'!$C$6:$C$818,0),"B")="B","","E")</f>
        <v>E</v>
      </c>
      <c r="M40" s="425" t="str">
        <f>+IFERROR(VLOOKUP(B40,Tackwelding!$B$6:$G$367,6,FALSE),"")</f>
        <v>Done</v>
      </c>
    </row>
    <row r="41" spans="1:13" x14ac:dyDescent="0.25">
      <c r="A41" s="425">
        <v>35</v>
      </c>
      <c r="B41" s="425" t="s">
        <v>462</v>
      </c>
      <c r="C41" s="425" t="s">
        <v>231</v>
      </c>
      <c r="H41" s="425" t="str">
        <f t="shared" si="0"/>
        <v>,,,</v>
      </c>
      <c r="I41" s="428">
        <v>393.2</v>
      </c>
      <c r="K41" s="425" t="str">
        <f>+IFERROR(VLOOKUP(B41,Foundation!$C$8:$E$696,3,FALSE),"")</f>
        <v>DRY</v>
      </c>
      <c r="L41" s="425" t="str">
        <f>+IF(IFERROR(MATCH(B41,'Erection Compiled'!$C$6:$C$818,0),"B")="B","","E")</f>
        <v>E</v>
      </c>
      <c r="M41" s="425" t="str">
        <f>+IFERROR(VLOOKUP(B41,Tackwelding!$B$6:$G$367,6,FALSE),"")</f>
        <v>Done</v>
      </c>
    </row>
    <row r="42" spans="1:13" x14ac:dyDescent="0.25">
      <c r="A42" s="425">
        <v>36</v>
      </c>
      <c r="B42" s="425" t="s">
        <v>463</v>
      </c>
      <c r="C42" s="425" t="s">
        <v>20</v>
      </c>
      <c r="H42" s="425" t="str">
        <f t="shared" si="0"/>
        <v>,,,</v>
      </c>
      <c r="I42" s="428">
        <v>416.5</v>
      </c>
      <c r="K42" s="425" t="str">
        <f>+IFERROR(VLOOKUP(B42,Foundation!$C$8:$E$696,3,FALSE),"")</f>
        <v>DRY</v>
      </c>
      <c r="L42" s="425" t="str">
        <f>+IF(IFERROR(MATCH(B42,'Erection Compiled'!$C$6:$C$818,0),"B")="B","","E")</f>
        <v>E</v>
      </c>
      <c r="M42" s="425" t="str">
        <f>+IFERROR(VLOOKUP(B42,Tackwelding!$B$6:$G$367,6,FALSE),"")</f>
        <v/>
      </c>
    </row>
    <row r="43" spans="1:13" x14ac:dyDescent="0.25">
      <c r="A43" s="425">
        <v>37</v>
      </c>
      <c r="B43" s="425" t="s">
        <v>464</v>
      </c>
      <c r="C43" s="425" t="s">
        <v>20</v>
      </c>
      <c r="G43" s="425">
        <v>1</v>
      </c>
      <c r="H43" s="425" t="str">
        <f t="shared" si="0"/>
        <v>,,,1</v>
      </c>
      <c r="I43" s="428">
        <v>394.6</v>
      </c>
      <c r="K43" s="425" t="str">
        <f>+IFERROR(VLOOKUP(B43,Foundation!$C$8:$E$696,3,FALSE),"")</f>
        <v>DRY</v>
      </c>
      <c r="L43" s="425" t="str">
        <f>+IF(IFERROR(MATCH(B43,'Erection Compiled'!$C$6:$C$818,0),"B")="B","","E")</f>
        <v>E</v>
      </c>
      <c r="M43" s="425" t="str">
        <f>+IFERROR(VLOOKUP(B43,Tackwelding!$B$6:$G$367,6,FALSE),"")</f>
        <v/>
      </c>
    </row>
    <row r="44" spans="1:13" x14ac:dyDescent="0.25">
      <c r="A44" s="425">
        <v>38</v>
      </c>
      <c r="B44" s="425" t="s">
        <v>151</v>
      </c>
      <c r="C44" s="425" t="s">
        <v>20</v>
      </c>
      <c r="H44" s="425" t="str">
        <f t="shared" si="0"/>
        <v>,,,</v>
      </c>
      <c r="I44" s="428">
        <v>393.2</v>
      </c>
      <c r="K44" s="425" t="str">
        <f>+IFERROR(VLOOKUP(B44,Foundation!$C$8:$E$696,3,FALSE),"")</f>
        <v>DRY</v>
      </c>
      <c r="L44" s="425" t="str">
        <f>+IF(IFERROR(MATCH(B44,'Erection Compiled'!$C$6:$C$818,0),"B")="B","","E")</f>
        <v/>
      </c>
      <c r="M44" s="425" t="str">
        <f>+IFERROR(VLOOKUP(B44,Tackwelding!$B$6:$G$367,6,FALSE),"")</f>
        <v/>
      </c>
    </row>
    <row r="45" spans="1:13" x14ac:dyDescent="0.25">
      <c r="A45" s="425">
        <v>39</v>
      </c>
      <c r="B45" s="425" t="s">
        <v>152</v>
      </c>
      <c r="C45" s="425" t="s">
        <v>242</v>
      </c>
      <c r="H45" s="425" t="str">
        <f t="shared" si="0"/>
        <v>,,,</v>
      </c>
      <c r="I45" s="428">
        <v>441.1</v>
      </c>
      <c r="K45" s="425" t="str">
        <f>+IFERROR(VLOOKUP(B45,Foundation!$C$8:$E$696,3,FALSE),"")</f>
        <v>DRY</v>
      </c>
      <c r="L45" s="425" t="str">
        <f>+IF(IFERROR(MATCH(B45,'Erection Compiled'!$C$6:$C$818,0),"B")="B","","E")</f>
        <v/>
      </c>
      <c r="M45" s="425" t="str">
        <f>+IFERROR(VLOOKUP(B45,Tackwelding!$B$6:$G$367,6,FALSE),"")</f>
        <v/>
      </c>
    </row>
    <row r="46" spans="1:13" x14ac:dyDescent="0.25">
      <c r="A46" s="425">
        <v>40</v>
      </c>
      <c r="B46" s="425" t="s">
        <v>153</v>
      </c>
      <c r="C46" s="425" t="s">
        <v>232</v>
      </c>
      <c r="H46" s="425" t="str">
        <f t="shared" si="0"/>
        <v>,,,</v>
      </c>
      <c r="I46" s="428">
        <v>414.4</v>
      </c>
      <c r="K46" s="425" t="str">
        <f>+IFERROR(VLOOKUP(B46,Foundation!$C$8:$E$696,3,FALSE),"")</f>
        <v>DRY</v>
      </c>
      <c r="L46" s="425" t="str">
        <f>+IF(IFERROR(MATCH(B46,'Erection Compiled'!$C$6:$C$818,0),"B")="B","","E")</f>
        <v/>
      </c>
      <c r="M46" s="425" t="str">
        <f>+IFERROR(VLOOKUP(B46,Tackwelding!$B$6:$G$367,6,FALSE),"")</f>
        <v/>
      </c>
    </row>
    <row r="47" spans="1:13" x14ac:dyDescent="0.25">
      <c r="A47" s="425">
        <v>41</v>
      </c>
      <c r="B47" s="425" t="s">
        <v>465</v>
      </c>
      <c r="C47" s="425" t="s">
        <v>20</v>
      </c>
      <c r="H47" s="425" t="str">
        <f t="shared" si="0"/>
        <v>,,,</v>
      </c>
      <c r="I47" s="428">
        <v>395.863</v>
      </c>
      <c r="K47" s="425" t="str">
        <f>+IFERROR(VLOOKUP(B47,Foundation!$C$8:$E$696,3,FALSE),"")</f>
        <v>DFR</v>
      </c>
      <c r="L47" s="425" t="str">
        <f>+IF(IFERROR(MATCH(B47,'Erection Compiled'!$C$6:$C$818,0),"B")="B","","E")</f>
        <v>E</v>
      </c>
      <c r="M47" s="425" t="str">
        <f>+IFERROR(VLOOKUP(B47,Tackwelding!$B$6:$G$367,6,FALSE),"")</f>
        <v>Done</v>
      </c>
    </row>
    <row r="48" spans="1:13" x14ac:dyDescent="0.25">
      <c r="A48" s="425">
        <v>42</v>
      </c>
      <c r="B48" s="425" t="s">
        <v>154</v>
      </c>
      <c r="C48" s="425" t="s">
        <v>20</v>
      </c>
      <c r="H48" s="425" t="str">
        <f t="shared" si="0"/>
        <v>,,,</v>
      </c>
      <c r="I48" s="428">
        <v>413.404</v>
      </c>
      <c r="K48" s="425" t="str">
        <f>+IFERROR(VLOOKUP(B48,Foundation!$C$8:$E$696,3,FALSE),"")</f>
        <v>DFR</v>
      </c>
      <c r="L48" s="425" t="str">
        <f>+IF(IFERROR(MATCH(B48,'Erection Compiled'!$C$6:$C$818,0),"B")="B","","E")</f>
        <v>E</v>
      </c>
      <c r="M48" s="425" t="str">
        <f>+IFERROR(VLOOKUP(B48,Tackwelding!$B$6:$G$367,6,FALSE),"")</f>
        <v>Done</v>
      </c>
    </row>
    <row r="49" spans="1:13" x14ac:dyDescent="0.25">
      <c r="A49" s="425">
        <v>43</v>
      </c>
      <c r="B49" s="425" t="s">
        <v>155</v>
      </c>
      <c r="C49" s="425" t="s">
        <v>231</v>
      </c>
      <c r="H49" s="425" t="str">
        <f t="shared" si="0"/>
        <v>,,,</v>
      </c>
      <c r="I49" s="428">
        <v>402.6</v>
      </c>
      <c r="K49" s="425" t="str">
        <f>+IFERROR(VLOOKUP(B49,Foundation!$C$8:$E$696,3,FALSE),"")</f>
        <v>DRY</v>
      </c>
      <c r="L49" s="425" t="str">
        <f>+IF(IFERROR(MATCH(B49,'Erection Compiled'!$C$6:$C$818,0),"B")="B","","E")</f>
        <v/>
      </c>
      <c r="M49" s="425" t="str">
        <f>+IFERROR(VLOOKUP(B49,Tackwelding!$B$6:$G$367,6,FALSE),"")</f>
        <v/>
      </c>
    </row>
    <row r="50" spans="1:13" x14ac:dyDescent="0.25">
      <c r="A50" s="425">
        <v>44</v>
      </c>
      <c r="B50" s="429" t="s">
        <v>466</v>
      </c>
      <c r="C50" s="429" t="s">
        <v>231</v>
      </c>
      <c r="D50" s="429"/>
      <c r="E50" s="429"/>
      <c r="F50" s="429"/>
      <c r="G50" s="429"/>
      <c r="H50" s="429" t="str">
        <f t="shared" si="0"/>
        <v>,,,</v>
      </c>
      <c r="I50" s="428">
        <v>372.1</v>
      </c>
      <c r="K50" s="425" t="str">
        <f>+IFERROR(VLOOKUP(B50,Foundation!$C$8:$E$696,3,FALSE),"")</f>
        <v>DRY</v>
      </c>
      <c r="L50" s="425" t="str">
        <f>+IF(IFERROR(MATCH(B50,'Erection Compiled'!$C$6:$C$818,0),"B")="B","","E")</f>
        <v>E</v>
      </c>
      <c r="M50" s="425" t="str">
        <f>+IFERROR(VLOOKUP(B50,Tackwelding!$B$6:$G$367,6,FALSE),"")</f>
        <v/>
      </c>
    </row>
    <row r="51" spans="1:13" x14ac:dyDescent="0.25">
      <c r="A51" s="425">
        <v>45</v>
      </c>
      <c r="B51" s="429" t="s">
        <v>45</v>
      </c>
      <c r="C51" s="429" t="s">
        <v>652</v>
      </c>
      <c r="D51" s="429"/>
      <c r="E51" s="429"/>
      <c r="F51" s="429"/>
      <c r="G51" s="429"/>
      <c r="H51" s="429" t="str">
        <f t="shared" si="0"/>
        <v>,,,</v>
      </c>
      <c r="I51" s="430">
        <v>457.7</v>
      </c>
      <c r="K51" s="425" t="str">
        <f>+IFERROR(VLOOKUP(B51,Foundation!$C$8:$E$696,3,FALSE),"")</f>
        <v>DRY</v>
      </c>
      <c r="L51" s="425" t="str">
        <f>+IF(IFERROR(MATCH(B51,'Erection Compiled'!$C$6:$C$818,0),"B")="B","","E")</f>
        <v>E</v>
      </c>
      <c r="M51" s="425" t="str">
        <f>+IFERROR(VLOOKUP(B51,Tackwelding!$B$6:$G$367,6,FALSE),"")</f>
        <v/>
      </c>
    </row>
    <row r="52" spans="1:13" x14ac:dyDescent="0.25">
      <c r="A52" s="425">
        <v>46</v>
      </c>
      <c r="B52" s="425" t="s">
        <v>46</v>
      </c>
      <c r="C52" s="425" t="s">
        <v>653</v>
      </c>
      <c r="H52" s="425" t="str">
        <f t="shared" si="0"/>
        <v>,,,</v>
      </c>
      <c r="I52" s="430">
        <v>233.1</v>
      </c>
      <c r="K52" s="425" t="str">
        <f>+IFERROR(VLOOKUP(B52,Foundation!$C$8:$E$696,3,FALSE),"")</f>
        <v>DFR</v>
      </c>
      <c r="L52" s="425" t="str">
        <f>+IF(IFERROR(MATCH(B52,'Erection Compiled'!$C$6:$C$818,0),"B")="B","","E")</f>
        <v/>
      </c>
      <c r="M52" s="425" t="str">
        <f>+IFERROR(VLOOKUP(B52,Tackwelding!$B$6:$G$367,6,FALSE),"")</f>
        <v/>
      </c>
    </row>
    <row r="53" spans="1:13" x14ac:dyDescent="0.25">
      <c r="A53" s="425">
        <v>47</v>
      </c>
      <c r="B53" s="425" t="s">
        <v>467</v>
      </c>
      <c r="C53" s="425" t="s">
        <v>231</v>
      </c>
      <c r="H53" s="425" t="str">
        <f t="shared" si="0"/>
        <v>,,,</v>
      </c>
      <c r="I53" s="428">
        <v>443.7</v>
      </c>
      <c r="K53" s="425" t="str">
        <f>+IFERROR(VLOOKUP(B53,Foundation!$C$8:$E$696,3,FALSE),"")</f>
        <v>DRY</v>
      </c>
      <c r="L53" s="425" t="str">
        <f>+IF(IFERROR(MATCH(B53,'Erection Compiled'!$C$6:$C$818,0),"B")="B","","E")</f>
        <v>E</v>
      </c>
      <c r="M53" s="425" t="str">
        <f>+IFERROR(VLOOKUP(B53,Tackwelding!$B$6:$G$367,6,FALSE),"")</f>
        <v>Done</v>
      </c>
    </row>
    <row r="54" spans="1:13" x14ac:dyDescent="0.25">
      <c r="A54" s="425">
        <v>48</v>
      </c>
      <c r="B54" s="425" t="s">
        <v>468</v>
      </c>
      <c r="C54" s="425" t="s">
        <v>231</v>
      </c>
      <c r="H54" s="425" t="str">
        <f t="shared" si="0"/>
        <v>,,,</v>
      </c>
      <c r="I54" s="428">
        <v>383.2</v>
      </c>
      <c r="K54" s="425" t="str">
        <f>+IFERROR(VLOOKUP(B54,Foundation!$C$8:$E$696,3,FALSE),"")</f>
        <v>DFR</v>
      </c>
      <c r="L54" s="425" t="str">
        <f>+IF(IFERROR(MATCH(B54,'Erection Compiled'!$C$6:$C$818,0),"B")="B","","E")</f>
        <v>E</v>
      </c>
      <c r="M54" s="425" t="str">
        <f>+IFERROR(VLOOKUP(B54,Tackwelding!$B$6:$G$367,6,FALSE),"")</f>
        <v/>
      </c>
    </row>
    <row r="55" spans="1:13" x14ac:dyDescent="0.25">
      <c r="A55" s="425">
        <v>49</v>
      </c>
      <c r="B55" s="425" t="s">
        <v>156</v>
      </c>
      <c r="C55" s="425" t="s">
        <v>231</v>
      </c>
      <c r="H55" s="425" t="str">
        <f t="shared" si="0"/>
        <v>,,,</v>
      </c>
      <c r="I55" s="428">
        <v>398.6</v>
      </c>
      <c r="K55" s="425" t="str">
        <f>+IFERROR(VLOOKUP(B55,Foundation!$C$8:$E$696,3,FALSE),"")</f>
        <v>DFR</v>
      </c>
      <c r="L55" s="425" t="str">
        <f>+IF(IFERROR(MATCH(B55,'Erection Compiled'!$C$6:$C$818,0),"B")="B","","E")</f>
        <v>E</v>
      </c>
      <c r="M55" s="425" t="str">
        <f>+IFERROR(VLOOKUP(B55,Tackwelding!$B$6:$G$367,6,FALSE),"")</f>
        <v>Done</v>
      </c>
    </row>
    <row r="56" spans="1:13" x14ac:dyDescent="0.25">
      <c r="A56" s="425">
        <v>50</v>
      </c>
      <c r="B56" s="425" t="s">
        <v>469</v>
      </c>
      <c r="C56" s="425" t="s">
        <v>20</v>
      </c>
      <c r="H56" s="425" t="str">
        <f t="shared" si="0"/>
        <v>,,,</v>
      </c>
      <c r="I56" s="428">
        <v>410.7</v>
      </c>
      <c r="K56" s="425" t="str">
        <f>+IFERROR(VLOOKUP(B56,Foundation!$C$8:$E$696,3,FALSE),"")</f>
        <v>DFR</v>
      </c>
      <c r="L56" s="425" t="str">
        <f>+IF(IFERROR(MATCH(B56,'Erection Compiled'!$C$6:$C$818,0),"B")="B","","E")</f>
        <v>E</v>
      </c>
      <c r="M56" s="425" t="str">
        <f>+IFERROR(VLOOKUP(B56,Tackwelding!$B$6:$G$367,6,FALSE),"")</f>
        <v>Done</v>
      </c>
    </row>
    <row r="57" spans="1:13" x14ac:dyDescent="0.25">
      <c r="A57" s="425">
        <v>51</v>
      </c>
      <c r="B57" s="425" t="s">
        <v>157</v>
      </c>
      <c r="C57" s="425" t="s">
        <v>20</v>
      </c>
      <c r="H57" s="425" t="str">
        <f t="shared" si="0"/>
        <v>,,,</v>
      </c>
      <c r="I57" s="428">
        <v>416.2</v>
      </c>
      <c r="K57" s="425" t="str">
        <f>+IFERROR(VLOOKUP(B57,Foundation!$C$8:$E$696,3,FALSE),"")</f>
        <v>DRY</v>
      </c>
      <c r="L57" s="425" t="str">
        <f>+IF(IFERROR(MATCH(B57,'Erection Compiled'!$C$6:$C$818,0),"B")="B","","E")</f>
        <v>E</v>
      </c>
      <c r="M57" s="425" t="str">
        <f>+IFERROR(VLOOKUP(B57,Tackwelding!$B$6:$G$367,6,FALSE),"")</f>
        <v>Done</v>
      </c>
    </row>
    <row r="58" spans="1:13" x14ac:dyDescent="0.25">
      <c r="A58" s="425">
        <v>52</v>
      </c>
      <c r="B58" s="425" t="s">
        <v>158</v>
      </c>
      <c r="C58" s="425" t="s">
        <v>231</v>
      </c>
      <c r="H58" s="425" t="str">
        <f t="shared" si="0"/>
        <v>,,,</v>
      </c>
      <c r="I58" s="428">
        <v>403.4</v>
      </c>
      <c r="K58" s="425" t="str">
        <f>+IFERROR(VLOOKUP(B58,Foundation!$C$8:$E$696,3,FALSE),"")</f>
        <v>DFR</v>
      </c>
      <c r="L58" s="425" t="str">
        <f>+IF(IFERROR(MATCH(B58,'Erection Compiled'!$C$6:$C$818,0),"B")="B","","E")</f>
        <v>E</v>
      </c>
      <c r="M58" s="425" t="str">
        <f>+IFERROR(VLOOKUP(B58,Tackwelding!$B$6:$G$367,6,FALSE),"")</f>
        <v>Done</v>
      </c>
    </row>
    <row r="59" spans="1:13" x14ac:dyDescent="0.25">
      <c r="A59" s="425">
        <v>53</v>
      </c>
      <c r="B59" s="425" t="s">
        <v>159</v>
      </c>
      <c r="C59" s="425" t="s">
        <v>20</v>
      </c>
      <c r="H59" s="425" t="str">
        <f t="shared" si="0"/>
        <v>,,,</v>
      </c>
      <c r="I59" s="428">
        <v>373.84500000000003</v>
      </c>
      <c r="K59" s="425" t="str">
        <f>+IFERROR(VLOOKUP(B59,Foundation!$C$8:$E$696,3,FALSE),"")</f>
        <v>DRY</v>
      </c>
      <c r="L59" s="425" t="str">
        <f>+IF(IFERROR(MATCH(B59,'Erection Compiled'!$C$6:$C$818,0),"B")="B","","E")</f>
        <v>E</v>
      </c>
      <c r="M59" s="425" t="str">
        <f>+IFERROR(VLOOKUP(B59,Tackwelding!$B$6:$G$367,6,FALSE),"")</f>
        <v/>
      </c>
    </row>
    <row r="60" spans="1:13" x14ac:dyDescent="0.25">
      <c r="A60" s="425">
        <v>54</v>
      </c>
      <c r="B60" s="425" t="s">
        <v>160</v>
      </c>
      <c r="C60" s="425" t="s">
        <v>20</v>
      </c>
      <c r="H60" s="425" t="str">
        <f t="shared" si="0"/>
        <v>,,,</v>
      </c>
      <c r="I60" s="428">
        <v>411.82299999999998</v>
      </c>
      <c r="K60" s="425" t="str">
        <f>+IFERROR(VLOOKUP(B60,Foundation!$C$8:$E$696,3,FALSE),"")</f>
        <v>DFR</v>
      </c>
      <c r="L60" s="425" t="str">
        <f>+IF(IFERROR(MATCH(B60,'Erection Compiled'!$C$6:$C$818,0),"B")="B","","E")</f>
        <v>E</v>
      </c>
      <c r="M60" s="425" t="str">
        <f>+IFERROR(VLOOKUP(B60,Tackwelding!$B$6:$G$367,6,FALSE),"")</f>
        <v>Done</v>
      </c>
    </row>
    <row r="61" spans="1:13" x14ac:dyDescent="0.25">
      <c r="A61" s="425">
        <v>55</v>
      </c>
      <c r="B61" s="425" t="s">
        <v>161</v>
      </c>
      <c r="C61" s="425" t="s">
        <v>231</v>
      </c>
      <c r="H61" s="425" t="str">
        <f t="shared" si="0"/>
        <v>,,,</v>
      </c>
      <c r="I61" s="428">
        <v>414.2</v>
      </c>
      <c r="K61" s="425" t="str">
        <f>+IFERROR(VLOOKUP(B61,Foundation!$C$8:$E$696,3,FALSE),"")</f>
        <v>DRY</v>
      </c>
      <c r="L61" s="425" t="str">
        <f>+IF(IFERROR(MATCH(B61,'Erection Compiled'!$C$6:$C$818,0),"B")="B","","E")</f>
        <v>E</v>
      </c>
      <c r="M61" s="425" t="str">
        <f>+IFERROR(VLOOKUP(B61,Tackwelding!$B$6:$G$367,6,FALSE),"")</f>
        <v/>
      </c>
    </row>
    <row r="62" spans="1:13" x14ac:dyDescent="0.25">
      <c r="A62" s="425">
        <v>56</v>
      </c>
      <c r="B62" s="425" t="s">
        <v>162</v>
      </c>
      <c r="C62" s="425" t="s">
        <v>20</v>
      </c>
      <c r="H62" s="425" t="str">
        <f t="shared" si="0"/>
        <v>,,,</v>
      </c>
      <c r="I62" s="428">
        <v>402.3</v>
      </c>
      <c r="K62" s="425" t="str">
        <f>+IFERROR(VLOOKUP(B62,Foundation!$C$8:$E$696,3,FALSE),"")</f>
        <v>Sandy</v>
      </c>
      <c r="L62" s="425" t="str">
        <f>+IF(IFERROR(MATCH(B62,'Erection Compiled'!$C$6:$C$818,0),"B")="B","","E")</f>
        <v>E</v>
      </c>
      <c r="M62" s="425" t="str">
        <f>+IFERROR(VLOOKUP(B62,Tackwelding!$B$6:$G$367,6,FALSE),"")</f>
        <v/>
      </c>
    </row>
    <row r="63" spans="1:13" x14ac:dyDescent="0.25">
      <c r="A63" s="425">
        <v>57</v>
      </c>
      <c r="B63" s="425" t="s">
        <v>163</v>
      </c>
      <c r="C63" s="425" t="s">
        <v>20</v>
      </c>
      <c r="H63" s="425" t="str">
        <f t="shared" si="0"/>
        <v>,,,</v>
      </c>
      <c r="I63" s="428">
        <v>430.3</v>
      </c>
      <c r="K63" s="425" t="str">
        <f>+IFERROR(VLOOKUP(B63,Foundation!$C$8:$E$696,3,FALSE),"")</f>
        <v>DRY</v>
      </c>
      <c r="L63" s="425" t="str">
        <f>+IF(IFERROR(MATCH(B63,'Erection Compiled'!$C$6:$C$818,0),"B")="B","","E")</f>
        <v>E</v>
      </c>
      <c r="M63" s="425" t="str">
        <f>+IFERROR(VLOOKUP(B63,Tackwelding!$B$6:$G$367,6,FALSE),"")</f>
        <v/>
      </c>
    </row>
    <row r="64" spans="1:13" x14ac:dyDescent="0.25">
      <c r="A64" s="425">
        <v>58</v>
      </c>
      <c r="B64" s="425" t="s">
        <v>164</v>
      </c>
      <c r="C64" s="425" t="s">
        <v>242</v>
      </c>
      <c r="H64" s="425" t="str">
        <f t="shared" si="0"/>
        <v>,,,</v>
      </c>
      <c r="I64" s="428">
        <v>406.2</v>
      </c>
      <c r="K64" s="425" t="str">
        <f>+IFERROR(VLOOKUP(B64,Foundation!$C$8:$E$696,3,FALSE),"")</f>
        <v>DRY</v>
      </c>
      <c r="L64" s="425" t="str">
        <f>+IF(IFERROR(MATCH(B64,'Erection Compiled'!$C$6:$C$818,0),"B")="B","","E")</f>
        <v>E</v>
      </c>
      <c r="M64" s="425" t="str">
        <f>+IFERROR(VLOOKUP(B64,Tackwelding!$B$6:$G$367,6,FALSE),"")</f>
        <v>Done</v>
      </c>
    </row>
    <row r="65" spans="1:13" x14ac:dyDescent="0.25">
      <c r="A65" s="425">
        <v>59</v>
      </c>
      <c r="B65" s="425" t="s">
        <v>165</v>
      </c>
      <c r="C65" s="425" t="s">
        <v>20</v>
      </c>
      <c r="H65" s="425" t="str">
        <f t="shared" si="0"/>
        <v>,,,</v>
      </c>
      <c r="I65" s="428">
        <v>405.3</v>
      </c>
      <c r="K65" s="425" t="str">
        <f>+IFERROR(VLOOKUP(B65,Foundation!$C$8:$E$696,3,FALSE),"")</f>
        <v>DRY</v>
      </c>
      <c r="L65" s="425" t="str">
        <f>+IF(IFERROR(MATCH(B65,'Erection Compiled'!$C$6:$C$818,0),"B")="B","","E")</f>
        <v>E</v>
      </c>
      <c r="M65" s="425" t="str">
        <f>+IFERROR(VLOOKUP(B65,Tackwelding!$B$6:$G$367,6,FALSE),"")</f>
        <v>Done</v>
      </c>
    </row>
    <row r="66" spans="1:13" x14ac:dyDescent="0.25">
      <c r="A66" s="425">
        <v>60</v>
      </c>
      <c r="B66" s="425" t="s">
        <v>166</v>
      </c>
      <c r="C66" s="425" t="s">
        <v>20</v>
      </c>
      <c r="H66" s="425" t="str">
        <f t="shared" si="0"/>
        <v>,,,</v>
      </c>
      <c r="I66" s="428">
        <v>427.1</v>
      </c>
      <c r="K66" s="425" t="str">
        <f>+IFERROR(VLOOKUP(B66,Foundation!$C$8:$E$696,3,FALSE),"")</f>
        <v>DRY</v>
      </c>
      <c r="L66" s="425" t="str">
        <f>+IF(IFERROR(MATCH(B66,'Erection Compiled'!$C$6:$C$818,0),"B")="B","","E")</f>
        <v>E</v>
      </c>
      <c r="M66" s="425" t="str">
        <f>+IFERROR(VLOOKUP(B66,Tackwelding!$B$6:$G$367,6,FALSE),"")</f>
        <v>Done</v>
      </c>
    </row>
    <row r="67" spans="1:13" x14ac:dyDescent="0.25">
      <c r="A67" s="425">
        <v>61</v>
      </c>
      <c r="B67" s="425" t="s">
        <v>470</v>
      </c>
      <c r="C67" s="425" t="s">
        <v>20</v>
      </c>
      <c r="H67" s="425" t="str">
        <f t="shared" si="0"/>
        <v>,,,</v>
      </c>
      <c r="I67" s="428">
        <v>400</v>
      </c>
      <c r="K67" s="425" t="str">
        <f>+IFERROR(VLOOKUP(B67,Foundation!$C$8:$E$696,3,FALSE),"")</f>
        <v>DRY</v>
      </c>
      <c r="L67" s="425" t="str">
        <f>+IF(IFERROR(MATCH(B67,'Erection Compiled'!$C$6:$C$818,0),"B")="B","","E")</f>
        <v>E</v>
      </c>
      <c r="M67" s="425" t="str">
        <f>+IFERROR(VLOOKUP(B67,Tackwelding!$B$6:$G$367,6,FALSE),"")</f>
        <v>Done</v>
      </c>
    </row>
    <row r="68" spans="1:13" x14ac:dyDescent="0.25">
      <c r="A68" s="425">
        <v>62</v>
      </c>
      <c r="B68" s="425" t="s">
        <v>471</v>
      </c>
      <c r="C68" s="425" t="s">
        <v>20</v>
      </c>
      <c r="H68" s="425" t="str">
        <f t="shared" si="0"/>
        <v>,,,</v>
      </c>
      <c r="I68" s="428">
        <v>412.8</v>
      </c>
      <c r="K68" s="425" t="str">
        <f>+IFERROR(VLOOKUP(B68,Foundation!$C$8:$E$696,3,FALSE),"")</f>
        <v>DRY</v>
      </c>
      <c r="L68" s="425" t="str">
        <f>+IF(IFERROR(MATCH(B68,'Erection Compiled'!$C$6:$C$818,0),"B")="B","","E")</f>
        <v>E</v>
      </c>
      <c r="M68" s="425" t="str">
        <f>+IFERROR(VLOOKUP(B68,Tackwelding!$B$6:$G$367,6,FALSE),"")</f>
        <v>Done</v>
      </c>
    </row>
    <row r="69" spans="1:13" x14ac:dyDescent="0.25">
      <c r="A69" s="425">
        <v>63</v>
      </c>
      <c r="B69" s="425" t="s">
        <v>167</v>
      </c>
      <c r="C69" s="425" t="s">
        <v>20</v>
      </c>
      <c r="H69" s="425" t="str">
        <f t="shared" si="0"/>
        <v>,,,</v>
      </c>
      <c r="I69" s="428">
        <v>387.8</v>
      </c>
      <c r="K69" s="425" t="str">
        <f>+IFERROR(VLOOKUP(B69,Foundation!$C$8:$E$696,3,FALSE),"")</f>
        <v>DFR</v>
      </c>
      <c r="L69" s="425" t="str">
        <f>+IF(IFERROR(MATCH(B69,'Erection Compiled'!$C$6:$C$818,0),"B")="B","","E")</f>
        <v>E</v>
      </c>
      <c r="M69" s="425" t="str">
        <f>+IFERROR(VLOOKUP(B69,Tackwelding!$B$6:$G$367,6,FALSE),"")</f>
        <v>Done</v>
      </c>
    </row>
    <row r="70" spans="1:13" x14ac:dyDescent="0.25">
      <c r="A70" s="425">
        <v>64</v>
      </c>
      <c r="B70" s="425" t="s">
        <v>168</v>
      </c>
      <c r="C70" s="425" t="s">
        <v>20</v>
      </c>
      <c r="H70" s="425" t="str">
        <f t="shared" si="0"/>
        <v>,,,</v>
      </c>
      <c r="I70" s="428">
        <v>436.7</v>
      </c>
      <c r="K70" s="425" t="str">
        <f>+IFERROR(VLOOKUP(B70,Foundation!$C$8:$E$696,3,FALSE),"")</f>
        <v>DFR</v>
      </c>
      <c r="L70" s="425" t="str">
        <f>+IF(IFERROR(MATCH(B70,'Erection Compiled'!$C$6:$C$818,0),"B")="B","","E")</f>
        <v>E</v>
      </c>
      <c r="M70" s="425" t="str">
        <f>+IFERROR(VLOOKUP(B70,Tackwelding!$B$6:$G$367,6,FALSE),"")</f>
        <v>Done</v>
      </c>
    </row>
    <row r="71" spans="1:13" x14ac:dyDescent="0.25">
      <c r="A71" s="425">
        <v>65</v>
      </c>
      <c r="B71" s="425" t="s">
        <v>169</v>
      </c>
      <c r="C71" s="425" t="s">
        <v>231</v>
      </c>
      <c r="H71" s="425" t="str">
        <f t="shared" si="0"/>
        <v>,,,</v>
      </c>
      <c r="I71" s="428">
        <v>403.7</v>
      </c>
      <c r="K71" s="425" t="str">
        <f>+IFERROR(VLOOKUP(B71,Foundation!$C$8:$E$696,3,FALSE),"")</f>
        <v>DRY</v>
      </c>
      <c r="L71" s="425" t="str">
        <f>+IF(IFERROR(MATCH(B71,'Erection Compiled'!$C$6:$C$818,0),"B")="B","","E")</f>
        <v>E</v>
      </c>
      <c r="M71" s="425" t="str">
        <f>+IFERROR(VLOOKUP(B71,Tackwelding!$B$6:$G$367,6,FALSE),"")</f>
        <v>Done</v>
      </c>
    </row>
    <row r="72" spans="1:13" x14ac:dyDescent="0.25">
      <c r="A72" s="425">
        <v>66</v>
      </c>
      <c r="B72" s="425" t="s">
        <v>472</v>
      </c>
      <c r="C72" s="425" t="s">
        <v>20</v>
      </c>
      <c r="H72" s="425" t="str">
        <f t="shared" si="0"/>
        <v>,,,</v>
      </c>
      <c r="I72" s="428">
        <v>409.5</v>
      </c>
      <c r="K72" s="425" t="str">
        <f>+IFERROR(VLOOKUP(B72,Foundation!$C$8:$E$696,3,FALSE),"")</f>
        <v>DFR</v>
      </c>
      <c r="L72" s="425" t="str">
        <f>+IF(IFERROR(MATCH(B72,'Erection Compiled'!$C$6:$C$818,0),"B")="B","","E")</f>
        <v>E</v>
      </c>
      <c r="M72" s="425" t="str">
        <f>+IFERROR(VLOOKUP(B72,Tackwelding!$B$6:$G$367,6,FALSE),"")</f>
        <v>Done</v>
      </c>
    </row>
    <row r="73" spans="1:13" x14ac:dyDescent="0.25">
      <c r="A73" s="425">
        <v>67</v>
      </c>
      <c r="B73" s="425" t="s">
        <v>473</v>
      </c>
      <c r="C73" s="425" t="s">
        <v>20</v>
      </c>
      <c r="H73" s="425" t="str">
        <f t="shared" ref="H73:H136" si="1">+CONCATENATE(D73,",",E73,",",F73,",",G73)</f>
        <v>,,,</v>
      </c>
      <c r="I73" s="428">
        <v>418.6</v>
      </c>
      <c r="K73" s="425" t="str">
        <f>+IFERROR(VLOOKUP(B73,Foundation!$C$8:$E$696,3,FALSE),"")</f>
        <v>DFR</v>
      </c>
      <c r="L73" s="425" t="str">
        <f>+IF(IFERROR(MATCH(B73,'Erection Compiled'!$C$6:$C$818,0),"B")="B","","E")</f>
        <v>E</v>
      </c>
      <c r="M73" s="425" t="str">
        <f>+IFERROR(VLOOKUP(B73,Tackwelding!$B$6:$G$367,6,FALSE),"")</f>
        <v>Done</v>
      </c>
    </row>
    <row r="74" spans="1:13" x14ac:dyDescent="0.25">
      <c r="A74" s="425">
        <v>68</v>
      </c>
      <c r="B74" s="425" t="s">
        <v>474</v>
      </c>
      <c r="C74" s="425" t="s">
        <v>231</v>
      </c>
      <c r="D74" s="425">
        <v>1</v>
      </c>
      <c r="E74" s="425">
        <v>3</v>
      </c>
      <c r="H74" s="425" t="str">
        <f t="shared" si="1"/>
        <v>1,3,,</v>
      </c>
      <c r="I74" s="428">
        <v>410.3</v>
      </c>
      <c r="K74" s="425" t="str">
        <f>+IFERROR(VLOOKUP(B74,Foundation!$C$8:$E$696,3,FALSE),"")</f>
        <v>Sandy</v>
      </c>
      <c r="L74" s="425" t="str">
        <f>+IF(IFERROR(MATCH(B74,'Erection Compiled'!$C$6:$C$818,0),"B")="B","","E")</f>
        <v>E</v>
      </c>
      <c r="M74" s="425" t="str">
        <f>+IFERROR(VLOOKUP(B74,Tackwelding!$B$6:$G$367,6,FALSE),"")</f>
        <v>Done</v>
      </c>
    </row>
    <row r="75" spans="1:13" x14ac:dyDescent="0.25">
      <c r="A75" s="425">
        <v>69</v>
      </c>
      <c r="B75" s="425" t="s">
        <v>475</v>
      </c>
      <c r="C75" s="425" t="s">
        <v>231</v>
      </c>
      <c r="E75" s="425">
        <v>2</v>
      </c>
      <c r="H75" s="425" t="str">
        <f t="shared" si="1"/>
        <v>,2,,</v>
      </c>
      <c r="I75" s="428">
        <v>384</v>
      </c>
      <c r="K75" s="425" t="str">
        <f>+IFERROR(VLOOKUP(B75,Foundation!$C$8:$E$696,3,FALSE),"")</f>
        <v>Sandy</v>
      </c>
      <c r="L75" s="425" t="str">
        <f>+IF(IFERROR(MATCH(B75,'Erection Compiled'!$C$6:$C$818,0),"B")="B","","E")</f>
        <v>E</v>
      </c>
      <c r="M75" s="425" t="str">
        <f>+IFERROR(VLOOKUP(B75,Tackwelding!$B$6:$G$367,6,FALSE),"")</f>
        <v>Done</v>
      </c>
    </row>
    <row r="76" spans="1:13" x14ac:dyDescent="0.25">
      <c r="A76" s="425">
        <v>70</v>
      </c>
      <c r="B76" s="425" t="s">
        <v>476</v>
      </c>
      <c r="C76" s="425" t="s">
        <v>242</v>
      </c>
      <c r="D76" s="425">
        <v>1</v>
      </c>
      <c r="E76" s="425">
        <v>4</v>
      </c>
      <c r="G76" s="425">
        <v>3</v>
      </c>
      <c r="H76" s="425" t="str">
        <f t="shared" si="1"/>
        <v>1,4,,3</v>
      </c>
      <c r="I76" s="428">
        <v>450.8</v>
      </c>
      <c r="K76" s="425" t="str">
        <f>+IFERROR(VLOOKUP(B76,Foundation!$C$8:$E$696,3,FALSE),"")</f>
        <v>Sandy</v>
      </c>
      <c r="L76" s="425" t="str">
        <f>+IF(IFERROR(MATCH(B76,'Erection Compiled'!$C$6:$C$818,0),"B")="B","","E")</f>
        <v>E</v>
      </c>
      <c r="M76" s="425" t="str">
        <f>+IFERROR(VLOOKUP(B76,Tackwelding!$B$6:$G$367,6,FALSE),"")</f>
        <v/>
      </c>
    </row>
    <row r="77" spans="1:13" x14ac:dyDescent="0.25">
      <c r="A77" s="425">
        <v>71</v>
      </c>
      <c r="B77" s="425" t="s">
        <v>477</v>
      </c>
      <c r="C77" s="425" t="s">
        <v>231</v>
      </c>
      <c r="H77" s="425" t="str">
        <f t="shared" si="1"/>
        <v>,,,</v>
      </c>
      <c r="I77" s="428">
        <v>384.2</v>
      </c>
      <c r="K77" s="425" t="str">
        <f>+IFERROR(VLOOKUP(B77,Foundation!$C$8:$E$696,3,FALSE),"")</f>
        <v>Sandy</v>
      </c>
      <c r="L77" s="425" t="str">
        <f>+IF(IFERROR(MATCH(B77,'Erection Compiled'!$C$6:$C$818,0),"B")="B","","E")</f>
        <v>E</v>
      </c>
      <c r="M77" s="425" t="str">
        <f>+IFERROR(VLOOKUP(B77,Tackwelding!$B$6:$G$367,6,FALSE),"")</f>
        <v>Done</v>
      </c>
    </row>
    <row r="78" spans="1:13" x14ac:dyDescent="0.25">
      <c r="A78" s="425">
        <v>72</v>
      </c>
      <c r="B78" s="425" t="s">
        <v>478</v>
      </c>
      <c r="C78" s="425" t="s">
        <v>231</v>
      </c>
      <c r="D78" s="425">
        <v>2</v>
      </c>
      <c r="E78" s="425">
        <v>1</v>
      </c>
      <c r="H78" s="425" t="str">
        <f t="shared" si="1"/>
        <v>2,1,,</v>
      </c>
      <c r="I78" s="428">
        <v>338.6</v>
      </c>
      <c r="K78" s="425" t="str">
        <f>+IFERROR(VLOOKUP(B78,Foundation!$C$8:$E$696,3,FALSE),"")</f>
        <v>Sandy</v>
      </c>
      <c r="L78" s="425" t="str">
        <f>+IF(IFERROR(MATCH(B78,'Erection Compiled'!$C$6:$C$818,0),"B")="B","","E")</f>
        <v>E</v>
      </c>
      <c r="M78" s="425" t="str">
        <f>+IFERROR(VLOOKUP(B78,Tackwelding!$B$6:$G$367,6,FALSE),"")</f>
        <v>Done</v>
      </c>
    </row>
    <row r="79" spans="1:13" x14ac:dyDescent="0.25">
      <c r="A79" s="425">
        <v>73</v>
      </c>
      <c r="B79" s="425" t="s">
        <v>479</v>
      </c>
      <c r="C79" s="425" t="s">
        <v>231</v>
      </c>
      <c r="G79" s="425">
        <v>1</v>
      </c>
      <c r="H79" s="425" t="str">
        <f t="shared" si="1"/>
        <v>,,,1</v>
      </c>
      <c r="I79" s="428">
        <v>370.7</v>
      </c>
      <c r="K79" s="425" t="str">
        <f>+IFERROR(VLOOKUP(B79,Foundation!$C$8:$E$696,3,FALSE),"")</f>
        <v>Sandy</v>
      </c>
      <c r="L79" s="425" t="str">
        <f>+IF(IFERROR(MATCH(B79,'Erection Compiled'!$C$6:$C$818,0),"B")="B","","E")</f>
        <v>E</v>
      </c>
      <c r="M79" s="425" t="str">
        <f>+IFERROR(VLOOKUP(B79,Tackwelding!$B$6:$G$367,6,FALSE),"")</f>
        <v/>
      </c>
    </row>
    <row r="80" spans="1:13" x14ac:dyDescent="0.25">
      <c r="A80" s="425">
        <v>74</v>
      </c>
      <c r="B80" s="425" t="s">
        <v>480</v>
      </c>
      <c r="C80" s="425" t="s">
        <v>231</v>
      </c>
      <c r="H80" s="425" t="str">
        <f t="shared" si="1"/>
        <v>,,,</v>
      </c>
      <c r="I80" s="428">
        <v>434.1</v>
      </c>
      <c r="K80" s="425" t="str">
        <f>+IFERROR(VLOOKUP(B80,Foundation!$C$8:$E$696,3,FALSE),"")</f>
        <v>Sandy</v>
      </c>
      <c r="L80" s="425" t="str">
        <f>+IF(IFERROR(MATCH(B80,'Erection Compiled'!$C$6:$C$818,0),"B")="B","","E")</f>
        <v>E</v>
      </c>
      <c r="M80" s="425" t="str">
        <f>+IFERROR(VLOOKUP(B80,Tackwelding!$B$6:$G$367,6,FALSE),"")</f>
        <v/>
      </c>
    </row>
    <row r="81" spans="1:13" x14ac:dyDescent="0.25">
      <c r="A81" s="425">
        <v>75</v>
      </c>
      <c r="B81" s="425" t="s">
        <v>170</v>
      </c>
      <c r="C81" s="425" t="s">
        <v>231</v>
      </c>
      <c r="H81" s="425" t="str">
        <f t="shared" si="1"/>
        <v>,,,</v>
      </c>
      <c r="I81" s="428">
        <v>368.1</v>
      </c>
      <c r="K81" s="425" t="str">
        <f>+IFERROR(VLOOKUP(B81,Foundation!$C$8:$E$696,3,FALSE),"")</f>
        <v>DFR</v>
      </c>
      <c r="L81" s="425" t="str">
        <f>+IF(IFERROR(MATCH(B81,'Erection Compiled'!$C$6:$C$818,0),"B")="B","","E")</f>
        <v>E</v>
      </c>
      <c r="M81" s="425" t="str">
        <f>+IFERROR(VLOOKUP(B81,Tackwelding!$B$6:$G$367,6,FALSE),"")</f>
        <v>Done</v>
      </c>
    </row>
    <row r="82" spans="1:13" x14ac:dyDescent="0.25">
      <c r="A82" s="425">
        <v>76</v>
      </c>
      <c r="B82" s="425" t="s">
        <v>171</v>
      </c>
      <c r="C82" s="425" t="s">
        <v>242</v>
      </c>
      <c r="H82" s="425" t="str">
        <f t="shared" si="1"/>
        <v>,,,</v>
      </c>
      <c r="I82" s="428">
        <v>342.3</v>
      </c>
      <c r="K82" s="425" t="str">
        <f>+IFERROR(VLOOKUP(B82,Foundation!$C$8:$E$696,3,FALSE),"")</f>
        <v>DRY</v>
      </c>
      <c r="L82" s="425" t="str">
        <f>+IF(IFERROR(MATCH(B82,'Erection Compiled'!$C$6:$C$818,0),"B")="B","","E")</f>
        <v>E</v>
      </c>
      <c r="M82" s="425" t="str">
        <f>+IFERROR(VLOOKUP(B82,Tackwelding!$B$6:$G$367,6,FALSE),"")</f>
        <v>Done</v>
      </c>
    </row>
    <row r="83" spans="1:13" x14ac:dyDescent="0.25">
      <c r="A83" s="425">
        <v>77</v>
      </c>
      <c r="B83" s="425" t="s">
        <v>481</v>
      </c>
      <c r="C83" s="425" t="s">
        <v>20</v>
      </c>
      <c r="H83" s="425" t="str">
        <f t="shared" si="1"/>
        <v>,,,</v>
      </c>
      <c r="I83" s="428">
        <v>405.1</v>
      </c>
      <c r="K83" s="425" t="str">
        <f>+IFERROR(VLOOKUP(B83,Foundation!$C$8:$E$696,3,FALSE),"")</f>
        <v>DRY</v>
      </c>
      <c r="L83" s="425" t="str">
        <f>+IF(IFERROR(MATCH(B83,'Erection Compiled'!$C$6:$C$818,0),"B")="B","","E")</f>
        <v>E</v>
      </c>
      <c r="M83" s="425" t="str">
        <f>+IFERROR(VLOOKUP(B83,Tackwelding!$B$6:$G$367,6,FALSE),"")</f>
        <v/>
      </c>
    </row>
    <row r="84" spans="1:13" x14ac:dyDescent="0.25">
      <c r="A84" s="425">
        <v>78</v>
      </c>
      <c r="B84" s="425" t="s">
        <v>482</v>
      </c>
      <c r="C84" s="425" t="s">
        <v>231</v>
      </c>
      <c r="H84" s="425" t="str">
        <f t="shared" si="1"/>
        <v>,,,</v>
      </c>
      <c r="I84" s="428">
        <v>412.2</v>
      </c>
      <c r="K84" s="425" t="str">
        <f>+IFERROR(VLOOKUP(B84,Foundation!$C$8:$E$696,3,FALSE),"")</f>
        <v>DRY</v>
      </c>
      <c r="L84" s="425" t="str">
        <f>+IF(IFERROR(MATCH(B84,'Erection Compiled'!$C$6:$C$818,0),"B")="B","","E")</f>
        <v>E</v>
      </c>
      <c r="M84" s="425" t="str">
        <f>+IFERROR(VLOOKUP(B84,Tackwelding!$B$6:$G$367,6,FALSE),"")</f>
        <v/>
      </c>
    </row>
    <row r="85" spans="1:13" x14ac:dyDescent="0.25">
      <c r="A85" s="425">
        <v>79</v>
      </c>
      <c r="B85" s="425" t="s">
        <v>483</v>
      </c>
      <c r="C85" s="425" t="s">
        <v>20</v>
      </c>
      <c r="H85" s="425" t="str">
        <f t="shared" si="1"/>
        <v>,,,</v>
      </c>
      <c r="I85" s="428">
        <v>412.2</v>
      </c>
      <c r="K85" s="425" t="str">
        <f>+IFERROR(VLOOKUP(B85,Foundation!$C$8:$E$696,3,FALSE),"")</f>
        <v>DRY</v>
      </c>
      <c r="L85" s="425" t="str">
        <f>+IF(IFERROR(MATCH(B85,'Erection Compiled'!$C$6:$C$818,0),"B")="B","","E")</f>
        <v>E</v>
      </c>
      <c r="M85" s="425" t="str">
        <f>+IFERROR(VLOOKUP(B85,Tackwelding!$B$6:$G$367,6,FALSE),"")</f>
        <v/>
      </c>
    </row>
    <row r="86" spans="1:13" x14ac:dyDescent="0.25">
      <c r="A86" s="425">
        <v>80</v>
      </c>
      <c r="B86" s="425" t="s">
        <v>484</v>
      </c>
      <c r="C86" s="425" t="s">
        <v>20</v>
      </c>
      <c r="H86" s="425" t="str">
        <f t="shared" si="1"/>
        <v>,,,</v>
      </c>
      <c r="I86" s="428">
        <v>422.1</v>
      </c>
      <c r="K86" s="425" t="str">
        <f>+IFERROR(VLOOKUP(B86,Foundation!$C$8:$E$696,3,FALSE),"")</f>
        <v>DRY</v>
      </c>
      <c r="L86" s="425" t="str">
        <f>+IF(IFERROR(MATCH(B86,'Erection Compiled'!$C$6:$C$818,0),"B")="B","","E")</f>
        <v/>
      </c>
      <c r="M86" s="425" t="str">
        <f>+IFERROR(VLOOKUP(B86,Tackwelding!$B$6:$G$367,6,FALSE),"")</f>
        <v/>
      </c>
    </row>
    <row r="87" spans="1:13" x14ac:dyDescent="0.25">
      <c r="A87" s="425">
        <v>81</v>
      </c>
      <c r="B87" s="425" t="s">
        <v>485</v>
      </c>
      <c r="C87" s="425" t="s">
        <v>20</v>
      </c>
      <c r="H87" s="425" t="str">
        <f t="shared" si="1"/>
        <v>,,,</v>
      </c>
      <c r="I87" s="428">
        <v>418.3</v>
      </c>
      <c r="K87" s="425" t="str">
        <f>+IFERROR(VLOOKUP(B87,Foundation!$C$8:$E$696,3,FALSE),"")</f>
        <v>DRY</v>
      </c>
      <c r="L87" s="425" t="str">
        <f>+IF(IFERROR(MATCH(B87,'Erection Compiled'!$C$6:$C$818,0),"B")="B","","E")</f>
        <v>E</v>
      </c>
      <c r="M87" s="425" t="str">
        <f>+IFERROR(VLOOKUP(B87,Tackwelding!$B$6:$G$367,6,FALSE),"")</f>
        <v/>
      </c>
    </row>
    <row r="88" spans="1:13" x14ac:dyDescent="0.25">
      <c r="A88" s="425">
        <v>82</v>
      </c>
      <c r="B88" s="425" t="s">
        <v>486</v>
      </c>
      <c r="C88" s="425" t="s">
        <v>232</v>
      </c>
      <c r="H88" s="425" t="str">
        <f t="shared" si="1"/>
        <v>,,,</v>
      </c>
      <c r="I88" s="428">
        <v>384.3</v>
      </c>
      <c r="K88" s="425" t="str">
        <f>+IFERROR(VLOOKUP(B88,Foundation!$C$8:$E$696,3,FALSE),"")</f>
        <v>DRY</v>
      </c>
      <c r="L88" s="425" t="str">
        <f>+IF(IFERROR(MATCH(B88,'Erection Compiled'!$C$6:$C$818,0),"B")="B","","E")</f>
        <v>E</v>
      </c>
      <c r="M88" s="425" t="str">
        <f>+IFERROR(VLOOKUP(B88,Tackwelding!$B$6:$G$367,6,FALSE),"")</f>
        <v/>
      </c>
    </row>
    <row r="89" spans="1:13" x14ac:dyDescent="0.25">
      <c r="A89" s="425">
        <v>83</v>
      </c>
      <c r="B89" s="425" t="s">
        <v>487</v>
      </c>
      <c r="C89" s="425" t="s">
        <v>233</v>
      </c>
      <c r="H89" s="425" t="str">
        <f t="shared" si="1"/>
        <v>,,,</v>
      </c>
      <c r="I89" s="428">
        <v>434.2</v>
      </c>
      <c r="K89" s="425" t="str">
        <f>+IFERROR(VLOOKUP(B89,Foundation!$C$8:$E$696,3,FALSE),"")</f>
        <v>Sandy</v>
      </c>
      <c r="L89" s="425" t="str">
        <f>+IF(IFERROR(MATCH(B89,'Erection Compiled'!$C$6:$C$818,0),"B")="B","","E")</f>
        <v>E</v>
      </c>
      <c r="M89" s="425" t="str">
        <f>+IFERROR(VLOOKUP(B89,Tackwelding!$B$6:$G$367,6,FALSE),"")</f>
        <v/>
      </c>
    </row>
    <row r="90" spans="1:13" x14ac:dyDescent="0.25">
      <c r="A90" s="425">
        <v>84</v>
      </c>
      <c r="B90" s="425" t="s">
        <v>488</v>
      </c>
      <c r="C90" s="425" t="s">
        <v>232</v>
      </c>
      <c r="E90" s="425">
        <v>2</v>
      </c>
      <c r="F90" s="425">
        <v>4</v>
      </c>
      <c r="G90" s="425">
        <v>1</v>
      </c>
      <c r="H90" s="425" t="str">
        <f t="shared" si="1"/>
        <v>,2,4,1</v>
      </c>
      <c r="I90" s="428">
        <v>390.1</v>
      </c>
      <c r="K90" s="425" t="str">
        <f>+IFERROR(VLOOKUP(B90,Foundation!$C$8:$E$696,3,FALSE),"")</f>
        <v>Sandy</v>
      </c>
      <c r="L90" s="425" t="str">
        <f>+IF(IFERROR(MATCH(B90,'Erection Compiled'!$C$6:$C$818,0),"B")="B","","E")</f>
        <v>E</v>
      </c>
      <c r="M90" s="425" t="str">
        <f>+IFERROR(VLOOKUP(B90,Tackwelding!$B$6:$G$367,6,FALSE),"")</f>
        <v>Done</v>
      </c>
    </row>
    <row r="91" spans="1:13" x14ac:dyDescent="0.25">
      <c r="A91" s="425">
        <v>85</v>
      </c>
      <c r="B91" s="429" t="s">
        <v>489</v>
      </c>
      <c r="C91" s="429" t="s">
        <v>20</v>
      </c>
      <c r="D91" s="429"/>
      <c r="E91" s="429"/>
      <c r="F91" s="429"/>
      <c r="G91" s="429"/>
      <c r="H91" s="429" t="str">
        <f t="shared" si="1"/>
        <v>,,,</v>
      </c>
      <c r="I91" s="428">
        <v>426.3</v>
      </c>
      <c r="K91" s="425" t="str">
        <f>+IFERROR(VLOOKUP(B91,Foundation!$C$8:$E$696,3,FALSE),"")</f>
        <v>DRY</v>
      </c>
      <c r="L91" s="425" t="str">
        <f>+IF(IFERROR(MATCH(B91,'Erection Compiled'!$C$6:$C$818,0),"B")="B","","E")</f>
        <v>E</v>
      </c>
      <c r="M91" s="425" t="str">
        <f>+IFERROR(VLOOKUP(B91,Tackwelding!$B$6:$G$367,6,FALSE),"")</f>
        <v>Done</v>
      </c>
    </row>
    <row r="92" spans="1:13" x14ac:dyDescent="0.25">
      <c r="A92" s="425">
        <v>86</v>
      </c>
      <c r="B92" s="429" t="s">
        <v>47</v>
      </c>
      <c r="C92" s="429" t="s">
        <v>238</v>
      </c>
      <c r="D92" s="429"/>
      <c r="E92" s="429"/>
      <c r="F92" s="429"/>
      <c r="G92" s="429"/>
      <c r="H92" s="429" t="str">
        <f t="shared" si="1"/>
        <v>,,,</v>
      </c>
      <c r="I92" s="430">
        <v>405.9</v>
      </c>
      <c r="K92" s="425" t="str">
        <f>+IFERROR(VLOOKUP(B92,Foundation!$C$8:$E$696,3,FALSE),"")</f>
        <v>DRY</v>
      </c>
      <c r="L92" s="425" t="str">
        <f>+IF(IFERROR(MATCH(B92,'Erection Compiled'!$C$6:$C$818,0),"B")="B","","E")</f>
        <v>E</v>
      </c>
      <c r="M92" s="425" t="str">
        <f>+IFERROR(VLOOKUP(B92,Tackwelding!$B$6:$G$367,6,FALSE),"")</f>
        <v>Done</v>
      </c>
    </row>
    <row r="93" spans="1:13" x14ac:dyDescent="0.25">
      <c r="A93" s="425">
        <v>87</v>
      </c>
      <c r="B93" s="425" t="s">
        <v>48</v>
      </c>
      <c r="C93" s="425" t="s">
        <v>362</v>
      </c>
      <c r="H93" s="425" t="str">
        <f t="shared" si="1"/>
        <v>,,,</v>
      </c>
      <c r="I93" s="430">
        <v>211.9</v>
      </c>
      <c r="K93" s="425" t="str">
        <f>+IFERROR(VLOOKUP(B93,Foundation!$C$8:$E$696,3,FALSE),"")</f>
        <v>DRY</v>
      </c>
      <c r="L93" s="425" t="str">
        <f>+IF(IFERROR(MATCH(B93,'Erection Compiled'!$C$6:$C$818,0),"B")="B","","E")</f>
        <v/>
      </c>
      <c r="M93" s="425" t="str">
        <f>+IFERROR(VLOOKUP(B93,Tackwelding!$B$6:$G$367,6,FALSE),"")</f>
        <v/>
      </c>
    </row>
    <row r="94" spans="1:13" x14ac:dyDescent="0.25">
      <c r="A94" s="425">
        <v>88</v>
      </c>
      <c r="B94" s="425" t="s">
        <v>490</v>
      </c>
      <c r="C94" s="425" t="s">
        <v>233</v>
      </c>
      <c r="H94" s="425" t="str">
        <f t="shared" si="1"/>
        <v>,,,</v>
      </c>
      <c r="I94" s="428">
        <v>464.3</v>
      </c>
      <c r="K94" s="425" t="str">
        <f>+IFERROR(VLOOKUP(B94,Foundation!$C$8:$E$696,3,FALSE),"")</f>
        <v>DRY</v>
      </c>
      <c r="L94" s="425" t="str">
        <f>+IF(IFERROR(MATCH(B94,'Erection Compiled'!$C$6:$C$818,0),"B")="B","","E")</f>
        <v>E</v>
      </c>
      <c r="M94" s="425" t="str">
        <f>+IFERROR(VLOOKUP(B94,Tackwelding!$B$6:$G$367,6,FALSE),"")</f>
        <v/>
      </c>
    </row>
    <row r="95" spans="1:13" x14ac:dyDescent="0.25">
      <c r="A95" s="425">
        <v>89</v>
      </c>
      <c r="B95" s="425" t="s">
        <v>491</v>
      </c>
      <c r="C95" s="425" t="s">
        <v>20</v>
      </c>
      <c r="H95" s="425" t="str">
        <f t="shared" si="1"/>
        <v>,,,</v>
      </c>
      <c r="I95" s="428">
        <v>373.7</v>
      </c>
      <c r="K95" s="425" t="str">
        <f>+IFERROR(VLOOKUP(B95,Foundation!$C$8:$E$696,3,FALSE),"")</f>
        <v>DRY</v>
      </c>
      <c r="L95" s="425" t="str">
        <f>+IF(IFERROR(MATCH(B95,'Erection Compiled'!$C$6:$C$818,0),"B")="B","","E")</f>
        <v>E</v>
      </c>
      <c r="M95" s="425" t="str">
        <f>+IFERROR(VLOOKUP(B95,Tackwelding!$B$6:$G$367,6,FALSE),"")</f>
        <v/>
      </c>
    </row>
    <row r="96" spans="1:13" x14ac:dyDescent="0.25">
      <c r="A96" s="425">
        <v>90</v>
      </c>
      <c r="B96" s="425" t="s">
        <v>492</v>
      </c>
      <c r="C96" s="425" t="s">
        <v>20</v>
      </c>
      <c r="F96" s="425">
        <v>2</v>
      </c>
      <c r="G96" s="425">
        <v>4</v>
      </c>
      <c r="H96" s="425" t="str">
        <f t="shared" si="1"/>
        <v>,,2,4</v>
      </c>
      <c r="I96" s="428">
        <v>419.7</v>
      </c>
      <c r="K96" s="425" t="str">
        <f>+IFERROR(VLOOKUP(B96,Foundation!$C$8:$E$696,3,FALSE),"")</f>
        <v>Sandy</v>
      </c>
      <c r="L96" s="425" t="str">
        <f>+IF(IFERROR(MATCH(B96,'Erection Compiled'!$C$6:$C$818,0),"B")="B","","E")</f>
        <v>E</v>
      </c>
      <c r="M96" s="425" t="str">
        <f>+IFERROR(VLOOKUP(B96,Tackwelding!$B$6:$G$367,6,FALSE),"")</f>
        <v/>
      </c>
    </row>
    <row r="97" spans="1:13" x14ac:dyDescent="0.25">
      <c r="A97" s="425">
        <v>91</v>
      </c>
      <c r="B97" s="425" t="s">
        <v>172</v>
      </c>
      <c r="C97" s="425" t="s">
        <v>20</v>
      </c>
      <c r="H97" s="425" t="str">
        <f t="shared" si="1"/>
        <v>,,,</v>
      </c>
      <c r="I97" s="428">
        <v>420.3</v>
      </c>
      <c r="K97" s="425" t="str">
        <f>+IFERROR(VLOOKUP(B97,Foundation!$C$8:$E$696,3,FALSE),"")</f>
        <v>DRY</v>
      </c>
      <c r="L97" s="425" t="str">
        <f>+IF(IFERROR(MATCH(B97,'Erection Compiled'!$C$6:$C$818,0),"B")="B","","E")</f>
        <v>E</v>
      </c>
      <c r="M97" s="425" t="str">
        <f>+IFERROR(VLOOKUP(B97,Tackwelding!$B$6:$G$367,6,FALSE),"")</f>
        <v/>
      </c>
    </row>
    <row r="98" spans="1:13" x14ac:dyDescent="0.25">
      <c r="A98" s="425">
        <v>92</v>
      </c>
      <c r="B98" s="425" t="s">
        <v>493</v>
      </c>
      <c r="C98" s="425" t="s">
        <v>244</v>
      </c>
      <c r="H98" s="425" t="str">
        <f t="shared" si="1"/>
        <v>,,,</v>
      </c>
      <c r="I98" s="428">
        <v>400</v>
      </c>
      <c r="K98" s="425" t="str">
        <f>+IFERROR(VLOOKUP(B98,Foundation!$C$8:$E$696,3,FALSE),"")</f>
        <v>Sandy</v>
      </c>
      <c r="L98" s="425" t="str">
        <f>+IF(IFERROR(MATCH(B98,'Erection Compiled'!$C$6:$C$818,0),"B")="B","","E")</f>
        <v>E</v>
      </c>
      <c r="M98" s="425" t="str">
        <f>+IFERROR(VLOOKUP(B98,Tackwelding!$B$6:$G$367,6,FALSE),"")</f>
        <v/>
      </c>
    </row>
    <row r="99" spans="1:13" x14ac:dyDescent="0.25">
      <c r="A99" s="425">
        <v>93</v>
      </c>
      <c r="B99" s="425" t="s">
        <v>494</v>
      </c>
      <c r="C99" s="425" t="s">
        <v>239</v>
      </c>
      <c r="H99" s="425" t="str">
        <f t="shared" si="1"/>
        <v>,,,</v>
      </c>
      <c r="I99" s="428">
        <v>381.4</v>
      </c>
      <c r="K99" s="425" t="str">
        <f>+IFERROR(VLOOKUP(B99,Foundation!$C$8:$E$696,3,FALSE),"")</f>
        <v>DRY</v>
      </c>
      <c r="L99" s="425" t="str">
        <f>+IF(IFERROR(MATCH(B99,'Erection Compiled'!$C$6:$C$818,0),"B")="B","","E")</f>
        <v>E</v>
      </c>
      <c r="M99" s="425" t="str">
        <f>+IFERROR(VLOOKUP(B99,Tackwelding!$B$6:$G$367,6,FALSE),"")</f>
        <v/>
      </c>
    </row>
    <row r="100" spans="1:13" x14ac:dyDescent="0.25">
      <c r="A100" s="425">
        <v>94</v>
      </c>
      <c r="B100" s="425" t="s">
        <v>495</v>
      </c>
      <c r="C100" s="425" t="s">
        <v>20</v>
      </c>
      <c r="H100" s="425" t="str">
        <f t="shared" si="1"/>
        <v>,,,</v>
      </c>
      <c r="I100" s="428">
        <v>412.76499999999999</v>
      </c>
      <c r="K100" s="425" t="str">
        <f>+IFERROR(VLOOKUP(B100,Foundation!$C$8:$E$696,3,FALSE),"")</f>
        <v>DRY</v>
      </c>
      <c r="L100" s="425" t="str">
        <f>+IF(IFERROR(MATCH(B100,'Erection Compiled'!$C$6:$C$818,0),"B")="B","","E")</f>
        <v>E</v>
      </c>
      <c r="M100" s="425" t="str">
        <f>+IFERROR(VLOOKUP(B100,Tackwelding!$B$6:$G$367,6,FALSE),"")</f>
        <v/>
      </c>
    </row>
    <row r="101" spans="1:13" x14ac:dyDescent="0.25">
      <c r="A101" s="425">
        <v>95</v>
      </c>
      <c r="B101" s="425" t="s">
        <v>496</v>
      </c>
      <c r="C101" s="425" t="s">
        <v>231</v>
      </c>
      <c r="H101" s="425" t="str">
        <f t="shared" si="1"/>
        <v>,,,</v>
      </c>
      <c r="I101" s="428">
        <v>396.029</v>
      </c>
      <c r="K101" s="425" t="str">
        <f>+IFERROR(VLOOKUP(B101,Foundation!$C$8:$E$696,3,FALSE),"")</f>
        <v>DRY</v>
      </c>
      <c r="L101" s="425" t="str">
        <f>+IF(IFERROR(MATCH(B101,'Erection Compiled'!$C$6:$C$818,0),"B")="B","","E")</f>
        <v>E</v>
      </c>
      <c r="M101" s="425" t="str">
        <f>+IFERROR(VLOOKUP(B101,Tackwelding!$B$6:$G$367,6,FALSE),"")</f>
        <v/>
      </c>
    </row>
    <row r="102" spans="1:13" x14ac:dyDescent="0.25">
      <c r="A102" s="425">
        <v>96</v>
      </c>
      <c r="B102" s="425" t="s">
        <v>497</v>
      </c>
      <c r="C102" s="425" t="s">
        <v>239</v>
      </c>
      <c r="H102" s="425" t="str">
        <f t="shared" si="1"/>
        <v>,,,</v>
      </c>
      <c r="I102" s="428">
        <v>383.3</v>
      </c>
      <c r="K102" s="425" t="str">
        <f>+IFERROR(VLOOKUP(B102,Foundation!$C$8:$E$696,3,FALSE),"")</f>
        <v>DRY</v>
      </c>
      <c r="L102" s="425" t="str">
        <f>+IF(IFERROR(MATCH(B102,'Erection Compiled'!$C$6:$C$818,0),"B")="B","","E")</f>
        <v/>
      </c>
      <c r="M102" s="425" t="str">
        <f>+IFERROR(VLOOKUP(B102,Tackwelding!$B$6:$G$367,6,FALSE),"")</f>
        <v/>
      </c>
    </row>
    <row r="103" spans="1:13" x14ac:dyDescent="0.25">
      <c r="A103" s="425">
        <v>97</v>
      </c>
      <c r="B103" s="425" t="s">
        <v>498</v>
      </c>
      <c r="C103" s="425" t="s">
        <v>20</v>
      </c>
      <c r="H103" s="425" t="str">
        <f t="shared" si="1"/>
        <v>,,,</v>
      </c>
      <c r="I103" s="428">
        <v>404.6</v>
      </c>
      <c r="K103" s="425" t="str">
        <f>+IFERROR(VLOOKUP(B103,Foundation!$C$8:$E$696,3,FALSE),"")</f>
        <v>DRY</v>
      </c>
      <c r="L103" s="425" t="str">
        <f>+IF(IFERROR(MATCH(B103,'Erection Compiled'!$C$6:$C$818,0),"B")="B","","E")</f>
        <v>E</v>
      </c>
      <c r="M103" s="425" t="str">
        <f>+IFERROR(VLOOKUP(B103,Tackwelding!$B$6:$G$367,6,FALSE),"")</f>
        <v>Done</v>
      </c>
    </row>
    <row r="104" spans="1:13" x14ac:dyDescent="0.25">
      <c r="A104" s="425">
        <v>98</v>
      </c>
      <c r="B104" s="425" t="s">
        <v>499</v>
      </c>
      <c r="C104" s="425" t="s">
        <v>239</v>
      </c>
      <c r="H104" s="425" t="str">
        <f t="shared" si="1"/>
        <v>,,,</v>
      </c>
      <c r="I104" s="428">
        <v>413.3</v>
      </c>
      <c r="K104" s="425" t="str">
        <f>+IFERROR(VLOOKUP(B104,Foundation!$C$8:$E$696,3,FALSE),"")</f>
        <v>DRY</v>
      </c>
      <c r="L104" s="425" t="str">
        <f>+IF(IFERROR(MATCH(B104,'Erection Compiled'!$C$6:$C$818,0),"B")="B","","E")</f>
        <v>E</v>
      </c>
      <c r="M104" s="425" t="str">
        <f>+IFERROR(VLOOKUP(B104,Tackwelding!$B$6:$G$367,6,FALSE),"")</f>
        <v/>
      </c>
    </row>
    <row r="105" spans="1:13" x14ac:dyDescent="0.25">
      <c r="A105" s="425">
        <v>99</v>
      </c>
      <c r="B105" s="425" t="s">
        <v>500</v>
      </c>
      <c r="C105" s="425" t="s">
        <v>231</v>
      </c>
      <c r="H105" s="425" t="str">
        <f t="shared" si="1"/>
        <v>,,,</v>
      </c>
      <c r="I105" s="428">
        <v>354.28300000000002</v>
      </c>
      <c r="K105" s="425" t="str">
        <f>+IFERROR(VLOOKUP(B105,Foundation!$C$8:$E$696,3,FALSE),"")</f>
        <v>DRY</v>
      </c>
      <c r="L105" s="425" t="str">
        <f>+IF(IFERROR(MATCH(B105,'Erection Compiled'!$C$6:$C$818,0),"B")="B","","E")</f>
        <v>E</v>
      </c>
      <c r="M105" s="425" t="str">
        <f>+IFERROR(VLOOKUP(B105,Tackwelding!$B$6:$G$367,6,FALSE),"")</f>
        <v/>
      </c>
    </row>
    <row r="106" spans="1:13" x14ac:dyDescent="0.25">
      <c r="A106" s="425">
        <v>100</v>
      </c>
      <c r="B106" s="425" t="s">
        <v>501</v>
      </c>
      <c r="C106" s="425" t="s">
        <v>231</v>
      </c>
      <c r="D106" s="425">
        <v>1</v>
      </c>
      <c r="G106" s="425">
        <v>1</v>
      </c>
      <c r="H106" s="425" t="str">
        <f t="shared" si="1"/>
        <v>1,,,1</v>
      </c>
      <c r="I106" s="428">
        <v>424.28</v>
      </c>
      <c r="K106" s="425" t="str">
        <f>+IFERROR(VLOOKUP(B106,Foundation!$C$8:$E$696,3,FALSE),"")</f>
        <v>DRY</v>
      </c>
      <c r="L106" s="425" t="str">
        <f>+IF(IFERROR(MATCH(B106,'Erection Compiled'!$C$6:$C$818,0),"B")="B","","E")</f>
        <v>E</v>
      </c>
      <c r="M106" s="425" t="str">
        <f>+IFERROR(VLOOKUP(B106,Tackwelding!$B$6:$G$367,6,FALSE),"")</f>
        <v>Done</v>
      </c>
    </row>
    <row r="107" spans="1:13" x14ac:dyDescent="0.25">
      <c r="A107" s="425">
        <v>101</v>
      </c>
      <c r="B107" s="425" t="s">
        <v>173</v>
      </c>
      <c r="C107" s="425" t="s">
        <v>20</v>
      </c>
      <c r="H107" s="425" t="str">
        <f t="shared" si="1"/>
        <v>,,,</v>
      </c>
      <c r="I107" s="428">
        <v>340.3</v>
      </c>
      <c r="K107" s="425" t="str">
        <f>+IFERROR(VLOOKUP(B107,Foundation!$C$8:$E$696,3,FALSE),"")</f>
        <v>DRY</v>
      </c>
      <c r="L107" s="425" t="str">
        <f>+IF(IFERROR(MATCH(B107,'Erection Compiled'!$C$6:$C$818,0),"B")="B","","E")</f>
        <v>E</v>
      </c>
      <c r="M107" s="425" t="str">
        <f>+IFERROR(VLOOKUP(B107,Tackwelding!$B$6:$G$367,6,FALSE),"")</f>
        <v>Done</v>
      </c>
    </row>
    <row r="108" spans="1:13" x14ac:dyDescent="0.25">
      <c r="A108" s="425">
        <v>102</v>
      </c>
      <c r="B108" s="425" t="s">
        <v>174</v>
      </c>
      <c r="C108" s="425" t="s">
        <v>231</v>
      </c>
      <c r="E108" s="425">
        <v>1</v>
      </c>
      <c r="H108" s="425" t="str">
        <f t="shared" si="1"/>
        <v>,1,,</v>
      </c>
      <c r="I108" s="428">
        <v>394.7</v>
      </c>
      <c r="K108" s="425" t="str">
        <f>+IFERROR(VLOOKUP(B108,Foundation!$C$8:$E$696,3,FALSE),"")</f>
        <v>DRY</v>
      </c>
      <c r="L108" s="425" t="str">
        <f>+IF(IFERROR(MATCH(B108,'Erection Compiled'!$C$6:$C$818,0),"B")="B","","E")</f>
        <v>E</v>
      </c>
      <c r="M108" s="425" t="str">
        <f>+IFERROR(VLOOKUP(B108,Tackwelding!$B$6:$G$367,6,FALSE),"")</f>
        <v>Done</v>
      </c>
    </row>
    <row r="109" spans="1:13" x14ac:dyDescent="0.25">
      <c r="A109" s="425">
        <v>103</v>
      </c>
      <c r="B109" s="425" t="s">
        <v>502</v>
      </c>
      <c r="C109" s="425" t="s">
        <v>20</v>
      </c>
      <c r="H109" s="425" t="str">
        <f t="shared" si="1"/>
        <v>,,,</v>
      </c>
      <c r="I109" s="428">
        <v>435.863</v>
      </c>
      <c r="K109" s="425" t="str">
        <f>+IFERROR(VLOOKUP(B109,Foundation!$C$8:$E$696,3,FALSE),"")</f>
        <v>DRY</v>
      </c>
      <c r="L109" s="425" t="str">
        <f>+IF(IFERROR(MATCH(B109,'Erection Compiled'!$C$6:$C$818,0),"B")="B","","E")</f>
        <v>E</v>
      </c>
      <c r="M109" s="425" t="str">
        <f>+IFERROR(VLOOKUP(B109,Tackwelding!$B$6:$G$367,6,FALSE),"")</f>
        <v>Done</v>
      </c>
    </row>
    <row r="110" spans="1:13" x14ac:dyDescent="0.25">
      <c r="A110" s="425">
        <v>104</v>
      </c>
      <c r="B110" s="425" t="s">
        <v>503</v>
      </c>
      <c r="C110" s="425" t="s">
        <v>249</v>
      </c>
      <c r="G110" s="425">
        <v>1</v>
      </c>
      <c r="H110" s="425" t="str">
        <f t="shared" si="1"/>
        <v>,,,1</v>
      </c>
      <c r="I110" s="428">
        <v>386.8</v>
      </c>
      <c r="K110" s="425" t="str">
        <f>+IFERROR(VLOOKUP(B110,Foundation!$C$8:$E$696,3,FALSE),"")</f>
        <v>DRY</v>
      </c>
      <c r="L110" s="425" t="str">
        <f>+IF(IFERROR(MATCH(B110,'Erection Compiled'!$C$6:$C$818,0),"B")="B","","E")</f>
        <v>E</v>
      </c>
      <c r="M110" s="425" t="str">
        <f>+IFERROR(VLOOKUP(B110,Tackwelding!$B$6:$G$367,6,FALSE),"")</f>
        <v>Done</v>
      </c>
    </row>
    <row r="111" spans="1:13" x14ac:dyDescent="0.25">
      <c r="A111" s="425">
        <v>105</v>
      </c>
      <c r="B111" s="425" t="s">
        <v>504</v>
      </c>
      <c r="C111" s="425" t="s">
        <v>20</v>
      </c>
      <c r="H111" s="425" t="str">
        <f t="shared" si="1"/>
        <v>,,,</v>
      </c>
      <c r="I111" s="428">
        <v>393.7</v>
      </c>
      <c r="K111" s="425" t="str">
        <f>+IFERROR(VLOOKUP(B111,Foundation!$C$8:$E$696,3,FALSE),"")</f>
        <v>DRY</v>
      </c>
      <c r="L111" s="425" t="str">
        <f>+IF(IFERROR(MATCH(B111,'Erection Compiled'!$C$6:$C$818,0),"B")="B","","E")</f>
        <v>E</v>
      </c>
      <c r="M111" s="425" t="str">
        <f>+IFERROR(VLOOKUP(B111,Tackwelding!$B$6:$G$367,6,FALSE),"")</f>
        <v/>
      </c>
    </row>
    <row r="112" spans="1:13" x14ac:dyDescent="0.25">
      <c r="A112" s="425">
        <v>106</v>
      </c>
      <c r="B112" s="425" t="s">
        <v>505</v>
      </c>
      <c r="C112" s="425" t="s">
        <v>232</v>
      </c>
      <c r="H112" s="425" t="str">
        <f t="shared" si="1"/>
        <v>,,,</v>
      </c>
      <c r="I112" s="428">
        <v>415.9</v>
      </c>
      <c r="K112" s="425" t="str">
        <f>+IFERROR(VLOOKUP(B112,Foundation!$C$8:$E$696,3,FALSE),"")</f>
        <v>DRY</v>
      </c>
      <c r="L112" s="425" t="str">
        <f>+IF(IFERROR(MATCH(B112,'Erection Compiled'!$C$6:$C$818,0),"B")="B","","E")</f>
        <v>E</v>
      </c>
      <c r="M112" s="425" t="str">
        <f>+IFERROR(VLOOKUP(B112,Tackwelding!$B$6:$G$367,6,FALSE),"")</f>
        <v/>
      </c>
    </row>
    <row r="113" spans="1:13" x14ac:dyDescent="0.25">
      <c r="A113" s="425">
        <v>107</v>
      </c>
      <c r="B113" s="425" t="s">
        <v>506</v>
      </c>
      <c r="C113" s="425" t="s">
        <v>231</v>
      </c>
      <c r="H113" s="425" t="str">
        <f t="shared" si="1"/>
        <v>,,,</v>
      </c>
      <c r="I113" s="428">
        <v>422.8</v>
      </c>
      <c r="K113" s="425" t="str">
        <f>+IFERROR(VLOOKUP(B113,Foundation!$C$8:$E$696,3,FALSE),"")</f>
        <v>DRY</v>
      </c>
      <c r="L113" s="425" t="str">
        <f>+IF(IFERROR(MATCH(B113,'Erection Compiled'!$C$6:$C$818,0),"B")="B","","E")</f>
        <v>E</v>
      </c>
      <c r="M113" s="425" t="str">
        <f>+IFERROR(VLOOKUP(B113,Tackwelding!$B$6:$G$367,6,FALSE),"")</f>
        <v/>
      </c>
    </row>
    <row r="114" spans="1:13" x14ac:dyDescent="0.25">
      <c r="A114" s="425">
        <v>108</v>
      </c>
      <c r="B114" s="425" t="s">
        <v>507</v>
      </c>
      <c r="C114" s="425" t="s">
        <v>20</v>
      </c>
      <c r="H114" s="425" t="str">
        <f t="shared" si="1"/>
        <v>,,,</v>
      </c>
      <c r="I114" s="428">
        <v>409.9</v>
      </c>
      <c r="K114" s="425" t="str">
        <f>+IFERROR(VLOOKUP(B114,Foundation!$C$8:$E$696,3,FALSE),"")</f>
        <v>DRY</v>
      </c>
      <c r="L114" s="425" t="str">
        <f>+IF(IFERROR(MATCH(B114,'Erection Compiled'!$C$6:$C$818,0),"B")="B","","E")</f>
        <v>E</v>
      </c>
      <c r="M114" s="425" t="str">
        <f>+IFERROR(VLOOKUP(B114,Tackwelding!$B$6:$G$367,6,FALSE),"")</f>
        <v>Done</v>
      </c>
    </row>
    <row r="115" spans="1:13" x14ac:dyDescent="0.25">
      <c r="A115" s="425">
        <v>109</v>
      </c>
      <c r="B115" s="425" t="s">
        <v>508</v>
      </c>
      <c r="C115" s="425" t="s">
        <v>20</v>
      </c>
      <c r="H115" s="425" t="str">
        <f t="shared" si="1"/>
        <v>,,,</v>
      </c>
      <c r="I115" s="428">
        <v>425.3</v>
      </c>
      <c r="K115" s="425" t="str">
        <f>+IFERROR(VLOOKUP(B115,Foundation!$C$8:$E$696,3,FALSE),"")</f>
        <v>DRY</v>
      </c>
      <c r="L115" s="425" t="str">
        <f>+IF(IFERROR(MATCH(B115,'Erection Compiled'!$C$6:$C$818,0),"B")="B","","E")</f>
        <v>E</v>
      </c>
      <c r="M115" s="425" t="str">
        <f>+IFERROR(VLOOKUP(B115,Tackwelding!$B$6:$G$367,6,FALSE),"")</f>
        <v/>
      </c>
    </row>
    <row r="116" spans="1:13" x14ac:dyDescent="0.25">
      <c r="A116" s="425">
        <v>110</v>
      </c>
      <c r="B116" s="425" t="s">
        <v>509</v>
      </c>
      <c r="C116" s="425" t="s">
        <v>244</v>
      </c>
      <c r="H116" s="425" t="str">
        <f t="shared" si="1"/>
        <v>,,,</v>
      </c>
      <c r="I116" s="428">
        <v>383.4</v>
      </c>
      <c r="K116" s="425" t="str">
        <f>+IFERROR(VLOOKUP(B116,Foundation!$C$8:$E$696,3,FALSE),"")</f>
        <v>DRY</v>
      </c>
      <c r="L116" s="425" t="str">
        <f>+IF(IFERROR(MATCH(B116,'Erection Compiled'!$C$6:$C$818,0),"B")="B","","E")</f>
        <v>E</v>
      </c>
      <c r="M116" s="425" t="str">
        <f>+IFERROR(VLOOKUP(B116,Tackwelding!$B$6:$G$367,6,FALSE),"")</f>
        <v>Done</v>
      </c>
    </row>
    <row r="117" spans="1:13" x14ac:dyDescent="0.25">
      <c r="A117" s="425">
        <v>111</v>
      </c>
      <c r="B117" s="425" t="s">
        <v>510</v>
      </c>
      <c r="C117" s="425" t="s">
        <v>231</v>
      </c>
      <c r="H117" s="425" t="str">
        <f t="shared" si="1"/>
        <v>,,,</v>
      </c>
      <c r="I117" s="428">
        <v>372.8</v>
      </c>
      <c r="K117" s="425" t="str">
        <f>+IFERROR(VLOOKUP(B117,Foundation!$C$8:$E$696,3,FALSE),"")</f>
        <v>DRY</v>
      </c>
      <c r="L117" s="425" t="str">
        <f>+IF(IFERROR(MATCH(B117,'Erection Compiled'!$C$6:$C$818,0),"B")="B","","E")</f>
        <v>E</v>
      </c>
      <c r="M117" s="425" t="str">
        <f>+IFERROR(VLOOKUP(B117,Tackwelding!$B$6:$G$367,6,FALSE),"")</f>
        <v>Done</v>
      </c>
    </row>
    <row r="118" spans="1:13" x14ac:dyDescent="0.25">
      <c r="A118" s="425">
        <v>112</v>
      </c>
      <c r="B118" s="425" t="s">
        <v>511</v>
      </c>
      <c r="C118" s="425" t="s">
        <v>231</v>
      </c>
      <c r="H118" s="425" t="str">
        <f t="shared" si="1"/>
        <v>,,,</v>
      </c>
      <c r="I118" s="428">
        <v>379.8</v>
      </c>
      <c r="K118" s="425" t="str">
        <f>+IFERROR(VLOOKUP(B118,Foundation!$C$8:$E$696,3,FALSE),"")</f>
        <v>DRY</v>
      </c>
      <c r="L118" s="425" t="str">
        <f>+IF(IFERROR(MATCH(B118,'Erection Compiled'!$C$6:$C$818,0),"B")="B","","E")</f>
        <v>E</v>
      </c>
      <c r="M118" s="425" t="str">
        <f>+IFERROR(VLOOKUP(B118,Tackwelding!$B$6:$G$367,6,FALSE),"")</f>
        <v/>
      </c>
    </row>
    <row r="119" spans="1:13" x14ac:dyDescent="0.25">
      <c r="A119" s="425">
        <v>113</v>
      </c>
      <c r="B119" s="425" t="s">
        <v>512</v>
      </c>
      <c r="C119" s="425" t="s">
        <v>231</v>
      </c>
      <c r="H119" s="425" t="str">
        <f t="shared" si="1"/>
        <v>,,,</v>
      </c>
      <c r="I119" s="428">
        <v>371</v>
      </c>
      <c r="K119" s="425" t="str">
        <f>+IFERROR(VLOOKUP(B119,Foundation!$C$8:$E$696,3,FALSE),"")</f>
        <v>DRY</v>
      </c>
      <c r="L119" s="425" t="str">
        <f>+IF(IFERROR(MATCH(B119,'Erection Compiled'!$C$6:$C$818,0),"B")="B","","E")</f>
        <v>E</v>
      </c>
      <c r="M119" s="425" t="str">
        <f>+IFERROR(VLOOKUP(B119,Tackwelding!$B$6:$G$367,6,FALSE),"")</f>
        <v/>
      </c>
    </row>
    <row r="120" spans="1:13" x14ac:dyDescent="0.25">
      <c r="A120" s="425">
        <v>114</v>
      </c>
      <c r="B120" s="425" t="s">
        <v>513</v>
      </c>
      <c r="C120" s="425" t="s">
        <v>231</v>
      </c>
      <c r="H120" s="425" t="str">
        <f t="shared" si="1"/>
        <v>,,,</v>
      </c>
      <c r="I120" s="428">
        <v>398.7</v>
      </c>
      <c r="K120" s="425" t="str">
        <f>+IFERROR(VLOOKUP(B120,Foundation!$C$8:$E$696,3,FALSE),"")</f>
        <v>DRY</v>
      </c>
      <c r="L120" s="425" t="str">
        <f>+IF(IFERROR(MATCH(B120,'Erection Compiled'!$C$6:$C$818,0),"B")="B","","E")</f>
        <v>E</v>
      </c>
      <c r="M120" s="425" t="str">
        <f>+IFERROR(VLOOKUP(B120,Tackwelding!$B$6:$G$367,6,FALSE),"")</f>
        <v/>
      </c>
    </row>
    <row r="121" spans="1:13" x14ac:dyDescent="0.25">
      <c r="A121" s="425">
        <v>115</v>
      </c>
      <c r="B121" s="425" t="s">
        <v>514</v>
      </c>
      <c r="C121" s="425" t="s">
        <v>244</v>
      </c>
      <c r="H121" s="425" t="str">
        <f t="shared" si="1"/>
        <v>,,,</v>
      </c>
      <c r="I121" s="428">
        <v>380.8</v>
      </c>
      <c r="K121" s="425" t="str">
        <f>+IFERROR(VLOOKUP(B121,Foundation!$C$8:$E$696,3,FALSE),"")</f>
        <v>DRY</v>
      </c>
      <c r="L121" s="425" t="str">
        <f>+IF(IFERROR(MATCH(B121,'Erection Compiled'!$C$6:$C$818,0),"B")="B","","E")</f>
        <v>E</v>
      </c>
      <c r="M121" s="425" t="str">
        <f>+IFERROR(VLOOKUP(B121,Tackwelding!$B$6:$G$367,6,FALSE),"")</f>
        <v/>
      </c>
    </row>
    <row r="122" spans="1:13" x14ac:dyDescent="0.25">
      <c r="A122" s="425">
        <v>116</v>
      </c>
      <c r="B122" s="425" t="s">
        <v>515</v>
      </c>
      <c r="C122" s="425" t="s">
        <v>231</v>
      </c>
      <c r="H122" s="425" t="str">
        <f t="shared" si="1"/>
        <v>,,,</v>
      </c>
      <c r="I122" s="428">
        <v>366.9</v>
      </c>
      <c r="K122" s="425" t="str">
        <f>+IFERROR(VLOOKUP(B122,Foundation!$C$8:$E$696,3,FALSE),"")</f>
        <v>DRY</v>
      </c>
      <c r="L122" s="425" t="str">
        <f>+IF(IFERROR(MATCH(B122,'Erection Compiled'!$C$6:$C$818,0),"B")="B","","E")</f>
        <v>E</v>
      </c>
      <c r="M122" s="425" t="str">
        <f>+IFERROR(VLOOKUP(B122,Tackwelding!$B$6:$G$367,6,FALSE),"")</f>
        <v/>
      </c>
    </row>
    <row r="123" spans="1:13" x14ac:dyDescent="0.25">
      <c r="A123" s="425">
        <v>117</v>
      </c>
      <c r="B123" s="425" t="s">
        <v>516</v>
      </c>
      <c r="C123" s="425" t="s">
        <v>231</v>
      </c>
      <c r="H123" s="425" t="str">
        <f t="shared" si="1"/>
        <v>,,,</v>
      </c>
      <c r="I123" s="428">
        <v>372.5</v>
      </c>
      <c r="K123" s="425" t="str">
        <f>+IFERROR(VLOOKUP(B123,Foundation!$C$8:$E$696,3,FALSE),"")</f>
        <v>DRY</v>
      </c>
      <c r="L123" s="425" t="str">
        <f>+IF(IFERROR(MATCH(B123,'Erection Compiled'!$C$6:$C$818,0),"B")="B","","E")</f>
        <v>E</v>
      </c>
      <c r="M123" s="425" t="str">
        <f>+IFERROR(VLOOKUP(B123,Tackwelding!$B$6:$G$367,6,FALSE),"")</f>
        <v/>
      </c>
    </row>
    <row r="124" spans="1:13" x14ac:dyDescent="0.25">
      <c r="A124" s="425">
        <v>118</v>
      </c>
      <c r="B124" s="425" t="s">
        <v>517</v>
      </c>
      <c r="C124" s="425" t="s">
        <v>231</v>
      </c>
      <c r="H124" s="425" t="str">
        <f t="shared" si="1"/>
        <v>,,,</v>
      </c>
      <c r="I124" s="428">
        <v>376.5</v>
      </c>
      <c r="K124" s="425" t="str">
        <f>+IFERROR(VLOOKUP(B124,Foundation!$C$8:$E$696,3,FALSE),"")</f>
        <v>DRY</v>
      </c>
      <c r="L124" s="425" t="str">
        <f>+IF(IFERROR(MATCH(B124,'Erection Compiled'!$C$6:$C$818,0),"B")="B","","E")</f>
        <v>E</v>
      </c>
      <c r="M124" s="425" t="str">
        <f>+IFERROR(VLOOKUP(B124,Tackwelding!$B$6:$G$367,6,FALSE),"")</f>
        <v/>
      </c>
    </row>
    <row r="125" spans="1:13" x14ac:dyDescent="0.25">
      <c r="A125" s="425">
        <v>119</v>
      </c>
      <c r="B125" s="425" t="s">
        <v>518</v>
      </c>
      <c r="C125" s="425" t="s">
        <v>231</v>
      </c>
      <c r="H125" s="425" t="str">
        <f t="shared" si="1"/>
        <v>,,,</v>
      </c>
      <c r="I125" s="428">
        <v>384.3</v>
      </c>
      <c r="K125" s="425" t="str">
        <f>+IFERROR(VLOOKUP(B125,Foundation!$C$8:$E$696,3,FALSE),"")</f>
        <v>DRY</v>
      </c>
      <c r="L125" s="425" t="str">
        <f>+IF(IFERROR(MATCH(B125,'Erection Compiled'!$C$6:$C$818,0),"B")="B","","E")</f>
        <v>E</v>
      </c>
      <c r="M125" s="425" t="str">
        <f>+IFERROR(VLOOKUP(B125,Tackwelding!$B$6:$G$367,6,FALSE),"")</f>
        <v/>
      </c>
    </row>
    <row r="126" spans="1:13" x14ac:dyDescent="0.25">
      <c r="A126" s="425">
        <v>120</v>
      </c>
      <c r="B126" s="425" t="s">
        <v>519</v>
      </c>
      <c r="C126" s="425" t="s">
        <v>231</v>
      </c>
      <c r="H126" s="425" t="str">
        <f t="shared" si="1"/>
        <v>,,,</v>
      </c>
      <c r="I126" s="428">
        <v>375.4</v>
      </c>
      <c r="K126" s="425" t="str">
        <f>+IFERROR(VLOOKUP(B126,Foundation!$C$8:$E$696,3,FALSE),"")</f>
        <v>DRY</v>
      </c>
      <c r="L126" s="425" t="str">
        <f>+IF(IFERROR(MATCH(B126,'Erection Compiled'!$C$6:$C$818,0),"B")="B","","E")</f>
        <v>E</v>
      </c>
      <c r="M126" s="425" t="str">
        <f>+IFERROR(VLOOKUP(B126,Tackwelding!$B$6:$G$367,6,FALSE),"")</f>
        <v/>
      </c>
    </row>
    <row r="127" spans="1:13" x14ac:dyDescent="0.25">
      <c r="A127" s="425">
        <v>121</v>
      </c>
      <c r="B127" s="425" t="s">
        <v>31</v>
      </c>
      <c r="C127" s="425" t="s">
        <v>245</v>
      </c>
      <c r="H127" s="425" t="str">
        <f t="shared" si="1"/>
        <v>,,,</v>
      </c>
      <c r="I127" s="428">
        <v>381.2</v>
      </c>
      <c r="K127" s="425" t="str">
        <f>+IFERROR(VLOOKUP(B127,Foundation!$C$8:$E$696,3,FALSE),"")</f>
        <v>Sandy</v>
      </c>
      <c r="L127" s="425" t="str">
        <f>+IF(IFERROR(MATCH(B127,'Erection Compiled'!$C$6:$C$818,0),"B")="B","","E")</f>
        <v>E</v>
      </c>
      <c r="M127" s="425" t="str">
        <f>+IFERROR(VLOOKUP(B127,Tackwelding!$B$6:$G$367,6,FALSE),"")</f>
        <v/>
      </c>
    </row>
    <row r="128" spans="1:13" x14ac:dyDescent="0.25">
      <c r="A128" s="425">
        <v>122</v>
      </c>
      <c r="B128" s="425" t="s">
        <v>520</v>
      </c>
      <c r="C128" s="425" t="s">
        <v>231</v>
      </c>
      <c r="H128" s="425" t="str">
        <f t="shared" si="1"/>
        <v>,,,</v>
      </c>
      <c r="I128" s="428">
        <v>386.8</v>
      </c>
      <c r="K128" s="425" t="str">
        <f>+IFERROR(VLOOKUP(B128,Foundation!$C$8:$E$696,3,FALSE),"")</f>
        <v>Sandy</v>
      </c>
      <c r="L128" s="425" t="str">
        <f>+IF(IFERROR(MATCH(B128,'Erection Compiled'!$C$6:$C$818,0),"B")="B","","E")</f>
        <v/>
      </c>
      <c r="M128" s="425" t="str">
        <f>+IFERROR(VLOOKUP(B128,Tackwelding!$B$6:$G$367,6,FALSE),"")</f>
        <v/>
      </c>
    </row>
    <row r="129" spans="1:13" x14ac:dyDescent="0.25">
      <c r="A129" s="425">
        <v>123</v>
      </c>
      <c r="B129" s="425" t="s">
        <v>521</v>
      </c>
      <c r="C129" s="425" t="s">
        <v>231</v>
      </c>
      <c r="H129" s="425" t="str">
        <f t="shared" si="1"/>
        <v>,,,</v>
      </c>
      <c r="I129" s="428">
        <v>387</v>
      </c>
      <c r="K129" s="425" t="str">
        <f>+IFERROR(VLOOKUP(B129,Foundation!$C$8:$E$696,3,FALSE),"")</f>
        <v>DRY</v>
      </c>
      <c r="L129" s="425" t="str">
        <f>+IF(IFERROR(MATCH(B129,'Erection Compiled'!$C$6:$C$818,0),"B")="B","","E")</f>
        <v>E</v>
      </c>
      <c r="M129" s="425" t="str">
        <f>+IFERROR(VLOOKUP(B129,Tackwelding!$B$6:$G$367,6,FALSE),"")</f>
        <v>Done</v>
      </c>
    </row>
    <row r="130" spans="1:13" x14ac:dyDescent="0.25">
      <c r="A130" s="425">
        <v>124</v>
      </c>
      <c r="B130" s="425" t="s">
        <v>522</v>
      </c>
      <c r="C130" s="425" t="s">
        <v>231</v>
      </c>
      <c r="H130" s="425" t="str">
        <f t="shared" si="1"/>
        <v>,,,</v>
      </c>
      <c r="I130" s="428">
        <v>348.5</v>
      </c>
      <c r="K130" s="425" t="str">
        <f>+IFERROR(VLOOKUP(B130,Foundation!$C$8:$E$696,3,FALSE),"")</f>
        <v>DRY</v>
      </c>
      <c r="L130" s="425" t="str">
        <f>+IF(IFERROR(MATCH(B130,'Erection Compiled'!$C$6:$C$818,0),"B")="B","","E")</f>
        <v>E</v>
      </c>
      <c r="M130" s="425" t="str">
        <f>+IFERROR(VLOOKUP(B130,Tackwelding!$B$6:$G$367,6,FALSE),"")</f>
        <v>Done</v>
      </c>
    </row>
    <row r="131" spans="1:13" x14ac:dyDescent="0.25">
      <c r="A131" s="425">
        <v>125</v>
      </c>
      <c r="B131" s="425" t="s">
        <v>49</v>
      </c>
      <c r="C131" s="425" t="s">
        <v>245</v>
      </c>
      <c r="H131" s="425" t="str">
        <f t="shared" si="1"/>
        <v>,,,</v>
      </c>
      <c r="I131" s="428">
        <v>355</v>
      </c>
      <c r="K131" s="425" t="str">
        <f>+IFERROR(VLOOKUP(B131,Foundation!$C$8:$E$696,3,FALSE),"")</f>
        <v>DRY</v>
      </c>
      <c r="L131" s="425" t="str">
        <f>+IF(IFERROR(MATCH(B131,'Erection Compiled'!$C$6:$C$818,0),"B")="B","","E")</f>
        <v>E</v>
      </c>
      <c r="M131" s="425" t="str">
        <f>+IFERROR(VLOOKUP(B131,Tackwelding!$B$6:$G$367,6,FALSE),"")</f>
        <v/>
      </c>
    </row>
    <row r="132" spans="1:13" x14ac:dyDescent="0.25">
      <c r="A132" s="425">
        <v>126</v>
      </c>
      <c r="B132" s="425" t="s">
        <v>523</v>
      </c>
      <c r="C132" s="425" t="s">
        <v>232</v>
      </c>
      <c r="H132" s="425" t="str">
        <f t="shared" si="1"/>
        <v>,,,</v>
      </c>
      <c r="I132" s="428">
        <v>414.9</v>
      </c>
      <c r="K132" s="425" t="str">
        <f>+IFERROR(VLOOKUP(B132,Foundation!$C$8:$E$696,3,FALSE),"")</f>
        <v>ROW</v>
      </c>
      <c r="L132" s="425" t="str">
        <f>+IF(IFERROR(MATCH(B132,'Erection Compiled'!$C$6:$C$818,0),"B")="B","","E")</f>
        <v/>
      </c>
      <c r="M132" s="425" t="str">
        <f>+IFERROR(VLOOKUP(B132,Tackwelding!$B$6:$G$367,6,FALSE),"")</f>
        <v/>
      </c>
    </row>
    <row r="133" spans="1:13" x14ac:dyDescent="0.25">
      <c r="A133" s="425">
        <v>127</v>
      </c>
      <c r="B133" s="425" t="s">
        <v>524</v>
      </c>
      <c r="C133" s="425" t="s">
        <v>231</v>
      </c>
      <c r="H133" s="425" t="str">
        <f t="shared" si="1"/>
        <v>,,,</v>
      </c>
      <c r="I133" s="428">
        <v>407.2</v>
      </c>
      <c r="K133" s="425" t="str">
        <f>+IFERROR(VLOOKUP(B133,Foundation!$C$8:$E$696,3,FALSE),"")</f>
        <v>Sandy</v>
      </c>
      <c r="L133" s="425" t="str">
        <f>+IF(IFERROR(MATCH(B133,'Erection Compiled'!$C$6:$C$818,0),"B")="B","","E")</f>
        <v/>
      </c>
      <c r="M133" s="425" t="str">
        <f>+IFERROR(VLOOKUP(B133,Tackwelding!$B$6:$G$367,6,FALSE),"")</f>
        <v/>
      </c>
    </row>
    <row r="134" spans="1:13" x14ac:dyDescent="0.25">
      <c r="A134" s="425">
        <v>128</v>
      </c>
      <c r="B134" s="425" t="s">
        <v>525</v>
      </c>
      <c r="C134" s="425" t="s">
        <v>232</v>
      </c>
      <c r="H134" s="425" t="str">
        <f t="shared" si="1"/>
        <v>,,,</v>
      </c>
      <c r="I134" s="428">
        <v>432.2</v>
      </c>
      <c r="K134" s="425" t="str">
        <f>+IFERROR(VLOOKUP(B134,Foundation!$C$8:$E$696,3,FALSE),"")</f>
        <v>Sandy</v>
      </c>
      <c r="L134" s="425" t="str">
        <f>+IF(IFERROR(MATCH(B134,'Erection Compiled'!$C$6:$C$818,0),"B")="B","","E")</f>
        <v>E</v>
      </c>
      <c r="M134" s="425" t="str">
        <f>+IFERROR(VLOOKUP(B134,Tackwelding!$B$6:$G$367,6,FALSE),"")</f>
        <v/>
      </c>
    </row>
    <row r="135" spans="1:13" x14ac:dyDescent="0.25">
      <c r="A135" s="425">
        <v>129</v>
      </c>
      <c r="B135" s="425" t="s">
        <v>526</v>
      </c>
      <c r="C135" s="425" t="s">
        <v>20</v>
      </c>
      <c r="E135" s="425">
        <v>1</v>
      </c>
      <c r="F135" s="425">
        <v>2</v>
      </c>
      <c r="G135" s="425">
        <v>1</v>
      </c>
      <c r="H135" s="425" t="str">
        <f t="shared" si="1"/>
        <v>,1,2,1</v>
      </c>
      <c r="I135" s="428">
        <v>401.9</v>
      </c>
      <c r="K135" s="425" t="str">
        <f>+IFERROR(VLOOKUP(B135,Foundation!$C$8:$E$696,3,FALSE),"")</f>
        <v>Sandy</v>
      </c>
      <c r="L135" s="425" t="str">
        <f>+IF(IFERROR(MATCH(B135,'Erection Compiled'!$C$6:$C$818,0),"B")="B","","E")</f>
        <v>E</v>
      </c>
      <c r="M135" s="425" t="str">
        <f>+IFERROR(VLOOKUP(B135,Tackwelding!$B$6:$G$367,6,FALSE),"")</f>
        <v>Done</v>
      </c>
    </row>
    <row r="136" spans="1:13" x14ac:dyDescent="0.25">
      <c r="A136" s="425">
        <v>130</v>
      </c>
      <c r="B136" s="425" t="s">
        <v>527</v>
      </c>
      <c r="C136" s="425" t="s">
        <v>232</v>
      </c>
      <c r="H136" s="425" t="str">
        <f t="shared" si="1"/>
        <v>,,,</v>
      </c>
      <c r="I136" s="428">
        <v>434.2</v>
      </c>
      <c r="K136" s="425" t="str">
        <f>+IFERROR(VLOOKUP(B136,Foundation!$C$8:$E$696,3,FALSE),"")</f>
        <v>DFR</v>
      </c>
      <c r="L136" s="425" t="str">
        <f>+IF(IFERROR(MATCH(B136,'Erection Compiled'!$C$6:$C$818,0),"B")="B","","E")</f>
        <v>E</v>
      </c>
      <c r="M136" s="425" t="str">
        <f>+IFERROR(VLOOKUP(B136,Tackwelding!$B$6:$G$367,6,FALSE),"")</f>
        <v>Done</v>
      </c>
    </row>
    <row r="137" spans="1:13" x14ac:dyDescent="0.25">
      <c r="A137" s="425">
        <v>131</v>
      </c>
      <c r="B137" s="425" t="s">
        <v>528</v>
      </c>
      <c r="C137" s="425" t="s">
        <v>20</v>
      </c>
      <c r="H137" s="425" t="str">
        <f t="shared" ref="H137:H200" si="2">+CONCATENATE(D137,",",E137,",",F137,",",G137)</f>
        <v>,,,</v>
      </c>
      <c r="I137" s="428">
        <v>405.5</v>
      </c>
      <c r="K137" s="425" t="str">
        <f>+IFERROR(VLOOKUP(B137,Foundation!$C$8:$E$696,3,FALSE),"")</f>
        <v>DRY</v>
      </c>
      <c r="L137" s="425" t="str">
        <f>+IF(IFERROR(MATCH(B137,'Erection Compiled'!$C$6:$C$818,0),"B")="B","","E")</f>
        <v/>
      </c>
      <c r="M137" s="425" t="str">
        <f>+IFERROR(VLOOKUP(B137,Tackwelding!$B$6:$G$367,6,FALSE),"")</f>
        <v/>
      </c>
    </row>
    <row r="138" spans="1:13" x14ac:dyDescent="0.25">
      <c r="A138" s="425">
        <v>132</v>
      </c>
      <c r="B138" s="425" t="s">
        <v>529</v>
      </c>
      <c r="C138" s="425" t="s">
        <v>20</v>
      </c>
      <c r="H138" s="425" t="str">
        <f t="shared" si="2"/>
        <v>,,,</v>
      </c>
      <c r="I138" s="428">
        <v>426</v>
      </c>
      <c r="K138" s="425" t="str">
        <f>+IFERROR(VLOOKUP(B138,Foundation!$C$8:$E$696,3,FALSE),"")</f>
        <v>DFR</v>
      </c>
      <c r="L138" s="425" t="str">
        <f>+IF(IFERROR(MATCH(B138,'Erection Compiled'!$C$6:$C$818,0),"B")="B","","E")</f>
        <v/>
      </c>
      <c r="M138" s="425" t="str">
        <f>+IFERROR(VLOOKUP(B138,Tackwelding!$B$6:$G$367,6,FALSE),"")</f>
        <v/>
      </c>
    </row>
    <row r="139" spans="1:13" x14ac:dyDescent="0.25">
      <c r="A139" s="425">
        <v>133</v>
      </c>
      <c r="B139" s="425" t="s">
        <v>175</v>
      </c>
      <c r="C139" s="425" t="s">
        <v>232</v>
      </c>
      <c r="H139" s="425" t="str">
        <f t="shared" si="2"/>
        <v>,,,</v>
      </c>
      <c r="I139" s="428">
        <v>406.9</v>
      </c>
      <c r="K139" s="425" t="str">
        <f>+IFERROR(VLOOKUP(B139,Foundation!$C$8:$E$696,3,FALSE),"")</f>
        <v>DRY</v>
      </c>
      <c r="L139" s="425" t="str">
        <f>+IF(IFERROR(MATCH(B139,'Erection Compiled'!$C$6:$C$818,0),"B")="B","","E")</f>
        <v/>
      </c>
      <c r="M139" s="425" t="str">
        <f>+IFERROR(VLOOKUP(B139,Tackwelding!$B$6:$G$367,6,FALSE),"")</f>
        <v/>
      </c>
    </row>
    <row r="140" spans="1:13" x14ac:dyDescent="0.25">
      <c r="A140" s="425">
        <v>134</v>
      </c>
      <c r="B140" s="425" t="s">
        <v>176</v>
      </c>
      <c r="C140" s="425" t="s">
        <v>20</v>
      </c>
      <c r="H140" s="425" t="str">
        <f t="shared" si="2"/>
        <v>,,,</v>
      </c>
      <c r="I140" s="428">
        <v>433.3</v>
      </c>
      <c r="K140" s="425" t="str">
        <f>+IFERROR(VLOOKUP(B140,Foundation!$C$8:$E$696,3,FALSE),"")</f>
        <v>DFR</v>
      </c>
      <c r="L140" s="425" t="str">
        <f>+IF(IFERROR(MATCH(B140,'Erection Compiled'!$C$6:$C$818,0),"B")="B","","E")</f>
        <v/>
      </c>
      <c r="M140" s="425" t="str">
        <f>+IFERROR(VLOOKUP(B140,Tackwelding!$B$6:$G$367,6,FALSE),"")</f>
        <v/>
      </c>
    </row>
    <row r="141" spans="1:13" x14ac:dyDescent="0.25">
      <c r="A141" s="425">
        <v>135</v>
      </c>
      <c r="B141" s="425" t="s">
        <v>177</v>
      </c>
      <c r="C141" s="425" t="s">
        <v>232</v>
      </c>
      <c r="H141" s="425" t="str">
        <f t="shared" si="2"/>
        <v>,,,</v>
      </c>
      <c r="I141" s="428">
        <v>372.9</v>
      </c>
      <c r="K141" s="425" t="str">
        <f>+IFERROR(VLOOKUP(B141,Foundation!$C$8:$E$696,3,FALSE),"")</f>
        <v>DRY</v>
      </c>
      <c r="L141" s="425" t="str">
        <f>+IF(IFERROR(MATCH(B141,'Erection Compiled'!$C$6:$C$818,0),"B")="B","","E")</f>
        <v/>
      </c>
      <c r="M141" s="425" t="str">
        <f>+IFERROR(VLOOKUP(B141,Tackwelding!$B$6:$G$367,6,FALSE),"")</f>
        <v/>
      </c>
    </row>
    <row r="142" spans="1:13" x14ac:dyDescent="0.25">
      <c r="A142" s="425">
        <v>136</v>
      </c>
      <c r="B142" s="425" t="s">
        <v>50</v>
      </c>
      <c r="C142" s="425" t="s">
        <v>249</v>
      </c>
      <c r="H142" s="425" t="str">
        <f t="shared" si="2"/>
        <v>,,,</v>
      </c>
      <c r="I142" s="428">
        <v>443.5</v>
      </c>
      <c r="K142" s="425" t="str">
        <f>+IFERROR(VLOOKUP(B142,Foundation!$C$8:$E$696,3,FALSE),"")</f>
        <v>DRY</v>
      </c>
      <c r="L142" s="425" t="str">
        <f>+IF(IFERROR(MATCH(B142,'Erection Compiled'!$C$6:$C$818,0),"B")="B","","E")</f>
        <v/>
      </c>
      <c r="M142" s="425" t="str">
        <f>+IFERROR(VLOOKUP(B142,Tackwelding!$B$6:$G$367,6,FALSE),"")</f>
        <v/>
      </c>
    </row>
    <row r="143" spans="1:13" x14ac:dyDescent="0.25">
      <c r="A143" s="425">
        <v>137</v>
      </c>
      <c r="B143" s="425" t="s">
        <v>51</v>
      </c>
      <c r="C143" s="425" t="s">
        <v>233</v>
      </c>
      <c r="H143" s="425" t="str">
        <f t="shared" si="2"/>
        <v>,,,</v>
      </c>
      <c r="I143" s="428">
        <v>456.3</v>
      </c>
      <c r="K143" s="425" t="str">
        <f>+IFERROR(VLOOKUP(B143,Foundation!$C$8:$E$696,3,FALSE),"")</f>
        <v>Sandy</v>
      </c>
      <c r="L143" s="425" t="str">
        <f>+IF(IFERROR(MATCH(B143,'Erection Compiled'!$C$6:$C$818,0),"B")="B","","E")</f>
        <v/>
      </c>
      <c r="M143" s="425" t="str">
        <f>+IFERROR(VLOOKUP(B143,Tackwelding!$B$6:$G$367,6,FALSE),"")</f>
        <v/>
      </c>
    </row>
    <row r="144" spans="1:13" x14ac:dyDescent="0.25">
      <c r="A144" s="425">
        <v>138</v>
      </c>
      <c r="B144" s="425" t="s">
        <v>28</v>
      </c>
      <c r="C144" s="425" t="s">
        <v>232</v>
      </c>
      <c r="G144" s="425">
        <v>2</v>
      </c>
      <c r="H144" s="425" t="str">
        <f t="shared" si="2"/>
        <v>,,,2</v>
      </c>
      <c r="I144" s="428">
        <v>379.2</v>
      </c>
      <c r="K144" s="425" t="str">
        <f>+IFERROR(VLOOKUP(B144,Foundation!$C$8:$E$696,3,FALSE),"")</f>
        <v>Sandy</v>
      </c>
      <c r="L144" s="425" t="str">
        <f>+IF(IFERROR(MATCH(B144,'Erection Compiled'!$C$6:$C$818,0),"B")="B","","E")</f>
        <v>E</v>
      </c>
      <c r="M144" s="425" t="str">
        <f>+IFERROR(VLOOKUP(B144,Tackwelding!$B$6:$G$367,6,FALSE),"")</f>
        <v/>
      </c>
    </row>
    <row r="145" spans="1:13" x14ac:dyDescent="0.25">
      <c r="A145" s="425">
        <v>139</v>
      </c>
      <c r="B145" s="425" t="s">
        <v>52</v>
      </c>
      <c r="C145" s="425" t="s">
        <v>233</v>
      </c>
      <c r="G145" s="425">
        <v>1</v>
      </c>
      <c r="H145" s="425" t="str">
        <f t="shared" si="2"/>
        <v>,,,1</v>
      </c>
      <c r="I145" s="428">
        <v>382.6</v>
      </c>
      <c r="K145" s="425" t="str">
        <f>+IFERROR(VLOOKUP(B145,Foundation!$C$8:$E$696,3,FALSE),"")</f>
        <v>Sandy</v>
      </c>
      <c r="L145" s="425" t="str">
        <f>+IF(IFERROR(MATCH(B145,'Erection Compiled'!$C$6:$C$818,0),"B")="B","","E")</f>
        <v>E</v>
      </c>
      <c r="M145" s="425" t="str">
        <f>+IFERROR(VLOOKUP(B145,Tackwelding!$B$6:$G$367,6,FALSE),"")</f>
        <v/>
      </c>
    </row>
    <row r="146" spans="1:13" x14ac:dyDescent="0.25">
      <c r="A146" s="425">
        <v>140</v>
      </c>
      <c r="B146" s="425" t="s">
        <v>53</v>
      </c>
      <c r="C146" s="425" t="s">
        <v>233</v>
      </c>
      <c r="H146" s="425" t="str">
        <f t="shared" si="2"/>
        <v>,,,</v>
      </c>
      <c r="I146" s="428">
        <v>435.6</v>
      </c>
      <c r="K146" s="425" t="str">
        <f>+IFERROR(VLOOKUP(B146,Foundation!$C$8:$E$696,3,FALSE),"")</f>
        <v>Sandy</v>
      </c>
      <c r="L146" s="425" t="str">
        <f>+IF(IFERROR(MATCH(B146,'Erection Compiled'!$C$6:$C$818,0),"B")="B","","E")</f>
        <v/>
      </c>
      <c r="M146" s="425" t="str">
        <f>+IFERROR(VLOOKUP(B146,Tackwelding!$B$6:$G$367,6,FALSE),"")</f>
        <v/>
      </c>
    </row>
    <row r="147" spans="1:13" x14ac:dyDescent="0.25">
      <c r="A147" s="425">
        <v>141</v>
      </c>
      <c r="B147" s="425" t="s">
        <v>54</v>
      </c>
      <c r="C147" s="425" t="s">
        <v>233</v>
      </c>
      <c r="D147" s="425">
        <v>2</v>
      </c>
      <c r="E147" s="425">
        <v>2</v>
      </c>
      <c r="F147" s="425">
        <v>2</v>
      </c>
      <c r="G147" s="425">
        <v>2</v>
      </c>
      <c r="H147" s="425" t="str">
        <f t="shared" si="2"/>
        <v>2,2,2,2</v>
      </c>
      <c r="I147" s="428">
        <v>402.1</v>
      </c>
      <c r="K147" s="425" t="str">
        <f>+IFERROR(VLOOKUP(B147,Foundation!$C$8:$E$696,3,FALSE),"")</f>
        <v>DRY</v>
      </c>
      <c r="L147" s="425" t="str">
        <f>+IF(IFERROR(MATCH(B147,'Erection Compiled'!$C$6:$C$818,0),"B")="B","","E")</f>
        <v>E</v>
      </c>
      <c r="M147" s="425" t="str">
        <f>+IFERROR(VLOOKUP(B147,Tackwelding!$B$6:$G$367,6,FALSE),"")</f>
        <v/>
      </c>
    </row>
    <row r="148" spans="1:13" x14ac:dyDescent="0.25">
      <c r="A148" s="425">
        <v>142</v>
      </c>
      <c r="B148" s="425" t="s">
        <v>25</v>
      </c>
      <c r="C148" s="425" t="s">
        <v>231</v>
      </c>
      <c r="G148" s="425">
        <v>1</v>
      </c>
      <c r="H148" s="425" t="str">
        <f t="shared" si="2"/>
        <v>,,,1</v>
      </c>
      <c r="I148" s="428">
        <v>417.3</v>
      </c>
      <c r="K148" s="425" t="str">
        <f>+IFERROR(VLOOKUP(B148,Foundation!$C$8:$E$696,3,FALSE),"")</f>
        <v>Sandy</v>
      </c>
      <c r="L148" s="425" t="str">
        <f>+IF(IFERROR(MATCH(B148,'Erection Compiled'!$C$6:$C$818,0),"B")="B","","E")</f>
        <v>E</v>
      </c>
      <c r="M148" s="425" t="str">
        <f>+IFERROR(VLOOKUP(B148,Tackwelding!$B$6:$G$367,6,FALSE),"")</f>
        <v/>
      </c>
    </row>
    <row r="149" spans="1:13" x14ac:dyDescent="0.25">
      <c r="A149" s="425">
        <v>143</v>
      </c>
      <c r="B149" s="425" t="s">
        <v>55</v>
      </c>
      <c r="C149" s="425" t="s">
        <v>231</v>
      </c>
      <c r="E149" s="425">
        <v>1</v>
      </c>
      <c r="G149" s="425">
        <v>1</v>
      </c>
      <c r="H149" s="425" t="str">
        <f t="shared" si="2"/>
        <v>,1,,1</v>
      </c>
      <c r="I149" s="428">
        <v>347.7</v>
      </c>
      <c r="K149" s="425" t="str">
        <f>+IFERROR(VLOOKUP(B149,Foundation!$C$8:$E$696,3,FALSE),"")</f>
        <v>Sandy</v>
      </c>
      <c r="L149" s="425" t="str">
        <f>+IF(IFERROR(MATCH(B149,'Erection Compiled'!$C$6:$C$818,0),"B")="B","","E")</f>
        <v>E</v>
      </c>
      <c r="M149" s="425" t="str">
        <f>+IFERROR(VLOOKUP(B149,Tackwelding!$B$6:$G$367,6,FALSE),"")</f>
        <v/>
      </c>
    </row>
    <row r="150" spans="1:13" x14ac:dyDescent="0.25">
      <c r="A150" s="425">
        <v>144</v>
      </c>
      <c r="B150" s="425" t="s">
        <v>56</v>
      </c>
      <c r="C150" s="425" t="s">
        <v>242</v>
      </c>
      <c r="E150" s="425">
        <v>2</v>
      </c>
      <c r="F150" s="425">
        <v>1</v>
      </c>
      <c r="G150" s="425">
        <v>1</v>
      </c>
      <c r="H150" s="425" t="str">
        <f t="shared" si="2"/>
        <v>,2,1,1</v>
      </c>
      <c r="I150" s="428">
        <v>356.3</v>
      </c>
      <c r="K150" s="425" t="str">
        <f>+IFERROR(VLOOKUP(B150,Foundation!$C$8:$E$696,3,FALSE),"")</f>
        <v>Sandy</v>
      </c>
      <c r="L150" s="425" t="str">
        <f>+IF(IFERROR(MATCH(B150,'Erection Compiled'!$C$6:$C$818,0),"B")="B","","E")</f>
        <v/>
      </c>
      <c r="M150" s="425" t="str">
        <f>+IFERROR(VLOOKUP(B150,Tackwelding!$B$6:$G$367,6,FALSE),"")</f>
        <v/>
      </c>
    </row>
    <row r="151" spans="1:13" x14ac:dyDescent="0.25">
      <c r="A151" s="425">
        <v>145</v>
      </c>
      <c r="B151" s="425" t="s">
        <v>178</v>
      </c>
      <c r="C151" s="425" t="s">
        <v>232</v>
      </c>
      <c r="H151" s="425" t="str">
        <f t="shared" si="2"/>
        <v>,,,</v>
      </c>
      <c r="I151" s="428">
        <v>389.2</v>
      </c>
      <c r="K151" s="425" t="str">
        <f>+IFERROR(VLOOKUP(B151,Foundation!$C$8:$E$696,3,FALSE),"")</f>
        <v>Sandy</v>
      </c>
      <c r="L151" s="425" t="str">
        <f>+IF(IFERROR(MATCH(B151,'Erection Compiled'!$C$6:$C$818,0),"B")="B","","E")</f>
        <v/>
      </c>
      <c r="M151" s="425" t="str">
        <f>+IFERROR(VLOOKUP(B151,Tackwelding!$B$6:$G$367,6,FALSE),"")</f>
        <v/>
      </c>
    </row>
    <row r="152" spans="1:13" x14ac:dyDescent="0.25">
      <c r="A152" s="425">
        <v>146</v>
      </c>
      <c r="B152" s="425" t="s">
        <v>530</v>
      </c>
      <c r="C152" s="425" t="s">
        <v>232</v>
      </c>
      <c r="D152" s="425">
        <v>1</v>
      </c>
      <c r="E152" s="425">
        <v>2</v>
      </c>
      <c r="H152" s="425" t="str">
        <f t="shared" si="2"/>
        <v>1,2,,</v>
      </c>
      <c r="I152" s="428">
        <v>343.8</v>
      </c>
      <c r="K152" s="425" t="str">
        <f>+IFERROR(VLOOKUP(B152,Foundation!$C$8:$E$696,3,FALSE),"")</f>
        <v>Sandy</v>
      </c>
      <c r="L152" s="425" t="str">
        <f>+IF(IFERROR(MATCH(B152,'Erection Compiled'!$C$6:$C$818,0),"B")="B","","E")</f>
        <v/>
      </c>
      <c r="M152" s="425" t="str">
        <f>+IFERROR(VLOOKUP(B152,Tackwelding!$B$6:$G$367,6,FALSE),"")</f>
        <v/>
      </c>
    </row>
    <row r="153" spans="1:13" x14ac:dyDescent="0.25">
      <c r="A153" s="425">
        <v>147</v>
      </c>
      <c r="B153" s="429" t="s">
        <v>531</v>
      </c>
      <c r="C153" s="429" t="s">
        <v>232</v>
      </c>
      <c r="D153" s="429"/>
      <c r="E153" s="429">
        <v>2</v>
      </c>
      <c r="F153" s="429"/>
      <c r="G153" s="429"/>
      <c r="H153" s="429" t="str">
        <f t="shared" si="2"/>
        <v>,2,,</v>
      </c>
      <c r="I153" s="428">
        <v>395.5</v>
      </c>
      <c r="K153" s="425" t="str">
        <f>+IFERROR(VLOOKUP(B153,Foundation!$C$8:$E$696,3,FALSE),"")</f>
        <v>Sandy</v>
      </c>
      <c r="L153" s="425" t="str">
        <f>+IF(IFERROR(MATCH(B153,'Erection Compiled'!$C$6:$C$818,0),"B")="B","","E")</f>
        <v>E</v>
      </c>
      <c r="M153" s="425" t="str">
        <f>+IFERROR(VLOOKUP(B153,Tackwelding!$B$6:$G$367,6,FALSE),"")</f>
        <v/>
      </c>
    </row>
    <row r="154" spans="1:13" x14ac:dyDescent="0.25">
      <c r="A154" s="425">
        <v>148</v>
      </c>
      <c r="B154" s="429" t="s">
        <v>532</v>
      </c>
      <c r="C154" s="429" t="s">
        <v>20</v>
      </c>
      <c r="D154" s="429">
        <v>1</v>
      </c>
      <c r="E154" s="429">
        <v>2</v>
      </c>
      <c r="F154" s="429"/>
      <c r="G154" s="429"/>
      <c r="H154" s="429" t="str">
        <f t="shared" si="2"/>
        <v>1,2,,</v>
      </c>
      <c r="I154" s="430">
        <v>408</v>
      </c>
      <c r="K154" s="425" t="str">
        <f>+IFERROR(VLOOKUP(B154,Foundation!$C$8:$E$696,3,FALSE),"")</f>
        <v>Sandy</v>
      </c>
      <c r="L154" s="425" t="str">
        <f>+IF(IFERROR(MATCH(B154,'Erection Compiled'!$C$6:$C$818,0),"B")="B","","E")</f>
        <v/>
      </c>
      <c r="M154" s="425" t="str">
        <f>+IFERROR(VLOOKUP(B154,Tackwelding!$B$6:$G$367,6,FALSE),"")</f>
        <v/>
      </c>
    </row>
    <row r="155" spans="1:13" x14ac:dyDescent="0.25">
      <c r="A155" s="425">
        <v>149</v>
      </c>
      <c r="B155" s="425" t="s">
        <v>533</v>
      </c>
      <c r="C155" s="425" t="s">
        <v>232</v>
      </c>
      <c r="F155" s="425">
        <v>1</v>
      </c>
      <c r="H155" s="425" t="str">
        <f t="shared" si="2"/>
        <v>,,1,</v>
      </c>
      <c r="I155" s="430">
        <v>318</v>
      </c>
      <c r="K155" s="425" t="str">
        <f>+IFERROR(VLOOKUP(B155,Foundation!$C$8:$E$696,3,FALSE),"")</f>
        <v>Sandy</v>
      </c>
      <c r="L155" s="425" t="str">
        <f>+IF(IFERROR(MATCH(B155,'Erection Compiled'!$C$6:$C$818,0),"B")="B","","E")</f>
        <v>E</v>
      </c>
      <c r="M155" s="425" t="str">
        <f>+IFERROR(VLOOKUP(B155,Tackwelding!$B$6:$G$367,6,FALSE),"")</f>
        <v>Done</v>
      </c>
    </row>
    <row r="156" spans="1:13" x14ac:dyDescent="0.25">
      <c r="A156" s="425">
        <v>150</v>
      </c>
      <c r="B156" s="425" t="s">
        <v>57</v>
      </c>
      <c r="C156" s="425" t="s">
        <v>247</v>
      </c>
      <c r="D156" s="425">
        <v>2</v>
      </c>
      <c r="E156" s="425">
        <v>2</v>
      </c>
      <c r="F156" s="425">
        <v>2</v>
      </c>
      <c r="G156" s="425">
        <v>2</v>
      </c>
      <c r="H156" s="425" t="str">
        <f t="shared" si="2"/>
        <v>2,2,2,2</v>
      </c>
      <c r="I156" s="428">
        <v>447.3</v>
      </c>
      <c r="K156" s="425" t="str">
        <f>+IFERROR(VLOOKUP(B156,Foundation!$C$8:$E$696,3,FALSE),"")</f>
        <v>DRY</v>
      </c>
      <c r="L156" s="425" t="str">
        <f>+IF(IFERROR(MATCH(B156,'Erection Compiled'!$C$6:$C$818,0),"B")="B","","E")</f>
        <v/>
      </c>
      <c r="M156" s="425" t="str">
        <f>+IFERROR(VLOOKUP(B156,Tackwelding!$B$6:$G$367,6,FALSE),"")</f>
        <v/>
      </c>
    </row>
    <row r="157" spans="1:13" x14ac:dyDescent="0.25">
      <c r="A157" s="425">
        <v>151</v>
      </c>
      <c r="B157" s="425" t="s">
        <v>33</v>
      </c>
      <c r="C157" s="425" t="s">
        <v>247</v>
      </c>
      <c r="D157" s="425">
        <v>2</v>
      </c>
      <c r="E157" s="425">
        <v>2</v>
      </c>
      <c r="F157" s="425">
        <v>2</v>
      </c>
      <c r="G157" s="425">
        <v>2</v>
      </c>
      <c r="H157" s="425" t="str">
        <f t="shared" si="2"/>
        <v>2,2,2,2</v>
      </c>
      <c r="I157" s="428">
        <v>222.2</v>
      </c>
      <c r="K157" s="425" t="str">
        <f>+IFERROR(VLOOKUP(B157,Foundation!$C$8:$E$696,3,FALSE),"")</f>
        <v>DRY</v>
      </c>
      <c r="L157" s="425" t="str">
        <f>+IF(IFERROR(MATCH(B157,'Erection Compiled'!$C$6:$C$818,0),"B")="B","","E")</f>
        <v>E</v>
      </c>
      <c r="M157" s="425" t="str">
        <f>+IFERROR(VLOOKUP(B157,Tackwelding!$B$6:$G$367,6,FALSE),"")</f>
        <v/>
      </c>
    </row>
    <row r="158" spans="1:13" x14ac:dyDescent="0.25">
      <c r="A158" s="425">
        <v>152</v>
      </c>
      <c r="B158" s="425" t="s">
        <v>34</v>
      </c>
      <c r="C158" s="425" t="s">
        <v>361</v>
      </c>
      <c r="H158" s="425" t="str">
        <f t="shared" si="2"/>
        <v>,,,</v>
      </c>
      <c r="I158" s="428">
        <v>433.9</v>
      </c>
      <c r="K158" s="425" t="str">
        <f>+IFERROR(VLOOKUP(B158,Foundation!$C$8:$E$696,3,FALSE),"")</f>
        <v>DRY</v>
      </c>
      <c r="L158" s="425" t="str">
        <f>+IF(IFERROR(MATCH(B158,'Erection Compiled'!$C$6:$C$818,0),"B")="B","","E")</f>
        <v>E</v>
      </c>
      <c r="M158" s="425" t="str">
        <f>+IFERROR(VLOOKUP(B158,Tackwelding!$B$6:$G$367,6,FALSE),"")</f>
        <v/>
      </c>
    </row>
    <row r="159" spans="1:13" x14ac:dyDescent="0.25">
      <c r="A159" s="425">
        <v>153</v>
      </c>
      <c r="B159" s="425" t="s">
        <v>179</v>
      </c>
      <c r="C159" s="425" t="s">
        <v>20</v>
      </c>
      <c r="H159" s="425" t="str">
        <f t="shared" si="2"/>
        <v>,,,</v>
      </c>
      <c r="I159" s="428">
        <v>422.3</v>
      </c>
      <c r="K159" s="425" t="str">
        <f>+IFERROR(VLOOKUP(B159,Foundation!$C$8:$E$696,3,FALSE),"")</f>
        <v>DRY</v>
      </c>
      <c r="L159" s="425" t="str">
        <f>+IF(IFERROR(MATCH(B159,'Erection Compiled'!$C$6:$C$818,0),"B")="B","","E")</f>
        <v>E</v>
      </c>
      <c r="M159" s="425" t="str">
        <f>+IFERROR(VLOOKUP(B159,Tackwelding!$B$6:$G$367,6,FALSE),"")</f>
        <v>Done</v>
      </c>
    </row>
    <row r="160" spans="1:13" x14ac:dyDescent="0.25">
      <c r="A160" s="425">
        <v>154</v>
      </c>
      <c r="B160" s="425" t="s">
        <v>180</v>
      </c>
      <c r="C160" s="425" t="s">
        <v>231</v>
      </c>
      <c r="H160" s="425" t="str">
        <f t="shared" si="2"/>
        <v>,,,</v>
      </c>
      <c r="I160" s="428">
        <v>370.7</v>
      </c>
      <c r="K160" s="425" t="str">
        <f>+IFERROR(VLOOKUP(B160,Foundation!$C$8:$E$696,3,FALSE),"")</f>
        <v>DRY</v>
      </c>
      <c r="L160" s="425" t="str">
        <f>+IF(IFERROR(MATCH(B160,'Erection Compiled'!$C$6:$C$818,0),"B")="B","","E")</f>
        <v>E</v>
      </c>
      <c r="M160" s="425" t="str">
        <f>+IFERROR(VLOOKUP(B160,Tackwelding!$B$6:$G$367,6,FALSE),"")</f>
        <v>Done</v>
      </c>
    </row>
    <row r="161" spans="1:13" x14ac:dyDescent="0.25">
      <c r="A161" s="425">
        <v>155</v>
      </c>
      <c r="B161" s="425" t="s">
        <v>181</v>
      </c>
      <c r="C161" s="425" t="s">
        <v>231</v>
      </c>
      <c r="D161" s="425">
        <v>1</v>
      </c>
      <c r="E161" s="425">
        <v>2</v>
      </c>
      <c r="G161" s="425">
        <v>2</v>
      </c>
      <c r="H161" s="425" t="str">
        <f t="shared" si="2"/>
        <v>1,2,,2</v>
      </c>
      <c r="I161" s="428">
        <v>345.7</v>
      </c>
      <c r="K161" s="425" t="str">
        <f>+IFERROR(VLOOKUP(B161,Foundation!$C$8:$E$696,3,FALSE),"")</f>
        <v>Sandy</v>
      </c>
      <c r="L161" s="425" t="str">
        <f>+IF(IFERROR(MATCH(B161,'Erection Compiled'!$C$6:$C$818,0),"B")="B","","E")</f>
        <v>E</v>
      </c>
      <c r="M161" s="425" t="str">
        <f>+IFERROR(VLOOKUP(B161,Tackwelding!$B$6:$G$367,6,FALSE),"")</f>
        <v>Done</v>
      </c>
    </row>
    <row r="162" spans="1:13" x14ac:dyDescent="0.25">
      <c r="A162" s="425">
        <v>156</v>
      </c>
      <c r="B162" s="425" t="s">
        <v>182</v>
      </c>
      <c r="C162" s="425" t="s">
        <v>231</v>
      </c>
      <c r="D162" s="425">
        <v>1</v>
      </c>
      <c r="E162" s="425">
        <v>1</v>
      </c>
      <c r="G162" s="425">
        <v>1</v>
      </c>
      <c r="H162" s="425" t="str">
        <f t="shared" si="2"/>
        <v>1,1,,1</v>
      </c>
      <c r="I162" s="428">
        <v>391.1</v>
      </c>
      <c r="K162" s="425" t="str">
        <f>+IFERROR(VLOOKUP(B162,Foundation!$C$8:$E$696,3,FALSE),"")</f>
        <v>Sandy</v>
      </c>
      <c r="L162" s="425" t="str">
        <f>+IF(IFERROR(MATCH(B162,'Erection Compiled'!$C$6:$C$818,0),"B")="B","","E")</f>
        <v>E</v>
      </c>
      <c r="M162" s="425" t="str">
        <f>+IFERROR(VLOOKUP(B162,Tackwelding!$B$6:$G$367,6,FALSE),"")</f>
        <v/>
      </c>
    </row>
    <row r="163" spans="1:13" x14ac:dyDescent="0.25">
      <c r="A163" s="425">
        <v>157</v>
      </c>
      <c r="B163" s="425" t="s">
        <v>36</v>
      </c>
      <c r="C163" s="425" t="s">
        <v>242</v>
      </c>
      <c r="H163" s="425" t="str">
        <f t="shared" si="2"/>
        <v>,,,</v>
      </c>
      <c r="I163" s="428">
        <v>440.4</v>
      </c>
      <c r="K163" s="425" t="str">
        <f>+IFERROR(VLOOKUP(B163,Foundation!$C$8:$E$696,3,FALSE),"")</f>
        <v>DFR</v>
      </c>
      <c r="L163" s="425" t="str">
        <f>+IF(IFERROR(MATCH(B163,'Erection Compiled'!$C$6:$C$818,0),"B")="B","","E")</f>
        <v>E</v>
      </c>
      <c r="M163" s="425" t="str">
        <f>+IFERROR(VLOOKUP(B163,Tackwelding!$B$6:$G$367,6,FALSE),"")</f>
        <v/>
      </c>
    </row>
    <row r="164" spans="1:13" x14ac:dyDescent="0.25">
      <c r="A164" s="425">
        <v>158</v>
      </c>
      <c r="B164" s="425" t="s">
        <v>58</v>
      </c>
      <c r="C164" s="425" t="s">
        <v>231</v>
      </c>
      <c r="H164" s="425" t="str">
        <f t="shared" si="2"/>
        <v>,,,</v>
      </c>
      <c r="I164" s="428">
        <v>391.4</v>
      </c>
      <c r="K164" s="425" t="str">
        <f>+IFERROR(VLOOKUP(B164,Foundation!$C$8:$E$696,3,FALSE),"")</f>
        <v>DRY</v>
      </c>
      <c r="L164" s="425" t="str">
        <f>+IF(IFERROR(MATCH(B164,'Erection Compiled'!$C$6:$C$818,0),"B")="B","","E")</f>
        <v>E</v>
      </c>
      <c r="M164" s="425" t="str">
        <f>+IFERROR(VLOOKUP(B164,Tackwelding!$B$6:$G$367,6,FALSE),"")</f>
        <v/>
      </c>
    </row>
    <row r="165" spans="1:13" x14ac:dyDescent="0.25">
      <c r="A165" s="425">
        <v>159</v>
      </c>
      <c r="B165" s="425" t="s">
        <v>59</v>
      </c>
      <c r="C165" s="425" t="s">
        <v>20</v>
      </c>
      <c r="H165" s="425" t="str">
        <f t="shared" si="2"/>
        <v>,,,</v>
      </c>
      <c r="I165" s="428">
        <v>406.5</v>
      </c>
      <c r="K165" s="425" t="str">
        <f>+IFERROR(VLOOKUP(B165,Foundation!$C$8:$E$696,3,FALSE),"")</f>
        <v>DFR</v>
      </c>
      <c r="L165" s="425" t="str">
        <f>+IF(IFERROR(MATCH(B165,'Erection Compiled'!$C$6:$C$818,0),"B")="B","","E")</f>
        <v>E</v>
      </c>
      <c r="M165" s="425" t="str">
        <f>+IFERROR(VLOOKUP(B165,Tackwelding!$B$6:$G$367,6,FALSE),"")</f>
        <v/>
      </c>
    </row>
    <row r="166" spans="1:13" x14ac:dyDescent="0.25">
      <c r="A166" s="425">
        <v>160</v>
      </c>
      <c r="B166" s="425" t="s">
        <v>60</v>
      </c>
      <c r="C166" s="425" t="s">
        <v>231</v>
      </c>
      <c r="H166" s="425" t="str">
        <f t="shared" si="2"/>
        <v>,,,</v>
      </c>
      <c r="I166" s="428">
        <v>418</v>
      </c>
      <c r="K166" s="425" t="str">
        <f>+IFERROR(VLOOKUP(B166,Foundation!$C$8:$E$696,3,FALSE),"")</f>
        <v>DRY</v>
      </c>
      <c r="L166" s="425" t="str">
        <f>+IF(IFERROR(MATCH(B166,'Erection Compiled'!$C$6:$C$818,0),"B")="B","","E")</f>
        <v>E</v>
      </c>
      <c r="M166" s="425" t="str">
        <f>+IFERROR(VLOOKUP(B166,Tackwelding!$B$6:$G$367,6,FALSE),"")</f>
        <v/>
      </c>
    </row>
    <row r="167" spans="1:13" x14ac:dyDescent="0.25">
      <c r="A167" s="425">
        <v>161</v>
      </c>
      <c r="B167" s="425" t="s">
        <v>61</v>
      </c>
      <c r="C167" s="425" t="s">
        <v>232</v>
      </c>
      <c r="D167" s="425">
        <v>1</v>
      </c>
      <c r="H167" s="425" t="str">
        <f t="shared" si="2"/>
        <v>1,,,</v>
      </c>
      <c r="I167" s="428">
        <v>422.6</v>
      </c>
      <c r="K167" s="425" t="str">
        <f>+IFERROR(VLOOKUP(B167,Foundation!$C$8:$E$696,3,FALSE),"")</f>
        <v>Sandy</v>
      </c>
      <c r="L167" s="425" t="str">
        <f>+IF(IFERROR(MATCH(B167,'Erection Compiled'!$C$6:$C$818,0),"B")="B","","E")</f>
        <v>E</v>
      </c>
      <c r="M167" s="425" t="str">
        <f>+IFERROR(VLOOKUP(B167,Tackwelding!$B$6:$G$367,6,FALSE),"")</f>
        <v/>
      </c>
    </row>
    <row r="168" spans="1:13" x14ac:dyDescent="0.25">
      <c r="A168" s="425">
        <v>162</v>
      </c>
      <c r="B168" s="425" t="s">
        <v>62</v>
      </c>
      <c r="C168" s="425" t="s">
        <v>232</v>
      </c>
      <c r="D168" s="425">
        <v>1</v>
      </c>
      <c r="E168" s="425">
        <v>1</v>
      </c>
      <c r="H168" s="425" t="str">
        <f t="shared" si="2"/>
        <v>1,1,,</v>
      </c>
      <c r="I168" s="428">
        <v>410</v>
      </c>
      <c r="K168" s="425" t="str">
        <f>+IFERROR(VLOOKUP(B168,Foundation!$C$8:$E$696,3,FALSE),"")</f>
        <v>Sandy</v>
      </c>
      <c r="L168" s="425" t="str">
        <f>+IF(IFERROR(MATCH(B168,'Erection Compiled'!$C$6:$C$818,0),"B")="B","","E")</f>
        <v>E</v>
      </c>
      <c r="M168" s="425" t="str">
        <f>+IFERROR(VLOOKUP(B168,Tackwelding!$B$6:$G$367,6,FALSE),"")</f>
        <v/>
      </c>
    </row>
    <row r="169" spans="1:13" x14ac:dyDescent="0.25">
      <c r="A169" s="425">
        <v>163</v>
      </c>
      <c r="B169" s="425" t="s">
        <v>183</v>
      </c>
      <c r="C169" s="425" t="s">
        <v>232</v>
      </c>
      <c r="E169" s="425">
        <v>1</v>
      </c>
      <c r="F169" s="425">
        <v>1</v>
      </c>
      <c r="H169" s="425" t="str">
        <f t="shared" si="2"/>
        <v>,1,1,</v>
      </c>
      <c r="I169" s="428">
        <v>363.4</v>
      </c>
      <c r="K169" s="425" t="str">
        <f>+IFERROR(VLOOKUP(B169,Foundation!$C$8:$E$696,3,FALSE),"")</f>
        <v>Sandy</v>
      </c>
      <c r="L169" s="425" t="str">
        <f>+IF(IFERROR(MATCH(B169,'Erection Compiled'!$C$6:$C$818,0),"B")="B","","E")</f>
        <v>E</v>
      </c>
      <c r="M169" s="425" t="str">
        <f>+IFERROR(VLOOKUP(B169,Tackwelding!$B$6:$G$367,6,FALSE),"")</f>
        <v/>
      </c>
    </row>
    <row r="170" spans="1:13" x14ac:dyDescent="0.25">
      <c r="A170" s="425">
        <v>164</v>
      </c>
      <c r="B170" s="425" t="s">
        <v>184</v>
      </c>
      <c r="C170" s="425" t="s">
        <v>231</v>
      </c>
      <c r="H170" s="425" t="str">
        <f t="shared" si="2"/>
        <v>,,,</v>
      </c>
      <c r="I170" s="428">
        <v>421.9</v>
      </c>
      <c r="K170" s="425" t="str">
        <f>+IFERROR(VLOOKUP(B170,Foundation!$C$8:$E$696,3,FALSE),"")</f>
        <v>DFR</v>
      </c>
      <c r="L170" s="425" t="str">
        <f>+IF(IFERROR(MATCH(B170,'Erection Compiled'!$C$6:$C$818,0),"B")="B","","E")</f>
        <v>E</v>
      </c>
      <c r="M170" s="425" t="str">
        <f>+IFERROR(VLOOKUP(B170,Tackwelding!$B$6:$G$367,6,FALSE),"")</f>
        <v/>
      </c>
    </row>
    <row r="171" spans="1:13" x14ac:dyDescent="0.25">
      <c r="A171" s="425">
        <v>165</v>
      </c>
      <c r="B171" s="425" t="s">
        <v>185</v>
      </c>
      <c r="C171" s="425" t="s">
        <v>232</v>
      </c>
      <c r="H171" s="425" t="str">
        <f t="shared" si="2"/>
        <v>,,,</v>
      </c>
      <c r="I171" s="428">
        <v>416.7</v>
      </c>
      <c r="K171" s="425" t="str">
        <f>+IFERROR(VLOOKUP(B171,Foundation!$C$8:$E$696,3,FALSE),"")</f>
        <v>DFR</v>
      </c>
      <c r="L171" s="425" t="str">
        <f>+IF(IFERROR(MATCH(B171,'Erection Compiled'!$C$6:$C$818,0),"B")="B","","E")</f>
        <v>E</v>
      </c>
      <c r="M171" s="425" t="str">
        <f>+IFERROR(VLOOKUP(B171,Tackwelding!$B$6:$G$367,6,FALSE),"")</f>
        <v>Done</v>
      </c>
    </row>
    <row r="172" spans="1:13" x14ac:dyDescent="0.25">
      <c r="A172" s="425">
        <v>166</v>
      </c>
      <c r="B172" s="425" t="s">
        <v>63</v>
      </c>
      <c r="C172" s="425" t="s">
        <v>239</v>
      </c>
      <c r="H172" s="425" t="str">
        <f t="shared" si="2"/>
        <v>,,,</v>
      </c>
      <c r="I172" s="428">
        <v>413.8</v>
      </c>
      <c r="K172" s="425" t="str">
        <f>+IFERROR(VLOOKUP(B172,Foundation!$C$8:$E$696,3,FALSE),"")</f>
        <v>DFR</v>
      </c>
      <c r="L172" s="425" t="str">
        <f>+IF(IFERROR(MATCH(B172,'Erection Compiled'!$C$6:$C$818,0),"B")="B","","E")</f>
        <v>E</v>
      </c>
      <c r="M172" s="425" t="str">
        <f>+IFERROR(VLOOKUP(B172,Tackwelding!$B$6:$G$367,6,FALSE),"")</f>
        <v/>
      </c>
    </row>
    <row r="173" spans="1:13" x14ac:dyDescent="0.25">
      <c r="A173" s="425">
        <v>167</v>
      </c>
      <c r="B173" s="425" t="s">
        <v>64</v>
      </c>
      <c r="C173" s="425" t="s">
        <v>20</v>
      </c>
      <c r="H173" s="425" t="str">
        <f t="shared" si="2"/>
        <v>,,,</v>
      </c>
      <c r="I173" s="428">
        <v>399.8</v>
      </c>
      <c r="K173" s="425" t="str">
        <f>+IFERROR(VLOOKUP(B173,Foundation!$C$8:$E$696,3,FALSE),"")</f>
        <v>DFR</v>
      </c>
      <c r="L173" s="425" t="str">
        <f>+IF(IFERROR(MATCH(B173,'Erection Compiled'!$C$6:$C$818,0),"B")="B","","E")</f>
        <v>E</v>
      </c>
      <c r="M173" s="425" t="str">
        <f>+IFERROR(VLOOKUP(B173,Tackwelding!$B$6:$G$367,6,FALSE),"")</f>
        <v>Done</v>
      </c>
    </row>
    <row r="174" spans="1:13" x14ac:dyDescent="0.25">
      <c r="A174" s="425">
        <v>168</v>
      </c>
      <c r="B174" s="425" t="s">
        <v>65</v>
      </c>
      <c r="C174" s="425" t="s">
        <v>20</v>
      </c>
      <c r="H174" s="425" t="str">
        <f t="shared" si="2"/>
        <v>,,,</v>
      </c>
      <c r="I174" s="428">
        <v>425.2</v>
      </c>
      <c r="K174" s="425" t="str">
        <f>+IFERROR(VLOOKUP(B174,Foundation!$C$8:$E$696,3,FALSE),"")</f>
        <v>DFR</v>
      </c>
      <c r="L174" s="425" t="str">
        <f>+IF(IFERROR(MATCH(B174,'Erection Compiled'!$C$6:$C$818,0),"B")="B","","E")</f>
        <v>E</v>
      </c>
      <c r="M174" s="425" t="str">
        <f>+IFERROR(VLOOKUP(B174,Tackwelding!$B$6:$G$367,6,FALSE),"")</f>
        <v>Done</v>
      </c>
    </row>
    <row r="175" spans="1:13" x14ac:dyDescent="0.25">
      <c r="A175" s="425">
        <v>169</v>
      </c>
      <c r="B175" s="425" t="s">
        <v>66</v>
      </c>
      <c r="C175" s="425" t="s">
        <v>20</v>
      </c>
      <c r="H175" s="425" t="str">
        <f t="shared" si="2"/>
        <v>,,,</v>
      </c>
      <c r="I175" s="428">
        <v>398.6</v>
      </c>
      <c r="K175" s="425" t="str">
        <f>+IFERROR(VLOOKUP(B175,Foundation!$C$8:$E$696,3,FALSE),"")</f>
        <v>DFR</v>
      </c>
      <c r="L175" s="425" t="str">
        <f>+IF(IFERROR(MATCH(B175,'Erection Compiled'!$C$6:$C$818,0),"B")="B","","E")</f>
        <v>E</v>
      </c>
      <c r="M175" s="425" t="str">
        <f>+IFERROR(VLOOKUP(B175,Tackwelding!$B$6:$G$367,6,FALSE),"")</f>
        <v>Done</v>
      </c>
    </row>
    <row r="176" spans="1:13" x14ac:dyDescent="0.25">
      <c r="A176" s="425">
        <v>170</v>
      </c>
      <c r="B176" s="425" t="s">
        <v>67</v>
      </c>
      <c r="C176" s="425" t="s">
        <v>20</v>
      </c>
      <c r="H176" s="425" t="str">
        <f t="shared" si="2"/>
        <v>,,,</v>
      </c>
      <c r="I176" s="428">
        <v>430.7</v>
      </c>
      <c r="K176" s="425" t="str">
        <f>+IFERROR(VLOOKUP(B176,Foundation!$C$8:$E$696,3,FALSE),"")</f>
        <v>DFR</v>
      </c>
      <c r="L176" s="425" t="str">
        <f>+IF(IFERROR(MATCH(B176,'Erection Compiled'!$C$6:$C$818,0),"B")="B","","E")</f>
        <v>E</v>
      </c>
      <c r="M176" s="425" t="str">
        <f>+IFERROR(VLOOKUP(B176,Tackwelding!$B$6:$G$367,6,FALSE),"")</f>
        <v>Done</v>
      </c>
    </row>
    <row r="177" spans="1:13" x14ac:dyDescent="0.25">
      <c r="A177" s="425">
        <v>171</v>
      </c>
      <c r="B177" s="425" t="s">
        <v>68</v>
      </c>
      <c r="C177" s="425" t="s">
        <v>231</v>
      </c>
      <c r="H177" s="425" t="str">
        <f t="shared" si="2"/>
        <v>,,,</v>
      </c>
      <c r="I177" s="428">
        <v>410</v>
      </c>
      <c r="K177" s="425" t="str">
        <f>+IFERROR(VLOOKUP(B177,Foundation!$C$8:$E$696,3,FALSE),"")</f>
        <v>DRY</v>
      </c>
      <c r="L177" s="425" t="str">
        <f>+IF(IFERROR(MATCH(B177,'Erection Compiled'!$C$6:$C$818,0),"B")="B","","E")</f>
        <v>E</v>
      </c>
      <c r="M177" s="425" t="str">
        <f>+IFERROR(VLOOKUP(B177,Tackwelding!$B$6:$G$367,6,FALSE),"")</f>
        <v>Done</v>
      </c>
    </row>
    <row r="178" spans="1:13" x14ac:dyDescent="0.25">
      <c r="A178" s="425">
        <v>172</v>
      </c>
      <c r="B178" s="425" t="s">
        <v>69</v>
      </c>
      <c r="C178" s="425" t="s">
        <v>231</v>
      </c>
      <c r="H178" s="425" t="str">
        <f t="shared" si="2"/>
        <v>,,,</v>
      </c>
      <c r="I178" s="428">
        <v>402.6</v>
      </c>
      <c r="K178" s="425" t="str">
        <f>+IFERROR(VLOOKUP(B178,Foundation!$C$8:$E$696,3,FALSE),"")</f>
        <v>Sandy</v>
      </c>
      <c r="L178" s="425" t="str">
        <f>+IF(IFERROR(MATCH(B178,'Erection Compiled'!$C$6:$C$818,0),"B")="B","","E")</f>
        <v>E</v>
      </c>
      <c r="M178" s="425" t="str">
        <f>+IFERROR(VLOOKUP(B178,Tackwelding!$B$6:$G$367,6,FALSE),"")</f>
        <v/>
      </c>
    </row>
    <row r="179" spans="1:13" x14ac:dyDescent="0.25">
      <c r="A179" s="425">
        <v>173</v>
      </c>
      <c r="B179" s="425" t="s">
        <v>186</v>
      </c>
      <c r="C179" s="425" t="s">
        <v>242</v>
      </c>
      <c r="H179" s="425" t="str">
        <f t="shared" si="2"/>
        <v>,,,</v>
      </c>
      <c r="I179" s="428">
        <v>343.5</v>
      </c>
      <c r="K179" s="425" t="str">
        <f>+IFERROR(VLOOKUP(B179,Foundation!$C$8:$E$696,3,FALSE),"")</f>
        <v>DFR</v>
      </c>
      <c r="L179" s="425" t="str">
        <f>+IF(IFERROR(MATCH(B179,'Erection Compiled'!$C$6:$C$818,0),"B")="B","","E")</f>
        <v>E</v>
      </c>
      <c r="M179" s="425" t="str">
        <f>+IFERROR(VLOOKUP(B179,Tackwelding!$B$6:$G$367,6,FALSE),"")</f>
        <v/>
      </c>
    </row>
    <row r="180" spans="1:13" x14ac:dyDescent="0.25">
      <c r="A180" s="425">
        <v>174</v>
      </c>
      <c r="B180" s="425" t="s">
        <v>187</v>
      </c>
      <c r="C180" s="425" t="s">
        <v>231</v>
      </c>
      <c r="H180" s="425" t="str">
        <f t="shared" si="2"/>
        <v>,,,</v>
      </c>
      <c r="I180" s="428">
        <v>392</v>
      </c>
      <c r="K180" s="425" t="str">
        <f>+IFERROR(VLOOKUP(B180,Foundation!$C$8:$E$696,3,FALSE),"")</f>
        <v>DFR</v>
      </c>
      <c r="L180" s="425" t="str">
        <f>+IF(IFERROR(MATCH(B180,'Erection Compiled'!$C$6:$C$818,0),"B")="B","","E")</f>
        <v>E</v>
      </c>
      <c r="M180" s="425" t="str">
        <f>+IFERROR(VLOOKUP(B180,Tackwelding!$B$6:$G$367,6,FALSE),"")</f>
        <v>Done</v>
      </c>
    </row>
    <row r="181" spans="1:13" x14ac:dyDescent="0.25">
      <c r="A181" s="425">
        <v>175</v>
      </c>
      <c r="B181" s="425" t="s">
        <v>188</v>
      </c>
      <c r="C181" s="425" t="s">
        <v>231</v>
      </c>
      <c r="H181" s="425" t="str">
        <f t="shared" si="2"/>
        <v>,,,</v>
      </c>
      <c r="I181" s="428">
        <v>381.1</v>
      </c>
      <c r="K181" s="425" t="str">
        <f>+IFERROR(VLOOKUP(B181,Foundation!$C$8:$E$696,3,FALSE),"")</f>
        <v>DFR</v>
      </c>
      <c r="L181" s="425" t="str">
        <f>+IF(IFERROR(MATCH(B181,'Erection Compiled'!$C$6:$C$818,0),"B")="B","","E")</f>
        <v>E</v>
      </c>
      <c r="M181" s="425" t="str">
        <f>+IFERROR(VLOOKUP(B181,Tackwelding!$B$6:$G$367,6,FALSE),"")</f>
        <v/>
      </c>
    </row>
    <row r="182" spans="1:13" x14ac:dyDescent="0.25">
      <c r="A182" s="425">
        <v>176</v>
      </c>
      <c r="B182" s="425" t="s">
        <v>189</v>
      </c>
      <c r="C182" s="425" t="s">
        <v>20</v>
      </c>
      <c r="H182" s="425" t="str">
        <f t="shared" si="2"/>
        <v>,,,</v>
      </c>
      <c r="I182" s="428">
        <v>366.3</v>
      </c>
      <c r="K182" s="425" t="str">
        <f>+IFERROR(VLOOKUP(B182,Foundation!$C$8:$E$696,3,FALSE),"")</f>
        <v>DFR</v>
      </c>
      <c r="L182" s="425" t="str">
        <f>+IF(IFERROR(MATCH(B182,'Erection Compiled'!$C$6:$C$818,0),"B")="B","","E")</f>
        <v>E</v>
      </c>
      <c r="M182" s="425" t="str">
        <f>+IFERROR(VLOOKUP(B182,Tackwelding!$B$6:$G$367,6,FALSE),"")</f>
        <v/>
      </c>
    </row>
    <row r="183" spans="1:13" x14ac:dyDescent="0.25">
      <c r="A183" s="425">
        <v>177</v>
      </c>
      <c r="B183" s="425" t="s">
        <v>190</v>
      </c>
      <c r="C183" s="425" t="s">
        <v>20</v>
      </c>
      <c r="H183" s="425" t="str">
        <f t="shared" si="2"/>
        <v>,,,</v>
      </c>
      <c r="I183" s="428">
        <v>420.1</v>
      </c>
      <c r="K183" s="425" t="str">
        <f>+IFERROR(VLOOKUP(B183,Foundation!$C$8:$E$696,3,FALSE),"")</f>
        <v>DRY</v>
      </c>
      <c r="L183" s="425" t="str">
        <f>+IF(IFERROR(MATCH(B183,'Erection Compiled'!$C$6:$C$818,0),"B")="B","","E")</f>
        <v>E</v>
      </c>
      <c r="M183" s="425" t="str">
        <f>+IFERROR(VLOOKUP(B183,Tackwelding!$B$6:$G$367,6,FALSE),"")</f>
        <v>Done</v>
      </c>
    </row>
    <row r="184" spans="1:13" x14ac:dyDescent="0.25">
      <c r="A184" s="425">
        <v>178</v>
      </c>
      <c r="B184" s="425" t="s">
        <v>191</v>
      </c>
      <c r="C184" s="425" t="s">
        <v>20</v>
      </c>
      <c r="H184" s="425" t="str">
        <f t="shared" si="2"/>
        <v>,,,</v>
      </c>
      <c r="I184" s="428">
        <v>420.8</v>
      </c>
      <c r="K184" s="425" t="str">
        <f>+IFERROR(VLOOKUP(B184,Foundation!$C$8:$E$696,3,FALSE),"")</f>
        <v>Sandy</v>
      </c>
      <c r="L184" s="425" t="str">
        <f>+IF(IFERROR(MATCH(B184,'Erection Compiled'!$C$6:$C$818,0),"B")="B","","E")</f>
        <v>E</v>
      </c>
      <c r="M184" s="425" t="str">
        <f>+IFERROR(VLOOKUP(B184,Tackwelding!$B$6:$G$367,6,FALSE),"")</f>
        <v/>
      </c>
    </row>
    <row r="185" spans="1:13" x14ac:dyDescent="0.25">
      <c r="A185" s="425">
        <v>179</v>
      </c>
      <c r="B185" s="425" t="s">
        <v>70</v>
      </c>
      <c r="C185" s="425" t="s">
        <v>245</v>
      </c>
      <c r="H185" s="425" t="str">
        <f t="shared" si="2"/>
        <v>,,,</v>
      </c>
      <c r="I185" s="428">
        <v>406.6</v>
      </c>
      <c r="K185" s="425" t="str">
        <f>+IFERROR(VLOOKUP(B185,Foundation!$C$8:$E$696,3,FALSE),"")</f>
        <v>DFR</v>
      </c>
      <c r="L185" s="425" t="str">
        <f>+IF(IFERROR(MATCH(B185,'Erection Compiled'!$C$6:$C$818,0),"B")="B","","E")</f>
        <v>E</v>
      </c>
      <c r="M185" s="425" t="str">
        <f>+IFERROR(VLOOKUP(B185,Tackwelding!$B$6:$G$367,6,FALSE),"")</f>
        <v>Done</v>
      </c>
    </row>
    <row r="186" spans="1:13" x14ac:dyDescent="0.25">
      <c r="A186" s="425">
        <v>180</v>
      </c>
      <c r="B186" s="425" t="s">
        <v>71</v>
      </c>
      <c r="C186" s="425" t="s">
        <v>231</v>
      </c>
      <c r="H186" s="425" t="str">
        <f t="shared" si="2"/>
        <v>,,,</v>
      </c>
      <c r="I186" s="428">
        <v>379.6</v>
      </c>
      <c r="K186" s="425" t="str">
        <f>+IFERROR(VLOOKUP(B186,Foundation!$C$8:$E$696,3,FALSE),"")</f>
        <v>DRY</v>
      </c>
      <c r="L186" s="425" t="str">
        <f>+IF(IFERROR(MATCH(B186,'Erection Compiled'!$C$6:$C$818,0),"B")="B","","E")</f>
        <v>E</v>
      </c>
      <c r="M186" s="425" t="str">
        <f>+IFERROR(VLOOKUP(B186,Tackwelding!$B$6:$G$367,6,FALSE),"")</f>
        <v>Done</v>
      </c>
    </row>
    <row r="187" spans="1:13" x14ac:dyDescent="0.25">
      <c r="A187" s="425">
        <v>181</v>
      </c>
      <c r="B187" s="425" t="s">
        <v>72</v>
      </c>
      <c r="C187" s="425" t="s">
        <v>231</v>
      </c>
      <c r="H187" s="425" t="str">
        <f t="shared" si="2"/>
        <v>,,,</v>
      </c>
      <c r="I187" s="428">
        <v>385</v>
      </c>
      <c r="K187" s="425" t="str">
        <f>+IFERROR(VLOOKUP(B187,Foundation!$C$8:$E$696,3,FALSE),"")</f>
        <v>DFR</v>
      </c>
      <c r="L187" s="425" t="str">
        <f>+IF(IFERROR(MATCH(B187,'Erection Compiled'!$C$6:$C$818,0),"B")="B","","E")</f>
        <v>E</v>
      </c>
      <c r="M187" s="425" t="str">
        <f>+IFERROR(VLOOKUP(B187,Tackwelding!$B$6:$G$367,6,FALSE),"")</f>
        <v>Done</v>
      </c>
    </row>
    <row r="188" spans="1:13" x14ac:dyDescent="0.25">
      <c r="A188" s="425">
        <v>182</v>
      </c>
      <c r="B188" s="425" t="s">
        <v>73</v>
      </c>
      <c r="C188" s="425" t="s">
        <v>231</v>
      </c>
      <c r="H188" s="425" t="str">
        <f t="shared" si="2"/>
        <v>,,,</v>
      </c>
      <c r="I188" s="428">
        <v>369</v>
      </c>
      <c r="K188" s="425" t="str">
        <f>+IFERROR(VLOOKUP(B188,Foundation!$C$8:$E$696,3,FALSE),"")</f>
        <v>DFR</v>
      </c>
      <c r="L188" s="425" t="str">
        <f>+IF(IFERROR(MATCH(B188,'Erection Compiled'!$C$6:$C$818,0),"B")="B","","E")</f>
        <v>E</v>
      </c>
      <c r="M188" s="425" t="str">
        <f>+IFERROR(VLOOKUP(B188,Tackwelding!$B$6:$G$367,6,FALSE),"")</f>
        <v/>
      </c>
    </row>
    <row r="189" spans="1:13" x14ac:dyDescent="0.25">
      <c r="A189" s="425">
        <v>183</v>
      </c>
      <c r="B189" s="425" t="s">
        <v>74</v>
      </c>
      <c r="C189" s="425" t="s">
        <v>231</v>
      </c>
      <c r="H189" s="425" t="str">
        <f t="shared" si="2"/>
        <v>,,,</v>
      </c>
      <c r="I189" s="428">
        <v>409</v>
      </c>
      <c r="K189" s="425" t="str">
        <f>+IFERROR(VLOOKUP(B189,Foundation!$C$8:$E$696,3,FALSE),"")</f>
        <v>Sandy</v>
      </c>
      <c r="L189" s="425" t="str">
        <f>+IF(IFERROR(MATCH(B189,'Erection Compiled'!$C$6:$C$818,0),"B")="B","","E")</f>
        <v>E</v>
      </c>
      <c r="M189" s="425" t="str">
        <f>+IFERROR(VLOOKUP(B189,Tackwelding!$B$6:$G$367,6,FALSE),"")</f>
        <v/>
      </c>
    </row>
    <row r="190" spans="1:13" x14ac:dyDescent="0.25">
      <c r="A190" s="425">
        <v>184</v>
      </c>
      <c r="B190" s="425" t="s">
        <v>75</v>
      </c>
      <c r="C190" s="425" t="s">
        <v>233</v>
      </c>
      <c r="E190" s="425">
        <v>2</v>
      </c>
      <c r="H190" s="425" t="str">
        <f t="shared" si="2"/>
        <v>,2,,</v>
      </c>
      <c r="I190" s="428">
        <v>422</v>
      </c>
      <c r="K190" s="425" t="str">
        <f>+IFERROR(VLOOKUP(B190,Foundation!$C$8:$E$696,3,FALSE),"")</f>
        <v>Sandy</v>
      </c>
      <c r="L190" s="425" t="str">
        <f>+IF(IFERROR(MATCH(B190,'Erection Compiled'!$C$6:$C$818,0),"B")="B","","E")</f>
        <v>E</v>
      </c>
      <c r="M190" s="425" t="str">
        <f>+IFERROR(VLOOKUP(B190,Tackwelding!$B$6:$G$367,6,FALSE),"")</f>
        <v>Done</v>
      </c>
    </row>
    <row r="191" spans="1:13" x14ac:dyDescent="0.25">
      <c r="A191" s="425">
        <v>185</v>
      </c>
      <c r="B191" s="425" t="s">
        <v>192</v>
      </c>
      <c r="C191" s="425" t="s">
        <v>232</v>
      </c>
      <c r="D191" s="425">
        <v>1</v>
      </c>
      <c r="E191" s="425">
        <v>4</v>
      </c>
      <c r="F191" s="425">
        <v>3</v>
      </c>
      <c r="H191" s="425" t="str">
        <f t="shared" si="2"/>
        <v>1,4,3,</v>
      </c>
      <c r="I191" s="428">
        <v>370</v>
      </c>
      <c r="K191" s="425" t="str">
        <f>+IFERROR(VLOOKUP(B191,Foundation!$C$8:$E$696,3,FALSE),"")</f>
        <v>Sandy</v>
      </c>
      <c r="L191" s="425" t="str">
        <f>+IF(IFERROR(MATCH(B191,'Erection Compiled'!$C$6:$C$818,0),"B")="B","","E")</f>
        <v>E</v>
      </c>
      <c r="M191" s="425" t="str">
        <f>+IFERROR(VLOOKUP(B191,Tackwelding!$B$6:$G$367,6,FALSE),"")</f>
        <v/>
      </c>
    </row>
    <row r="192" spans="1:13" x14ac:dyDescent="0.25">
      <c r="A192" s="425">
        <v>186</v>
      </c>
      <c r="B192" s="425" t="s">
        <v>193</v>
      </c>
      <c r="C192" s="425" t="s">
        <v>20</v>
      </c>
      <c r="D192" s="425">
        <v>1</v>
      </c>
      <c r="E192" s="425">
        <v>3</v>
      </c>
      <c r="F192" s="425">
        <v>2</v>
      </c>
      <c r="H192" s="425" t="str">
        <f t="shared" si="2"/>
        <v>1,3,2,</v>
      </c>
      <c r="I192" s="428">
        <v>464</v>
      </c>
      <c r="K192" s="425" t="str">
        <f>+IFERROR(VLOOKUP(B192,Foundation!$C$8:$E$696,3,FALSE),"")</f>
        <v>Sandy</v>
      </c>
      <c r="L192" s="425" t="str">
        <f>+IF(IFERROR(MATCH(B192,'Erection Compiled'!$C$6:$C$818,0),"B")="B","","E")</f>
        <v>E</v>
      </c>
      <c r="M192" s="425" t="str">
        <f>+IFERROR(VLOOKUP(B192,Tackwelding!$B$6:$G$367,6,FALSE),"")</f>
        <v/>
      </c>
    </row>
    <row r="193" spans="1:13" x14ac:dyDescent="0.25">
      <c r="A193" s="425">
        <v>187</v>
      </c>
      <c r="B193" s="425" t="s">
        <v>194</v>
      </c>
      <c r="C193" s="425" t="s">
        <v>20</v>
      </c>
      <c r="F193" s="425">
        <v>5</v>
      </c>
      <c r="G193" s="425">
        <v>3</v>
      </c>
      <c r="H193" s="425" t="str">
        <f t="shared" si="2"/>
        <v>,,5,3</v>
      </c>
      <c r="I193" s="428">
        <v>375</v>
      </c>
      <c r="K193" s="425" t="str">
        <f>+IFERROR(VLOOKUP(B193,Foundation!$C$8:$E$696,3,FALSE),"")</f>
        <v>Sandy</v>
      </c>
      <c r="L193" s="425" t="str">
        <f>+IF(IFERROR(MATCH(B193,'Erection Compiled'!$C$6:$C$818,0),"B")="B","","E")</f>
        <v>E</v>
      </c>
      <c r="M193" s="425" t="str">
        <f>+IFERROR(VLOOKUP(B193,Tackwelding!$B$6:$G$367,6,FALSE),"")</f>
        <v/>
      </c>
    </row>
    <row r="194" spans="1:13" x14ac:dyDescent="0.25">
      <c r="A194" s="425">
        <v>188</v>
      </c>
      <c r="B194" s="425" t="s">
        <v>76</v>
      </c>
      <c r="C194" s="425" t="s">
        <v>242</v>
      </c>
      <c r="H194" s="425" t="str">
        <f t="shared" si="2"/>
        <v>,,,</v>
      </c>
      <c r="I194" s="428">
        <v>465.5</v>
      </c>
      <c r="K194" s="425" t="str">
        <f>+IFERROR(VLOOKUP(B194,Foundation!$C$8:$E$696,3,FALSE),"")</f>
        <v>DRY</v>
      </c>
      <c r="L194" s="425" t="str">
        <f>+IF(IFERROR(MATCH(B194,'Erection Compiled'!$C$6:$C$818,0),"B")="B","","E")</f>
        <v>E</v>
      </c>
      <c r="M194" s="425" t="str">
        <f>+IFERROR(VLOOKUP(B194,Tackwelding!$B$6:$G$367,6,FALSE),"")</f>
        <v/>
      </c>
    </row>
    <row r="195" spans="1:13" x14ac:dyDescent="0.25">
      <c r="A195" s="425">
        <v>189</v>
      </c>
      <c r="B195" s="425" t="s">
        <v>195</v>
      </c>
      <c r="C195" s="425" t="s">
        <v>20</v>
      </c>
      <c r="H195" s="425" t="str">
        <f t="shared" si="2"/>
        <v>,,,</v>
      </c>
      <c r="I195" s="428">
        <v>365.6</v>
      </c>
      <c r="K195" s="425" t="str">
        <f>+IFERROR(VLOOKUP(B195,Foundation!$C$8:$E$696,3,FALSE),"")</f>
        <v>DRY</v>
      </c>
      <c r="L195" s="425" t="str">
        <f>+IF(IFERROR(MATCH(B195,'Erection Compiled'!$C$6:$C$818,0),"B")="B","","E")</f>
        <v>E</v>
      </c>
      <c r="M195" s="425" t="str">
        <f>+IFERROR(VLOOKUP(B195,Tackwelding!$B$6:$G$367,6,FALSE),"")</f>
        <v/>
      </c>
    </row>
    <row r="196" spans="1:13" x14ac:dyDescent="0.25">
      <c r="A196" s="425">
        <v>190</v>
      </c>
      <c r="B196" s="425" t="s">
        <v>196</v>
      </c>
      <c r="C196" s="425" t="s">
        <v>20</v>
      </c>
      <c r="H196" s="425" t="str">
        <f t="shared" si="2"/>
        <v>,,,</v>
      </c>
      <c r="I196" s="428">
        <v>424</v>
      </c>
      <c r="K196" s="425" t="str">
        <f>+IFERROR(VLOOKUP(B196,Foundation!$C$8:$E$696,3,FALSE),"")</f>
        <v>DRY</v>
      </c>
      <c r="L196" s="425" t="str">
        <f>+IF(IFERROR(MATCH(B196,'Erection Compiled'!$C$6:$C$818,0),"B")="B","","E")</f>
        <v>E</v>
      </c>
      <c r="M196" s="425" t="str">
        <f>+IFERROR(VLOOKUP(B196,Tackwelding!$B$6:$G$367,6,FALSE),"")</f>
        <v>Done</v>
      </c>
    </row>
    <row r="197" spans="1:13" x14ac:dyDescent="0.25">
      <c r="A197" s="425">
        <v>191</v>
      </c>
      <c r="B197" s="425" t="s">
        <v>197</v>
      </c>
      <c r="C197" s="425" t="s">
        <v>231</v>
      </c>
      <c r="H197" s="425" t="str">
        <f t="shared" si="2"/>
        <v>,,,</v>
      </c>
      <c r="I197" s="428">
        <v>399</v>
      </c>
      <c r="K197" s="425" t="str">
        <f>+IFERROR(VLOOKUP(B197,Foundation!$C$8:$E$696,3,FALSE),"")</f>
        <v>Sandy</v>
      </c>
      <c r="L197" s="425" t="str">
        <f>+IF(IFERROR(MATCH(B197,'Erection Compiled'!$C$6:$C$818,0),"B")="B","","E")</f>
        <v>E</v>
      </c>
      <c r="M197" s="425" t="str">
        <f>+IFERROR(VLOOKUP(B197,Tackwelding!$B$6:$G$367,6,FALSE),"")</f>
        <v/>
      </c>
    </row>
    <row r="198" spans="1:13" x14ac:dyDescent="0.25">
      <c r="A198" s="425">
        <v>192</v>
      </c>
      <c r="B198" s="425" t="s">
        <v>198</v>
      </c>
      <c r="C198" s="425" t="s">
        <v>232</v>
      </c>
      <c r="H198" s="425" t="str">
        <f t="shared" si="2"/>
        <v>,,,</v>
      </c>
      <c r="I198" s="428">
        <v>440</v>
      </c>
      <c r="K198" s="425" t="str">
        <f>+IFERROR(VLOOKUP(B198,Foundation!$C$8:$E$696,3,FALSE),"")</f>
        <v>DRY</v>
      </c>
      <c r="L198" s="425" t="str">
        <f>+IF(IFERROR(MATCH(B198,'Erection Compiled'!$C$6:$C$818,0),"B")="B","","E")</f>
        <v>E</v>
      </c>
      <c r="M198" s="425" t="str">
        <f>+IFERROR(VLOOKUP(B198,Tackwelding!$B$6:$G$367,6,FALSE),"")</f>
        <v>Done</v>
      </c>
    </row>
    <row r="199" spans="1:13" x14ac:dyDescent="0.25">
      <c r="A199" s="425">
        <v>193</v>
      </c>
      <c r="B199" s="425" t="s">
        <v>26</v>
      </c>
      <c r="C199" s="425" t="s">
        <v>239</v>
      </c>
      <c r="H199" s="425" t="str">
        <f t="shared" si="2"/>
        <v>,,,</v>
      </c>
      <c r="I199" s="428">
        <v>382.1</v>
      </c>
      <c r="K199" s="425" t="str">
        <f>+IFERROR(VLOOKUP(B199,Foundation!$C$8:$E$696,3,FALSE),"")</f>
        <v>DRY</v>
      </c>
      <c r="L199" s="425" t="str">
        <f>+IF(IFERROR(MATCH(B199,'Erection Compiled'!$C$6:$C$818,0),"B")="B","","E")</f>
        <v>E</v>
      </c>
      <c r="M199" s="425" t="str">
        <f>+IFERROR(VLOOKUP(B199,Tackwelding!$B$6:$G$367,6,FALSE),"")</f>
        <v/>
      </c>
    </row>
    <row r="200" spans="1:13" x14ac:dyDescent="0.25">
      <c r="A200" s="425">
        <v>194</v>
      </c>
      <c r="B200" s="425" t="s">
        <v>77</v>
      </c>
      <c r="C200" s="425" t="s">
        <v>231</v>
      </c>
      <c r="D200" s="425">
        <v>2</v>
      </c>
      <c r="H200" s="425" t="str">
        <f t="shared" si="2"/>
        <v>2,,,</v>
      </c>
      <c r="I200" s="428">
        <v>388.9</v>
      </c>
      <c r="K200" s="425" t="str">
        <f>+IFERROR(VLOOKUP(B200,Foundation!$C$8:$E$696,3,FALSE),"")</f>
        <v>Sandy</v>
      </c>
      <c r="L200" s="425" t="str">
        <f>+IF(IFERROR(MATCH(B200,'Erection Compiled'!$C$6:$C$818,0),"B")="B","","E")</f>
        <v>E</v>
      </c>
      <c r="M200" s="425" t="str">
        <f>+IFERROR(VLOOKUP(B200,Tackwelding!$B$6:$G$367,6,FALSE),"")</f>
        <v>Done</v>
      </c>
    </row>
    <row r="201" spans="1:13" x14ac:dyDescent="0.25">
      <c r="A201" s="425">
        <v>195</v>
      </c>
      <c r="B201" s="425" t="s">
        <v>199</v>
      </c>
      <c r="C201" s="425" t="s">
        <v>231</v>
      </c>
      <c r="D201" s="425">
        <v>1</v>
      </c>
      <c r="E201" s="425">
        <v>2</v>
      </c>
      <c r="H201" s="425" t="str">
        <f t="shared" ref="H201:H264" si="3">+CONCATENATE(D201,",",E201,",",F201,",",G201)</f>
        <v>1,2,,</v>
      </c>
      <c r="I201" s="428">
        <v>445</v>
      </c>
      <c r="K201" s="425" t="str">
        <f>+IFERROR(VLOOKUP(B201,Foundation!$C$8:$E$696,3,FALSE),"")</f>
        <v>Sandy</v>
      </c>
      <c r="L201" s="425" t="str">
        <f>+IF(IFERROR(MATCH(B201,'Erection Compiled'!$C$6:$C$818,0),"B")="B","","E")</f>
        <v>E</v>
      </c>
      <c r="M201" s="425" t="str">
        <f>+IFERROR(VLOOKUP(B201,Tackwelding!$B$6:$G$367,6,FALSE),"")</f>
        <v>Done</v>
      </c>
    </row>
    <row r="202" spans="1:13" x14ac:dyDescent="0.25">
      <c r="A202" s="425">
        <v>196</v>
      </c>
      <c r="B202" s="425" t="s">
        <v>200</v>
      </c>
      <c r="C202" s="425" t="s">
        <v>20</v>
      </c>
      <c r="D202" s="425">
        <v>1</v>
      </c>
      <c r="E202" s="425">
        <v>2</v>
      </c>
      <c r="H202" s="425" t="str">
        <f t="shared" si="3"/>
        <v>1,2,,</v>
      </c>
      <c r="I202" s="428">
        <v>395</v>
      </c>
      <c r="K202" s="425" t="str">
        <f>+IFERROR(VLOOKUP(B202,Foundation!$C$8:$E$696,3,FALSE),"")</f>
        <v>Sandy</v>
      </c>
      <c r="L202" s="425" t="str">
        <f>+IF(IFERROR(MATCH(B202,'Erection Compiled'!$C$6:$C$818,0),"B")="B","","E")</f>
        <v>E</v>
      </c>
      <c r="M202" s="425" t="str">
        <f>+IFERROR(VLOOKUP(B202,Tackwelding!$B$6:$G$367,6,FALSE),"")</f>
        <v>Done</v>
      </c>
    </row>
    <row r="203" spans="1:13" x14ac:dyDescent="0.25">
      <c r="A203" s="425">
        <v>197</v>
      </c>
      <c r="B203" s="425" t="s">
        <v>201</v>
      </c>
      <c r="C203" s="425" t="s">
        <v>20</v>
      </c>
      <c r="H203" s="425" t="str">
        <f t="shared" si="3"/>
        <v>,,,</v>
      </c>
      <c r="I203" s="428">
        <v>387</v>
      </c>
      <c r="K203" s="425" t="str">
        <f>+IFERROR(VLOOKUP(B203,Foundation!$C$8:$E$696,3,FALSE),"")</f>
        <v>DRY</v>
      </c>
      <c r="L203" s="425" t="str">
        <f>+IF(IFERROR(MATCH(B203,'Erection Compiled'!$C$6:$C$818,0),"B")="B","","E")</f>
        <v>E</v>
      </c>
      <c r="M203" s="425" t="str">
        <f>+IFERROR(VLOOKUP(B203,Tackwelding!$B$6:$G$367,6,FALSE),"")</f>
        <v/>
      </c>
    </row>
    <row r="204" spans="1:13" x14ac:dyDescent="0.25">
      <c r="A204" s="425">
        <v>198</v>
      </c>
      <c r="B204" s="425" t="s">
        <v>202</v>
      </c>
      <c r="C204" s="425" t="s">
        <v>20</v>
      </c>
      <c r="H204" s="425" t="str">
        <f t="shared" si="3"/>
        <v>,,,</v>
      </c>
      <c r="I204" s="428">
        <v>442</v>
      </c>
      <c r="K204" s="425" t="str">
        <f>+IFERROR(VLOOKUP(B204,Foundation!$C$8:$E$696,3,FALSE),"")</f>
        <v>DRY</v>
      </c>
      <c r="L204" s="425" t="str">
        <f>+IF(IFERROR(MATCH(B204,'Erection Compiled'!$C$6:$C$818,0),"B")="B","","E")</f>
        <v>E</v>
      </c>
      <c r="M204" s="425" t="str">
        <f>+IFERROR(VLOOKUP(B204,Tackwelding!$B$6:$G$367,6,FALSE),"")</f>
        <v>Done</v>
      </c>
    </row>
    <row r="205" spans="1:13" x14ac:dyDescent="0.25">
      <c r="A205" s="425">
        <v>199</v>
      </c>
      <c r="B205" s="425" t="s">
        <v>203</v>
      </c>
      <c r="C205" s="425" t="s">
        <v>231</v>
      </c>
      <c r="H205" s="425" t="str">
        <f t="shared" si="3"/>
        <v>,,,</v>
      </c>
      <c r="I205" s="428">
        <v>314</v>
      </c>
      <c r="K205" s="425" t="str">
        <f>+IFERROR(VLOOKUP(B205,Foundation!$C$8:$E$696,3,FALSE),"")</f>
        <v>DRY</v>
      </c>
      <c r="L205" s="425" t="str">
        <f>+IF(IFERROR(MATCH(B205,'Erection Compiled'!$C$6:$C$818,0),"B")="B","","E")</f>
        <v>E</v>
      </c>
      <c r="M205" s="425" t="str">
        <f>+IFERROR(VLOOKUP(B205,Tackwelding!$B$6:$G$367,6,FALSE),"")</f>
        <v/>
      </c>
    </row>
    <row r="206" spans="1:13" x14ac:dyDescent="0.25">
      <c r="A206" s="425">
        <v>200</v>
      </c>
      <c r="B206" s="425" t="s">
        <v>78</v>
      </c>
      <c r="C206" s="425" t="s">
        <v>245</v>
      </c>
      <c r="H206" s="425" t="str">
        <f t="shared" si="3"/>
        <v>,,,</v>
      </c>
      <c r="I206" s="428">
        <v>347.4</v>
      </c>
      <c r="K206" s="425" t="str">
        <f>+IFERROR(VLOOKUP(B206,Foundation!$C$8:$E$696,3,FALSE),"")</f>
        <v>Sandy</v>
      </c>
      <c r="L206" s="425" t="str">
        <f>+IF(IFERROR(MATCH(B206,'Erection Compiled'!$C$6:$C$818,0),"B")="B","","E")</f>
        <v>E</v>
      </c>
      <c r="M206" s="425" t="str">
        <f>+IFERROR(VLOOKUP(B206,Tackwelding!$B$6:$G$367,6,FALSE),"")</f>
        <v/>
      </c>
    </row>
    <row r="207" spans="1:13" x14ac:dyDescent="0.25">
      <c r="A207" s="425">
        <v>201</v>
      </c>
      <c r="B207" s="425" t="s">
        <v>27</v>
      </c>
      <c r="C207" s="425" t="s">
        <v>231</v>
      </c>
      <c r="H207" s="425" t="str">
        <f t="shared" si="3"/>
        <v>,,,</v>
      </c>
      <c r="I207" s="428">
        <v>383.6</v>
      </c>
      <c r="K207" s="425" t="str">
        <f>+IFERROR(VLOOKUP(B207,Foundation!$C$8:$E$696,3,FALSE),"")</f>
        <v>DRY</v>
      </c>
      <c r="L207" s="425" t="str">
        <f>+IF(IFERROR(MATCH(B207,'Erection Compiled'!$C$6:$C$818,0),"B")="B","","E")</f>
        <v>E</v>
      </c>
      <c r="M207" s="425" t="str">
        <f>+IFERROR(VLOOKUP(B207,Tackwelding!$B$6:$G$367,6,FALSE),"")</f>
        <v>Done</v>
      </c>
    </row>
    <row r="208" spans="1:13" x14ac:dyDescent="0.25">
      <c r="A208" s="425">
        <v>202</v>
      </c>
      <c r="B208" s="425" t="s">
        <v>79</v>
      </c>
      <c r="C208" s="425" t="s">
        <v>231</v>
      </c>
      <c r="H208" s="425" t="str">
        <f t="shared" si="3"/>
        <v>,,,</v>
      </c>
      <c r="I208" s="428">
        <v>366</v>
      </c>
      <c r="K208" s="425" t="str">
        <f>+IFERROR(VLOOKUP(B208,Foundation!$C$8:$E$696,3,FALSE),"")</f>
        <v>DRY</v>
      </c>
      <c r="L208" s="425" t="str">
        <f>+IF(IFERROR(MATCH(B208,'Erection Compiled'!$C$6:$C$818,0),"B")="B","","E")</f>
        <v>E</v>
      </c>
      <c r="M208" s="425" t="str">
        <f>+IFERROR(VLOOKUP(B208,Tackwelding!$B$6:$G$367,6,FALSE),"")</f>
        <v>Done</v>
      </c>
    </row>
    <row r="209" spans="1:13" x14ac:dyDescent="0.25">
      <c r="A209" s="425">
        <v>203</v>
      </c>
      <c r="B209" s="425" t="s">
        <v>80</v>
      </c>
      <c r="C209" s="425" t="s">
        <v>239</v>
      </c>
      <c r="H209" s="425" t="str">
        <f t="shared" si="3"/>
        <v>,,,</v>
      </c>
      <c r="I209" s="428">
        <v>332.9</v>
      </c>
      <c r="K209" s="425" t="str">
        <f>+IFERROR(VLOOKUP(B209,Foundation!$C$8:$E$696,3,FALSE),"")</f>
        <v>DRY</v>
      </c>
      <c r="L209" s="425" t="str">
        <f>+IF(IFERROR(MATCH(B209,'Erection Compiled'!$C$6:$C$818,0),"B")="B","","E")</f>
        <v>E</v>
      </c>
      <c r="M209" s="425" t="str">
        <f>+IFERROR(VLOOKUP(B209,Tackwelding!$B$6:$G$367,6,FALSE),"")</f>
        <v>Done</v>
      </c>
    </row>
    <row r="210" spans="1:13" x14ac:dyDescent="0.25">
      <c r="A210" s="425">
        <v>204</v>
      </c>
      <c r="B210" s="425" t="s">
        <v>81</v>
      </c>
      <c r="C210" s="425" t="s">
        <v>20</v>
      </c>
      <c r="H210" s="425" t="str">
        <f t="shared" si="3"/>
        <v>,,,</v>
      </c>
      <c r="I210" s="428">
        <v>402.7</v>
      </c>
      <c r="K210" s="425" t="str">
        <f>+IFERROR(VLOOKUP(B210,Foundation!$C$8:$E$696,3,FALSE),"")</f>
        <v>Sandy</v>
      </c>
      <c r="L210" s="425" t="str">
        <f>+IF(IFERROR(MATCH(B210,'Erection Compiled'!$C$6:$C$818,0),"B")="B","","E")</f>
        <v>E</v>
      </c>
      <c r="M210" s="425" t="str">
        <f>+IFERROR(VLOOKUP(B210,Tackwelding!$B$6:$G$367,6,FALSE),"")</f>
        <v>Done</v>
      </c>
    </row>
    <row r="211" spans="1:13" x14ac:dyDescent="0.25">
      <c r="A211" s="425">
        <v>205</v>
      </c>
      <c r="B211" s="425" t="s">
        <v>82</v>
      </c>
      <c r="C211" s="425" t="s">
        <v>20</v>
      </c>
      <c r="H211" s="425" t="str">
        <f t="shared" si="3"/>
        <v>,,,</v>
      </c>
      <c r="I211" s="428">
        <v>428.8</v>
      </c>
      <c r="K211" s="425" t="str">
        <f>+IFERROR(VLOOKUP(B211,Foundation!$C$8:$E$696,3,FALSE),"")</f>
        <v>DRY</v>
      </c>
      <c r="L211" s="425" t="str">
        <f>+IF(IFERROR(MATCH(B211,'Erection Compiled'!$C$6:$C$818,0),"B")="B","","E")</f>
        <v>E</v>
      </c>
      <c r="M211" s="425" t="str">
        <f>+IFERROR(VLOOKUP(B211,Tackwelding!$B$6:$G$367,6,FALSE),"")</f>
        <v>Done</v>
      </c>
    </row>
    <row r="212" spans="1:13" x14ac:dyDescent="0.25">
      <c r="A212" s="425">
        <v>206</v>
      </c>
      <c r="B212" s="425" t="s">
        <v>204</v>
      </c>
      <c r="C212" s="425" t="s">
        <v>231</v>
      </c>
      <c r="H212" s="425" t="str">
        <f t="shared" si="3"/>
        <v>,,,</v>
      </c>
      <c r="I212" s="428">
        <v>410.9</v>
      </c>
      <c r="K212" s="425" t="str">
        <f>+IFERROR(VLOOKUP(B212,Foundation!$C$8:$E$696,3,FALSE),"")</f>
        <v>Sandy</v>
      </c>
      <c r="L212" s="425" t="str">
        <f>+IF(IFERROR(MATCH(B212,'Erection Compiled'!$C$6:$C$818,0),"B")="B","","E")</f>
        <v>E</v>
      </c>
      <c r="M212" s="425" t="str">
        <f>+IFERROR(VLOOKUP(B212,Tackwelding!$B$6:$G$367,6,FALSE),"")</f>
        <v>Done</v>
      </c>
    </row>
    <row r="213" spans="1:13" x14ac:dyDescent="0.25">
      <c r="A213" s="425">
        <v>207</v>
      </c>
      <c r="B213" s="425" t="s">
        <v>205</v>
      </c>
      <c r="C213" s="425" t="s">
        <v>231</v>
      </c>
      <c r="H213" s="425" t="str">
        <f t="shared" si="3"/>
        <v>,,,</v>
      </c>
      <c r="I213" s="428">
        <v>381.1</v>
      </c>
      <c r="K213" s="425" t="str">
        <f>+IFERROR(VLOOKUP(B213,Foundation!$C$8:$E$696,3,FALSE),"")</f>
        <v>Sandy</v>
      </c>
      <c r="L213" s="425" t="str">
        <f>+IF(IFERROR(MATCH(B213,'Erection Compiled'!$C$6:$C$818,0),"B")="B","","E")</f>
        <v>E</v>
      </c>
      <c r="M213" s="425" t="str">
        <f>+IFERROR(VLOOKUP(B213,Tackwelding!$B$6:$G$367,6,FALSE),"")</f>
        <v>Done</v>
      </c>
    </row>
    <row r="214" spans="1:13" x14ac:dyDescent="0.25">
      <c r="A214" s="425">
        <v>208</v>
      </c>
      <c r="B214" s="425" t="s">
        <v>83</v>
      </c>
      <c r="C214" s="425" t="s">
        <v>239</v>
      </c>
      <c r="D214" s="425">
        <v>1</v>
      </c>
      <c r="H214" s="425" t="str">
        <f t="shared" si="3"/>
        <v>1,,,</v>
      </c>
      <c r="I214" s="428">
        <v>451.5</v>
      </c>
      <c r="K214" s="425" t="str">
        <f>+IFERROR(VLOOKUP(B214,Foundation!$C$8:$E$696,3,FALSE),"")</f>
        <v>DRY</v>
      </c>
      <c r="L214" s="425" t="str">
        <f>+IF(IFERROR(MATCH(B214,'Erection Compiled'!$C$6:$C$818,0),"B")="B","","E")</f>
        <v>E</v>
      </c>
      <c r="M214" s="425" t="str">
        <f>+IFERROR(VLOOKUP(B214,Tackwelding!$B$6:$G$367,6,FALSE),"")</f>
        <v>Done</v>
      </c>
    </row>
    <row r="215" spans="1:13" x14ac:dyDescent="0.25">
      <c r="A215" s="425">
        <v>209</v>
      </c>
      <c r="B215" s="425" t="s">
        <v>230</v>
      </c>
      <c r="C215" s="425" t="s">
        <v>231</v>
      </c>
      <c r="E215" s="425">
        <v>1</v>
      </c>
      <c r="F215" s="425">
        <v>1</v>
      </c>
      <c r="H215" s="425" t="str">
        <f t="shared" si="3"/>
        <v>,1,1,</v>
      </c>
      <c r="I215" s="428">
        <v>379.6</v>
      </c>
      <c r="K215" s="425" t="str">
        <f>+IFERROR(VLOOKUP(B215,Foundation!$C$8:$E$696,3,FALSE),"")</f>
        <v>DRY</v>
      </c>
      <c r="L215" s="425" t="str">
        <f>+IF(IFERROR(MATCH(B215,'Erection Compiled'!$C$6:$C$818,0),"B")="B","","E")</f>
        <v>E</v>
      </c>
      <c r="M215" s="425" t="str">
        <f>+IFERROR(VLOOKUP(B215,Tackwelding!$B$6:$G$367,6,FALSE),"")</f>
        <v>Done</v>
      </c>
    </row>
    <row r="216" spans="1:13" x14ac:dyDescent="0.25">
      <c r="A216" s="425">
        <v>210</v>
      </c>
      <c r="B216" s="425" t="s">
        <v>84</v>
      </c>
      <c r="C216" s="425" t="s">
        <v>245</v>
      </c>
      <c r="H216" s="425" t="str">
        <f t="shared" si="3"/>
        <v>,,,</v>
      </c>
      <c r="I216" s="428">
        <v>292.5</v>
      </c>
      <c r="K216" s="425" t="str">
        <f>+IFERROR(VLOOKUP(B216,Foundation!$C$8:$E$696,3,FALSE),"")</f>
        <v>DRY</v>
      </c>
      <c r="L216" s="425" t="str">
        <f>+IF(IFERROR(MATCH(B216,'Erection Compiled'!$C$6:$C$818,0),"B")="B","","E")</f>
        <v>E</v>
      </c>
      <c r="M216" s="425" t="str">
        <f>+IFERROR(VLOOKUP(B216,Tackwelding!$B$6:$G$367,6,FALSE),"")</f>
        <v>Done</v>
      </c>
    </row>
    <row r="217" spans="1:13" x14ac:dyDescent="0.25">
      <c r="A217" s="425">
        <v>211</v>
      </c>
      <c r="B217" s="425" t="s">
        <v>206</v>
      </c>
      <c r="C217" s="425" t="s">
        <v>233</v>
      </c>
      <c r="H217" s="425" t="str">
        <f t="shared" si="3"/>
        <v>,,,</v>
      </c>
      <c r="I217" s="428">
        <v>432.6</v>
      </c>
      <c r="K217" s="425" t="str">
        <f>+IFERROR(VLOOKUP(B217,Foundation!$C$8:$E$696,3,FALSE),"")</f>
        <v>Sandy</v>
      </c>
      <c r="L217" s="425" t="str">
        <f>+IF(IFERROR(MATCH(B217,'Erection Compiled'!$C$6:$C$818,0),"B")="B","","E")</f>
        <v>E</v>
      </c>
      <c r="M217" s="425" t="str">
        <f>+IFERROR(VLOOKUP(B217,Tackwelding!$B$6:$G$367,6,FALSE),"")</f>
        <v>Done</v>
      </c>
    </row>
    <row r="218" spans="1:13" x14ac:dyDescent="0.25">
      <c r="A218" s="425">
        <v>212</v>
      </c>
      <c r="B218" s="425" t="s">
        <v>207</v>
      </c>
      <c r="C218" s="425" t="s">
        <v>232</v>
      </c>
      <c r="G218" s="425">
        <v>2</v>
      </c>
      <c r="H218" s="425" t="str">
        <f t="shared" si="3"/>
        <v>,,,2</v>
      </c>
      <c r="I218" s="428">
        <v>407.5</v>
      </c>
      <c r="K218" s="425" t="str">
        <f>+IFERROR(VLOOKUP(B218,Foundation!$C$8:$E$696,3,FALSE),"")</f>
        <v>Sandy</v>
      </c>
      <c r="L218" s="425" t="str">
        <f>+IF(IFERROR(MATCH(B218,'Erection Compiled'!$C$6:$C$818,0),"B")="B","","E")</f>
        <v>E</v>
      </c>
      <c r="M218" s="425" t="str">
        <f>+IFERROR(VLOOKUP(B218,Tackwelding!$B$6:$G$367,6,FALSE),"")</f>
        <v>Done</v>
      </c>
    </row>
    <row r="219" spans="1:13" x14ac:dyDescent="0.25">
      <c r="A219" s="425">
        <v>213</v>
      </c>
      <c r="B219" s="425" t="s">
        <v>208</v>
      </c>
      <c r="C219" s="425" t="s">
        <v>231</v>
      </c>
      <c r="E219" s="425">
        <v>3</v>
      </c>
      <c r="H219" s="425" t="str">
        <f t="shared" si="3"/>
        <v>,3,,</v>
      </c>
      <c r="I219" s="428">
        <v>377</v>
      </c>
      <c r="K219" s="425" t="str">
        <f>+IFERROR(VLOOKUP(B219,Foundation!$C$8:$E$696,3,FALSE),"")</f>
        <v>Sandy</v>
      </c>
      <c r="L219" s="425" t="str">
        <f>+IF(IFERROR(MATCH(B219,'Erection Compiled'!$C$6:$C$818,0),"B")="B","","E")</f>
        <v>E</v>
      </c>
      <c r="M219" s="425" t="str">
        <f>+IFERROR(VLOOKUP(B219,Tackwelding!$B$6:$G$367,6,FALSE),"")</f>
        <v>Done</v>
      </c>
    </row>
    <row r="220" spans="1:13" x14ac:dyDescent="0.25">
      <c r="A220" s="425">
        <v>214</v>
      </c>
      <c r="B220" s="425" t="s">
        <v>209</v>
      </c>
      <c r="C220" s="425" t="s">
        <v>231</v>
      </c>
      <c r="E220" s="425">
        <v>3</v>
      </c>
      <c r="F220" s="425">
        <v>1</v>
      </c>
      <c r="H220" s="425" t="str">
        <f t="shared" si="3"/>
        <v>,3,1,</v>
      </c>
      <c r="I220" s="428">
        <v>451.6</v>
      </c>
      <c r="K220" s="425" t="str">
        <f>+IFERROR(VLOOKUP(B220,Foundation!$C$8:$E$696,3,FALSE),"")</f>
        <v>Sandy</v>
      </c>
      <c r="L220" s="425" t="str">
        <f>+IF(IFERROR(MATCH(B220,'Erection Compiled'!$C$6:$C$818,0),"B")="B","","E")</f>
        <v>E</v>
      </c>
      <c r="M220" s="425" t="str">
        <f>+IFERROR(VLOOKUP(B220,Tackwelding!$B$6:$G$367,6,FALSE),"")</f>
        <v/>
      </c>
    </row>
    <row r="221" spans="1:13" x14ac:dyDescent="0.25">
      <c r="A221" s="425">
        <v>215</v>
      </c>
      <c r="B221" s="425" t="s">
        <v>29</v>
      </c>
      <c r="C221" s="425" t="s">
        <v>234</v>
      </c>
      <c r="D221" s="425">
        <v>2</v>
      </c>
      <c r="H221" s="425" t="str">
        <f t="shared" si="3"/>
        <v>2,,,</v>
      </c>
      <c r="I221" s="428">
        <v>379.3</v>
      </c>
      <c r="K221" s="425" t="str">
        <f>+IFERROR(VLOOKUP(B221,Foundation!$C$8:$E$696,3,FALSE),"")</f>
        <v>Sandy</v>
      </c>
      <c r="L221" s="425" t="str">
        <f>+IF(IFERROR(MATCH(B221,'Erection Compiled'!$C$6:$C$818,0),"B")="B","","E")</f>
        <v>E</v>
      </c>
      <c r="M221" s="425" t="str">
        <f>+IFERROR(VLOOKUP(B221,Tackwelding!$B$6:$G$367,6,FALSE),"")</f>
        <v>Done</v>
      </c>
    </row>
    <row r="222" spans="1:13" x14ac:dyDescent="0.25">
      <c r="A222" s="425">
        <v>216</v>
      </c>
      <c r="B222" s="425" t="s">
        <v>210</v>
      </c>
      <c r="C222" s="425" t="s">
        <v>233</v>
      </c>
      <c r="D222" s="425">
        <v>2</v>
      </c>
      <c r="G222" s="425">
        <v>2</v>
      </c>
      <c r="H222" s="425" t="str">
        <f t="shared" si="3"/>
        <v>2,,,2</v>
      </c>
      <c r="I222" s="428">
        <v>265.60000000000002</v>
      </c>
      <c r="K222" s="425" t="str">
        <f>+IFERROR(VLOOKUP(B222,Foundation!$C$8:$E$696,3,FALSE),"")</f>
        <v>Sandy</v>
      </c>
      <c r="L222" s="425" t="str">
        <f>+IF(IFERROR(MATCH(B222,'Erection Compiled'!$C$6:$C$818,0),"B")="B","","E")</f>
        <v>E</v>
      </c>
      <c r="M222" s="425" t="str">
        <f>+IFERROR(VLOOKUP(B222,Tackwelding!$B$6:$G$367,6,FALSE),"")</f>
        <v>Done</v>
      </c>
    </row>
    <row r="223" spans="1:13" x14ac:dyDescent="0.25">
      <c r="A223" s="425">
        <v>217</v>
      </c>
      <c r="B223" s="425" t="s">
        <v>211</v>
      </c>
      <c r="C223" s="425" t="s">
        <v>242</v>
      </c>
      <c r="D223" s="425">
        <v>1</v>
      </c>
      <c r="E223" s="425">
        <v>1</v>
      </c>
      <c r="H223" s="425" t="str">
        <f t="shared" si="3"/>
        <v>1,1,,</v>
      </c>
      <c r="I223" s="428">
        <v>492.4</v>
      </c>
      <c r="K223" s="425" t="str">
        <f>+IFERROR(VLOOKUP(B223,Foundation!$C$8:$E$696,3,FALSE),"")</f>
        <v>Sandy</v>
      </c>
      <c r="L223" s="425" t="str">
        <f>+IF(IFERROR(MATCH(B223,'Erection Compiled'!$C$6:$C$818,0),"B")="B","","E")</f>
        <v>E</v>
      </c>
      <c r="M223" s="425" t="str">
        <f>+IFERROR(VLOOKUP(B223,Tackwelding!$B$6:$G$367,6,FALSE),"")</f>
        <v>Done</v>
      </c>
    </row>
    <row r="224" spans="1:13" x14ac:dyDescent="0.25">
      <c r="A224" s="425">
        <v>218</v>
      </c>
      <c r="B224" s="425" t="s">
        <v>212</v>
      </c>
      <c r="C224" s="425" t="s">
        <v>246</v>
      </c>
      <c r="D224" s="425">
        <v>1</v>
      </c>
      <c r="H224" s="425" t="str">
        <f t="shared" si="3"/>
        <v>1,,,</v>
      </c>
      <c r="I224" s="428">
        <v>522.20000000000005</v>
      </c>
      <c r="K224" s="425" t="str">
        <f>+IFERROR(VLOOKUP(B224,Foundation!$C$8:$E$696,3,FALSE),"")</f>
        <v>Sandy</v>
      </c>
      <c r="L224" s="425" t="str">
        <f>+IF(IFERROR(MATCH(B224,'Erection Compiled'!$C$6:$C$818,0),"B")="B","","E")</f>
        <v>E</v>
      </c>
      <c r="M224" s="425" t="str">
        <f>+IFERROR(VLOOKUP(B224,Tackwelding!$B$6:$G$367,6,FALSE),"")</f>
        <v>Done</v>
      </c>
    </row>
    <row r="225" spans="1:13" x14ac:dyDescent="0.25">
      <c r="A225" s="425">
        <v>219</v>
      </c>
      <c r="B225" s="425" t="s">
        <v>213</v>
      </c>
      <c r="C225" s="425" t="s">
        <v>231</v>
      </c>
      <c r="H225" s="425" t="str">
        <f t="shared" si="3"/>
        <v>,,,</v>
      </c>
      <c r="I225" s="428">
        <v>418.9</v>
      </c>
      <c r="K225" s="425" t="str">
        <f>+IFERROR(VLOOKUP(B225,Foundation!$C$8:$E$696,3,FALSE),"")</f>
        <v>DRY</v>
      </c>
      <c r="L225" s="425" t="str">
        <f>+IF(IFERROR(MATCH(B225,'Erection Compiled'!$C$6:$C$818,0),"B")="B","","E")</f>
        <v>E</v>
      </c>
      <c r="M225" s="425" t="str">
        <f>+IFERROR(VLOOKUP(B225,Tackwelding!$B$6:$G$367,6,FALSE),"")</f>
        <v>Done</v>
      </c>
    </row>
    <row r="226" spans="1:13" x14ac:dyDescent="0.25">
      <c r="A226" s="425">
        <v>220</v>
      </c>
      <c r="B226" s="425" t="s">
        <v>214</v>
      </c>
      <c r="C226" s="425" t="s">
        <v>231</v>
      </c>
      <c r="F226" s="425">
        <v>4</v>
      </c>
      <c r="G226" s="425">
        <v>4</v>
      </c>
      <c r="H226" s="425" t="str">
        <f t="shared" si="3"/>
        <v>,,4,4</v>
      </c>
      <c r="I226" s="428">
        <v>421.7</v>
      </c>
      <c r="K226" s="425" t="str">
        <f>+IFERROR(VLOOKUP(B226,Foundation!$C$8:$E$696,3,FALSE),"")</f>
        <v>Sandy</v>
      </c>
      <c r="L226" s="425" t="str">
        <f>+IF(IFERROR(MATCH(B226,'Erection Compiled'!$C$6:$C$818,0),"B")="B","","E")</f>
        <v>E</v>
      </c>
      <c r="M226" s="425" t="str">
        <f>+IFERROR(VLOOKUP(B226,Tackwelding!$B$6:$G$367,6,FALSE),"")</f>
        <v>Done</v>
      </c>
    </row>
    <row r="227" spans="1:13" x14ac:dyDescent="0.25">
      <c r="A227" s="425">
        <v>221</v>
      </c>
      <c r="B227" s="425" t="s">
        <v>30</v>
      </c>
      <c r="C227" s="425" t="s">
        <v>245</v>
      </c>
      <c r="H227" s="425" t="str">
        <f t="shared" si="3"/>
        <v>,,,</v>
      </c>
      <c r="I227" s="428">
        <v>342.7</v>
      </c>
      <c r="K227" s="425" t="str">
        <f>+IFERROR(VLOOKUP(B227,Foundation!$C$8:$E$696,3,FALSE),"")</f>
        <v>Sandy</v>
      </c>
      <c r="L227" s="425" t="str">
        <f>+IF(IFERROR(MATCH(B227,'Erection Compiled'!$C$6:$C$818,0),"B")="B","","E")</f>
        <v>E</v>
      </c>
      <c r="M227" s="425" t="str">
        <f>+IFERROR(VLOOKUP(B227,Tackwelding!$B$6:$G$367,6,FALSE),"")</f>
        <v>Done</v>
      </c>
    </row>
    <row r="228" spans="1:13" x14ac:dyDescent="0.25">
      <c r="A228" s="425">
        <v>222</v>
      </c>
      <c r="B228" s="425" t="s">
        <v>85</v>
      </c>
      <c r="C228" s="425" t="s">
        <v>20</v>
      </c>
      <c r="H228" s="425" t="str">
        <f t="shared" si="3"/>
        <v>,,,</v>
      </c>
      <c r="I228" s="428">
        <v>386.4</v>
      </c>
      <c r="K228" s="425" t="str">
        <f>+IFERROR(VLOOKUP(B228,Foundation!$C$8:$E$696,3,FALSE),"")</f>
        <v>Sandy</v>
      </c>
      <c r="L228" s="425" t="str">
        <f>+IF(IFERROR(MATCH(B228,'Erection Compiled'!$C$6:$C$818,0),"B")="B","","E")</f>
        <v>E</v>
      </c>
      <c r="M228" s="425" t="str">
        <f>+IFERROR(VLOOKUP(B228,Tackwelding!$B$6:$G$367,6,FALSE),"")</f>
        <v>Done</v>
      </c>
    </row>
    <row r="229" spans="1:13" x14ac:dyDescent="0.25">
      <c r="A229" s="425">
        <v>223</v>
      </c>
      <c r="B229" s="425" t="s">
        <v>86</v>
      </c>
      <c r="C229" s="425" t="s">
        <v>231</v>
      </c>
      <c r="D229" s="425">
        <v>1</v>
      </c>
      <c r="E229" s="425">
        <v>1</v>
      </c>
      <c r="H229" s="425" t="str">
        <f t="shared" si="3"/>
        <v>1,1,,</v>
      </c>
      <c r="I229" s="428">
        <v>309.39999999999998</v>
      </c>
      <c r="K229" s="425" t="str">
        <f>+IFERROR(VLOOKUP(B229,Foundation!$C$8:$E$696,3,FALSE),"")</f>
        <v>Sandy</v>
      </c>
      <c r="L229" s="425" t="str">
        <f>+IF(IFERROR(MATCH(B229,'Erection Compiled'!$C$6:$C$818,0),"B")="B","","E")</f>
        <v>E</v>
      </c>
      <c r="M229" s="425" t="str">
        <f>+IFERROR(VLOOKUP(B229,Tackwelding!$B$6:$G$367,6,FALSE),"")</f>
        <v>Done</v>
      </c>
    </row>
    <row r="230" spans="1:13" x14ac:dyDescent="0.25">
      <c r="A230" s="425">
        <v>224</v>
      </c>
      <c r="B230" s="425" t="s">
        <v>87</v>
      </c>
      <c r="C230" s="425" t="s">
        <v>231</v>
      </c>
      <c r="E230" s="425">
        <v>2</v>
      </c>
      <c r="H230" s="425" t="str">
        <f t="shared" si="3"/>
        <v>,2,,</v>
      </c>
      <c r="I230" s="428">
        <v>357.8</v>
      </c>
      <c r="K230" s="425" t="str">
        <f>+IFERROR(VLOOKUP(B230,Foundation!$C$8:$E$696,3,FALSE),"")</f>
        <v>Sandy</v>
      </c>
      <c r="L230" s="425" t="str">
        <f>+IF(IFERROR(MATCH(B230,'Erection Compiled'!$C$6:$C$818,0),"B")="B","","E")</f>
        <v>E</v>
      </c>
      <c r="M230" s="425" t="str">
        <f>+IFERROR(VLOOKUP(B230,Tackwelding!$B$6:$G$367,6,FALSE),"")</f>
        <v>Done</v>
      </c>
    </row>
    <row r="231" spans="1:13" x14ac:dyDescent="0.25">
      <c r="A231" s="425">
        <v>225</v>
      </c>
      <c r="B231" s="425" t="s">
        <v>215</v>
      </c>
      <c r="C231" s="425" t="s">
        <v>232</v>
      </c>
      <c r="D231" s="425">
        <v>2</v>
      </c>
      <c r="E231" s="425">
        <v>3</v>
      </c>
      <c r="G231" s="425">
        <v>5</v>
      </c>
      <c r="H231" s="425" t="str">
        <f t="shared" si="3"/>
        <v>2,3,,5</v>
      </c>
      <c r="I231" s="428">
        <v>480.4</v>
      </c>
      <c r="K231" s="425" t="str">
        <f>+IFERROR(VLOOKUP(B231,Foundation!$C$8:$E$696,3,FALSE),"")</f>
        <v>Sandy</v>
      </c>
      <c r="L231" s="425" t="str">
        <f>+IF(IFERROR(MATCH(B231,'Erection Compiled'!$C$6:$C$818,0),"B")="B","","E")</f>
        <v>E</v>
      </c>
      <c r="M231" s="425" t="str">
        <f>+IFERROR(VLOOKUP(B231,Tackwelding!$B$6:$G$367,6,FALSE),"")</f>
        <v>Done</v>
      </c>
    </row>
    <row r="232" spans="1:13" x14ac:dyDescent="0.25">
      <c r="A232" s="425">
        <v>226</v>
      </c>
      <c r="B232" s="425" t="s">
        <v>88</v>
      </c>
      <c r="C232" s="425" t="s">
        <v>245</v>
      </c>
      <c r="G232" s="425">
        <v>1</v>
      </c>
      <c r="H232" s="425" t="str">
        <f t="shared" si="3"/>
        <v>,,,1</v>
      </c>
      <c r="I232" s="428">
        <v>350.5</v>
      </c>
      <c r="K232" s="425" t="str">
        <f>+IFERROR(VLOOKUP(B232,Foundation!$C$8:$E$696,3,FALSE),"")</f>
        <v>Sandy</v>
      </c>
      <c r="L232" s="425" t="str">
        <f>+IF(IFERROR(MATCH(B232,'Erection Compiled'!$C$6:$C$818,0),"B")="B","","E")</f>
        <v>E</v>
      </c>
      <c r="M232" s="425" t="str">
        <f>+IFERROR(VLOOKUP(B232,Tackwelding!$B$6:$G$367,6,FALSE),"")</f>
        <v/>
      </c>
    </row>
    <row r="233" spans="1:13" x14ac:dyDescent="0.25">
      <c r="A233" s="425">
        <v>227</v>
      </c>
      <c r="B233" s="425" t="s">
        <v>534</v>
      </c>
      <c r="C233" s="425" t="s">
        <v>233</v>
      </c>
      <c r="D233" s="425">
        <v>2</v>
      </c>
      <c r="E233" s="425">
        <v>2</v>
      </c>
      <c r="F233" s="425">
        <v>2</v>
      </c>
      <c r="G233" s="425">
        <v>1</v>
      </c>
      <c r="H233" s="425" t="str">
        <f t="shared" si="3"/>
        <v>2,2,2,1</v>
      </c>
      <c r="I233" s="428">
        <v>443.3</v>
      </c>
      <c r="K233" s="425" t="str">
        <f>+IFERROR(VLOOKUP(B233,Foundation!$C$8:$E$696,3,FALSE),"")</f>
        <v>Sandy</v>
      </c>
      <c r="L233" s="425" t="str">
        <f>+IF(IFERROR(MATCH(B233,'Erection Compiled'!$C$6:$C$818,0),"B")="B","","E")</f>
        <v>E</v>
      </c>
      <c r="M233" s="425" t="str">
        <f>+IFERROR(VLOOKUP(B233,Tackwelding!$B$6:$G$367,6,FALSE),"")</f>
        <v/>
      </c>
    </row>
    <row r="234" spans="1:13" x14ac:dyDescent="0.25">
      <c r="A234" s="425">
        <v>228</v>
      </c>
      <c r="B234" s="425" t="s">
        <v>216</v>
      </c>
      <c r="C234" s="425" t="s">
        <v>20</v>
      </c>
      <c r="H234" s="425" t="str">
        <f t="shared" si="3"/>
        <v>,,,</v>
      </c>
      <c r="I234" s="428">
        <v>356.7</v>
      </c>
      <c r="K234" s="425" t="str">
        <f>+IFERROR(VLOOKUP(B234,Foundation!$C$8:$E$696,3,FALSE),"")</f>
        <v>Sandy</v>
      </c>
      <c r="L234" s="425" t="str">
        <f>+IF(IFERROR(MATCH(B234,'Erection Compiled'!$C$6:$C$818,0),"B")="B","","E")</f>
        <v>E</v>
      </c>
      <c r="M234" s="425" t="str">
        <f>+IFERROR(VLOOKUP(B234,Tackwelding!$B$6:$G$367,6,FALSE),"")</f>
        <v/>
      </c>
    </row>
    <row r="235" spans="1:13" x14ac:dyDescent="0.25">
      <c r="A235" s="425">
        <v>229</v>
      </c>
      <c r="B235" s="425" t="s">
        <v>665</v>
      </c>
      <c r="C235" s="425" t="s">
        <v>231</v>
      </c>
      <c r="H235" s="425" t="str">
        <f t="shared" si="3"/>
        <v>,,,</v>
      </c>
      <c r="I235" s="428">
        <v>339.9</v>
      </c>
      <c r="K235" s="425" t="str">
        <f>+IFERROR(VLOOKUP(B235,Foundation!$C$8:$E$696,3,FALSE),"")</f>
        <v>Sandy</v>
      </c>
      <c r="L235" s="425" t="str">
        <f>+IF(IFERROR(MATCH(B235,'Erection Compiled'!$C$6:$C$818,0),"B")="B","","E")</f>
        <v>E</v>
      </c>
      <c r="M235" s="425" t="str">
        <f>+IFERROR(VLOOKUP(B235,Tackwelding!$B$6:$G$367,6,FALSE),"")</f>
        <v/>
      </c>
    </row>
    <row r="236" spans="1:13" x14ac:dyDescent="0.25">
      <c r="A236" s="425">
        <v>230</v>
      </c>
      <c r="B236" s="425" t="s">
        <v>535</v>
      </c>
      <c r="C236" s="425" t="s">
        <v>234</v>
      </c>
      <c r="H236" s="425" t="str">
        <f t="shared" si="3"/>
        <v>,,,</v>
      </c>
      <c r="I236" s="428">
        <v>500.3</v>
      </c>
      <c r="K236" s="425" t="str">
        <f>+IFERROR(VLOOKUP(B236,Foundation!$C$8:$E$696,3,FALSE),"")</f>
        <v>Sandy</v>
      </c>
      <c r="L236" s="425" t="str">
        <f>+IF(IFERROR(MATCH(B236,'Erection Compiled'!$C$6:$C$818,0),"B")="B","","E")</f>
        <v>E</v>
      </c>
      <c r="M236" s="425" t="str">
        <f>+IFERROR(VLOOKUP(B236,Tackwelding!$B$6:$G$367,6,FALSE),"")</f>
        <v>Done</v>
      </c>
    </row>
    <row r="237" spans="1:13" x14ac:dyDescent="0.25">
      <c r="A237" s="425">
        <v>231</v>
      </c>
      <c r="B237" s="425" t="s">
        <v>536</v>
      </c>
      <c r="C237" s="425" t="s">
        <v>231</v>
      </c>
      <c r="H237" s="425" t="str">
        <f t="shared" si="3"/>
        <v>,,,</v>
      </c>
      <c r="I237" s="428">
        <v>421.4</v>
      </c>
      <c r="K237" s="425" t="str">
        <f>+IFERROR(VLOOKUP(B237,Foundation!$C$8:$E$696,3,FALSE),"")</f>
        <v>Sandy</v>
      </c>
      <c r="L237" s="425" t="str">
        <f>+IF(IFERROR(MATCH(B237,'Erection Compiled'!$C$6:$C$818,0),"B")="B","","E")</f>
        <v>E</v>
      </c>
      <c r="M237" s="425" t="str">
        <f>+IFERROR(VLOOKUP(B237,Tackwelding!$B$6:$G$367,6,FALSE),"")</f>
        <v/>
      </c>
    </row>
    <row r="238" spans="1:13" x14ac:dyDescent="0.25">
      <c r="A238" s="425">
        <v>232</v>
      </c>
      <c r="B238" s="425" t="s">
        <v>537</v>
      </c>
      <c r="C238" s="425" t="s">
        <v>232</v>
      </c>
      <c r="H238" s="425" t="str">
        <f t="shared" si="3"/>
        <v>,,,</v>
      </c>
      <c r="I238" s="428">
        <v>419</v>
      </c>
      <c r="K238" s="425" t="str">
        <f>+IFERROR(VLOOKUP(B238,Foundation!$C$8:$E$696,3,FALSE),"")</f>
        <v>Sandy</v>
      </c>
      <c r="L238" s="425" t="str">
        <f>+IF(IFERROR(MATCH(B238,'Erection Compiled'!$C$6:$C$818,0),"B")="B","","E")</f>
        <v>E</v>
      </c>
      <c r="M238" s="425" t="str">
        <f>+IFERROR(VLOOKUP(B238,Tackwelding!$B$6:$G$367,6,FALSE),"")</f>
        <v/>
      </c>
    </row>
    <row r="239" spans="1:13" x14ac:dyDescent="0.25">
      <c r="A239" s="425">
        <v>233</v>
      </c>
      <c r="B239" s="425" t="s">
        <v>538</v>
      </c>
      <c r="C239" s="425" t="s">
        <v>233</v>
      </c>
      <c r="D239" s="425">
        <v>2</v>
      </c>
      <c r="E239" s="425">
        <v>2</v>
      </c>
      <c r="F239" s="425">
        <v>2</v>
      </c>
      <c r="G239" s="425">
        <v>2</v>
      </c>
      <c r="H239" s="425" t="str">
        <f t="shared" si="3"/>
        <v>2,2,2,2</v>
      </c>
      <c r="I239" s="428">
        <v>420.3</v>
      </c>
      <c r="K239" s="425" t="str">
        <f>+IFERROR(VLOOKUP(B239,Foundation!$C$8:$E$696,3,FALSE),"")</f>
        <v>Sandy</v>
      </c>
      <c r="L239" s="425" t="str">
        <f>+IF(IFERROR(MATCH(B239,'Erection Compiled'!$C$6:$C$818,0),"B")="B","","E")</f>
        <v>E</v>
      </c>
      <c r="M239" s="425" t="str">
        <f>+IFERROR(VLOOKUP(B239,Tackwelding!$B$6:$G$367,6,FALSE),"")</f>
        <v>Done</v>
      </c>
    </row>
    <row r="240" spans="1:13" x14ac:dyDescent="0.25">
      <c r="A240" s="425">
        <v>234</v>
      </c>
      <c r="B240" s="425" t="s">
        <v>539</v>
      </c>
      <c r="C240" s="425" t="s">
        <v>233</v>
      </c>
      <c r="D240" s="425">
        <v>1</v>
      </c>
      <c r="E240" s="425">
        <v>1</v>
      </c>
      <c r="G240" s="425">
        <v>1</v>
      </c>
      <c r="H240" s="425" t="str">
        <f t="shared" si="3"/>
        <v>1,1,,1</v>
      </c>
      <c r="I240" s="428">
        <v>414.9</v>
      </c>
      <c r="K240" s="425" t="str">
        <f>+IFERROR(VLOOKUP(B240,Foundation!$C$8:$E$696,3,FALSE),"")</f>
        <v>Sandy</v>
      </c>
      <c r="L240" s="425" t="str">
        <f>+IF(IFERROR(MATCH(B240,'Erection Compiled'!$C$6:$C$818,0),"B")="B","","E")</f>
        <v>E</v>
      </c>
      <c r="M240" s="425" t="str">
        <f>+IFERROR(VLOOKUP(B240,Tackwelding!$B$6:$G$367,6,FALSE),"")</f>
        <v>Done</v>
      </c>
    </row>
    <row r="241" spans="1:13" x14ac:dyDescent="0.25">
      <c r="A241" s="425">
        <v>235</v>
      </c>
      <c r="B241" s="425" t="s">
        <v>540</v>
      </c>
      <c r="C241" s="425" t="s">
        <v>234</v>
      </c>
      <c r="H241" s="425" t="str">
        <f t="shared" si="3"/>
        <v>,,,</v>
      </c>
      <c r="I241" s="428">
        <v>425.5</v>
      </c>
      <c r="K241" s="425" t="str">
        <f>+IFERROR(VLOOKUP(B241,Foundation!$C$8:$E$696,3,FALSE),"")</f>
        <v>Sandy</v>
      </c>
      <c r="L241" s="425" t="str">
        <f>+IF(IFERROR(MATCH(B241,'Erection Compiled'!$C$6:$C$818,0),"B")="B","","E")</f>
        <v>E</v>
      </c>
      <c r="M241" s="425" t="str">
        <f>+IFERROR(VLOOKUP(B241,Tackwelding!$B$6:$G$367,6,FALSE),"")</f>
        <v>Done</v>
      </c>
    </row>
    <row r="242" spans="1:13" x14ac:dyDescent="0.25">
      <c r="A242" s="425">
        <v>236</v>
      </c>
      <c r="B242" s="425" t="s">
        <v>541</v>
      </c>
      <c r="C242" s="425" t="s">
        <v>231</v>
      </c>
      <c r="H242" s="425" t="str">
        <f t="shared" si="3"/>
        <v>,,,</v>
      </c>
      <c r="I242" s="428">
        <v>412.63799999999998</v>
      </c>
      <c r="K242" s="425" t="str">
        <f>+IFERROR(VLOOKUP(B242,Foundation!$C$8:$E$696,3,FALSE),"")</f>
        <v>Sandy</v>
      </c>
      <c r="L242" s="425" t="str">
        <f>+IF(IFERROR(MATCH(B242,'Erection Compiled'!$C$6:$C$818,0),"B")="B","","E")</f>
        <v>E</v>
      </c>
      <c r="M242" s="425" t="str">
        <f>+IFERROR(VLOOKUP(B242,Tackwelding!$B$6:$G$367,6,FALSE),"")</f>
        <v>Done</v>
      </c>
    </row>
    <row r="243" spans="1:13" x14ac:dyDescent="0.25">
      <c r="A243" s="425">
        <v>237</v>
      </c>
      <c r="B243" s="425" t="s">
        <v>542</v>
      </c>
      <c r="C243" s="425" t="s">
        <v>244</v>
      </c>
      <c r="D243" s="425">
        <v>1</v>
      </c>
      <c r="E243" s="425">
        <v>1</v>
      </c>
      <c r="H243" s="425" t="str">
        <f t="shared" si="3"/>
        <v>1,1,,</v>
      </c>
      <c r="I243" s="428">
        <v>322.61</v>
      </c>
      <c r="K243" s="425" t="str">
        <f>+IFERROR(VLOOKUP(B243,Foundation!$C$8:$E$696,3,FALSE),"")</f>
        <v>Sandy</v>
      </c>
      <c r="L243" s="425" t="str">
        <f>+IF(IFERROR(MATCH(B243,'Erection Compiled'!$C$6:$C$818,0),"B")="B","","E")</f>
        <v>E</v>
      </c>
      <c r="M243" s="425" t="str">
        <f>+IFERROR(VLOOKUP(B243,Tackwelding!$B$6:$G$367,6,FALSE),"")</f>
        <v>Done</v>
      </c>
    </row>
    <row r="244" spans="1:13" x14ac:dyDescent="0.25">
      <c r="A244" s="425">
        <v>238</v>
      </c>
      <c r="B244" s="425" t="s">
        <v>552</v>
      </c>
      <c r="C244" s="425" t="s">
        <v>232</v>
      </c>
      <c r="D244" s="425">
        <v>1</v>
      </c>
      <c r="E244" s="425">
        <v>2</v>
      </c>
      <c r="H244" s="425" t="str">
        <f t="shared" si="3"/>
        <v>1,2,,</v>
      </c>
      <c r="I244" s="428">
        <v>396.2</v>
      </c>
      <c r="K244" s="425" t="str">
        <f>+IFERROR(VLOOKUP(B244,Foundation!$C$8:$E$696,3,FALSE),"")</f>
        <v>Sandy</v>
      </c>
      <c r="L244" s="425" t="str">
        <f>+IF(IFERROR(MATCH(B244,'Erection Compiled'!$C$6:$C$818,0),"B")="B","","E")</f>
        <v>E</v>
      </c>
      <c r="M244" s="425" t="str">
        <f>+IFERROR(VLOOKUP(B244,Tackwelding!$B$6:$G$367,6,FALSE),"")</f>
        <v>Done</v>
      </c>
    </row>
    <row r="245" spans="1:13" x14ac:dyDescent="0.25">
      <c r="A245" s="425">
        <v>239</v>
      </c>
      <c r="B245" s="425" t="s">
        <v>553</v>
      </c>
      <c r="C245" s="425" t="s">
        <v>20</v>
      </c>
      <c r="H245" s="425" t="str">
        <f t="shared" si="3"/>
        <v>,,,</v>
      </c>
      <c r="I245" s="428">
        <v>425.8</v>
      </c>
      <c r="K245" s="425" t="str">
        <f>+IFERROR(VLOOKUP(B245,Foundation!$C$8:$E$696,3,FALSE),"")</f>
        <v>Sandy</v>
      </c>
      <c r="L245" s="425" t="str">
        <f>+IF(IFERROR(MATCH(B245,'Erection Compiled'!$C$6:$C$818,0),"B")="B","","E")</f>
        <v>E</v>
      </c>
      <c r="M245" s="425" t="str">
        <f>+IFERROR(VLOOKUP(B245,Tackwelding!$B$6:$G$367,6,FALSE),"")</f>
        <v>Done</v>
      </c>
    </row>
    <row r="246" spans="1:13" x14ac:dyDescent="0.25">
      <c r="A246" s="425">
        <v>240</v>
      </c>
      <c r="B246" s="425" t="s">
        <v>554</v>
      </c>
      <c r="C246" s="425" t="s">
        <v>20</v>
      </c>
      <c r="D246" s="425">
        <v>1</v>
      </c>
      <c r="E246" s="425">
        <v>2</v>
      </c>
      <c r="H246" s="425" t="str">
        <f t="shared" si="3"/>
        <v>1,2,,</v>
      </c>
      <c r="I246" s="428">
        <v>401.7</v>
      </c>
      <c r="K246" s="425" t="str">
        <f>+IFERROR(VLOOKUP(B246,Foundation!$C$8:$E$696,3,FALSE),"")</f>
        <v>Sandy</v>
      </c>
      <c r="L246" s="425" t="str">
        <f>+IF(IFERROR(MATCH(B246,'Erection Compiled'!$C$6:$C$818,0),"B")="B","","E")</f>
        <v>E</v>
      </c>
      <c r="M246" s="425" t="str">
        <f>+IFERROR(VLOOKUP(B246,Tackwelding!$B$6:$G$367,6,FALSE),"")</f>
        <v>Done</v>
      </c>
    </row>
    <row r="247" spans="1:13" x14ac:dyDescent="0.25">
      <c r="A247" s="425">
        <v>241</v>
      </c>
      <c r="B247" s="425" t="s">
        <v>555</v>
      </c>
      <c r="C247" s="425" t="s">
        <v>361</v>
      </c>
      <c r="D247" s="425">
        <v>3</v>
      </c>
      <c r="E247" s="425">
        <v>1</v>
      </c>
      <c r="G247" s="425">
        <v>1</v>
      </c>
      <c r="H247" s="425" t="str">
        <f t="shared" si="3"/>
        <v>3,1,,1</v>
      </c>
      <c r="I247" s="428">
        <v>436.3</v>
      </c>
      <c r="K247" s="425" t="str">
        <f>+IFERROR(VLOOKUP(B247,Foundation!$C$8:$E$696,3,FALSE),"")</f>
        <v>Sandy</v>
      </c>
      <c r="L247" s="425" t="str">
        <f>+IF(IFERROR(MATCH(B247,'Erection Compiled'!$C$6:$C$818,0),"B")="B","","E")</f>
        <v>E</v>
      </c>
      <c r="M247" s="425" t="str">
        <f>+IFERROR(VLOOKUP(B247,Tackwelding!$B$6:$G$367,6,FALSE),"")</f>
        <v>Done</v>
      </c>
    </row>
    <row r="248" spans="1:13" x14ac:dyDescent="0.25">
      <c r="A248" s="425">
        <v>242</v>
      </c>
      <c r="B248" s="425" t="s">
        <v>556</v>
      </c>
      <c r="C248" s="425" t="s">
        <v>240</v>
      </c>
      <c r="D248" s="425">
        <v>4</v>
      </c>
      <c r="E248" s="425">
        <v>5</v>
      </c>
      <c r="F248" s="425">
        <v>6</v>
      </c>
      <c r="G248" s="425">
        <v>6</v>
      </c>
      <c r="H248" s="425" t="str">
        <f t="shared" si="3"/>
        <v>4,5,6,6</v>
      </c>
      <c r="I248" s="428">
        <v>340.8</v>
      </c>
      <c r="K248" s="425" t="str">
        <f>+IFERROR(VLOOKUP(B248,Foundation!$C$8:$E$696,3,FALSE),"")</f>
        <v>Sandy</v>
      </c>
      <c r="L248" s="425" t="str">
        <f>+IF(IFERROR(MATCH(B248,'Erection Compiled'!$C$6:$C$818,0),"B")="B","","E")</f>
        <v>E</v>
      </c>
      <c r="M248" s="425" t="str">
        <f>+IFERROR(VLOOKUP(B248,Tackwelding!$B$6:$G$367,6,FALSE),"")</f>
        <v>Done</v>
      </c>
    </row>
    <row r="249" spans="1:13" x14ac:dyDescent="0.25">
      <c r="A249" s="425">
        <v>243</v>
      </c>
      <c r="B249" s="425" t="s">
        <v>557</v>
      </c>
      <c r="C249" s="425" t="s">
        <v>231</v>
      </c>
      <c r="F249" s="425">
        <v>1</v>
      </c>
      <c r="G249" s="425">
        <v>1</v>
      </c>
      <c r="H249" s="425" t="str">
        <f t="shared" si="3"/>
        <v>,,1,1</v>
      </c>
      <c r="I249" s="428">
        <v>447.8</v>
      </c>
      <c r="K249" s="425" t="str">
        <f>+IFERROR(VLOOKUP(B249,Foundation!$C$8:$E$696,3,FALSE),"")</f>
        <v>Sandy</v>
      </c>
      <c r="L249" s="425" t="str">
        <f>+IF(IFERROR(MATCH(B249,'Erection Compiled'!$C$6:$C$818,0),"B")="B","","E")</f>
        <v>E</v>
      </c>
      <c r="M249" s="425" t="str">
        <f>+IFERROR(VLOOKUP(B249,Tackwelding!$B$6:$G$367,6,FALSE),"")</f>
        <v>Done</v>
      </c>
    </row>
    <row r="250" spans="1:13" x14ac:dyDescent="0.25">
      <c r="A250" s="425">
        <v>244</v>
      </c>
      <c r="B250" s="425" t="s">
        <v>558</v>
      </c>
      <c r="C250" s="425" t="s">
        <v>239</v>
      </c>
      <c r="D250" s="425">
        <v>1</v>
      </c>
      <c r="G250" s="425">
        <v>2</v>
      </c>
      <c r="H250" s="425" t="str">
        <f t="shared" si="3"/>
        <v>1,,,2</v>
      </c>
      <c r="I250" s="428">
        <v>382.3</v>
      </c>
      <c r="K250" s="425" t="str">
        <f>+IFERROR(VLOOKUP(B250,Foundation!$C$8:$E$696,3,FALSE),"")</f>
        <v>Sandy</v>
      </c>
      <c r="L250" s="425" t="str">
        <f>+IF(IFERROR(MATCH(B250,'Erection Compiled'!$C$6:$C$818,0),"B")="B","","E")</f>
        <v>E</v>
      </c>
      <c r="M250" s="425" t="str">
        <f>+IFERROR(VLOOKUP(B250,Tackwelding!$B$6:$G$367,6,FALSE),"")</f>
        <v>Done</v>
      </c>
    </row>
    <row r="251" spans="1:13" x14ac:dyDescent="0.25">
      <c r="A251" s="425">
        <v>245</v>
      </c>
      <c r="B251" s="425" t="s">
        <v>559</v>
      </c>
      <c r="C251" s="425" t="s">
        <v>232</v>
      </c>
      <c r="D251" s="425">
        <v>1</v>
      </c>
      <c r="H251" s="425" t="str">
        <f t="shared" si="3"/>
        <v>1,,,</v>
      </c>
      <c r="I251" s="428">
        <v>384.7</v>
      </c>
      <c r="K251" s="425" t="str">
        <f>+IFERROR(VLOOKUP(B251,Foundation!$C$8:$E$696,3,FALSE),"")</f>
        <v>Sandy</v>
      </c>
      <c r="L251" s="425" t="str">
        <f>+IF(IFERROR(MATCH(B251,'Erection Compiled'!$C$6:$C$818,0),"B")="B","","E")</f>
        <v>E</v>
      </c>
      <c r="M251" s="425" t="str">
        <f>+IFERROR(VLOOKUP(B251,Tackwelding!$B$6:$G$367,6,FALSE),"")</f>
        <v>Done</v>
      </c>
    </row>
    <row r="252" spans="1:13" x14ac:dyDescent="0.25">
      <c r="A252" s="425">
        <v>246</v>
      </c>
      <c r="B252" s="425" t="s">
        <v>560</v>
      </c>
      <c r="C252" s="425" t="s">
        <v>232</v>
      </c>
      <c r="F252" s="425">
        <v>1</v>
      </c>
      <c r="G252" s="425">
        <v>3</v>
      </c>
      <c r="H252" s="425" t="str">
        <f t="shared" si="3"/>
        <v>,,1,3</v>
      </c>
      <c r="I252" s="428">
        <v>407.4</v>
      </c>
      <c r="K252" s="425" t="str">
        <f>+IFERROR(VLOOKUP(B252,Foundation!$C$8:$E$696,3,FALSE),"")</f>
        <v>Sandy</v>
      </c>
      <c r="L252" s="425" t="str">
        <f>+IF(IFERROR(MATCH(B252,'Erection Compiled'!$C$6:$C$818,0),"B")="B","","E")</f>
        <v>E</v>
      </c>
      <c r="M252" s="425" t="str">
        <f>+IFERROR(VLOOKUP(B252,Tackwelding!$B$6:$G$367,6,FALSE),"")</f>
        <v>Done</v>
      </c>
    </row>
    <row r="253" spans="1:13" x14ac:dyDescent="0.25">
      <c r="A253" s="425">
        <v>247</v>
      </c>
      <c r="B253" s="425" t="s">
        <v>561</v>
      </c>
      <c r="C253" s="425" t="s">
        <v>231</v>
      </c>
      <c r="H253" s="425" t="str">
        <f t="shared" si="3"/>
        <v>,,,</v>
      </c>
      <c r="I253" s="428">
        <v>414.2</v>
      </c>
      <c r="K253" s="425" t="str">
        <f>+IFERROR(VLOOKUP(B253,Foundation!$C$8:$E$696,3,FALSE),"")</f>
        <v>Sandy</v>
      </c>
      <c r="L253" s="425" t="str">
        <f>+IF(IFERROR(MATCH(B253,'Erection Compiled'!$C$6:$C$818,0),"B")="B","","E")</f>
        <v>E</v>
      </c>
      <c r="M253" s="425" t="str">
        <f>+IFERROR(VLOOKUP(B253,Tackwelding!$B$6:$G$367,6,FALSE),"")</f>
        <v>Done</v>
      </c>
    </row>
    <row r="254" spans="1:13" x14ac:dyDescent="0.25">
      <c r="A254" s="425">
        <v>248</v>
      </c>
      <c r="B254" s="425" t="s">
        <v>562</v>
      </c>
      <c r="C254" s="425" t="s">
        <v>231</v>
      </c>
      <c r="H254" s="425" t="str">
        <f t="shared" si="3"/>
        <v>,,,</v>
      </c>
      <c r="I254" s="428">
        <v>256.39999999999998</v>
      </c>
      <c r="K254" s="425" t="str">
        <f>+IFERROR(VLOOKUP(B254,Foundation!$C$8:$E$696,3,FALSE),"")</f>
        <v>Sandy</v>
      </c>
      <c r="L254" s="425" t="str">
        <f>+IF(IFERROR(MATCH(B254,'Erection Compiled'!$C$6:$C$818,0),"B")="B","","E")</f>
        <v>E</v>
      </c>
      <c r="M254" s="425" t="str">
        <f>+IFERROR(VLOOKUP(B254,Tackwelding!$B$6:$G$367,6,FALSE),"")</f>
        <v>Done</v>
      </c>
    </row>
    <row r="255" spans="1:13" x14ac:dyDescent="0.25">
      <c r="A255" s="425">
        <v>249</v>
      </c>
      <c r="B255" s="425" t="s">
        <v>563</v>
      </c>
      <c r="C255" s="425" t="s">
        <v>233</v>
      </c>
      <c r="G255" s="425">
        <v>1</v>
      </c>
      <c r="H255" s="425" t="str">
        <f t="shared" si="3"/>
        <v>,,,1</v>
      </c>
      <c r="I255" s="428">
        <v>403.8</v>
      </c>
      <c r="K255" s="425" t="str">
        <f>+IFERROR(VLOOKUP(B255,Foundation!$C$8:$E$696,3,FALSE),"")</f>
        <v>Sandy</v>
      </c>
      <c r="L255" s="425" t="str">
        <f>+IF(IFERROR(MATCH(B255,'Erection Compiled'!$C$6:$C$818,0),"B")="B","","E")</f>
        <v>E</v>
      </c>
      <c r="M255" s="425" t="str">
        <f>+IFERROR(VLOOKUP(B255,Tackwelding!$B$6:$G$367,6,FALSE),"")</f>
        <v>Done</v>
      </c>
    </row>
    <row r="256" spans="1:13" x14ac:dyDescent="0.25">
      <c r="A256" s="425">
        <v>250</v>
      </c>
      <c r="B256" s="425" t="s">
        <v>564</v>
      </c>
      <c r="C256" s="425" t="s">
        <v>231</v>
      </c>
      <c r="D256" s="425">
        <v>2</v>
      </c>
      <c r="E256" s="425">
        <v>1</v>
      </c>
      <c r="G256" s="425">
        <v>2</v>
      </c>
      <c r="H256" s="425" t="str">
        <f t="shared" si="3"/>
        <v>2,1,,2</v>
      </c>
      <c r="I256" s="428">
        <v>396.7</v>
      </c>
      <c r="K256" s="425" t="str">
        <f>+IFERROR(VLOOKUP(B256,Foundation!$C$8:$E$696,3,FALSE),"")</f>
        <v>Sandy</v>
      </c>
      <c r="L256" s="425" t="str">
        <f>+IF(IFERROR(MATCH(B256,'Erection Compiled'!$C$6:$C$818,0),"B")="B","","E")</f>
        <v>E</v>
      </c>
      <c r="M256" s="425" t="str">
        <f>+IFERROR(VLOOKUP(B256,Tackwelding!$B$6:$G$367,6,FALSE),"")</f>
        <v>Done</v>
      </c>
    </row>
    <row r="257" spans="1:13" x14ac:dyDescent="0.25">
      <c r="A257" s="425">
        <v>251</v>
      </c>
      <c r="B257" s="425" t="s">
        <v>565</v>
      </c>
      <c r="C257" s="425" t="s">
        <v>242</v>
      </c>
      <c r="H257" s="425" t="str">
        <f t="shared" si="3"/>
        <v>,,,</v>
      </c>
      <c r="I257" s="428">
        <v>403.9</v>
      </c>
      <c r="K257" s="425" t="str">
        <f>+IFERROR(VLOOKUP(B257,Foundation!$C$8:$E$696,3,FALSE),"")</f>
        <v>Sandy</v>
      </c>
      <c r="L257" s="425" t="str">
        <f>+IF(IFERROR(MATCH(B257,'Erection Compiled'!$C$6:$C$818,0),"B")="B","","E")</f>
        <v>E</v>
      </c>
      <c r="M257" s="425" t="str">
        <f>+IFERROR(VLOOKUP(B257,Tackwelding!$B$6:$G$367,6,FALSE),"")</f>
        <v>Done</v>
      </c>
    </row>
    <row r="258" spans="1:13" x14ac:dyDescent="0.25">
      <c r="A258" s="425">
        <v>252</v>
      </c>
      <c r="B258" s="425" t="s">
        <v>566</v>
      </c>
      <c r="C258" s="425" t="s">
        <v>20</v>
      </c>
      <c r="F258" s="425">
        <v>3</v>
      </c>
      <c r="G258" s="425">
        <v>3</v>
      </c>
      <c r="H258" s="425" t="str">
        <f t="shared" si="3"/>
        <v>,,3,3</v>
      </c>
      <c r="I258" s="428">
        <v>346</v>
      </c>
      <c r="K258" s="425" t="str">
        <f>+IFERROR(VLOOKUP(B258,Foundation!$C$8:$E$696,3,FALSE),"")</f>
        <v>Sandy</v>
      </c>
      <c r="L258" s="425" t="str">
        <f>+IF(IFERROR(MATCH(B258,'Erection Compiled'!$C$6:$C$818,0),"B")="B","","E")</f>
        <v>E</v>
      </c>
      <c r="M258" s="425" t="str">
        <f>+IFERROR(VLOOKUP(B258,Tackwelding!$B$6:$G$367,6,FALSE),"")</f>
        <v>Done</v>
      </c>
    </row>
    <row r="259" spans="1:13" x14ac:dyDescent="0.25">
      <c r="A259" s="425">
        <v>253</v>
      </c>
      <c r="B259" s="425" t="s">
        <v>567</v>
      </c>
      <c r="C259" s="425" t="s">
        <v>231</v>
      </c>
      <c r="D259" s="425">
        <v>1</v>
      </c>
      <c r="G259" s="425">
        <v>1</v>
      </c>
      <c r="H259" s="425" t="str">
        <f t="shared" si="3"/>
        <v>1,,,1</v>
      </c>
      <c r="I259" s="428">
        <v>475.8</v>
      </c>
      <c r="K259" s="425" t="str">
        <f>+IFERROR(VLOOKUP(B259,Foundation!$C$8:$E$696,3,FALSE),"")</f>
        <v>Sandy</v>
      </c>
      <c r="L259" s="425" t="str">
        <f>+IF(IFERROR(MATCH(B259,'Erection Compiled'!$C$6:$C$818,0),"B")="B","","E")</f>
        <v>E</v>
      </c>
      <c r="M259" s="425" t="str">
        <f>+IFERROR(VLOOKUP(B259,Tackwelding!$B$6:$G$367,6,FALSE),"")</f>
        <v>Done</v>
      </c>
    </row>
    <row r="260" spans="1:13" x14ac:dyDescent="0.25">
      <c r="A260" s="425">
        <v>254</v>
      </c>
      <c r="B260" s="425" t="s">
        <v>568</v>
      </c>
      <c r="C260" s="425" t="s">
        <v>231</v>
      </c>
      <c r="E260" s="425">
        <v>1</v>
      </c>
      <c r="H260" s="425" t="str">
        <f t="shared" si="3"/>
        <v>,1,,</v>
      </c>
      <c r="I260" s="428">
        <v>363.7</v>
      </c>
      <c r="K260" s="425" t="str">
        <f>+IFERROR(VLOOKUP(B260,Foundation!$C$8:$E$696,3,FALSE),"")</f>
        <v>DRY</v>
      </c>
      <c r="L260" s="425" t="str">
        <f>+IF(IFERROR(MATCH(B260,'Erection Compiled'!$C$6:$C$818,0),"B")="B","","E")</f>
        <v>E</v>
      </c>
      <c r="M260" s="425" t="str">
        <f>+IFERROR(VLOOKUP(B260,Tackwelding!$B$6:$G$367,6,FALSE),"")</f>
        <v>Done</v>
      </c>
    </row>
    <row r="261" spans="1:13" x14ac:dyDescent="0.25">
      <c r="A261" s="425">
        <v>255</v>
      </c>
      <c r="B261" s="425" t="s">
        <v>569</v>
      </c>
      <c r="C261" s="425" t="s">
        <v>20</v>
      </c>
      <c r="D261" s="425">
        <v>1</v>
      </c>
      <c r="E261" s="425">
        <v>1</v>
      </c>
      <c r="H261" s="425" t="str">
        <f t="shared" si="3"/>
        <v>1,1,,</v>
      </c>
      <c r="I261" s="428">
        <v>431.8</v>
      </c>
      <c r="K261" s="425" t="str">
        <f>+IFERROR(VLOOKUP(B261,Foundation!$C$8:$E$696,3,FALSE),"")</f>
        <v>Sandy</v>
      </c>
      <c r="L261" s="425" t="str">
        <f>+IF(IFERROR(MATCH(B261,'Erection Compiled'!$C$6:$C$818,0),"B")="B","","E")</f>
        <v>E</v>
      </c>
      <c r="M261" s="425" t="str">
        <f>+IFERROR(VLOOKUP(B261,Tackwelding!$B$6:$G$367,6,FALSE),"")</f>
        <v>Done</v>
      </c>
    </row>
    <row r="262" spans="1:13" x14ac:dyDescent="0.25">
      <c r="A262" s="425">
        <v>256</v>
      </c>
      <c r="B262" s="425" t="s">
        <v>570</v>
      </c>
      <c r="C262" s="425" t="s">
        <v>20</v>
      </c>
      <c r="H262" s="425" t="str">
        <f t="shared" si="3"/>
        <v>,,,</v>
      </c>
      <c r="I262" s="428">
        <v>405.3</v>
      </c>
      <c r="K262" s="425" t="str">
        <f>+IFERROR(VLOOKUP(B262,Foundation!$C$8:$E$696,3,FALSE),"")</f>
        <v>DRY</v>
      </c>
      <c r="L262" s="425" t="str">
        <f>+IF(IFERROR(MATCH(B262,'Erection Compiled'!$C$6:$C$818,0),"B")="B","","E")</f>
        <v>E</v>
      </c>
      <c r="M262" s="425" t="str">
        <f>+IFERROR(VLOOKUP(B262,Tackwelding!$B$6:$G$367,6,FALSE),"")</f>
        <v>Done</v>
      </c>
    </row>
    <row r="263" spans="1:13" x14ac:dyDescent="0.25">
      <c r="A263" s="425">
        <v>257</v>
      </c>
      <c r="B263" s="425" t="s">
        <v>217</v>
      </c>
      <c r="C263" s="425" t="s">
        <v>20</v>
      </c>
      <c r="H263" s="425" t="str">
        <f t="shared" si="3"/>
        <v>,,,</v>
      </c>
      <c r="I263" s="428">
        <v>427.8</v>
      </c>
      <c r="K263" s="425" t="str">
        <f>+IFERROR(VLOOKUP(B263,Foundation!$C$8:$E$696,3,FALSE),"")</f>
        <v>Sandy</v>
      </c>
      <c r="L263" s="425" t="str">
        <f>+IF(IFERROR(MATCH(B263,'Erection Compiled'!$C$6:$C$818,0),"B")="B","","E")</f>
        <v>E</v>
      </c>
      <c r="M263" s="425" t="str">
        <f>+IFERROR(VLOOKUP(B263,Tackwelding!$B$6:$G$367,6,FALSE),"")</f>
        <v>Done</v>
      </c>
    </row>
    <row r="264" spans="1:13" x14ac:dyDescent="0.25">
      <c r="A264" s="425">
        <v>258</v>
      </c>
      <c r="B264" s="425" t="s">
        <v>571</v>
      </c>
      <c r="C264" s="425" t="s">
        <v>20</v>
      </c>
      <c r="H264" s="425" t="str">
        <f t="shared" si="3"/>
        <v>,,,</v>
      </c>
      <c r="I264" s="425">
        <v>389.8</v>
      </c>
      <c r="K264" s="425" t="str">
        <f>+IFERROR(VLOOKUP(B264,Foundation!$C$8:$E$696,3,FALSE),"")</f>
        <v>Sandy</v>
      </c>
      <c r="L264" s="425" t="str">
        <f>+IF(IFERROR(MATCH(B264,'Erection Compiled'!$C$6:$C$818,0),"B")="B","","E")</f>
        <v>E</v>
      </c>
      <c r="M264" s="425" t="str">
        <f>+IFERROR(VLOOKUP(B264,Tackwelding!$B$6:$G$367,6,FALSE),"")</f>
        <v>Done</v>
      </c>
    </row>
    <row r="265" spans="1:13" x14ac:dyDescent="0.25">
      <c r="A265" s="425">
        <v>259</v>
      </c>
      <c r="B265" s="425" t="s">
        <v>572</v>
      </c>
      <c r="C265" s="425" t="s">
        <v>233</v>
      </c>
      <c r="D265" s="425">
        <v>1</v>
      </c>
      <c r="H265" s="425" t="str">
        <f t="shared" ref="H265:H268" si="4">+CONCATENATE(D265,",",E265,",",F265,",",G265)</f>
        <v>1,,,</v>
      </c>
      <c r="I265" s="425">
        <v>449.5</v>
      </c>
      <c r="K265" s="425" t="str">
        <f>+IFERROR(VLOOKUP(B265,Foundation!$C$8:$E$696,3,FALSE),"")</f>
        <v>Sandy</v>
      </c>
      <c r="L265" s="425" t="str">
        <f>+IF(IFERROR(MATCH(B265,'Erection Compiled'!$C$6:$C$818,0),"B")="B","","E")</f>
        <v>E</v>
      </c>
      <c r="M265" s="425" t="str">
        <f>+IFERROR(VLOOKUP(B265,Tackwelding!$B$6:$G$367,6,FALSE),"")</f>
        <v/>
      </c>
    </row>
    <row r="266" spans="1:13" x14ac:dyDescent="0.25">
      <c r="A266" s="425">
        <v>260</v>
      </c>
      <c r="B266" s="425" t="s">
        <v>573</v>
      </c>
      <c r="C266" s="425" t="s">
        <v>233</v>
      </c>
      <c r="H266" s="425" t="str">
        <f t="shared" si="4"/>
        <v>,,,</v>
      </c>
      <c r="I266" s="425">
        <v>388</v>
      </c>
      <c r="K266" s="425" t="str">
        <f>+IFERROR(VLOOKUP(B266,Foundation!$C$8:$E$696,3,FALSE),"")</f>
        <v>Sandy</v>
      </c>
      <c r="L266" s="425" t="str">
        <f>+IF(IFERROR(MATCH(B266,'Erection Compiled'!$C$6:$C$818,0),"B")="B","","E")</f>
        <v>E</v>
      </c>
      <c r="M266" s="425" t="str">
        <f>+IFERROR(VLOOKUP(B266,Tackwelding!$B$6:$G$367,6,FALSE),"")</f>
        <v/>
      </c>
    </row>
    <row r="267" spans="1:13" x14ac:dyDescent="0.25">
      <c r="A267" s="425">
        <v>261</v>
      </c>
      <c r="B267" s="425" t="s">
        <v>574</v>
      </c>
      <c r="C267" s="425" t="s">
        <v>20</v>
      </c>
      <c r="D267" s="425">
        <v>3</v>
      </c>
      <c r="E267" s="425">
        <v>3</v>
      </c>
      <c r="H267" s="425" t="str">
        <f t="shared" si="4"/>
        <v>3,3,,</v>
      </c>
      <c r="I267" s="425">
        <v>346.3</v>
      </c>
      <c r="K267" s="425" t="str">
        <f>+IFERROR(VLOOKUP(B267,Foundation!$C$8:$E$696,3,FALSE),"")</f>
        <v>Sandy</v>
      </c>
      <c r="L267" s="425" t="str">
        <f>+IF(IFERROR(MATCH(B267,'Erection Compiled'!$C$6:$C$818,0),"B")="B","","E")</f>
        <v>E</v>
      </c>
      <c r="M267" s="425" t="str">
        <f>+IFERROR(VLOOKUP(B267,Tackwelding!$B$6:$G$367,6,FALSE),"")</f>
        <v/>
      </c>
    </row>
    <row r="268" spans="1:13" x14ac:dyDescent="0.25">
      <c r="A268" s="425">
        <v>262</v>
      </c>
      <c r="B268" s="425" t="s">
        <v>575</v>
      </c>
      <c r="C268" s="425" t="s">
        <v>20</v>
      </c>
      <c r="D268" s="425">
        <v>2</v>
      </c>
      <c r="E268" s="425">
        <v>3</v>
      </c>
      <c r="G268" s="425">
        <v>1</v>
      </c>
      <c r="H268" s="425" t="str">
        <f t="shared" si="4"/>
        <v>2,3,,1</v>
      </c>
      <c r="I268" s="425">
        <v>444.8</v>
      </c>
      <c r="K268" s="425" t="str">
        <f>+IFERROR(VLOOKUP(B268,Foundation!$C$8:$E$696,3,FALSE),"")</f>
        <v>Sandy</v>
      </c>
      <c r="L268" s="425" t="str">
        <f>+IF(IFERROR(MATCH(B268,'Erection Compiled'!$C$6:$C$818,0),"B")="B","","E")</f>
        <v>E</v>
      </c>
      <c r="M268" s="425" t="str">
        <f>+IFERROR(VLOOKUP(B268,Tackwelding!$B$6:$G$367,6,FALSE),"")</f>
        <v/>
      </c>
    </row>
    <row r="269" spans="1:13" x14ac:dyDescent="0.25">
      <c r="A269" s="425">
        <v>263</v>
      </c>
      <c r="B269" s="425" t="s">
        <v>666</v>
      </c>
      <c r="C269" s="425" t="s">
        <v>243</v>
      </c>
      <c r="D269" s="425" t="s">
        <v>871</v>
      </c>
      <c r="E269" s="425" t="s">
        <v>649</v>
      </c>
      <c r="F269" s="425" t="s">
        <v>649</v>
      </c>
      <c r="G269" s="425">
        <v>0</v>
      </c>
      <c r="H269" s="425" t="str">
        <f>+CONCATENATE(D269,",",E269,",",F269,",",G269)</f>
        <v>0,1,1,0</v>
      </c>
      <c r="I269" s="428">
        <v>383.9</v>
      </c>
      <c r="K269" s="425" t="str">
        <f>+IFERROR(VLOOKUP(B269,Foundation!$C$8:$E$696,3,FALSE),"")</f>
        <v>Sandy</v>
      </c>
      <c r="L269" s="425" t="str">
        <f>+IF(IFERROR(MATCH(B269,'Erection Compiled'!$C$6:$C$818,0),"B")="B","","E")</f>
        <v>E</v>
      </c>
      <c r="M269" s="425" t="str">
        <f>+IFERROR(VLOOKUP(B269,Tackwelding!$B$6:$G$367,6,FALSE),"")</f>
        <v>Done</v>
      </c>
    </row>
    <row r="270" spans="1:13" x14ac:dyDescent="0.25">
      <c r="A270" s="425">
        <v>264</v>
      </c>
      <c r="B270" s="425" t="s">
        <v>667</v>
      </c>
      <c r="C270" s="425" t="s">
        <v>231</v>
      </c>
      <c r="D270" s="425">
        <v>0</v>
      </c>
      <c r="E270" s="425">
        <v>0</v>
      </c>
      <c r="F270" s="425">
        <v>1</v>
      </c>
      <c r="G270" s="425">
        <v>0</v>
      </c>
      <c r="H270" s="425" t="str">
        <f>+CONCATENATE(D270,",",E270,",",F270,",",G270)</f>
        <v>0,0,1,0</v>
      </c>
      <c r="I270" s="428">
        <v>384.3</v>
      </c>
      <c r="J270" s="427"/>
      <c r="K270" s="425" t="str">
        <f>+IFERROR(VLOOKUP(B270,Foundation!$C$8:$E$696,3,FALSE),"")</f>
        <v>Sandy</v>
      </c>
      <c r="L270" s="425" t="str">
        <f>+IF(IFERROR(MATCH(B270,'Erection Compiled'!$C$6:$C$818,0),"B")="B","","E")</f>
        <v>E</v>
      </c>
      <c r="M270" s="425" t="str">
        <f>+IFERROR(VLOOKUP(B270,Tackwelding!$B$6:$G$367,6,FALSE),"")</f>
        <v>Done</v>
      </c>
    </row>
    <row r="271" spans="1:13" x14ac:dyDescent="0.25">
      <c r="A271" s="425">
        <v>265</v>
      </c>
      <c r="B271" s="425" t="s">
        <v>668</v>
      </c>
      <c r="C271" s="425" t="s">
        <v>231</v>
      </c>
      <c r="D271" s="425">
        <v>0</v>
      </c>
      <c r="E271" s="425">
        <v>0</v>
      </c>
      <c r="F271" s="425">
        <v>0</v>
      </c>
      <c r="G271" s="425">
        <v>0</v>
      </c>
      <c r="H271" s="425" t="str">
        <f t="shared" ref="H271" si="5">+CONCATENATE(D271,",",E271,",",F271,",",G271)</f>
        <v>0,0,0,0</v>
      </c>
      <c r="I271" s="425">
        <v>359</v>
      </c>
      <c r="K271" s="425" t="str">
        <f>+IFERROR(VLOOKUP(B271,Foundation!$C$8:$E$696,3,FALSE),"")</f>
        <v>Sandy</v>
      </c>
      <c r="L271" s="425" t="str">
        <f>+IF(IFERROR(MATCH(B271,'Erection Compiled'!$C$6:$C$818,0),"B")="B","","E")</f>
        <v>E</v>
      </c>
      <c r="M271" s="425" t="str">
        <f>+IFERROR(VLOOKUP(B271,Tackwelding!$B$6:$G$367,6,FALSE),"")</f>
        <v>Done</v>
      </c>
    </row>
    <row r="272" spans="1:13" x14ac:dyDescent="0.25">
      <c r="A272" s="425">
        <v>266</v>
      </c>
      <c r="B272" s="425" t="s">
        <v>669</v>
      </c>
      <c r="C272" s="425" t="s">
        <v>231</v>
      </c>
      <c r="D272" s="425">
        <v>2</v>
      </c>
      <c r="E272" s="425">
        <v>0</v>
      </c>
      <c r="F272" s="425">
        <v>0</v>
      </c>
      <c r="G272" s="425">
        <v>1</v>
      </c>
      <c r="H272" s="425" t="str">
        <f t="shared" ref="H272" si="6">+CONCATENATE(D272,",",E272,",",F272,",",G272)</f>
        <v>2,0,0,1</v>
      </c>
      <c r="I272" s="428">
        <v>334</v>
      </c>
      <c r="K272" s="425" t="str">
        <f>+IFERROR(VLOOKUP(B272,Foundation!$C$8:$E$696,3,FALSE),"")</f>
        <v>Sandy</v>
      </c>
      <c r="L272" s="425" t="str">
        <f>+IF(IFERROR(MATCH(B272,'Erection Compiled'!$C$6:$C$818,0),"B")="B","","E")</f>
        <v>E</v>
      </c>
      <c r="M272" s="425" t="str">
        <f>+IFERROR(VLOOKUP(B272,Tackwelding!$B$6:$G$367,6,FALSE),"")</f>
        <v>Done</v>
      </c>
    </row>
    <row r="273" spans="1:13" x14ac:dyDescent="0.25">
      <c r="A273" s="425">
        <v>267</v>
      </c>
      <c r="B273" s="425" t="s">
        <v>670</v>
      </c>
      <c r="C273" s="425" t="s">
        <v>233</v>
      </c>
      <c r="D273" s="425">
        <v>4</v>
      </c>
      <c r="E273" s="425">
        <v>3</v>
      </c>
      <c r="F273" s="425">
        <v>3</v>
      </c>
      <c r="G273" s="425">
        <v>3</v>
      </c>
      <c r="H273" s="425" t="str">
        <f t="shared" ref="H273" si="7">+CONCATENATE(D273,",",E273,",",F273,",",G273)</f>
        <v>4,3,3,3</v>
      </c>
      <c r="I273" s="428">
        <v>395</v>
      </c>
      <c r="K273" s="425" t="str">
        <f>+IFERROR(VLOOKUP(B273,Foundation!$C$8:$E$696,3,FALSE),"")</f>
        <v>Sandy</v>
      </c>
      <c r="L273" s="425" t="str">
        <f>+IF(IFERROR(MATCH(B273,'Erection Compiled'!$C$6:$C$818,0),"B")="B","","E")</f>
        <v>E</v>
      </c>
      <c r="M273" s="425" t="str">
        <f>+IFERROR(VLOOKUP(B273,Tackwelding!$B$6:$G$367,6,FALSE),"")</f>
        <v>Done</v>
      </c>
    </row>
    <row r="274" spans="1:13" x14ac:dyDescent="0.25">
      <c r="A274" s="425">
        <v>268</v>
      </c>
      <c r="B274" s="425" t="s">
        <v>671</v>
      </c>
      <c r="C274" s="425" t="s">
        <v>233</v>
      </c>
      <c r="D274" s="425">
        <v>1</v>
      </c>
      <c r="E274" s="425">
        <v>3</v>
      </c>
      <c r="F274" s="425">
        <v>0</v>
      </c>
      <c r="G274" s="425">
        <v>0</v>
      </c>
      <c r="H274" s="425" t="str">
        <f t="shared" ref="H274" si="8">+CONCATENATE(D274,",",E274,",",F274,",",G274)</f>
        <v>1,3,0,0</v>
      </c>
      <c r="I274" s="428">
        <v>355</v>
      </c>
      <c r="K274" s="425" t="str">
        <f>+IFERROR(VLOOKUP(B274,Foundation!$C$8:$E$696,3,FALSE),"")</f>
        <v>Sandy</v>
      </c>
      <c r="L274" s="425" t="str">
        <f>+IF(IFERROR(MATCH(B274,'Erection Compiled'!$C$6:$C$818,0),"B")="B","","E")</f>
        <v>E</v>
      </c>
      <c r="M274" s="425" t="str">
        <f>+IFERROR(VLOOKUP(B274,Tackwelding!$B$6:$G$367,6,FALSE),"")</f>
        <v>Done</v>
      </c>
    </row>
    <row r="275" spans="1:13" x14ac:dyDescent="0.25">
      <c r="A275" s="425">
        <v>269</v>
      </c>
      <c r="B275" s="425" t="s">
        <v>672</v>
      </c>
      <c r="C275" s="425" t="s">
        <v>243</v>
      </c>
      <c r="D275" s="425">
        <v>1</v>
      </c>
      <c r="E275" s="425">
        <v>0</v>
      </c>
      <c r="F275" s="425">
        <v>0</v>
      </c>
      <c r="G275" s="425">
        <v>1</v>
      </c>
      <c r="H275" s="425" t="str">
        <f t="shared" ref="H275" si="9">+CONCATENATE(D275,",",E275,",",F275,",",G275)</f>
        <v>1,0,0,1</v>
      </c>
      <c r="I275" s="428">
        <v>485</v>
      </c>
      <c r="K275" s="425" t="str">
        <f>+IFERROR(VLOOKUP(B275,Foundation!$C$8:$E$696,3,FALSE),"")</f>
        <v>Sandy</v>
      </c>
      <c r="L275" s="425" t="str">
        <f>+IF(IFERROR(MATCH(B275,'Erection Compiled'!$C$6:$C$818,0),"B")="B","","E")</f>
        <v>E</v>
      </c>
      <c r="M275" s="425" t="str">
        <f>+IFERROR(VLOOKUP(B275,Tackwelding!$B$6:$G$367,6,FALSE),"")</f>
        <v>Done</v>
      </c>
    </row>
    <row r="276" spans="1:13" x14ac:dyDescent="0.25">
      <c r="A276" s="425">
        <v>270</v>
      </c>
      <c r="B276" s="425" t="s">
        <v>673</v>
      </c>
      <c r="C276" s="425" t="s">
        <v>233</v>
      </c>
      <c r="D276" s="425">
        <v>0</v>
      </c>
      <c r="E276" s="425">
        <v>0</v>
      </c>
      <c r="F276" s="425">
        <v>0</v>
      </c>
      <c r="G276" s="425">
        <v>0</v>
      </c>
      <c r="H276" s="425" t="str">
        <f t="shared" ref="H276" si="10">+CONCATENATE(D276,",",E276,",",F276,",",G276)</f>
        <v>0,0,0,0</v>
      </c>
      <c r="I276" s="428">
        <v>473</v>
      </c>
      <c r="K276" s="425" t="str">
        <f>+IFERROR(VLOOKUP(B276,Foundation!$C$8:$E$696,3,FALSE),"")</f>
        <v>Sandy</v>
      </c>
      <c r="L276" s="425" t="str">
        <f>+IF(IFERROR(MATCH(B276,'Erection Compiled'!$C$6:$C$818,0),"B")="B","","E")</f>
        <v>E</v>
      </c>
      <c r="M276" s="425" t="str">
        <f>+IFERROR(VLOOKUP(B276,Tackwelding!$B$6:$G$367,6,FALSE),"")</f>
        <v>Done</v>
      </c>
    </row>
    <row r="277" spans="1:13" x14ac:dyDescent="0.25">
      <c r="A277" s="425">
        <v>271</v>
      </c>
      <c r="B277" s="425" t="s">
        <v>674</v>
      </c>
      <c r="C277" s="425" t="s">
        <v>866</v>
      </c>
      <c r="D277" s="425">
        <v>1</v>
      </c>
      <c r="E277" s="425">
        <v>2</v>
      </c>
      <c r="F277" s="425">
        <v>0</v>
      </c>
      <c r="G277" s="425">
        <v>1</v>
      </c>
      <c r="H277" s="425" t="str">
        <f t="shared" ref="H277" si="11">+CONCATENATE(D277,",",E277,",",F277,",",G277)</f>
        <v>1,2,0,1</v>
      </c>
      <c r="I277" s="428">
        <v>367</v>
      </c>
      <c r="K277" s="425" t="str">
        <f>+IFERROR(VLOOKUP(B277,Foundation!$C$8:$E$696,3,FALSE),"")</f>
        <v>Sandy</v>
      </c>
      <c r="L277" s="425" t="str">
        <f>+IF(IFERROR(MATCH(B277,'Erection Compiled'!$C$6:$C$818,0),"B")="B","","E")</f>
        <v>E</v>
      </c>
      <c r="M277" s="425" t="str">
        <f>+IFERROR(VLOOKUP(B277,Tackwelding!$B$6:$G$367,6,FALSE),"")</f>
        <v/>
      </c>
    </row>
    <row r="278" spans="1:13" x14ac:dyDescent="0.25">
      <c r="A278" s="425">
        <v>272</v>
      </c>
      <c r="B278" s="425" t="s">
        <v>675</v>
      </c>
      <c r="C278" s="425" t="s">
        <v>233</v>
      </c>
      <c r="D278" s="425">
        <v>4</v>
      </c>
      <c r="E278" s="425">
        <v>0</v>
      </c>
      <c r="F278" s="425">
        <v>2</v>
      </c>
      <c r="G278" s="425">
        <v>6</v>
      </c>
      <c r="H278" s="425" t="str">
        <f t="shared" ref="H278" si="12">+CONCATENATE(D278,",",E278,",",F278,",",G278)</f>
        <v>4,0,2,6</v>
      </c>
      <c r="I278" s="428">
        <v>430</v>
      </c>
      <c r="K278" s="425" t="str">
        <f>+IFERROR(VLOOKUP(B278,Foundation!$C$8:$E$696,3,FALSE),"")</f>
        <v>Sandy</v>
      </c>
      <c r="L278" s="425" t="str">
        <f>+IF(IFERROR(MATCH(B278,'Erection Compiled'!$C$6:$C$818,0),"B")="B","","E")</f>
        <v>E</v>
      </c>
      <c r="M278" s="425" t="str">
        <f>+IFERROR(VLOOKUP(B278,Tackwelding!$B$6:$G$367,6,FALSE),"")</f>
        <v/>
      </c>
    </row>
    <row r="279" spans="1:13" x14ac:dyDescent="0.25">
      <c r="A279" s="425">
        <v>273</v>
      </c>
      <c r="B279" s="425" t="s">
        <v>676</v>
      </c>
      <c r="C279" s="425" t="s">
        <v>240</v>
      </c>
      <c r="D279" s="425">
        <v>0</v>
      </c>
      <c r="E279" s="425">
        <v>1</v>
      </c>
      <c r="F279" s="425">
        <v>0</v>
      </c>
      <c r="G279" s="425">
        <v>0</v>
      </c>
      <c r="H279" s="425" t="str">
        <f t="shared" ref="H279" si="13">+CONCATENATE(D279,",",E279,",",F279,",",G279)</f>
        <v>0,1,0,0</v>
      </c>
      <c r="I279" s="428">
        <v>365</v>
      </c>
      <c r="K279" s="425" t="str">
        <f>+IFERROR(VLOOKUP(B279,Foundation!$C$8:$E$696,3,FALSE),"")</f>
        <v>Sandy</v>
      </c>
      <c r="L279" s="425" t="str">
        <f>+IF(IFERROR(MATCH(B279,'Erection Compiled'!$C$6:$C$818,0),"B")="B","","E")</f>
        <v>E</v>
      </c>
      <c r="M279" s="425" t="str">
        <f>+IFERROR(VLOOKUP(B279,Tackwelding!$B$6:$G$367,6,FALSE),"")</f>
        <v/>
      </c>
    </row>
    <row r="280" spans="1:13" x14ac:dyDescent="0.25">
      <c r="A280" s="425">
        <v>274</v>
      </c>
      <c r="B280" s="425" t="s">
        <v>677</v>
      </c>
      <c r="C280" s="425" t="s">
        <v>231</v>
      </c>
      <c r="D280" s="425">
        <v>0</v>
      </c>
      <c r="E280" s="425">
        <v>1</v>
      </c>
      <c r="F280" s="425">
        <v>0</v>
      </c>
      <c r="G280" s="425">
        <v>0</v>
      </c>
      <c r="H280" s="425" t="str">
        <f t="shared" ref="H280" si="14">+CONCATENATE(D280,",",E280,",",F280,",",G280)</f>
        <v>0,1,0,0</v>
      </c>
      <c r="I280" s="428">
        <v>428</v>
      </c>
      <c r="K280" s="425" t="str">
        <f>+IFERROR(VLOOKUP(B280,Foundation!$C$8:$E$696,3,FALSE),"")</f>
        <v>Sandy</v>
      </c>
      <c r="L280" s="425" t="str">
        <f>+IF(IFERROR(MATCH(B280,'Erection Compiled'!$C$6:$C$818,0),"B")="B","","E")</f>
        <v>E</v>
      </c>
      <c r="M280" s="425" t="str">
        <f>+IFERROR(VLOOKUP(B280,Tackwelding!$B$6:$G$367,6,FALSE),"")</f>
        <v>Done</v>
      </c>
    </row>
    <row r="281" spans="1:13" x14ac:dyDescent="0.25">
      <c r="A281" s="425">
        <v>275</v>
      </c>
      <c r="B281" s="425" t="s">
        <v>678</v>
      </c>
      <c r="C281" s="425" t="s">
        <v>244</v>
      </c>
      <c r="D281" s="425">
        <v>0</v>
      </c>
      <c r="E281" s="425">
        <v>1</v>
      </c>
      <c r="F281" s="425">
        <v>0</v>
      </c>
      <c r="G281" s="425">
        <v>0</v>
      </c>
      <c r="H281" s="425" t="str">
        <f t="shared" ref="H281" si="15">+CONCATENATE(D281,",",E281,",",F281,",",G281)</f>
        <v>0,1,0,0</v>
      </c>
      <c r="I281" s="428">
        <v>327.2</v>
      </c>
      <c r="K281" s="425" t="str">
        <f>+IFERROR(VLOOKUP(B281,Foundation!$C$8:$E$696,3,FALSE),"")</f>
        <v>Sandy</v>
      </c>
      <c r="L281" s="425" t="str">
        <f>+IF(IFERROR(MATCH(B281,'Erection Compiled'!$C$6:$C$818,0),"B")="B","","E")</f>
        <v>E</v>
      </c>
      <c r="M281" s="425" t="str">
        <f>+IFERROR(VLOOKUP(B281,Tackwelding!$B$6:$G$367,6,FALSE),"")</f>
        <v/>
      </c>
    </row>
    <row r="282" spans="1:13" x14ac:dyDescent="0.25">
      <c r="A282" s="425">
        <v>276</v>
      </c>
      <c r="B282" s="425" t="s">
        <v>679</v>
      </c>
      <c r="C282" s="425" t="s">
        <v>233</v>
      </c>
      <c r="D282" s="425">
        <v>0</v>
      </c>
      <c r="E282" s="425">
        <v>0</v>
      </c>
      <c r="F282" s="425">
        <v>6</v>
      </c>
      <c r="G282" s="425">
        <v>6</v>
      </c>
      <c r="H282" s="425" t="str">
        <f t="shared" ref="H282" si="16">+CONCATENATE(D282,",",E282,",",F282,",",G282)</f>
        <v>0,0,6,6</v>
      </c>
      <c r="I282" s="428">
        <v>294.92</v>
      </c>
      <c r="K282" s="425" t="str">
        <f>+IFERROR(VLOOKUP(B282,Foundation!$C$8:$E$696,3,FALSE),"")</f>
        <v>Sandy</v>
      </c>
      <c r="L282" s="425" t="str">
        <f>+IF(IFERROR(MATCH(B282,'Erection Compiled'!$C$6:$C$818,0),"B")="B","","E")</f>
        <v>E</v>
      </c>
      <c r="M282" s="425" t="str">
        <f>+IFERROR(VLOOKUP(B282,Tackwelding!$B$6:$G$367,6,FALSE),"")</f>
        <v>Done</v>
      </c>
    </row>
    <row r="283" spans="1:13" x14ac:dyDescent="0.25">
      <c r="A283" s="425">
        <v>277</v>
      </c>
      <c r="B283" s="425" t="s">
        <v>89</v>
      </c>
      <c r="C283" s="425" t="s">
        <v>653</v>
      </c>
      <c r="D283" s="425">
        <v>0</v>
      </c>
      <c r="E283" s="425">
        <v>6</v>
      </c>
      <c r="F283" s="425">
        <v>6</v>
      </c>
      <c r="G283" s="425">
        <v>2</v>
      </c>
      <c r="H283" s="425" t="str">
        <f t="shared" ref="H283" si="17">+CONCATENATE(D283,",",E283,",",F283,",",G283)</f>
        <v>0,6,6,2</v>
      </c>
      <c r="I283" s="428">
        <v>406.54</v>
      </c>
      <c r="K283" s="425" t="str">
        <f>+IFERROR(VLOOKUP(B283,Foundation!$C$8:$E$696,3,FALSE),"")</f>
        <v>Sandy</v>
      </c>
      <c r="L283" s="425" t="str">
        <f>+IF(IFERROR(MATCH(B283,'Erection Compiled'!$C$6:$C$818,0),"B")="B","","E")</f>
        <v>E</v>
      </c>
      <c r="M283" s="425" t="str">
        <f>+IFERROR(VLOOKUP(B283,Tackwelding!$B$6:$G$367,6,FALSE),"")</f>
        <v>Done</v>
      </c>
    </row>
    <row r="284" spans="1:13" x14ac:dyDescent="0.25">
      <c r="A284" s="425">
        <v>278</v>
      </c>
      <c r="B284" s="425" t="s">
        <v>90</v>
      </c>
      <c r="C284" s="425" t="s">
        <v>653</v>
      </c>
      <c r="D284" s="425">
        <v>5</v>
      </c>
      <c r="E284" s="425">
        <v>5</v>
      </c>
      <c r="F284" s="425">
        <v>5</v>
      </c>
      <c r="G284" s="425">
        <v>5</v>
      </c>
      <c r="H284" s="425" t="str">
        <f t="shared" ref="H284" si="18">+CONCATENATE(D284,",",E284,",",F284,",",G284)</f>
        <v>5,5,5,5</v>
      </c>
      <c r="I284" s="428">
        <v>199.08</v>
      </c>
      <c r="K284" s="425" t="str">
        <f>+IFERROR(VLOOKUP(B284,Foundation!$C$8:$E$696,3,FALSE),"")</f>
        <v>Sandy</v>
      </c>
      <c r="L284" s="425" t="str">
        <f>+IF(IFERROR(MATCH(B284,'Erection Compiled'!$C$6:$C$818,0),"B")="B","","E")</f>
        <v>E</v>
      </c>
      <c r="M284" s="425" t="str">
        <f>+IFERROR(VLOOKUP(B284,Tackwelding!$B$6:$G$367,6,FALSE),"")</f>
        <v>Done</v>
      </c>
    </row>
    <row r="285" spans="1:13" x14ac:dyDescent="0.25">
      <c r="A285" s="425">
        <v>279</v>
      </c>
      <c r="B285" s="425" t="s">
        <v>680</v>
      </c>
      <c r="C285" s="425" t="s">
        <v>20</v>
      </c>
      <c r="D285" s="425">
        <v>2</v>
      </c>
      <c r="E285" s="425">
        <v>0</v>
      </c>
      <c r="F285" s="425">
        <v>2</v>
      </c>
      <c r="G285" s="425">
        <v>5</v>
      </c>
      <c r="H285" s="425" t="str">
        <f t="shared" ref="H285" si="19">+CONCATENATE(D285,",",E285,",",F285,",",G285)</f>
        <v>2,0,2,5</v>
      </c>
      <c r="I285" s="428">
        <v>441.2</v>
      </c>
      <c r="K285" s="425" t="str">
        <f>+IFERROR(VLOOKUP(B285,Foundation!$C$8:$E$696,3,FALSE),"")</f>
        <v>Sandy</v>
      </c>
      <c r="L285" s="425" t="str">
        <f>+IF(IFERROR(MATCH(B285,'Erection Compiled'!$C$6:$C$818,0),"B")="B","","E")</f>
        <v>E</v>
      </c>
      <c r="M285" s="425" t="str">
        <f>+IFERROR(VLOOKUP(B285,Tackwelding!$B$6:$G$367,6,FALSE),"")</f>
        <v>Done</v>
      </c>
    </row>
    <row r="286" spans="1:13" x14ac:dyDescent="0.25">
      <c r="A286" s="425">
        <v>280</v>
      </c>
      <c r="B286" s="425" t="s">
        <v>681</v>
      </c>
      <c r="C286" s="425" t="s">
        <v>233</v>
      </c>
      <c r="D286" s="425">
        <v>0</v>
      </c>
      <c r="E286" s="425">
        <v>0</v>
      </c>
      <c r="F286" s="425">
        <v>0</v>
      </c>
      <c r="G286" s="425">
        <v>0</v>
      </c>
      <c r="H286" s="425" t="str">
        <f t="shared" ref="H286" si="20">+CONCATENATE(D286,",",E286,",",F286,",",G286)</f>
        <v>0,0,0,0</v>
      </c>
      <c r="I286" s="428">
        <v>365.93</v>
      </c>
      <c r="K286" s="425" t="str">
        <f>+IFERROR(VLOOKUP(B286,Foundation!$C$8:$E$696,3,FALSE),"")</f>
        <v>Sandy</v>
      </c>
      <c r="L286" s="425" t="str">
        <f>+IF(IFERROR(MATCH(B286,'Erection Compiled'!$C$6:$C$818,0),"B")="B","","E")</f>
        <v>E</v>
      </c>
      <c r="M286" s="425" t="str">
        <f>+IFERROR(VLOOKUP(B286,Tackwelding!$B$6:$G$367,6,FALSE),"")</f>
        <v>Done</v>
      </c>
    </row>
    <row r="287" spans="1:13" x14ac:dyDescent="0.25">
      <c r="A287" s="425">
        <v>281</v>
      </c>
      <c r="B287" s="425" t="s">
        <v>682</v>
      </c>
      <c r="C287" s="425" t="s">
        <v>233</v>
      </c>
      <c r="D287" s="425">
        <v>1</v>
      </c>
      <c r="E287" s="425">
        <v>2</v>
      </c>
      <c r="F287" s="425">
        <v>0</v>
      </c>
      <c r="G287" s="425">
        <v>0</v>
      </c>
      <c r="H287" s="425" t="str">
        <f t="shared" ref="H287" si="21">+CONCATENATE(D287,",",E287,",",F287,",",G287)</f>
        <v>1,2,0,0</v>
      </c>
      <c r="I287" s="428">
        <v>417.4</v>
      </c>
      <c r="K287" s="425" t="str">
        <f>+IFERROR(VLOOKUP(B287,Foundation!$C$8:$E$696,3,FALSE),"")</f>
        <v>Sandy</v>
      </c>
      <c r="L287" s="425" t="str">
        <f>+IF(IFERROR(MATCH(B287,'Erection Compiled'!$C$6:$C$818,0),"B")="B","","E")</f>
        <v>E</v>
      </c>
      <c r="M287" s="425" t="str">
        <f>+IFERROR(VLOOKUP(B287,Tackwelding!$B$6:$G$367,6,FALSE),"")</f>
        <v>Done</v>
      </c>
    </row>
    <row r="288" spans="1:13" x14ac:dyDescent="0.25">
      <c r="A288" s="425">
        <v>282</v>
      </c>
      <c r="B288" s="425" t="s">
        <v>683</v>
      </c>
      <c r="C288" s="425" t="s">
        <v>20</v>
      </c>
      <c r="H288" s="425" t="str">
        <f t="shared" ref="H288" si="22">+CONCATENATE(D288,",",E288,",",F288,",",G288)</f>
        <v>,,,</v>
      </c>
      <c r="I288" s="428">
        <v>358.4</v>
      </c>
      <c r="K288" s="425" t="str">
        <f>+IFERROR(VLOOKUP(B288,Foundation!$C$8:$E$696,3,FALSE),"")</f>
        <v>Sandy</v>
      </c>
      <c r="L288" s="425" t="str">
        <f>+IF(IFERROR(MATCH(B288,'Erection Compiled'!$C$6:$C$818,0),"B")="B","","E")</f>
        <v>E</v>
      </c>
      <c r="M288" s="425" t="str">
        <f>+IFERROR(VLOOKUP(B288,Tackwelding!$B$6:$G$367,6,FALSE),"")</f>
        <v>Done</v>
      </c>
    </row>
    <row r="289" spans="1:13" x14ac:dyDescent="0.25">
      <c r="A289" s="425">
        <v>283</v>
      </c>
      <c r="B289" s="429" t="s">
        <v>684</v>
      </c>
      <c r="C289" s="429" t="s">
        <v>231</v>
      </c>
      <c r="D289" s="429">
        <v>0</v>
      </c>
      <c r="E289" s="429">
        <v>1</v>
      </c>
      <c r="F289" s="429">
        <v>0</v>
      </c>
      <c r="G289" s="429">
        <v>0</v>
      </c>
      <c r="H289" s="429" t="str">
        <f t="shared" ref="H289" si="23">+CONCATENATE(D289,",",E289,",",F289,",",G289)</f>
        <v>0,1,0,0</v>
      </c>
      <c r="I289" s="428">
        <v>461.2</v>
      </c>
      <c r="K289" s="425" t="str">
        <f>+IFERROR(VLOOKUP(B289,Foundation!$C$8:$E$696,3,FALSE),"")</f>
        <v>Sandy</v>
      </c>
      <c r="L289" s="425" t="str">
        <f>+IF(IFERROR(MATCH(B289,'Erection Compiled'!$C$6:$C$818,0),"B")="B","","E")</f>
        <v>E</v>
      </c>
      <c r="M289" s="425" t="str">
        <f>+IFERROR(VLOOKUP(B289,Tackwelding!$B$6:$G$367,6,FALSE),"")</f>
        <v/>
      </c>
    </row>
    <row r="290" spans="1:13" x14ac:dyDescent="0.25">
      <c r="A290" s="425">
        <v>284</v>
      </c>
      <c r="B290" s="429" t="s">
        <v>685</v>
      </c>
      <c r="C290" s="429" t="s">
        <v>20</v>
      </c>
      <c r="D290" s="429">
        <v>0</v>
      </c>
      <c r="E290" s="429">
        <v>0</v>
      </c>
      <c r="F290" s="429">
        <v>0</v>
      </c>
      <c r="G290" s="429">
        <v>0</v>
      </c>
      <c r="H290" s="429" t="str">
        <f t="shared" ref="H290" si="24">+CONCATENATE(D290,",",E290,",",F290,",",G290)</f>
        <v>0,0,0,0</v>
      </c>
      <c r="I290" s="428">
        <v>377.3</v>
      </c>
      <c r="K290" s="425" t="str">
        <f>+IFERROR(VLOOKUP(B290,Foundation!$C$8:$E$696,3,FALSE),"")</f>
        <v>Sandy</v>
      </c>
      <c r="L290" s="425" t="str">
        <f>+IF(IFERROR(MATCH(B290,'Erection Compiled'!$C$6:$C$818,0),"B")="B","","E")</f>
        <v>E</v>
      </c>
      <c r="M290" s="425" t="str">
        <f>+IFERROR(VLOOKUP(B290,Tackwelding!$B$6:$G$367,6,FALSE),"")</f>
        <v>Done</v>
      </c>
    </row>
    <row r="291" spans="1:13" x14ac:dyDescent="0.25">
      <c r="A291" s="425">
        <v>285</v>
      </c>
      <c r="B291" s="425" t="s">
        <v>686</v>
      </c>
      <c r="C291" s="425" t="s">
        <v>20</v>
      </c>
      <c r="D291" s="425">
        <v>0</v>
      </c>
      <c r="E291" s="425">
        <v>0</v>
      </c>
      <c r="F291" s="425">
        <v>0</v>
      </c>
      <c r="G291" s="425">
        <v>0</v>
      </c>
      <c r="H291" s="425" t="str">
        <f t="shared" ref="H291" si="25">+CONCATENATE(D291,",",E291,",",F291,",",G291)</f>
        <v>0,0,0,0</v>
      </c>
      <c r="I291" s="430">
        <v>431.5</v>
      </c>
      <c r="K291" s="425" t="str">
        <f>+IFERROR(VLOOKUP(B291,Foundation!$C$8:$E$696,3,FALSE),"")</f>
        <v>Sandy</v>
      </c>
      <c r="L291" s="425" t="str">
        <f>+IF(IFERROR(MATCH(B291,'Erection Compiled'!$C$6:$C$818,0),"B")="B","","E")</f>
        <v>E</v>
      </c>
      <c r="M291" s="425" t="str">
        <f>+IFERROR(VLOOKUP(B291,Tackwelding!$B$6:$G$367,6,FALSE),"")</f>
        <v>Done</v>
      </c>
    </row>
    <row r="292" spans="1:13" x14ac:dyDescent="0.25">
      <c r="A292" s="425">
        <v>286</v>
      </c>
      <c r="B292" s="425" t="s">
        <v>687</v>
      </c>
      <c r="C292" s="425" t="s">
        <v>231</v>
      </c>
      <c r="D292" s="425">
        <v>1</v>
      </c>
      <c r="E292" s="425">
        <v>0</v>
      </c>
      <c r="F292" s="425">
        <v>0</v>
      </c>
      <c r="G292" s="425">
        <v>0</v>
      </c>
      <c r="H292" s="425" t="str">
        <f t="shared" ref="H292" si="26">+CONCATENATE(D292,",",E292,",",F292,",",G292)</f>
        <v>1,0,0,0</v>
      </c>
      <c r="I292" s="430">
        <v>398.8</v>
      </c>
      <c r="K292" s="425" t="str">
        <f>+IFERROR(VLOOKUP(B292,Foundation!$C$8:$E$696,3,FALSE),"")</f>
        <v>Sandy</v>
      </c>
      <c r="L292" s="425" t="str">
        <f>+IF(IFERROR(MATCH(B292,'Erection Compiled'!$C$6:$C$818,0),"B")="B","","E")</f>
        <v>E</v>
      </c>
      <c r="M292" s="425" t="str">
        <f>+IFERROR(VLOOKUP(B292,Tackwelding!$B$6:$G$367,6,FALSE),"")</f>
        <v>Done</v>
      </c>
    </row>
    <row r="293" spans="1:13" x14ac:dyDescent="0.25">
      <c r="A293" s="425">
        <v>287</v>
      </c>
      <c r="B293" s="425" t="s">
        <v>688</v>
      </c>
      <c r="C293" s="425" t="s">
        <v>20</v>
      </c>
      <c r="D293" s="425">
        <v>0</v>
      </c>
      <c r="E293" s="425">
        <v>0</v>
      </c>
      <c r="F293" s="425">
        <v>0</v>
      </c>
      <c r="G293" s="425">
        <v>0</v>
      </c>
      <c r="H293" s="425" t="str">
        <f t="shared" ref="H293" si="27">+CONCATENATE(D293,",",E293,",",F293,",",G293)</f>
        <v>0,0,0,0</v>
      </c>
      <c r="I293" s="428">
        <v>405.9</v>
      </c>
      <c r="K293" s="425" t="str">
        <f>+IFERROR(VLOOKUP(B293,Foundation!$C$8:$E$696,3,FALSE),"")</f>
        <v>Sandy</v>
      </c>
      <c r="L293" s="425" t="str">
        <f>+IF(IFERROR(MATCH(B293,'Erection Compiled'!$C$6:$C$818,0),"B")="B","","E")</f>
        <v>E</v>
      </c>
      <c r="M293" s="425" t="str">
        <f>+IFERROR(VLOOKUP(B293,Tackwelding!$B$6:$G$367,6,FALSE),"")</f>
        <v>Done</v>
      </c>
    </row>
    <row r="294" spans="1:13" x14ac:dyDescent="0.25">
      <c r="A294" s="425">
        <v>288</v>
      </c>
      <c r="B294" s="425" t="s">
        <v>689</v>
      </c>
      <c r="C294" s="425" t="s">
        <v>232</v>
      </c>
      <c r="D294" s="425">
        <v>0</v>
      </c>
      <c r="E294" s="425">
        <v>0</v>
      </c>
      <c r="F294" s="425">
        <v>0</v>
      </c>
      <c r="G294" s="425">
        <v>0</v>
      </c>
      <c r="H294" s="425" t="str">
        <f t="shared" ref="H294" si="28">+CONCATENATE(D294,",",E294,",",F294,",",G294)</f>
        <v>0,0,0,0</v>
      </c>
      <c r="I294" s="428">
        <v>433.7</v>
      </c>
      <c r="K294" s="425" t="str">
        <f>+IFERROR(VLOOKUP(B294,Foundation!$C$8:$E$696,3,FALSE),"")</f>
        <v>Sandy</v>
      </c>
      <c r="L294" s="425" t="str">
        <f>+IF(IFERROR(MATCH(B294,'Erection Compiled'!$C$6:$C$818,0),"B")="B","","E")</f>
        <v>E</v>
      </c>
      <c r="M294" s="425" t="str">
        <f>+IFERROR(VLOOKUP(B294,Tackwelding!$B$6:$G$367,6,FALSE),"")</f>
        <v>Done</v>
      </c>
    </row>
    <row r="295" spans="1:13" x14ac:dyDescent="0.25">
      <c r="A295" s="425">
        <v>289</v>
      </c>
      <c r="B295" s="429" t="s">
        <v>690</v>
      </c>
      <c r="C295" s="429" t="s">
        <v>244</v>
      </c>
      <c r="D295" s="429">
        <v>0</v>
      </c>
      <c r="E295" s="429">
        <v>0</v>
      </c>
      <c r="F295" s="429">
        <v>0</v>
      </c>
      <c r="G295" s="429">
        <v>0</v>
      </c>
      <c r="H295" s="429" t="str">
        <f t="shared" ref="H295" si="29">+CONCATENATE(D295,",",E295,",",F295,",",G295)</f>
        <v>0,0,0,0</v>
      </c>
      <c r="I295" s="428">
        <v>386.2</v>
      </c>
      <c r="K295" s="425" t="str">
        <f>+IFERROR(VLOOKUP(B295,Foundation!$C$8:$E$696,3,FALSE),"")</f>
        <v>Sandy</v>
      </c>
      <c r="L295" s="425" t="str">
        <f>+IF(IFERROR(MATCH(B295,'Erection Compiled'!$C$6:$C$818,0),"B")="B","","E")</f>
        <v>E</v>
      </c>
      <c r="M295" s="425" t="str">
        <f>+IFERROR(VLOOKUP(B295,Tackwelding!$B$6:$G$367,6,FALSE),"")</f>
        <v>Done</v>
      </c>
    </row>
    <row r="296" spans="1:13" x14ac:dyDescent="0.25">
      <c r="A296" s="425">
        <v>290</v>
      </c>
      <c r="B296" s="429" t="s">
        <v>691</v>
      </c>
      <c r="C296" s="429" t="s">
        <v>233</v>
      </c>
      <c r="D296" s="429">
        <v>0</v>
      </c>
      <c r="E296" s="429">
        <v>0</v>
      </c>
      <c r="F296" s="429">
        <v>0</v>
      </c>
      <c r="G296" s="429">
        <v>0</v>
      </c>
      <c r="H296" s="429" t="str">
        <f t="shared" ref="H296" si="30">+CONCATENATE(D296,",",E296,",",F296,",",G296)</f>
        <v>0,0,0,0</v>
      </c>
      <c r="I296" s="428">
        <v>428.9</v>
      </c>
      <c r="K296" s="425" t="str">
        <f>+IFERROR(VLOOKUP(B296,Foundation!$C$8:$E$696,3,FALSE),"")</f>
        <v>Sandy</v>
      </c>
      <c r="L296" s="425" t="str">
        <f>+IF(IFERROR(MATCH(B296,'Erection Compiled'!$C$6:$C$818,0),"B")="B","","E")</f>
        <v>E</v>
      </c>
      <c r="M296" s="425" t="str">
        <f>+IFERROR(VLOOKUP(B296,Tackwelding!$B$6:$G$367,6,FALSE),"")</f>
        <v>Done</v>
      </c>
    </row>
    <row r="297" spans="1:13" x14ac:dyDescent="0.25">
      <c r="A297" s="425">
        <v>291</v>
      </c>
      <c r="B297" s="425" t="s">
        <v>91</v>
      </c>
      <c r="C297" s="425" t="s">
        <v>867</v>
      </c>
      <c r="D297" s="425">
        <v>0</v>
      </c>
      <c r="E297" s="425">
        <v>0</v>
      </c>
      <c r="F297" s="425">
        <v>0</v>
      </c>
      <c r="G297" s="425">
        <v>0</v>
      </c>
      <c r="H297" s="425" t="str">
        <f t="shared" ref="H297" si="31">+CONCATENATE(D297,",",E297,",",F297,",",G297)</f>
        <v>0,0,0,0</v>
      </c>
      <c r="I297" s="430">
        <v>402.9</v>
      </c>
      <c r="K297" s="425" t="str">
        <f>+IFERROR(VLOOKUP(B297,Foundation!$C$8:$E$696,3,FALSE),"")</f>
        <v>Sandy</v>
      </c>
      <c r="L297" s="425" t="str">
        <f>+IF(IFERROR(MATCH(B297,'Erection Compiled'!$C$6:$C$818,0),"B")="B","","E")</f>
        <v>E</v>
      </c>
      <c r="M297" s="425" t="str">
        <f>+IFERROR(VLOOKUP(B297,Tackwelding!$B$6:$G$367,6,FALSE),"")</f>
        <v>Done</v>
      </c>
    </row>
    <row r="298" spans="1:13" x14ac:dyDescent="0.25">
      <c r="A298" s="425">
        <v>292</v>
      </c>
      <c r="B298" s="425" t="s">
        <v>692</v>
      </c>
      <c r="C298" s="425" t="s">
        <v>231</v>
      </c>
      <c r="D298" s="425">
        <v>0</v>
      </c>
      <c r="E298" s="425">
        <v>0</v>
      </c>
      <c r="F298" s="425">
        <v>0</v>
      </c>
      <c r="G298" s="425">
        <v>0</v>
      </c>
      <c r="H298" s="425" t="str">
        <f t="shared" ref="H298" si="32">+CONCATENATE(D298,",",E298,",",F298,",",G298)</f>
        <v>0,0,0,0</v>
      </c>
      <c r="I298" s="430">
        <v>379.1</v>
      </c>
      <c r="K298" s="425" t="str">
        <f>+IFERROR(VLOOKUP(B298,Foundation!$C$8:$E$696,3,FALSE),"")</f>
        <v>Sandy</v>
      </c>
      <c r="L298" s="425" t="str">
        <f>+IF(IFERROR(MATCH(B298,'Erection Compiled'!$C$6:$C$818,0),"B")="B","","E")</f>
        <v>E</v>
      </c>
      <c r="M298" s="425" t="str">
        <f>+IFERROR(VLOOKUP(B298,Tackwelding!$B$6:$G$367,6,FALSE),"")</f>
        <v>Done</v>
      </c>
    </row>
    <row r="299" spans="1:13" x14ac:dyDescent="0.25">
      <c r="A299" s="425">
        <v>293</v>
      </c>
      <c r="B299" s="425" t="s">
        <v>693</v>
      </c>
      <c r="C299" s="425" t="s">
        <v>20</v>
      </c>
      <c r="D299" s="425">
        <v>0</v>
      </c>
      <c r="E299" s="425">
        <v>0</v>
      </c>
      <c r="F299" s="425">
        <v>0</v>
      </c>
      <c r="G299" s="425">
        <v>0</v>
      </c>
      <c r="H299" s="425" t="str">
        <f t="shared" ref="H299" si="33">+CONCATENATE(D299,",",E299,",",F299,",",G299)</f>
        <v>0,0,0,0</v>
      </c>
      <c r="I299" s="428">
        <v>386.6</v>
      </c>
      <c r="K299" s="425" t="str">
        <f>+IFERROR(VLOOKUP(B299,Foundation!$C$8:$E$696,3,FALSE),"")</f>
        <v>Sandy</v>
      </c>
      <c r="L299" s="425" t="str">
        <f>+IF(IFERROR(MATCH(B299,'Erection Compiled'!$C$6:$C$818,0),"B")="B","","E")</f>
        <v>E</v>
      </c>
      <c r="M299" s="425" t="str">
        <f>+IFERROR(VLOOKUP(B299,Tackwelding!$B$6:$G$367,6,FALSE),"")</f>
        <v>Done</v>
      </c>
    </row>
    <row r="300" spans="1:13" x14ac:dyDescent="0.25">
      <c r="A300" s="425">
        <v>294</v>
      </c>
      <c r="B300" s="425" t="s">
        <v>694</v>
      </c>
      <c r="C300" s="425" t="s">
        <v>20</v>
      </c>
      <c r="D300" s="425">
        <v>0</v>
      </c>
      <c r="E300" s="425">
        <v>0</v>
      </c>
      <c r="F300" s="425">
        <v>0</v>
      </c>
      <c r="G300" s="425">
        <v>0</v>
      </c>
      <c r="H300" s="425" t="str">
        <f t="shared" ref="H300" si="34">+CONCATENATE(D300,",",E300,",",F300,",",G300)</f>
        <v>0,0,0,0</v>
      </c>
      <c r="I300" s="428">
        <v>390</v>
      </c>
      <c r="K300" s="425" t="str">
        <f>+IFERROR(VLOOKUP(B300,Foundation!$C$8:$E$696,3,FALSE),"")</f>
        <v>Sandy</v>
      </c>
      <c r="L300" s="425" t="str">
        <f>+IF(IFERROR(MATCH(B300,'Erection Compiled'!$C$6:$C$818,0),"B")="B","","E")</f>
        <v>E</v>
      </c>
      <c r="M300" s="425" t="str">
        <f>+IFERROR(VLOOKUP(B300,Tackwelding!$B$6:$G$367,6,FALSE),"")</f>
        <v>Done</v>
      </c>
    </row>
    <row r="301" spans="1:13" x14ac:dyDescent="0.25">
      <c r="A301" s="425">
        <v>295</v>
      </c>
      <c r="B301" s="425" t="s">
        <v>695</v>
      </c>
      <c r="C301" s="425" t="s">
        <v>20</v>
      </c>
      <c r="D301" s="425">
        <v>0</v>
      </c>
      <c r="E301" s="425">
        <v>0</v>
      </c>
      <c r="F301" s="425">
        <v>0</v>
      </c>
      <c r="G301" s="425">
        <v>0</v>
      </c>
      <c r="H301" s="425" t="str">
        <f t="shared" ref="H301" si="35">+CONCATENATE(D301,",",E301,",",F301,",",G301)</f>
        <v>0,0,0,0</v>
      </c>
      <c r="I301" s="428">
        <v>421.7</v>
      </c>
      <c r="K301" s="425" t="str">
        <f>+IFERROR(VLOOKUP(B301,Foundation!$C$8:$E$696,3,FALSE),"")</f>
        <v>Sandy</v>
      </c>
      <c r="L301" s="425" t="str">
        <f>+IF(IFERROR(MATCH(B301,'Erection Compiled'!$C$6:$C$818,0),"B")="B","","E")</f>
        <v>E</v>
      </c>
      <c r="M301" s="425" t="str">
        <f>+IFERROR(VLOOKUP(B301,Tackwelding!$B$6:$G$367,6,FALSE),"")</f>
        <v>Done</v>
      </c>
    </row>
    <row r="302" spans="1:13" x14ac:dyDescent="0.25">
      <c r="A302" s="425">
        <v>296</v>
      </c>
      <c r="B302" s="425" t="s">
        <v>696</v>
      </c>
      <c r="C302" s="425" t="s">
        <v>20</v>
      </c>
      <c r="D302" s="425">
        <v>0</v>
      </c>
      <c r="E302" s="425">
        <v>0</v>
      </c>
      <c r="F302" s="425">
        <v>0</v>
      </c>
      <c r="G302" s="425">
        <v>0</v>
      </c>
      <c r="H302" s="425" t="str">
        <f t="shared" ref="H302" si="36">+CONCATENATE(D302,",",E302,",",F302,",",G302)</f>
        <v>0,0,0,0</v>
      </c>
      <c r="I302" s="428">
        <v>396.6</v>
      </c>
      <c r="K302" s="425" t="str">
        <f>+IFERROR(VLOOKUP(B302,Foundation!$C$8:$E$696,3,FALSE),"")</f>
        <v>Sandy</v>
      </c>
      <c r="L302" s="425" t="str">
        <f>+IF(IFERROR(MATCH(B302,'Erection Compiled'!$C$6:$C$818,0),"B")="B","","E")</f>
        <v>E</v>
      </c>
      <c r="M302" s="425" t="str">
        <f>+IFERROR(VLOOKUP(B302,Tackwelding!$B$6:$G$367,6,FALSE),"")</f>
        <v>Done</v>
      </c>
    </row>
    <row r="303" spans="1:13" x14ac:dyDescent="0.25">
      <c r="A303" s="425">
        <v>297</v>
      </c>
      <c r="B303" s="425" t="s">
        <v>697</v>
      </c>
      <c r="C303" s="425" t="s">
        <v>231</v>
      </c>
      <c r="D303" s="425">
        <v>0</v>
      </c>
      <c r="E303" s="425">
        <v>0</v>
      </c>
      <c r="F303" s="425">
        <v>0</v>
      </c>
      <c r="G303" s="425">
        <v>0</v>
      </c>
      <c r="H303" s="425" t="str">
        <f t="shared" ref="H303" si="37">+CONCATENATE(D303,",",E303,",",F303,",",G303)</f>
        <v>0,0,0,0</v>
      </c>
      <c r="I303" s="428">
        <v>412.8</v>
      </c>
      <c r="K303" s="425" t="str">
        <f>+IFERROR(VLOOKUP(B303,Foundation!$C$8:$E$696,3,FALSE),"")</f>
        <v>Sandy</v>
      </c>
      <c r="L303" s="425" t="str">
        <f>+IF(IFERROR(MATCH(B303,'Erection Compiled'!$C$6:$C$818,0),"B")="B","","E")</f>
        <v>E</v>
      </c>
      <c r="M303" s="425" t="str">
        <f>+IFERROR(VLOOKUP(B303,Tackwelding!$B$6:$G$367,6,FALSE),"")</f>
        <v>Done</v>
      </c>
    </row>
    <row r="304" spans="1:13" x14ac:dyDescent="0.25">
      <c r="A304" s="425">
        <v>298</v>
      </c>
      <c r="B304" s="425" t="s">
        <v>698</v>
      </c>
      <c r="C304" s="425" t="s">
        <v>231</v>
      </c>
      <c r="D304" s="425">
        <v>0</v>
      </c>
      <c r="E304" s="425">
        <v>3</v>
      </c>
      <c r="F304" s="425">
        <v>2</v>
      </c>
      <c r="G304" s="425">
        <v>2</v>
      </c>
      <c r="H304" s="425" t="str">
        <f t="shared" ref="H304" si="38">+CONCATENATE(D304,",",E304,",",F304,",",G304)</f>
        <v>0,3,2,2</v>
      </c>
      <c r="I304" s="428">
        <v>340.2</v>
      </c>
      <c r="K304" s="425" t="str">
        <f>+IFERROR(VLOOKUP(B304,Foundation!$C$8:$E$696,3,FALSE),"")</f>
        <v>Sandy</v>
      </c>
      <c r="L304" s="425" t="str">
        <f>+IF(IFERROR(MATCH(B304,'Erection Compiled'!$C$6:$C$818,0),"B")="B","","E")</f>
        <v>E</v>
      </c>
      <c r="M304" s="425" t="str">
        <f>+IFERROR(VLOOKUP(B304,Tackwelding!$B$6:$G$367,6,FALSE),"")</f>
        <v>Done</v>
      </c>
    </row>
    <row r="305" spans="1:13" x14ac:dyDescent="0.25">
      <c r="A305" s="425">
        <v>299</v>
      </c>
      <c r="B305" s="425" t="s">
        <v>92</v>
      </c>
      <c r="C305" s="425" t="s">
        <v>245</v>
      </c>
      <c r="D305" s="425">
        <v>0</v>
      </c>
      <c r="E305" s="425">
        <v>0</v>
      </c>
      <c r="F305" s="425">
        <v>0</v>
      </c>
      <c r="G305" s="425">
        <v>1</v>
      </c>
      <c r="H305" s="425" t="str">
        <f t="shared" ref="H305" si="39">+CONCATENATE(D305,",",E305,",",F305,",",G305)</f>
        <v>0,0,0,1</v>
      </c>
      <c r="I305" s="428">
        <v>500.2</v>
      </c>
      <c r="K305" s="425" t="str">
        <f>+IFERROR(VLOOKUP(B305,Foundation!$C$8:$E$696,3,FALSE),"")</f>
        <v>Sandy</v>
      </c>
      <c r="L305" s="425" t="str">
        <f>+IF(IFERROR(MATCH(B305,'Erection Compiled'!$C$6:$C$818,0),"B")="B","","E")</f>
        <v>E</v>
      </c>
      <c r="M305" s="425" t="str">
        <f>+IFERROR(VLOOKUP(B305,Tackwelding!$B$6:$G$367,6,FALSE),"")</f>
        <v>Done</v>
      </c>
    </row>
    <row r="306" spans="1:13" x14ac:dyDescent="0.25">
      <c r="A306" s="425">
        <v>300</v>
      </c>
      <c r="B306" s="425" t="s">
        <v>699</v>
      </c>
      <c r="C306" s="425" t="s">
        <v>232</v>
      </c>
      <c r="D306" s="425">
        <v>1</v>
      </c>
      <c r="E306" s="425">
        <v>0</v>
      </c>
      <c r="F306" s="425">
        <v>0</v>
      </c>
      <c r="G306" s="425">
        <v>0</v>
      </c>
      <c r="H306" s="425" t="str">
        <f t="shared" ref="H306" si="40">+CONCATENATE(D306,",",E306,",",F306,",",G306)</f>
        <v>1,0,0,0</v>
      </c>
      <c r="I306" s="428">
        <v>469.1</v>
      </c>
      <c r="K306" s="425" t="str">
        <f>+IFERROR(VLOOKUP(B306,Foundation!$C$8:$E$696,3,FALSE),"")</f>
        <v>Sandy</v>
      </c>
      <c r="L306" s="425" t="str">
        <f>+IF(IFERROR(MATCH(B306,'Erection Compiled'!$C$6:$C$818,0),"B")="B","","E")</f>
        <v>E</v>
      </c>
      <c r="M306" s="425" t="str">
        <f>+IFERROR(VLOOKUP(B306,Tackwelding!$B$6:$G$367,6,FALSE),"")</f>
        <v>Done</v>
      </c>
    </row>
    <row r="307" spans="1:13" x14ac:dyDescent="0.25">
      <c r="A307" s="425">
        <v>301</v>
      </c>
      <c r="B307" s="425" t="s">
        <v>700</v>
      </c>
      <c r="C307" s="425" t="s">
        <v>233</v>
      </c>
      <c r="D307" s="425">
        <v>2</v>
      </c>
      <c r="E307" s="425">
        <v>2</v>
      </c>
      <c r="F307" s="425">
        <v>2</v>
      </c>
      <c r="G307" s="425">
        <v>2</v>
      </c>
      <c r="H307" s="425" t="str">
        <f t="shared" ref="H307" si="41">+CONCATENATE(D307,",",E307,",",F307,",",G307)</f>
        <v>2,2,2,2</v>
      </c>
      <c r="I307" s="428">
        <v>367.1</v>
      </c>
      <c r="K307" s="425" t="str">
        <f>+IFERROR(VLOOKUP(B307,Foundation!$C$8:$E$696,3,FALSE),"")</f>
        <v>Sandy</v>
      </c>
      <c r="L307" s="425" t="str">
        <f>+IF(IFERROR(MATCH(B307,'Erection Compiled'!$C$6:$C$818,0),"B")="B","","E")</f>
        <v>E</v>
      </c>
      <c r="M307" s="425" t="str">
        <f>+IFERROR(VLOOKUP(B307,Tackwelding!$B$6:$G$367,6,FALSE),"")</f>
        <v>Done</v>
      </c>
    </row>
    <row r="308" spans="1:13" x14ac:dyDescent="0.25">
      <c r="A308" s="425">
        <v>302</v>
      </c>
      <c r="B308" s="425" t="s">
        <v>701</v>
      </c>
      <c r="C308" s="425" t="s">
        <v>232</v>
      </c>
      <c r="D308" s="425">
        <v>0</v>
      </c>
      <c r="E308" s="425">
        <v>0</v>
      </c>
      <c r="F308" s="425">
        <v>1</v>
      </c>
      <c r="G308" s="425">
        <v>0</v>
      </c>
      <c r="H308" s="425" t="str">
        <f t="shared" ref="H308" si="42">+CONCATENATE(D308,",",E308,",",F308,",",G308)</f>
        <v>0,0,1,0</v>
      </c>
      <c r="I308" s="428">
        <v>470.4</v>
      </c>
      <c r="K308" s="425" t="str">
        <f>+IFERROR(VLOOKUP(B308,Foundation!$C$8:$E$696,3,FALSE),"")</f>
        <v>Sandy</v>
      </c>
      <c r="L308" s="425" t="str">
        <f>+IF(IFERROR(MATCH(B308,'Erection Compiled'!$C$6:$C$818,0),"B")="B","","E")</f>
        <v>E</v>
      </c>
      <c r="M308" s="425" t="str">
        <f>+IFERROR(VLOOKUP(B308,Tackwelding!$B$6:$G$367,6,FALSE),"")</f>
        <v>Done</v>
      </c>
    </row>
    <row r="309" spans="1:13" x14ac:dyDescent="0.25">
      <c r="A309" s="425">
        <v>303</v>
      </c>
      <c r="B309" s="425" t="s">
        <v>702</v>
      </c>
      <c r="C309" s="425" t="s">
        <v>233</v>
      </c>
      <c r="D309" s="425">
        <v>3</v>
      </c>
      <c r="E309" s="425">
        <v>3</v>
      </c>
      <c r="F309" s="425">
        <v>4</v>
      </c>
      <c r="G309" s="425">
        <v>3</v>
      </c>
      <c r="H309" s="425" t="str">
        <f t="shared" ref="H309" si="43">+CONCATENATE(D309,",",E309,",",F309,",",G309)</f>
        <v>3,3,4,3</v>
      </c>
      <c r="I309" s="428">
        <v>354.8</v>
      </c>
      <c r="K309" s="425" t="str">
        <f>+IFERROR(VLOOKUP(B309,Foundation!$C$8:$E$696,3,FALSE),"")</f>
        <v>Sandy</v>
      </c>
      <c r="L309" s="425" t="str">
        <f>+IF(IFERROR(MATCH(B309,'Erection Compiled'!$C$6:$C$818,0),"B")="B","","E")</f>
        <v>E</v>
      </c>
      <c r="M309" s="425" t="str">
        <f>+IFERROR(VLOOKUP(B309,Tackwelding!$B$6:$G$367,6,FALSE),"")</f>
        <v>Done</v>
      </c>
    </row>
    <row r="310" spans="1:13" x14ac:dyDescent="0.25">
      <c r="A310" s="425">
        <v>304</v>
      </c>
      <c r="B310" s="425" t="s">
        <v>703</v>
      </c>
      <c r="C310" s="425" t="s">
        <v>233</v>
      </c>
      <c r="D310" s="425">
        <v>4</v>
      </c>
      <c r="E310" s="425">
        <v>3</v>
      </c>
      <c r="F310" s="425">
        <v>4</v>
      </c>
      <c r="G310" s="425">
        <v>3</v>
      </c>
      <c r="H310" s="425" t="str">
        <f t="shared" ref="H310" si="44">+CONCATENATE(D310,",",E310,",",F310,",",G310)</f>
        <v>4,3,4,3</v>
      </c>
      <c r="I310" s="428">
        <v>442.1</v>
      </c>
      <c r="K310" s="425" t="str">
        <f>+IFERROR(VLOOKUP(B310,Foundation!$C$8:$E$696,3,FALSE),"")</f>
        <v>Sandy</v>
      </c>
      <c r="L310" s="425" t="str">
        <f>+IF(IFERROR(MATCH(B310,'Erection Compiled'!$C$6:$C$818,0),"B")="B","","E")</f>
        <v>E</v>
      </c>
      <c r="M310" s="425" t="str">
        <f>+IFERROR(VLOOKUP(B310,Tackwelding!$B$6:$G$367,6,FALSE),"")</f>
        <v>Done</v>
      </c>
    </row>
    <row r="311" spans="1:13" x14ac:dyDescent="0.25">
      <c r="A311" s="425">
        <v>305</v>
      </c>
      <c r="B311" s="425" t="s">
        <v>704</v>
      </c>
      <c r="C311" s="425" t="s">
        <v>233</v>
      </c>
      <c r="D311" s="425">
        <v>3</v>
      </c>
      <c r="E311" s="425">
        <v>4</v>
      </c>
      <c r="F311" s="425">
        <v>3</v>
      </c>
      <c r="G311" s="425">
        <v>3</v>
      </c>
      <c r="H311" s="425" t="str">
        <f t="shared" ref="H311" si="45">+CONCATENATE(D311,",",E311,",",F311,",",G311)</f>
        <v>3,4,3,3</v>
      </c>
      <c r="I311" s="428">
        <v>364.4</v>
      </c>
      <c r="K311" s="425" t="str">
        <f>+IFERROR(VLOOKUP(B311,Foundation!$C$8:$E$696,3,FALSE),"")</f>
        <v>Sandy</v>
      </c>
      <c r="L311" s="425" t="str">
        <f>+IF(IFERROR(MATCH(B311,'Erection Compiled'!$C$6:$C$818,0),"B")="B","","E")</f>
        <v>E</v>
      </c>
      <c r="M311" s="425" t="str">
        <f>+IFERROR(VLOOKUP(B311,Tackwelding!$B$6:$G$367,6,FALSE),"")</f>
        <v>Done</v>
      </c>
    </row>
    <row r="312" spans="1:13" x14ac:dyDescent="0.25">
      <c r="A312" s="425">
        <v>306</v>
      </c>
      <c r="B312" s="425" t="s">
        <v>705</v>
      </c>
      <c r="C312" s="425" t="s">
        <v>231</v>
      </c>
      <c r="D312" s="425">
        <v>0</v>
      </c>
      <c r="E312" s="425">
        <v>0</v>
      </c>
      <c r="F312" s="425">
        <v>0</v>
      </c>
      <c r="G312" s="425">
        <v>1</v>
      </c>
      <c r="H312" s="425" t="str">
        <f t="shared" ref="H312" si="46">+CONCATENATE(D312,",",E312,",",F312,",",G312)</f>
        <v>0,0,0,1</v>
      </c>
      <c r="I312" s="428">
        <v>470.8</v>
      </c>
      <c r="K312" s="425" t="str">
        <f>+IFERROR(VLOOKUP(B312,Foundation!$C$8:$E$696,3,FALSE),"")</f>
        <v>Sandy</v>
      </c>
      <c r="L312" s="425" t="str">
        <f>+IF(IFERROR(MATCH(B312,'Erection Compiled'!$C$6:$C$818,0),"B")="B","","E")</f>
        <v>E</v>
      </c>
      <c r="M312" s="425" t="str">
        <f>+IFERROR(VLOOKUP(B312,Tackwelding!$B$6:$G$367,6,FALSE),"")</f>
        <v>Done</v>
      </c>
    </row>
    <row r="313" spans="1:13" x14ac:dyDescent="0.25">
      <c r="A313" s="425">
        <v>307</v>
      </c>
      <c r="B313" s="429" t="s">
        <v>706</v>
      </c>
      <c r="C313" s="429" t="s">
        <v>233</v>
      </c>
      <c r="D313" s="429">
        <v>0</v>
      </c>
      <c r="E313" s="429">
        <v>0</v>
      </c>
      <c r="F313" s="429">
        <v>0</v>
      </c>
      <c r="G313" s="429">
        <v>0</v>
      </c>
      <c r="H313" s="429" t="str">
        <f t="shared" ref="H313" si="47">+CONCATENATE(D313,",",E313,",",F313,",",G313)</f>
        <v>0,0,0,0</v>
      </c>
      <c r="I313" s="428">
        <v>345</v>
      </c>
      <c r="K313" s="425" t="str">
        <f>+IFERROR(VLOOKUP(B313,Foundation!$C$8:$E$696,3,FALSE),"")</f>
        <v>Sandy</v>
      </c>
      <c r="L313" s="425" t="str">
        <f>+IF(IFERROR(MATCH(B313,'Erection Compiled'!$C$6:$C$818,0),"B")="B","","E")</f>
        <v>E</v>
      </c>
      <c r="M313" s="425" t="str">
        <f>+IFERROR(VLOOKUP(B313,Tackwelding!$B$6:$G$367,6,FALSE),"")</f>
        <v>Done</v>
      </c>
    </row>
    <row r="314" spans="1:13" x14ac:dyDescent="0.25">
      <c r="A314" s="425">
        <v>308</v>
      </c>
      <c r="B314" s="429" t="s">
        <v>707</v>
      </c>
      <c r="C314" s="429" t="s">
        <v>231</v>
      </c>
      <c r="D314" s="429">
        <v>0</v>
      </c>
      <c r="E314" s="429">
        <v>0</v>
      </c>
      <c r="F314" s="429">
        <v>1</v>
      </c>
      <c r="G314" s="429">
        <v>0</v>
      </c>
      <c r="H314" s="429" t="str">
        <f t="shared" ref="H314" si="48">+CONCATENATE(D314,",",E314,",",F314,",",G314)</f>
        <v>0,0,1,0</v>
      </c>
      <c r="I314" s="428">
        <v>364.4</v>
      </c>
      <c r="K314" s="425" t="str">
        <f>+IFERROR(VLOOKUP(B314,Foundation!$C$8:$E$696,3,FALSE),"")</f>
        <v>Sandy</v>
      </c>
      <c r="L314" s="425" t="str">
        <f>+IF(IFERROR(MATCH(B314,'Erection Compiled'!$C$6:$C$818,0),"B")="B","","E")</f>
        <v>E</v>
      </c>
      <c r="M314" s="425" t="str">
        <f>+IFERROR(VLOOKUP(B314,Tackwelding!$B$6:$G$367,6,FALSE),"")</f>
        <v>Done</v>
      </c>
    </row>
    <row r="315" spans="1:13" x14ac:dyDescent="0.25">
      <c r="A315" s="425">
        <v>309</v>
      </c>
      <c r="B315" s="425" t="s">
        <v>708</v>
      </c>
      <c r="C315" s="425" t="s">
        <v>231</v>
      </c>
      <c r="D315" s="425">
        <v>0</v>
      </c>
      <c r="E315" s="425">
        <v>0</v>
      </c>
      <c r="F315" s="425">
        <v>1</v>
      </c>
      <c r="G315" s="425">
        <v>0</v>
      </c>
      <c r="H315" s="425" t="str">
        <f t="shared" ref="H315" si="49">+CONCATENATE(D315,",",E315,",",F315,",",G315)</f>
        <v>0,0,1,0</v>
      </c>
      <c r="I315" s="430">
        <v>394.6</v>
      </c>
      <c r="K315" s="425" t="str">
        <f>+IFERROR(VLOOKUP(B315,Foundation!$C$8:$E$696,3,FALSE),"")</f>
        <v>Sandy</v>
      </c>
      <c r="L315" s="425" t="str">
        <f>+IF(IFERROR(MATCH(B315,'Erection Compiled'!$C$6:$C$818,0),"B")="B","","E")</f>
        <v>E</v>
      </c>
      <c r="M315" s="425" t="str">
        <f>+IFERROR(VLOOKUP(B315,Tackwelding!$B$6:$G$367,6,FALSE),"")</f>
        <v>Done</v>
      </c>
    </row>
    <row r="316" spans="1:13" x14ac:dyDescent="0.25">
      <c r="A316" s="425">
        <v>310</v>
      </c>
      <c r="B316" s="425" t="s">
        <v>709</v>
      </c>
      <c r="C316" s="425" t="s">
        <v>244</v>
      </c>
      <c r="D316" s="425">
        <v>0</v>
      </c>
      <c r="E316" s="425">
        <v>0</v>
      </c>
      <c r="F316" s="425">
        <v>0</v>
      </c>
      <c r="G316" s="425">
        <v>0</v>
      </c>
      <c r="H316" s="425" t="str">
        <f t="shared" ref="H316" si="50">+CONCATENATE(D316,",",E316,",",F316,",",G316)</f>
        <v>0,0,0,0</v>
      </c>
      <c r="I316" s="430">
        <v>401.4</v>
      </c>
      <c r="K316" s="425" t="str">
        <f>+IFERROR(VLOOKUP(B316,Foundation!$C$8:$E$696,3,FALSE),"")</f>
        <v>Sandy</v>
      </c>
      <c r="L316" s="425" t="str">
        <f>+IF(IFERROR(MATCH(B316,'Erection Compiled'!$C$6:$C$818,0),"B")="B","","E")</f>
        <v>E</v>
      </c>
      <c r="M316" s="425" t="str">
        <f>+IFERROR(VLOOKUP(B316,Tackwelding!$B$6:$G$367,6,FALSE),"")</f>
        <v>Done</v>
      </c>
    </row>
    <row r="317" spans="1:13" x14ac:dyDescent="0.25">
      <c r="A317" s="425">
        <v>311</v>
      </c>
      <c r="B317" s="425" t="s">
        <v>710</v>
      </c>
      <c r="C317" s="425" t="s">
        <v>231</v>
      </c>
      <c r="D317" s="425">
        <v>0</v>
      </c>
      <c r="E317" s="425">
        <v>0</v>
      </c>
      <c r="F317" s="425">
        <v>1</v>
      </c>
      <c r="G317" s="425">
        <v>0</v>
      </c>
      <c r="H317" s="425" t="str">
        <f t="shared" ref="H317" si="51">+CONCATENATE(D317,",",E317,",",F317,",",G317)</f>
        <v>0,0,1,0</v>
      </c>
      <c r="I317" s="428">
        <v>356.6</v>
      </c>
      <c r="K317" s="425" t="str">
        <f>+IFERROR(VLOOKUP(B317,Foundation!$C$8:$E$696,3,FALSE),"")</f>
        <v>Sandy</v>
      </c>
      <c r="L317" s="425" t="str">
        <f>+IF(IFERROR(MATCH(B317,'Erection Compiled'!$C$6:$C$818,0),"B")="B","","E")</f>
        <v>E</v>
      </c>
      <c r="M317" s="425" t="str">
        <f>+IFERROR(VLOOKUP(B317,Tackwelding!$B$6:$G$367,6,FALSE),"")</f>
        <v>Done</v>
      </c>
    </row>
    <row r="318" spans="1:13" x14ac:dyDescent="0.25">
      <c r="A318" s="425">
        <v>312</v>
      </c>
      <c r="B318" s="425" t="s">
        <v>711</v>
      </c>
      <c r="C318" s="425" t="s">
        <v>231</v>
      </c>
      <c r="D318" s="425">
        <v>0</v>
      </c>
      <c r="E318" s="425">
        <v>0</v>
      </c>
      <c r="F318" s="425">
        <v>0</v>
      </c>
      <c r="G318" s="425">
        <v>0</v>
      </c>
      <c r="H318" s="425" t="str">
        <f t="shared" ref="H318" si="52">+CONCATENATE(D318,",",E318,",",F318,",",G318)</f>
        <v>0,0,0,0</v>
      </c>
      <c r="I318" s="428">
        <v>307.10000000000002</v>
      </c>
      <c r="K318" s="425" t="str">
        <f>+IFERROR(VLOOKUP(B318,Foundation!$C$8:$E$696,3,FALSE),"")</f>
        <v>Sandy</v>
      </c>
      <c r="L318" s="425" t="str">
        <f>+IF(IFERROR(MATCH(B318,'Erection Compiled'!$C$6:$C$818,0),"B")="B","","E")</f>
        <v>E</v>
      </c>
      <c r="M318" s="425" t="str">
        <f>+IFERROR(VLOOKUP(B318,Tackwelding!$B$6:$G$367,6,FALSE),"")</f>
        <v>Done</v>
      </c>
    </row>
    <row r="319" spans="1:13" x14ac:dyDescent="0.25">
      <c r="A319" s="425">
        <v>313</v>
      </c>
      <c r="B319" s="425" t="s">
        <v>712</v>
      </c>
      <c r="C319" s="425" t="s">
        <v>244</v>
      </c>
      <c r="D319" s="425">
        <v>0</v>
      </c>
      <c r="E319" s="425">
        <v>0</v>
      </c>
      <c r="F319" s="425">
        <v>3</v>
      </c>
      <c r="G319" s="425">
        <v>3</v>
      </c>
      <c r="H319" s="425" t="str">
        <f t="shared" ref="H319" si="53">+CONCATENATE(D319,",",E319,",",F319,",",G319)</f>
        <v>0,0,3,3</v>
      </c>
      <c r="I319" s="428">
        <v>385</v>
      </c>
      <c r="K319" s="425" t="str">
        <f>+IFERROR(VLOOKUP(B319,Foundation!$C$8:$E$696,3,FALSE),"")</f>
        <v>Sandy</v>
      </c>
      <c r="L319" s="425" t="str">
        <f>+IF(IFERROR(MATCH(B319,'Erection Compiled'!$C$6:$C$818,0),"B")="B","","E")</f>
        <v>E</v>
      </c>
      <c r="M319" s="425" t="str">
        <f>+IFERROR(VLOOKUP(B319,Tackwelding!$B$6:$G$367,6,FALSE),"")</f>
        <v>Done</v>
      </c>
    </row>
    <row r="320" spans="1:13" x14ac:dyDescent="0.25">
      <c r="A320" s="425">
        <v>314</v>
      </c>
      <c r="B320" s="425" t="s">
        <v>713</v>
      </c>
      <c r="C320" s="425" t="s">
        <v>232</v>
      </c>
      <c r="D320" s="425">
        <v>0</v>
      </c>
      <c r="E320" s="425">
        <v>4</v>
      </c>
      <c r="F320" s="425">
        <v>0</v>
      </c>
      <c r="G320" s="425">
        <v>0</v>
      </c>
      <c r="H320" s="425" t="str">
        <f t="shared" ref="H320" si="54">+CONCATENATE(D320,",",E320,",",F320,",",G320)</f>
        <v>0,4,0,0</v>
      </c>
      <c r="I320" s="428">
        <v>402</v>
      </c>
      <c r="K320" s="425" t="str">
        <f>+IFERROR(VLOOKUP(B320,Foundation!$C$8:$E$696,3,FALSE),"")</f>
        <v>Sandy</v>
      </c>
      <c r="L320" s="425" t="str">
        <f>+IF(IFERROR(MATCH(B320,'Erection Compiled'!$C$6:$C$818,0),"B")="B","","E")</f>
        <v>E</v>
      </c>
      <c r="M320" s="425" t="str">
        <f>+IFERROR(VLOOKUP(B320,Tackwelding!$B$6:$G$367,6,FALSE),"")</f>
        <v>Done</v>
      </c>
    </row>
    <row r="321" spans="1:13" x14ac:dyDescent="0.25">
      <c r="A321" s="425">
        <v>315</v>
      </c>
      <c r="B321" s="425" t="s">
        <v>714</v>
      </c>
      <c r="C321" s="425" t="s">
        <v>232</v>
      </c>
      <c r="D321" s="425">
        <v>0</v>
      </c>
      <c r="E321" s="425">
        <v>0</v>
      </c>
      <c r="F321" s="425">
        <v>0</v>
      </c>
      <c r="G321" s="425">
        <v>3</v>
      </c>
      <c r="H321" s="425" t="str">
        <f t="shared" ref="H321" si="55">+CONCATENATE(D321,",",E321,",",F321,",",G321)</f>
        <v>0,0,0,3</v>
      </c>
      <c r="I321" s="428">
        <v>402.6</v>
      </c>
      <c r="K321" s="425" t="str">
        <f>+IFERROR(VLOOKUP(B321,Foundation!$C$8:$E$696,3,FALSE),"")</f>
        <v>Sandy</v>
      </c>
      <c r="L321" s="425" t="str">
        <f>+IF(IFERROR(MATCH(B321,'Erection Compiled'!$C$6:$C$818,0),"B")="B","","E")</f>
        <v>E</v>
      </c>
      <c r="M321" s="425" t="str">
        <f>+IFERROR(VLOOKUP(B321,Tackwelding!$B$6:$G$367,6,FALSE),"")</f>
        <v>Done</v>
      </c>
    </row>
    <row r="322" spans="1:13" x14ac:dyDescent="0.25">
      <c r="A322" s="425">
        <v>316</v>
      </c>
      <c r="B322" s="425" t="s">
        <v>715</v>
      </c>
      <c r="C322" s="425" t="s">
        <v>233</v>
      </c>
      <c r="D322" s="425">
        <v>4</v>
      </c>
      <c r="E322" s="425">
        <v>3</v>
      </c>
      <c r="F322" s="425">
        <v>3</v>
      </c>
      <c r="G322" s="425">
        <v>3</v>
      </c>
      <c r="H322" s="425" t="str">
        <f t="shared" ref="H322" si="56">+CONCATENATE(D322,",",E322,",",F322,",",G322)</f>
        <v>4,3,3,3</v>
      </c>
      <c r="I322" s="428">
        <v>437</v>
      </c>
      <c r="K322" s="425" t="str">
        <f>+IFERROR(VLOOKUP(B322,Foundation!$C$8:$E$696,3,FALSE),"")</f>
        <v>Sandy</v>
      </c>
      <c r="L322" s="425" t="str">
        <f>+IF(IFERROR(MATCH(B322,'Erection Compiled'!$C$6:$C$818,0),"B")="B","","E")</f>
        <v>E</v>
      </c>
      <c r="M322" s="425" t="str">
        <f>+IFERROR(VLOOKUP(B322,Tackwelding!$B$6:$G$367,6,FALSE),"")</f>
        <v/>
      </c>
    </row>
    <row r="323" spans="1:13" x14ac:dyDescent="0.25">
      <c r="A323" s="425">
        <v>317</v>
      </c>
      <c r="B323" s="425" t="s">
        <v>716</v>
      </c>
      <c r="C323" s="425" t="s">
        <v>233</v>
      </c>
      <c r="D323" s="425">
        <v>2</v>
      </c>
      <c r="E323" s="425">
        <v>2</v>
      </c>
      <c r="F323" s="425">
        <v>0</v>
      </c>
      <c r="G323" s="425">
        <v>0</v>
      </c>
      <c r="H323" s="425" t="str">
        <f t="shared" ref="H323" si="57">+CONCATENATE(D323,",",E323,",",F323,",",G323)</f>
        <v>2,2,0,0</v>
      </c>
      <c r="I323" s="428">
        <v>393.8</v>
      </c>
      <c r="K323" s="425" t="str">
        <f>+IFERROR(VLOOKUP(B323,Foundation!$C$8:$E$696,3,FALSE),"")</f>
        <v>Sandy</v>
      </c>
      <c r="L323" s="425" t="str">
        <f>+IF(IFERROR(MATCH(B323,'Erection Compiled'!$C$6:$C$818,0),"B")="B","","E")</f>
        <v>E</v>
      </c>
      <c r="M323" s="425" t="str">
        <f>+IFERROR(VLOOKUP(B323,Tackwelding!$B$6:$G$367,6,FALSE),"")</f>
        <v>Done</v>
      </c>
    </row>
    <row r="324" spans="1:13" x14ac:dyDescent="0.25">
      <c r="A324" s="425">
        <v>318</v>
      </c>
      <c r="B324" s="425" t="s">
        <v>717</v>
      </c>
      <c r="C324" s="425" t="s">
        <v>233</v>
      </c>
      <c r="D324" s="425">
        <v>0</v>
      </c>
      <c r="E324" s="425">
        <v>0</v>
      </c>
      <c r="F324" s="425">
        <v>0</v>
      </c>
      <c r="G324" s="425">
        <v>1</v>
      </c>
      <c r="H324" s="425" t="str">
        <f t="shared" ref="H324" si="58">+CONCATENATE(D324,",",E324,",",F324,",",G324)</f>
        <v>0,0,0,1</v>
      </c>
      <c r="I324" s="428">
        <v>447</v>
      </c>
      <c r="K324" s="425" t="str">
        <f>+IFERROR(VLOOKUP(B324,Foundation!$C$8:$E$696,3,FALSE),"")</f>
        <v>Sandy</v>
      </c>
      <c r="L324" s="425" t="str">
        <f>+IF(IFERROR(MATCH(B324,'Erection Compiled'!$C$6:$C$818,0),"B")="B","","E")</f>
        <v>E</v>
      </c>
      <c r="M324" s="425" t="str">
        <f>+IFERROR(VLOOKUP(B324,Tackwelding!$B$6:$G$367,6,FALSE),"")</f>
        <v>Done</v>
      </c>
    </row>
    <row r="325" spans="1:13" x14ac:dyDescent="0.25">
      <c r="A325" s="425">
        <v>319</v>
      </c>
      <c r="B325" s="425" t="s">
        <v>718</v>
      </c>
      <c r="C325" s="425" t="s">
        <v>232</v>
      </c>
      <c r="D325" s="425">
        <v>0</v>
      </c>
      <c r="E325" s="425">
        <v>0</v>
      </c>
      <c r="F325" s="425">
        <v>0</v>
      </c>
      <c r="G325" s="425">
        <v>0</v>
      </c>
      <c r="H325" s="425" t="str">
        <f t="shared" ref="H325" si="59">+CONCATENATE(D325,",",E325,",",F325,",",G325)</f>
        <v>0,0,0,0</v>
      </c>
      <c r="I325" s="428">
        <v>373</v>
      </c>
      <c r="K325" s="425" t="str">
        <f>+IFERROR(VLOOKUP(B325,Foundation!$C$8:$E$696,3,FALSE),"")</f>
        <v>Sandy</v>
      </c>
      <c r="L325" s="425" t="str">
        <f>+IF(IFERROR(MATCH(B325,'Erection Compiled'!$C$6:$C$818,0),"B")="B","","E")</f>
        <v>E</v>
      </c>
      <c r="M325" s="425" t="str">
        <f>+IFERROR(VLOOKUP(B325,Tackwelding!$B$6:$G$367,6,FALSE),"")</f>
        <v>Done</v>
      </c>
    </row>
    <row r="326" spans="1:13" x14ac:dyDescent="0.25">
      <c r="A326" s="425">
        <v>320</v>
      </c>
      <c r="B326" s="425" t="s">
        <v>719</v>
      </c>
      <c r="C326" s="425" t="s">
        <v>20</v>
      </c>
      <c r="D326" s="425">
        <v>0</v>
      </c>
      <c r="E326" s="425">
        <v>3</v>
      </c>
      <c r="F326" s="425">
        <v>1</v>
      </c>
      <c r="G326" s="425">
        <v>0</v>
      </c>
      <c r="H326" s="425" t="str">
        <f t="shared" ref="H326" si="60">+CONCATENATE(D326,",",E326,",",F326,",",G326)</f>
        <v>0,3,1,0</v>
      </c>
      <c r="I326" s="428">
        <v>406.8</v>
      </c>
      <c r="K326" s="425" t="str">
        <f>+IFERROR(VLOOKUP(B326,Foundation!$C$8:$E$696,3,FALSE),"")</f>
        <v>Sandy</v>
      </c>
      <c r="L326" s="425" t="str">
        <f>+IF(IFERROR(MATCH(B326,'Erection Compiled'!$C$6:$C$818,0),"B")="B","","E")</f>
        <v>E</v>
      </c>
      <c r="M326" s="425" t="str">
        <f>+IFERROR(VLOOKUP(B326,Tackwelding!$B$6:$G$367,6,FALSE),"")</f>
        <v>Done</v>
      </c>
    </row>
    <row r="327" spans="1:13" x14ac:dyDescent="0.25">
      <c r="A327" s="425">
        <v>321</v>
      </c>
      <c r="B327" s="425" t="s">
        <v>720</v>
      </c>
      <c r="C327" s="425" t="s">
        <v>232</v>
      </c>
      <c r="D327" s="425">
        <v>0</v>
      </c>
      <c r="E327" s="425">
        <v>0</v>
      </c>
      <c r="F327" s="425">
        <v>0</v>
      </c>
      <c r="G327" s="425">
        <v>0</v>
      </c>
      <c r="H327" s="425" t="str">
        <f t="shared" ref="H327" si="61">+CONCATENATE(D327,",",E327,",",F327,",",G327)</f>
        <v>0,0,0,0</v>
      </c>
      <c r="I327" s="428">
        <v>433</v>
      </c>
      <c r="K327" s="425" t="str">
        <f>+IFERROR(VLOOKUP(B327,Foundation!$C$8:$E$696,3,FALSE),"")</f>
        <v>Sandy</v>
      </c>
      <c r="L327" s="425" t="str">
        <f>+IF(IFERROR(MATCH(B327,'Erection Compiled'!$C$6:$C$818,0),"B")="B","","E")</f>
        <v>E</v>
      </c>
      <c r="M327" s="425" t="str">
        <f>+IFERROR(VLOOKUP(B327,Tackwelding!$B$6:$G$367,6,FALSE),"")</f>
        <v>Done</v>
      </c>
    </row>
    <row r="328" spans="1:13" x14ac:dyDescent="0.25">
      <c r="A328" s="425">
        <v>322</v>
      </c>
      <c r="B328" s="425" t="s">
        <v>721</v>
      </c>
      <c r="C328" s="425" t="s">
        <v>20</v>
      </c>
      <c r="D328" s="425">
        <v>0</v>
      </c>
      <c r="E328" s="425">
        <v>0</v>
      </c>
      <c r="F328" s="425">
        <v>0</v>
      </c>
      <c r="G328" s="425">
        <v>0</v>
      </c>
      <c r="H328" s="425" t="str">
        <f t="shared" ref="H328" si="62">+CONCATENATE(D328,",",E328,",",F328,",",G328)</f>
        <v>0,0,0,0</v>
      </c>
      <c r="I328" s="428">
        <v>399.7</v>
      </c>
      <c r="K328" s="425" t="str">
        <f>+IFERROR(VLOOKUP(B328,Foundation!$C$8:$E$696,3,FALSE),"")</f>
        <v>Sandy</v>
      </c>
      <c r="L328" s="425" t="str">
        <f>+IF(IFERROR(MATCH(B328,'Erection Compiled'!$C$6:$C$818,0),"B")="B","","E")</f>
        <v>E</v>
      </c>
      <c r="M328" s="425" t="str">
        <f>+IFERROR(VLOOKUP(B328,Tackwelding!$B$6:$G$367,6,FALSE),"")</f>
        <v>Done</v>
      </c>
    </row>
    <row r="329" spans="1:13" x14ac:dyDescent="0.25">
      <c r="A329" s="425">
        <v>323</v>
      </c>
      <c r="B329" s="425" t="s">
        <v>722</v>
      </c>
      <c r="C329" s="425" t="s">
        <v>233</v>
      </c>
      <c r="D329" s="425">
        <v>1</v>
      </c>
      <c r="E329" s="425">
        <v>2</v>
      </c>
      <c r="F329" s="425">
        <v>1</v>
      </c>
      <c r="G329" s="425">
        <v>1</v>
      </c>
      <c r="H329" s="425" t="str">
        <f t="shared" ref="H329" si="63">+CONCATENATE(D329,",",E329,",",F329,",",G329)</f>
        <v>1,2,1,1</v>
      </c>
      <c r="I329" s="428">
        <v>384.1</v>
      </c>
      <c r="K329" s="425" t="str">
        <f>+IFERROR(VLOOKUP(B329,Foundation!$C$8:$E$696,3,FALSE),"")</f>
        <v>Sandy</v>
      </c>
      <c r="L329" s="425" t="str">
        <f>+IF(IFERROR(MATCH(B329,'Erection Compiled'!$C$6:$C$818,0),"B")="B","","E")</f>
        <v>E</v>
      </c>
      <c r="M329" s="425" t="str">
        <f>+IFERROR(VLOOKUP(B329,Tackwelding!$B$6:$G$367,6,FALSE),"")</f>
        <v>Done</v>
      </c>
    </row>
    <row r="330" spans="1:13" x14ac:dyDescent="0.25">
      <c r="A330" s="425">
        <v>324</v>
      </c>
      <c r="B330" s="425" t="s">
        <v>723</v>
      </c>
      <c r="C330" s="425" t="s">
        <v>241</v>
      </c>
      <c r="D330" s="425">
        <v>4</v>
      </c>
      <c r="E330" s="425">
        <v>4</v>
      </c>
      <c r="F330" s="425">
        <v>4</v>
      </c>
      <c r="G330" s="425">
        <v>4</v>
      </c>
      <c r="H330" s="425" t="str">
        <f t="shared" ref="H330" si="64">+CONCATENATE(D330,",",E330,",",F330,",",G330)</f>
        <v>4,4,4,4</v>
      </c>
      <c r="I330" s="428">
        <v>455.9</v>
      </c>
      <c r="K330" s="425" t="str">
        <f>+IFERROR(VLOOKUP(B330,Foundation!$C$8:$E$696,3,FALSE),"")</f>
        <v>Sandy</v>
      </c>
      <c r="L330" s="425" t="str">
        <f>+IF(IFERROR(MATCH(B330,'Erection Compiled'!$C$6:$C$818,0),"B")="B","","E")</f>
        <v>E</v>
      </c>
      <c r="M330" s="425" t="str">
        <f>+IFERROR(VLOOKUP(B330,Tackwelding!$B$6:$G$367,6,FALSE),"")</f>
        <v/>
      </c>
    </row>
    <row r="331" spans="1:13" x14ac:dyDescent="0.25">
      <c r="A331" s="425">
        <v>325</v>
      </c>
      <c r="B331" s="425" t="s">
        <v>724</v>
      </c>
      <c r="C331" s="425" t="s">
        <v>233</v>
      </c>
      <c r="D331" s="425">
        <v>4</v>
      </c>
      <c r="E331" s="425">
        <v>4</v>
      </c>
      <c r="F331" s="425">
        <v>4</v>
      </c>
      <c r="G331" s="425">
        <v>4</v>
      </c>
      <c r="H331" s="425" t="str">
        <f t="shared" ref="H331" si="65">+CONCATENATE(D331,",",E331,",",F331,",",G331)</f>
        <v>4,4,4,4</v>
      </c>
      <c r="I331" s="428">
        <v>433.2</v>
      </c>
      <c r="K331" s="425" t="str">
        <f>+IFERROR(VLOOKUP(B331,Foundation!$C$8:$E$696,3,FALSE),"")</f>
        <v>Sandy</v>
      </c>
      <c r="L331" s="425" t="str">
        <f>+IF(IFERROR(MATCH(B331,'Erection Compiled'!$C$6:$C$818,0),"B")="B","","E")</f>
        <v>E</v>
      </c>
      <c r="M331" s="425" t="str">
        <f>+IFERROR(VLOOKUP(B331,Tackwelding!$B$6:$G$367,6,FALSE),"")</f>
        <v/>
      </c>
    </row>
    <row r="332" spans="1:13" x14ac:dyDescent="0.25">
      <c r="A332" s="425">
        <v>326</v>
      </c>
      <c r="B332" s="431" t="s">
        <v>725</v>
      </c>
      <c r="C332" s="425" t="s">
        <v>231</v>
      </c>
      <c r="D332" s="425">
        <v>0</v>
      </c>
      <c r="E332" s="425">
        <v>0</v>
      </c>
      <c r="F332" s="425">
        <v>0</v>
      </c>
      <c r="G332" s="425">
        <v>2</v>
      </c>
      <c r="H332" s="425" t="str">
        <f t="shared" ref="H332" si="66">+CONCATENATE(D332,",",E332,",",F332,",",G332)</f>
        <v>0,0,0,2</v>
      </c>
      <c r="I332" s="428">
        <v>407.4</v>
      </c>
      <c r="K332" s="425" t="str">
        <f>+IFERROR(VLOOKUP(B332,Foundation!$C$8:$E$696,3,FALSE),"")</f>
        <v>Sandy</v>
      </c>
      <c r="L332" s="425" t="str">
        <f>+IF(IFERROR(MATCH(B332,'Erection Compiled'!$C$6:$C$818,0),"B")="B","","E")</f>
        <v>E</v>
      </c>
      <c r="M332" s="425" t="str">
        <f>+IFERROR(VLOOKUP(B332,Tackwelding!$B$6:$G$367,6,FALSE),"")</f>
        <v>Done</v>
      </c>
    </row>
    <row r="333" spans="1:13" x14ac:dyDescent="0.25">
      <c r="A333" s="425">
        <v>327</v>
      </c>
      <c r="B333" s="425" t="s">
        <v>726</v>
      </c>
      <c r="C333" s="425" t="s">
        <v>232</v>
      </c>
      <c r="D333" s="425">
        <v>0</v>
      </c>
      <c r="E333" s="425">
        <v>4</v>
      </c>
      <c r="F333" s="425">
        <v>1</v>
      </c>
      <c r="G333" s="425">
        <v>0</v>
      </c>
      <c r="H333" s="425" t="str">
        <f t="shared" ref="H333" si="67">+CONCATENATE(D333,",",E333,",",F333,",",G333)</f>
        <v>0,4,1,0</v>
      </c>
      <c r="I333" s="428">
        <v>394.5</v>
      </c>
      <c r="K333" s="425" t="str">
        <f>+IFERROR(VLOOKUP(B333,Foundation!$C$8:$E$696,3,FALSE),"")</f>
        <v>Sandy</v>
      </c>
      <c r="L333" s="425" t="str">
        <f>+IF(IFERROR(MATCH(B333,'Erection Compiled'!$C$6:$C$818,0),"B")="B","","E")</f>
        <v>E</v>
      </c>
      <c r="M333" s="425" t="str">
        <f>+IFERROR(VLOOKUP(B333,Tackwelding!$B$6:$G$367,6,FALSE),"")</f>
        <v>Done</v>
      </c>
    </row>
    <row r="334" spans="1:13" x14ac:dyDescent="0.25">
      <c r="A334" s="425">
        <v>328</v>
      </c>
      <c r="B334" s="425" t="s">
        <v>727</v>
      </c>
      <c r="C334" s="425" t="s">
        <v>231</v>
      </c>
      <c r="D334" s="425">
        <v>0</v>
      </c>
      <c r="E334" s="425">
        <v>2</v>
      </c>
      <c r="F334" s="425">
        <v>1</v>
      </c>
      <c r="G334" s="425">
        <v>0</v>
      </c>
      <c r="H334" s="425" t="str">
        <f t="shared" ref="H334" si="68">+CONCATENATE(D334,",",E334,",",F334,",",G334)</f>
        <v>0,2,1,0</v>
      </c>
      <c r="I334" s="428">
        <v>410.1</v>
      </c>
      <c r="K334" s="425" t="str">
        <f>+IFERROR(VLOOKUP(B334,Foundation!$C$8:$E$696,3,FALSE),"")</f>
        <v>Sandy</v>
      </c>
      <c r="L334" s="425" t="str">
        <f>+IF(IFERROR(MATCH(B334,'Erection Compiled'!$C$6:$C$818,0),"B")="B","","E")</f>
        <v>E</v>
      </c>
      <c r="M334" s="425" t="str">
        <f>+IFERROR(VLOOKUP(B334,Tackwelding!$B$6:$G$367,6,FALSE),"")</f>
        <v/>
      </c>
    </row>
    <row r="335" spans="1:13" x14ac:dyDescent="0.25">
      <c r="A335" s="425">
        <v>329</v>
      </c>
      <c r="B335" s="425" t="s">
        <v>728</v>
      </c>
      <c r="C335" s="425" t="s">
        <v>20</v>
      </c>
      <c r="D335" s="425">
        <v>0</v>
      </c>
      <c r="E335" s="425">
        <v>0</v>
      </c>
      <c r="F335" s="425">
        <v>0</v>
      </c>
      <c r="G335" s="425">
        <v>0</v>
      </c>
      <c r="H335" s="425" t="str">
        <f t="shared" ref="H335" si="69">+CONCATENATE(D335,",",E335,",",F335,",",G335)</f>
        <v>0,0,0,0</v>
      </c>
      <c r="I335" s="428">
        <v>428.1</v>
      </c>
      <c r="K335" s="425" t="str">
        <f>+IFERROR(VLOOKUP(B335,Foundation!$C$8:$E$696,3,FALSE),"")</f>
        <v>Sandy</v>
      </c>
      <c r="L335" s="425" t="str">
        <f>+IF(IFERROR(MATCH(B335,'Erection Compiled'!$C$6:$C$818,0),"B")="B","","E")</f>
        <v>E</v>
      </c>
      <c r="M335" s="425" t="str">
        <f>+IFERROR(VLOOKUP(B335,Tackwelding!$B$6:$G$367,6,FALSE),"")</f>
        <v/>
      </c>
    </row>
    <row r="336" spans="1:13" x14ac:dyDescent="0.25">
      <c r="A336" s="425">
        <v>330</v>
      </c>
      <c r="B336" s="425" t="s">
        <v>729</v>
      </c>
      <c r="C336" s="425" t="s">
        <v>232</v>
      </c>
      <c r="D336" s="425">
        <v>1</v>
      </c>
      <c r="E336" s="425">
        <v>1</v>
      </c>
      <c r="F336" s="425">
        <v>3</v>
      </c>
      <c r="G336" s="425">
        <v>1</v>
      </c>
      <c r="H336" s="425" t="str">
        <f t="shared" ref="H336" si="70">+CONCATENATE(D336,",",E336,",",F336,",",G336)</f>
        <v>1,1,3,1</v>
      </c>
      <c r="I336" s="428">
        <v>406.6</v>
      </c>
      <c r="K336" s="425" t="str">
        <f>+IFERROR(VLOOKUP(B336,Foundation!$C$8:$E$696,3,FALSE),"")</f>
        <v>Sandy</v>
      </c>
      <c r="L336" s="425" t="str">
        <f>+IF(IFERROR(MATCH(B336,'Erection Compiled'!$C$6:$C$818,0),"B")="B","","E")</f>
        <v>E</v>
      </c>
      <c r="M336" s="425" t="str">
        <f>+IFERROR(VLOOKUP(B336,Tackwelding!$B$6:$G$367,6,FALSE),"")</f>
        <v/>
      </c>
    </row>
    <row r="337" spans="1:13" x14ac:dyDescent="0.25">
      <c r="A337" s="425">
        <v>331</v>
      </c>
      <c r="B337" s="425" t="s">
        <v>730</v>
      </c>
      <c r="C337" s="425" t="s">
        <v>20</v>
      </c>
      <c r="D337" s="425">
        <v>0</v>
      </c>
      <c r="E337" s="425">
        <v>0</v>
      </c>
      <c r="F337" s="425">
        <v>0</v>
      </c>
      <c r="G337" s="425">
        <v>0</v>
      </c>
      <c r="H337" s="425" t="str">
        <f t="shared" ref="H337" si="71">+CONCATENATE(D337,",",E337,",",F337,",",G337)</f>
        <v>0,0,0,0</v>
      </c>
      <c r="I337" s="428">
        <v>411.3</v>
      </c>
      <c r="K337" s="425" t="str">
        <f>+IFERROR(VLOOKUP(B337,Foundation!$C$8:$E$696,3,FALSE),"")</f>
        <v>Sandy</v>
      </c>
      <c r="L337" s="425" t="str">
        <f>+IF(IFERROR(MATCH(B337,'Erection Compiled'!$C$6:$C$818,0),"B")="B","","E")</f>
        <v>E</v>
      </c>
      <c r="M337" s="425" t="str">
        <f>+IFERROR(VLOOKUP(B337,Tackwelding!$B$6:$G$367,6,FALSE),"")</f>
        <v/>
      </c>
    </row>
    <row r="338" spans="1:13" x14ac:dyDescent="0.25">
      <c r="A338" s="425">
        <v>332</v>
      </c>
      <c r="B338" s="425" t="s">
        <v>731</v>
      </c>
      <c r="C338" s="425" t="s">
        <v>20</v>
      </c>
      <c r="D338" s="425">
        <v>0</v>
      </c>
      <c r="E338" s="425">
        <v>0</v>
      </c>
      <c r="F338" s="425">
        <v>0</v>
      </c>
      <c r="G338" s="425">
        <v>0</v>
      </c>
      <c r="H338" s="425" t="str">
        <f t="shared" ref="H338" si="72">+CONCATENATE(D338,",",E338,",",F338,",",G338)</f>
        <v>0,0,0,0</v>
      </c>
      <c r="I338" s="428">
        <v>427.8</v>
      </c>
      <c r="K338" s="425" t="str">
        <f>+IFERROR(VLOOKUP(B338,Foundation!$C$8:$E$696,3,FALSE),"")</f>
        <v>Sandy</v>
      </c>
      <c r="L338" s="425" t="str">
        <f>+IF(IFERROR(MATCH(B338,'Erection Compiled'!$C$6:$C$818,0),"B")="B","","E")</f>
        <v>E</v>
      </c>
      <c r="M338" s="425" t="str">
        <f>+IFERROR(VLOOKUP(B338,Tackwelding!$B$6:$G$367,6,FALSE),"")</f>
        <v/>
      </c>
    </row>
    <row r="339" spans="1:13" x14ac:dyDescent="0.25">
      <c r="A339" s="425">
        <v>333</v>
      </c>
      <c r="B339" s="425" t="s">
        <v>732</v>
      </c>
      <c r="C339" s="425" t="s">
        <v>246</v>
      </c>
      <c r="D339" s="425">
        <v>0</v>
      </c>
      <c r="E339" s="425">
        <v>0</v>
      </c>
      <c r="F339" s="425">
        <v>0</v>
      </c>
      <c r="G339" s="425">
        <v>0</v>
      </c>
      <c r="H339" s="425" t="str">
        <f t="shared" ref="H339" si="73">+CONCATENATE(D339,",",E339,",",F339,",",G339)</f>
        <v>0,0,0,0</v>
      </c>
      <c r="I339" s="428">
        <v>371.3</v>
      </c>
      <c r="K339" s="425" t="str">
        <f>+IFERROR(VLOOKUP(B339,Foundation!$C$8:$E$696,3,FALSE),"")</f>
        <v>Sandy</v>
      </c>
      <c r="L339" s="425" t="str">
        <f>+IF(IFERROR(MATCH(B339,'Erection Compiled'!$C$6:$C$818,0),"B")="B","","E")</f>
        <v>E</v>
      </c>
      <c r="M339" s="425" t="str">
        <f>+IFERROR(VLOOKUP(B339,Tackwelding!$B$6:$G$367,6,FALSE),"")</f>
        <v/>
      </c>
    </row>
    <row r="340" spans="1:13" x14ac:dyDescent="0.25">
      <c r="A340" s="425">
        <v>334</v>
      </c>
      <c r="B340" s="425" t="s">
        <v>733</v>
      </c>
      <c r="C340" s="425" t="s">
        <v>20</v>
      </c>
      <c r="D340" s="425">
        <v>1</v>
      </c>
      <c r="E340" s="425">
        <v>1</v>
      </c>
      <c r="F340" s="425">
        <v>0</v>
      </c>
      <c r="G340" s="425">
        <v>0</v>
      </c>
      <c r="H340" s="425" t="str">
        <f t="shared" ref="H340" si="74">+CONCATENATE(D340,",",E340,",",F340,",",G340)</f>
        <v>1,1,0,0</v>
      </c>
      <c r="I340" s="428">
        <v>365.1</v>
      </c>
      <c r="K340" s="425" t="str">
        <f>+IFERROR(VLOOKUP(B340,Foundation!$C$8:$E$696,3,FALSE),"")</f>
        <v>Sandy</v>
      </c>
      <c r="L340" s="425" t="str">
        <f>+IF(IFERROR(MATCH(B340,'Erection Compiled'!$C$6:$C$818,0),"B")="B","","E")</f>
        <v>E</v>
      </c>
      <c r="M340" s="425" t="str">
        <f>+IFERROR(VLOOKUP(B340,Tackwelding!$B$6:$G$367,6,FALSE),"")</f>
        <v/>
      </c>
    </row>
    <row r="341" spans="1:13" x14ac:dyDescent="0.25">
      <c r="A341" s="425">
        <v>335</v>
      </c>
      <c r="B341" s="425" t="s">
        <v>734</v>
      </c>
      <c r="C341" s="425" t="s">
        <v>20</v>
      </c>
      <c r="D341" s="425">
        <v>0</v>
      </c>
      <c r="E341" s="425">
        <v>0</v>
      </c>
      <c r="F341" s="425">
        <v>0</v>
      </c>
      <c r="G341" s="425">
        <v>0</v>
      </c>
      <c r="H341" s="425" t="str">
        <f t="shared" ref="H341" si="75">+CONCATENATE(D341,",",E341,",",F341,",",G341)</f>
        <v>0,0,0,0</v>
      </c>
      <c r="I341" s="428">
        <v>381</v>
      </c>
      <c r="K341" s="425" t="str">
        <f>+IFERROR(VLOOKUP(B341,Foundation!$C$8:$E$696,3,FALSE),"")</f>
        <v>Sandy</v>
      </c>
      <c r="L341" s="425" t="str">
        <f>+IF(IFERROR(MATCH(B341,'Erection Compiled'!$C$6:$C$818,0),"B")="B","","E")</f>
        <v>E</v>
      </c>
      <c r="M341" s="425" t="str">
        <f>+IFERROR(VLOOKUP(B341,Tackwelding!$B$6:$G$367,6,FALSE),"")</f>
        <v>Done</v>
      </c>
    </row>
    <row r="342" spans="1:13" x14ac:dyDescent="0.25">
      <c r="A342" s="425">
        <v>336</v>
      </c>
      <c r="B342" s="425" t="s">
        <v>735</v>
      </c>
      <c r="C342" s="425" t="s">
        <v>232</v>
      </c>
      <c r="D342" s="425">
        <v>0</v>
      </c>
      <c r="E342" s="425">
        <v>2</v>
      </c>
      <c r="F342" s="425">
        <v>0</v>
      </c>
      <c r="G342" s="425">
        <v>0</v>
      </c>
      <c r="H342" s="425" t="str">
        <f t="shared" ref="H342" si="76">+CONCATENATE(D342,",",E342,",",F342,",",G342)</f>
        <v>0,2,0,0</v>
      </c>
      <c r="I342" s="428">
        <v>417</v>
      </c>
      <c r="K342" s="425" t="str">
        <f>+IFERROR(VLOOKUP(B342,Foundation!$C$8:$E$696,3,FALSE),"")</f>
        <v>Sandy</v>
      </c>
      <c r="L342" s="425" t="str">
        <f>+IF(IFERROR(MATCH(B342,'Erection Compiled'!$C$6:$C$818,0),"B")="B","","E")</f>
        <v>E</v>
      </c>
      <c r="M342" s="425" t="str">
        <f>+IFERROR(VLOOKUP(B342,Tackwelding!$B$6:$G$367,6,FALSE),"")</f>
        <v>Done</v>
      </c>
    </row>
    <row r="343" spans="1:13" x14ac:dyDescent="0.25">
      <c r="A343" s="425">
        <v>337</v>
      </c>
      <c r="B343" s="425" t="s">
        <v>736</v>
      </c>
      <c r="C343" s="425" t="s">
        <v>233</v>
      </c>
      <c r="D343" s="425">
        <v>1</v>
      </c>
      <c r="E343" s="425">
        <v>2</v>
      </c>
      <c r="F343" s="425">
        <v>0</v>
      </c>
      <c r="G343" s="425">
        <v>0</v>
      </c>
      <c r="H343" s="425" t="str">
        <f t="shared" ref="H343" si="77">+CONCATENATE(D343,",",E343,",",F343,",",G343)</f>
        <v>1,2,0,0</v>
      </c>
      <c r="I343" s="428">
        <v>423.3</v>
      </c>
      <c r="K343" s="425" t="str">
        <f>+IFERROR(VLOOKUP(B343,Foundation!$C$8:$E$696,3,FALSE),"")</f>
        <v>Sandy</v>
      </c>
      <c r="L343" s="425" t="str">
        <f>+IF(IFERROR(MATCH(B343,'Erection Compiled'!$C$6:$C$818,0),"B")="B","","E")</f>
        <v>E</v>
      </c>
      <c r="M343" s="425" t="str">
        <f>+IFERROR(VLOOKUP(B343,Tackwelding!$B$6:$G$367,6,FALSE),"")</f>
        <v>Done</v>
      </c>
    </row>
    <row r="344" spans="1:13" x14ac:dyDescent="0.25">
      <c r="A344" s="425">
        <v>338</v>
      </c>
      <c r="B344" s="425" t="s">
        <v>737</v>
      </c>
      <c r="C344" s="425" t="s">
        <v>233</v>
      </c>
      <c r="D344" s="425">
        <v>1</v>
      </c>
      <c r="E344" s="425">
        <v>3</v>
      </c>
      <c r="F344" s="425">
        <v>3</v>
      </c>
      <c r="G344" s="425">
        <v>1</v>
      </c>
      <c r="H344" s="425" t="str">
        <f t="shared" ref="H344" si="78">+CONCATENATE(D344,",",E344,",",F344,",",G344)</f>
        <v>1,3,3,1</v>
      </c>
      <c r="I344" s="428">
        <v>401</v>
      </c>
      <c r="K344" s="425" t="str">
        <f>+IFERROR(VLOOKUP(B344,Foundation!$C$8:$E$696,3,FALSE),"")</f>
        <v>Sandy</v>
      </c>
      <c r="L344" s="425" t="str">
        <f>+IF(IFERROR(MATCH(B344,'Erection Compiled'!$C$6:$C$818,0),"B")="B","","E")</f>
        <v>E</v>
      </c>
      <c r="M344" s="425" t="str">
        <f>+IFERROR(VLOOKUP(B344,Tackwelding!$B$6:$G$367,6,FALSE),"")</f>
        <v>Done</v>
      </c>
    </row>
    <row r="345" spans="1:13" x14ac:dyDescent="0.25">
      <c r="A345" s="425">
        <v>339</v>
      </c>
      <c r="B345" s="425" t="s">
        <v>738</v>
      </c>
      <c r="C345" s="425" t="s">
        <v>246</v>
      </c>
      <c r="D345" s="425">
        <v>0</v>
      </c>
      <c r="E345" s="425">
        <v>1</v>
      </c>
      <c r="F345" s="425">
        <v>1</v>
      </c>
      <c r="G345" s="425">
        <v>0</v>
      </c>
      <c r="H345" s="425" t="str">
        <f t="shared" ref="H345" si="79">+CONCATENATE(D345,",",E345,",",F345,",",G345)</f>
        <v>0,1,1,0</v>
      </c>
      <c r="I345" s="428">
        <v>424</v>
      </c>
      <c r="K345" s="425" t="str">
        <f>+IFERROR(VLOOKUP(B345,Foundation!$C$8:$E$696,3,FALSE),"")</f>
        <v>Sandy</v>
      </c>
      <c r="L345" s="425" t="str">
        <f>+IF(IFERROR(MATCH(B345,'Erection Compiled'!$C$6:$C$818,0),"B")="B","","E")</f>
        <v>E</v>
      </c>
      <c r="M345" s="425" t="str">
        <f>+IFERROR(VLOOKUP(B345,Tackwelding!$B$6:$G$367,6,FALSE),"")</f>
        <v/>
      </c>
    </row>
    <row r="346" spans="1:13" x14ac:dyDescent="0.25">
      <c r="A346" s="425">
        <v>340</v>
      </c>
      <c r="B346" s="425" t="s">
        <v>739</v>
      </c>
      <c r="C346" s="425" t="s">
        <v>231</v>
      </c>
      <c r="H346" s="425" t="str">
        <f t="shared" ref="H346" si="80">+CONCATENATE(D346,",",E346,",",F346,",",G346)</f>
        <v>,,,</v>
      </c>
      <c r="I346" s="428">
        <v>404.9</v>
      </c>
      <c r="K346" s="425" t="str">
        <f>+IFERROR(VLOOKUP(B346,Foundation!$C$8:$E$696,3,FALSE),"")</f>
        <v>WFR</v>
      </c>
      <c r="L346" s="425" t="str">
        <f>+IF(IFERROR(MATCH(B346,'Erection Compiled'!$C$6:$C$818,0),"B")="B","","E")</f>
        <v>E</v>
      </c>
      <c r="M346" s="425" t="str">
        <f>+IFERROR(VLOOKUP(B346,Tackwelding!$B$6:$G$367,6,FALSE),"")</f>
        <v>Done</v>
      </c>
    </row>
    <row r="347" spans="1:13" x14ac:dyDescent="0.25">
      <c r="A347" s="425">
        <v>341</v>
      </c>
      <c r="B347" s="425" t="s">
        <v>740</v>
      </c>
      <c r="C347" s="425" t="s">
        <v>231</v>
      </c>
      <c r="H347" s="425" t="str">
        <f t="shared" ref="H347" si="81">+CONCATENATE(D347,",",E347,",",F347,",",G347)</f>
        <v>,,,</v>
      </c>
      <c r="I347" s="428">
        <v>343.1</v>
      </c>
      <c r="K347" s="425" t="str">
        <f>+IFERROR(VLOOKUP(B347,Foundation!$C$8:$E$696,3,FALSE),"")</f>
        <v>WFR</v>
      </c>
      <c r="L347" s="425" t="str">
        <f>+IF(IFERROR(MATCH(B347,'Erection Compiled'!$C$6:$C$818,0),"B")="B","","E")</f>
        <v>E</v>
      </c>
      <c r="M347" s="425" t="str">
        <f>+IFERROR(VLOOKUP(B347,Tackwelding!$B$6:$G$367,6,FALSE),"")</f>
        <v/>
      </c>
    </row>
    <row r="348" spans="1:13" x14ac:dyDescent="0.25">
      <c r="A348" s="425">
        <v>342</v>
      </c>
      <c r="B348" s="425" t="s">
        <v>741</v>
      </c>
      <c r="C348" s="425" t="s">
        <v>231</v>
      </c>
      <c r="H348" s="425" t="str">
        <f t="shared" ref="H348" si="82">+CONCATENATE(D348,",",E348,",",F348,",",G348)</f>
        <v>,,,</v>
      </c>
      <c r="I348" s="428">
        <v>357.7</v>
      </c>
      <c r="K348" s="425" t="str">
        <f>+IFERROR(VLOOKUP(B348,Foundation!$C$8:$E$696,3,FALSE),"")</f>
        <v>Sandy</v>
      </c>
      <c r="L348" s="425" t="str">
        <f>+IF(IFERROR(MATCH(B348,'Erection Compiled'!$C$6:$C$818,0),"B")="B","","E")</f>
        <v>E</v>
      </c>
      <c r="M348" s="425" t="str">
        <f>+IFERROR(VLOOKUP(B348,Tackwelding!$B$6:$G$367,6,FALSE),"")</f>
        <v>Done</v>
      </c>
    </row>
    <row r="349" spans="1:13" x14ac:dyDescent="0.25">
      <c r="A349" s="425">
        <v>343</v>
      </c>
      <c r="B349" s="425" t="s">
        <v>742</v>
      </c>
      <c r="C349" s="425" t="s">
        <v>231</v>
      </c>
      <c r="D349" s="425">
        <v>0</v>
      </c>
      <c r="E349" s="425">
        <v>0</v>
      </c>
      <c r="F349" s="425">
        <v>0</v>
      </c>
      <c r="G349" s="425">
        <v>1</v>
      </c>
      <c r="H349" s="425" t="str">
        <f t="shared" ref="H349" si="83">+CONCATENATE(D349,",",E349,",",F349,",",G349)</f>
        <v>0,0,0,1</v>
      </c>
      <c r="I349" s="428">
        <v>365.2</v>
      </c>
      <c r="K349" s="425" t="str">
        <f>+IFERROR(VLOOKUP(B349,Foundation!$C$8:$E$696,3,FALSE),"")</f>
        <v>Sandy</v>
      </c>
      <c r="L349" s="425" t="str">
        <f>+IF(IFERROR(MATCH(B349,'Erection Compiled'!$C$6:$C$818,0),"B")="B","","E")</f>
        <v>E</v>
      </c>
      <c r="M349" s="425" t="str">
        <f>+IFERROR(VLOOKUP(B349,Tackwelding!$B$6:$G$367,6,FALSE),"")</f>
        <v>Done</v>
      </c>
    </row>
    <row r="350" spans="1:13" x14ac:dyDescent="0.25">
      <c r="A350" s="425">
        <v>344</v>
      </c>
      <c r="B350" s="425" t="s">
        <v>743</v>
      </c>
      <c r="C350" s="425" t="s">
        <v>231</v>
      </c>
      <c r="D350" s="425">
        <v>0</v>
      </c>
      <c r="E350" s="425">
        <v>0</v>
      </c>
      <c r="F350" s="425">
        <v>1</v>
      </c>
      <c r="G350" s="425">
        <v>3</v>
      </c>
      <c r="H350" s="425" t="str">
        <f t="shared" ref="H350" si="84">+CONCATENATE(D350,",",E350,",",F350,",",G350)</f>
        <v>0,0,1,3</v>
      </c>
      <c r="I350" s="428">
        <v>350.1</v>
      </c>
      <c r="K350" s="425" t="str">
        <f>+IFERROR(VLOOKUP(B350,Foundation!$C$8:$E$696,3,FALSE),"")</f>
        <v>Sandy</v>
      </c>
      <c r="L350" s="425" t="str">
        <f>+IF(IFERROR(MATCH(B350,'Erection Compiled'!$C$6:$C$818,0),"B")="B","","E")</f>
        <v>E</v>
      </c>
      <c r="M350" s="425" t="str">
        <f>+IFERROR(VLOOKUP(B350,Tackwelding!$B$6:$G$367,6,FALSE),"")</f>
        <v>Done</v>
      </c>
    </row>
    <row r="351" spans="1:13" x14ac:dyDescent="0.25">
      <c r="A351" s="425">
        <v>345</v>
      </c>
      <c r="B351" s="425" t="s">
        <v>744</v>
      </c>
      <c r="C351" s="425" t="s">
        <v>231</v>
      </c>
      <c r="D351" s="425">
        <v>0</v>
      </c>
      <c r="E351" s="425">
        <v>0</v>
      </c>
      <c r="F351" s="425">
        <v>1</v>
      </c>
      <c r="G351" s="425">
        <v>2</v>
      </c>
      <c r="H351" s="425" t="str">
        <f t="shared" ref="H351" si="85">+CONCATENATE(D351,",",E351,",",F351,",",G351)</f>
        <v>0,0,1,2</v>
      </c>
      <c r="I351" s="428">
        <v>357.7</v>
      </c>
      <c r="K351" s="425" t="str">
        <f>+IFERROR(VLOOKUP(B351,Foundation!$C$8:$E$696,3,FALSE),"")</f>
        <v>Sandy</v>
      </c>
      <c r="L351" s="425" t="str">
        <f>+IF(IFERROR(MATCH(B351,'Erection Compiled'!$C$6:$C$818,0),"B")="B","","E")</f>
        <v>E</v>
      </c>
      <c r="M351" s="425" t="str">
        <f>+IFERROR(VLOOKUP(B351,Tackwelding!$B$6:$G$367,6,FALSE),"")</f>
        <v>Done</v>
      </c>
    </row>
    <row r="352" spans="1:13" x14ac:dyDescent="0.25">
      <c r="A352" s="425">
        <v>346</v>
      </c>
      <c r="B352" s="425" t="s">
        <v>745</v>
      </c>
      <c r="C352" s="425" t="s">
        <v>231</v>
      </c>
      <c r="D352" s="425">
        <v>0</v>
      </c>
      <c r="E352" s="425">
        <v>0</v>
      </c>
      <c r="F352" s="425">
        <v>1</v>
      </c>
      <c r="G352" s="425">
        <v>0</v>
      </c>
      <c r="H352" s="425" t="str">
        <f t="shared" ref="H352" si="86">+CONCATENATE(D352,",",E352,",",F352,",",G352)</f>
        <v>0,0,1,0</v>
      </c>
      <c r="I352" s="428">
        <v>337.8</v>
      </c>
      <c r="K352" s="425" t="str">
        <f>+IFERROR(VLOOKUP(B352,Foundation!$C$8:$E$696,3,FALSE),"")</f>
        <v>Sandy</v>
      </c>
      <c r="L352" s="425" t="str">
        <f>+IF(IFERROR(MATCH(B352,'Erection Compiled'!$C$6:$C$818,0),"B")="B","","E")</f>
        <v>E</v>
      </c>
      <c r="M352" s="425" t="str">
        <f>+IFERROR(VLOOKUP(B352,Tackwelding!$B$6:$G$367,6,FALSE),"")</f>
        <v>Done</v>
      </c>
    </row>
    <row r="353" spans="1:13" x14ac:dyDescent="0.25">
      <c r="A353" s="425">
        <v>347</v>
      </c>
      <c r="B353" s="425" t="s">
        <v>746</v>
      </c>
      <c r="C353" s="425" t="s">
        <v>232</v>
      </c>
      <c r="D353" s="425">
        <v>0</v>
      </c>
      <c r="E353" s="425">
        <v>0</v>
      </c>
      <c r="F353" s="425">
        <v>0</v>
      </c>
      <c r="G353" s="425">
        <v>0</v>
      </c>
      <c r="H353" s="425" t="str">
        <f t="shared" ref="H353" si="87">+CONCATENATE(D353,",",E353,",",F353,",",G353)</f>
        <v>0,0,0,0</v>
      </c>
      <c r="I353" s="428">
        <v>341.22</v>
      </c>
      <c r="K353" s="425" t="str">
        <f>+IFERROR(VLOOKUP(B353,Foundation!$C$8:$E$696,3,FALSE),"")</f>
        <v>Sandy</v>
      </c>
      <c r="L353" s="425" t="str">
        <f>+IF(IFERROR(MATCH(B353,'Erection Compiled'!$C$6:$C$818,0),"B")="B","","E")</f>
        <v>E</v>
      </c>
      <c r="M353" s="425" t="str">
        <f>+IFERROR(VLOOKUP(B353,Tackwelding!$B$6:$G$367,6,FALSE),"")</f>
        <v>Done</v>
      </c>
    </row>
    <row r="354" spans="1:13" x14ac:dyDescent="0.25">
      <c r="A354" s="425">
        <v>348</v>
      </c>
      <c r="B354" s="429" t="s">
        <v>93</v>
      </c>
      <c r="C354" s="429" t="s">
        <v>653</v>
      </c>
      <c r="D354" s="429">
        <v>3</v>
      </c>
      <c r="E354" s="429">
        <v>3</v>
      </c>
      <c r="F354" s="429">
        <v>0</v>
      </c>
      <c r="G354" s="429">
        <v>2</v>
      </c>
      <c r="H354" s="429" t="str">
        <f t="shared" ref="H354" si="88">+CONCATENATE(D354,",",E354,",",F354,",",G354)</f>
        <v>3,3,0,2</v>
      </c>
      <c r="I354" s="428">
        <v>460.49</v>
      </c>
      <c r="K354" s="425" t="str">
        <f>+IFERROR(VLOOKUP(B354,Foundation!$C$8:$E$696,3,FALSE),"")</f>
        <v>Sandy</v>
      </c>
      <c r="L354" s="425" t="str">
        <f>+IF(IFERROR(MATCH(B354,'Erection Compiled'!$C$6:$C$818,0),"B")="B","","E")</f>
        <v>E</v>
      </c>
      <c r="M354" s="425" t="str">
        <f>+IFERROR(VLOOKUP(B354,Tackwelding!$B$6:$G$367,6,FALSE),"")</f>
        <v/>
      </c>
    </row>
    <row r="355" spans="1:13" x14ac:dyDescent="0.25">
      <c r="A355" s="425">
        <v>349</v>
      </c>
      <c r="B355" s="429" t="s">
        <v>94</v>
      </c>
      <c r="C355" s="429" t="s">
        <v>653</v>
      </c>
      <c r="D355" s="429">
        <v>0</v>
      </c>
      <c r="E355" s="429">
        <v>0</v>
      </c>
      <c r="F355" s="429">
        <v>0</v>
      </c>
      <c r="G355" s="429">
        <v>0</v>
      </c>
      <c r="H355" s="429" t="str">
        <f t="shared" ref="H355" si="89">+CONCATENATE(D355,",",E355,",",F355,",",G355)</f>
        <v>0,0,0,0</v>
      </c>
      <c r="I355" s="428">
        <v>219.76</v>
      </c>
      <c r="K355" s="425" t="str">
        <f>+IFERROR(VLOOKUP(B355,Foundation!$C$8:$E$696,3,FALSE),"")</f>
        <v>Sandy</v>
      </c>
      <c r="L355" s="425" t="str">
        <f>+IF(IFERROR(MATCH(B355,'Erection Compiled'!$C$6:$C$818,0),"B")="B","","E")</f>
        <v>E</v>
      </c>
      <c r="M355" s="425" t="str">
        <f>+IFERROR(VLOOKUP(B355,Tackwelding!$B$6:$G$367,6,FALSE),"")</f>
        <v/>
      </c>
    </row>
    <row r="356" spans="1:13" x14ac:dyDescent="0.25">
      <c r="A356" s="425">
        <v>350</v>
      </c>
      <c r="B356" s="425" t="s">
        <v>747</v>
      </c>
      <c r="C356" s="425" t="s">
        <v>231</v>
      </c>
      <c r="D356" s="425">
        <v>0</v>
      </c>
      <c r="E356" s="425">
        <v>0</v>
      </c>
      <c r="F356" s="425">
        <v>0</v>
      </c>
      <c r="G356" s="425">
        <v>0</v>
      </c>
      <c r="H356" s="425" t="str">
        <f t="shared" ref="H356" si="90">+CONCATENATE(D356,",",E356,",",F356,",",G356)</f>
        <v>0,0,0,0</v>
      </c>
      <c r="I356" s="430">
        <v>461.1</v>
      </c>
      <c r="K356" s="425" t="str">
        <f>+IFERROR(VLOOKUP(B356,Foundation!$C$8:$E$696,3,FALSE),"")</f>
        <v>Sandy</v>
      </c>
      <c r="L356" s="425" t="str">
        <f>+IF(IFERROR(MATCH(B356,'Erection Compiled'!$C$6:$C$818,0),"B")="B","","E")</f>
        <v>E</v>
      </c>
      <c r="M356" s="425" t="str">
        <f>+IFERROR(VLOOKUP(B356,Tackwelding!$B$6:$G$367,6,FALSE),"")</f>
        <v>Done</v>
      </c>
    </row>
    <row r="357" spans="1:13" x14ac:dyDescent="0.25">
      <c r="A357" s="425">
        <v>351</v>
      </c>
      <c r="B357" s="425" t="s">
        <v>748</v>
      </c>
      <c r="C357" s="425" t="s">
        <v>20</v>
      </c>
      <c r="D357" s="425">
        <v>0</v>
      </c>
      <c r="E357" s="425">
        <v>0</v>
      </c>
      <c r="F357" s="425">
        <v>0</v>
      </c>
      <c r="G357" s="425">
        <v>0</v>
      </c>
      <c r="H357" s="425" t="str">
        <f t="shared" ref="H357" si="91">+CONCATENATE(D357,",",E357,",",F357,",",G357)</f>
        <v>0,0,0,0</v>
      </c>
      <c r="I357" s="430">
        <v>355.5</v>
      </c>
      <c r="K357" s="425" t="str">
        <f>+IFERROR(VLOOKUP(B357,Foundation!$C$8:$E$696,3,FALSE),"")</f>
        <v>DRY</v>
      </c>
      <c r="L357" s="425" t="str">
        <f>+IF(IFERROR(MATCH(B357,'Erection Compiled'!$C$6:$C$818,0),"B")="B","","E")</f>
        <v>E</v>
      </c>
      <c r="M357" s="425" t="str">
        <f>+IFERROR(VLOOKUP(B357,Tackwelding!$B$6:$G$367,6,FALSE),"")</f>
        <v>Done</v>
      </c>
    </row>
    <row r="358" spans="1:13" x14ac:dyDescent="0.25">
      <c r="A358" s="425">
        <v>352</v>
      </c>
      <c r="B358" s="425" t="s">
        <v>749</v>
      </c>
      <c r="C358" s="425" t="s">
        <v>231</v>
      </c>
      <c r="D358" s="425">
        <v>0</v>
      </c>
      <c r="E358" s="425">
        <v>0</v>
      </c>
      <c r="F358" s="425">
        <v>0</v>
      </c>
      <c r="G358" s="425">
        <v>0</v>
      </c>
      <c r="H358" s="425" t="str">
        <f t="shared" ref="H358" si="92">+CONCATENATE(D358,",",E358,",",F358,",",G358)</f>
        <v>0,0,0,0</v>
      </c>
      <c r="I358" s="428">
        <v>405.4</v>
      </c>
      <c r="K358" s="425" t="str">
        <f>+IFERROR(VLOOKUP(B358,Foundation!$C$8:$E$696,3,FALSE),"")</f>
        <v>DRY</v>
      </c>
      <c r="L358" s="425" t="str">
        <f>+IF(IFERROR(MATCH(B358,'Erection Compiled'!$C$6:$C$818,0),"B")="B","","E")</f>
        <v>E</v>
      </c>
      <c r="M358" s="425" t="str">
        <f>+IFERROR(VLOOKUP(B358,Tackwelding!$B$6:$G$367,6,FALSE),"")</f>
        <v>Done</v>
      </c>
    </row>
    <row r="359" spans="1:13" x14ac:dyDescent="0.25">
      <c r="A359" s="425">
        <v>353</v>
      </c>
      <c r="B359" s="425" t="s">
        <v>750</v>
      </c>
      <c r="C359" s="425" t="s">
        <v>231</v>
      </c>
      <c r="D359" s="425">
        <v>0</v>
      </c>
      <c r="E359" s="425">
        <v>0</v>
      </c>
      <c r="F359" s="425">
        <v>0</v>
      </c>
      <c r="G359" s="425">
        <v>0</v>
      </c>
      <c r="H359" s="425" t="str">
        <f t="shared" ref="H359" si="93">+CONCATENATE(D359,",",E359,",",F359,",",G359)</f>
        <v>0,0,0,0</v>
      </c>
      <c r="I359" s="428">
        <v>418.2</v>
      </c>
      <c r="K359" s="425" t="str">
        <f>+IFERROR(VLOOKUP(B359,Foundation!$C$8:$E$696,3,FALSE),"")</f>
        <v>Sandy</v>
      </c>
      <c r="L359" s="425" t="str">
        <f>+IF(IFERROR(MATCH(B359,'Erection Compiled'!$C$6:$C$818,0),"B")="B","","E")</f>
        <v>E</v>
      </c>
      <c r="M359" s="425" t="str">
        <f>+IFERROR(VLOOKUP(B359,Tackwelding!$B$6:$G$367,6,FALSE),"")</f>
        <v>Done</v>
      </c>
    </row>
    <row r="360" spans="1:13" x14ac:dyDescent="0.25">
      <c r="A360" s="425">
        <v>354</v>
      </c>
      <c r="B360" s="425" t="s">
        <v>751</v>
      </c>
      <c r="C360" s="425" t="s">
        <v>20</v>
      </c>
      <c r="D360" s="425">
        <v>0</v>
      </c>
      <c r="E360" s="425">
        <v>0</v>
      </c>
      <c r="F360" s="425">
        <v>0</v>
      </c>
      <c r="G360" s="425">
        <v>1</v>
      </c>
      <c r="H360" s="425" t="str">
        <f t="shared" ref="H360" si="94">+CONCATENATE(D360,",",E360,",",F360,",",G360)</f>
        <v>0,0,0,1</v>
      </c>
      <c r="I360" s="428">
        <v>416.8</v>
      </c>
      <c r="K360" s="425" t="str">
        <f>+IFERROR(VLOOKUP(B360,Foundation!$C$8:$E$696,3,FALSE),"")</f>
        <v>Sandy</v>
      </c>
      <c r="L360" s="425" t="str">
        <f>+IF(IFERROR(MATCH(B360,'Erection Compiled'!$C$6:$C$818,0),"B")="B","","E")</f>
        <v>E</v>
      </c>
      <c r="M360" s="425" t="str">
        <f>+IFERROR(VLOOKUP(B360,Tackwelding!$B$6:$G$367,6,FALSE),"")</f>
        <v>Done</v>
      </c>
    </row>
    <row r="361" spans="1:13" x14ac:dyDescent="0.25">
      <c r="A361" s="425">
        <v>355</v>
      </c>
      <c r="B361" s="425" t="s">
        <v>752</v>
      </c>
      <c r="C361" s="425" t="s">
        <v>20</v>
      </c>
      <c r="D361" s="425">
        <v>0</v>
      </c>
      <c r="E361" s="425">
        <v>1</v>
      </c>
      <c r="F361" s="425">
        <v>0</v>
      </c>
      <c r="G361" s="425">
        <v>0</v>
      </c>
      <c r="H361" s="425" t="str">
        <f t="shared" ref="H361" si="95">+CONCATENATE(D361,",",E361,",",F361,",",G361)</f>
        <v>0,1,0,0</v>
      </c>
      <c r="I361" s="428">
        <v>395</v>
      </c>
      <c r="K361" s="425" t="str">
        <f>+IFERROR(VLOOKUP(B361,Foundation!$C$8:$E$696,3,FALSE),"")</f>
        <v>Sandy</v>
      </c>
      <c r="L361" s="425" t="str">
        <f>+IF(IFERROR(MATCH(B361,'Erection Compiled'!$C$6:$C$818,0),"B")="B","","E")</f>
        <v>E</v>
      </c>
      <c r="M361" s="425" t="str">
        <f>+IFERROR(VLOOKUP(B361,Tackwelding!$B$6:$G$367,6,FALSE),"")</f>
        <v>Done</v>
      </c>
    </row>
    <row r="362" spans="1:13" x14ac:dyDescent="0.25">
      <c r="A362" s="425">
        <v>356</v>
      </c>
      <c r="B362" s="425" t="s">
        <v>753</v>
      </c>
      <c r="C362" s="425" t="s">
        <v>20</v>
      </c>
      <c r="H362" s="425" t="str">
        <f t="shared" ref="H362" si="96">+CONCATENATE(D362,",",E362,",",F362,",",G362)</f>
        <v>,,,</v>
      </c>
      <c r="I362" s="428">
        <v>401.8</v>
      </c>
      <c r="K362" s="425" t="str">
        <f>+IFERROR(VLOOKUP(B362,Foundation!$C$8:$E$696,3,FALSE),"")</f>
        <v>DFR</v>
      </c>
      <c r="L362" s="425" t="str">
        <f>+IF(IFERROR(MATCH(B362,'Erection Compiled'!$C$6:$C$818,0),"B")="B","","E")</f>
        <v>E</v>
      </c>
      <c r="M362" s="425" t="str">
        <f>+IFERROR(VLOOKUP(B362,Tackwelding!$B$6:$G$367,6,FALSE),"")</f>
        <v>Done</v>
      </c>
    </row>
    <row r="363" spans="1:13" x14ac:dyDescent="0.25">
      <c r="A363" s="425">
        <v>357</v>
      </c>
      <c r="B363" s="425" t="s">
        <v>95</v>
      </c>
      <c r="C363" s="425" t="s">
        <v>868</v>
      </c>
      <c r="D363" s="425">
        <v>0</v>
      </c>
      <c r="E363" s="425">
        <v>0</v>
      </c>
      <c r="F363" s="425">
        <v>0</v>
      </c>
      <c r="G363" s="425">
        <v>0</v>
      </c>
      <c r="H363" s="425" t="str">
        <f t="shared" ref="H363" si="97">+CONCATENATE(D363,",",E363,",",F363,",",G363)</f>
        <v>0,0,0,0</v>
      </c>
      <c r="I363" s="428">
        <v>433.9</v>
      </c>
      <c r="K363" s="425" t="str">
        <f>+IFERROR(VLOOKUP(B363,Foundation!$C$8:$E$696,3,FALSE),"")</f>
        <v>DFR</v>
      </c>
      <c r="L363" s="425" t="str">
        <f>+IF(IFERROR(MATCH(B363,'Erection Compiled'!$C$6:$C$818,0),"B")="B","","E")</f>
        <v>E</v>
      </c>
      <c r="M363" s="425" t="str">
        <f>+IFERROR(VLOOKUP(B363,Tackwelding!$B$6:$G$367,6,FALSE),"")</f>
        <v>Done</v>
      </c>
    </row>
    <row r="364" spans="1:13" x14ac:dyDescent="0.25">
      <c r="A364" s="425">
        <v>358</v>
      </c>
      <c r="B364" s="425" t="s">
        <v>35</v>
      </c>
      <c r="C364" s="425" t="s">
        <v>244</v>
      </c>
      <c r="D364" s="425">
        <v>0</v>
      </c>
      <c r="E364" s="425">
        <v>0</v>
      </c>
      <c r="F364" s="425">
        <v>0</v>
      </c>
      <c r="G364" s="425">
        <v>0</v>
      </c>
      <c r="H364" s="425" t="str">
        <f t="shared" ref="H364" si="98">+CONCATENATE(D364,",",E364,",",F364,",",G364)</f>
        <v>0,0,0,0</v>
      </c>
      <c r="I364" s="428">
        <v>238.9</v>
      </c>
      <c r="K364" s="425" t="str">
        <f>+IFERROR(VLOOKUP(B364,Foundation!$C$8:$E$696,3,FALSE),"")</f>
        <v>DRY</v>
      </c>
      <c r="L364" s="425" t="str">
        <f>+IF(IFERROR(MATCH(B364,'Erection Compiled'!$C$6:$C$818,0),"B")="B","","E")</f>
        <v>E</v>
      </c>
      <c r="M364" s="425" t="str">
        <f>+IFERROR(VLOOKUP(B364,Tackwelding!$B$6:$G$367,6,FALSE),"")</f>
        <v>Done</v>
      </c>
    </row>
    <row r="365" spans="1:13" x14ac:dyDescent="0.25">
      <c r="A365" s="425">
        <v>359</v>
      </c>
      <c r="B365" s="425" t="s">
        <v>754</v>
      </c>
      <c r="C365" s="425" t="s">
        <v>20</v>
      </c>
      <c r="D365" s="425">
        <v>0</v>
      </c>
      <c r="E365" s="425">
        <v>0</v>
      </c>
      <c r="F365" s="425">
        <v>0</v>
      </c>
      <c r="G365" s="425">
        <v>1</v>
      </c>
      <c r="H365" s="425" t="str">
        <f t="shared" ref="H365" si="99">+CONCATENATE(D365,",",E365,",",F365,",",G365)</f>
        <v>0,0,0,1</v>
      </c>
      <c r="I365" s="428">
        <v>411.3</v>
      </c>
      <c r="K365" s="425" t="str">
        <f>+IFERROR(VLOOKUP(B365,Foundation!$C$8:$E$696,3,FALSE),"")</f>
        <v>DRY</v>
      </c>
      <c r="L365" s="425" t="str">
        <f>+IF(IFERROR(MATCH(B365,'Erection Compiled'!$C$6:$C$818,0),"B")="B","","E")</f>
        <v>E</v>
      </c>
      <c r="M365" s="425" t="str">
        <f>+IFERROR(VLOOKUP(B365,Tackwelding!$B$6:$G$367,6,FALSE),"")</f>
        <v>Done</v>
      </c>
    </row>
    <row r="366" spans="1:13" x14ac:dyDescent="0.25">
      <c r="A366" s="425">
        <v>360</v>
      </c>
      <c r="B366" s="425" t="s">
        <v>96</v>
      </c>
      <c r="C366" s="425" t="s">
        <v>20</v>
      </c>
      <c r="D366" s="425">
        <v>0</v>
      </c>
      <c r="E366" s="425">
        <v>0</v>
      </c>
      <c r="F366" s="425">
        <v>0</v>
      </c>
      <c r="G366" s="425">
        <v>0</v>
      </c>
      <c r="H366" s="425" t="str">
        <f t="shared" ref="H366" si="100">+CONCATENATE(D366,",",E366,",",F366,",",G366)</f>
        <v>0,0,0,0</v>
      </c>
      <c r="I366" s="428">
        <v>418.2</v>
      </c>
      <c r="K366" s="425" t="str">
        <f>+IFERROR(VLOOKUP(B366,Foundation!$C$8:$E$696,3,FALSE),"")</f>
        <v>DFR</v>
      </c>
      <c r="L366" s="425" t="str">
        <f>+IF(IFERROR(MATCH(B366,'Erection Compiled'!$C$6:$C$818,0),"B")="B","","E")</f>
        <v>E</v>
      </c>
      <c r="M366" s="425" t="str">
        <f>+IFERROR(VLOOKUP(B366,Tackwelding!$B$6:$G$367,6,FALSE),"")</f>
        <v>Done</v>
      </c>
    </row>
    <row r="367" spans="1:13" x14ac:dyDescent="0.25">
      <c r="A367" s="425">
        <v>361</v>
      </c>
      <c r="B367" s="425" t="s">
        <v>218</v>
      </c>
      <c r="C367" s="425" t="s">
        <v>20</v>
      </c>
      <c r="D367" s="425">
        <v>0</v>
      </c>
      <c r="E367" s="425">
        <v>0</v>
      </c>
      <c r="F367" s="425">
        <v>0</v>
      </c>
      <c r="G367" s="425">
        <v>1</v>
      </c>
      <c r="H367" s="425" t="str">
        <f t="shared" ref="H367" si="101">+CONCATENATE(D367,",",E367,",",F367,",",G367)</f>
        <v>0,0,0,1</v>
      </c>
      <c r="I367" s="428">
        <v>412.3</v>
      </c>
      <c r="K367" s="425" t="str">
        <f>+IFERROR(VLOOKUP(B367,Foundation!$C$8:$E$696,3,FALSE),"")</f>
        <v>DFR</v>
      </c>
      <c r="L367" s="425" t="str">
        <f>+IF(IFERROR(MATCH(B367,'Erection Compiled'!$C$6:$C$818,0),"B")="B","","E")</f>
        <v>E</v>
      </c>
      <c r="M367" s="425" t="str">
        <f>+IFERROR(VLOOKUP(B367,Tackwelding!$B$6:$G$367,6,FALSE),"")</f>
        <v>Done</v>
      </c>
    </row>
    <row r="368" spans="1:13" x14ac:dyDescent="0.25">
      <c r="A368" s="425">
        <v>362</v>
      </c>
      <c r="B368" s="425" t="s">
        <v>755</v>
      </c>
      <c r="C368" s="425" t="s">
        <v>20</v>
      </c>
      <c r="H368" s="425" t="str">
        <f t="shared" ref="H368" si="102">+CONCATENATE(D368,",",E368,",",F368,",",G368)</f>
        <v>,,,</v>
      </c>
      <c r="I368" s="428">
        <v>421</v>
      </c>
      <c r="K368" s="425" t="str">
        <f>+IFERROR(VLOOKUP(B368,Foundation!$C$8:$E$696,3,FALSE),"")</f>
        <v>DFR</v>
      </c>
      <c r="L368" s="425" t="str">
        <f>+IF(IFERROR(MATCH(B368,'Erection Compiled'!$C$6:$C$818,0),"B")="B","","E")</f>
        <v>E</v>
      </c>
      <c r="M368" s="425" t="str">
        <f>+IFERROR(VLOOKUP(B368,Tackwelding!$B$6:$G$367,6,FALSE),"")</f>
        <v>Done</v>
      </c>
    </row>
    <row r="369" spans="1:13" x14ac:dyDescent="0.25">
      <c r="A369" s="425">
        <v>363</v>
      </c>
      <c r="B369" s="425" t="s">
        <v>756</v>
      </c>
      <c r="C369" s="425" t="s">
        <v>20</v>
      </c>
      <c r="H369" s="425" t="str">
        <f t="shared" ref="H369" si="103">+CONCATENATE(D369,",",E369,",",F369,",",G369)</f>
        <v>,,,</v>
      </c>
      <c r="I369" s="428">
        <v>419.7</v>
      </c>
      <c r="K369" s="425" t="str">
        <f>+IFERROR(VLOOKUP(B369,Foundation!$C$8:$E$696,3,FALSE),"")</f>
        <v>DFR</v>
      </c>
      <c r="L369" s="425" t="str">
        <f>+IF(IFERROR(MATCH(B369,'Erection Compiled'!$C$6:$C$818,0),"B")="B","","E")</f>
        <v>E</v>
      </c>
      <c r="M369" s="425" t="str">
        <f>+IFERROR(VLOOKUP(B369,Tackwelding!$B$6:$G$367,6,FALSE),"")</f>
        <v>Done</v>
      </c>
    </row>
    <row r="370" spans="1:13" x14ac:dyDescent="0.25">
      <c r="A370" s="425">
        <v>364</v>
      </c>
      <c r="B370" s="425" t="s">
        <v>757</v>
      </c>
      <c r="C370" s="425" t="s">
        <v>20</v>
      </c>
      <c r="H370" s="425" t="str">
        <f t="shared" ref="H370" si="104">+CONCATENATE(D370,",",E370,",",F370,",",G370)</f>
        <v>,,,</v>
      </c>
      <c r="I370" s="428">
        <v>419.1</v>
      </c>
      <c r="K370" s="425" t="str">
        <f>+IFERROR(VLOOKUP(B370,Foundation!$C$8:$E$696,3,FALSE),"")</f>
        <v>DFR</v>
      </c>
      <c r="L370" s="425" t="str">
        <f>+IF(IFERROR(MATCH(B370,'Erection Compiled'!$C$6:$C$818,0),"B")="B","","E")</f>
        <v>E</v>
      </c>
      <c r="M370" s="425" t="str">
        <f>+IFERROR(VLOOKUP(B370,Tackwelding!$B$6:$G$367,6,FALSE),"")</f>
        <v>Done</v>
      </c>
    </row>
    <row r="371" spans="1:13" x14ac:dyDescent="0.25">
      <c r="A371" s="425">
        <v>365</v>
      </c>
      <c r="B371" s="425" t="s">
        <v>758</v>
      </c>
      <c r="C371" s="425" t="s">
        <v>20</v>
      </c>
      <c r="D371" s="425">
        <v>0</v>
      </c>
      <c r="E371" s="425">
        <v>0</v>
      </c>
      <c r="F371" s="425">
        <v>0</v>
      </c>
      <c r="G371" s="425">
        <v>0</v>
      </c>
      <c r="H371" s="425" t="str">
        <f t="shared" ref="H371" si="105">+CONCATENATE(D371,",",E371,",",F371,",",G371)</f>
        <v>0,0,0,0</v>
      </c>
      <c r="I371" s="428">
        <v>408.8</v>
      </c>
      <c r="K371" s="425" t="str">
        <f>+IFERROR(VLOOKUP(B371,Foundation!$C$8:$E$696,3,FALSE),"")</f>
        <v>DRY</v>
      </c>
      <c r="L371" s="425" t="str">
        <f>+IF(IFERROR(MATCH(B371,'Erection Compiled'!$C$6:$C$818,0),"B")="B","","E")</f>
        <v>E</v>
      </c>
      <c r="M371" s="425" t="str">
        <f>+IFERROR(VLOOKUP(B371,Tackwelding!$B$6:$G$367,6,FALSE),"")</f>
        <v>Done</v>
      </c>
    </row>
    <row r="372" spans="1:13" x14ac:dyDescent="0.25">
      <c r="A372" s="425">
        <v>366</v>
      </c>
      <c r="B372" s="425" t="s">
        <v>759</v>
      </c>
      <c r="C372" s="425" t="s">
        <v>243</v>
      </c>
      <c r="H372" s="425" t="str">
        <f t="shared" ref="H372" si="106">+CONCATENATE(D372,",",E372,",",F372,",",G372)</f>
        <v>,,,</v>
      </c>
      <c r="I372" s="428">
        <v>426.9</v>
      </c>
      <c r="K372" s="425" t="str">
        <f>+IFERROR(VLOOKUP(B372,Foundation!$C$8:$E$696,3,FALSE),"")</f>
        <v>DRY</v>
      </c>
      <c r="L372" s="425" t="str">
        <f>+IF(IFERROR(MATCH(B372,'Erection Compiled'!$C$6:$C$818,0),"B")="B","","E")</f>
        <v>E</v>
      </c>
      <c r="M372" s="425" t="str">
        <f>+IFERROR(VLOOKUP(B372,Tackwelding!$B$6:$G$367,6,FALSE),"")</f>
        <v>Done</v>
      </c>
    </row>
    <row r="373" spans="1:13" x14ac:dyDescent="0.25">
      <c r="A373" s="425">
        <v>367</v>
      </c>
      <c r="B373" s="425" t="s">
        <v>760</v>
      </c>
      <c r="C373" s="425" t="s">
        <v>20</v>
      </c>
      <c r="H373" s="425" t="str">
        <f t="shared" ref="H373" si="107">+CONCATENATE(D373,",",E373,",",F373,",",G373)</f>
        <v>,,,</v>
      </c>
      <c r="I373" s="428">
        <v>434.7</v>
      </c>
      <c r="K373" s="425" t="str">
        <f>+IFERROR(VLOOKUP(B373,Foundation!$C$8:$E$696,3,FALSE),"")</f>
        <v>DRY</v>
      </c>
      <c r="L373" s="425" t="str">
        <f>+IF(IFERROR(MATCH(B373,'Erection Compiled'!$C$6:$C$818,0),"B")="B","","E")</f>
        <v>E</v>
      </c>
      <c r="M373" s="425" t="str">
        <f>+IFERROR(VLOOKUP(B373,Tackwelding!$B$6:$G$367,6,FALSE),"")</f>
        <v>Done</v>
      </c>
    </row>
    <row r="374" spans="1:13" x14ac:dyDescent="0.25">
      <c r="A374" s="425">
        <v>368</v>
      </c>
      <c r="B374" s="425" t="s">
        <v>761</v>
      </c>
      <c r="C374" s="425" t="s">
        <v>231</v>
      </c>
      <c r="H374" s="425" t="str">
        <f t="shared" ref="H374" si="108">+CONCATENATE(D374,",",E374,",",F374,",",G374)</f>
        <v>,,,</v>
      </c>
      <c r="I374" s="428">
        <v>400.8</v>
      </c>
      <c r="K374" s="425" t="str">
        <f>+IFERROR(VLOOKUP(B374,Foundation!$C$8:$E$696,3,FALSE),"")</f>
        <v>DRY</v>
      </c>
      <c r="L374" s="425" t="str">
        <f>+IF(IFERROR(MATCH(B374,'Erection Compiled'!$C$6:$C$818,0),"B")="B","","E")</f>
        <v>E</v>
      </c>
      <c r="M374" s="425" t="str">
        <f>+IFERROR(VLOOKUP(B374,Tackwelding!$B$6:$G$367,6,FALSE),"")</f>
        <v>Done</v>
      </c>
    </row>
    <row r="375" spans="1:13" x14ac:dyDescent="0.25">
      <c r="A375" s="425">
        <v>369</v>
      </c>
      <c r="B375" s="425" t="s">
        <v>762</v>
      </c>
      <c r="C375" s="425" t="s">
        <v>232</v>
      </c>
      <c r="D375" s="425">
        <v>0</v>
      </c>
      <c r="E375" s="425">
        <v>0</v>
      </c>
      <c r="F375" s="425">
        <v>2</v>
      </c>
      <c r="G375" s="425">
        <v>0</v>
      </c>
      <c r="H375" s="425" t="str">
        <f t="shared" ref="H375" si="109">+CONCATENATE(D375,",",E375,",",F375,",",G375)</f>
        <v>0,0,2,0</v>
      </c>
      <c r="I375" s="428">
        <v>436.3</v>
      </c>
      <c r="K375" s="425" t="str">
        <f>+IFERROR(VLOOKUP(B375,Foundation!$C$8:$E$696,3,FALSE),"")</f>
        <v>DFR</v>
      </c>
      <c r="L375" s="425" t="str">
        <f>+IF(IFERROR(MATCH(B375,'Erection Compiled'!$C$6:$C$818,0),"B")="B","","E")</f>
        <v>E</v>
      </c>
      <c r="M375" s="425" t="str">
        <f>+IFERROR(VLOOKUP(B375,Tackwelding!$B$6:$G$367,6,FALSE),"")</f>
        <v>Done</v>
      </c>
    </row>
    <row r="376" spans="1:13" x14ac:dyDescent="0.25">
      <c r="A376" s="425">
        <v>370</v>
      </c>
      <c r="B376" s="425" t="s">
        <v>763</v>
      </c>
      <c r="C376" s="425" t="s">
        <v>232</v>
      </c>
      <c r="H376" s="425" t="str">
        <f t="shared" ref="H376" si="110">+CONCATENATE(D376,",",E376,",",F376,",",G376)</f>
        <v>,,,</v>
      </c>
      <c r="I376" s="428">
        <v>393.1</v>
      </c>
      <c r="K376" s="425" t="str">
        <f>+IFERROR(VLOOKUP(B376,Foundation!$C$8:$E$696,3,FALSE),"")</f>
        <v>DFR</v>
      </c>
      <c r="L376" s="425" t="str">
        <f>+IF(IFERROR(MATCH(B376,'Erection Compiled'!$C$6:$C$818,0),"B")="B","","E")</f>
        <v>E</v>
      </c>
      <c r="M376" s="425" t="str">
        <f>+IFERROR(VLOOKUP(B376,Tackwelding!$B$6:$G$367,6,FALSE),"")</f>
        <v>Done</v>
      </c>
    </row>
    <row r="377" spans="1:13" x14ac:dyDescent="0.25">
      <c r="A377" s="425">
        <v>371</v>
      </c>
      <c r="B377" s="425" t="s">
        <v>764</v>
      </c>
      <c r="C377" s="425" t="s">
        <v>20</v>
      </c>
      <c r="H377" s="425" t="str">
        <f t="shared" ref="H377" si="111">+CONCATENATE(D377,",",E377,",",F377,",",G377)</f>
        <v>,,,</v>
      </c>
      <c r="I377" s="428">
        <v>447.4</v>
      </c>
      <c r="K377" s="425" t="str">
        <f>+IFERROR(VLOOKUP(B377,Foundation!$C$8:$E$696,3,FALSE),"")</f>
        <v>DRY</v>
      </c>
      <c r="L377" s="425" t="str">
        <f>+IF(IFERROR(MATCH(B377,'Erection Compiled'!$C$6:$C$818,0),"B")="B","","E")</f>
        <v>E</v>
      </c>
      <c r="M377" s="425" t="str">
        <f>+IFERROR(VLOOKUP(B377,Tackwelding!$B$6:$G$367,6,FALSE),"")</f>
        <v>Done</v>
      </c>
    </row>
    <row r="378" spans="1:13" x14ac:dyDescent="0.25">
      <c r="A378" s="425">
        <v>372</v>
      </c>
      <c r="B378" s="425" t="s">
        <v>765</v>
      </c>
      <c r="C378" s="425" t="s">
        <v>232</v>
      </c>
      <c r="H378" s="425" t="str">
        <f t="shared" ref="H378" si="112">+CONCATENATE(D378,",",E378,",",F378,",",G378)</f>
        <v>,,,</v>
      </c>
      <c r="I378" s="428">
        <v>391.1</v>
      </c>
      <c r="K378" s="425" t="str">
        <f>+IFERROR(VLOOKUP(B378,Foundation!$C$8:$E$696,3,FALSE),"")</f>
        <v>DRY</v>
      </c>
      <c r="L378" s="425" t="str">
        <f>+IF(IFERROR(MATCH(B378,'Erection Compiled'!$C$6:$C$818,0),"B")="B","","E")</f>
        <v>E</v>
      </c>
      <c r="M378" s="425" t="str">
        <f>+IFERROR(VLOOKUP(B378,Tackwelding!$B$6:$G$367,6,FALSE),"")</f>
        <v>Done</v>
      </c>
    </row>
    <row r="379" spans="1:13" x14ac:dyDescent="0.25">
      <c r="A379" s="425">
        <v>373</v>
      </c>
      <c r="B379" s="425" t="s">
        <v>766</v>
      </c>
      <c r="C379" s="425" t="s">
        <v>232</v>
      </c>
      <c r="H379" s="425" t="str">
        <f t="shared" ref="H379" si="113">+CONCATENATE(D379,",",E379,",",F379,",",G379)</f>
        <v>,,,</v>
      </c>
      <c r="I379" s="428">
        <v>448.6</v>
      </c>
      <c r="K379" s="425" t="str">
        <f>+IFERROR(VLOOKUP(B379,Foundation!$C$8:$E$696,3,FALSE),"")</f>
        <v>DRY</v>
      </c>
      <c r="L379" s="425" t="str">
        <f>+IF(IFERROR(MATCH(B379,'Erection Compiled'!$C$6:$C$818,0),"B")="B","","E")</f>
        <v>E</v>
      </c>
      <c r="M379" s="425" t="str">
        <f>+IFERROR(VLOOKUP(B379,Tackwelding!$B$6:$G$367,6,FALSE),"")</f>
        <v>Done</v>
      </c>
    </row>
    <row r="380" spans="1:13" x14ac:dyDescent="0.25">
      <c r="A380" s="425">
        <v>374</v>
      </c>
      <c r="B380" s="425" t="s">
        <v>767</v>
      </c>
      <c r="C380" s="425" t="s">
        <v>233</v>
      </c>
      <c r="H380" s="425" t="str">
        <f t="shared" ref="H380" si="114">+CONCATENATE(D380,",",E380,",",F380,",",G380)</f>
        <v>,,,</v>
      </c>
      <c r="I380" s="428">
        <v>388</v>
      </c>
      <c r="K380" s="425" t="str">
        <f>+IFERROR(VLOOKUP(B380,Foundation!$C$8:$E$696,3,FALSE),"")</f>
        <v>Dry</v>
      </c>
      <c r="L380" s="425" t="str">
        <f>+IF(IFERROR(MATCH(B380,'Erection Compiled'!$C$6:$C$818,0),"B")="B","","E")</f>
        <v>E</v>
      </c>
      <c r="M380" s="425" t="str">
        <f>+IFERROR(VLOOKUP(B380,Tackwelding!$B$6:$G$367,6,FALSE),"")</f>
        <v>Done</v>
      </c>
    </row>
    <row r="381" spans="1:13" x14ac:dyDescent="0.25">
      <c r="A381" s="425">
        <v>375</v>
      </c>
      <c r="B381" s="425" t="s">
        <v>97</v>
      </c>
      <c r="C381" s="425" t="s">
        <v>239</v>
      </c>
      <c r="H381" s="425" t="str">
        <f t="shared" ref="H381" si="115">+CONCATENATE(D381,",",E381,",",F381,",",G381)</f>
        <v>,,,</v>
      </c>
      <c r="I381" s="428">
        <v>438</v>
      </c>
      <c r="K381" s="425" t="str">
        <f>+IFERROR(VLOOKUP(B381,Foundation!$C$8:$E$696,3,FALSE),"")</f>
        <v>DRY</v>
      </c>
      <c r="L381" s="425" t="str">
        <f>+IF(IFERROR(MATCH(B381,'Erection Compiled'!$C$6:$C$818,0),"B")="B","","E")</f>
        <v>E</v>
      </c>
      <c r="M381" s="425" t="str">
        <f>+IFERROR(VLOOKUP(B381,Tackwelding!$B$6:$G$367,6,FALSE),"")</f>
        <v>Done</v>
      </c>
    </row>
    <row r="382" spans="1:13" x14ac:dyDescent="0.25">
      <c r="A382" s="425">
        <v>376</v>
      </c>
      <c r="B382" s="425" t="s">
        <v>768</v>
      </c>
      <c r="C382" s="425" t="s">
        <v>232</v>
      </c>
      <c r="H382" s="425" t="str">
        <f t="shared" ref="H382" si="116">+CONCATENATE(D382,",",E382,",",F382,",",G382)</f>
        <v>,,,</v>
      </c>
      <c r="I382" s="428">
        <v>413.8</v>
      </c>
      <c r="K382" s="425" t="str">
        <f>+IFERROR(VLOOKUP(B382,Foundation!$C$8:$E$696,3,FALSE),"")</f>
        <v>DRY</v>
      </c>
      <c r="L382" s="425" t="str">
        <f>+IF(IFERROR(MATCH(B382,'Erection Compiled'!$C$6:$C$818,0),"B")="B","","E")</f>
        <v>E</v>
      </c>
      <c r="M382" s="425" t="str">
        <f>+IFERROR(VLOOKUP(B382,Tackwelding!$B$6:$G$367,6,FALSE),"")</f>
        <v>Done</v>
      </c>
    </row>
    <row r="383" spans="1:13" x14ac:dyDescent="0.25">
      <c r="A383" s="425">
        <v>377</v>
      </c>
      <c r="B383" s="425" t="s">
        <v>769</v>
      </c>
      <c r="C383" s="425" t="s">
        <v>20</v>
      </c>
      <c r="D383" s="425">
        <v>2</v>
      </c>
      <c r="E383" s="425">
        <v>2</v>
      </c>
      <c r="F383" s="425">
        <v>0</v>
      </c>
      <c r="G383" s="425">
        <v>0</v>
      </c>
      <c r="H383" s="425" t="str">
        <f t="shared" ref="H383" si="117">+CONCATENATE(D383,",",E383,",",F383,",",G383)</f>
        <v>2,2,0,0</v>
      </c>
      <c r="I383" s="428">
        <v>424.2</v>
      </c>
      <c r="K383" s="425" t="str">
        <f>+IFERROR(VLOOKUP(B383,Foundation!$C$8:$E$696,3,FALSE),"")</f>
        <v>DFR</v>
      </c>
      <c r="L383" s="425" t="str">
        <f>+IF(IFERROR(MATCH(B383,'Erection Compiled'!$C$6:$C$818,0),"B")="B","","E")</f>
        <v>E</v>
      </c>
      <c r="M383" s="425" t="str">
        <f>+IFERROR(VLOOKUP(B383,Tackwelding!$B$6:$G$367,6,FALSE),"")</f>
        <v>Done</v>
      </c>
    </row>
    <row r="384" spans="1:13" x14ac:dyDescent="0.25">
      <c r="A384" s="425">
        <v>378</v>
      </c>
      <c r="B384" s="425" t="s">
        <v>770</v>
      </c>
      <c r="C384" s="425" t="s">
        <v>20</v>
      </c>
      <c r="H384" s="425" t="str">
        <f t="shared" ref="H384" si="118">+CONCATENATE(D384,",",E384,",",F384,",",G384)</f>
        <v>,,,</v>
      </c>
      <c r="I384" s="428">
        <v>414.5</v>
      </c>
      <c r="K384" s="425" t="str">
        <f>+IFERROR(VLOOKUP(B384,Foundation!$C$8:$E$696,3,FALSE),"")</f>
        <v>DFR</v>
      </c>
      <c r="L384" s="425" t="str">
        <f>+IF(IFERROR(MATCH(B384,'Erection Compiled'!$C$6:$C$818,0),"B")="B","","E")</f>
        <v>E</v>
      </c>
      <c r="M384" s="425" t="str">
        <f>+IFERROR(VLOOKUP(B384,Tackwelding!$B$6:$G$367,6,FALSE),"")</f>
        <v>Done</v>
      </c>
    </row>
    <row r="385" spans="1:13" x14ac:dyDescent="0.25">
      <c r="A385" s="425">
        <v>379</v>
      </c>
      <c r="B385" s="425" t="s">
        <v>771</v>
      </c>
      <c r="C385" s="425" t="s">
        <v>20</v>
      </c>
      <c r="H385" s="425" t="str">
        <f t="shared" ref="H385" si="119">+CONCATENATE(D385,",",E385,",",F385,",",G385)</f>
        <v>,,,</v>
      </c>
      <c r="I385" s="428">
        <v>425.6</v>
      </c>
      <c r="K385" s="425" t="str">
        <f>+IFERROR(VLOOKUP(B385,Foundation!$C$8:$E$696,3,FALSE),"")</f>
        <v>DFR</v>
      </c>
      <c r="L385" s="425" t="str">
        <f>+IF(IFERROR(MATCH(B385,'Erection Compiled'!$C$6:$C$818,0),"B")="B","","E")</f>
        <v>E</v>
      </c>
      <c r="M385" s="425" t="str">
        <f>+IFERROR(VLOOKUP(B385,Tackwelding!$B$6:$G$367,6,FALSE),"")</f>
        <v>Done</v>
      </c>
    </row>
    <row r="386" spans="1:13" x14ac:dyDescent="0.25">
      <c r="A386" s="425">
        <v>380</v>
      </c>
      <c r="B386" s="425" t="s">
        <v>772</v>
      </c>
      <c r="C386" s="425" t="s">
        <v>20</v>
      </c>
      <c r="H386" s="425" t="str">
        <f t="shared" ref="H386" si="120">+CONCATENATE(D386,",",E386,",",F386,",",G386)</f>
        <v>,,,</v>
      </c>
      <c r="I386" s="428">
        <v>412.3</v>
      </c>
      <c r="K386" s="425" t="str">
        <f>+IFERROR(VLOOKUP(B386,Foundation!$C$8:$E$696,3,FALSE),"")</f>
        <v>DRY</v>
      </c>
      <c r="L386" s="425" t="str">
        <f>+IF(IFERROR(MATCH(B386,'Erection Compiled'!$C$6:$C$818,0),"B")="B","","E")</f>
        <v>E</v>
      </c>
      <c r="M386" s="425" t="str">
        <f>+IFERROR(VLOOKUP(B386,Tackwelding!$B$6:$G$367,6,FALSE),"")</f>
        <v>Done</v>
      </c>
    </row>
    <row r="387" spans="1:13" x14ac:dyDescent="0.25">
      <c r="A387" s="425">
        <v>381</v>
      </c>
      <c r="B387" s="425" t="s">
        <v>773</v>
      </c>
      <c r="C387" s="425" t="s">
        <v>231</v>
      </c>
      <c r="H387" s="425" t="str">
        <f t="shared" ref="H387" si="121">+CONCATENATE(D387,",",E387,",",F387,",",G387)</f>
        <v>,,,</v>
      </c>
      <c r="I387" s="428">
        <v>374.1</v>
      </c>
      <c r="K387" s="425" t="str">
        <f>+IFERROR(VLOOKUP(B387,Foundation!$C$8:$E$696,3,FALSE),"")</f>
        <v>DRY</v>
      </c>
      <c r="L387" s="425" t="str">
        <f>+IF(IFERROR(MATCH(B387,'Erection Compiled'!$C$6:$C$818,0),"B")="B","","E")</f>
        <v>E</v>
      </c>
      <c r="M387" s="425" t="str">
        <f>+IFERROR(VLOOKUP(B387,Tackwelding!$B$6:$G$367,6,FALSE),"")</f>
        <v>Done</v>
      </c>
    </row>
    <row r="388" spans="1:13" x14ac:dyDescent="0.25">
      <c r="A388" s="425">
        <v>382</v>
      </c>
      <c r="B388" s="425" t="s">
        <v>774</v>
      </c>
      <c r="C388" s="425" t="s">
        <v>20</v>
      </c>
      <c r="H388" s="425" t="str">
        <f t="shared" ref="H388" si="122">+CONCATENATE(D388,",",E388,",",F388,",",G388)</f>
        <v>,,,</v>
      </c>
      <c r="I388" s="428">
        <v>410.1</v>
      </c>
      <c r="K388" s="425" t="str">
        <f>+IFERROR(VLOOKUP(B388,Foundation!$C$8:$E$696,3,FALSE),"")</f>
        <v>DRY</v>
      </c>
      <c r="L388" s="425" t="str">
        <f>+IF(IFERROR(MATCH(B388,'Erection Compiled'!$C$6:$C$818,0),"B")="B","","E")</f>
        <v>E</v>
      </c>
      <c r="M388" s="425" t="str">
        <f>+IFERROR(VLOOKUP(B388,Tackwelding!$B$6:$G$367,6,FALSE),"")</f>
        <v>Done</v>
      </c>
    </row>
    <row r="389" spans="1:13" x14ac:dyDescent="0.25">
      <c r="A389" s="425">
        <v>383</v>
      </c>
      <c r="B389" s="425" t="s">
        <v>775</v>
      </c>
      <c r="C389" s="425" t="s">
        <v>231</v>
      </c>
      <c r="H389" s="425" t="str">
        <f t="shared" ref="H389" si="123">+CONCATENATE(D389,",",E389,",",F389,",",G389)</f>
        <v>,,,</v>
      </c>
      <c r="I389" s="428">
        <v>400.4</v>
      </c>
      <c r="K389" s="425" t="str">
        <f>+IFERROR(VLOOKUP(B389,Foundation!$C$8:$E$696,3,FALSE),"")</f>
        <v>DRY</v>
      </c>
      <c r="L389" s="425" t="str">
        <f>+IF(IFERROR(MATCH(B389,'Erection Compiled'!$C$6:$C$818,0),"B")="B","","E")</f>
        <v>E</v>
      </c>
      <c r="M389" s="425" t="str">
        <f>+IFERROR(VLOOKUP(B389,Tackwelding!$B$6:$G$367,6,FALSE),"")</f>
        <v>Done</v>
      </c>
    </row>
    <row r="390" spans="1:13" x14ac:dyDescent="0.25">
      <c r="A390" s="425">
        <v>384</v>
      </c>
      <c r="B390" s="425" t="s">
        <v>776</v>
      </c>
      <c r="C390" s="425" t="s">
        <v>20</v>
      </c>
      <c r="H390" s="425" t="str">
        <f t="shared" ref="H390" si="124">+CONCATENATE(D390,",",E390,",",F390,",",G390)</f>
        <v>,,,</v>
      </c>
      <c r="I390" s="428">
        <v>409.2</v>
      </c>
      <c r="K390" s="425" t="str">
        <f>+IFERROR(VLOOKUP(B390,Foundation!$C$8:$E$696,3,FALSE),"")</f>
        <v>DRY</v>
      </c>
      <c r="L390" s="425" t="str">
        <f>+IF(IFERROR(MATCH(B390,'Erection Compiled'!$C$6:$C$818,0),"B")="B","","E")</f>
        <v>E</v>
      </c>
      <c r="M390" s="425" t="str">
        <f>+IFERROR(VLOOKUP(B390,Tackwelding!$B$6:$G$367,6,FALSE),"")</f>
        <v>Done</v>
      </c>
    </row>
    <row r="391" spans="1:13" x14ac:dyDescent="0.25">
      <c r="A391" s="425">
        <v>385</v>
      </c>
      <c r="B391" s="425" t="s">
        <v>777</v>
      </c>
      <c r="C391" s="425" t="s">
        <v>231</v>
      </c>
      <c r="H391" s="425" t="str">
        <f t="shared" ref="H391" si="125">+CONCATENATE(D391,",",E391,",",F391,",",G391)</f>
        <v>,,,</v>
      </c>
      <c r="I391" s="428">
        <v>401</v>
      </c>
      <c r="K391" s="425" t="str">
        <f>+IFERROR(VLOOKUP(B391,Foundation!$C$8:$E$696,3,FALSE),"")</f>
        <v>DFR</v>
      </c>
      <c r="L391" s="425" t="str">
        <f>+IF(IFERROR(MATCH(B391,'Erection Compiled'!$C$6:$C$818,0),"B")="B","","E")</f>
        <v>E</v>
      </c>
      <c r="M391" s="425" t="str">
        <f>+IFERROR(VLOOKUP(B391,Tackwelding!$B$6:$G$367,6,FALSE),"")</f>
        <v>Done</v>
      </c>
    </row>
    <row r="392" spans="1:13" x14ac:dyDescent="0.25">
      <c r="A392" s="425">
        <v>386</v>
      </c>
      <c r="B392" s="425" t="s">
        <v>778</v>
      </c>
      <c r="C392" s="425" t="s">
        <v>20</v>
      </c>
      <c r="H392" s="425" t="str">
        <f t="shared" ref="H392" si="126">+CONCATENATE(D392,",",E392,",",F392,",",G392)</f>
        <v>,,,</v>
      </c>
      <c r="I392" s="428">
        <v>394.5</v>
      </c>
      <c r="K392" s="425" t="str">
        <f>+IFERROR(VLOOKUP(B392,Foundation!$C$8:$E$696,3,FALSE),"")</f>
        <v>DRY</v>
      </c>
      <c r="L392" s="425" t="str">
        <f>+IF(IFERROR(MATCH(B392,'Erection Compiled'!$C$6:$C$818,0),"B")="B","","E")</f>
        <v>E</v>
      </c>
      <c r="M392" s="425" t="str">
        <f>+IFERROR(VLOOKUP(B392,Tackwelding!$B$6:$G$367,6,FALSE),"")</f>
        <v>Done</v>
      </c>
    </row>
    <row r="393" spans="1:13" x14ac:dyDescent="0.25">
      <c r="A393" s="425">
        <v>387</v>
      </c>
      <c r="B393" s="425" t="s">
        <v>98</v>
      </c>
      <c r="C393" s="425" t="s">
        <v>245</v>
      </c>
      <c r="H393" s="425" t="str">
        <f t="shared" ref="H393" si="127">+CONCATENATE(D393,",",E393,",",F393,",",G393)</f>
        <v>,,,</v>
      </c>
      <c r="I393" s="428">
        <v>397.9</v>
      </c>
      <c r="K393" s="425" t="str">
        <f>+IFERROR(VLOOKUP(B393,Foundation!$C$8:$E$696,3,FALSE),"")</f>
        <v>DRY</v>
      </c>
      <c r="L393" s="425" t="str">
        <f>+IF(IFERROR(MATCH(B393,'Erection Compiled'!$C$6:$C$818,0),"B")="B","","E")</f>
        <v>E</v>
      </c>
      <c r="M393" s="425" t="str">
        <f>+IFERROR(VLOOKUP(B393,Tackwelding!$B$6:$G$367,6,FALSE),"")</f>
        <v>Done</v>
      </c>
    </row>
    <row r="394" spans="1:13" x14ac:dyDescent="0.25">
      <c r="A394" s="425">
        <v>388</v>
      </c>
      <c r="B394" s="425" t="s">
        <v>779</v>
      </c>
      <c r="C394" s="425" t="s">
        <v>232</v>
      </c>
      <c r="D394" s="425">
        <v>0</v>
      </c>
      <c r="E394" s="425">
        <v>0</v>
      </c>
      <c r="F394" s="425">
        <v>0</v>
      </c>
      <c r="G394" s="425">
        <v>0</v>
      </c>
      <c r="H394" s="425" t="str">
        <f t="shared" ref="H394" si="128">+CONCATENATE(D394,",",E394,",",F394,",",G394)</f>
        <v>0,0,0,0</v>
      </c>
      <c r="I394" s="428">
        <v>405.7</v>
      </c>
      <c r="K394" s="425" t="str">
        <f>+IFERROR(VLOOKUP(B394,Foundation!$C$8:$E$696,3,FALSE),"")</f>
        <v>DFR</v>
      </c>
      <c r="L394" s="425" t="str">
        <f>+IF(IFERROR(MATCH(B394,'Erection Compiled'!$C$6:$C$818,0),"B")="B","","E")</f>
        <v>E</v>
      </c>
      <c r="M394" s="425" t="str">
        <f>+IFERROR(VLOOKUP(B394,Tackwelding!$B$6:$G$367,6,FALSE),"")</f>
        <v>Done</v>
      </c>
    </row>
    <row r="395" spans="1:13" x14ac:dyDescent="0.25">
      <c r="A395" s="425">
        <v>389</v>
      </c>
      <c r="B395" s="425" t="s">
        <v>780</v>
      </c>
      <c r="C395" s="425" t="s">
        <v>232</v>
      </c>
      <c r="H395" s="425" t="str">
        <f t="shared" ref="H395" si="129">+CONCATENATE(D395,",",E395,",",F395,",",G395)</f>
        <v>,,,</v>
      </c>
      <c r="I395" s="428">
        <v>433.2</v>
      </c>
      <c r="K395" s="425" t="str">
        <f>+IFERROR(VLOOKUP(B395,Foundation!$C$8:$E$696,3,FALSE),"")</f>
        <v>DFR</v>
      </c>
      <c r="L395" s="425" t="str">
        <f>+IF(IFERROR(MATCH(B395,'Erection Compiled'!$C$6:$C$818,0),"B")="B","","E")</f>
        <v>E</v>
      </c>
      <c r="M395" s="425" t="str">
        <f>+IFERROR(VLOOKUP(B395,Tackwelding!$B$6:$G$367,6,FALSE),"")</f>
        <v>Done</v>
      </c>
    </row>
    <row r="396" spans="1:13" x14ac:dyDescent="0.25">
      <c r="A396" s="425">
        <v>390</v>
      </c>
      <c r="B396" s="425" t="s">
        <v>781</v>
      </c>
      <c r="C396" s="425" t="s">
        <v>232</v>
      </c>
      <c r="H396" s="425" t="str">
        <f t="shared" ref="H396" si="130">+CONCATENATE(D396,",",E396,",",F396,",",G396)</f>
        <v>,,,</v>
      </c>
      <c r="I396" s="428">
        <v>400.9</v>
      </c>
      <c r="K396" s="425" t="str">
        <f>+IFERROR(VLOOKUP(B396,Foundation!$C$8:$E$696,3,FALSE),"")</f>
        <v>DRY</v>
      </c>
      <c r="L396" s="425" t="str">
        <f>+IF(IFERROR(MATCH(B396,'Erection Compiled'!$C$6:$C$818,0),"B")="B","","E")</f>
        <v>E</v>
      </c>
      <c r="M396" s="425" t="str">
        <f>+IFERROR(VLOOKUP(B396,Tackwelding!$B$6:$G$367,6,FALSE),"")</f>
        <v>Done</v>
      </c>
    </row>
    <row r="397" spans="1:13" x14ac:dyDescent="0.25">
      <c r="A397" s="425">
        <v>391</v>
      </c>
      <c r="B397" s="425" t="s">
        <v>782</v>
      </c>
      <c r="C397" s="425" t="s">
        <v>20</v>
      </c>
      <c r="H397" s="425" t="str">
        <f t="shared" ref="H397" si="131">+CONCATENATE(D397,",",E397,",",F397,",",G397)</f>
        <v>,,,</v>
      </c>
      <c r="I397" s="428">
        <v>427</v>
      </c>
      <c r="K397" s="425" t="str">
        <f>+IFERROR(VLOOKUP(B397,Foundation!$C$8:$E$696,3,FALSE),"")</f>
        <v>DRY</v>
      </c>
      <c r="L397" s="425" t="str">
        <f>+IF(IFERROR(MATCH(B397,'Erection Compiled'!$C$6:$C$818,0),"B")="B","","E")</f>
        <v>E</v>
      </c>
      <c r="M397" s="425" t="str">
        <f>+IFERROR(VLOOKUP(B397,Tackwelding!$B$6:$G$367,6,FALSE),"")</f>
        <v>Done</v>
      </c>
    </row>
    <row r="398" spans="1:13" x14ac:dyDescent="0.25">
      <c r="A398" s="425">
        <v>392</v>
      </c>
      <c r="B398" s="425" t="s">
        <v>783</v>
      </c>
      <c r="C398" s="425" t="s">
        <v>20</v>
      </c>
      <c r="H398" s="425" t="str">
        <f t="shared" ref="H398" si="132">+CONCATENATE(D398,",",E398,",",F398,",",G398)</f>
        <v>,,,</v>
      </c>
      <c r="I398" s="428">
        <v>413.9</v>
      </c>
      <c r="K398" s="425" t="str">
        <f>+IFERROR(VLOOKUP(B398,Foundation!$C$8:$E$696,3,FALSE),"")</f>
        <v>DRY</v>
      </c>
      <c r="L398" s="425" t="str">
        <f>+IF(IFERROR(MATCH(B398,'Erection Compiled'!$C$6:$C$818,0),"B")="B","","E")</f>
        <v>E</v>
      </c>
      <c r="M398" s="425" t="str">
        <f>+IFERROR(VLOOKUP(B398,Tackwelding!$B$6:$G$367,6,FALSE),"")</f>
        <v>Done</v>
      </c>
    </row>
    <row r="399" spans="1:13" x14ac:dyDescent="0.25">
      <c r="A399" s="425">
        <v>393</v>
      </c>
      <c r="B399" s="425" t="s">
        <v>784</v>
      </c>
      <c r="C399" s="425" t="s">
        <v>20</v>
      </c>
      <c r="H399" s="425" t="str">
        <f t="shared" ref="H399" si="133">+CONCATENATE(D399,",",E399,",",F399,",",G399)</f>
        <v>,,,</v>
      </c>
      <c r="I399" s="428">
        <v>426.4</v>
      </c>
      <c r="K399" s="425" t="str">
        <f>+IFERROR(VLOOKUP(B399,Foundation!$C$8:$E$696,3,FALSE),"")</f>
        <v>DRY</v>
      </c>
      <c r="L399" s="425" t="str">
        <f>+IF(IFERROR(MATCH(B399,'Erection Compiled'!$C$6:$C$818,0),"B")="B","","E")</f>
        <v>E</v>
      </c>
      <c r="M399" s="425" t="str">
        <f>+IFERROR(VLOOKUP(B399,Tackwelding!$B$6:$G$367,6,FALSE),"")</f>
        <v>Done</v>
      </c>
    </row>
    <row r="400" spans="1:13" x14ac:dyDescent="0.25">
      <c r="A400" s="425">
        <v>394</v>
      </c>
      <c r="B400" s="425" t="s">
        <v>785</v>
      </c>
      <c r="C400" s="425" t="s">
        <v>233</v>
      </c>
      <c r="D400" s="425">
        <v>0</v>
      </c>
      <c r="E400" s="425">
        <v>0</v>
      </c>
      <c r="F400" s="425">
        <v>0</v>
      </c>
      <c r="G400" s="425">
        <v>1</v>
      </c>
      <c r="H400" s="425" t="str">
        <f t="shared" ref="H400" si="134">+CONCATENATE(D400,",",E400,",",F400,",",G400)</f>
        <v>0,0,0,1</v>
      </c>
      <c r="I400" s="428">
        <v>411.5</v>
      </c>
      <c r="K400" s="425" t="str">
        <f>+IFERROR(VLOOKUP(B400,Foundation!$C$8:$E$696,3,FALSE),"")</f>
        <v>Dry</v>
      </c>
      <c r="L400" s="425" t="str">
        <f>+IF(IFERROR(MATCH(B400,'Erection Compiled'!$C$6:$C$818,0),"B")="B","","E")</f>
        <v>E</v>
      </c>
      <c r="M400" s="425" t="str">
        <f>+IFERROR(VLOOKUP(B400,Tackwelding!$B$6:$G$367,6,FALSE),"")</f>
        <v>Done</v>
      </c>
    </row>
    <row r="401" spans="1:13" x14ac:dyDescent="0.25">
      <c r="A401" s="425">
        <v>395</v>
      </c>
      <c r="B401" s="425" t="s">
        <v>786</v>
      </c>
      <c r="C401" s="425" t="s">
        <v>232</v>
      </c>
      <c r="D401" s="425">
        <v>1</v>
      </c>
      <c r="E401" s="425">
        <v>2</v>
      </c>
      <c r="F401" s="425">
        <v>1</v>
      </c>
      <c r="G401" s="425">
        <v>0</v>
      </c>
      <c r="H401" s="425" t="str">
        <f t="shared" ref="H401" si="135">+CONCATENATE(D401,",",E401,",",F401,",",G401)</f>
        <v>1,2,1,0</v>
      </c>
      <c r="I401" s="428">
        <v>376.3</v>
      </c>
      <c r="K401" s="425" t="str">
        <f>+IFERROR(VLOOKUP(B401,Foundation!$C$8:$E$696,3,FALSE),"")</f>
        <v>DRY</v>
      </c>
      <c r="L401" s="425" t="str">
        <f>+IF(IFERROR(MATCH(B401,'Erection Compiled'!$C$6:$C$818,0),"B")="B","","E")</f>
        <v>E</v>
      </c>
      <c r="M401" s="425" t="str">
        <f>+IFERROR(VLOOKUP(B401,Tackwelding!$B$6:$G$367,6,FALSE),"")</f>
        <v>Done</v>
      </c>
    </row>
    <row r="402" spans="1:13" x14ac:dyDescent="0.25">
      <c r="A402" s="425">
        <v>396</v>
      </c>
      <c r="B402" s="425" t="s">
        <v>787</v>
      </c>
      <c r="C402" s="425" t="s">
        <v>231</v>
      </c>
      <c r="H402" s="425" t="str">
        <f t="shared" ref="H402" si="136">+CONCATENATE(D402,",",E402,",",F402,",",G402)</f>
        <v>,,,</v>
      </c>
      <c r="I402" s="428">
        <v>433.4</v>
      </c>
      <c r="K402" s="425" t="str">
        <f>+IFERROR(VLOOKUP(B402,Foundation!$C$8:$E$696,3,FALSE),"")</f>
        <v>Dry</v>
      </c>
      <c r="L402" s="425" t="str">
        <f>+IF(IFERROR(MATCH(B402,'Erection Compiled'!$C$6:$C$818,0),"B")="B","","E")</f>
        <v>E</v>
      </c>
      <c r="M402" s="425" t="str">
        <f>+IFERROR(VLOOKUP(B402,Tackwelding!$B$6:$G$367,6,FALSE),"")</f>
        <v>Done</v>
      </c>
    </row>
    <row r="403" spans="1:13" x14ac:dyDescent="0.25">
      <c r="A403" s="425">
        <v>397</v>
      </c>
      <c r="B403" s="425" t="s">
        <v>788</v>
      </c>
      <c r="C403" s="425" t="s">
        <v>233</v>
      </c>
      <c r="H403" s="425" t="str">
        <f t="shared" ref="H403" si="137">+CONCATENATE(D403,",",E403,",",F403,",",G403)</f>
        <v>,,,</v>
      </c>
      <c r="I403" s="428">
        <v>405.6</v>
      </c>
      <c r="K403" s="425" t="str">
        <f>+IFERROR(VLOOKUP(B403,Foundation!$C$8:$E$696,3,FALSE),"")</f>
        <v>DRY</v>
      </c>
      <c r="L403" s="425" t="str">
        <f>+IF(IFERROR(MATCH(B403,'Erection Compiled'!$C$6:$C$818,0),"B")="B","","E")</f>
        <v>E</v>
      </c>
      <c r="M403" s="425" t="str">
        <f>+IFERROR(VLOOKUP(B403,Tackwelding!$B$6:$G$367,6,FALSE),"")</f>
        <v>Done</v>
      </c>
    </row>
    <row r="404" spans="1:13" x14ac:dyDescent="0.25">
      <c r="A404" s="425">
        <v>398</v>
      </c>
      <c r="B404" s="425" t="s">
        <v>99</v>
      </c>
      <c r="C404" s="425" t="s">
        <v>245</v>
      </c>
      <c r="D404" s="425">
        <v>0</v>
      </c>
      <c r="E404" s="425">
        <v>0</v>
      </c>
      <c r="F404" s="425">
        <v>0</v>
      </c>
      <c r="G404" s="425">
        <v>0</v>
      </c>
      <c r="H404" s="425" t="str">
        <f t="shared" ref="H404" si="138">+CONCATENATE(D404,",",E404,",",F404,",",G404)</f>
        <v>0,0,0,0</v>
      </c>
      <c r="I404" s="428">
        <v>434.3</v>
      </c>
      <c r="K404" s="425" t="str">
        <f>+IFERROR(VLOOKUP(B404,Foundation!$C$8:$E$696,3,FALSE),"")</f>
        <v>DRY</v>
      </c>
      <c r="L404" s="425" t="str">
        <f>+IF(IFERROR(MATCH(B404,'Erection Compiled'!$C$6:$C$818,0),"B")="B","","E")</f>
        <v>E</v>
      </c>
      <c r="M404" s="425" t="str">
        <f>+IFERROR(VLOOKUP(B404,Tackwelding!$B$6:$G$367,6,FALSE),"")</f>
        <v>Done</v>
      </c>
    </row>
    <row r="405" spans="1:13" x14ac:dyDescent="0.25">
      <c r="A405" s="425">
        <v>399</v>
      </c>
      <c r="B405" s="425" t="s">
        <v>789</v>
      </c>
      <c r="C405" s="425" t="s">
        <v>20</v>
      </c>
      <c r="D405" s="425">
        <v>0</v>
      </c>
      <c r="E405" s="425">
        <v>0</v>
      </c>
      <c r="F405" s="425">
        <v>1</v>
      </c>
      <c r="G405" s="425">
        <v>2</v>
      </c>
      <c r="H405" s="425" t="str">
        <f t="shared" ref="H405" si="139">+CONCATENATE(D405,",",E405,",",F405,",",G405)</f>
        <v>0,0,1,2</v>
      </c>
      <c r="I405" s="428">
        <v>418</v>
      </c>
      <c r="K405" s="425" t="str">
        <f>+IFERROR(VLOOKUP(B405,Foundation!$C$8:$E$696,3,FALSE),"")</f>
        <v>Sandy</v>
      </c>
      <c r="L405" s="425" t="str">
        <f>+IF(IFERROR(MATCH(B405,'Erection Compiled'!$C$6:$C$818,0),"B")="B","","E")</f>
        <v>E</v>
      </c>
      <c r="M405" s="425" t="str">
        <f>+IFERROR(VLOOKUP(B405,Tackwelding!$B$6:$G$367,6,FALSE),"")</f>
        <v>Done</v>
      </c>
    </row>
    <row r="406" spans="1:13" x14ac:dyDescent="0.25">
      <c r="A406" s="425">
        <v>400</v>
      </c>
      <c r="B406" s="425" t="s">
        <v>790</v>
      </c>
      <c r="C406" s="425" t="s">
        <v>20</v>
      </c>
      <c r="D406" s="425">
        <v>0</v>
      </c>
      <c r="E406" s="425">
        <v>1</v>
      </c>
      <c r="F406" s="425">
        <v>0</v>
      </c>
      <c r="G406" s="425">
        <v>0</v>
      </c>
      <c r="H406" s="425" t="str">
        <f t="shared" ref="H406" si="140">+CONCATENATE(D406,",",E406,",",F406,",",G406)</f>
        <v>0,1,0,0</v>
      </c>
      <c r="I406" s="428">
        <v>386</v>
      </c>
      <c r="K406" s="425" t="str">
        <f>+IFERROR(VLOOKUP(B406,Foundation!$C$8:$E$696,3,FALSE),"")</f>
        <v>DRY</v>
      </c>
      <c r="L406" s="425" t="str">
        <f>+IF(IFERROR(MATCH(B406,'Erection Compiled'!$C$6:$C$818,0),"B")="B","","E")</f>
        <v>E</v>
      </c>
      <c r="M406" s="425" t="str">
        <f>+IFERROR(VLOOKUP(B406,Tackwelding!$B$6:$G$367,6,FALSE),"")</f>
        <v>Done</v>
      </c>
    </row>
    <row r="407" spans="1:13" x14ac:dyDescent="0.25">
      <c r="A407" s="425">
        <v>401</v>
      </c>
      <c r="B407" s="425" t="s">
        <v>791</v>
      </c>
      <c r="C407" s="425" t="s">
        <v>231</v>
      </c>
      <c r="H407" s="425" t="str">
        <f t="shared" ref="H407" si="141">+CONCATENATE(D407,",",E407,",",F407,",",G407)</f>
        <v>,,,</v>
      </c>
      <c r="I407" s="428">
        <v>400</v>
      </c>
      <c r="K407" s="425" t="str">
        <f>+IFERROR(VLOOKUP(B407,Foundation!$C$8:$E$696,3,FALSE),"")</f>
        <v>DRY</v>
      </c>
      <c r="L407" s="425" t="str">
        <f>+IF(IFERROR(MATCH(B407,'Erection Compiled'!$C$6:$C$818,0),"B")="B","","E")</f>
        <v>E</v>
      </c>
      <c r="M407" s="425" t="str">
        <f>+IFERROR(VLOOKUP(B407,Tackwelding!$B$6:$G$367,6,FALSE),"")</f>
        <v>Done</v>
      </c>
    </row>
    <row r="408" spans="1:13" x14ac:dyDescent="0.25">
      <c r="A408" s="425">
        <v>402</v>
      </c>
      <c r="B408" s="425" t="s">
        <v>792</v>
      </c>
      <c r="C408" s="425" t="s">
        <v>20</v>
      </c>
      <c r="H408" s="425" t="str">
        <f t="shared" ref="H408" si="142">+CONCATENATE(D408,",",E408,",",F408,",",G408)</f>
        <v>,,,</v>
      </c>
      <c r="I408" s="428">
        <v>401</v>
      </c>
      <c r="K408" s="425" t="str">
        <f>+IFERROR(VLOOKUP(B408,Foundation!$C$8:$E$696,3,FALSE),"")</f>
        <v>DRY</v>
      </c>
      <c r="L408" s="425" t="str">
        <f>+IF(IFERROR(MATCH(B408,'Erection Compiled'!$C$6:$C$818,0),"B")="B","","E")</f>
        <v>E</v>
      </c>
      <c r="M408" s="425" t="str">
        <f>+IFERROR(VLOOKUP(B408,Tackwelding!$B$6:$G$367,6,FALSE),"")</f>
        <v>Done</v>
      </c>
    </row>
    <row r="409" spans="1:13" x14ac:dyDescent="0.25">
      <c r="A409" s="425">
        <v>403</v>
      </c>
      <c r="B409" s="425" t="s">
        <v>793</v>
      </c>
      <c r="C409" s="425" t="s">
        <v>231</v>
      </c>
      <c r="D409" s="425">
        <v>0</v>
      </c>
      <c r="E409" s="425">
        <v>0</v>
      </c>
      <c r="F409" s="425">
        <v>0</v>
      </c>
      <c r="G409" s="425">
        <v>0</v>
      </c>
      <c r="H409" s="425" t="str">
        <f t="shared" ref="H409" si="143">+CONCATENATE(D409,",",E409,",",F409,",",G409)</f>
        <v>0,0,0,0</v>
      </c>
      <c r="I409" s="428">
        <v>403</v>
      </c>
      <c r="K409" s="425" t="str">
        <f>+IFERROR(VLOOKUP(B409,Foundation!$C$8:$E$696,3,FALSE),"")</f>
        <v>DRY</v>
      </c>
      <c r="L409" s="425" t="str">
        <f>+IF(IFERROR(MATCH(B409,'Erection Compiled'!$C$6:$C$818,0),"B")="B","","E")</f>
        <v>E</v>
      </c>
      <c r="M409" s="425" t="str">
        <f>+IFERROR(VLOOKUP(B409,Tackwelding!$B$6:$G$367,6,FALSE),"")</f>
        <v>Done</v>
      </c>
    </row>
    <row r="410" spans="1:13" x14ac:dyDescent="0.25">
      <c r="A410" s="425">
        <v>404</v>
      </c>
      <c r="B410" s="425" t="s">
        <v>794</v>
      </c>
      <c r="C410" s="425" t="s">
        <v>20</v>
      </c>
      <c r="H410" s="425" t="str">
        <f t="shared" ref="H410" si="144">+CONCATENATE(D410,",",E410,",",F410,",",G410)</f>
        <v>,,,</v>
      </c>
      <c r="I410" s="428">
        <v>404</v>
      </c>
      <c r="K410" s="425" t="str">
        <f>+IFERROR(VLOOKUP(B410,Foundation!$C$8:$E$696,3,FALSE),"")</f>
        <v>DRY</v>
      </c>
      <c r="L410" s="425" t="str">
        <f>+IF(IFERROR(MATCH(B410,'Erection Compiled'!$C$6:$C$818,0),"B")="B","","E")</f>
        <v>E</v>
      </c>
      <c r="M410" s="425" t="str">
        <f>+IFERROR(VLOOKUP(B410,Tackwelding!$B$6:$G$367,6,FALSE),"")</f>
        <v>Done</v>
      </c>
    </row>
    <row r="411" spans="1:13" x14ac:dyDescent="0.25">
      <c r="A411" s="425">
        <v>405</v>
      </c>
      <c r="B411" s="425" t="s">
        <v>795</v>
      </c>
      <c r="C411" s="425" t="s">
        <v>20</v>
      </c>
      <c r="H411" s="425" t="str">
        <f t="shared" ref="H411" si="145">+CONCATENATE(D411,",",E411,",",F411,",",G411)</f>
        <v>,,,</v>
      </c>
      <c r="I411" s="428">
        <v>423</v>
      </c>
      <c r="K411" s="425" t="str">
        <f>+IFERROR(VLOOKUP(B411,Foundation!$C$8:$E$696,3,FALSE),"")</f>
        <v>DRY</v>
      </c>
      <c r="L411" s="425" t="str">
        <f>+IF(IFERROR(MATCH(B411,'Erection Compiled'!$C$6:$C$818,0),"B")="B","","E")</f>
        <v>E</v>
      </c>
      <c r="M411" s="425" t="str">
        <f>+IFERROR(VLOOKUP(B411,Tackwelding!$B$6:$G$367,6,FALSE),"")</f>
        <v>Done</v>
      </c>
    </row>
    <row r="412" spans="1:13" x14ac:dyDescent="0.25">
      <c r="A412" s="425">
        <v>406</v>
      </c>
      <c r="B412" s="425" t="s">
        <v>796</v>
      </c>
      <c r="C412" s="425" t="s">
        <v>231</v>
      </c>
      <c r="H412" s="425" t="str">
        <f t="shared" ref="H412" si="146">+CONCATENATE(D412,",",E412,",",F412,",",G412)</f>
        <v>,,,</v>
      </c>
      <c r="I412" s="428">
        <v>409</v>
      </c>
      <c r="K412" s="425" t="str">
        <f>+IFERROR(VLOOKUP(B412,Foundation!$C$8:$E$696,3,FALSE),"")</f>
        <v>DFR</v>
      </c>
      <c r="L412" s="425" t="str">
        <f>+IF(IFERROR(MATCH(B412,'Erection Compiled'!$C$6:$C$818,0),"B")="B","","E")</f>
        <v>E</v>
      </c>
      <c r="M412" s="425" t="str">
        <f>+IFERROR(VLOOKUP(B412,Tackwelding!$B$6:$G$367,6,FALSE),"")</f>
        <v>Done</v>
      </c>
    </row>
    <row r="413" spans="1:13" x14ac:dyDescent="0.25">
      <c r="A413" s="425">
        <v>407</v>
      </c>
      <c r="B413" s="425" t="s">
        <v>797</v>
      </c>
      <c r="C413" s="425" t="s">
        <v>20</v>
      </c>
      <c r="H413" s="425" t="str">
        <f t="shared" ref="H413" si="147">+CONCATENATE(D413,",",E413,",",F413,",",G413)</f>
        <v>,,,</v>
      </c>
      <c r="I413" s="428">
        <v>409</v>
      </c>
      <c r="K413" s="425" t="str">
        <f>+IFERROR(VLOOKUP(B413,Foundation!$C$8:$E$696,3,FALSE),"")</f>
        <v>DFR</v>
      </c>
      <c r="L413" s="425" t="str">
        <f>+IF(IFERROR(MATCH(B413,'Erection Compiled'!$C$6:$C$818,0),"B")="B","","E")</f>
        <v>E</v>
      </c>
      <c r="M413" s="425" t="str">
        <f>+IFERROR(VLOOKUP(B413,Tackwelding!$B$6:$G$367,6,FALSE),"")</f>
        <v>Done</v>
      </c>
    </row>
    <row r="414" spans="1:13" x14ac:dyDescent="0.25">
      <c r="A414" s="425">
        <v>408</v>
      </c>
      <c r="B414" s="425" t="s">
        <v>798</v>
      </c>
      <c r="C414" s="425" t="s">
        <v>231</v>
      </c>
      <c r="H414" s="425" t="str">
        <f t="shared" ref="H414" si="148">+CONCATENATE(D414,",",E414,",",F414,",",G414)</f>
        <v>,,,</v>
      </c>
      <c r="I414" s="428">
        <v>411</v>
      </c>
      <c r="K414" s="425" t="str">
        <f>+IFERROR(VLOOKUP(B414,Foundation!$C$8:$E$696,3,FALSE),"")</f>
        <v>DFR</v>
      </c>
      <c r="L414" s="425" t="str">
        <f>+IF(IFERROR(MATCH(B414,'Erection Compiled'!$C$6:$C$818,0),"B")="B","","E")</f>
        <v>E</v>
      </c>
      <c r="M414" s="425" t="str">
        <f>+IFERROR(VLOOKUP(B414,Tackwelding!$B$6:$G$367,6,FALSE),"")</f>
        <v>Done</v>
      </c>
    </row>
    <row r="415" spans="1:13" x14ac:dyDescent="0.25">
      <c r="A415" s="425">
        <v>409</v>
      </c>
      <c r="B415" s="425" t="s">
        <v>799</v>
      </c>
      <c r="C415" s="425" t="s">
        <v>20</v>
      </c>
      <c r="H415" s="425" t="str">
        <f t="shared" ref="H415" si="149">+CONCATENATE(D415,",",E415,",",F415,",",G415)</f>
        <v>,,,</v>
      </c>
      <c r="I415" s="428">
        <v>413</v>
      </c>
      <c r="K415" s="425" t="str">
        <f>+IFERROR(VLOOKUP(B415,Foundation!$C$8:$E$696,3,FALSE),"")</f>
        <v>DRY</v>
      </c>
      <c r="L415" s="425" t="str">
        <f>+IF(IFERROR(MATCH(B415,'Erection Compiled'!$C$6:$C$818,0),"B")="B","","E")</f>
        <v>E</v>
      </c>
      <c r="M415" s="425" t="str">
        <f>+IFERROR(VLOOKUP(B415,Tackwelding!$B$6:$G$367,6,FALSE),"")</f>
        <v>Done</v>
      </c>
    </row>
    <row r="416" spans="1:13" x14ac:dyDescent="0.25">
      <c r="A416" s="425">
        <v>410</v>
      </c>
      <c r="B416" s="425" t="s">
        <v>100</v>
      </c>
      <c r="C416" s="425" t="s">
        <v>239</v>
      </c>
      <c r="D416" s="425">
        <v>0</v>
      </c>
      <c r="E416" s="425">
        <v>0</v>
      </c>
      <c r="F416" s="425">
        <v>0</v>
      </c>
      <c r="G416" s="425">
        <v>0</v>
      </c>
      <c r="H416" s="425" t="str">
        <f t="shared" ref="H416" si="150">+CONCATENATE(D416,",",E416,",",F416,",",G416)</f>
        <v>0,0,0,0</v>
      </c>
      <c r="I416" s="428">
        <v>386.1</v>
      </c>
      <c r="K416" s="425" t="str">
        <f>+IFERROR(VLOOKUP(B416,Foundation!$C$8:$E$696,3,FALSE),"")</f>
        <v>DFR</v>
      </c>
      <c r="L416" s="425" t="str">
        <f>+IF(IFERROR(MATCH(B416,'Erection Compiled'!$C$6:$C$818,0),"B")="B","","E")</f>
        <v>E</v>
      </c>
      <c r="M416" s="425" t="str">
        <f>+IFERROR(VLOOKUP(B416,Tackwelding!$B$6:$G$367,6,FALSE),"")</f>
        <v>Done</v>
      </c>
    </row>
    <row r="417" spans="1:13" x14ac:dyDescent="0.25">
      <c r="A417" s="425">
        <v>411</v>
      </c>
      <c r="B417" s="425" t="s">
        <v>800</v>
      </c>
      <c r="C417" s="425" t="s">
        <v>20</v>
      </c>
      <c r="H417" s="425" t="str">
        <f t="shared" ref="H417" si="151">+CONCATENATE(D417,",",E417,",",F417,",",G417)</f>
        <v>,,,</v>
      </c>
      <c r="I417" s="428">
        <v>400</v>
      </c>
      <c r="K417" s="425" t="str">
        <f>+IFERROR(VLOOKUP(B417,Foundation!$C$8:$E$696,3,FALSE),"")</f>
        <v>DFR</v>
      </c>
      <c r="L417" s="425" t="str">
        <f>+IF(IFERROR(MATCH(B417,'Erection Compiled'!$C$6:$C$818,0),"B")="B","","E")</f>
        <v>E</v>
      </c>
      <c r="M417" s="425" t="str">
        <f>+IFERROR(VLOOKUP(B417,Tackwelding!$B$6:$G$367,6,FALSE),"")</f>
        <v>Done</v>
      </c>
    </row>
    <row r="418" spans="1:13" x14ac:dyDescent="0.25">
      <c r="A418" s="425">
        <v>412</v>
      </c>
      <c r="B418" s="429" t="s">
        <v>801</v>
      </c>
      <c r="C418" s="429" t="s">
        <v>231</v>
      </c>
      <c r="D418" s="429"/>
      <c r="E418" s="429"/>
      <c r="F418" s="429"/>
      <c r="G418" s="429"/>
      <c r="H418" s="429" t="str">
        <f t="shared" ref="H418" si="152">+CONCATENATE(D418,",",E418,",",F418,",",G418)</f>
        <v>,,,</v>
      </c>
      <c r="I418" s="428">
        <v>416</v>
      </c>
      <c r="K418" s="425" t="str">
        <f>+IFERROR(VLOOKUP(B418,Foundation!$C$8:$E$696,3,FALSE),"")</f>
        <v>DFR</v>
      </c>
      <c r="L418" s="425" t="str">
        <f>+IF(IFERROR(MATCH(B418,'Erection Compiled'!$C$6:$C$818,0),"B")="B","","E")</f>
        <v>E</v>
      </c>
      <c r="M418" s="425" t="str">
        <f>+IFERROR(VLOOKUP(B418,Tackwelding!$B$6:$G$367,6,FALSE),"")</f>
        <v>Done</v>
      </c>
    </row>
    <row r="419" spans="1:13" x14ac:dyDescent="0.25">
      <c r="A419" s="425">
        <v>413</v>
      </c>
      <c r="B419" s="429" t="s">
        <v>802</v>
      </c>
      <c r="C419" s="429" t="s">
        <v>20</v>
      </c>
      <c r="D419" s="429">
        <v>0</v>
      </c>
      <c r="E419" s="429">
        <v>0</v>
      </c>
      <c r="F419" s="429">
        <v>0</v>
      </c>
      <c r="G419" s="429">
        <v>0</v>
      </c>
      <c r="H419" s="429" t="str">
        <f t="shared" ref="H419" si="153">+CONCATENATE(D419,",",E419,",",F419,",",G419)</f>
        <v>0,0,0,0</v>
      </c>
      <c r="I419" s="428">
        <v>411</v>
      </c>
      <c r="K419" s="425" t="str">
        <f>+IFERROR(VLOOKUP(B419,Foundation!$C$8:$E$696,3,FALSE),"")</f>
        <v>DFR</v>
      </c>
      <c r="L419" s="425" t="str">
        <f>+IF(IFERROR(MATCH(B419,'Erection Compiled'!$C$6:$C$818,0),"B")="B","","E")</f>
        <v>E</v>
      </c>
      <c r="M419" s="425" t="str">
        <f>+IFERROR(VLOOKUP(B419,Tackwelding!$B$6:$G$367,6,FALSE),"")</f>
        <v>Done</v>
      </c>
    </row>
    <row r="420" spans="1:13" x14ac:dyDescent="0.25">
      <c r="A420" s="425">
        <v>414</v>
      </c>
      <c r="B420" s="425" t="s">
        <v>803</v>
      </c>
      <c r="C420" s="425" t="s">
        <v>231</v>
      </c>
      <c r="H420" s="425" t="str">
        <f t="shared" ref="H420" si="154">+CONCATENATE(D420,",",E420,",",F420,",",G420)</f>
        <v>,,,</v>
      </c>
      <c r="I420" s="430">
        <v>399</v>
      </c>
      <c r="K420" s="425" t="str">
        <f>+IFERROR(VLOOKUP(B420,Foundation!$C$8:$E$696,3,FALSE),"")</f>
        <v>DRY</v>
      </c>
      <c r="L420" s="425" t="str">
        <f>+IF(IFERROR(MATCH(B420,'Erection Compiled'!$C$6:$C$818,0),"B")="B","","E")</f>
        <v>E</v>
      </c>
      <c r="M420" s="425" t="str">
        <f>+IFERROR(VLOOKUP(B420,Tackwelding!$B$6:$G$367,6,FALSE),"")</f>
        <v>Done</v>
      </c>
    </row>
    <row r="421" spans="1:13" x14ac:dyDescent="0.25">
      <c r="A421" s="425">
        <v>415</v>
      </c>
      <c r="B421" s="425" t="s">
        <v>804</v>
      </c>
      <c r="C421" s="425" t="s">
        <v>20</v>
      </c>
      <c r="H421" s="425" t="str">
        <f t="shared" ref="H421" si="155">+CONCATENATE(D421,",",E421,",",F421,",",G421)</f>
        <v>,,,</v>
      </c>
      <c r="I421" s="430">
        <v>413</v>
      </c>
      <c r="K421" s="425" t="str">
        <f>+IFERROR(VLOOKUP(B421,Foundation!$C$8:$E$696,3,FALSE),"")</f>
        <v>DFR</v>
      </c>
      <c r="L421" s="425" t="str">
        <f>+IF(IFERROR(MATCH(B421,'Erection Compiled'!$C$6:$C$818,0),"B")="B","","E")</f>
        <v>E</v>
      </c>
      <c r="M421" s="425" t="str">
        <f>+IFERROR(VLOOKUP(B421,Tackwelding!$B$6:$G$367,6,FALSE),"")</f>
        <v>Done</v>
      </c>
    </row>
    <row r="422" spans="1:13" x14ac:dyDescent="0.25">
      <c r="A422" s="425">
        <v>416</v>
      </c>
      <c r="B422" s="425" t="s">
        <v>805</v>
      </c>
      <c r="C422" s="425" t="s">
        <v>20</v>
      </c>
      <c r="H422" s="425" t="str">
        <f t="shared" ref="H422" si="156">+CONCATENATE(D422,",",E422,",",F422,",",G422)</f>
        <v>,,,</v>
      </c>
      <c r="I422" s="428">
        <v>426</v>
      </c>
      <c r="K422" s="425" t="str">
        <f>+IFERROR(VLOOKUP(B422,Foundation!$C$8:$E$696,3,FALSE),"")</f>
        <v>DRY</v>
      </c>
      <c r="L422" s="425" t="str">
        <f>+IF(IFERROR(MATCH(B422,'Erection Compiled'!$C$6:$C$818,0),"B")="B","","E")</f>
        <v>E</v>
      </c>
      <c r="M422" s="425" t="str">
        <f>+IFERROR(VLOOKUP(B422,Tackwelding!$B$6:$G$367,6,FALSE),"")</f>
        <v>Done</v>
      </c>
    </row>
    <row r="423" spans="1:13" x14ac:dyDescent="0.25">
      <c r="A423" s="425">
        <v>417</v>
      </c>
      <c r="B423" s="425" t="s">
        <v>806</v>
      </c>
      <c r="C423" s="425" t="s">
        <v>20</v>
      </c>
      <c r="H423" s="425" t="str">
        <f t="shared" ref="H423" si="157">+CONCATENATE(D423,",",E423,",",F423,",",G423)</f>
        <v>,,,</v>
      </c>
      <c r="I423" s="428">
        <v>413</v>
      </c>
      <c r="K423" s="425" t="str">
        <f>+IFERROR(VLOOKUP(B423,Foundation!$C$8:$E$696,3,FALSE),"")</f>
        <v>DRY</v>
      </c>
      <c r="L423" s="425" t="str">
        <f>+IF(IFERROR(MATCH(B423,'Erection Compiled'!$C$6:$C$818,0),"B")="B","","E")</f>
        <v>E</v>
      </c>
      <c r="M423" s="425" t="str">
        <f>+IFERROR(VLOOKUP(B423,Tackwelding!$B$6:$G$367,6,FALSE),"")</f>
        <v>Done</v>
      </c>
    </row>
    <row r="424" spans="1:13" x14ac:dyDescent="0.25">
      <c r="A424" s="425">
        <v>418</v>
      </c>
      <c r="B424" s="425" t="s">
        <v>807</v>
      </c>
      <c r="C424" s="425" t="s">
        <v>20</v>
      </c>
      <c r="H424" s="425" t="str">
        <f t="shared" ref="H424" si="158">+CONCATENATE(D424,",",E424,",",F424,",",G424)</f>
        <v>,,,</v>
      </c>
      <c r="I424" s="428">
        <v>425</v>
      </c>
      <c r="K424" s="425" t="str">
        <f>+IFERROR(VLOOKUP(B424,Foundation!$C$8:$E$696,3,FALSE),"")</f>
        <v>DRY</v>
      </c>
      <c r="L424" s="425" t="str">
        <f>+IF(IFERROR(MATCH(B424,'Erection Compiled'!$C$6:$C$818,0),"B")="B","","E")</f>
        <v>E</v>
      </c>
      <c r="M424" s="425" t="str">
        <f>+IFERROR(VLOOKUP(B424,Tackwelding!$B$6:$G$367,6,FALSE),"")</f>
        <v>Done</v>
      </c>
    </row>
    <row r="425" spans="1:13" x14ac:dyDescent="0.25">
      <c r="A425" s="425">
        <v>419</v>
      </c>
      <c r="B425" s="425" t="s">
        <v>808</v>
      </c>
      <c r="C425" s="425" t="s">
        <v>245</v>
      </c>
      <c r="H425" s="425" t="str">
        <f t="shared" ref="H425" si="159">+CONCATENATE(D425,",",E425,",",F425,",",G425)</f>
        <v>,,,</v>
      </c>
      <c r="I425" s="428">
        <v>408.3</v>
      </c>
      <c r="K425" s="425" t="str">
        <f>+IFERROR(VLOOKUP(B425,Foundation!$C$8:$E$696,3,FALSE),"")</f>
        <v>DRY</v>
      </c>
      <c r="L425" s="425" t="str">
        <f>+IF(IFERROR(MATCH(B425,'Erection Compiled'!$C$6:$C$818,0),"B")="B","","E")</f>
        <v>E</v>
      </c>
      <c r="M425" s="425" t="str">
        <f>+IFERROR(VLOOKUP(B425,Tackwelding!$B$6:$G$367,6,FALSE),"")</f>
        <v>Done</v>
      </c>
    </row>
    <row r="426" spans="1:13" x14ac:dyDescent="0.25">
      <c r="A426" s="425">
        <v>420</v>
      </c>
      <c r="B426" s="425" t="s">
        <v>809</v>
      </c>
      <c r="C426" s="425" t="s">
        <v>231</v>
      </c>
      <c r="H426" s="425" t="str">
        <f t="shared" ref="H426" si="160">+CONCATENATE(D426,",",E426,",",F426,",",G426)</f>
        <v>,,,</v>
      </c>
      <c r="I426" s="428">
        <v>375.1</v>
      </c>
      <c r="K426" s="425" t="str">
        <f>+IFERROR(VLOOKUP(B426,Foundation!$C$8:$E$696,3,FALSE),"")</f>
        <v>DRY</v>
      </c>
      <c r="L426" s="425" t="str">
        <f>+IF(IFERROR(MATCH(B426,'Erection Compiled'!$C$6:$C$818,0),"B")="B","","E")</f>
        <v>E</v>
      </c>
      <c r="M426" s="425" t="str">
        <f>+IFERROR(VLOOKUP(B426,Tackwelding!$B$6:$G$367,6,FALSE),"")</f>
        <v>Done</v>
      </c>
    </row>
    <row r="427" spans="1:13" x14ac:dyDescent="0.25">
      <c r="A427" s="425">
        <v>421</v>
      </c>
      <c r="B427" s="425" t="s">
        <v>810</v>
      </c>
      <c r="C427" s="425" t="s">
        <v>20</v>
      </c>
      <c r="H427" s="425" t="str">
        <f t="shared" ref="H427" si="161">+CONCATENATE(D427,",",E427,",",F427,",",G427)</f>
        <v>,,,</v>
      </c>
      <c r="I427" s="428">
        <v>408.7</v>
      </c>
      <c r="K427" s="425" t="str">
        <f>+IFERROR(VLOOKUP(B427,Foundation!$C$8:$E$696,3,FALSE),"")</f>
        <v>DRY</v>
      </c>
      <c r="L427" s="425" t="str">
        <f>+IF(IFERROR(MATCH(B427,'Erection Compiled'!$C$6:$C$818,0),"B")="B","","E")</f>
        <v>E</v>
      </c>
      <c r="M427" s="425" t="str">
        <f>+IFERROR(VLOOKUP(B427,Tackwelding!$B$6:$G$367,6,FALSE),"")</f>
        <v>Done</v>
      </c>
    </row>
    <row r="428" spans="1:13" x14ac:dyDescent="0.25">
      <c r="A428" s="425">
        <v>422</v>
      </c>
      <c r="B428" s="425" t="s">
        <v>811</v>
      </c>
      <c r="C428" s="425" t="s">
        <v>231</v>
      </c>
      <c r="H428" s="425" t="str">
        <f t="shared" ref="H428:H491" si="162">+CONCATENATE(D428,",",E428,",",F428,",",G428)</f>
        <v>,,,</v>
      </c>
      <c r="I428" s="428">
        <v>410.7</v>
      </c>
      <c r="K428" s="425" t="str">
        <f>+IFERROR(VLOOKUP(B428,Foundation!$C$8:$E$696,3,FALSE),"")</f>
        <v>DRY</v>
      </c>
      <c r="L428" s="425" t="str">
        <f>+IF(IFERROR(MATCH(B428,'Erection Compiled'!$C$6:$C$818,0),"B")="B","","E")</f>
        <v>E</v>
      </c>
      <c r="M428" s="425" t="str">
        <f>+IFERROR(VLOOKUP(B428,Tackwelding!$B$6:$G$367,6,FALSE),"")</f>
        <v>Done</v>
      </c>
    </row>
    <row r="429" spans="1:13" x14ac:dyDescent="0.25">
      <c r="A429" s="425">
        <v>423</v>
      </c>
      <c r="B429" s="425" t="s">
        <v>812</v>
      </c>
      <c r="C429" s="425" t="s">
        <v>20</v>
      </c>
      <c r="H429" s="425" t="str">
        <f t="shared" si="162"/>
        <v>,,,</v>
      </c>
      <c r="I429" s="428">
        <v>408.2</v>
      </c>
      <c r="K429" s="425" t="str">
        <f>+IFERROR(VLOOKUP(B429,Foundation!$C$8:$E$696,3,FALSE),"")</f>
        <v>DRY</v>
      </c>
      <c r="L429" s="425" t="str">
        <f>+IF(IFERROR(MATCH(B429,'Erection Compiled'!$C$6:$C$818,0),"B")="B","","E")</f>
        <v>E</v>
      </c>
      <c r="M429" s="425" t="str">
        <f>+IFERROR(VLOOKUP(B429,Tackwelding!$B$6:$G$367,6,FALSE),"")</f>
        <v>Done</v>
      </c>
    </row>
    <row r="430" spans="1:13" x14ac:dyDescent="0.25">
      <c r="A430" s="425">
        <v>424</v>
      </c>
      <c r="B430" s="425" t="s">
        <v>813</v>
      </c>
      <c r="C430" s="425" t="s">
        <v>20</v>
      </c>
      <c r="H430" s="425" t="str">
        <f t="shared" si="162"/>
        <v>,,,</v>
      </c>
      <c r="I430" s="428">
        <v>426.2</v>
      </c>
      <c r="K430" s="425" t="str">
        <f>+IFERROR(VLOOKUP(B430,Foundation!$C$8:$E$696,3,FALSE),"")</f>
        <v>DRY</v>
      </c>
      <c r="L430" s="425" t="str">
        <f>+IF(IFERROR(MATCH(B430,'Erection Compiled'!$C$6:$C$818,0),"B")="B","","E")</f>
        <v>E</v>
      </c>
      <c r="M430" s="425" t="str">
        <f>+IFERROR(VLOOKUP(B430,Tackwelding!$B$6:$G$367,6,FALSE),"")</f>
        <v>Done</v>
      </c>
    </row>
    <row r="431" spans="1:13" x14ac:dyDescent="0.25">
      <c r="A431" s="425">
        <v>425</v>
      </c>
      <c r="B431" s="425" t="s">
        <v>814</v>
      </c>
      <c r="C431" s="425" t="s">
        <v>231</v>
      </c>
      <c r="H431" s="425" t="str">
        <f t="shared" si="162"/>
        <v>,,,</v>
      </c>
      <c r="I431" s="428">
        <v>407.7</v>
      </c>
      <c r="K431" s="425" t="str">
        <f>+IFERROR(VLOOKUP(B431,Foundation!$C$8:$E$696,3,FALSE),"")</f>
        <v>DRY</v>
      </c>
      <c r="L431" s="425" t="str">
        <f>+IF(IFERROR(MATCH(B431,'Erection Compiled'!$C$6:$C$818,0),"B")="B","","E")</f>
        <v>E</v>
      </c>
      <c r="M431" s="425" t="str">
        <f>+IFERROR(VLOOKUP(B431,Tackwelding!$B$6:$G$367,6,FALSE),"")</f>
        <v>Done</v>
      </c>
    </row>
    <row r="432" spans="1:13" x14ac:dyDescent="0.25">
      <c r="A432" s="425">
        <v>426</v>
      </c>
      <c r="B432" s="425" t="s">
        <v>815</v>
      </c>
      <c r="C432" s="425" t="s">
        <v>20</v>
      </c>
      <c r="H432" s="425" t="str">
        <f t="shared" si="162"/>
        <v>,,,</v>
      </c>
      <c r="I432" s="428">
        <v>401.6</v>
      </c>
      <c r="K432" s="425" t="str">
        <f>+IFERROR(VLOOKUP(B432,Foundation!$C$8:$E$696,3,FALSE),"")</f>
        <v>DRY</v>
      </c>
      <c r="L432" s="425" t="str">
        <f>+IF(IFERROR(MATCH(B432,'Erection Compiled'!$C$6:$C$818,0),"B")="B","","E")</f>
        <v>E</v>
      </c>
      <c r="M432" s="425" t="str">
        <f>+IFERROR(VLOOKUP(B432,Tackwelding!$B$6:$G$367,6,FALSE),"")</f>
        <v>Done</v>
      </c>
    </row>
    <row r="433" spans="1:13" x14ac:dyDescent="0.25">
      <c r="A433" s="425">
        <v>427</v>
      </c>
      <c r="B433" s="425" t="s">
        <v>816</v>
      </c>
      <c r="C433" s="425" t="s">
        <v>20</v>
      </c>
      <c r="H433" s="425" t="str">
        <f t="shared" si="162"/>
        <v>,,,</v>
      </c>
      <c r="I433" s="428">
        <v>425.5</v>
      </c>
      <c r="K433" s="425" t="str">
        <f>+IFERROR(VLOOKUP(B433,Foundation!$C$8:$E$696,3,FALSE),"")</f>
        <v>DRY</v>
      </c>
      <c r="L433" s="425" t="str">
        <f>+IF(IFERROR(MATCH(B433,'Erection Compiled'!$C$6:$C$818,0),"B")="B","","E")</f>
        <v>E</v>
      </c>
      <c r="M433" s="425" t="str">
        <f>+IFERROR(VLOOKUP(B433,Tackwelding!$B$6:$G$367,6,FALSE),"")</f>
        <v>Done</v>
      </c>
    </row>
    <row r="434" spans="1:13" x14ac:dyDescent="0.25">
      <c r="A434" s="425">
        <v>428</v>
      </c>
      <c r="B434" s="425" t="s">
        <v>817</v>
      </c>
      <c r="C434" s="425" t="s">
        <v>20</v>
      </c>
      <c r="H434" s="425" t="str">
        <f t="shared" si="162"/>
        <v>,,,</v>
      </c>
      <c r="I434" s="428">
        <v>414.4</v>
      </c>
      <c r="K434" s="425" t="str">
        <f>+IFERROR(VLOOKUP(B434,Foundation!$C$8:$E$696,3,FALSE),"")</f>
        <v>DRY</v>
      </c>
      <c r="L434" s="425" t="str">
        <f>+IF(IFERROR(MATCH(B434,'Erection Compiled'!$C$6:$C$818,0),"B")="B","","E")</f>
        <v>E</v>
      </c>
      <c r="M434" s="425" t="str">
        <f>+IFERROR(VLOOKUP(B434,Tackwelding!$B$6:$G$367,6,FALSE),"")</f>
        <v>Done</v>
      </c>
    </row>
    <row r="435" spans="1:13" x14ac:dyDescent="0.25">
      <c r="A435" s="425">
        <v>429</v>
      </c>
      <c r="B435" s="425" t="s">
        <v>818</v>
      </c>
      <c r="C435" s="425" t="s">
        <v>20</v>
      </c>
      <c r="H435" s="425" t="str">
        <f t="shared" si="162"/>
        <v>,,,</v>
      </c>
      <c r="I435" s="428">
        <v>410.6</v>
      </c>
      <c r="K435" s="425" t="str">
        <f>+IFERROR(VLOOKUP(B435,Foundation!$C$8:$E$696,3,FALSE),"")</f>
        <v>DRY</v>
      </c>
      <c r="L435" s="425" t="str">
        <f>+IF(IFERROR(MATCH(B435,'Erection Compiled'!$C$6:$C$818,0),"B")="B","","E")</f>
        <v>E</v>
      </c>
      <c r="M435" s="425" t="str">
        <f>+IFERROR(VLOOKUP(B435,Tackwelding!$B$6:$G$367,6,FALSE),"")</f>
        <v>Done</v>
      </c>
    </row>
    <row r="436" spans="1:13" x14ac:dyDescent="0.25">
      <c r="A436" s="425">
        <v>430</v>
      </c>
      <c r="B436" s="425" t="s">
        <v>819</v>
      </c>
      <c r="C436" s="425" t="s">
        <v>20</v>
      </c>
      <c r="H436" s="425" t="str">
        <f t="shared" si="162"/>
        <v>,,,</v>
      </c>
      <c r="I436" s="428">
        <v>428.4</v>
      </c>
      <c r="K436" s="425" t="str">
        <f>+IFERROR(VLOOKUP(B436,Foundation!$C$8:$E$696,3,FALSE),"")</f>
        <v>DRY</v>
      </c>
      <c r="L436" s="425" t="str">
        <f>+IF(IFERROR(MATCH(B436,'Erection Compiled'!$C$6:$C$818,0),"B")="B","","E")</f>
        <v>E</v>
      </c>
      <c r="M436" s="425" t="str">
        <f>+IFERROR(VLOOKUP(B436,Tackwelding!$B$6:$G$367,6,FALSE),"")</f>
        <v>Done</v>
      </c>
    </row>
    <row r="437" spans="1:13" x14ac:dyDescent="0.25">
      <c r="A437" s="425">
        <v>431</v>
      </c>
      <c r="B437" s="425" t="s">
        <v>820</v>
      </c>
      <c r="C437" s="425" t="s">
        <v>242</v>
      </c>
      <c r="H437" s="425" t="str">
        <f t="shared" si="162"/>
        <v>,,,</v>
      </c>
      <c r="I437" s="428">
        <v>400.6</v>
      </c>
      <c r="K437" s="425" t="str">
        <f>+IFERROR(VLOOKUP(B437,Foundation!$C$8:$E$696,3,FALSE),"")</f>
        <v>DRY</v>
      </c>
      <c r="L437" s="425" t="str">
        <f>+IF(IFERROR(MATCH(B437,'Erection Compiled'!$C$6:$C$818,0),"B")="B","","E")</f>
        <v>E</v>
      </c>
      <c r="M437" s="425" t="str">
        <f>+IFERROR(VLOOKUP(B437,Tackwelding!$B$6:$G$367,6,FALSE),"")</f>
        <v>Done</v>
      </c>
    </row>
    <row r="438" spans="1:13" x14ac:dyDescent="0.25">
      <c r="A438" s="425">
        <v>432</v>
      </c>
      <c r="B438" s="425" t="s">
        <v>821</v>
      </c>
      <c r="C438" s="425" t="s">
        <v>231</v>
      </c>
      <c r="H438" s="425" t="str">
        <f t="shared" si="162"/>
        <v>,,,</v>
      </c>
      <c r="I438" s="428">
        <v>395.4</v>
      </c>
      <c r="K438" s="425" t="str">
        <f>+IFERROR(VLOOKUP(B438,Foundation!$C$8:$E$696,3,FALSE),"")</f>
        <v>DRY</v>
      </c>
      <c r="L438" s="425" t="str">
        <f>+IF(IFERROR(MATCH(B438,'Erection Compiled'!$C$6:$C$818,0),"B")="B","","E")</f>
        <v>E</v>
      </c>
      <c r="M438" s="425" t="str">
        <f>+IFERROR(VLOOKUP(B438,Tackwelding!$B$6:$G$367,6,FALSE),"")</f>
        <v>Done</v>
      </c>
    </row>
    <row r="439" spans="1:13" x14ac:dyDescent="0.25">
      <c r="A439" s="425">
        <v>433</v>
      </c>
      <c r="B439" s="425" t="s">
        <v>822</v>
      </c>
      <c r="C439" s="425" t="s">
        <v>231</v>
      </c>
      <c r="H439" s="425" t="str">
        <f t="shared" si="162"/>
        <v>,,,</v>
      </c>
      <c r="I439" s="428">
        <v>393.7</v>
      </c>
      <c r="K439" s="425" t="str">
        <f>+IFERROR(VLOOKUP(B439,Foundation!$C$8:$E$696,3,FALSE),"")</f>
        <v>DRY</v>
      </c>
      <c r="L439" s="425" t="str">
        <f>+IF(IFERROR(MATCH(B439,'Erection Compiled'!$C$6:$C$818,0),"B")="B","","E")</f>
        <v>E</v>
      </c>
      <c r="M439" s="425" t="str">
        <f>+IFERROR(VLOOKUP(B439,Tackwelding!$B$6:$G$367,6,FALSE),"")</f>
        <v>Done</v>
      </c>
    </row>
    <row r="440" spans="1:13" x14ac:dyDescent="0.25">
      <c r="A440" s="425">
        <v>434</v>
      </c>
      <c r="B440" s="425" t="s">
        <v>823</v>
      </c>
      <c r="C440" s="425" t="s">
        <v>20</v>
      </c>
      <c r="H440" s="425" t="str">
        <f t="shared" si="162"/>
        <v>,,,</v>
      </c>
      <c r="I440" s="428">
        <v>403.7</v>
      </c>
      <c r="K440" s="425" t="str">
        <f>+IFERROR(VLOOKUP(B440,Foundation!$C$8:$E$696,3,FALSE),"")</f>
        <v>DRY</v>
      </c>
      <c r="L440" s="425" t="str">
        <f>+IF(IFERROR(MATCH(B440,'Erection Compiled'!$C$6:$C$818,0),"B")="B","","E")</f>
        <v>E</v>
      </c>
      <c r="M440" s="425" t="str">
        <f>+IFERROR(VLOOKUP(B440,Tackwelding!$B$6:$G$367,6,FALSE),"")</f>
        <v>Done</v>
      </c>
    </row>
    <row r="441" spans="1:13" x14ac:dyDescent="0.25">
      <c r="A441" s="425">
        <v>435</v>
      </c>
      <c r="B441" s="425" t="s">
        <v>824</v>
      </c>
      <c r="C441" s="425" t="s">
        <v>231</v>
      </c>
      <c r="H441" s="425" t="str">
        <f t="shared" si="162"/>
        <v>,,,</v>
      </c>
      <c r="I441" s="428">
        <v>402.9</v>
      </c>
      <c r="K441" s="425" t="str">
        <f>+IFERROR(VLOOKUP(B441,Foundation!$C$8:$E$696,3,FALSE),"")</f>
        <v>DRY</v>
      </c>
      <c r="L441" s="425" t="str">
        <f>+IF(IFERROR(MATCH(B441,'Erection Compiled'!$C$6:$C$818,0),"B")="B","","E")</f>
        <v>E</v>
      </c>
      <c r="M441" s="425" t="str">
        <f>+IFERROR(VLOOKUP(B441,Tackwelding!$B$6:$G$367,6,FALSE),"")</f>
        <v>Done</v>
      </c>
    </row>
    <row r="442" spans="1:13" x14ac:dyDescent="0.25">
      <c r="A442" s="425">
        <v>436</v>
      </c>
      <c r="B442" s="425" t="s">
        <v>825</v>
      </c>
      <c r="C442" s="425" t="s">
        <v>231</v>
      </c>
      <c r="H442" s="425" t="str">
        <f t="shared" si="162"/>
        <v>,,,</v>
      </c>
      <c r="I442" s="428">
        <v>376.4</v>
      </c>
      <c r="K442" s="425" t="str">
        <f>+IFERROR(VLOOKUP(B442,Foundation!$C$8:$E$696,3,FALSE),"")</f>
        <v>DRY</v>
      </c>
      <c r="L442" s="425" t="str">
        <f>+IF(IFERROR(MATCH(B442,'Erection Compiled'!$C$6:$C$818,0),"B")="B","","E")</f>
        <v>E</v>
      </c>
      <c r="M442" s="425" t="str">
        <f>+IFERROR(VLOOKUP(B442,Tackwelding!$B$6:$G$367,6,FALSE),"")</f>
        <v>Done</v>
      </c>
    </row>
    <row r="443" spans="1:13" x14ac:dyDescent="0.25">
      <c r="A443" s="425">
        <v>437</v>
      </c>
      <c r="B443" s="425" t="s">
        <v>826</v>
      </c>
      <c r="C443" s="425" t="s">
        <v>231</v>
      </c>
      <c r="H443" s="425" t="str">
        <f t="shared" si="162"/>
        <v>,,,</v>
      </c>
      <c r="I443" s="428">
        <v>389.2</v>
      </c>
      <c r="K443" s="425" t="str">
        <f>+IFERROR(VLOOKUP(B443,Foundation!$C$8:$E$696,3,FALSE),"")</f>
        <v>DRY</v>
      </c>
      <c r="L443" s="425" t="str">
        <f>+IF(IFERROR(MATCH(B443,'Erection Compiled'!$C$6:$C$818,0),"B")="B","","E")</f>
        <v>E</v>
      </c>
      <c r="M443" s="425" t="str">
        <f>+IFERROR(VLOOKUP(B443,Tackwelding!$B$6:$G$367,6,FALSE),"")</f>
        <v>Done</v>
      </c>
    </row>
    <row r="444" spans="1:13" x14ac:dyDescent="0.25">
      <c r="A444" s="425">
        <v>438</v>
      </c>
      <c r="B444" s="425" t="s">
        <v>219</v>
      </c>
      <c r="C444" s="425" t="s">
        <v>231</v>
      </c>
      <c r="H444" s="425" t="str">
        <f t="shared" si="162"/>
        <v>,,,</v>
      </c>
      <c r="I444" s="428">
        <v>397.6</v>
      </c>
      <c r="K444" s="425" t="str">
        <f>+IFERROR(VLOOKUP(B444,Foundation!$C$8:$E$696,3,FALSE),"")</f>
        <v>DRY</v>
      </c>
      <c r="L444" s="425" t="str">
        <f>+IF(IFERROR(MATCH(B444,'Erection Compiled'!$C$6:$C$818,0),"B")="B","","E")</f>
        <v>E</v>
      </c>
      <c r="M444" s="425" t="str">
        <f>+IFERROR(VLOOKUP(B444,Tackwelding!$B$6:$G$367,6,FALSE),"")</f>
        <v>Done</v>
      </c>
    </row>
    <row r="445" spans="1:13" x14ac:dyDescent="0.25">
      <c r="A445" s="425">
        <v>439</v>
      </c>
      <c r="B445" s="425" t="s">
        <v>220</v>
      </c>
      <c r="C445" s="425" t="s">
        <v>231</v>
      </c>
      <c r="H445" s="425" t="str">
        <f t="shared" si="162"/>
        <v>,,,</v>
      </c>
      <c r="I445" s="428">
        <v>394.3</v>
      </c>
      <c r="K445" s="425" t="str">
        <f>+IFERROR(VLOOKUP(B445,Foundation!$C$8:$E$696,3,FALSE),"")</f>
        <v>DRY</v>
      </c>
      <c r="L445" s="425" t="str">
        <f>+IF(IFERROR(MATCH(B445,'Erection Compiled'!$C$6:$C$818,0),"B")="B","","E")</f>
        <v>E</v>
      </c>
      <c r="M445" s="425" t="str">
        <f>+IFERROR(VLOOKUP(B445,Tackwelding!$B$6:$G$367,6,FALSE),"")</f>
        <v>Done</v>
      </c>
    </row>
    <row r="446" spans="1:13" x14ac:dyDescent="0.25">
      <c r="A446" s="425">
        <v>440</v>
      </c>
      <c r="B446" s="425" t="s">
        <v>827</v>
      </c>
      <c r="C446" s="425" t="s">
        <v>231</v>
      </c>
      <c r="H446" s="425" t="str">
        <f t="shared" si="162"/>
        <v>,,,</v>
      </c>
      <c r="I446" s="428">
        <v>389</v>
      </c>
      <c r="K446" s="425" t="str">
        <f>+IFERROR(VLOOKUP(B446,Foundation!$C$8:$E$696,3,FALSE),"")</f>
        <v>DRY</v>
      </c>
      <c r="L446" s="425" t="str">
        <f>+IF(IFERROR(MATCH(B446,'Erection Compiled'!$C$6:$C$818,0),"B")="B","","E")</f>
        <v>E</v>
      </c>
      <c r="M446" s="425" t="str">
        <f>+IFERROR(VLOOKUP(B446,Tackwelding!$B$6:$G$367,6,FALSE),"")</f>
        <v>Done</v>
      </c>
    </row>
    <row r="447" spans="1:13" x14ac:dyDescent="0.25">
      <c r="A447" s="425">
        <v>441</v>
      </c>
      <c r="B447" s="425" t="s">
        <v>828</v>
      </c>
      <c r="C447" s="425" t="s">
        <v>231</v>
      </c>
      <c r="H447" s="425" t="str">
        <f t="shared" si="162"/>
        <v>,,,</v>
      </c>
      <c r="I447" s="428">
        <v>379.1</v>
      </c>
      <c r="K447" s="425" t="str">
        <f>+IFERROR(VLOOKUP(B447,Foundation!$C$8:$E$696,3,FALSE),"")</f>
        <v>DRY</v>
      </c>
      <c r="L447" s="425" t="str">
        <f>+IF(IFERROR(MATCH(B447,'Erection Compiled'!$C$6:$C$818,0),"B")="B","","E")</f>
        <v>E</v>
      </c>
      <c r="M447" s="425" t="str">
        <f>+IFERROR(VLOOKUP(B447,Tackwelding!$B$6:$G$367,6,FALSE),"")</f>
        <v>Done</v>
      </c>
    </row>
    <row r="448" spans="1:13" x14ac:dyDescent="0.25">
      <c r="A448" s="425">
        <v>442</v>
      </c>
      <c r="B448" s="425" t="s">
        <v>829</v>
      </c>
      <c r="C448" s="425" t="s">
        <v>231</v>
      </c>
      <c r="H448" s="425" t="str">
        <f t="shared" si="162"/>
        <v>,,,</v>
      </c>
      <c r="I448" s="428">
        <v>387.6</v>
      </c>
      <c r="K448" s="425" t="str">
        <f>+IFERROR(VLOOKUP(B448,Foundation!$C$8:$E$696,3,FALSE),"")</f>
        <v>DRY</v>
      </c>
      <c r="L448" s="425" t="str">
        <f>+IF(IFERROR(MATCH(B448,'Erection Compiled'!$C$6:$C$818,0),"B")="B","","E")</f>
        <v>E</v>
      </c>
      <c r="M448" s="425" t="str">
        <f>+IFERROR(VLOOKUP(B448,Tackwelding!$B$6:$G$367,6,FALSE),"")</f>
        <v>Done</v>
      </c>
    </row>
    <row r="449" spans="1:13" x14ac:dyDescent="0.25">
      <c r="A449" s="425">
        <v>443</v>
      </c>
      <c r="B449" s="425" t="s">
        <v>101</v>
      </c>
      <c r="C449" s="425" t="s">
        <v>869</v>
      </c>
      <c r="H449" s="425" t="str">
        <f t="shared" si="162"/>
        <v>,,,</v>
      </c>
      <c r="I449" s="428">
        <v>426.9</v>
      </c>
      <c r="K449" s="425" t="str">
        <f>+IFERROR(VLOOKUP(B449,Foundation!$C$8:$E$696,3,FALSE),"")</f>
        <v>DRY</v>
      </c>
      <c r="L449" s="425" t="str">
        <f>+IF(IFERROR(MATCH(B449,'Erection Compiled'!$C$6:$C$818,0),"B")="B","","E")</f>
        <v>E</v>
      </c>
      <c r="M449" s="425" t="str">
        <f>+IFERROR(VLOOKUP(B449,Tackwelding!$B$6:$G$367,6,FALSE),"")</f>
        <v>Done</v>
      </c>
    </row>
    <row r="450" spans="1:13" x14ac:dyDescent="0.25">
      <c r="A450" s="425">
        <v>444</v>
      </c>
      <c r="B450" s="425" t="s">
        <v>102</v>
      </c>
      <c r="C450" s="425" t="s">
        <v>870</v>
      </c>
      <c r="H450" s="425" t="str">
        <f t="shared" si="162"/>
        <v>,,,</v>
      </c>
      <c r="I450" s="428">
        <v>207.8</v>
      </c>
      <c r="K450" s="425" t="str">
        <f>+IFERROR(VLOOKUP(B450,Foundation!$C$8:$E$696,3,FALSE),"")</f>
        <v>DRY</v>
      </c>
      <c r="L450" s="425" t="str">
        <f>+IF(IFERROR(MATCH(B450,'Erection Compiled'!$C$6:$C$818,0),"B")="B","","E")</f>
        <v>E</v>
      </c>
      <c r="M450" s="425" t="str">
        <f>+IFERROR(VLOOKUP(B450,Tackwelding!$B$6:$G$367,6,FALSE),"")</f>
        <v>Done</v>
      </c>
    </row>
    <row r="451" spans="1:13" x14ac:dyDescent="0.25">
      <c r="A451" s="425">
        <v>445</v>
      </c>
      <c r="B451" s="425" t="s">
        <v>830</v>
      </c>
      <c r="C451" s="425" t="s">
        <v>231</v>
      </c>
      <c r="H451" s="425" t="str">
        <f t="shared" si="162"/>
        <v>,,,</v>
      </c>
      <c r="I451" s="428">
        <v>347.1</v>
      </c>
      <c r="K451" s="425" t="str">
        <f>+IFERROR(VLOOKUP(B451,Foundation!$C$8:$E$696,3,FALSE),"")</f>
        <v>DRY</v>
      </c>
      <c r="L451" s="425" t="str">
        <f>+IF(IFERROR(MATCH(B451,'Erection Compiled'!$C$6:$C$818,0),"B")="B","","E")</f>
        <v>E</v>
      </c>
      <c r="M451" s="425" t="str">
        <f>+IFERROR(VLOOKUP(B451,Tackwelding!$B$6:$G$367,6,FALSE),"")</f>
        <v>Done</v>
      </c>
    </row>
    <row r="452" spans="1:13" x14ac:dyDescent="0.25">
      <c r="A452" s="425">
        <v>446</v>
      </c>
      <c r="B452" s="425" t="s">
        <v>831</v>
      </c>
      <c r="C452" s="425" t="s">
        <v>231</v>
      </c>
      <c r="H452" s="425" t="str">
        <f t="shared" si="162"/>
        <v>,,,</v>
      </c>
      <c r="I452" s="428">
        <v>344.9</v>
      </c>
      <c r="K452" s="425" t="str">
        <f>+IFERROR(VLOOKUP(B452,Foundation!$C$8:$E$696,3,FALSE),"")</f>
        <v>DRY</v>
      </c>
      <c r="L452" s="425" t="str">
        <f>+IF(IFERROR(MATCH(B452,'Erection Compiled'!$C$6:$C$818,0),"B")="B","","E")</f>
        <v>E</v>
      </c>
      <c r="M452" s="425" t="str">
        <f>+IFERROR(VLOOKUP(B452,Tackwelding!$B$6:$G$367,6,FALSE),"")</f>
        <v>Done</v>
      </c>
    </row>
    <row r="453" spans="1:13" x14ac:dyDescent="0.25">
      <c r="A453" s="425">
        <v>447</v>
      </c>
      <c r="B453" s="425" t="s">
        <v>103</v>
      </c>
      <c r="C453" s="425" t="s">
        <v>867</v>
      </c>
      <c r="H453" s="425" t="str">
        <f t="shared" si="162"/>
        <v>,,,</v>
      </c>
      <c r="I453" s="428">
        <v>369.2</v>
      </c>
      <c r="K453" s="425" t="str">
        <f>+IFERROR(VLOOKUP(B453,Foundation!$C$8:$E$696,3,FALSE),"")</f>
        <v>DRY</v>
      </c>
      <c r="L453" s="425" t="str">
        <f>+IF(IFERROR(MATCH(B453,'Erection Compiled'!$C$6:$C$818,0),"B")="B","","E")</f>
        <v>E</v>
      </c>
      <c r="M453" s="425" t="str">
        <f>+IFERROR(VLOOKUP(B453,Tackwelding!$B$6:$G$367,6,FALSE),"")</f>
        <v>Done</v>
      </c>
    </row>
    <row r="454" spans="1:13" x14ac:dyDescent="0.25">
      <c r="A454" s="425">
        <v>448</v>
      </c>
      <c r="B454" s="425" t="s">
        <v>104</v>
      </c>
      <c r="C454" s="425" t="s">
        <v>245</v>
      </c>
      <c r="H454" s="425" t="str">
        <f t="shared" si="162"/>
        <v>,,,</v>
      </c>
      <c r="I454" s="428">
        <v>200.9</v>
      </c>
      <c r="K454" s="425" t="str">
        <f>+IFERROR(VLOOKUP(B454,Foundation!$C$8:$E$696,3,FALSE),"")</f>
        <v>DFR</v>
      </c>
      <c r="L454" s="425" t="str">
        <f>+IF(IFERROR(MATCH(B454,'Erection Compiled'!$C$6:$C$818,0),"B")="B","","E")</f>
        <v>E</v>
      </c>
      <c r="M454" s="425" t="str">
        <f>+IFERROR(VLOOKUP(B454,Tackwelding!$B$6:$G$367,6,FALSE),"")</f>
        <v>Done</v>
      </c>
    </row>
    <row r="455" spans="1:13" x14ac:dyDescent="0.25">
      <c r="A455" s="425">
        <v>449</v>
      </c>
      <c r="B455" s="425" t="s">
        <v>832</v>
      </c>
      <c r="C455" s="425" t="s">
        <v>20</v>
      </c>
      <c r="H455" s="425" t="str">
        <f t="shared" si="162"/>
        <v>,,,</v>
      </c>
      <c r="I455" s="428">
        <v>374.1</v>
      </c>
      <c r="K455" s="425" t="str">
        <f>+IFERROR(VLOOKUP(B455,Foundation!$C$8:$E$696,3,FALSE),"")</f>
        <v>DRY</v>
      </c>
      <c r="L455" s="425" t="str">
        <f>+IF(IFERROR(MATCH(B455,'Erection Compiled'!$C$6:$C$818,0),"B")="B","","E")</f>
        <v>E</v>
      </c>
      <c r="M455" s="425" t="str">
        <f>+IFERROR(VLOOKUP(B455,Tackwelding!$B$6:$G$367,6,FALSE),"")</f>
        <v>Done</v>
      </c>
    </row>
    <row r="456" spans="1:13" x14ac:dyDescent="0.25">
      <c r="A456" s="425">
        <v>450</v>
      </c>
      <c r="B456" s="425" t="s">
        <v>105</v>
      </c>
      <c r="C456" s="425" t="s">
        <v>239</v>
      </c>
      <c r="H456" s="425" t="str">
        <f t="shared" si="162"/>
        <v>,,,</v>
      </c>
      <c r="I456" s="428">
        <v>394.9</v>
      </c>
      <c r="K456" s="425" t="str">
        <f>+IFERROR(VLOOKUP(B456,Foundation!$C$8:$E$696,3,FALSE),"")</f>
        <v>DRY</v>
      </c>
      <c r="L456" s="425" t="str">
        <f>+IF(IFERROR(MATCH(B456,'Erection Compiled'!$C$6:$C$818,0),"B")="B","","E")</f>
        <v>E</v>
      </c>
      <c r="M456" s="425" t="str">
        <f>+IFERROR(VLOOKUP(B456,Tackwelding!$B$6:$G$367,6,FALSE),"")</f>
        <v>Done</v>
      </c>
    </row>
    <row r="457" spans="1:13" x14ac:dyDescent="0.25">
      <c r="A457" s="425">
        <v>451</v>
      </c>
      <c r="B457" s="425" t="s">
        <v>833</v>
      </c>
      <c r="C457" s="425" t="s">
        <v>20</v>
      </c>
      <c r="H457" s="425" t="str">
        <f t="shared" si="162"/>
        <v>,,,</v>
      </c>
      <c r="I457" s="428">
        <v>388.4</v>
      </c>
      <c r="K457" s="425" t="str">
        <f>+IFERROR(VLOOKUP(B457,Foundation!$C$8:$E$696,3,FALSE),"")</f>
        <v>DRY</v>
      </c>
      <c r="L457" s="425" t="str">
        <f>+IF(IFERROR(MATCH(B457,'Erection Compiled'!$C$6:$C$818,0),"B")="B","","E")</f>
        <v>E</v>
      </c>
      <c r="M457" s="425" t="str">
        <f>+IFERROR(VLOOKUP(B457,Tackwelding!$B$6:$G$367,6,FALSE),"")</f>
        <v>Done</v>
      </c>
    </row>
    <row r="458" spans="1:13" x14ac:dyDescent="0.25">
      <c r="A458" s="425">
        <v>452</v>
      </c>
      <c r="B458" s="425" t="s">
        <v>834</v>
      </c>
      <c r="C458" s="425" t="s">
        <v>20</v>
      </c>
      <c r="H458" s="425" t="str">
        <f t="shared" si="162"/>
        <v>,,,</v>
      </c>
      <c r="I458" s="428">
        <v>418.9</v>
      </c>
      <c r="K458" s="425" t="str">
        <f>+IFERROR(VLOOKUP(B458,Foundation!$C$8:$E$696,3,FALSE),"")</f>
        <v>DRY</v>
      </c>
      <c r="L458" s="425" t="str">
        <f>+IF(IFERROR(MATCH(B458,'Erection Compiled'!$C$6:$C$818,0),"B")="B","","E")</f>
        <v>E</v>
      </c>
      <c r="M458" s="425" t="str">
        <f>+IFERROR(VLOOKUP(B458,Tackwelding!$B$6:$G$367,6,FALSE),"")</f>
        <v>Done</v>
      </c>
    </row>
    <row r="459" spans="1:13" x14ac:dyDescent="0.25">
      <c r="A459" s="425">
        <v>453</v>
      </c>
      <c r="B459" s="425" t="s">
        <v>835</v>
      </c>
      <c r="C459" s="425" t="s">
        <v>20</v>
      </c>
      <c r="H459" s="425" t="str">
        <f t="shared" si="162"/>
        <v>,,,</v>
      </c>
      <c r="I459" s="428">
        <v>418.6</v>
      </c>
      <c r="K459" s="425" t="str">
        <f>+IFERROR(VLOOKUP(B459,Foundation!$C$8:$E$696,3,FALSE),"")</f>
        <v>DRY</v>
      </c>
      <c r="L459" s="425" t="str">
        <f>+IF(IFERROR(MATCH(B459,'Erection Compiled'!$C$6:$C$818,0),"B")="B","","E")</f>
        <v>E</v>
      </c>
      <c r="M459" s="425" t="str">
        <f>+IFERROR(VLOOKUP(B459,Tackwelding!$B$6:$G$367,6,FALSE),"")</f>
        <v>Done</v>
      </c>
    </row>
    <row r="460" spans="1:13" x14ac:dyDescent="0.25">
      <c r="A460" s="425">
        <v>454</v>
      </c>
      <c r="B460" s="425" t="s">
        <v>836</v>
      </c>
      <c r="C460" s="425" t="s">
        <v>20</v>
      </c>
      <c r="H460" s="425" t="str">
        <f t="shared" si="162"/>
        <v>,,,</v>
      </c>
      <c r="I460" s="428">
        <v>414</v>
      </c>
      <c r="K460" s="425" t="str">
        <f>+IFERROR(VLOOKUP(B460,Foundation!$C$8:$E$696,3,FALSE),"")</f>
        <v>DRY</v>
      </c>
      <c r="L460" s="425" t="str">
        <f>+IF(IFERROR(MATCH(B460,'Erection Compiled'!$C$6:$C$818,0),"B")="B","","E")</f>
        <v>E</v>
      </c>
      <c r="M460" s="425" t="str">
        <f>+IFERROR(VLOOKUP(B460,Tackwelding!$B$6:$G$367,6,FALSE),"")</f>
        <v>Done</v>
      </c>
    </row>
    <row r="461" spans="1:13" x14ac:dyDescent="0.25">
      <c r="A461" s="425">
        <v>455</v>
      </c>
      <c r="B461" s="425" t="s">
        <v>837</v>
      </c>
      <c r="C461" s="425" t="s">
        <v>20</v>
      </c>
      <c r="H461" s="425" t="str">
        <f t="shared" si="162"/>
        <v>,,,</v>
      </c>
      <c r="I461" s="428">
        <v>419.6</v>
      </c>
      <c r="K461" s="425" t="str">
        <f>+IFERROR(VLOOKUP(B461,Foundation!$C$8:$E$696,3,FALSE),"")</f>
        <v>DRY</v>
      </c>
      <c r="L461" s="425" t="str">
        <f>+IF(IFERROR(MATCH(B461,'Erection Compiled'!$C$6:$C$818,0),"B")="B","","E")</f>
        <v>E</v>
      </c>
      <c r="M461" s="425" t="str">
        <f>+IFERROR(VLOOKUP(B461,Tackwelding!$B$6:$G$367,6,FALSE),"")</f>
        <v>Done</v>
      </c>
    </row>
    <row r="462" spans="1:13" x14ac:dyDescent="0.25">
      <c r="A462" s="425">
        <v>456</v>
      </c>
      <c r="B462" s="425" t="s">
        <v>838</v>
      </c>
      <c r="C462" s="425" t="s">
        <v>20</v>
      </c>
      <c r="H462" s="425" t="str">
        <f t="shared" si="162"/>
        <v>,,,</v>
      </c>
      <c r="I462" s="428">
        <v>420.3</v>
      </c>
      <c r="K462" s="425" t="str">
        <f>+IFERROR(VLOOKUP(B462,Foundation!$C$8:$E$696,3,FALSE),"")</f>
        <v>DRY</v>
      </c>
      <c r="L462" s="425" t="str">
        <f>+IF(IFERROR(MATCH(B462,'Erection Compiled'!$C$6:$C$818,0),"B")="B","","E")</f>
        <v>E</v>
      </c>
      <c r="M462" s="425" t="str">
        <f>+IFERROR(VLOOKUP(B462,Tackwelding!$B$6:$G$367,6,FALSE),"")</f>
        <v>Done</v>
      </c>
    </row>
    <row r="463" spans="1:13" x14ac:dyDescent="0.25">
      <c r="A463" s="425">
        <v>457</v>
      </c>
      <c r="B463" s="425" t="s">
        <v>839</v>
      </c>
      <c r="C463" s="425" t="s">
        <v>20</v>
      </c>
      <c r="H463" s="425" t="str">
        <f t="shared" si="162"/>
        <v>,,,</v>
      </c>
      <c r="I463" s="428">
        <v>419.6</v>
      </c>
      <c r="K463" s="425" t="str">
        <f>+IFERROR(VLOOKUP(B463,Foundation!$C$8:$E$696,3,FALSE),"")</f>
        <v>DRY</v>
      </c>
      <c r="L463" s="425" t="str">
        <f>+IF(IFERROR(MATCH(B463,'Erection Compiled'!$C$6:$C$818,0),"B")="B","","E")</f>
        <v>E</v>
      </c>
      <c r="M463" s="425" t="str">
        <f>+IFERROR(VLOOKUP(B463,Tackwelding!$B$6:$G$367,6,FALSE),"")</f>
        <v>Done</v>
      </c>
    </row>
    <row r="464" spans="1:13" x14ac:dyDescent="0.25">
      <c r="A464" s="425">
        <v>458</v>
      </c>
      <c r="B464" s="425" t="s">
        <v>840</v>
      </c>
      <c r="C464" s="425" t="s">
        <v>20</v>
      </c>
      <c r="H464" s="425" t="str">
        <f t="shared" si="162"/>
        <v>,,,</v>
      </c>
      <c r="I464" s="428">
        <v>418.2</v>
      </c>
      <c r="K464" s="425" t="str">
        <f>+IFERROR(VLOOKUP(B464,Foundation!$C$8:$E$696,3,FALSE),"")</f>
        <v>DRY</v>
      </c>
      <c r="L464" s="425" t="str">
        <f>+IF(IFERROR(MATCH(B464,'Erection Compiled'!$C$6:$C$818,0),"B")="B","","E")</f>
        <v>E</v>
      </c>
      <c r="M464" s="425" t="str">
        <f>+IFERROR(VLOOKUP(B464,Tackwelding!$B$6:$G$367,6,FALSE),"")</f>
        <v>Done</v>
      </c>
    </row>
    <row r="465" spans="1:13" x14ac:dyDescent="0.25">
      <c r="A465" s="425">
        <v>459</v>
      </c>
      <c r="B465" s="425" t="s">
        <v>841</v>
      </c>
      <c r="C465" s="425" t="s">
        <v>20</v>
      </c>
      <c r="H465" s="425" t="str">
        <f t="shared" si="162"/>
        <v>,,,</v>
      </c>
      <c r="I465" s="428">
        <v>414.1</v>
      </c>
      <c r="K465" s="425" t="str">
        <f>+IFERROR(VLOOKUP(B465,Foundation!$C$8:$E$696,3,FALSE),"")</f>
        <v>DRY</v>
      </c>
      <c r="L465" s="425" t="str">
        <f>+IF(IFERROR(MATCH(B465,'Erection Compiled'!$C$6:$C$818,0),"B")="B","","E")</f>
        <v>E</v>
      </c>
      <c r="M465" s="425" t="str">
        <f>+IFERROR(VLOOKUP(B465,Tackwelding!$B$6:$G$367,6,FALSE),"")</f>
        <v>Done</v>
      </c>
    </row>
    <row r="466" spans="1:13" x14ac:dyDescent="0.25">
      <c r="A466" s="425">
        <v>460</v>
      </c>
      <c r="B466" s="425" t="s">
        <v>842</v>
      </c>
      <c r="C466" s="425" t="s">
        <v>20</v>
      </c>
      <c r="H466" s="425" t="str">
        <f t="shared" si="162"/>
        <v>,,,</v>
      </c>
      <c r="I466" s="428">
        <v>406.1</v>
      </c>
      <c r="K466" s="425" t="str">
        <f>+IFERROR(VLOOKUP(B466,Foundation!$C$8:$E$696,3,FALSE),"")</f>
        <v>DRY</v>
      </c>
      <c r="L466" s="425" t="str">
        <f>+IF(IFERROR(MATCH(B466,'Erection Compiled'!$C$6:$C$818,0),"B")="B","","E")</f>
        <v>E</v>
      </c>
      <c r="M466" s="425" t="str">
        <f>+IFERROR(VLOOKUP(B466,Tackwelding!$B$6:$G$367,6,FALSE),"")</f>
        <v>Done</v>
      </c>
    </row>
    <row r="467" spans="1:13" x14ac:dyDescent="0.25">
      <c r="A467" s="425">
        <v>461</v>
      </c>
      <c r="B467" s="425" t="s">
        <v>843</v>
      </c>
      <c r="C467" s="425" t="s">
        <v>20</v>
      </c>
      <c r="H467" s="425" t="str">
        <f t="shared" si="162"/>
        <v>,,,</v>
      </c>
      <c r="I467" s="428">
        <v>408.6</v>
      </c>
      <c r="K467" s="425" t="str">
        <f>+IFERROR(VLOOKUP(B467,Foundation!$C$8:$E$696,3,FALSE),"")</f>
        <v>DRY</v>
      </c>
      <c r="L467" s="425" t="str">
        <f>+IF(IFERROR(MATCH(B467,'Erection Compiled'!$C$6:$C$818,0),"B")="B","","E")</f>
        <v>E</v>
      </c>
      <c r="M467" s="425" t="str">
        <f>+IFERROR(VLOOKUP(B467,Tackwelding!$B$6:$G$367,6,FALSE),"")</f>
        <v>Done</v>
      </c>
    </row>
    <row r="468" spans="1:13" x14ac:dyDescent="0.25">
      <c r="A468" s="425">
        <v>462</v>
      </c>
      <c r="B468" s="425" t="s">
        <v>106</v>
      </c>
      <c r="C468" s="425" t="s">
        <v>249</v>
      </c>
      <c r="H468" s="425" t="str">
        <f t="shared" si="162"/>
        <v>,,,</v>
      </c>
      <c r="I468" s="428">
        <v>420.4</v>
      </c>
      <c r="K468" s="425" t="str">
        <f>+IFERROR(VLOOKUP(B468,Foundation!$C$8:$E$696,3,FALSE),"")</f>
        <v>DRY</v>
      </c>
      <c r="L468" s="425" t="str">
        <f>+IF(IFERROR(MATCH(B468,'Erection Compiled'!$C$6:$C$818,0),"B")="B","","E")</f>
        <v>E</v>
      </c>
      <c r="M468" s="425" t="str">
        <f>+IFERROR(VLOOKUP(B468,Tackwelding!$B$6:$G$367,6,FALSE),"")</f>
        <v>Done</v>
      </c>
    </row>
    <row r="469" spans="1:13" x14ac:dyDescent="0.25">
      <c r="A469" s="425">
        <v>463</v>
      </c>
      <c r="B469" s="425" t="s">
        <v>844</v>
      </c>
      <c r="C469" s="425" t="s">
        <v>20</v>
      </c>
      <c r="H469" s="425" t="str">
        <f t="shared" si="162"/>
        <v>,,,</v>
      </c>
      <c r="I469" s="428">
        <v>398.6</v>
      </c>
      <c r="K469" s="425" t="str">
        <f>+IFERROR(VLOOKUP(B469,Foundation!$C$8:$E$696,3,FALSE),"")</f>
        <v>DRY</v>
      </c>
      <c r="L469" s="425" t="str">
        <f>+IF(IFERROR(MATCH(B469,'Erection Compiled'!$C$6:$C$818,0),"B")="B","","E")</f>
        <v>E</v>
      </c>
      <c r="M469" s="425" t="str">
        <f>+IFERROR(VLOOKUP(B469,Tackwelding!$B$6:$G$367,6,FALSE),"")</f>
        <v>Done</v>
      </c>
    </row>
    <row r="470" spans="1:13" x14ac:dyDescent="0.25">
      <c r="A470" s="425">
        <v>464</v>
      </c>
      <c r="B470" s="425" t="s">
        <v>845</v>
      </c>
      <c r="C470" s="425" t="s">
        <v>20</v>
      </c>
      <c r="H470" s="425" t="str">
        <f t="shared" si="162"/>
        <v>,,,</v>
      </c>
      <c r="I470" s="428">
        <v>414.3</v>
      </c>
      <c r="K470" s="425" t="str">
        <f>+IFERROR(VLOOKUP(B470,Foundation!$C$8:$E$696,3,FALSE),"")</f>
        <v>DRY</v>
      </c>
      <c r="L470" s="425" t="str">
        <f>+IF(IFERROR(MATCH(B470,'Erection Compiled'!$C$6:$C$818,0),"B")="B","","E")</f>
        <v>E</v>
      </c>
      <c r="M470" s="425" t="str">
        <f>+IFERROR(VLOOKUP(B470,Tackwelding!$B$6:$G$367,6,FALSE),"")</f>
        <v>Done</v>
      </c>
    </row>
    <row r="471" spans="1:13" x14ac:dyDescent="0.25">
      <c r="A471" s="425">
        <v>465</v>
      </c>
      <c r="B471" s="425" t="s">
        <v>846</v>
      </c>
      <c r="C471" s="425" t="s">
        <v>232</v>
      </c>
      <c r="H471" s="425" t="str">
        <f t="shared" si="162"/>
        <v>,,,</v>
      </c>
      <c r="I471" s="428">
        <v>413</v>
      </c>
      <c r="K471" s="425" t="str">
        <f>+IFERROR(VLOOKUP(B471,Foundation!$C$8:$E$696,3,FALSE),"")</f>
        <v>DRY</v>
      </c>
      <c r="L471" s="425" t="str">
        <f>+IF(IFERROR(MATCH(B471,'Erection Compiled'!$C$6:$C$818,0),"B")="B","","E")</f>
        <v>E</v>
      </c>
      <c r="M471" s="425" t="str">
        <f>+IFERROR(VLOOKUP(B471,Tackwelding!$B$6:$G$367,6,FALSE),"")</f>
        <v>Done</v>
      </c>
    </row>
    <row r="472" spans="1:13" x14ac:dyDescent="0.25">
      <c r="A472" s="425">
        <v>466</v>
      </c>
      <c r="B472" s="425" t="s">
        <v>847</v>
      </c>
      <c r="C472" s="425" t="s">
        <v>20</v>
      </c>
      <c r="H472" s="425" t="str">
        <f t="shared" si="162"/>
        <v>,,,</v>
      </c>
      <c r="I472" s="428">
        <v>367.7</v>
      </c>
      <c r="K472" s="425" t="str">
        <f>+IFERROR(VLOOKUP(B472,Foundation!$C$8:$E$696,3,FALSE),"")</f>
        <v>DRY</v>
      </c>
      <c r="L472" s="425" t="str">
        <f>+IF(IFERROR(MATCH(B472,'Erection Compiled'!$C$6:$C$818,0),"B")="B","","E")</f>
        <v>E</v>
      </c>
      <c r="M472" s="425" t="str">
        <f>+IFERROR(VLOOKUP(B472,Tackwelding!$B$6:$G$367,6,FALSE),"")</f>
        <v>Done</v>
      </c>
    </row>
    <row r="473" spans="1:13" x14ac:dyDescent="0.25">
      <c r="A473" s="425">
        <v>467</v>
      </c>
      <c r="B473" s="425" t="s">
        <v>848</v>
      </c>
      <c r="C473" s="425" t="s">
        <v>20</v>
      </c>
      <c r="H473" s="425" t="str">
        <f t="shared" si="162"/>
        <v>,,,</v>
      </c>
      <c r="I473" s="428">
        <v>429.4</v>
      </c>
      <c r="K473" s="425" t="str">
        <f>+IFERROR(VLOOKUP(B473,Foundation!$C$8:$E$696,3,FALSE),"")</f>
        <v>DRY</v>
      </c>
      <c r="L473" s="425" t="str">
        <f>+IF(IFERROR(MATCH(B473,'Erection Compiled'!$C$6:$C$818,0),"B")="B","","E")</f>
        <v>E</v>
      </c>
      <c r="M473" s="425" t="str">
        <f>+IFERROR(VLOOKUP(B473,Tackwelding!$B$6:$G$367,6,FALSE),"")</f>
        <v>Done</v>
      </c>
    </row>
    <row r="474" spans="1:13" x14ac:dyDescent="0.25">
      <c r="A474" s="425">
        <v>468</v>
      </c>
      <c r="B474" s="425" t="s">
        <v>849</v>
      </c>
      <c r="C474" s="425" t="s">
        <v>231</v>
      </c>
      <c r="H474" s="425" t="str">
        <f t="shared" si="162"/>
        <v>,,,</v>
      </c>
      <c r="I474" s="428">
        <v>408</v>
      </c>
      <c r="K474" s="425" t="str">
        <f>+IFERROR(VLOOKUP(B474,Foundation!$C$8:$E$696,3,FALSE),"")</f>
        <v>DRY</v>
      </c>
      <c r="L474" s="425" t="str">
        <f>+IF(IFERROR(MATCH(B474,'Erection Compiled'!$C$6:$C$818,0),"B")="B","","E")</f>
        <v>E</v>
      </c>
      <c r="M474" s="425" t="str">
        <f>+IFERROR(VLOOKUP(B474,Tackwelding!$B$6:$G$367,6,FALSE),"")</f>
        <v>Done</v>
      </c>
    </row>
    <row r="475" spans="1:13" x14ac:dyDescent="0.25">
      <c r="A475" s="425">
        <v>469</v>
      </c>
      <c r="B475" s="425" t="s">
        <v>850</v>
      </c>
      <c r="C475" s="425" t="s">
        <v>20</v>
      </c>
      <c r="H475" s="425" t="str">
        <f t="shared" si="162"/>
        <v>,,,</v>
      </c>
      <c r="I475" s="428">
        <v>404.9</v>
      </c>
      <c r="K475" s="425" t="str">
        <f>+IFERROR(VLOOKUP(B475,Foundation!$C$8:$E$696,3,FALSE),"")</f>
        <v>DRY</v>
      </c>
      <c r="L475" s="425" t="str">
        <f>+IF(IFERROR(MATCH(B475,'Erection Compiled'!$C$6:$C$818,0),"B")="B","","E")</f>
        <v>E</v>
      </c>
      <c r="M475" s="425" t="str">
        <f>+IFERROR(VLOOKUP(B475,Tackwelding!$B$6:$G$367,6,FALSE),"")</f>
        <v>Done</v>
      </c>
    </row>
    <row r="476" spans="1:13" x14ac:dyDescent="0.25">
      <c r="A476" s="425">
        <v>470</v>
      </c>
      <c r="B476" s="425" t="s">
        <v>851</v>
      </c>
      <c r="C476" s="425" t="s">
        <v>20</v>
      </c>
      <c r="H476" s="425" t="str">
        <f t="shared" si="162"/>
        <v>,,,</v>
      </c>
      <c r="I476" s="428">
        <v>431.6</v>
      </c>
      <c r="K476" s="425" t="str">
        <f>+IFERROR(VLOOKUP(B476,Foundation!$C$8:$E$696,3,FALSE),"")</f>
        <v>DRY</v>
      </c>
      <c r="L476" s="425" t="str">
        <f>+IF(IFERROR(MATCH(B476,'Erection Compiled'!$C$6:$C$818,0),"B")="B","","E")</f>
        <v>E</v>
      </c>
      <c r="M476" s="425" t="str">
        <f>+IFERROR(VLOOKUP(B476,Tackwelding!$B$6:$G$367,6,FALSE),"")</f>
        <v>Done</v>
      </c>
    </row>
    <row r="477" spans="1:13" x14ac:dyDescent="0.25">
      <c r="A477" s="425">
        <v>471</v>
      </c>
      <c r="B477" s="425" t="s">
        <v>852</v>
      </c>
      <c r="C477" s="425" t="s">
        <v>249</v>
      </c>
      <c r="H477" s="425" t="str">
        <f t="shared" si="162"/>
        <v>,,,</v>
      </c>
      <c r="I477" s="428">
        <v>408.4</v>
      </c>
      <c r="K477" s="425" t="str">
        <f>+IFERROR(VLOOKUP(B477,Foundation!$C$8:$E$696,3,FALSE),"")</f>
        <v>DRY</v>
      </c>
      <c r="L477" s="425" t="str">
        <f>+IF(IFERROR(MATCH(B477,'Erection Compiled'!$C$6:$C$818,0),"B")="B","","E")</f>
        <v>E</v>
      </c>
      <c r="M477" s="425" t="str">
        <f>+IFERROR(VLOOKUP(B477,Tackwelding!$B$6:$G$367,6,FALSE),"")</f>
        <v>Done</v>
      </c>
    </row>
    <row r="478" spans="1:13" x14ac:dyDescent="0.25">
      <c r="A478" s="425">
        <v>472</v>
      </c>
      <c r="B478" s="425" t="s">
        <v>853</v>
      </c>
      <c r="C478" s="425" t="s">
        <v>20</v>
      </c>
      <c r="H478" s="425" t="str">
        <f t="shared" si="162"/>
        <v>,,,</v>
      </c>
      <c r="I478" s="428">
        <v>435.3</v>
      </c>
      <c r="K478" s="425" t="str">
        <f>+IFERROR(VLOOKUP(B478,Foundation!$C$8:$E$696,3,FALSE),"")</f>
        <v>DRY</v>
      </c>
      <c r="L478" s="425" t="str">
        <f>+IF(IFERROR(MATCH(B478,'Erection Compiled'!$C$6:$C$818,0),"B")="B","","E")</f>
        <v>E</v>
      </c>
      <c r="M478" s="425" t="str">
        <f>+IFERROR(VLOOKUP(B478,Tackwelding!$B$6:$G$367,6,FALSE),"")</f>
        <v>Done</v>
      </c>
    </row>
    <row r="479" spans="1:13" x14ac:dyDescent="0.25">
      <c r="A479" s="425">
        <v>473</v>
      </c>
      <c r="B479" s="425" t="s">
        <v>854</v>
      </c>
      <c r="C479" s="425" t="s">
        <v>231</v>
      </c>
      <c r="H479" s="425" t="str">
        <f t="shared" si="162"/>
        <v>,,,</v>
      </c>
      <c r="I479" s="428">
        <v>403.9</v>
      </c>
      <c r="K479" s="425" t="str">
        <f>+IFERROR(VLOOKUP(B479,Foundation!$C$8:$E$696,3,FALSE),"")</f>
        <v>DRY</v>
      </c>
      <c r="L479" s="425" t="str">
        <f>+IF(IFERROR(MATCH(B479,'Erection Compiled'!$C$6:$C$818,0),"B")="B","","E")</f>
        <v>E</v>
      </c>
      <c r="M479" s="425" t="str">
        <f>+IFERROR(VLOOKUP(B479,Tackwelding!$B$6:$G$367,6,FALSE),"")</f>
        <v>Done</v>
      </c>
    </row>
    <row r="480" spans="1:13" x14ac:dyDescent="0.25">
      <c r="A480" s="425">
        <v>474</v>
      </c>
      <c r="B480" s="425" t="s">
        <v>221</v>
      </c>
      <c r="C480" s="425" t="s">
        <v>20</v>
      </c>
      <c r="H480" s="425" t="str">
        <f t="shared" si="162"/>
        <v>,,,</v>
      </c>
      <c r="I480" s="428">
        <v>389.2</v>
      </c>
      <c r="K480" s="425" t="str">
        <f>+IFERROR(VLOOKUP(B480,Foundation!$C$8:$E$696,3,FALSE),"")</f>
        <v>DRY</v>
      </c>
      <c r="L480" s="425" t="str">
        <f>+IF(IFERROR(MATCH(B480,'Erection Compiled'!$C$6:$C$818,0),"B")="B","","E")</f>
        <v>E</v>
      </c>
      <c r="M480" s="425" t="str">
        <f>+IFERROR(VLOOKUP(B480,Tackwelding!$B$6:$G$367,6,FALSE),"")</f>
        <v>Done</v>
      </c>
    </row>
    <row r="481" spans="1:13" x14ac:dyDescent="0.25">
      <c r="A481" s="425">
        <v>475</v>
      </c>
      <c r="B481" s="425" t="s">
        <v>855</v>
      </c>
      <c r="C481" s="425" t="s">
        <v>245</v>
      </c>
      <c r="H481" s="425" t="str">
        <f t="shared" si="162"/>
        <v>,,,</v>
      </c>
      <c r="I481" s="428">
        <v>400.1</v>
      </c>
      <c r="K481" s="425" t="str">
        <f>+IFERROR(VLOOKUP(B481,Foundation!$C$8:$E$696,3,FALSE),"")</f>
        <v>DRY</v>
      </c>
      <c r="L481" s="425" t="str">
        <f>+IF(IFERROR(MATCH(B481,'Erection Compiled'!$C$6:$C$818,0),"B")="B","","E")</f>
        <v>E</v>
      </c>
      <c r="M481" s="425" t="str">
        <f>+IFERROR(VLOOKUP(B481,Tackwelding!$B$6:$G$367,6,FALSE),"")</f>
        <v>Done</v>
      </c>
    </row>
    <row r="482" spans="1:13" x14ac:dyDescent="0.25">
      <c r="A482" s="425">
        <v>476</v>
      </c>
      <c r="B482" s="425" t="s">
        <v>856</v>
      </c>
      <c r="C482" s="425" t="s">
        <v>231</v>
      </c>
      <c r="H482" s="425" t="str">
        <f t="shared" si="162"/>
        <v>,,,</v>
      </c>
      <c r="I482" s="428">
        <v>383.3</v>
      </c>
      <c r="K482" s="425" t="str">
        <f>+IFERROR(VLOOKUP(B482,Foundation!$C$8:$E$696,3,FALSE),"")</f>
        <v>DRY</v>
      </c>
      <c r="L482" s="425" t="str">
        <f>+IF(IFERROR(MATCH(B482,'Erection Compiled'!$C$6:$C$818,0),"B")="B","","E")</f>
        <v>E</v>
      </c>
      <c r="M482" s="425" t="str">
        <f>+IFERROR(VLOOKUP(B482,Tackwelding!$B$6:$G$367,6,FALSE),"")</f>
        <v>Done</v>
      </c>
    </row>
    <row r="483" spans="1:13" x14ac:dyDescent="0.25">
      <c r="A483" s="425">
        <v>477</v>
      </c>
      <c r="B483" s="425" t="s">
        <v>857</v>
      </c>
      <c r="C483" s="425" t="s">
        <v>231</v>
      </c>
      <c r="H483" s="425" t="str">
        <f t="shared" si="162"/>
        <v>,,,</v>
      </c>
      <c r="I483" s="428">
        <v>379</v>
      </c>
      <c r="K483" s="425" t="str">
        <f>+IFERROR(VLOOKUP(B483,Foundation!$C$8:$E$696,3,FALSE),"")</f>
        <v>DRY</v>
      </c>
      <c r="L483" s="425" t="str">
        <f>+IF(IFERROR(MATCH(B483,'Erection Compiled'!$C$6:$C$818,0),"B")="B","","E")</f>
        <v>E</v>
      </c>
      <c r="M483" s="425" t="str">
        <f>+IFERROR(VLOOKUP(B483,Tackwelding!$B$6:$G$367,6,FALSE),"")</f>
        <v>Done</v>
      </c>
    </row>
    <row r="484" spans="1:13" x14ac:dyDescent="0.25">
      <c r="A484" s="425">
        <v>478</v>
      </c>
      <c r="B484" s="425" t="s">
        <v>858</v>
      </c>
      <c r="C484" s="425" t="s">
        <v>231</v>
      </c>
      <c r="H484" s="425" t="str">
        <f t="shared" si="162"/>
        <v>,,,</v>
      </c>
      <c r="I484" s="428">
        <v>381.2</v>
      </c>
      <c r="K484" s="425" t="str">
        <f>+IFERROR(VLOOKUP(B484,Foundation!$C$8:$E$696,3,FALSE),"")</f>
        <v>DRY</v>
      </c>
      <c r="L484" s="425" t="str">
        <f>+IF(IFERROR(MATCH(B484,'Erection Compiled'!$C$6:$C$818,0),"B")="B","","E")</f>
        <v>E</v>
      </c>
      <c r="M484" s="425" t="str">
        <f>+IFERROR(VLOOKUP(B484,Tackwelding!$B$6:$G$367,6,FALSE),"")</f>
        <v>Done</v>
      </c>
    </row>
    <row r="485" spans="1:13" x14ac:dyDescent="0.25">
      <c r="A485" s="425">
        <v>479</v>
      </c>
      <c r="B485" s="425" t="s">
        <v>859</v>
      </c>
      <c r="C485" s="425" t="s">
        <v>231</v>
      </c>
      <c r="H485" s="425" t="str">
        <f t="shared" si="162"/>
        <v>,,,</v>
      </c>
      <c r="I485" s="428">
        <v>384.7</v>
      </c>
      <c r="K485" s="425" t="str">
        <f>+IFERROR(VLOOKUP(B485,Foundation!$C$8:$E$696,3,FALSE),"")</f>
        <v>DRY</v>
      </c>
      <c r="L485" s="425" t="str">
        <f>+IF(IFERROR(MATCH(B485,'Erection Compiled'!$C$6:$C$818,0),"B")="B","","E")</f>
        <v>E</v>
      </c>
      <c r="M485" s="425" t="str">
        <f>+IFERROR(VLOOKUP(B485,Tackwelding!$B$6:$G$367,6,FALSE),"")</f>
        <v>Done</v>
      </c>
    </row>
    <row r="486" spans="1:13" x14ac:dyDescent="0.25">
      <c r="A486" s="425">
        <v>480</v>
      </c>
      <c r="B486" s="425" t="s">
        <v>860</v>
      </c>
      <c r="C486" s="425" t="s">
        <v>231</v>
      </c>
      <c r="H486" s="425" t="str">
        <f t="shared" si="162"/>
        <v>,,,</v>
      </c>
      <c r="I486" s="428">
        <v>368.8</v>
      </c>
      <c r="K486" s="425" t="str">
        <f>+IFERROR(VLOOKUP(B486,Foundation!$C$8:$E$696,3,FALSE),"")</f>
        <v>DRY</v>
      </c>
      <c r="L486" s="425" t="str">
        <f>+IF(IFERROR(MATCH(B486,'Erection Compiled'!$C$6:$C$818,0),"B")="B","","E")</f>
        <v>E</v>
      </c>
      <c r="M486" s="425" t="str">
        <f>+IFERROR(VLOOKUP(B486,Tackwelding!$B$6:$G$367,6,FALSE),"")</f>
        <v>Done</v>
      </c>
    </row>
    <row r="487" spans="1:13" x14ac:dyDescent="0.25">
      <c r="A487" s="425">
        <v>481</v>
      </c>
      <c r="B487" s="425" t="s">
        <v>861</v>
      </c>
      <c r="C487" s="425" t="s">
        <v>231</v>
      </c>
      <c r="H487" s="425" t="str">
        <f t="shared" si="162"/>
        <v>,,,</v>
      </c>
      <c r="I487" s="428">
        <v>365.5</v>
      </c>
      <c r="K487" s="425" t="str">
        <f>+IFERROR(VLOOKUP(B487,Foundation!$C$8:$E$696,3,FALSE),"")</f>
        <v>DRY</v>
      </c>
      <c r="L487" s="425" t="str">
        <f>+IF(IFERROR(MATCH(B487,'Erection Compiled'!$C$6:$C$818,0),"B")="B","","E")</f>
        <v>E</v>
      </c>
      <c r="M487" s="425" t="str">
        <f>+IFERROR(VLOOKUP(B487,Tackwelding!$B$6:$G$367,6,FALSE),"")</f>
        <v>Done</v>
      </c>
    </row>
    <row r="488" spans="1:13" x14ac:dyDescent="0.25">
      <c r="A488" s="425">
        <v>482</v>
      </c>
      <c r="B488" s="425" t="s">
        <v>862</v>
      </c>
      <c r="C488" s="425" t="s">
        <v>231</v>
      </c>
      <c r="H488" s="425" t="str">
        <f t="shared" si="162"/>
        <v>,,,</v>
      </c>
      <c r="I488" s="428">
        <v>392.4</v>
      </c>
      <c r="K488" s="425" t="str">
        <f>+IFERROR(VLOOKUP(B488,Foundation!$C$8:$E$696,3,FALSE),"")</f>
        <v>DRY</v>
      </c>
      <c r="L488" s="425" t="str">
        <f>+IF(IFERROR(MATCH(B488,'Erection Compiled'!$C$6:$C$818,0),"B")="B","","E")</f>
        <v>E</v>
      </c>
      <c r="M488" s="425" t="str">
        <f>+IFERROR(VLOOKUP(B488,Tackwelding!$B$6:$G$367,6,FALSE),"")</f>
        <v>Done</v>
      </c>
    </row>
    <row r="489" spans="1:13" x14ac:dyDescent="0.25">
      <c r="A489" s="425">
        <v>483</v>
      </c>
      <c r="B489" s="425" t="s">
        <v>863</v>
      </c>
      <c r="C489" s="425" t="s">
        <v>20</v>
      </c>
      <c r="H489" s="425" t="str">
        <f t="shared" si="162"/>
        <v>,,,</v>
      </c>
      <c r="I489" s="428">
        <v>374.9</v>
      </c>
      <c r="K489" s="425" t="str">
        <f>+IFERROR(VLOOKUP(B489,Foundation!$C$8:$E$696,3,FALSE),"")</f>
        <v>DRY</v>
      </c>
      <c r="L489" s="425" t="str">
        <f>+IF(IFERROR(MATCH(B489,'Erection Compiled'!$C$6:$C$818,0),"B")="B","","E")</f>
        <v>E</v>
      </c>
      <c r="M489" s="425" t="str">
        <f>+IFERROR(VLOOKUP(B489,Tackwelding!$B$6:$G$367,6,FALSE),"")</f>
        <v>Done</v>
      </c>
    </row>
    <row r="490" spans="1:13" x14ac:dyDescent="0.25">
      <c r="A490" s="425">
        <v>484</v>
      </c>
      <c r="B490" s="425" t="s">
        <v>864</v>
      </c>
      <c r="C490" s="425" t="s">
        <v>231</v>
      </c>
      <c r="H490" s="425" t="str">
        <f t="shared" si="162"/>
        <v>,,,</v>
      </c>
      <c r="I490" s="428">
        <v>379.5</v>
      </c>
      <c r="K490" s="425" t="str">
        <f>+IFERROR(VLOOKUP(B490,Foundation!$C$8:$E$696,3,FALSE),"")</f>
        <v>DRY</v>
      </c>
      <c r="L490" s="425" t="str">
        <f>+IF(IFERROR(MATCH(B490,'Erection Compiled'!$C$6:$C$818,0),"B")="B","","E")</f>
        <v>E</v>
      </c>
      <c r="M490" s="425" t="str">
        <f>+IFERROR(VLOOKUP(B490,Tackwelding!$B$6:$G$367,6,FALSE),"")</f>
        <v>Done</v>
      </c>
    </row>
    <row r="491" spans="1:13" x14ac:dyDescent="0.25">
      <c r="A491" s="425">
        <v>485</v>
      </c>
      <c r="B491" s="425" t="s">
        <v>865</v>
      </c>
      <c r="C491" s="425" t="s">
        <v>245</v>
      </c>
      <c r="H491" s="425" t="str">
        <f t="shared" si="162"/>
        <v>,,,</v>
      </c>
      <c r="I491" s="428">
        <v>378.9</v>
      </c>
      <c r="K491" s="425" t="str">
        <f>+IFERROR(VLOOKUP(B491,Foundation!$C$8:$E$696,3,FALSE),"")</f>
        <v>Sandy</v>
      </c>
      <c r="L491" s="425" t="str">
        <f>+IF(IFERROR(MATCH(B491,'Erection Compiled'!$C$6:$C$818,0),"B")="B","","E")</f>
        <v>E</v>
      </c>
      <c r="M491" s="425" t="str">
        <f>+IFERROR(VLOOKUP(B491,Tackwelding!$B$6:$G$367,6,FALSE),"")</f>
        <v>Done</v>
      </c>
    </row>
    <row r="492" spans="1:13" x14ac:dyDescent="0.25">
      <c r="K492" s="425" t="str">
        <f>+IFERROR(VLOOKUP(B492,Foundation!$C$8:$E$696,3,FALSE),"")</f>
        <v/>
      </c>
    </row>
    <row r="493" spans="1:13" x14ac:dyDescent="0.25">
      <c r="K493" s="425" t="str">
        <f>+IFERROR(VLOOKUP(B493,Foundation!$C$8:$E$696,3,FALSE),"")</f>
        <v/>
      </c>
    </row>
    <row r="494" spans="1:13" x14ac:dyDescent="0.25">
      <c r="K494" s="425" t="str">
        <f>+IFERROR(VLOOKUP(B494,Foundation!$C$8:$E$696,3,FALSE),"")</f>
        <v/>
      </c>
    </row>
    <row r="495" spans="1:13" x14ac:dyDescent="0.25">
      <c r="K495" s="425" t="str">
        <f>+IFERROR(VLOOKUP(B495,Foundation!$C$8:$E$696,3,FALSE),"")</f>
        <v/>
      </c>
    </row>
    <row r="496" spans="1:13" x14ac:dyDescent="0.25">
      <c r="K496" s="425" t="str">
        <f>+IFERROR(VLOOKUP(B496,Foundation!$C$8:$E$696,3,FALSE),"")</f>
        <v/>
      </c>
    </row>
    <row r="497" spans="11:11" x14ac:dyDescent="0.25">
      <c r="K497" s="425" t="str">
        <f>+IFERROR(VLOOKUP(B497,Foundation!$C$8:$E$696,3,FALSE),"")</f>
        <v/>
      </c>
    </row>
    <row r="498" spans="11:11" x14ac:dyDescent="0.25">
      <c r="K498" s="425" t="str">
        <f>+IFERROR(VLOOKUP(B498,Foundation!$C$8:$E$696,3,FALSE),"")</f>
        <v/>
      </c>
    </row>
    <row r="499" spans="11:11" x14ac:dyDescent="0.25">
      <c r="K499" s="425" t="str">
        <f>+IFERROR(VLOOKUP(B499,Foundation!$C$8:$E$696,3,FALSE),"")</f>
        <v/>
      </c>
    </row>
    <row r="500" spans="11:11" x14ac:dyDescent="0.25">
      <c r="K500" s="425" t="str">
        <f>+IFERROR(VLOOKUP(B500,Foundation!$C$8:$E$696,3,FALSE),"")</f>
        <v/>
      </c>
    </row>
    <row r="501" spans="11:11" x14ac:dyDescent="0.25">
      <c r="K501" s="425" t="str">
        <f>+IFERROR(VLOOKUP(B501,Foundation!$C$8:$E$696,3,FALSE),"")</f>
        <v/>
      </c>
    </row>
    <row r="502" spans="11:11" x14ac:dyDescent="0.25">
      <c r="K502" s="425" t="str">
        <f>+IFERROR(VLOOKUP(B502,Foundation!$C$8:$E$696,3,FALSE),"")</f>
        <v/>
      </c>
    </row>
    <row r="503" spans="11:11" x14ac:dyDescent="0.25">
      <c r="K503" s="425" t="str">
        <f>+IFERROR(VLOOKUP(B503,Foundation!$C$8:$E$696,3,FALSE),"")</f>
        <v/>
      </c>
    </row>
    <row r="504" spans="11:11" x14ac:dyDescent="0.25">
      <c r="K504" s="425" t="str">
        <f>+IFERROR(VLOOKUP(B504,Foundation!$C$8:$E$696,3,FALSE),"")</f>
        <v/>
      </c>
    </row>
    <row r="505" spans="11:11" x14ac:dyDescent="0.25">
      <c r="K505" s="425" t="str">
        <f>+IFERROR(VLOOKUP(B505,Foundation!$C$8:$E$696,3,FALSE),"")</f>
        <v/>
      </c>
    </row>
    <row r="506" spans="11:11" x14ac:dyDescent="0.25">
      <c r="K506" s="425" t="str">
        <f>+IFERROR(VLOOKUP(B506,Foundation!$C$8:$E$696,3,FALSE),"")</f>
        <v/>
      </c>
    </row>
    <row r="507" spans="11:11" x14ac:dyDescent="0.25">
      <c r="K507" s="425" t="str">
        <f>+IFERROR(VLOOKUP(B507,Foundation!$C$8:$E$696,3,FALSE),"")</f>
        <v/>
      </c>
    </row>
    <row r="508" spans="11:11" x14ac:dyDescent="0.25">
      <c r="K508" s="425" t="str">
        <f>+IFERROR(VLOOKUP(B508,Foundation!$C$8:$E$696,3,FALSE),"")</f>
        <v/>
      </c>
    </row>
    <row r="509" spans="11:11" x14ac:dyDescent="0.25">
      <c r="K509" s="425" t="str">
        <f>+IFERROR(VLOOKUP(B509,Foundation!$C$8:$E$696,3,FALSE),"")</f>
        <v/>
      </c>
    </row>
    <row r="510" spans="11:11" x14ac:dyDescent="0.25">
      <c r="K510" s="425" t="str">
        <f>+IFERROR(VLOOKUP(B510,Foundation!$C$8:$E$696,3,FALSE),"")</f>
        <v/>
      </c>
    </row>
    <row r="511" spans="11:11" x14ac:dyDescent="0.25">
      <c r="K511" s="425" t="str">
        <f>+IFERROR(VLOOKUP(B511,Foundation!$C$8:$E$696,3,FALSE),"")</f>
        <v/>
      </c>
    </row>
    <row r="512" spans="11:11" x14ac:dyDescent="0.25">
      <c r="K512" s="425" t="str">
        <f>+IFERROR(VLOOKUP(B512,Foundation!$C$8:$E$696,3,FALSE),"")</f>
        <v/>
      </c>
    </row>
    <row r="513" spans="11:11" x14ac:dyDescent="0.25">
      <c r="K513" s="425" t="str">
        <f>+IFERROR(VLOOKUP(B513,Foundation!$C$8:$E$696,3,FALSE),"")</f>
        <v/>
      </c>
    </row>
    <row r="514" spans="11:11" x14ac:dyDescent="0.25">
      <c r="K514" s="425" t="str">
        <f>+IFERROR(VLOOKUP(B514,Foundation!$C$8:$E$696,3,FALSE),"")</f>
        <v/>
      </c>
    </row>
    <row r="515" spans="11:11" x14ac:dyDescent="0.25">
      <c r="K515" s="425" t="str">
        <f>+IFERROR(VLOOKUP(B515,Foundation!$C$8:$E$696,3,FALSE),"")</f>
        <v/>
      </c>
    </row>
    <row r="516" spans="11:11" x14ac:dyDescent="0.25">
      <c r="K516" s="425" t="str">
        <f>+IFERROR(VLOOKUP(B516,Foundation!$C$8:$E$696,3,FALSE),"")</f>
        <v/>
      </c>
    </row>
    <row r="517" spans="11:11" x14ac:dyDescent="0.25">
      <c r="K517" s="425" t="str">
        <f>+IFERROR(VLOOKUP(B517,Foundation!$C$8:$E$696,3,FALSE),"")</f>
        <v/>
      </c>
    </row>
    <row r="518" spans="11:11" x14ac:dyDescent="0.25">
      <c r="K518" s="425" t="str">
        <f>+IFERROR(VLOOKUP(B518,Foundation!$C$8:$E$696,3,FALSE),"")</f>
        <v/>
      </c>
    </row>
    <row r="519" spans="11:11" x14ac:dyDescent="0.25">
      <c r="K519" s="425" t="str">
        <f>+IFERROR(VLOOKUP(B519,Foundation!$C$8:$E$696,3,FALSE),"")</f>
        <v/>
      </c>
    </row>
    <row r="520" spans="11:11" x14ac:dyDescent="0.25">
      <c r="K520" s="425" t="str">
        <f>+IFERROR(VLOOKUP(B520,Foundation!$C$8:$E$696,3,FALSE),"")</f>
        <v/>
      </c>
    </row>
    <row r="521" spans="11:11" x14ac:dyDescent="0.25">
      <c r="K521" s="425" t="str">
        <f>+IFERROR(VLOOKUP(B521,Foundation!$C$8:$E$696,3,FALSE),"")</f>
        <v/>
      </c>
    </row>
    <row r="522" spans="11:11" x14ac:dyDescent="0.25">
      <c r="K522" s="425" t="str">
        <f>+IFERROR(VLOOKUP(B522,Foundation!$C$8:$E$696,3,FALSE),"")</f>
        <v/>
      </c>
    </row>
    <row r="523" spans="11:11" x14ac:dyDescent="0.25">
      <c r="K523" s="425" t="str">
        <f>+IFERROR(VLOOKUP(B523,Foundation!$C$8:$E$696,3,FALSE),"")</f>
        <v/>
      </c>
    </row>
    <row r="524" spans="11:11" x14ac:dyDescent="0.25">
      <c r="K524" s="425" t="str">
        <f>+IFERROR(VLOOKUP(B524,Foundation!$C$8:$E$696,3,FALSE),"")</f>
        <v/>
      </c>
    </row>
    <row r="525" spans="11:11" x14ac:dyDescent="0.25">
      <c r="K525" s="425" t="str">
        <f>+IFERROR(VLOOKUP(B525,Foundation!$C$8:$E$696,3,FALSE),"")</f>
        <v/>
      </c>
    </row>
    <row r="526" spans="11:11" x14ac:dyDescent="0.25">
      <c r="K526" s="425" t="str">
        <f>+IFERROR(VLOOKUP(B526,Foundation!$C$8:$E$696,3,FALSE),"")</f>
        <v/>
      </c>
    </row>
    <row r="527" spans="11:11" x14ac:dyDescent="0.25">
      <c r="K527" s="425" t="str">
        <f>+IFERROR(VLOOKUP(B527,Foundation!$C$8:$E$696,3,FALSE),"")</f>
        <v/>
      </c>
    </row>
    <row r="528" spans="11:11" x14ac:dyDescent="0.25">
      <c r="K528" s="425" t="str">
        <f>+IFERROR(VLOOKUP(B528,Foundation!$C$8:$E$696,3,FALSE),"")</f>
        <v/>
      </c>
    </row>
    <row r="529" spans="11:11" x14ac:dyDescent="0.25">
      <c r="K529" s="425" t="str">
        <f>+IFERROR(VLOOKUP(B529,Foundation!$C$8:$E$696,3,FALSE),"")</f>
        <v/>
      </c>
    </row>
    <row r="530" spans="11:11" x14ac:dyDescent="0.25">
      <c r="K530" s="42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3" customWidth="1"/>
    <col min="2" max="2" width="5.7109375" style="433" customWidth="1"/>
    <col min="3" max="3" width="7.42578125" style="433" customWidth="1"/>
    <col min="4" max="4" width="6.5703125" style="433" customWidth="1"/>
    <col min="5" max="5" width="7.85546875" style="433" bestFit="1" customWidth="1"/>
    <col min="6" max="6" width="6.7109375" style="433" bestFit="1" customWidth="1"/>
    <col min="7" max="8" width="6.5703125" style="433" bestFit="1" customWidth="1"/>
    <col min="9" max="9" width="9" style="433" bestFit="1" customWidth="1"/>
    <col min="10" max="13" width="8.85546875" style="433" customWidth="1"/>
    <col min="14" max="14" width="17.28515625" style="433" customWidth="1"/>
    <col min="15" max="15" width="13" style="433" bestFit="1" customWidth="1"/>
    <col min="16" max="16384" width="9" style="433"/>
  </cols>
  <sheetData>
    <row r="1" spans="1:15" x14ac:dyDescent="0.2">
      <c r="A1" s="208" t="s">
        <v>1260</v>
      </c>
      <c r="I1" s="454" t="s">
        <v>19</v>
      </c>
      <c r="J1" s="683">
        <f>+SUM(J7:J221)</f>
        <v>35308.548700000007</v>
      </c>
      <c r="K1" s="683"/>
      <c r="L1" s="683">
        <f>+SUM(L7:L221)</f>
        <v>22312.440700000006</v>
      </c>
      <c r="M1" s="683"/>
      <c r="N1" s="683">
        <f>+SUM(N7:N221)</f>
        <v>24183.155000000002</v>
      </c>
    </row>
    <row r="2" spans="1:15" x14ac:dyDescent="0.2">
      <c r="A2" s="208"/>
      <c r="I2" s="682" t="s">
        <v>1600</v>
      </c>
      <c r="J2" s="684">
        <f>+COUNTA(B7:B221)</f>
        <v>215</v>
      </c>
      <c r="K2" s="454"/>
      <c r="L2" s="684">
        <f>+COUNTA(L7:L221)</f>
        <v>175</v>
      </c>
      <c r="M2" s="454"/>
      <c r="N2" s="684">
        <f>+COUNTA(N7:N221)</f>
        <v>170</v>
      </c>
      <c r="O2" s="732">
        <f>J2-N2</f>
        <v>45</v>
      </c>
    </row>
    <row r="3" spans="1:15" x14ac:dyDescent="0.2">
      <c r="A3" s="1005" t="s">
        <v>1242</v>
      </c>
      <c r="B3" s="1005"/>
      <c r="C3" s="1005"/>
      <c r="D3" s="1005"/>
      <c r="E3" s="1005"/>
      <c r="F3" s="1005"/>
      <c r="G3" s="1005"/>
      <c r="H3" s="1005"/>
      <c r="I3" s="1005"/>
      <c r="J3" s="1005"/>
      <c r="K3" s="1005"/>
      <c r="L3" s="1005"/>
      <c r="M3" s="1005"/>
      <c r="N3" s="1005"/>
      <c r="O3" s="1005"/>
    </row>
    <row r="4" spans="1:15" ht="38.25" customHeight="1" x14ac:dyDescent="0.2">
      <c r="A4" s="1004" t="s">
        <v>303</v>
      </c>
      <c r="B4" s="1004" t="s">
        <v>1191</v>
      </c>
      <c r="C4" s="1006" t="s">
        <v>4</v>
      </c>
      <c r="D4" s="1006" t="s">
        <v>1243</v>
      </c>
      <c r="E4" s="1006" t="s">
        <v>1244</v>
      </c>
      <c r="F4" s="1006" t="s">
        <v>1245</v>
      </c>
      <c r="G4" s="1006"/>
      <c r="H4" s="1006"/>
      <c r="I4" s="1006"/>
      <c r="J4" s="1004" t="s">
        <v>1246</v>
      </c>
      <c r="K4" s="1004"/>
      <c r="L4" s="1004" t="s">
        <v>1258</v>
      </c>
      <c r="M4" s="1004"/>
      <c r="N4" s="1004" t="s">
        <v>1259</v>
      </c>
      <c r="O4" s="1004"/>
    </row>
    <row r="5" spans="1:15" ht="26.25" customHeight="1" x14ac:dyDescent="0.2">
      <c r="A5" s="1004"/>
      <c r="B5" s="1004"/>
      <c r="C5" s="1006"/>
      <c r="D5" s="1006"/>
      <c r="E5" s="1006"/>
      <c r="F5" s="435" t="s">
        <v>108</v>
      </c>
      <c r="G5" s="435" t="s">
        <v>441</v>
      </c>
      <c r="H5" s="435" t="s">
        <v>419</v>
      </c>
      <c r="I5" s="435" t="s">
        <v>442</v>
      </c>
      <c r="J5" s="434" t="s">
        <v>1247</v>
      </c>
      <c r="K5" s="434" t="s">
        <v>1248</v>
      </c>
      <c r="L5" s="434" t="s">
        <v>1247</v>
      </c>
      <c r="M5" s="434" t="s">
        <v>1248</v>
      </c>
      <c r="N5" s="434" t="s">
        <v>1598</v>
      </c>
      <c r="O5" s="434" t="s">
        <v>1599</v>
      </c>
    </row>
    <row r="6" spans="1:15" x14ac:dyDescent="0.2">
      <c r="A6" s="436"/>
      <c r="B6" s="436"/>
      <c r="C6" s="437"/>
      <c r="D6" s="437"/>
      <c r="E6" s="437"/>
      <c r="F6" s="437"/>
      <c r="G6" s="437"/>
      <c r="H6" s="437"/>
      <c r="I6" s="437"/>
      <c r="J6" s="436"/>
      <c r="K6" s="436"/>
      <c r="L6" s="436"/>
      <c r="M6" s="436"/>
      <c r="N6" s="436"/>
      <c r="O6" s="436"/>
    </row>
    <row r="7" spans="1:15" x14ac:dyDescent="0.2">
      <c r="A7" s="438">
        <v>1</v>
      </c>
      <c r="B7" s="436" t="s">
        <v>626</v>
      </c>
      <c r="C7" s="437" t="s">
        <v>238</v>
      </c>
      <c r="D7" s="437"/>
      <c r="E7" s="681">
        <v>280.66300000000001</v>
      </c>
      <c r="F7" s="437"/>
      <c r="G7" s="437"/>
      <c r="H7" s="437"/>
      <c r="I7" s="438">
        <v>1</v>
      </c>
      <c r="J7" s="451">
        <v>396.75299999999999</v>
      </c>
      <c r="K7" s="451"/>
      <c r="L7" s="451">
        <v>396.75299999999999</v>
      </c>
      <c r="M7" s="436"/>
      <c r="N7" s="438">
        <v>396.75</v>
      </c>
      <c r="O7" s="436" t="s">
        <v>276</v>
      </c>
    </row>
    <row r="8" spans="1:15" x14ac:dyDescent="0.2">
      <c r="A8" s="438">
        <v>2</v>
      </c>
      <c r="B8" s="436" t="s">
        <v>628</v>
      </c>
      <c r="C8" s="437" t="s">
        <v>231</v>
      </c>
      <c r="D8" s="437"/>
      <c r="E8" s="681">
        <v>289.35500000000002</v>
      </c>
      <c r="F8" s="437"/>
      <c r="G8" s="437" t="s">
        <v>649</v>
      </c>
      <c r="H8" s="437" t="s">
        <v>649</v>
      </c>
      <c r="I8" s="437"/>
      <c r="J8" s="451">
        <v>135.47499999999999</v>
      </c>
      <c r="K8" s="451"/>
      <c r="L8" s="451">
        <v>126.578</v>
      </c>
      <c r="M8" s="436"/>
      <c r="N8" s="762">
        <v>126.578</v>
      </c>
      <c r="O8" s="436" t="s">
        <v>276</v>
      </c>
    </row>
    <row r="9" spans="1:15" x14ac:dyDescent="0.2">
      <c r="A9" s="438">
        <v>3</v>
      </c>
      <c r="B9" s="436" t="s">
        <v>630</v>
      </c>
      <c r="C9" s="437" t="s">
        <v>20</v>
      </c>
      <c r="D9" s="437"/>
      <c r="E9" s="681">
        <v>279.61099999999999</v>
      </c>
      <c r="F9" s="437"/>
      <c r="G9" s="437"/>
      <c r="H9" s="437">
        <v>1</v>
      </c>
      <c r="I9" s="437"/>
      <c r="J9" s="451">
        <v>96.197999999999993</v>
      </c>
      <c r="K9" s="451"/>
      <c r="L9" s="451">
        <v>84.47</v>
      </c>
      <c r="M9" s="436"/>
      <c r="N9" s="438">
        <v>96.197999999999993</v>
      </c>
      <c r="O9" s="436" t="s">
        <v>32</v>
      </c>
    </row>
    <row r="10" spans="1:15" x14ac:dyDescent="0.2">
      <c r="A10" s="438">
        <v>4</v>
      </c>
      <c r="B10" s="436" t="s">
        <v>631</v>
      </c>
      <c r="C10" s="437" t="s">
        <v>231</v>
      </c>
      <c r="D10" s="437"/>
      <c r="E10" s="681">
        <v>283.36900000000003</v>
      </c>
      <c r="F10" s="438">
        <v>1</v>
      </c>
      <c r="G10" s="438">
        <v>1</v>
      </c>
      <c r="H10" s="437"/>
      <c r="I10" s="437"/>
      <c r="J10" s="451">
        <v>90.817999999999998</v>
      </c>
      <c r="K10" s="451"/>
      <c r="L10" s="451">
        <v>90.817999999999998</v>
      </c>
      <c r="M10" s="436"/>
      <c r="N10" s="436"/>
      <c r="O10" s="436"/>
    </row>
    <row r="11" spans="1:15" x14ac:dyDescent="0.2">
      <c r="A11" s="438">
        <v>5</v>
      </c>
      <c r="B11" s="436" t="s">
        <v>632</v>
      </c>
      <c r="C11" s="437" t="s">
        <v>231</v>
      </c>
      <c r="D11" s="437"/>
      <c r="E11" s="681">
        <v>285.08800000000002</v>
      </c>
      <c r="F11" s="437">
        <v>1</v>
      </c>
      <c r="G11" s="437"/>
      <c r="H11" s="437"/>
      <c r="I11" s="437">
        <v>1</v>
      </c>
      <c r="J11" s="451">
        <v>115.601</v>
      </c>
      <c r="K11" s="451"/>
      <c r="L11" s="451">
        <v>95.447000000000003</v>
      </c>
      <c r="M11" s="436"/>
      <c r="N11" s="436"/>
      <c r="O11" s="436"/>
    </row>
    <row r="12" spans="1:15" x14ac:dyDescent="0.2">
      <c r="A12" s="438">
        <v>6</v>
      </c>
      <c r="B12" s="436" t="s">
        <v>633</v>
      </c>
      <c r="C12" s="437" t="s">
        <v>20</v>
      </c>
      <c r="D12" s="437"/>
      <c r="E12" s="681">
        <v>279.351</v>
      </c>
      <c r="F12" s="437"/>
      <c r="G12" s="437">
        <v>1</v>
      </c>
      <c r="H12" s="437"/>
      <c r="I12" s="437"/>
      <c r="J12" s="451">
        <v>16.617999999999999</v>
      </c>
      <c r="K12" s="451"/>
      <c r="L12" s="451">
        <v>15.102</v>
      </c>
      <c r="M12" s="436"/>
      <c r="N12" s="438">
        <v>16.617999999999999</v>
      </c>
      <c r="O12" s="436" t="s">
        <v>143</v>
      </c>
    </row>
    <row r="13" spans="1:15" x14ac:dyDescent="0.2">
      <c r="A13" s="438">
        <v>7</v>
      </c>
      <c r="B13" s="436" t="s">
        <v>448</v>
      </c>
      <c r="C13" s="437" t="s">
        <v>20</v>
      </c>
      <c r="D13" s="437"/>
      <c r="E13" s="681">
        <v>286.12299999999999</v>
      </c>
      <c r="F13" s="437"/>
      <c r="G13" s="437"/>
      <c r="H13" s="437"/>
      <c r="I13" s="437">
        <v>1</v>
      </c>
      <c r="J13" s="451">
        <v>32.393000000000001</v>
      </c>
      <c r="K13" s="451"/>
      <c r="L13" s="451">
        <v>32.393000000000001</v>
      </c>
      <c r="M13" s="436"/>
      <c r="N13" s="438">
        <v>32.393000000000001</v>
      </c>
      <c r="O13" s="436" t="s">
        <v>143</v>
      </c>
    </row>
    <row r="14" spans="1:15" x14ac:dyDescent="0.2">
      <c r="A14" s="438">
        <v>8</v>
      </c>
      <c r="B14" s="436" t="s">
        <v>449</v>
      </c>
      <c r="C14" s="437" t="s">
        <v>20</v>
      </c>
      <c r="D14" s="437"/>
      <c r="E14" s="681">
        <v>291.649</v>
      </c>
      <c r="F14" s="437">
        <v>1</v>
      </c>
      <c r="G14" s="437"/>
      <c r="H14" s="437">
        <v>1</v>
      </c>
      <c r="I14" s="437">
        <v>1</v>
      </c>
      <c r="J14" s="451">
        <v>6.3520000000000003</v>
      </c>
      <c r="K14" s="451"/>
      <c r="L14" s="451">
        <v>6.3520000000000003</v>
      </c>
      <c r="M14" s="436"/>
      <c r="N14" s="438">
        <v>6.3520000000000003</v>
      </c>
      <c r="O14" s="436" t="s">
        <v>143</v>
      </c>
    </row>
    <row r="15" spans="1:15" x14ac:dyDescent="0.2">
      <c r="A15" s="438">
        <v>9</v>
      </c>
      <c r="B15" s="436" t="s">
        <v>451</v>
      </c>
      <c r="C15" s="437" t="s">
        <v>20</v>
      </c>
      <c r="D15" s="437">
        <v>-0.3</v>
      </c>
      <c r="E15" s="681">
        <v>295.84699999999998</v>
      </c>
      <c r="F15" s="437"/>
      <c r="G15" s="437"/>
      <c r="H15" s="437">
        <v>1</v>
      </c>
      <c r="I15" s="437">
        <v>1</v>
      </c>
      <c r="J15" s="451">
        <v>37.104999999999997</v>
      </c>
      <c r="K15" s="451"/>
      <c r="L15" s="451">
        <v>37.104999999999997</v>
      </c>
      <c r="M15" s="436"/>
      <c r="N15" s="438">
        <v>37.104999999999997</v>
      </c>
      <c r="O15" s="436" t="s">
        <v>143</v>
      </c>
    </row>
    <row r="16" spans="1:15" x14ac:dyDescent="0.2">
      <c r="A16" s="438">
        <v>10</v>
      </c>
      <c r="B16" s="436" t="s">
        <v>452</v>
      </c>
      <c r="C16" s="437" t="s">
        <v>20</v>
      </c>
      <c r="D16" s="437"/>
      <c r="E16" s="681">
        <v>295.74799999999999</v>
      </c>
      <c r="F16" s="437"/>
      <c r="G16" s="437"/>
      <c r="H16" s="437"/>
      <c r="I16" s="437">
        <v>1</v>
      </c>
      <c r="J16" s="451">
        <v>183.86799999999999</v>
      </c>
      <c r="K16" s="451"/>
      <c r="L16" s="451">
        <v>183.86799999999999</v>
      </c>
      <c r="M16" s="436"/>
      <c r="N16" s="436"/>
      <c r="O16" s="436"/>
    </row>
    <row r="17" spans="1:15" x14ac:dyDescent="0.2">
      <c r="A17" s="438">
        <v>11</v>
      </c>
      <c r="B17" s="436" t="s">
        <v>40</v>
      </c>
      <c r="C17" s="437" t="s">
        <v>240</v>
      </c>
      <c r="D17" s="437"/>
      <c r="E17" s="681">
        <v>276.36700000000002</v>
      </c>
      <c r="F17" s="437" t="s">
        <v>1249</v>
      </c>
      <c r="G17" s="437" t="s">
        <v>1249</v>
      </c>
      <c r="H17" s="437" t="s">
        <v>1249</v>
      </c>
      <c r="I17" s="437" t="s">
        <v>1249</v>
      </c>
      <c r="J17" s="451"/>
      <c r="K17" s="451"/>
      <c r="L17" s="451"/>
      <c r="M17" s="436"/>
      <c r="N17" s="436"/>
      <c r="O17" s="436"/>
    </row>
    <row r="18" spans="1:15" x14ac:dyDescent="0.2">
      <c r="A18" s="438">
        <v>12</v>
      </c>
      <c r="B18" s="436" t="s">
        <v>41</v>
      </c>
      <c r="C18" s="437" t="s">
        <v>241</v>
      </c>
      <c r="D18" s="437"/>
      <c r="E18" s="681">
        <v>278.86399999999998</v>
      </c>
      <c r="F18" s="438">
        <v>5</v>
      </c>
      <c r="G18" s="438">
        <v>5</v>
      </c>
      <c r="H18" s="438">
        <v>5</v>
      </c>
      <c r="I18" s="438">
        <v>5</v>
      </c>
      <c r="J18" s="451"/>
      <c r="K18" s="451"/>
      <c r="L18" s="451"/>
      <c r="M18" s="436"/>
      <c r="N18" s="436"/>
      <c r="O18" s="436"/>
    </row>
    <row r="19" spans="1:15" x14ac:dyDescent="0.2">
      <c r="A19" s="438">
        <v>13</v>
      </c>
      <c r="B19" s="436" t="s">
        <v>42</v>
      </c>
      <c r="C19" s="437" t="s">
        <v>231</v>
      </c>
      <c r="D19" s="437"/>
      <c r="E19" s="681">
        <v>285.435</v>
      </c>
      <c r="F19" s="437"/>
      <c r="G19" s="437"/>
      <c r="H19" s="437"/>
      <c r="I19" s="437"/>
      <c r="J19" s="451">
        <v>62.716000000000001</v>
      </c>
      <c r="K19" s="451"/>
      <c r="L19" s="451">
        <v>62.716000000000001</v>
      </c>
      <c r="M19" s="436"/>
      <c r="N19" s="436"/>
      <c r="O19" s="436"/>
    </row>
    <row r="20" spans="1:15" x14ac:dyDescent="0.2">
      <c r="A20" s="438">
        <v>14</v>
      </c>
      <c r="B20" s="436" t="s">
        <v>43</v>
      </c>
      <c r="C20" s="437" t="s">
        <v>242</v>
      </c>
      <c r="D20" s="437"/>
      <c r="E20" s="681">
        <v>285.25799999999998</v>
      </c>
      <c r="F20" s="438">
        <v>2</v>
      </c>
      <c r="G20" s="438">
        <v>3</v>
      </c>
      <c r="H20" s="438">
        <v>3</v>
      </c>
      <c r="I20" s="438">
        <v>2</v>
      </c>
      <c r="J20" s="451">
        <v>38.395000000000003</v>
      </c>
      <c r="K20" s="451"/>
      <c r="L20" s="451">
        <v>38.395000000000003</v>
      </c>
      <c r="M20" s="436"/>
      <c r="N20" s="438">
        <v>38.395000000000003</v>
      </c>
      <c r="O20" s="436" t="s">
        <v>143</v>
      </c>
    </row>
    <row r="21" spans="1:15" x14ac:dyDescent="0.2">
      <c r="A21" s="438">
        <v>15</v>
      </c>
      <c r="B21" s="436" t="s">
        <v>150</v>
      </c>
      <c r="C21" s="437" t="s">
        <v>20</v>
      </c>
      <c r="D21" s="437"/>
      <c r="E21" s="681">
        <v>277.53199999999998</v>
      </c>
      <c r="F21" s="437"/>
      <c r="G21" s="437"/>
      <c r="H21" s="437"/>
      <c r="I21" s="437"/>
      <c r="J21" s="451">
        <v>95.016999999999996</v>
      </c>
      <c r="K21" s="451"/>
      <c r="L21" s="451">
        <v>95.016999999999996</v>
      </c>
      <c r="M21" s="436"/>
      <c r="N21" s="438">
        <v>95.016999999999996</v>
      </c>
      <c r="O21" s="436" t="s">
        <v>416</v>
      </c>
    </row>
    <row r="22" spans="1:15" x14ac:dyDescent="0.2">
      <c r="A22" s="438">
        <v>16</v>
      </c>
      <c r="B22" s="436" t="s">
        <v>464</v>
      </c>
      <c r="C22" s="437" t="s">
        <v>20</v>
      </c>
      <c r="D22" s="437"/>
      <c r="E22" s="681">
        <v>278.29199999999997</v>
      </c>
      <c r="F22" s="437"/>
      <c r="G22" s="437"/>
      <c r="H22" s="437"/>
      <c r="I22" s="437">
        <v>1</v>
      </c>
      <c r="J22" s="451">
        <v>36.524000000000001</v>
      </c>
      <c r="K22" s="451"/>
      <c r="L22" s="451">
        <v>36.524000000000001</v>
      </c>
      <c r="M22" s="436"/>
      <c r="N22" s="438">
        <v>36.524000000000001</v>
      </c>
      <c r="O22" s="436" t="s">
        <v>416</v>
      </c>
    </row>
    <row r="23" spans="1:15" x14ac:dyDescent="0.2">
      <c r="A23" s="438">
        <v>17</v>
      </c>
      <c r="B23" s="436" t="s">
        <v>155</v>
      </c>
      <c r="C23" s="437" t="s">
        <v>231</v>
      </c>
      <c r="D23" s="438">
        <v>0.1</v>
      </c>
      <c r="E23" s="681">
        <v>258.78399999999999</v>
      </c>
      <c r="F23" s="437"/>
      <c r="G23" s="437"/>
      <c r="H23" s="437"/>
      <c r="I23" s="437"/>
      <c r="J23" s="451"/>
      <c r="K23" s="451"/>
      <c r="L23" s="451"/>
      <c r="M23" s="436"/>
      <c r="N23" s="436"/>
      <c r="O23" s="436"/>
    </row>
    <row r="24" spans="1:15" x14ac:dyDescent="0.2">
      <c r="A24" s="438">
        <v>18</v>
      </c>
      <c r="B24" s="436" t="s">
        <v>168</v>
      </c>
      <c r="C24" s="437" t="s">
        <v>20</v>
      </c>
      <c r="D24" s="438">
        <v>0.2</v>
      </c>
      <c r="E24" s="681">
        <v>263.54300000000001</v>
      </c>
      <c r="F24" s="437"/>
      <c r="G24" s="437"/>
      <c r="H24" s="437"/>
      <c r="I24" s="437"/>
      <c r="J24" s="451"/>
      <c r="K24" s="451"/>
      <c r="L24" s="451"/>
      <c r="M24" s="436"/>
      <c r="N24" s="436"/>
      <c r="O24" s="436"/>
    </row>
    <row r="25" spans="1:15" x14ac:dyDescent="0.2">
      <c r="A25" s="438">
        <v>19</v>
      </c>
      <c r="B25" s="436" t="s">
        <v>474</v>
      </c>
      <c r="C25" s="437" t="s">
        <v>231</v>
      </c>
      <c r="D25" s="438">
        <v>-0.3</v>
      </c>
      <c r="E25" s="681">
        <v>267.94600000000003</v>
      </c>
      <c r="F25" s="437">
        <v>1</v>
      </c>
      <c r="G25" s="437"/>
      <c r="H25" s="437"/>
      <c r="I25" s="437">
        <v>3</v>
      </c>
      <c r="J25" s="451"/>
      <c r="K25" s="451"/>
      <c r="L25" s="451"/>
      <c r="M25" s="436"/>
      <c r="N25" s="436"/>
      <c r="O25" s="436"/>
    </row>
    <row r="26" spans="1:15" x14ac:dyDescent="0.2">
      <c r="A26" s="438">
        <v>20</v>
      </c>
      <c r="B26" s="436" t="s">
        <v>475</v>
      </c>
      <c r="C26" s="437" t="s">
        <v>231</v>
      </c>
      <c r="D26" s="438">
        <v>-0.3</v>
      </c>
      <c r="E26" s="681">
        <v>274.89600000000002</v>
      </c>
      <c r="F26" s="437"/>
      <c r="G26" s="437">
        <v>2</v>
      </c>
      <c r="H26" s="437"/>
      <c r="I26" s="437"/>
      <c r="J26" s="451"/>
      <c r="K26" s="451"/>
      <c r="L26" s="451"/>
      <c r="M26" s="436"/>
      <c r="N26" s="436"/>
      <c r="O26" s="436"/>
    </row>
    <row r="27" spans="1:15" x14ac:dyDescent="0.2">
      <c r="A27" s="438">
        <v>21</v>
      </c>
      <c r="B27" s="436" t="s">
        <v>476</v>
      </c>
      <c r="C27" s="437" t="s">
        <v>242</v>
      </c>
      <c r="D27" s="438">
        <v>-0.3</v>
      </c>
      <c r="E27" s="681">
        <v>267.68400000000003</v>
      </c>
      <c r="F27" s="437">
        <v>1</v>
      </c>
      <c r="G27" s="437">
        <v>4</v>
      </c>
      <c r="H27" s="437"/>
      <c r="I27" s="437">
        <v>3</v>
      </c>
      <c r="J27" s="451"/>
      <c r="K27" s="451"/>
      <c r="L27" s="451"/>
      <c r="M27" s="436"/>
      <c r="N27" s="436"/>
      <c r="O27" s="436"/>
    </row>
    <row r="28" spans="1:15" x14ac:dyDescent="0.2">
      <c r="A28" s="438">
        <v>22</v>
      </c>
      <c r="B28" s="436" t="s">
        <v>478</v>
      </c>
      <c r="C28" s="437" t="s">
        <v>231</v>
      </c>
      <c r="D28" s="437"/>
      <c r="E28" s="681">
        <v>260.63200000000001</v>
      </c>
      <c r="F28" s="437">
        <v>2</v>
      </c>
      <c r="G28" s="437">
        <v>1</v>
      </c>
      <c r="H28" s="437"/>
      <c r="I28" s="437"/>
      <c r="J28" s="451"/>
      <c r="K28" s="451"/>
      <c r="L28" s="451"/>
      <c r="M28" s="436"/>
      <c r="N28" s="436"/>
      <c r="O28" s="436"/>
    </row>
    <row r="29" spans="1:15" x14ac:dyDescent="0.2">
      <c r="A29" s="438">
        <v>23</v>
      </c>
      <c r="B29" s="436" t="s">
        <v>479</v>
      </c>
      <c r="C29" s="437" t="s">
        <v>231</v>
      </c>
      <c r="D29" s="681">
        <v>-0.3</v>
      </c>
      <c r="E29" s="681">
        <v>244.31</v>
      </c>
      <c r="F29" s="437"/>
      <c r="G29" s="437"/>
      <c r="H29" s="437"/>
      <c r="I29" s="437">
        <v>1</v>
      </c>
      <c r="J29" s="451"/>
      <c r="K29" s="451"/>
      <c r="L29" s="451"/>
      <c r="M29" s="436"/>
      <c r="N29" s="436"/>
      <c r="O29" s="436"/>
    </row>
    <row r="30" spans="1:15" x14ac:dyDescent="0.2">
      <c r="A30" s="438">
        <v>24</v>
      </c>
      <c r="B30" s="436" t="s">
        <v>488</v>
      </c>
      <c r="C30" s="437" t="s">
        <v>232</v>
      </c>
      <c r="D30" s="437"/>
      <c r="E30" s="681">
        <v>276.71300000000002</v>
      </c>
      <c r="F30" s="437"/>
      <c r="G30" s="438">
        <v>2</v>
      </c>
      <c r="H30" s="438">
        <v>4</v>
      </c>
      <c r="I30" s="438">
        <v>1</v>
      </c>
      <c r="J30" s="451">
        <v>21.332000000000001</v>
      </c>
      <c r="K30" s="451"/>
      <c r="L30" s="451">
        <v>21.332000000000001</v>
      </c>
      <c r="M30" s="436"/>
      <c r="N30" s="446">
        <v>21.331</v>
      </c>
      <c r="O30" s="436" t="s">
        <v>143</v>
      </c>
    </row>
    <row r="31" spans="1:15" x14ac:dyDescent="0.2">
      <c r="A31" s="438">
        <v>25</v>
      </c>
      <c r="B31" s="436" t="s">
        <v>492</v>
      </c>
      <c r="C31" s="437" t="s">
        <v>20</v>
      </c>
      <c r="D31" s="437"/>
      <c r="E31" s="681" t="s">
        <v>1251</v>
      </c>
      <c r="F31" s="437"/>
      <c r="G31" s="437"/>
      <c r="H31" s="437">
        <v>2</v>
      </c>
      <c r="I31" s="437">
        <v>4</v>
      </c>
      <c r="J31" s="451">
        <v>263.57900000000001</v>
      </c>
      <c r="K31" s="451"/>
      <c r="L31" s="451">
        <v>263.57900000000001</v>
      </c>
      <c r="M31" s="436"/>
      <c r="N31" s="446">
        <v>263.57900000000001</v>
      </c>
      <c r="O31" s="436" t="s">
        <v>276</v>
      </c>
    </row>
    <row r="32" spans="1:15" x14ac:dyDescent="0.2">
      <c r="A32" s="438">
        <v>26</v>
      </c>
      <c r="B32" s="436" t="s">
        <v>498</v>
      </c>
      <c r="C32" s="437" t="s">
        <v>20</v>
      </c>
      <c r="D32" s="681">
        <v>0.1</v>
      </c>
      <c r="E32" s="681">
        <v>257.553</v>
      </c>
      <c r="F32" s="437"/>
      <c r="G32" s="437"/>
      <c r="H32" s="437"/>
      <c r="I32" s="437"/>
      <c r="J32" s="451"/>
      <c r="K32" s="451"/>
      <c r="L32" s="451"/>
      <c r="M32" s="436"/>
      <c r="N32" s="436"/>
      <c r="O32" s="436"/>
    </row>
    <row r="33" spans="1:15" x14ac:dyDescent="0.2">
      <c r="A33" s="438">
        <v>27</v>
      </c>
      <c r="B33" s="436" t="s">
        <v>501</v>
      </c>
      <c r="C33" s="437" t="s">
        <v>231</v>
      </c>
      <c r="D33" s="437"/>
      <c r="E33" s="681">
        <v>231.584</v>
      </c>
      <c r="F33" s="437">
        <v>1</v>
      </c>
      <c r="G33" s="437"/>
      <c r="H33" s="437"/>
      <c r="I33" s="437">
        <v>1</v>
      </c>
      <c r="J33" s="451">
        <v>103.375</v>
      </c>
      <c r="K33" s="451"/>
      <c r="L33" s="451">
        <v>103.375</v>
      </c>
      <c r="M33" s="436"/>
      <c r="N33" s="446">
        <v>103.375</v>
      </c>
      <c r="O33" s="436" t="s">
        <v>276</v>
      </c>
    </row>
    <row r="34" spans="1:15" x14ac:dyDescent="0.2">
      <c r="A34" s="438">
        <v>28</v>
      </c>
      <c r="B34" s="436" t="s">
        <v>174</v>
      </c>
      <c r="C34" s="437" t="s">
        <v>231</v>
      </c>
      <c r="D34" s="437"/>
      <c r="E34" s="681">
        <v>230.93199999999999</v>
      </c>
      <c r="F34" s="437"/>
      <c r="G34" s="437">
        <v>1</v>
      </c>
      <c r="H34" s="437"/>
      <c r="I34" s="437"/>
      <c r="J34" s="451">
        <v>111.857</v>
      </c>
      <c r="K34" s="451"/>
      <c r="L34" s="451">
        <v>111.857</v>
      </c>
      <c r="M34" s="436"/>
      <c r="N34" s="447">
        <v>111.857</v>
      </c>
      <c r="O34" s="436" t="s">
        <v>276</v>
      </c>
    </row>
    <row r="35" spans="1:15" x14ac:dyDescent="0.2">
      <c r="A35" s="438">
        <v>29</v>
      </c>
      <c r="B35" s="436" t="s">
        <v>503</v>
      </c>
      <c r="C35" s="437" t="s">
        <v>249</v>
      </c>
      <c r="D35" s="437"/>
      <c r="E35" s="681">
        <v>231.52500000000001</v>
      </c>
      <c r="F35" s="437"/>
      <c r="G35" s="437"/>
      <c r="H35" s="437"/>
      <c r="I35" s="437">
        <v>1</v>
      </c>
      <c r="J35" s="451">
        <v>203.45400000000001</v>
      </c>
      <c r="K35" s="451"/>
      <c r="L35" s="451">
        <v>203.45400000000001</v>
      </c>
      <c r="M35" s="436"/>
      <c r="N35" s="446">
        <v>203.45400000000001</v>
      </c>
      <c r="O35" s="436" t="s">
        <v>276</v>
      </c>
    </row>
    <row r="36" spans="1:15" x14ac:dyDescent="0.2">
      <c r="A36" s="438">
        <v>30</v>
      </c>
      <c r="B36" s="436" t="s">
        <v>526</v>
      </c>
      <c r="C36" s="437" t="s">
        <v>20</v>
      </c>
      <c r="D36" s="681">
        <v>-0.17</v>
      </c>
      <c r="E36" s="681">
        <v>219.398</v>
      </c>
      <c r="F36" s="437"/>
      <c r="G36" s="437">
        <v>1</v>
      </c>
      <c r="H36" s="437">
        <v>2</v>
      </c>
      <c r="I36" s="437">
        <v>1</v>
      </c>
      <c r="J36" s="451">
        <v>32.563000000000002</v>
      </c>
      <c r="K36" s="451"/>
      <c r="L36" s="451">
        <v>32.563000000000002</v>
      </c>
      <c r="M36" s="436"/>
      <c r="N36" s="438">
        <v>32.563000000000002</v>
      </c>
      <c r="O36" s="436" t="s">
        <v>143</v>
      </c>
    </row>
    <row r="37" spans="1:15" x14ac:dyDescent="0.2">
      <c r="A37" s="438">
        <v>31</v>
      </c>
      <c r="B37" s="436" t="s">
        <v>28</v>
      </c>
      <c r="C37" s="437" t="s">
        <v>232</v>
      </c>
      <c r="D37" s="437"/>
      <c r="E37" s="681">
        <v>221.47200000000001</v>
      </c>
      <c r="F37" s="437"/>
      <c r="G37" s="437"/>
      <c r="H37" s="437"/>
      <c r="I37" s="437">
        <v>2</v>
      </c>
      <c r="J37" s="451">
        <v>150.696</v>
      </c>
      <c r="K37" s="451"/>
      <c r="L37" s="451">
        <v>150.696</v>
      </c>
      <c r="M37" s="436"/>
      <c r="N37" s="438">
        <v>198.696</v>
      </c>
      <c r="O37" s="436" t="s">
        <v>143</v>
      </c>
    </row>
    <row r="38" spans="1:15" x14ac:dyDescent="0.2">
      <c r="A38" s="438">
        <v>32</v>
      </c>
      <c r="B38" s="436" t="s">
        <v>52</v>
      </c>
      <c r="C38" s="437" t="s">
        <v>233</v>
      </c>
      <c r="D38" s="448">
        <v>-0.37</v>
      </c>
      <c r="E38" s="681">
        <v>229.54599999999999</v>
      </c>
      <c r="F38" s="437"/>
      <c r="G38" s="437"/>
      <c r="H38" s="437"/>
      <c r="I38" s="437">
        <v>1</v>
      </c>
      <c r="J38" s="451">
        <v>156.167</v>
      </c>
      <c r="K38" s="451"/>
      <c r="L38" s="451">
        <v>156.167</v>
      </c>
      <c r="M38" s="436"/>
      <c r="N38" s="438">
        <v>156.167</v>
      </c>
      <c r="O38" s="436" t="s">
        <v>143</v>
      </c>
    </row>
    <row r="39" spans="1:15" x14ac:dyDescent="0.2">
      <c r="A39" s="438">
        <v>33</v>
      </c>
      <c r="B39" s="436" t="s">
        <v>54</v>
      </c>
      <c r="C39" s="437" t="s">
        <v>233</v>
      </c>
      <c r="D39" s="437"/>
      <c r="E39" s="681">
        <v>237.50399999999999</v>
      </c>
      <c r="F39" s="438">
        <v>2</v>
      </c>
      <c r="G39" s="438">
        <v>2</v>
      </c>
      <c r="H39" s="438">
        <v>2</v>
      </c>
      <c r="I39" s="438">
        <v>2</v>
      </c>
      <c r="J39" s="451"/>
      <c r="K39" s="451"/>
      <c r="L39" s="451"/>
      <c r="M39" s="436"/>
      <c r="N39" s="436"/>
      <c r="O39" s="436"/>
    </row>
    <row r="40" spans="1:15" x14ac:dyDescent="0.2">
      <c r="A40" s="438">
        <v>34</v>
      </c>
      <c r="B40" s="436" t="s">
        <v>25</v>
      </c>
      <c r="C40" s="437" t="s">
        <v>231</v>
      </c>
      <c r="D40" s="437"/>
      <c r="E40" s="681">
        <v>228.10599999999999</v>
      </c>
      <c r="F40" s="437"/>
      <c r="G40" s="437"/>
      <c r="H40" s="437"/>
      <c r="I40" s="437">
        <v>1</v>
      </c>
      <c r="J40" s="451">
        <v>134.90600000000001</v>
      </c>
      <c r="K40" s="451"/>
      <c r="L40" s="451">
        <v>134.90600000000001</v>
      </c>
      <c r="M40" s="436"/>
      <c r="N40" s="446">
        <v>134.90600000000001</v>
      </c>
      <c r="O40" s="436" t="s">
        <v>143</v>
      </c>
    </row>
    <row r="41" spans="1:15" x14ac:dyDescent="0.2">
      <c r="A41" s="438">
        <v>35</v>
      </c>
      <c r="B41" s="436" t="s">
        <v>55</v>
      </c>
      <c r="C41" s="437" t="s">
        <v>231</v>
      </c>
      <c r="D41" s="437"/>
      <c r="E41" s="681">
        <v>230.791</v>
      </c>
      <c r="F41" s="437"/>
      <c r="G41" s="437">
        <v>1</v>
      </c>
      <c r="H41" s="437"/>
      <c r="I41" s="437">
        <v>1</v>
      </c>
      <c r="J41" s="451">
        <v>163.81800000000001</v>
      </c>
      <c r="K41" s="451"/>
      <c r="L41" s="451">
        <v>163.81800000000001</v>
      </c>
      <c r="M41" s="436"/>
      <c r="N41" s="446">
        <v>163.81800000000001</v>
      </c>
      <c r="O41" s="436" t="s">
        <v>276</v>
      </c>
    </row>
    <row r="42" spans="1:15" x14ac:dyDescent="0.2">
      <c r="A42" s="438">
        <v>36</v>
      </c>
      <c r="B42" s="436" t="s">
        <v>56</v>
      </c>
      <c r="C42" s="437" t="s">
        <v>242</v>
      </c>
      <c r="D42" s="681">
        <v>-0.25</v>
      </c>
      <c r="E42" s="681">
        <v>238.053</v>
      </c>
      <c r="F42" s="437"/>
      <c r="G42" s="437">
        <v>2</v>
      </c>
      <c r="H42" s="437">
        <v>1</v>
      </c>
      <c r="I42" s="437">
        <v>1</v>
      </c>
      <c r="J42" s="451">
        <v>42.317</v>
      </c>
      <c r="K42" s="451"/>
      <c r="L42" s="451">
        <v>42.317</v>
      </c>
      <c r="M42" s="436"/>
      <c r="N42" s="446">
        <v>42.317</v>
      </c>
      <c r="O42" s="436" t="s">
        <v>143</v>
      </c>
    </row>
    <row r="43" spans="1:15" x14ac:dyDescent="0.2">
      <c r="A43" s="438">
        <v>37</v>
      </c>
      <c r="B43" s="436" t="s">
        <v>530</v>
      </c>
      <c r="C43" s="437" t="s">
        <v>232</v>
      </c>
      <c r="D43" s="437"/>
      <c r="E43" s="681">
        <v>226.251</v>
      </c>
      <c r="F43" s="437">
        <v>1</v>
      </c>
      <c r="G43" s="437">
        <v>2</v>
      </c>
      <c r="H43" s="437"/>
      <c r="I43" s="437"/>
      <c r="J43" s="451">
        <v>141.30500000000001</v>
      </c>
      <c r="K43" s="451"/>
      <c r="L43" s="451">
        <v>141.30500000000001</v>
      </c>
      <c r="M43" s="436"/>
      <c r="N43" s="436"/>
      <c r="O43" s="436"/>
    </row>
    <row r="44" spans="1:15" x14ac:dyDescent="0.2">
      <c r="A44" s="438">
        <v>38</v>
      </c>
      <c r="B44" s="436" t="s">
        <v>531</v>
      </c>
      <c r="C44" s="437" t="s">
        <v>232</v>
      </c>
      <c r="D44" s="437">
        <v>-0.2</v>
      </c>
      <c r="E44" s="681">
        <v>219.64</v>
      </c>
      <c r="F44" s="437"/>
      <c r="G44" s="437">
        <v>2</v>
      </c>
      <c r="H44" s="437"/>
      <c r="I44" s="437"/>
      <c r="J44" s="451">
        <v>115.21599999999999</v>
      </c>
      <c r="K44" s="451"/>
      <c r="L44" s="451">
        <v>115.21599999999999</v>
      </c>
      <c r="M44" s="436"/>
      <c r="N44" s="436"/>
      <c r="O44" s="436"/>
    </row>
    <row r="45" spans="1:15" x14ac:dyDescent="0.2">
      <c r="A45" s="438">
        <v>39</v>
      </c>
      <c r="B45" s="436" t="s">
        <v>532</v>
      </c>
      <c r="C45" s="437" t="s">
        <v>20</v>
      </c>
      <c r="D45" s="437">
        <v>-0.2</v>
      </c>
      <c r="E45" s="681">
        <v>219.34800000000001</v>
      </c>
      <c r="F45" s="437">
        <v>1</v>
      </c>
      <c r="G45" s="437">
        <v>2</v>
      </c>
      <c r="H45" s="437"/>
      <c r="I45" s="437"/>
      <c r="J45" s="451">
        <v>273.42</v>
      </c>
      <c r="K45" s="451"/>
      <c r="L45" s="451">
        <v>273.42</v>
      </c>
      <c r="M45" s="436"/>
      <c r="N45" s="446">
        <v>322.43</v>
      </c>
      <c r="O45" s="436" t="s">
        <v>143</v>
      </c>
    </row>
    <row r="46" spans="1:15" x14ac:dyDescent="0.2">
      <c r="A46" s="438">
        <v>40</v>
      </c>
      <c r="B46" s="436" t="s">
        <v>533</v>
      </c>
      <c r="C46" s="437" t="s">
        <v>232</v>
      </c>
      <c r="D46" s="437">
        <v>-0.2</v>
      </c>
      <c r="E46" s="681">
        <v>228.631</v>
      </c>
      <c r="F46" s="437"/>
      <c r="G46" s="437"/>
      <c r="H46" s="437">
        <v>1</v>
      </c>
      <c r="I46" s="437"/>
      <c r="J46" s="451">
        <v>156.89599999999999</v>
      </c>
      <c r="K46" s="451"/>
      <c r="L46" s="451">
        <v>156.89599999999999</v>
      </c>
      <c r="M46" s="436"/>
      <c r="N46" s="446">
        <v>156.89599999999999</v>
      </c>
      <c r="O46" s="436" t="s">
        <v>143</v>
      </c>
    </row>
    <row r="47" spans="1:15" x14ac:dyDescent="0.2">
      <c r="A47" s="438">
        <v>41</v>
      </c>
      <c r="B47" s="436" t="s">
        <v>57</v>
      </c>
      <c r="C47" s="437" t="s">
        <v>247</v>
      </c>
      <c r="D47" s="437"/>
      <c r="E47" s="681">
        <v>234.31700000000001</v>
      </c>
      <c r="F47" s="437">
        <v>2</v>
      </c>
      <c r="G47" s="437">
        <v>2</v>
      </c>
      <c r="H47" s="437">
        <v>2</v>
      </c>
      <c r="I47" s="437">
        <v>2</v>
      </c>
      <c r="J47" s="451"/>
      <c r="K47" s="451"/>
      <c r="L47" s="451"/>
      <c r="M47" s="436"/>
      <c r="N47" s="436"/>
      <c r="O47" s="436"/>
    </row>
    <row r="48" spans="1:15" x14ac:dyDescent="0.2">
      <c r="A48" s="438">
        <v>42</v>
      </c>
      <c r="B48" s="436" t="s">
        <v>33</v>
      </c>
      <c r="C48" s="437" t="s">
        <v>247</v>
      </c>
      <c r="D48" s="437"/>
      <c r="E48" s="681">
        <v>216.73</v>
      </c>
      <c r="F48" s="437">
        <v>2</v>
      </c>
      <c r="G48" s="437">
        <v>2</v>
      </c>
      <c r="H48" s="437">
        <v>2</v>
      </c>
      <c r="I48" s="437">
        <v>2</v>
      </c>
      <c r="J48" s="451"/>
      <c r="K48" s="451"/>
      <c r="L48" s="451"/>
      <c r="M48" s="436"/>
      <c r="N48" s="436"/>
      <c r="O48" s="436"/>
    </row>
    <row r="49" spans="1:15" x14ac:dyDescent="0.2">
      <c r="A49" s="438">
        <v>43</v>
      </c>
      <c r="B49" s="436" t="s">
        <v>181</v>
      </c>
      <c r="C49" s="437" t="s">
        <v>231</v>
      </c>
      <c r="D49" s="448">
        <v>-0.12</v>
      </c>
      <c r="E49" s="681">
        <v>218.505</v>
      </c>
      <c r="F49" s="438">
        <v>1</v>
      </c>
      <c r="G49" s="438">
        <v>2</v>
      </c>
      <c r="H49" s="437"/>
      <c r="I49" s="438">
        <v>2</v>
      </c>
      <c r="J49" s="451">
        <v>66.405000000000001</v>
      </c>
      <c r="K49" s="451"/>
      <c r="L49" s="451">
        <v>66.405000000000001</v>
      </c>
      <c r="M49" s="436"/>
      <c r="N49" s="438">
        <v>66.405000000000001</v>
      </c>
      <c r="O49" s="436" t="s">
        <v>143</v>
      </c>
    </row>
    <row r="50" spans="1:15" x14ac:dyDescent="0.2">
      <c r="A50" s="438">
        <v>44</v>
      </c>
      <c r="B50" s="436" t="s">
        <v>182</v>
      </c>
      <c r="C50" s="437" t="s">
        <v>231</v>
      </c>
      <c r="D50" s="437" t="s">
        <v>1253</v>
      </c>
      <c r="E50" s="681">
        <v>214.76300000000001</v>
      </c>
      <c r="F50" s="438">
        <v>1</v>
      </c>
      <c r="G50" s="438">
        <v>1</v>
      </c>
      <c r="H50" s="437"/>
      <c r="I50" s="438">
        <v>1</v>
      </c>
      <c r="J50" s="451">
        <v>28.422000000000001</v>
      </c>
      <c r="K50" s="451"/>
      <c r="L50" s="451">
        <v>28.422000000000001</v>
      </c>
      <c r="M50" s="436"/>
      <c r="N50" s="438">
        <v>28.422000000000001</v>
      </c>
      <c r="O50" s="436" t="s">
        <v>143</v>
      </c>
    </row>
    <row r="51" spans="1:15" x14ac:dyDescent="0.2">
      <c r="A51" s="438">
        <v>45</v>
      </c>
      <c r="B51" s="436" t="s">
        <v>61</v>
      </c>
      <c r="C51" s="437" t="s">
        <v>232</v>
      </c>
      <c r="D51" s="437"/>
      <c r="E51" s="681">
        <v>213.40700000000001</v>
      </c>
      <c r="F51" s="437">
        <v>1</v>
      </c>
      <c r="G51" s="437"/>
      <c r="H51" s="437"/>
      <c r="I51" s="437"/>
      <c r="J51" s="451">
        <v>120.137</v>
      </c>
      <c r="K51" s="451"/>
      <c r="L51" s="451">
        <v>120.137</v>
      </c>
      <c r="M51" s="436"/>
      <c r="N51" s="446">
        <v>120.137</v>
      </c>
      <c r="O51" s="436" t="s">
        <v>143</v>
      </c>
    </row>
    <row r="52" spans="1:15" x14ac:dyDescent="0.2">
      <c r="A52" s="438">
        <v>46</v>
      </c>
      <c r="B52" s="436" t="s">
        <v>62</v>
      </c>
      <c r="C52" s="437" t="s">
        <v>232</v>
      </c>
      <c r="D52" s="437"/>
      <c r="E52" s="681">
        <v>221.41399999999999</v>
      </c>
      <c r="F52" s="437">
        <v>1</v>
      </c>
      <c r="G52" s="437">
        <v>1</v>
      </c>
      <c r="H52" s="437"/>
      <c r="I52" s="437"/>
      <c r="J52" s="451">
        <v>81.488</v>
      </c>
      <c r="K52" s="451"/>
      <c r="L52" s="451">
        <v>81.488</v>
      </c>
      <c r="M52" s="436"/>
      <c r="N52" s="446">
        <v>81.488</v>
      </c>
      <c r="O52" s="436" t="s">
        <v>143</v>
      </c>
    </row>
    <row r="53" spans="1:15" x14ac:dyDescent="0.2">
      <c r="A53" s="438">
        <v>47</v>
      </c>
      <c r="B53" s="436" t="s">
        <v>183</v>
      </c>
      <c r="C53" s="437" t="s">
        <v>232</v>
      </c>
      <c r="D53" s="437">
        <v>0.6</v>
      </c>
      <c r="E53" s="681">
        <v>211.524</v>
      </c>
      <c r="F53" s="437"/>
      <c r="G53" s="437">
        <v>1</v>
      </c>
      <c r="H53" s="437">
        <v>1</v>
      </c>
      <c r="I53" s="437"/>
      <c r="J53" s="451">
        <v>254.21299999999999</v>
      </c>
      <c r="K53" s="451"/>
      <c r="L53" s="451">
        <v>254.21299999999999</v>
      </c>
      <c r="M53" s="436"/>
      <c r="N53" s="446">
        <v>254.21299999999999</v>
      </c>
      <c r="O53" s="436" t="s">
        <v>143</v>
      </c>
    </row>
    <row r="54" spans="1:15" x14ac:dyDescent="0.2">
      <c r="A54" s="438">
        <v>48</v>
      </c>
      <c r="B54" s="436" t="s">
        <v>75</v>
      </c>
      <c r="C54" s="437" t="s">
        <v>233</v>
      </c>
      <c r="D54" s="437" t="s">
        <v>1254</v>
      </c>
      <c r="E54" s="681">
        <v>214.13800000000001</v>
      </c>
      <c r="F54" s="437"/>
      <c r="G54" s="437">
        <v>2</v>
      </c>
      <c r="H54" s="437"/>
      <c r="I54" s="437"/>
      <c r="J54" s="451">
        <v>281.983</v>
      </c>
      <c r="K54" s="451"/>
      <c r="L54" s="451">
        <v>281.983</v>
      </c>
      <c r="M54" s="436"/>
      <c r="N54" s="438">
        <v>359.86</v>
      </c>
      <c r="O54" s="436" t="s">
        <v>143</v>
      </c>
    </row>
    <row r="55" spans="1:15" x14ac:dyDescent="0.2">
      <c r="A55" s="438">
        <v>49</v>
      </c>
      <c r="B55" s="436" t="s">
        <v>192</v>
      </c>
      <c r="C55" s="437" t="s">
        <v>232</v>
      </c>
      <c r="D55" s="437"/>
      <c r="E55" s="681">
        <v>215.881</v>
      </c>
      <c r="F55" s="437">
        <v>1</v>
      </c>
      <c r="G55" s="437">
        <v>4</v>
      </c>
      <c r="H55" s="437">
        <v>3</v>
      </c>
      <c r="I55" s="437"/>
      <c r="J55" s="451">
        <v>148.09700000000001</v>
      </c>
      <c r="K55" s="451"/>
      <c r="L55" s="451">
        <v>148.09700000000001</v>
      </c>
      <c r="M55" s="436"/>
      <c r="N55" s="438">
        <v>148.09700000000001</v>
      </c>
      <c r="O55" s="436" t="s">
        <v>143</v>
      </c>
    </row>
    <row r="56" spans="1:15" x14ac:dyDescent="0.2">
      <c r="A56" s="438">
        <v>50</v>
      </c>
      <c r="B56" s="436" t="s">
        <v>193</v>
      </c>
      <c r="C56" s="437" t="s">
        <v>20</v>
      </c>
      <c r="D56" s="437" t="s">
        <v>1255</v>
      </c>
      <c r="E56" s="681">
        <v>205.536</v>
      </c>
      <c r="F56" s="437">
        <v>1</v>
      </c>
      <c r="G56" s="437">
        <v>3</v>
      </c>
      <c r="H56" s="437">
        <v>2</v>
      </c>
      <c r="I56" s="437"/>
      <c r="J56" s="451">
        <v>51.177</v>
      </c>
      <c r="K56" s="451"/>
      <c r="L56" s="451">
        <v>51.177</v>
      </c>
      <c r="M56" s="436"/>
      <c r="N56" s="438">
        <v>51.177</v>
      </c>
      <c r="O56" s="436" t="s">
        <v>143</v>
      </c>
    </row>
    <row r="57" spans="1:15" x14ac:dyDescent="0.2">
      <c r="A57" s="438">
        <v>51</v>
      </c>
      <c r="B57" s="436" t="s">
        <v>194</v>
      </c>
      <c r="C57" s="437" t="s">
        <v>20</v>
      </c>
      <c r="D57" s="437" t="s">
        <v>1250</v>
      </c>
      <c r="E57" s="681">
        <v>210.95500000000001</v>
      </c>
      <c r="F57" s="437"/>
      <c r="G57" s="437"/>
      <c r="H57" s="437">
        <v>5</v>
      </c>
      <c r="I57" s="437">
        <v>3</v>
      </c>
      <c r="J57" s="451">
        <v>89.36</v>
      </c>
      <c r="K57" s="451"/>
      <c r="L57" s="451">
        <v>89.36</v>
      </c>
      <c r="M57" s="436"/>
      <c r="N57" s="438">
        <v>172.93299999999999</v>
      </c>
      <c r="O57" s="436" t="s">
        <v>143</v>
      </c>
    </row>
    <row r="58" spans="1:15" x14ac:dyDescent="0.2">
      <c r="A58" s="438">
        <v>52</v>
      </c>
      <c r="B58" s="436" t="s">
        <v>77</v>
      </c>
      <c r="C58" s="437" t="s">
        <v>231</v>
      </c>
      <c r="D58" s="437" t="s">
        <v>1256</v>
      </c>
      <c r="E58" s="681">
        <v>207.56</v>
      </c>
      <c r="F58" s="437">
        <v>2</v>
      </c>
      <c r="G58" s="437"/>
      <c r="H58" s="437"/>
      <c r="I58" s="437"/>
      <c r="J58" s="451">
        <v>25.504000000000001</v>
      </c>
      <c r="K58" s="451"/>
      <c r="L58" s="451">
        <v>25.504000000000001</v>
      </c>
      <c r="M58" s="436"/>
      <c r="N58" s="446">
        <v>25.504000000000001</v>
      </c>
      <c r="O58" s="436" t="s">
        <v>143</v>
      </c>
    </row>
    <row r="59" spans="1:15" x14ac:dyDescent="0.2">
      <c r="A59" s="438">
        <v>53</v>
      </c>
      <c r="B59" s="436" t="s">
        <v>199</v>
      </c>
      <c r="C59" s="437" t="s">
        <v>231</v>
      </c>
      <c r="D59" s="437"/>
      <c r="E59" s="681">
        <v>202.69499999999999</v>
      </c>
      <c r="F59" s="437">
        <v>1</v>
      </c>
      <c r="G59" s="437">
        <v>2</v>
      </c>
      <c r="H59" s="437"/>
      <c r="I59" s="437"/>
      <c r="J59" s="451">
        <v>263.44</v>
      </c>
      <c r="K59" s="451"/>
      <c r="L59" s="451">
        <v>263.44</v>
      </c>
      <c r="M59" s="436"/>
      <c r="N59" s="446">
        <v>263.44</v>
      </c>
      <c r="O59" s="436" t="s">
        <v>143</v>
      </c>
    </row>
    <row r="60" spans="1:15" x14ac:dyDescent="0.2">
      <c r="A60" s="438">
        <v>54</v>
      </c>
      <c r="B60" s="436" t="s">
        <v>200</v>
      </c>
      <c r="C60" s="437" t="s">
        <v>20</v>
      </c>
      <c r="D60" s="437"/>
      <c r="E60" s="681">
        <v>197.06700000000001</v>
      </c>
      <c r="F60" s="437">
        <v>1</v>
      </c>
      <c r="G60" s="437">
        <v>2</v>
      </c>
      <c r="H60" s="437"/>
      <c r="I60" s="437"/>
      <c r="J60" s="451">
        <v>59.055999999999997</v>
      </c>
      <c r="K60" s="451"/>
      <c r="L60" s="451">
        <v>59.055999999999997</v>
      </c>
      <c r="M60" s="436"/>
      <c r="N60" s="446">
        <v>59.055999999999997</v>
      </c>
      <c r="O60" s="436" t="s">
        <v>143</v>
      </c>
    </row>
    <row r="61" spans="1:15" x14ac:dyDescent="0.2">
      <c r="A61" s="438">
        <v>55</v>
      </c>
      <c r="B61" s="666" t="s">
        <v>202</v>
      </c>
      <c r="C61" s="437" t="s">
        <v>20</v>
      </c>
      <c r="D61" s="437"/>
      <c r="E61" s="681"/>
      <c r="F61" s="437"/>
      <c r="G61" s="437"/>
      <c r="H61" s="437"/>
      <c r="I61" s="437"/>
      <c r="J61" s="451"/>
      <c r="K61" s="451"/>
      <c r="L61" s="451"/>
      <c r="M61" s="436"/>
      <c r="N61" s="446">
        <v>478.12099999999998</v>
      </c>
      <c r="O61" s="436" t="s">
        <v>416</v>
      </c>
    </row>
    <row r="62" spans="1:15" x14ac:dyDescent="0.2">
      <c r="A62" s="438">
        <v>56</v>
      </c>
      <c r="B62" s="436" t="s">
        <v>78</v>
      </c>
      <c r="C62" s="437" t="s">
        <v>245</v>
      </c>
      <c r="D62" s="437">
        <v>-0.7</v>
      </c>
      <c r="E62" s="681">
        <v>209.34399999999999</v>
      </c>
      <c r="F62" s="437"/>
      <c r="G62" s="437"/>
      <c r="H62" s="437"/>
      <c r="I62" s="437"/>
      <c r="J62" s="451">
        <v>120.033</v>
      </c>
      <c r="K62" s="451"/>
      <c r="L62" s="451">
        <v>120.033</v>
      </c>
      <c r="M62" s="436"/>
      <c r="N62" s="436"/>
      <c r="O62" s="436"/>
    </row>
    <row r="63" spans="1:15" x14ac:dyDescent="0.2">
      <c r="A63" s="438">
        <v>57</v>
      </c>
      <c r="B63" s="436" t="s">
        <v>83</v>
      </c>
      <c r="C63" s="437" t="s">
        <v>239</v>
      </c>
      <c r="D63" s="437" t="s">
        <v>1252</v>
      </c>
      <c r="E63" s="681">
        <v>227.21199999999999</v>
      </c>
      <c r="F63" s="437">
        <v>1</v>
      </c>
      <c r="G63" s="437"/>
      <c r="H63" s="437"/>
      <c r="I63" s="437"/>
      <c r="J63" s="451">
        <v>119.762</v>
      </c>
      <c r="K63" s="451"/>
      <c r="L63" s="451">
        <v>119.762</v>
      </c>
      <c r="M63" s="436"/>
      <c r="N63" s="745">
        <v>182.96</v>
      </c>
      <c r="O63" s="436" t="s">
        <v>143</v>
      </c>
    </row>
    <row r="64" spans="1:15" x14ac:dyDescent="0.2">
      <c r="A64" s="438">
        <v>58</v>
      </c>
      <c r="B64" s="436" t="s">
        <v>230</v>
      </c>
      <c r="C64" s="437" t="s">
        <v>231</v>
      </c>
      <c r="D64" s="437">
        <v>-0.5</v>
      </c>
      <c r="E64" s="681">
        <v>241.54900000000001</v>
      </c>
      <c r="F64" s="437"/>
      <c r="G64" s="437">
        <v>1</v>
      </c>
      <c r="H64" s="437">
        <v>1</v>
      </c>
      <c r="I64" s="437"/>
      <c r="J64" s="451">
        <v>182.96</v>
      </c>
      <c r="K64" s="451"/>
      <c r="L64" s="451">
        <v>182.96</v>
      </c>
      <c r="M64" s="436"/>
      <c r="N64" s="436">
        <v>182.96</v>
      </c>
      <c r="O64" s="436" t="s">
        <v>416</v>
      </c>
    </row>
    <row r="65" spans="1:15" x14ac:dyDescent="0.2">
      <c r="A65" s="438">
        <v>59</v>
      </c>
      <c r="B65" s="436" t="s">
        <v>84</v>
      </c>
      <c r="C65" s="437" t="s">
        <v>245</v>
      </c>
      <c r="D65" s="437"/>
      <c r="E65" s="681">
        <v>229.09399999999999</v>
      </c>
      <c r="F65" s="437"/>
      <c r="G65" s="437"/>
      <c r="H65" s="437"/>
      <c r="I65" s="437"/>
      <c r="J65" s="451">
        <v>55.961599999999997</v>
      </c>
      <c r="K65" s="451"/>
      <c r="L65" s="451">
        <v>55.961599999999997</v>
      </c>
      <c r="M65" s="436"/>
      <c r="N65" s="436"/>
      <c r="O65" s="436"/>
    </row>
    <row r="66" spans="1:15" x14ac:dyDescent="0.2">
      <c r="A66" s="438">
        <v>60</v>
      </c>
      <c r="B66" s="436" t="s">
        <v>207</v>
      </c>
      <c r="C66" s="437" t="s">
        <v>232</v>
      </c>
      <c r="D66" s="437"/>
      <c r="E66" s="681">
        <v>234.416</v>
      </c>
      <c r="F66" s="437"/>
      <c r="G66" s="437"/>
      <c r="H66" s="437"/>
      <c r="I66" s="437">
        <v>2</v>
      </c>
      <c r="J66" s="451">
        <v>172.50700000000001</v>
      </c>
      <c r="K66" s="451"/>
      <c r="L66" s="451">
        <v>172.50700000000001</v>
      </c>
      <c r="M66" s="436"/>
      <c r="N66" s="436"/>
      <c r="O66" s="436"/>
    </row>
    <row r="67" spans="1:15" x14ac:dyDescent="0.2">
      <c r="A67" s="438">
        <v>61</v>
      </c>
      <c r="B67" s="436" t="s">
        <v>208</v>
      </c>
      <c r="C67" s="437" t="s">
        <v>231</v>
      </c>
      <c r="D67" s="437"/>
      <c r="E67" s="681">
        <v>222.15799999999999</v>
      </c>
      <c r="F67" s="437"/>
      <c r="G67" s="437">
        <v>3</v>
      </c>
      <c r="H67" s="437"/>
      <c r="I67" s="437"/>
      <c r="J67" s="451">
        <v>232.822</v>
      </c>
      <c r="K67" s="451"/>
      <c r="L67" s="451">
        <v>232.822</v>
      </c>
      <c r="M67" s="436"/>
      <c r="N67" s="436"/>
      <c r="O67" s="436"/>
    </row>
    <row r="68" spans="1:15" x14ac:dyDescent="0.2">
      <c r="A68" s="438">
        <v>62</v>
      </c>
      <c r="B68" s="436" t="s">
        <v>209</v>
      </c>
      <c r="C68" s="437" t="s">
        <v>231</v>
      </c>
      <c r="D68" s="437"/>
      <c r="E68" s="681">
        <v>191.03800000000001</v>
      </c>
      <c r="F68" s="437"/>
      <c r="G68" s="437">
        <v>3</v>
      </c>
      <c r="H68" s="437">
        <v>1</v>
      </c>
      <c r="I68" s="437"/>
      <c r="J68" s="451">
        <v>113.6503</v>
      </c>
      <c r="K68" s="451"/>
      <c r="L68" s="451">
        <v>113.6503</v>
      </c>
      <c r="M68" s="436"/>
      <c r="N68" s="436"/>
      <c r="O68" s="436"/>
    </row>
    <row r="69" spans="1:15" x14ac:dyDescent="0.2">
      <c r="A69" s="438">
        <v>63</v>
      </c>
      <c r="B69" s="436" t="s">
        <v>29</v>
      </c>
      <c r="C69" s="437" t="s">
        <v>234</v>
      </c>
      <c r="D69" s="437"/>
      <c r="E69" s="681">
        <v>190.84700000000001</v>
      </c>
      <c r="F69" s="437">
        <v>2</v>
      </c>
      <c r="G69" s="437"/>
      <c r="H69" s="437"/>
      <c r="I69" s="437"/>
      <c r="J69" s="451">
        <v>163.1337</v>
      </c>
      <c r="K69" s="451"/>
      <c r="L69" s="451">
        <v>163.1337</v>
      </c>
      <c r="M69" s="436"/>
      <c r="N69" s="446">
        <v>163.13399999999999</v>
      </c>
      <c r="O69" s="436" t="s">
        <v>143</v>
      </c>
    </row>
    <row r="70" spans="1:15" x14ac:dyDescent="0.2">
      <c r="A70" s="438">
        <v>64</v>
      </c>
      <c r="B70" s="436" t="s">
        <v>210</v>
      </c>
      <c r="C70" s="437" t="s">
        <v>233</v>
      </c>
      <c r="D70" s="437"/>
      <c r="E70" s="681">
        <v>184.47900000000001</v>
      </c>
      <c r="F70" s="437">
        <v>2</v>
      </c>
      <c r="G70" s="437"/>
      <c r="H70" s="437"/>
      <c r="I70" s="437">
        <v>2</v>
      </c>
      <c r="J70" s="451">
        <v>355.42919999999998</v>
      </c>
      <c r="K70" s="451"/>
      <c r="L70" s="451">
        <v>355.42919999999998</v>
      </c>
      <c r="M70" s="436"/>
      <c r="N70" s="446">
        <v>284.41000000000003</v>
      </c>
      <c r="O70" s="436" t="s">
        <v>143</v>
      </c>
    </row>
    <row r="71" spans="1:15" x14ac:dyDescent="0.2">
      <c r="A71" s="438">
        <v>65</v>
      </c>
      <c r="B71" s="436" t="s">
        <v>211</v>
      </c>
      <c r="C71" s="437" t="s">
        <v>242</v>
      </c>
      <c r="D71" s="437"/>
      <c r="E71" s="681">
        <v>196.53200000000001</v>
      </c>
      <c r="F71" s="437">
        <v>1</v>
      </c>
      <c r="G71" s="437">
        <v>1</v>
      </c>
      <c r="H71" s="437"/>
      <c r="I71" s="437"/>
      <c r="J71" s="451">
        <v>44.547499999999999</v>
      </c>
      <c r="K71" s="451"/>
      <c r="L71" s="451">
        <v>44.547499999999999</v>
      </c>
      <c r="M71" s="436"/>
      <c r="N71" s="436"/>
      <c r="O71" s="436"/>
    </row>
    <row r="72" spans="1:15" x14ac:dyDescent="0.2">
      <c r="A72" s="438">
        <v>66</v>
      </c>
      <c r="B72" s="436" t="s">
        <v>212</v>
      </c>
      <c r="C72" s="437" t="s">
        <v>246</v>
      </c>
      <c r="D72" s="437" t="s">
        <v>1257</v>
      </c>
      <c r="E72" s="681">
        <v>211.00700000000001</v>
      </c>
      <c r="F72" s="437">
        <v>1</v>
      </c>
      <c r="G72" s="437"/>
      <c r="H72" s="437"/>
      <c r="I72" s="437"/>
      <c r="J72" s="451">
        <v>50.281669999999998</v>
      </c>
      <c r="K72" s="451"/>
      <c r="L72" s="451">
        <v>50.281669999999998</v>
      </c>
      <c r="M72" s="436"/>
      <c r="N72" s="446">
        <v>50.28</v>
      </c>
      <c r="O72" s="436" t="s">
        <v>143</v>
      </c>
    </row>
    <row r="73" spans="1:15" x14ac:dyDescent="0.2">
      <c r="A73" s="438">
        <v>67</v>
      </c>
      <c r="B73" s="436" t="s">
        <v>214</v>
      </c>
      <c r="C73" s="437" t="s">
        <v>231</v>
      </c>
      <c r="D73" s="437"/>
      <c r="E73" s="681">
        <v>192.578</v>
      </c>
      <c r="F73" s="437"/>
      <c r="G73" s="437"/>
      <c r="H73" s="437">
        <v>4</v>
      </c>
      <c r="I73" s="437">
        <v>4</v>
      </c>
      <c r="J73" s="451">
        <v>625.88800000000003</v>
      </c>
      <c r="K73" s="451"/>
      <c r="L73" s="451">
        <v>625.88800000000003</v>
      </c>
      <c r="M73" s="436"/>
      <c r="N73" s="436"/>
      <c r="O73" s="436"/>
    </row>
    <row r="74" spans="1:15" x14ac:dyDescent="0.2">
      <c r="A74" s="438">
        <v>68</v>
      </c>
      <c r="B74" s="436" t="s">
        <v>86</v>
      </c>
      <c r="C74" s="437" t="s">
        <v>231</v>
      </c>
      <c r="D74" s="437"/>
      <c r="E74" s="681">
        <v>185.46700000000001</v>
      </c>
      <c r="F74" s="437">
        <v>1</v>
      </c>
      <c r="G74" s="437">
        <v>1</v>
      </c>
      <c r="H74" s="437"/>
      <c r="I74" s="437"/>
      <c r="J74" s="451">
        <v>83.573099999999997</v>
      </c>
      <c r="K74" s="451"/>
      <c r="L74" s="451">
        <v>83.573099999999997</v>
      </c>
      <c r="M74" s="436"/>
      <c r="N74" s="446">
        <v>64.594999999999999</v>
      </c>
      <c r="O74" s="436" t="s">
        <v>143</v>
      </c>
    </row>
    <row r="75" spans="1:15" x14ac:dyDescent="0.2">
      <c r="A75" s="438">
        <v>69</v>
      </c>
      <c r="B75" s="436" t="s">
        <v>87</v>
      </c>
      <c r="C75" s="437" t="s">
        <v>231</v>
      </c>
      <c r="D75" s="437"/>
      <c r="E75" s="681">
        <v>196.49299999999999</v>
      </c>
      <c r="F75" s="437"/>
      <c r="G75" s="437">
        <v>2</v>
      </c>
      <c r="H75" s="437"/>
      <c r="I75" s="437"/>
      <c r="J75" s="451">
        <v>102.32490000000234</v>
      </c>
      <c r="K75" s="451"/>
      <c r="L75" s="451">
        <v>102.32490000000234</v>
      </c>
      <c r="M75" s="436"/>
      <c r="N75" s="446">
        <v>88.813000000000002</v>
      </c>
      <c r="O75" s="436" t="s">
        <v>143</v>
      </c>
    </row>
    <row r="76" spans="1:15" x14ac:dyDescent="0.2">
      <c r="A76" s="438">
        <v>70</v>
      </c>
      <c r="B76" s="436" t="s">
        <v>215</v>
      </c>
      <c r="C76" s="437" t="s">
        <v>232</v>
      </c>
      <c r="D76" s="437"/>
      <c r="E76" s="681">
        <v>216.94800000000001</v>
      </c>
      <c r="F76" s="437">
        <v>2</v>
      </c>
      <c r="G76" s="437">
        <v>3</v>
      </c>
      <c r="H76" s="437"/>
      <c r="I76" s="437">
        <v>5</v>
      </c>
      <c r="J76" s="451">
        <v>138.429</v>
      </c>
      <c r="K76" s="451"/>
      <c r="L76" s="451">
        <v>138.429</v>
      </c>
      <c r="M76" s="436"/>
      <c r="N76" s="446">
        <v>93.659000000000006</v>
      </c>
      <c r="O76" s="436" t="s">
        <v>143</v>
      </c>
    </row>
    <row r="77" spans="1:15" x14ac:dyDescent="0.2">
      <c r="A77" s="438">
        <v>71</v>
      </c>
      <c r="B77" s="436" t="s">
        <v>88</v>
      </c>
      <c r="C77" s="437" t="s">
        <v>245</v>
      </c>
      <c r="D77" s="437"/>
      <c r="E77" s="681">
        <v>232.20500000000001</v>
      </c>
      <c r="F77" s="437"/>
      <c r="G77" s="437"/>
      <c r="H77" s="437"/>
      <c r="I77" s="437">
        <v>1</v>
      </c>
      <c r="J77" s="451">
        <v>162.7886</v>
      </c>
      <c r="K77" s="451"/>
      <c r="L77" s="451">
        <v>162.7886</v>
      </c>
      <c r="M77" s="436"/>
      <c r="N77" s="446">
        <v>159.767</v>
      </c>
      <c r="O77" s="436" t="s">
        <v>143</v>
      </c>
    </row>
    <row r="78" spans="1:15" x14ac:dyDescent="0.2">
      <c r="A78" s="438">
        <v>72</v>
      </c>
      <c r="B78" s="436" t="s">
        <v>534</v>
      </c>
      <c r="C78" s="437" t="s">
        <v>233</v>
      </c>
      <c r="D78" s="437" t="s">
        <v>1257</v>
      </c>
      <c r="E78" s="681">
        <v>223.46899999999999</v>
      </c>
      <c r="F78" s="437">
        <v>2</v>
      </c>
      <c r="G78" s="437">
        <v>2</v>
      </c>
      <c r="H78" s="437">
        <v>2</v>
      </c>
      <c r="I78" s="437">
        <v>1</v>
      </c>
      <c r="J78" s="451">
        <v>94.894999999999996</v>
      </c>
      <c r="K78" s="451"/>
      <c r="L78" s="451">
        <v>94.894999999999996</v>
      </c>
      <c r="M78" s="436"/>
      <c r="N78" s="438">
        <v>22.5</v>
      </c>
      <c r="O78" s="436" t="s">
        <v>143</v>
      </c>
    </row>
    <row r="79" spans="1:15" x14ac:dyDescent="0.2">
      <c r="A79" s="438">
        <v>73</v>
      </c>
      <c r="B79" s="436" t="s">
        <v>216</v>
      </c>
      <c r="C79" s="437" t="s">
        <v>20</v>
      </c>
      <c r="D79" s="437"/>
      <c r="E79" s="681">
        <v>217.77500000000001</v>
      </c>
      <c r="F79" s="437"/>
      <c r="G79" s="437"/>
      <c r="H79" s="437"/>
      <c r="I79" s="437"/>
      <c r="J79" s="451">
        <v>172.48310000000001</v>
      </c>
      <c r="K79" s="451"/>
      <c r="L79" s="451">
        <v>172.48310000000001</v>
      </c>
      <c r="M79" s="436"/>
      <c r="N79" s="438">
        <v>132.11600000000001</v>
      </c>
      <c r="O79" s="436" t="s">
        <v>143</v>
      </c>
    </row>
    <row r="80" spans="1:15" x14ac:dyDescent="0.2">
      <c r="A80" s="438">
        <v>74</v>
      </c>
      <c r="B80" s="666" t="s">
        <v>665</v>
      </c>
      <c r="C80" s="437" t="s">
        <v>231</v>
      </c>
      <c r="D80" s="437" t="s">
        <v>1257</v>
      </c>
      <c r="E80" s="681">
        <v>218.25899999999999</v>
      </c>
      <c r="F80" s="437"/>
      <c r="G80" s="437"/>
      <c r="H80" s="437"/>
      <c r="I80" s="437"/>
      <c r="J80" s="451">
        <v>283.6687</v>
      </c>
      <c r="K80" s="451"/>
      <c r="L80" s="451">
        <v>283.6687</v>
      </c>
      <c r="M80" s="436"/>
      <c r="N80" s="446">
        <v>283.66899999999998</v>
      </c>
      <c r="O80" s="436" t="s">
        <v>143</v>
      </c>
    </row>
    <row r="81" spans="1:15" x14ac:dyDescent="0.2">
      <c r="A81" s="438">
        <v>75</v>
      </c>
      <c r="B81" s="436" t="s">
        <v>535</v>
      </c>
      <c r="C81" s="437" t="s">
        <v>234</v>
      </c>
      <c r="D81" s="437"/>
      <c r="E81" s="681">
        <v>183.041</v>
      </c>
      <c r="F81" s="437"/>
      <c r="G81" s="437"/>
      <c r="H81" s="437"/>
      <c r="I81" s="437"/>
      <c r="J81" s="451">
        <v>63.303330000000003</v>
      </c>
      <c r="K81" s="451"/>
      <c r="L81" s="451">
        <v>63.303330000000003</v>
      </c>
      <c r="M81" s="436"/>
      <c r="N81" s="436"/>
      <c r="O81" s="436"/>
    </row>
    <row r="82" spans="1:15" x14ac:dyDescent="0.2">
      <c r="A82" s="438">
        <v>76</v>
      </c>
      <c r="B82" s="436" t="s">
        <v>538</v>
      </c>
      <c r="C82" s="437" t="s">
        <v>233</v>
      </c>
      <c r="D82" s="437" t="s">
        <v>1257</v>
      </c>
      <c r="E82" s="681">
        <v>195.91499999999999</v>
      </c>
      <c r="F82" s="438">
        <v>2</v>
      </c>
      <c r="G82" s="438">
        <v>2</v>
      </c>
      <c r="H82" s="437">
        <v>2</v>
      </c>
      <c r="I82" s="437">
        <v>2</v>
      </c>
      <c r="J82" s="451">
        <v>15.318</v>
      </c>
      <c r="K82" s="451"/>
      <c r="L82" s="451">
        <v>15.318</v>
      </c>
      <c r="M82" s="436"/>
      <c r="N82" s="446">
        <v>15.318</v>
      </c>
      <c r="O82" s="436" t="s">
        <v>143</v>
      </c>
    </row>
    <row r="83" spans="1:15" x14ac:dyDescent="0.2">
      <c r="A83" s="438">
        <v>77</v>
      </c>
      <c r="B83" s="436" t="s">
        <v>539</v>
      </c>
      <c r="C83" s="437" t="s">
        <v>233</v>
      </c>
      <c r="D83" s="437" t="s">
        <v>1257</v>
      </c>
      <c r="E83" s="681">
        <v>188.108</v>
      </c>
      <c r="F83" s="438">
        <v>1</v>
      </c>
      <c r="G83" s="438">
        <v>1</v>
      </c>
      <c r="H83" s="437"/>
      <c r="I83" s="437">
        <v>1</v>
      </c>
      <c r="J83" s="451">
        <v>128.04599999999999</v>
      </c>
      <c r="K83" s="451"/>
      <c r="L83" s="451">
        <v>128.04599999999999</v>
      </c>
      <c r="M83" s="436"/>
      <c r="N83" s="446">
        <v>128.04599999999999</v>
      </c>
      <c r="O83" s="436" t="s">
        <v>143</v>
      </c>
    </row>
    <row r="84" spans="1:15" x14ac:dyDescent="0.2">
      <c r="A84" s="438">
        <v>78</v>
      </c>
      <c r="B84" s="436" t="s">
        <v>542</v>
      </c>
      <c r="C84" s="437" t="s">
        <v>239</v>
      </c>
      <c r="D84" s="437"/>
      <c r="E84" s="681">
        <v>189.11</v>
      </c>
      <c r="F84" s="437">
        <v>1</v>
      </c>
      <c r="G84" s="437">
        <v>1</v>
      </c>
      <c r="H84" s="437"/>
      <c r="I84" s="437"/>
      <c r="J84" s="451">
        <v>91.75</v>
      </c>
      <c r="K84" s="451"/>
      <c r="L84" s="451">
        <v>83.997</v>
      </c>
      <c r="M84" s="436"/>
      <c r="N84" s="446">
        <v>83.997</v>
      </c>
      <c r="O84" s="436" t="s">
        <v>143</v>
      </c>
    </row>
    <row r="85" spans="1:15" x14ac:dyDescent="0.2">
      <c r="A85" s="438">
        <v>79</v>
      </c>
      <c r="B85" s="436" t="s">
        <v>552</v>
      </c>
      <c r="C85" s="437" t="s">
        <v>232</v>
      </c>
      <c r="D85" s="437"/>
      <c r="E85" s="681">
        <v>189.83</v>
      </c>
      <c r="F85" s="437">
        <v>1</v>
      </c>
      <c r="G85" s="437">
        <v>2</v>
      </c>
      <c r="H85" s="437"/>
      <c r="I85" s="437"/>
      <c r="J85" s="451">
        <v>153.267</v>
      </c>
      <c r="K85" s="451"/>
      <c r="L85" s="451">
        <v>51.542999999999999</v>
      </c>
      <c r="M85" s="436"/>
      <c r="N85" s="446">
        <v>51.542999999999999</v>
      </c>
      <c r="O85" s="436" t="s">
        <v>143</v>
      </c>
    </row>
    <row r="86" spans="1:15" x14ac:dyDescent="0.2">
      <c r="A86" s="438">
        <v>80</v>
      </c>
      <c r="B86" s="436" t="s">
        <v>553</v>
      </c>
      <c r="C86" s="437" t="s">
        <v>20</v>
      </c>
      <c r="D86" s="437"/>
      <c r="E86" s="681">
        <v>192.04</v>
      </c>
      <c r="F86" s="437"/>
      <c r="G86" s="437"/>
      <c r="H86" s="437"/>
      <c r="I86" s="437"/>
      <c r="J86" s="451">
        <v>48.633000000000003</v>
      </c>
      <c r="K86" s="451"/>
      <c r="L86" s="451">
        <v>34.460999999999999</v>
      </c>
      <c r="M86" s="436"/>
      <c r="N86" s="438">
        <v>34.4</v>
      </c>
      <c r="O86" s="436" t="s">
        <v>143</v>
      </c>
    </row>
    <row r="87" spans="1:15" x14ac:dyDescent="0.2">
      <c r="A87" s="438">
        <v>81</v>
      </c>
      <c r="B87" s="436" t="s">
        <v>554</v>
      </c>
      <c r="C87" s="437" t="s">
        <v>20</v>
      </c>
      <c r="D87" s="437"/>
      <c r="E87" s="681">
        <v>200.90600000000001</v>
      </c>
      <c r="F87" s="437">
        <v>1</v>
      </c>
      <c r="G87" s="437">
        <v>2</v>
      </c>
      <c r="H87" s="437"/>
      <c r="I87" s="437"/>
      <c r="J87" s="451">
        <v>233.43299999999999</v>
      </c>
      <c r="K87" s="451"/>
      <c r="L87" s="451">
        <v>139.125</v>
      </c>
      <c r="M87" s="436"/>
      <c r="N87" s="446">
        <v>139.125</v>
      </c>
      <c r="O87" s="436" t="s">
        <v>143</v>
      </c>
    </row>
    <row r="88" spans="1:15" x14ac:dyDescent="0.2">
      <c r="A88" s="438">
        <v>82</v>
      </c>
      <c r="B88" s="436" t="s">
        <v>555</v>
      </c>
      <c r="C88" s="437" t="s">
        <v>361</v>
      </c>
      <c r="D88" s="437"/>
      <c r="E88" s="681">
        <v>220.24</v>
      </c>
      <c r="F88" s="437">
        <v>3</v>
      </c>
      <c r="G88" s="437">
        <v>1</v>
      </c>
      <c r="H88" s="437"/>
      <c r="I88" s="437">
        <v>1</v>
      </c>
      <c r="J88" s="451">
        <v>249.833</v>
      </c>
      <c r="K88" s="451"/>
      <c r="L88" s="451">
        <v>139.68299999999999</v>
      </c>
      <c r="M88" s="436"/>
      <c r="N88" s="436">
        <v>139.68299999999999</v>
      </c>
      <c r="O88" s="436" t="s">
        <v>143</v>
      </c>
    </row>
    <row r="89" spans="1:15" x14ac:dyDescent="0.2">
      <c r="A89" s="438">
        <v>83</v>
      </c>
      <c r="B89" s="436" t="s">
        <v>556</v>
      </c>
      <c r="C89" s="437" t="s">
        <v>240</v>
      </c>
      <c r="D89" s="437"/>
      <c r="E89" s="681">
        <v>193.1</v>
      </c>
      <c r="F89" s="437">
        <v>4</v>
      </c>
      <c r="G89" s="437">
        <v>5</v>
      </c>
      <c r="H89" s="437">
        <v>6</v>
      </c>
      <c r="I89" s="437">
        <v>6</v>
      </c>
      <c r="J89" s="451">
        <v>120.747</v>
      </c>
      <c r="K89" s="451"/>
      <c r="L89" s="451">
        <v>45.164999999999999</v>
      </c>
      <c r="M89" s="436"/>
      <c r="N89" s="438">
        <v>918.66700000000003</v>
      </c>
      <c r="O89" s="436" t="s">
        <v>143</v>
      </c>
    </row>
    <row r="90" spans="1:15" x14ac:dyDescent="0.2">
      <c r="A90" s="438">
        <v>84</v>
      </c>
      <c r="B90" s="436" t="s">
        <v>557</v>
      </c>
      <c r="C90" s="437" t="s">
        <v>231</v>
      </c>
      <c r="D90" s="437"/>
      <c r="E90" s="681">
        <v>187.77</v>
      </c>
      <c r="F90" s="437"/>
      <c r="G90" s="437"/>
      <c r="H90" s="437">
        <v>1</v>
      </c>
      <c r="I90" s="437">
        <v>1</v>
      </c>
      <c r="J90" s="451">
        <v>1170.806</v>
      </c>
      <c r="K90" s="451"/>
      <c r="L90" s="451">
        <v>1139.7919999999999</v>
      </c>
      <c r="M90" s="436"/>
      <c r="N90" s="438">
        <v>1875.83</v>
      </c>
      <c r="O90" s="436" t="s">
        <v>143</v>
      </c>
    </row>
    <row r="91" spans="1:15" x14ac:dyDescent="0.2">
      <c r="A91" s="438">
        <v>85</v>
      </c>
      <c r="B91" s="436" t="s">
        <v>558</v>
      </c>
      <c r="C91" s="437" t="s">
        <v>239</v>
      </c>
      <c r="D91" s="437"/>
      <c r="E91" s="681">
        <v>189.21199999999999</v>
      </c>
      <c r="F91" s="437">
        <v>1</v>
      </c>
      <c r="G91" s="437"/>
      <c r="H91" s="437"/>
      <c r="I91" s="437">
        <v>2</v>
      </c>
      <c r="J91" s="451">
        <v>339.45699999999999</v>
      </c>
      <c r="K91" s="451"/>
      <c r="L91" s="451">
        <v>328.87400000000002</v>
      </c>
      <c r="M91" s="436"/>
      <c r="N91" s="438">
        <v>329.32499999999999</v>
      </c>
      <c r="O91" s="436" t="s">
        <v>143</v>
      </c>
    </row>
    <row r="92" spans="1:15" x14ac:dyDescent="0.2">
      <c r="A92" s="438">
        <v>86</v>
      </c>
      <c r="B92" s="436" t="s">
        <v>559</v>
      </c>
      <c r="C92" s="437" t="s">
        <v>232</v>
      </c>
      <c r="D92" s="437"/>
      <c r="E92" s="681">
        <v>200.55</v>
      </c>
      <c r="F92" s="437">
        <v>1</v>
      </c>
      <c r="G92" s="437"/>
      <c r="H92" s="437"/>
      <c r="I92" s="437"/>
      <c r="J92" s="451">
        <v>127.8</v>
      </c>
      <c r="K92" s="451"/>
      <c r="L92" s="451">
        <v>83.2</v>
      </c>
      <c r="M92" s="436"/>
      <c r="N92" s="438">
        <v>78.56</v>
      </c>
      <c r="O92" s="436" t="s">
        <v>143</v>
      </c>
    </row>
    <row r="93" spans="1:15" x14ac:dyDescent="0.2">
      <c r="A93" s="438">
        <v>87</v>
      </c>
      <c r="B93" s="436" t="s">
        <v>560</v>
      </c>
      <c r="C93" s="437" t="s">
        <v>232</v>
      </c>
      <c r="D93" s="437"/>
      <c r="E93" s="681">
        <v>189.49</v>
      </c>
      <c r="F93" s="437"/>
      <c r="G93" s="437"/>
      <c r="H93" s="437">
        <v>1</v>
      </c>
      <c r="I93" s="437">
        <v>3</v>
      </c>
      <c r="J93" s="451">
        <v>91.933000000000007</v>
      </c>
      <c r="K93" s="451"/>
      <c r="L93" s="451">
        <v>56.323</v>
      </c>
      <c r="M93" s="436"/>
      <c r="N93" s="438">
        <v>39.17</v>
      </c>
      <c r="O93" s="436" t="s">
        <v>143</v>
      </c>
    </row>
    <row r="94" spans="1:15" x14ac:dyDescent="0.2">
      <c r="A94" s="438">
        <v>88</v>
      </c>
      <c r="B94" s="436" t="s">
        <v>561</v>
      </c>
      <c r="C94" s="437" t="s">
        <v>231</v>
      </c>
      <c r="D94" s="437"/>
      <c r="E94" s="681">
        <v>184.13</v>
      </c>
      <c r="F94" s="437"/>
      <c r="G94" s="437"/>
      <c r="H94" s="437"/>
      <c r="I94" s="437"/>
      <c r="J94" s="451">
        <v>9.4629999999999992</v>
      </c>
      <c r="K94" s="451"/>
      <c r="L94" s="451">
        <v>3.72</v>
      </c>
      <c r="M94" s="436"/>
      <c r="N94" s="438">
        <v>3.72</v>
      </c>
      <c r="O94" s="436" t="s">
        <v>143</v>
      </c>
    </row>
    <row r="95" spans="1:15" x14ac:dyDescent="0.2">
      <c r="A95" s="438">
        <v>89</v>
      </c>
      <c r="B95" s="436" t="s">
        <v>562</v>
      </c>
      <c r="C95" s="437" t="s">
        <v>231</v>
      </c>
      <c r="D95" s="437"/>
      <c r="E95" s="681">
        <v>184.34</v>
      </c>
      <c r="F95" s="437"/>
      <c r="G95" s="437"/>
      <c r="H95" s="437"/>
      <c r="I95" s="437"/>
      <c r="J95" s="451">
        <v>136.417</v>
      </c>
      <c r="K95" s="451"/>
      <c r="L95" s="451">
        <v>99.462999999999994</v>
      </c>
      <c r="M95" s="436"/>
      <c r="N95" s="436"/>
      <c r="O95" s="436"/>
    </row>
    <row r="96" spans="1:15" x14ac:dyDescent="0.2">
      <c r="A96" s="438">
        <v>90</v>
      </c>
      <c r="B96" s="436" t="s">
        <v>563</v>
      </c>
      <c r="C96" s="437" t="s">
        <v>233</v>
      </c>
      <c r="D96" s="437"/>
      <c r="E96" s="681">
        <v>188.05</v>
      </c>
      <c r="F96" s="437"/>
      <c r="G96" s="437"/>
      <c r="H96" s="437"/>
      <c r="I96" s="437">
        <v>1</v>
      </c>
      <c r="J96" s="451">
        <v>106.4</v>
      </c>
      <c r="K96" s="451"/>
      <c r="L96" s="451">
        <v>49.975000000000001</v>
      </c>
      <c r="M96" s="436"/>
      <c r="N96" s="438">
        <v>18.096</v>
      </c>
      <c r="O96" s="436" t="s">
        <v>416</v>
      </c>
    </row>
    <row r="97" spans="1:15" x14ac:dyDescent="0.2">
      <c r="A97" s="438">
        <v>91</v>
      </c>
      <c r="B97" s="436" t="s">
        <v>564</v>
      </c>
      <c r="C97" s="437" t="s">
        <v>231</v>
      </c>
      <c r="D97" s="437"/>
      <c r="E97" s="681">
        <v>214.42</v>
      </c>
      <c r="F97" s="437">
        <v>2</v>
      </c>
      <c r="G97" s="437">
        <v>1</v>
      </c>
      <c r="H97" s="437"/>
      <c r="I97" s="437">
        <v>2</v>
      </c>
      <c r="J97" s="451">
        <v>144.417</v>
      </c>
      <c r="K97" s="451"/>
      <c r="L97" s="451">
        <v>85.947000000000003</v>
      </c>
      <c r="M97" s="436"/>
      <c r="N97" s="438">
        <v>80.2</v>
      </c>
      <c r="O97" s="436" t="s">
        <v>143</v>
      </c>
    </row>
    <row r="98" spans="1:15" x14ac:dyDescent="0.2">
      <c r="A98" s="438">
        <v>92</v>
      </c>
      <c r="B98" s="436" t="s">
        <v>565</v>
      </c>
      <c r="C98" s="437" t="s">
        <v>242</v>
      </c>
      <c r="D98" s="437"/>
      <c r="E98" s="681">
        <v>210.52</v>
      </c>
      <c r="F98" s="437"/>
      <c r="G98" s="437"/>
      <c r="H98" s="437"/>
      <c r="I98" s="437"/>
      <c r="J98" s="451">
        <v>68.725999999999999</v>
      </c>
      <c r="K98" s="451"/>
      <c r="L98" s="451">
        <v>53.161999999999999</v>
      </c>
      <c r="M98" s="436"/>
      <c r="N98" s="438">
        <v>33.44</v>
      </c>
      <c r="O98" s="436" t="s">
        <v>143</v>
      </c>
    </row>
    <row r="99" spans="1:15" x14ac:dyDescent="0.2">
      <c r="A99" s="438">
        <v>93</v>
      </c>
      <c r="B99" s="436" t="s">
        <v>566</v>
      </c>
      <c r="C99" s="437" t="s">
        <v>20</v>
      </c>
      <c r="D99" s="437"/>
      <c r="E99" s="681">
        <v>203.87</v>
      </c>
      <c r="F99" s="437"/>
      <c r="G99" s="437"/>
      <c r="H99" s="437">
        <v>3</v>
      </c>
      <c r="I99" s="437">
        <v>3</v>
      </c>
      <c r="J99" s="451">
        <v>199.917</v>
      </c>
      <c r="K99" s="451"/>
      <c r="L99" s="451">
        <v>73.956999999999994</v>
      </c>
      <c r="M99" s="436"/>
      <c r="N99" s="438">
        <v>73.84</v>
      </c>
      <c r="O99" s="436" t="s">
        <v>143</v>
      </c>
    </row>
    <row r="100" spans="1:15" x14ac:dyDescent="0.2">
      <c r="A100" s="438">
        <v>94</v>
      </c>
      <c r="B100" s="436" t="s">
        <v>567</v>
      </c>
      <c r="C100" s="437" t="s">
        <v>231</v>
      </c>
      <c r="D100" s="437"/>
      <c r="E100" s="681">
        <v>185.92</v>
      </c>
      <c r="F100" s="437">
        <v>1</v>
      </c>
      <c r="G100" s="437"/>
      <c r="H100" s="437"/>
      <c r="I100" s="437">
        <v>1</v>
      </c>
      <c r="J100" s="451">
        <v>189.73699999999999</v>
      </c>
      <c r="K100" s="451"/>
      <c r="L100" s="451">
        <v>89.998999999999995</v>
      </c>
      <c r="M100" s="436"/>
      <c r="N100" s="438">
        <v>66.400000000000006</v>
      </c>
      <c r="O100" s="436" t="s">
        <v>143</v>
      </c>
    </row>
    <row r="101" spans="1:15" x14ac:dyDescent="0.2">
      <c r="A101" s="438">
        <v>95</v>
      </c>
      <c r="B101" s="436" t="s">
        <v>568</v>
      </c>
      <c r="C101" s="437" t="s">
        <v>231</v>
      </c>
      <c r="D101" s="437"/>
      <c r="E101" s="681">
        <v>187.1</v>
      </c>
      <c r="F101" s="437"/>
      <c r="G101" s="437">
        <v>1</v>
      </c>
      <c r="H101" s="437"/>
      <c r="I101" s="437"/>
      <c r="J101" s="451">
        <v>275.11700000000002</v>
      </c>
      <c r="K101" s="451"/>
      <c r="L101" s="451">
        <v>183.08799999999999</v>
      </c>
      <c r="M101" s="436"/>
      <c r="N101" s="436"/>
      <c r="O101" s="436"/>
    </row>
    <row r="102" spans="1:15" x14ac:dyDescent="0.2">
      <c r="A102" s="438">
        <v>96</v>
      </c>
      <c r="B102" s="436" t="s">
        <v>569</v>
      </c>
      <c r="C102" s="437" t="s">
        <v>20</v>
      </c>
      <c r="D102" s="437"/>
      <c r="E102" s="681">
        <v>191.67</v>
      </c>
      <c r="F102" s="437">
        <v>1</v>
      </c>
      <c r="G102" s="437">
        <v>1</v>
      </c>
      <c r="H102" s="437"/>
      <c r="I102" s="437"/>
      <c r="J102" s="451">
        <v>108.9</v>
      </c>
      <c r="K102" s="451"/>
      <c r="L102" s="451">
        <v>38.999000000000002</v>
      </c>
      <c r="M102" s="436"/>
      <c r="N102" s="438">
        <v>102.72</v>
      </c>
      <c r="O102" s="436" t="s">
        <v>143</v>
      </c>
    </row>
    <row r="103" spans="1:15" x14ac:dyDescent="0.2">
      <c r="A103" s="438">
        <v>97</v>
      </c>
      <c r="B103" s="436" t="s">
        <v>570</v>
      </c>
      <c r="C103" s="437" t="s">
        <v>20</v>
      </c>
      <c r="D103" s="437"/>
      <c r="E103" s="681">
        <v>184</v>
      </c>
      <c r="F103" s="437"/>
      <c r="G103" s="437"/>
      <c r="H103" s="437"/>
      <c r="I103" s="437"/>
      <c r="J103" s="451">
        <v>35.950000000000003</v>
      </c>
      <c r="K103" s="451"/>
      <c r="L103" s="451">
        <v>18.096</v>
      </c>
      <c r="M103" s="436"/>
      <c r="N103" s="438">
        <v>18.096</v>
      </c>
      <c r="O103" s="436" t="s">
        <v>143</v>
      </c>
    </row>
    <row r="104" spans="1:15" x14ac:dyDescent="0.2">
      <c r="A104" s="438">
        <v>98</v>
      </c>
      <c r="B104" s="436" t="s">
        <v>217</v>
      </c>
      <c r="C104" s="437" t="s">
        <v>20</v>
      </c>
      <c r="D104" s="437"/>
      <c r="E104" s="681">
        <v>185.22</v>
      </c>
      <c r="F104" s="437"/>
      <c r="G104" s="437"/>
      <c r="H104" s="437"/>
      <c r="I104" s="437"/>
      <c r="J104" s="451">
        <v>17.8</v>
      </c>
      <c r="K104" s="451"/>
      <c r="L104" s="451">
        <v>7.5519999999999996</v>
      </c>
      <c r="M104" s="436"/>
      <c r="N104" s="438">
        <v>7.5519999999999996</v>
      </c>
      <c r="O104" s="436" t="s">
        <v>143</v>
      </c>
    </row>
    <row r="105" spans="1:15" x14ac:dyDescent="0.2">
      <c r="A105" s="438">
        <v>99</v>
      </c>
      <c r="B105" s="436" t="s">
        <v>571</v>
      </c>
      <c r="C105" s="437" t="s">
        <v>20</v>
      </c>
      <c r="D105" s="437" t="s">
        <v>1250</v>
      </c>
      <c r="E105" s="681">
        <v>184.11</v>
      </c>
      <c r="F105" s="437"/>
      <c r="G105" s="437"/>
      <c r="H105" s="437"/>
      <c r="I105" s="437"/>
      <c r="J105" s="451">
        <v>46.75</v>
      </c>
      <c r="K105" s="451"/>
      <c r="L105" s="451">
        <v>26.32</v>
      </c>
      <c r="M105" s="436"/>
      <c r="N105" s="438">
        <v>26.08</v>
      </c>
      <c r="O105" s="436" t="s">
        <v>143</v>
      </c>
    </row>
    <row r="106" spans="1:15" x14ac:dyDescent="0.2">
      <c r="A106" s="438">
        <v>100</v>
      </c>
      <c r="B106" s="436" t="s">
        <v>572</v>
      </c>
      <c r="C106" s="437" t="s">
        <v>233</v>
      </c>
      <c r="D106" s="437"/>
      <c r="E106" s="681">
        <v>192.68</v>
      </c>
      <c r="F106" s="437">
        <v>1</v>
      </c>
      <c r="G106" s="437"/>
      <c r="H106" s="437"/>
      <c r="I106" s="437"/>
      <c r="J106" s="451">
        <v>120.65</v>
      </c>
      <c r="K106" s="451"/>
      <c r="L106" s="451">
        <v>100.624</v>
      </c>
      <c r="M106" s="436"/>
      <c r="N106" s="438">
        <v>104</v>
      </c>
      <c r="O106" s="436" t="s">
        <v>143</v>
      </c>
    </row>
    <row r="107" spans="1:15" x14ac:dyDescent="0.2">
      <c r="A107" s="438">
        <v>101</v>
      </c>
      <c r="B107" s="436" t="s">
        <v>573</v>
      </c>
      <c r="C107" s="437" t="s">
        <v>233</v>
      </c>
      <c r="D107" s="437"/>
      <c r="E107" s="681">
        <v>201.66</v>
      </c>
      <c r="F107" s="437"/>
      <c r="G107" s="437"/>
      <c r="H107" s="437"/>
      <c r="I107" s="437"/>
      <c r="J107" s="451">
        <v>61.582999999999998</v>
      </c>
      <c r="K107" s="451"/>
      <c r="L107" s="451">
        <v>42.335999999999999</v>
      </c>
      <c r="M107" s="436"/>
      <c r="N107" s="438">
        <v>24.16</v>
      </c>
      <c r="O107" s="436" t="s">
        <v>143</v>
      </c>
    </row>
    <row r="108" spans="1:15" x14ac:dyDescent="0.2">
      <c r="A108" s="438">
        <v>102</v>
      </c>
      <c r="B108" s="436" t="s">
        <v>574</v>
      </c>
      <c r="C108" s="437" t="s">
        <v>20</v>
      </c>
      <c r="D108" s="437"/>
      <c r="E108" s="681">
        <v>219.93</v>
      </c>
      <c r="F108" s="437">
        <v>3</v>
      </c>
      <c r="G108" s="437">
        <v>3</v>
      </c>
      <c r="H108" s="437"/>
      <c r="I108" s="437"/>
      <c r="J108" s="451">
        <v>70.8</v>
      </c>
      <c r="K108" s="451"/>
      <c r="L108" s="451">
        <v>24.393000000000001</v>
      </c>
      <c r="M108" s="436"/>
      <c r="N108" s="438">
        <v>24.393000000000001</v>
      </c>
      <c r="O108" s="436" t="s">
        <v>143</v>
      </c>
    </row>
    <row r="109" spans="1:15" x14ac:dyDescent="0.2">
      <c r="A109" s="438">
        <v>103</v>
      </c>
      <c r="B109" s="436" t="s">
        <v>575</v>
      </c>
      <c r="C109" s="437" t="s">
        <v>20</v>
      </c>
      <c r="D109" s="437"/>
      <c r="E109" s="681">
        <v>216.7</v>
      </c>
      <c r="F109" s="437">
        <v>2</v>
      </c>
      <c r="G109" s="437">
        <v>3</v>
      </c>
      <c r="H109" s="437"/>
      <c r="I109" s="437">
        <v>1</v>
      </c>
      <c r="J109" s="451">
        <v>125.717</v>
      </c>
      <c r="K109" s="451"/>
      <c r="L109" s="451">
        <v>24.812999999999999</v>
      </c>
      <c r="M109" s="436"/>
      <c r="N109" s="438">
        <v>213.4</v>
      </c>
      <c r="O109" s="436" t="s">
        <v>143</v>
      </c>
    </row>
    <row r="110" spans="1:15" x14ac:dyDescent="0.2">
      <c r="A110" s="438">
        <v>104</v>
      </c>
      <c r="B110" s="436" t="s">
        <v>666</v>
      </c>
      <c r="C110" s="437" t="s">
        <v>243</v>
      </c>
      <c r="D110" s="437"/>
      <c r="E110" s="681">
        <v>198.375</v>
      </c>
      <c r="F110" s="437"/>
      <c r="G110" s="437">
        <v>1</v>
      </c>
      <c r="H110" s="437">
        <v>1</v>
      </c>
      <c r="I110" s="437"/>
      <c r="J110" s="451">
        <v>227.33600000000001</v>
      </c>
      <c r="K110" s="451"/>
      <c r="L110" s="451">
        <v>145.44999999999999</v>
      </c>
      <c r="M110" s="436"/>
      <c r="N110" s="436"/>
      <c r="O110" s="436"/>
    </row>
    <row r="111" spans="1:15" ht="15.75" customHeight="1" x14ac:dyDescent="0.2">
      <c r="A111" s="438">
        <v>105</v>
      </c>
      <c r="B111" s="436" t="s">
        <v>667</v>
      </c>
      <c r="C111" s="439" t="s">
        <v>231</v>
      </c>
      <c r="D111" s="448"/>
      <c r="E111" s="681"/>
      <c r="F111" s="437">
        <v>0</v>
      </c>
      <c r="G111" s="437">
        <v>0</v>
      </c>
      <c r="H111" s="437">
        <v>1</v>
      </c>
      <c r="I111" s="437">
        <v>0</v>
      </c>
      <c r="J111" s="452">
        <v>516.62</v>
      </c>
      <c r="K111" s="451"/>
      <c r="L111" s="452"/>
      <c r="M111" s="436"/>
      <c r="N111" s="436">
        <v>134.696</v>
      </c>
      <c r="O111" s="436" t="s">
        <v>143</v>
      </c>
    </row>
    <row r="112" spans="1:15" ht="15.75" customHeight="1" x14ac:dyDescent="0.2">
      <c r="A112" s="438">
        <v>106</v>
      </c>
      <c r="B112" s="439" t="s">
        <v>668</v>
      </c>
      <c r="C112" s="439" t="s">
        <v>231</v>
      </c>
      <c r="D112" s="448"/>
      <c r="E112" s="681"/>
      <c r="F112" s="437">
        <v>0</v>
      </c>
      <c r="G112" s="437">
        <v>0</v>
      </c>
      <c r="H112" s="437">
        <v>0</v>
      </c>
      <c r="I112" s="437">
        <v>0</v>
      </c>
      <c r="J112" s="452">
        <v>145.69999999999999</v>
      </c>
      <c r="K112" s="451"/>
      <c r="L112" s="452"/>
      <c r="M112" s="436"/>
      <c r="N112" s="438">
        <v>97.248000000000005</v>
      </c>
      <c r="O112" s="436" t="s">
        <v>143</v>
      </c>
    </row>
    <row r="113" spans="1:15" ht="15.75" customHeight="1" x14ac:dyDescent="0.2">
      <c r="A113" s="438">
        <v>107</v>
      </c>
      <c r="B113" s="439" t="s">
        <v>669</v>
      </c>
      <c r="C113" s="439" t="s">
        <v>231</v>
      </c>
      <c r="D113" s="448"/>
      <c r="E113" s="681"/>
      <c r="F113" s="437">
        <v>2</v>
      </c>
      <c r="G113" s="437">
        <v>0</v>
      </c>
      <c r="H113" s="437">
        <v>0</v>
      </c>
      <c r="I113" s="437">
        <v>1</v>
      </c>
      <c r="J113" s="452">
        <v>35.453000000000003</v>
      </c>
      <c r="K113" s="451"/>
      <c r="L113" s="452"/>
      <c r="M113" s="436"/>
      <c r="N113" s="438">
        <v>5.64</v>
      </c>
      <c r="O113" s="436" t="s">
        <v>143</v>
      </c>
    </row>
    <row r="114" spans="1:15" ht="15.75" customHeight="1" x14ac:dyDescent="0.2">
      <c r="A114" s="438">
        <v>108</v>
      </c>
      <c r="B114" s="439" t="s">
        <v>670</v>
      </c>
      <c r="C114" s="439" t="s">
        <v>233</v>
      </c>
      <c r="D114" s="448">
        <v>3.3</v>
      </c>
      <c r="E114" s="681">
        <v>3</v>
      </c>
      <c r="F114" s="437">
        <v>4</v>
      </c>
      <c r="G114" s="437">
        <v>3</v>
      </c>
      <c r="H114" s="437">
        <v>3</v>
      </c>
      <c r="I114" s="437">
        <v>3</v>
      </c>
      <c r="J114" s="452">
        <v>62.366999999999997</v>
      </c>
      <c r="K114" s="451"/>
      <c r="L114" s="452"/>
      <c r="M114" s="436"/>
      <c r="N114" s="436">
        <v>10.487</v>
      </c>
      <c r="O114" s="436" t="s">
        <v>143</v>
      </c>
    </row>
    <row r="115" spans="1:15" ht="15.75" customHeight="1" x14ac:dyDescent="0.2">
      <c r="A115" s="438">
        <v>109</v>
      </c>
      <c r="B115" s="439" t="s">
        <v>671</v>
      </c>
      <c r="C115" s="439" t="s">
        <v>233</v>
      </c>
      <c r="D115" s="448"/>
      <c r="E115" s="681"/>
      <c r="F115" s="437">
        <v>1</v>
      </c>
      <c r="G115" s="437">
        <v>3</v>
      </c>
      <c r="H115" s="437">
        <v>0</v>
      </c>
      <c r="I115" s="437">
        <v>0</v>
      </c>
      <c r="J115" s="452">
        <v>476.6</v>
      </c>
      <c r="K115" s="451"/>
      <c r="L115" s="452"/>
      <c r="M115" s="436"/>
      <c r="N115" s="438">
        <v>623.44500000000005</v>
      </c>
      <c r="O115" s="436" t="s">
        <v>143</v>
      </c>
    </row>
    <row r="116" spans="1:15" ht="15.75" customHeight="1" x14ac:dyDescent="0.2">
      <c r="A116" s="438">
        <v>110</v>
      </c>
      <c r="B116" s="439" t="s">
        <v>672</v>
      </c>
      <c r="C116" s="439" t="s">
        <v>243</v>
      </c>
      <c r="D116" s="448"/>
      <c r="E116" s="681"/>
      <c r="F116" s="437">
        <v>1</v>
      </c>
      <c r="G116" s="437">
        <v>0</v>
      </c>
      <c r="H116" s="437">
        <v>0</v>
      </c>
      <c r="I116" s="437">
        <v>1</v>
      </c>
      <c r="J116" s="452">
        <v>263.66699999999997</v>
      </c>
      <c r="K116" s="451"/>
      <c r="L116" s="452"/>
      <c r="M116" s="436"/>
      <c r="N116" s="438">
        <v>197.423</v>
      </c>
      <c r="O116" s="436" t="s">
        <v>143</v>
      </c>
    </row>
    <row r="117" spans="1:15" ht="15.75" customHeight="1" x14ac:dyDescent="0.2">
      <c r="A117" s="438">
        <v>111</v>
      </c>
      <c r="B117" s="439" t="s">
        <v>673</v>
      </c>
      <c r="C117" s="439" t="s">
        <v>233</v>
      </c>
      <c r="D117" s="448"/>
      <c r="E117" s="681"/>
      <c r="F117" s="437">
        <v>0</v>
      </c>
      <c r="G117" s="437">
        <v>0</v>
      </c>
      <c r="H117" s="437">
        <v>0</v>
      </c>
      <c r="I117" s="437">
        <v>0</v>
      </c>
      <c r="J117" s="452">
        <v>107.267</v>
      </c>
      <c r="K117" s="451"/>
      <c r="L117" s="452"/>
      <c r="M117" s="436"/>
      <c r="N117" s="438">
        <v>73.680000000000007</v>
      </c>
      <c r="O117" s="436" t="s">
        <v>143</v>
      </c>
    </row>
    <row r="118" spans="1:15" ht="15.75" customHeight="1" x14ac:dyDescent="0.2">
      <c r="A118" s="438">
        <v>112</v>
      </c>
      <c r="B118" s="439" t="s">
        <v>674</v>
      </c>
      <c r="C118" s="439" t="s">
        <v>239</v>
      </c>
      <c r="D118" s="448"/>
      <c r="E118" s="681"/>
      <c r="F118" s="437">
        <v>1</v>
      </c>
      <c r="G118" s="437">
        <v>2</v>
      </c>
      <c r="H118" s="437">
        <v>0</v>
      </c>
      <c r="I118" s="437">
        <v>1</v>
      </c>
      <c r="J118" s="452">
        <v>114.075</v>
      </c>
      <c r="K118" s="451"/>
      <c r="L118" s="452"/>
      <c r="M118" s="436"/>
      <c r="N118" s="436">
        <v>79.400999999999996</v>
      </c>
      <c r="O118" s="436" t="s">
        <v>143</v>
      </c>
    </row>
    <row r="119" spans="1:15" ht="15.75" customHeight="1" x14ac:dyDescent="0.2">
      <c r="A119" s="438">
        <v>113</v>
      </c>
      <c r="B119" s="439" t="s">
        <v>675</v>
      </c>
      <c r="C119" s="439" t="s">
        <v>233</v>
      </c>
      <c r="D119" s="448">
        <v>3</v>
      </c>
      <c r="E119" s="681"/>
      <c r="F119" s="437">
        <v>4</v>
      </c>
      <c r="G119" s="437">
        <v>0</v>
      </c>
      <c r="H119" s="437">
        <v>2</v>
      </c>
      <c r="I119" s="437">
        <v>6</v>
      </c>
      <c r="J119" s="452">
        <v>218.923</v>
      </c>
      <c r="K119" s="451"/>
      <c r="L119" s="452"/>
      <c r="M119" s="436"/>
      <c r="N119" s="438">
        <v>101.02800000000001</v>
      </c>
      <c r="O119" s="436" t="s">
        <v>143</v>
      </c>
    </row>
    <row r="120" spans="1:15" ht="15.75" customHeight="1" x14ac:dyDescent="0.2">
      <c r="A120" s="438">
        <v>114</v>
      </c>
      <c r="B120" s="439" t="s">
        <v>676</v>
      </c>
      <c r="C120" s="439" t="s">
        <v>233</v>
      </c>
      <c r="D120" s="448"/>
      <c r="E120" s="681"/>
      <c r="F120" s="437">
        <v>0</v>
      </c>
      <c r="G120" s="437">
        <v>1</v>
      </c>
      <c r="H120" s="437">
        <v>0</v>
      </c>
      <c r="I120" s="437">
        <v>0</v>
      </c>
      <c r="J120" s="452">
        <v>68.233000000000004</v>
      </c>
      <c r="K120" s="451"/>
      <c r="L120" s="452"/>
      <c r="M120" s="436"/>
      <c r="N120" s="438">
        <v>16.058</v>
      </c>
      <c r="O120" s="436" t="s">
        <v>143</v>
      </c>
    </row>
    <row r="121" spans="1:15" ht="15.75" customHeight="1" x14ac:dyDescent="0.2">
      <c r="A121" s="438">
        <v>115</v>
      </c>
      <c r="B121" s="439" t="s">
        <v>677</v>
      </c>
      <c r="C121" s="439" t="s">
        <v>231</v>
      </c>
      <c r="D121" s="448"/>
      <c r="E121" s="681"/>
      <c r="F121" s="437">
        <v>0</v>
      </c>
      <c r="G121" s="437">
        <v>1</v>
      </c>
      <c r="H121" s="437">
        <v>0</v>
      </c>
      <c r="I121" s="437">
        <v>0</v>
      </c>
      <c r="J121" s="452">
        <v>148.233</v>
      </c>
      <c r="K121" s="451"/>
      <c r="L121" s="452"/>
      <c r="M121" s="436"/>
      <c r="N121" s="438">
        <v>67.986999999999995</v>
      </c>
      <c r="O121" s="436" t="s">
        <v>143</v>
      </c>
    </row>
    <row r="122" spans="1:15" ht="15.75" customHeight="1" x14ac:dyDescent="0.2">
      <c r="A122" s="438">
        <v>116</v>
      </c>
      <c r="B122" s="439" t="s">
        <v>678</v>
      </c>
      <c r="C122" s="439" t="s">
        <v>244</v>
      </c>
      <c r="D122" s="448"/>
      <c r="E122" s="681"/>
      <c r="F122" s="437">
        <v>0</v>
      </c>
      <c r="G122" s="437">
        <v>1</v>
      </c>
      <c r="H122" s="437">
        <v>0</v>
      </c>
      <c r="I122" s="437">
        <v>0</v>
      </c>
      <c r="J122" s="452">
        <v>104.47</v>
      </c>
      <c r="K122" s="451"/>
      <c r="L122" s="452"/>
      <c r="M122" s="436"/>
      <c r="N122" s="436">
        <v>47.558</v>
      </c>
      <c r="O122" s="436" t="s">
        <v>143</v>
      </c>
    </row>
    <row r="123" spans="1:15" ht="15.75" customHeight="1" x14ac:dyDescent="0.2">
      <c r="A123" s="438">
        <v>117</v>
      </c>
      <c r="B123" s="439" t="s">
        <v>679</v>
      </c>
      <c r="C123" s="439" t="s">
        <v>231</v>
      </c>
      <c r="D123" s="448"/>
      <c r="E123" s="681"/>
      <c r="F123" s="437">
        <v>0</v>
      </c>
      <c r="G123" s="437">
        <v>0</v>
      </c>
      <c r="H123" s="437">
        <v>1</v>
      </c>
      <c r="I123" s="437">
        <v>2</v>
      </c>
      <c r="J123" s="452">
        <v>329.483</v>
      </c>
      <c r="K123" s="451"/>
      <c r="L123" s="452"/>
      <c r="M123" s="436"/>
      <c r="N123" s="436"/>
      <c r="O123" s="436"/>
    </row>
    <row r="124" spans="1:15" ht="15.75" customHeight="1" x14ac:dyDescent="0.2">
      <c r="A124" s="438">
        <v>118</v>
      </c>
      <c r="B124" s="439" t="s">
        <v>89</v>
      </c>
      <c r="C124" s="439" t="s">
        <v>652</v>
      </c>
      <c r="D124" s="448">
        <v>3</v>
      </c>
      <c r="E124" s="681"/>
      <c r="F124" s="437">
        <v>0</v>
      </c>
      <c r="G124" s="437">
        <v>4</v>
      </c>
      <c r="H124" s="437">
        <v>4</v>
      </c>
      <c r="I124" s="437">
        <v>0</v>
      </c>
      <c r="J124" s="452">
        <v>773.08</v>
      </c>
      <c r="K124" s="451"/>
      <c r="L124" s="452"/>
      <c r="M124" s="436"/>
      <c r="N124" s="438">
        <v>428.90800000000002</v>
      </c>
      <c r="O124" s="436" t="s">
        <v>143</v>
      </c>
    </row>
    <row r="125" spans="1:15" ht="15.75" customHeight="1" x14ac:dyDescent="0.2">
      <c r="A125" s="438">
        <v>119</v>
      </c>
      <c r="B125" s="436" t="s">
        <v>90</v>
      </c>
      <c r="C125" s="439" t="s">
        <v>652</v>
      </c>
      <c r="D125" s="448"/>
      <c r="E125" s="681">
        <v>2</v>
      </c>
      <c r="F125" s="437">
        <v>3</v>
      </c>
      <c r="G125" s="437">
        <v>2</v>
      </c>
      <c r="H125" s="437">
        <v>2</v>
      </c>
      <c r="I125" s="437">
        <v>2</v>
      </c>
      <c r="J125" s="452">
        <v>333.58499999999998</v>
      </c>
      <c r="K125" s="451"/>
      <c r="L125" s="452"/>
      <c r="M125" s="436"/>
      <c r="N125" s="438">
        <v>262.43</v>
      </c>
      <c r="O125" s="436" t="s">
        <v>143</v>
      </c>
    </row>
    <row r="126" spans="1:15" ht="15.75" customHeight="1" x14ac:dyDescent="0.2">
      <c r="A126" s="438">
        <v>120</v>
      </c>
      <c r="B126" s="436" t="s">
        <v>680</v>
      </c>
      <c r="C126" s="436" t="s">
        <v>232</v>
      </c>
      <c r="D126" s="436"/>
      <c r="E126" s="681">
        <v>1</v>
      </c>
      <c r="F126" s="438">
        <v>1</v>
      </c>
      <c r="G126" s="438">
        <v>1</v>
      </c>
      <c r="H126" s="438">
        <v>2</v>
      </c>
      <c r="I126" s="438">
        <v>2</v>
      </c>
      <c r="J126" s="452">
        <v>334.44499999999999</v>
      </c>
      <c r="K126" s="451"/>
      <c r="L126" s="452">
        <v>183.244</v>
      </c>
      <c r="M126" s="436"/>
      <c r="N126" s="438">
        <v>653.34299999999996</v>
      </c>
      <c r="O126" s="436" t="s">
        <v>143</v>
      </c>
    </row>
    <row r="127" spans="1:15" ht="15.75" customHeight="1" x14ac:dyDescent="0.2">
      <c r="A127" s="438">
        <v>121</v>
      </c>
      <c r="B127" s="436" t="s">
        <v>681</v>
      </c>
      <c r="C127" s="436" t="s">
        <v>233</v>
      </c>
      <c r="D127" s="436"/>
      <c r="E127" s="681"/>
      <c r="F127" s="438">
        <v>0</v>
      </c>
      <c r="G127" s="438">
        <v>0</v>
      </c>
      <c r="H127" s="438">
        <v>0</v>
      </c>
      <c r="I127" s="438">
        <v>0</v>
      </c>
      <c r="J127" s="452">
        <v>35.008000000000003</v>
      </c>
      <c r="K127" s="451"/>
      <c r="L127" s="452">
        <v>14.894</v>
      </c>
      <c r="M127" s="436"/>
      <c r="N127" s="436">
        <v>14.894</v>
      </c>
      <c r="O127" s="436" t="s">
        <v>143</v>
      </c>
    </row>
    <row r="128" spans="1:15" ht="15.75" customHeight="1" x14ac:dyDescent="0.2">
      <c r="A128" s="438">
        <v>122</v>
      </c>
      <c r="B128" s="436" t="s">
        <v>682</v>
      </c>
      <c r="C128" s="436" t="s">
        <v>233</v>
      </c>
      <c r="D128" s="436"/>
      <c r="E128" s="681"/>
      <c r="F128" s="438">
        <v>1</v>
      </c>
      <c r="G128" s="438">
        <v>2</v>
      </c>
      <c r="H128" s="438">
        <v>0</v>
      </c>
      <c r="I128" s="438">
        <v>0</v>
      </c>
      <c r="J128" s="452">
        <v>351.24799999999999</v>
      </c>
      <c r="K128" s="451"/>
      <c r="L128" s="452">
        <v>198.46199999999999</v>
      </c>
      <c r="M128" s="436"/>
      <c r="N128" s="438">
        <v>198.05099999999999</v>
      </c>
      <c r="O128" s="436" t="s">
        <v>143</v>
      </c>
    </row>
    <row r="129" spans="1:15" ht="15.75" customHeight="1" x14ac:dyDescent="0.2">
      <c r="A129" s="438">
        <v>123</v>
      </c>
      <c r="B129" s="436" t="s">
        <v>683</v>
      </c>
      <c r="C129" s="436" t="s">
        <v>20</v>
      </c>
      <c r="D129" s="436"/>
      <c r="E129" s="681"/>
      <c r="F129" s="438"/>
      <c r="G129" s="438"/>
      <c r="H129" s="438"/>
      <c r="I129" s="438"/>
      <c r="J129" s="452"/>
      <c r="K129" s="451"/>
      <c r="L129" s="452"/>
      <c r="M129" s="436"/>
      <c r="N129" s="436"/>
      <c r="O129" s="436"/>
    </row>
    <row r="130" spans="1:15" ht="15.75" customHeight="1" x14ac:dyDescent="0.2">
      <c r="A130" s="438">
        <v>124</v>
      </c>
      <c r="B130" s="436" t="s">
        <v>684</v>
      </c>
      <c r="C130" s="436" t="s">
        <v>231</v>
      </c>
      <c r="D130" s="436"/>
      <c r="E130" s="681"/>
      <c r="F130" s="438">
        <v>0</v>
      </c>
      <c r="G130" s="438">
        <v>1</v>
      </c>
      <c r="H130" s="438">
        <v>0</v>
      </c>
      <c r="I130" s="438">
        <v>0</v>
      </c>
      <c r="J130" s="452">
        <v>151.40600000000001</v>
      </c>
      <c r="K130" s="451"/>
      <c r="L130" s="452">
        <v>50.19</v>
      </c>
      <c r="M130" s="436"/>
      <c r="N130" s="438">
        <v>50.19</v>
      </c>
      <c r="O130" s="436" t="s">
        <v>143</v>
      </c>
    </row>
    <row r="131" spans="1:15" ht="15.75" customHeight="1" x14ac:dyDescent="0.2">
      <c r="A131" s="438">
        <v>125</v>
      </c>
      <c r="B131" s="436" t="s">
        <v>685</v>
      </c>
      <c r="C131" s="436" t="s">
        <v>20</v>
      </c>
      <c r="D131" s="436"/>
      <c r="E131" s="681"/>
      <c r="F131" s="438">
        <v>0</v>
      </c>
      <c r="G131" s="438">
        <v>0</v>
      </c>
      <c r="H131" s="438">
        <v>0</v>
      </c>
      <c r="I131" s="438">
        <v>0</v>
      </c>
      <c r="J131" s="452">
        <v>214.68299999999999</v>
      </c>
      <c r="K131" s="451"/>
      <c r="L131" s="452">
        <v>105.461</v>
      </c>
      <c r="M131" s="436"/>
      <c r="N131" s="436">
        <v>105.295</v>
      </c>
      <c r="O131" s="436" t="s">
        <v>143</v>
      </c>
    </row>
    <row r="132" spans="1:15" ht="15.75" customHeight="1" x14ac:dyDescent="0.2">
      <c r="A132" s="438">
        <v>126</v>
      </c>
      <c r="B132" s="436" t="s">
        <v>686</v>
      </c>
      <c r="C132" s="436" t="s">
        <v>20</v>
      </c>
      <c r="D132" s="436"/>
      <c r="E132" s="681"/>
      <c r="F132" s="438">
        <v>0</v>
      </c>
      <c r="G132" s="438">
        <v>0</v>
      </c>
      <c r="H132" s="438">
        <v>0</v>
      </c>
      <c r="I132" s="438">
        <v>0</v>
      </c>
      <c r="J132" s="452">
        <v>146.833</v>
      </c>
      <c r="K132" s="451"/>
      <c r="L132" s="452">
        <v>85.355999999999995</v>
      </c>
      <c r="M132" s="436"/>
      <c r="N132" s="438">
        <v>83.13</v>
      </c>
      <c r="O132" s="436" t="s">
        <v>143</v>
      </c>
    </row>
    <row r="133" spans="1:15" ht="15.75" customHeight="1" x14ac:dyDescent="0.2">
      <c r="A133" s="438">
        <v>127</v>
      </c>
      <c r="B133" s="436" t="s">
        <v>687</v>
      </c>
      <c r="C133" s="436" t="s">
        <v>231</v>
      </c>
      <c r="D133" s="436"/>
      <c r="E133" s="681"/>
      <c r="F133" s="438">
        <v>1</v>
      </c>
      <c r="G133" s="438">
        <v>0</v>
      </c>
      <c r="H133" s="438">
        <v>0</v>
      </c>
      <c r="I133" s="438">
        <v>0</v>
      </c>
      <c r="J133" s="452">
        <v>186.17099999999999</v>
      </c>
      <c r="K133" s="451"/>
      <c r="L133" s="452">
        <v>58.540999999999997</v>
      </c>
      <c r="M133" s="436"/>
      <c r="N133" s="438">
        <v>57.389000000000003</v>
      </c>
      <c r="O133" s="436" t="s">
        <v>143</v>
      </c>
    </row>
    <row r="134" spans="1:15" ht="15.75" customHeight="1" x14ac:dyDescent="0.2">
      <c r="A134" s="438">
        <v>128</v>
      </c>
      <c r="B134" s="436" t="s">
        <v>688</v>
      </c>
      <c r="C134" s="436" t="s">
        <v>20</v>
      </c>
      <c r="D134" s="436"/>
      <c r="E134" s="681"/>
      <c r="F134" s="438">
        <v>0</v>
      </c>
      <c r="G134" s="438">
        <v>0</v>
      </c>
      <c r="H134" s="438">
        <v>0</v>
      </c>
      <c r="I134" s="438">
        <v>0</v>
      </c>
      <c r="J134" s="452">
        <v>36.917000000000002</v>
      </c>
      <c r="K134" s="451"/>
      <c r="L134" s="452">
        <v>21.242999999999999</v>
      </c>
      <c r="M134" s="436"/>
      <c r="N134" s="438">
        <v>21.242999999999999</v>
      </c>
      <c r="O134" s="436" t="s">
        <v>143</v>
      </c>
    </row>
    <row r="135" spans="1:15" ht="15.75" customHeight="1" x14ac:dyDescent="0.2">
      <c r="A135" s="438">
        <v>129</v>
      </c>
      <c r="B135" s="436" t="s">
        <v>689</v>
      </c>
      <c r="C135" s="436" t="s">
        <v>232</v>
      </c>
      <c r="D135" s="436"/>
      <c r="E135" s="681"/>
      <c r="F135" s="438">
        <v>0</v>
      </c>
      <c r="G135" s="438">
        <v>0</v>
      </c>
      <c r="H135" s="438">
        <v>0</v>
      </c>
      <c r="I135" s="438">
        <v>0</v>
      </c>
      <c r="J135" s="452">
        <v>105.1</v>
      </c>
      <c r="K135" s="451"/>
      <c r="L135" s="452">
        <v>44.207999999999998</v>
      </c>
      <c r="M135" s="436"/>
      <c r="N135" s="438">
        <v>44.128</v>
      </c>
      <c r="O135" s="436" t="s">
        <v>143</v>
      </c>
    </row>
    <row r="136" spans="1:15" ht="15.75" customHeight="1" x14ac:dyDescent="0.2">
      <c r="A136" s="438">
        <v>130</v>
      </c>
      <c r="B136" s="436" t="s">
        <v>690</v>
      </c>
      <c r="C136" s="436" t="s">
        <v>244</v>
      </c>
      <c r="D136" s="436"/>
      <c r="E136" s="681"/>
      <c r="F136" s="438">
        <v>0</v>
      </c>
      <c r="G136" s="438">
        <v>0</v>
      </c>
      <c r="H136" s="438">
        <v>0</v>
      </c>
      <c r="I136" s="438">
        <v>0</v>
      </c>
      <c r="J136" s="452">
        <v>271.37099999999998</v>
      </c>
      <c r="K136" s="451"/>
      <c r="L136" s="452">
        <v>121.376</v>
      </c>
      <c r="M136" s="436"/>
      <c r="N136" s="438">
        <v>121.152</v>
      </c>
      <c r="O136" s="436" t="s">
        <v>143</v>
      </c>
    </row>
    <row r="137" spans="1:15" ht="15.75" customHeight="1" x14ac:dyDescent="0.2">
      <c r="A137" s="438">
        <v>131</v>
      </c>
      <c r="B137" s="436" t="s">
        <v>691</v>
      </c>
      <c r="C137" s="436" t="s">
        <v>233</v>
      </c>
      <c r="D137" s="436"/>
      <c r="E137" s="681"/>
      <c r="F137" s="438">
        <v>0</v>
      </c>
      <c r="G137" s="438">
        <v>0</v>
      </c>
      <c r="H137" s="438">
        <v>0</v>
      </c>
      <c r="I137" s="438">
        <v>0</v>
      </c>
      <c r="J137" s="452">
        <v>83.933000000000007</v>
      </c>
      <c r="K137" s="451"/>
      <c r="L137" s="452">
        <v>43.92</v>
      </c>
      <c r="M137" s="436"/>
      <c r="N137" s="438">
        <v>42.432000000000002</v>
      </c>
      <c r="O137" s="436" t="s">
        <v>143</v>
      </c>
    </row>
    <row r="138" spans="1:15" ht="15.75" customHeight="1" x14ac:dyDescent="0.2">
      <c r="A138" s="438">
        <v>132</v>
      </c>
      <c r="B138" s="436" t="s">
        <v>692</v>
      </c>
      <c r="C138" s="436" t="s">
        <v>231</v>
      </c>
      <c r="D138" s="436"/>
      <c r="E138" s="681"/>
      <c r="F138" s="438">
        <v>0</v>
      </c>
      <c r="G138" s="438">
        <v>0</v>
      </c>
      <c r="H138" s="438">
        <v>0</v>
      </c>
      <c r="I138" s="438">
        <v>0</v>
      </c>
      <c r="J138" s="452">
        <v>28.5</v>
      </c>
      <c r="K138" s="451"/>
      <c r="L138" s="452">
        <v>20.37</v>
      </c>
      <c r="M138" s="436"/>
      <c r="N138" s="438">
        <v>20.37</v>
      </c>
      <c r="O138" s="436" t="s">
        <v>143</v>
      </c>
    </row>
    <row r="139" spans="1:15" ht="15.75" customHeight="1" x14ac:dyDescent="0.2">
      <c r="A139" s="438">
        <v>133</v>
      </c>
      <c r="B139" s="436" t="s">
        <v>693</v>
      </c>
      <c r="C139" s="436" t="s">
        <v>20</v>
      </c>
      <c r="D139" s="436"/>
      <c r="E139" s="681"/>
      <c r="F139" s="438">
        <v>0</v>
      </c>
      <c r="G139" s="438">
        <v>0</v>
      </c>
      <c r="H139" s="438">
        <v>0</v>
      </c>
      <c r="I139" s="438">
        <v>0</v>
      </c>
      <c r="J139" s="452">
        <v>237.2</v>
      </c>
      <c r="K139" s="451"/>
      <c r="L139" s="452">
        <v>152.09299999999999</v>
      </c>
      <c r="M139" s="436"/>
      <c r="N139" s="438">
        <v>151.98599999999999</v>
      </c>
      <c r="O139" s="436" t="s">
        <v>143</v>
      </c>
    </row>
    <row r="140" spans="1:15" ht="15.75" customHeight="1" x14ac:dyDescent="0.2">
      <c r="A140" s="438">
        <v>134</v>
      </c>
      <c r="B140" s="436" t="s">
        <v>694</v>
      </c>
      <c r="C140" s="436" t="s">
        <v>20</v>
      </c>
      <c r="D140" s="436"/>
      <c r="E140" s="681"/>
      <c r="F140" s="438">
        <v>0</v>
      </c>
      <c r="G140" s="438">
        <v>0</v>
      </c>
      <c r="H140" s="438">
        <v>0</v>
      </c>
      <c r="I140" s="438">
        <v>0</v>
      </c>
      <c r="J140" s="452">
        <v>130.94999999999999</v>
      </c>
      <c r="K140" s="451"/>
      <c r="L140" s="452">
        <v>59.392000000000003</v>
      </c>
      <c r="M140" s="436"/>
      <c r="N140" s="438">
        <v>59.167999999999999</v>
      </c>
      <c r="O140" s="436" t="s">
        <v>143</v>
      </c>
    </row>
    <row r="141" spans="1:15" ht="15.75" customHeight="1" x14ac:dyDescent="0.2">
      <c r="A141" s="438">
        <v>135</v>
      </c>
      <c r="B141" s="436" t="s">
        <v>695</v>
      </c>
      <c r="C141" s="436" t="s">
        <v>20</v>
      </c>
      <c r="D141" s="436"/>
      <c r="E141" s="681"/>
      <c r="F141" s="438">
        <v>0</v>
      </c>
      <c r="G141" s="438">
        <v>0</v>
      </c>
      <c r="H141" s="438">
        <v>0</v>
      </c>
      <c r="I141" s="438">
        <v>0</v>
      </c>
      <c r="J141" s="452">
        <v>52.95</v>
      </c>
      <c r="K141" s="451"/>
      <c r="L141" s="452">
        <v>27.468</v>
      </c>
      <c r="M141" s="436"/>
      <c r="N141" s="438">
        <v>27.341999999999999</v>
      </c>
      <c r="O141" s="436" t="s">
        <v>143</v>
      </c>
    </row>
    <row r="142" spans="1:15" ht="15.75" customHeight="1" x14ac:dyDescent="0.2">
      <c r="A142" s="438">
        <v>136</v>
      </c>
      <c r="B142" s="436" t="s">
        <v>696</v>
      </c>
      <c r="C142" s="436" t="s">
        <v>20</v>
      </c>
      <c r="D142" s="440">
        <v>0.1</v>
      </c>
      <c r="E142" s="681"/>
      <c r="F142" s="438">
        <v>0</v>
      </c>
      <c r="G142" s="438">
        <v>0</v>
      </c>
      <c r="H142" s="438">
        <v>0</v>
      </c>
      <c r="I142" s="438">
        <v>0</v>
      </c>
      <c r="J142" s="452">
        <v>68.132999999999996</v>
      </c>
      <c r="K142" s="451"/>
      <c r="L142" s="452">
        <v>33.445999999999998</v>
      </c>
      <c r="M142" s="436"/>
      <c r="N142" s="438">
        <v>33.173000000000002</v>
      </c>
      <c r="O142" s="436" t="s">
        <v>143</v>
      </c>
    </row>
    <row r="143" spans="1:15" ht="15.75" customHeight="1" x14ac:dyDescent="0.2">
      <c r="A143" s="438">
        <v>137</v>
      </c>
      <c r="B143" s="436" t="s">
        <v>697</v>
      </c>
      <c r="C143" s="436" t="s">
        <v>231</v>
      </c>
      <c r="D143" s="440">
        <v>0.1</v>
      </c>
      <c r="E143" s="681"/>
      <c r="F143" s="438">
        <v>0</v>
      </c>
      <c r="G143" s="438">
        <v>0</v>
      </c>
      <c r="H143" s="438">
        <v>0</v>
      </c>
      <c r="I143" s="438">
        <v>0</v>
      </c>
      <c r="J143" s="452">
        <v>29.783000000000001</v>
      </c>
      <c r="K143" s="451"/>
      <c r="L143" s="452">
        <v>10.948</v>
      </c>
      <c r="M143" s="436"/>
      <c r="N143" s="438">
        <v>10.948</v>
      </c>
      <c r="O143" s="436" t="s">
        <v>143</v>
      </c>
    </row>
    <row r="144" spans="1:15" ht="15.75" customHeight="1" x14ac:dyDescent="0.2">
      <c r="A144" s="438">
        <v>138</v>
      </c>
      <c r="B144" s="436" t="s">
        <v>698</v>
      </c>
      <c r="C144" s="436" t="s">
        <v>20</v>
      </c>
      <c r="D144" s="436"/>
      <c r="E144" s="681"/>
      <c r="F144" s="438">
        <v>0</v>
      </c>
      <c r="G144" s="438">
        <v>3</v>
      </c>
      <c r="H144" s="438">
        <v>2</v>
      </c>
      <c r="I144" s="438">
        <v>2</v>
      </c>
      <c r="J144" s="452">
        <v>190.733</v>
      </c>
      <c r="K144" s="451"/>
      <c r="L144" s="452">
        <v>89.935000000000002</v>
      </c>
      <c r="M144" s="436"/>
      <c r="N144" s="436">
        <v>92.01</v>
      </c>
      <c r="O144" s="436" t="s">
        <v>143</v>
      </c>
    </row>
    <row r="145" spans="1:15" ht="15.75" customHeight="1" x14ac:dyDescent="0.2">
      <c r="A145" s="438">
        <v>139</v>
      </c>
      <c r="B145" s="436" t="s">
        <v>92</v>
      </c>
      <c r="C145" s="436" t="s">
        <v>245</v>
      </c>
      <c r="D145" s="436"/>
      <c r="E145" s="681"/>
      <c r="F145" s="438">
        <v>0</v>
      </c>
      <c r="G145" s="438">
        <v>0</v>
      </c>
      <c r="H145" s="438">
        <v>0</v>
      </c>
      <c r="I145" s="438">
        <v>1</v>
      </c>
      <c r="J145" s="452">
        <v>29.469000000000001</v>
      </c>
      <c r="K145" s="451"/>
      <c r="L145" s="452">
        <v>6.7750000000000004</v>
      </c>
      <c r="M145" s="436"/>
      <c r="N145" s="436">
        <v>6.7750000000000004</v>
      </c>
      <c r="O145" s="436" t="s">
        <v>143</v>
      </c>
    </row>
    <row r="146" spans="1:15" ht="15.75" customHeight="1" x14ac:dyDescent="0.2">
      <c r="A146" s="438">
        <v>140</v>
      </c>
      <c r="B146" s="436" t="s">
        <v>699</v>
      </c>
      <c r="C146" s="436" t="s">
        <v>232</v>
      </c>
      <c r="D146" s="436"/>
      <c r="E146" s="681"/>
      <c r="F146" s="438">
        <v>1</v>
      </c>
      <c r="G146" s="438">
        <v>0</v>
      </c>
      <c r="H146" s="438">
        <v>0</v>
      </c>
      <c r="I146" s="438">
        <v>0</v>
      </c>
      <c r="J146" s="452">
        <v>258.41699999999997</v>
      </c>
      <c r="K146" s="451"/>
      <c r="L146" s="452">
        <v>126.73099999999999</v>
      </c>
      <c r="M146" s="436"/>
      <c r="N146" s="438">
        <v>126.619</v>
      </c>
      <c r="O146" s="436" t="s">
        <v>143</v>
      </c>
    </row>
    <row r="147" spans="1:15" ht="15.75" customHeight="1" x14ac:dyDescent="0.2">
      <c r="A147" s="438">
        <v>141</v>
      </c>
      <c r="B147" s="436" t="s">
        <v>700</v>
      </c>
      <c r="C147" s="436" t="s">
        <v>233</v>
      </c>
      <c r="D147" s="436"/>
      <c r="E147" s="681">
        <v>2</v>
      </c>
      <c r="F147" s="438">
        <v>2</v>
      </c>
      <c r="G147" s="438">
        <v>2</v>
      </c>
      <c r="H147" s="438">
        <v>2</v>
      </c>
      <c r="I147" s="438">
        <v>2</v>
      </c>
      <c r="J147" s="452">
        <v>109.18300000000001</v>
      </c>
      <c r="K147" s="451"/>
      <c r="L147" s="452">
        <v>50.595999999999997</v>
      </c>
      <c r="M147" s="436"/>
      <c r="N147" s="436">
        <v>50.427999999999997</v>
      </c>
      <c r="O147" s="436" t="s">
        <v>143</v>
      </c>
    </row>
    <row r="148" spans="1:15" ht="15.75" customHeight="1" x14ac:dyDescent="0.2">
      <c r="A148" s="438">
        <v>142</v>
      </c>
      <c r="B148" s="436" t="s">
        <v>701</v>
      </c>
      <c r="C148" s="436" t="s">
        <v>232</v>
      </c>
      <c r="D148" s="436"/>
      <c r="E148" s="681"/>
      <c r="F148" s="438">
        <v>0</v>
      </c>
      <c r="G148" s="438">
        <v>0</v>
      </c>
      <c r="H148" s="438">
        <v>1</v>
      </c>
      <c r="I148" s="438">
        <v>0</v>
      </c>
      <c r="J148" s="452">
        <v>82.816999999999993</v>
      </c>
      <c r="K148" s="451"/>
      <c r="L148" s="452">
        <v>40.792000000000002</v>
      </c>
      <c r="M148" s="436"/>
      <c r="N148" s="436">
        <v>40.792000000000002</v>
      </c>
      <c r="O148" s="436" t="s">
        <v>143</v>
      </c>
    </row>
    <row r="149" spans="1:15" ht="15.75" customHeight="1" x14ac:dyDescent="0.2">
      <c r="A149" s="438">
        <v>143</v>
      </c>
      <c r="B149" s="436" t="s">
        <v>702</v>
      </c>
      <c r="C149" s="436" t="s">
        <v>233</v>
      </c>
      <c r="D149" s="436"/>
      <c r="E149" s="681">
        <v>3</v>
      </c>
      <c r="F149" s="438">
        <v>3</v>
      </c>
      <c r="G149" s="438">
        <v>3</v>
      </c>
      <c r="H149" s="438">
        <v>4</v>
      </c>
      <c r="I149" s="438">
        <v>3</v>
      </c>
      <c r="J149" s="452">
        <v>90.132999999999996</v>
      </c>
      <c r="K149" s="451"/>
      <c r="L149" s="452">
        <v>31.88</v>
      </c>
      <c r="M149" s="436"/>
      <c r="N149" s="436">
        <v>31.61</v>
      </c>
      <c r="O149" s="436" t="s">
        <v>143</v>
      </c>
    </row>
    <row r="150" spans="1:15" ht="15.75" customHeight="1" x14ac:dyDescent="0.2">
      <c r="A150" s="438">
        <v>144</v>
      </c>
      <c r="B150" s="436" t="s">
        <v>703</v>
      </c>
      <c r="C150" s="436" t="s">
        <v>233</v>
      </c>
      <c r="D150" s="436"/>
      <c r="E150" s="681">
        <v>3</v>
      </c>
      <c r="F150" s="438">
        <v>4</v>
      </c>
      <c r="G150" s="438">
        <v>3</v>
      </c>
      <c r="H150" s="438">
        <v>4</v>
      </c>
      <c r="I150" s="438">
        <v>3</v>
      </c>
      <c r="J150" s="452">
        <v>82.716999999999999</v>
      </c>
      <c r="K150" s="451"/>
      <c r="L150" s="452">
        <v>13.972</v>
      </c>
      <c r="M150" s="436"/>
      <c r="N150" s="436">
        <v>13.972</v>
      </c>
      <c r="O150" s="436" t="s">
        <v>143</v>
      </c>
    </row>
    <row r="151" spans="1:15" ht="15.75" customHeight="1" x14ac:dyDescent="0.2">
      <c r="A151" s="438">
        <v>145</v>
      </c>
      <c r="B151" s="436" t="s">
        <v>704</v>
      </c>
      <c r="C151" s="436" t="s">
        <v>233</v>
      </c>
      <c r="D151" s="436"/>
      <c r="E151" s="681">
        <v>3</v>
      </c>
      <c r="F151" s="438">
        <v>3</v>
      </c>
      <c r="G151" s="438">
        <v>4</v>
      </c>
      <c r="H151" s="438">
        <v>3</v>
      </c>
      <c r="I151" s="438">
        <v>3</v>
      </c>
      <c r="J151" s="452">
        <v>266.41699999999997</v>
      </c>
      <c r="K151" s="451"/>
      <c r="L151" s="452">
        <v>133.27799999999999</v>
      </c>
      <c r="M151" s="436"/>
      <c r="N151" s="436">
        <v>133.02199999999999</v>
      </c>
      <c r="O151" s="436" t="s">
        <v>143</v>
      </c>
    </row>
    <row r="152" spans="1:15" ht="15.75" customHeight="1" x14ac:dyDescent="0.2">
      <c r="A152" s="438">
        <v>146</v>
      </c>
      <c r="B152" s="436" t="s">
        <v>705</v>
      </c>
      <c r="C152" s="436" t="s">
        <v>231</v>
      </c>
      <c r="D152" s="436"/>
      <c r="E152" s="681"/>
      <c r="F152" s="438">
        <v>0</v>
      </c>
      <c r="G152" s="438">
        <v>0</v>
      </c>
      <c r="H152" s="438">
        <v>0</v>
      </c>
      <c r="I152" s="438">
        <v>1</v>
      </c>
      <c r="J152" s="452">
        <v>58.15</v>
      </c>
      <c r="K152" s="451"/>
      <c r="L152" s="452">
        <v>20.044</v>
      </c>
      <c r="M152" s="436"/>
      <c r="N152" s="438">
        <v>20.044</v>
      </c>
      <c r="O152" s="436" t="s">
        <v>143</v>
      </c>
    </row>
    <row r="153" spans="1:15" ht="15.75" customHeight="1" x14ac:dyDescent="0.2">
      <c r="A153" s="438">
        <v>147</v>
      </c>
      <c r="B153" s="436" t="s">
        <v>706</v>
      </c>
      <c r="C153" s="436" t="s">
        <v>233</v>
      </c>
      <c r="D153" s="436"/>
      <c r="E153" s="681"/>
      <c r="F153" s="438">
        <v>0</v>
      </c>
      <c r="G153" s="438">
        <v>0</v>
      </c>
      <c r="H153" s="438">
        <v>0</v>
      </c>
      <c r="I153" s="438">
        <v>0</v>
      </c>
      <c r="J153" s="452">
        <v>379.65</v>
      </c>
      <c r="K153" s="451"/>
      <c r="L153" s="452">
        <v>287.60700000000003</v>
      </c>
      <c r="M153" s="436"/>
      <c r="N153" s="438">
        <v>287.11399999999998</v>
      </c>
      <c r="O153" s="436" t="s">
        <v>143</v>
      </c>
    </row>
    <row r="154" spans="1:15" ht="15.75" customHeight="1" x14ac:dyDescent="0.2">
      <c r="A154" s="438">
        <v>148</v>
      </c>
      <c r="B154" s="436" t="s">
        <v>707</v>
      </c>
      <c r="C154" s="436" t="s">
        <v>231</v>
      </c>
      <c r="D154" s="436"/>
      <c r="E154" s="681"/>
      <c r="F154" s="438">
        <v>0</v>
      </c>
      <c r="G154" s="438">
        <v>0</v>
      </c>
      <c r="H154" s="438">
        <v>1</v>
      </c>
      <c r="I154" s="438">
        <v>0</v>
      </c>
      <c r="J154" s="452">
        <v>551.81100000000004</v>
      </c>
      <c r="K154" s="451"/>
      <c r="L154" s="452">
        <v>283.02600000000001</v>
      </c>
      <c r="M154" s="436"/>
      <c r="N154" s="436"/>
      <c r="O154" s="436"/>
    </row>
    <row r="155" spans="1:15" ht="15.75" customHeight="1" x14ac:dyDescent="0.2">
      <c r="A155" s="438">
        <v>149</v>
      </c>
      <c r="B155" s="436" t="s">
        <v>708</v>
      </c>
      <c r="C155" s="436" t="s">
        <v>231</v>
      </c>
      <c r="D155" s="436"/>
      <c r="E155" s="681"/>
      <c r="F155" s="438">
        <v>0</v>
      </c>
      <c r="G155" s="438">
        <v>0</v>
      </c>
      <c r="H155" s="438">
        <v>1</v>
      </c>
      <c r="I155" s="438">
        <v>0</v>
      </c>
      <c r="J155" s="452">
        <v>304.834</v>
      </c>
      <c r="K155" s="451"/>
      <c r="L155" s="452">
        <v>114.598</v>
      </c>
      <c r="M155" s="436"/>
      <c r="N155" s="438">
        <v>114.31</v>
      </c>
      <c r="O155" s="436" t="s">
        <v>143</v>
      </c>
    </row>
    <row r="156" spans="1:15" ht="15.75" customHeight="1" x14ac:dyDescent="0.2">
      <c r="A156" s="438">
        <v>150</v>
      </c>
      <c r="B156" s="436" t="s">
        <v>709</v>
      </c>
      <c r="C156" s="436" t="s">
        <v>244</v>
      </c>
      <c r="D156" s="436"/>
      <c r="E156" s="681"/>
      <c r="F156" s="438">
        <v>0</v>
      </c>
      <c r="G156" s="438">
        <v>0</v>
      </c>
      <c r="H156" s="438">
        <v>0</v>
      </c>
      <c r="I156" s="438">
        <v>0</v>
      </c>
      <c r="J156" s="452">
        <v>119.229</v>
      </c>
      <c r="K156" s="451"/>
      <c r="L156" s="452">
        <v>103.624</v>
      </c>
      <c r="M156" s="436"/>
      <c r="N156" s="436">
        <v>103.59</v>
      </c>
      <c r="O156" s="436" t="s">
        <v>143</v>
      </c>
    </row>
    <row r="157" spans="1:15" ht="15.75" customHeight="1" x14ac:dyDescent="0.2">
      <c r="A157" s="438">
        <v>151</v>
      </c>
      <c r="B157" s="436" t="s">
        <v>710</v>
      </c>
      <c r="C157" s="436" t="s">
        <v>231</v>
      </c>
      <c r="D157" s="436"/>
      <c r="E157" s="681"/>
      <c r="F157" s="438">
        <v>0</v>
      </c>
      <c r="G157" s="438">
        <v>0</v>
      </c>
      <c r="H157" s="438">
        <v>1</v>
      </c>
      <c r="I157" s="438">
        <v>0</v>
      </c>
      <c r="J157" s="452">
        <v>74.897000000000006</v>
      </c>
      <c r="K157" s="451"/>
      <c r="L157" s="452">
        <v>10.113</v>
      </c>
      <c r="M157" s="436"/>
      <c r="N157" s="436">
        <v>10.113</v>
      </c>
      <c r="O157" s="436" t="s">
        <v>143</v>
      </c>
    </row>
    <row r="158" spans="1:15" ht="15.75" customHeight="1" x14ac:dyDescent="0.2">
      <c r="A158" s="438">
        <v>152</v>
      </c>
      <c r="B158" s="436" t="s">
        <v>711</v>
      </c>
      <c r="C158" s="436" t="s">
        <v>231</v>
      </c>
      <c r="D158" s="448">
        <v>-1</v>
      </c>
      <c r="E158" s="681"/>
      <c r="F158" s="438">
        <v>0</v>
      </c>
      <c r="G158" s="438">
        <v>0</v>
      </c>
      <c r="H158" s="438">
        <v>0</v>
      </c>
      <c r="I158" s="438">
        <v>0</v>
      </c>
      <c r="J158" s="452">
        <v>73.95</v>
      </c>
      <c r="K158" s="451"/>
      <c r="L158" s="452">
        <v>12.784000000000001</v>
      </c>
      <c r="M158" s="436"/>
      <c r="N158" s="438">
        <v>12.784000000000001</v>
      </c>
      <c r="O158" s="436" t="s">
        <v>143</v>
      </c>
    </row>
    <row r="159" spans="1:15" ht="15.75" customHeight="1" x14ac:dyDescent="0.2">
      <c r="A159" s="438">
        <v>153</v>
      </c>
      <c r="B159" s="441" t="s">
        <v>712</v>
      </c>
      <c r="C159" s="441" t="s">
        <v>244</v>
      </c>
      <c r="D159" s="436"/>
      <c r="E159" s="681"/>
      <c r="F159" s="438">
        <v>0</v>
      </c>
      <c r="G159" s="438">
        <v>0</v>
      </c>
      <c r="H159" s="438">
        <v>3</v>
      </c>
      <c r="I159" s="438">
        <v>3</v>
      </c>
      <c r="J159" s="452">
        <v>474.91699999999997</v>
      </c>
      <c r="K159" s="451"/>
      <c r="L159" s="452">
        <v>226.626</v>
      </c>
      <c r="M159" s="436"/>
      <c r="N159" s="436">
        <v>226.483</v>
      </c>
      <c r="O159" s="436" t="s">
        <v>143</v>
      </c>
    </row>
    <row r="160" spans="1:15" ht="15.75" customHeight="1" x14ac:dyDescent="0.2">
      <c r="A160" s="438">
        <v>154</v>
      </c>
      <c r="B160" s="441" t="s">
        <v>713</v>
      </c>
      <c r="C160" s="441" t="s">
        <v>232</v>
      </c>
      <c r="D160" s="436"/>
      <c r="E160" s="681"/>
      <c r="F160" s="438">
        <v>0</v>
      </c>
      <c r="G160" s="438">
        <v>4</v>
      </c>
      <c r="H160" s="438">
        <v>0</v>
      </c>
      <c r="I160" s="438">
        <v>0</v>
      </c>
      <c r="J160" s="452">
        <v>95.516999999999996</v>
      </c>
      <c r="K160" s="451"/>
      <c r="L160" s="452">
        <v>20.215</v>
      </c>
      <c r="M160" s="436"/>
      <c r="N160" s="436">
        <v>20.215</v>
      </c>
      <c r="O160" s="436" t="s">
        <v>143</v>
      </c>
    </row>
    <row r="161" spans="1:15" ht="15.75" customHeight="1" x14ac:dyDescent="0.2">
      <c r="A161" s="438">
        <v>155</v>
      </c>
      <c r="B161" s="441" t="s">
        <v>714</v>
      </c>
      <c r="C161" s="441" t="s">
        <v>232</v>
      </c>
      <c r="D161" s="436"/>
      <c r="E161" s="681"/>
      <c r="F161" s="438">
        <v>0</v>
      </c>
      <c r="G161" s="438">
        <v>0</v>
      </c>
      <c r="H161" s="438">
        <v>0</v>
      </c>
      <c r="I161" s="438">
        <v>3</v>
      </c>
      <c r="J161" s="452">
        <v>74.466999999999999</v>
      </c>
      <c r="K161" s="451"/>
      <c r="L161" s="451">
        <v>56.534999999999997</v>
      </c>
      <c r="M161" s="436"/>
      <c r="N161" s="436">
        <v>56.468000000000004</v>
      </c>
      <c r="O161" s="436" t="s">
        <v>143</v>
      </c>
    </row>
    <row r="162" spans="1:15" ht="15.75" customHeight="1" x14ac:dyDescent="0.2">
      <c r="A162" s="438">
        <v>156</v>
      </c>
      <c r="B162" s="441" t="s">
        <v>715</v>
      </c>
      <c r="C162" s="441" t="s">
        <v>233</v>
      </c>
      <c r="D162" s="436"/>
      <c r="E162" s="681">
        <v>3</v>
      </c>
      <c r="F162" s="438">
        <v>4</v>
      </c>
      <c r="G162" s="438">
        <v>3</v>
      </c>
      <c r="H162" s="438">
        <v>3</v>
      </c>
      <c r="I162" s="438">
        <v>3</v>
      </c>
      <c r="J162" s="452">
        <v>54.25</v>
      </c>
      <c r="K162" s="451"/>
      <c r="L162" s="451">
        <v>21.459</v>
      </c>
      <c r="M162" s="436"/>
      <c r="N162" s="436">
        <v>21.459</v>
      </c>
      <c r="O162" s="436" t="s">
        <v>143</v>
      </c>
    </row>
    <row r="163" spans="1:15" ht="15.75" customHeight="1" x14ac:dyDescent="0.2">
      <c r="A163" s="438">
        <v>157</v>
      </c>
      <c r="B163" s="441" t="s">
        <v>716</v>
      </c>
      <c r="C163" s="441" t="s">
        <v>233</v>
      </c>
      <c r="D163" s="436"/>
      <c r="E163" s="681"/>
      <c r="F163" s="438">
        <v>2</v>
      </c>
      <c r="G163" s="438">
        <v>2</v>
      </c>
      <c r="H163" s="438">
        <v>0</v>
      </c>
      <c r="I163" s="438">
        <v>0</v>
      </c>
      <c r="J163" s="452">
        <v>35.517000000000003</v>
      </c>
      <c r="K163" s="451"/>
      <c r="L163" s="451">
        <v>14.371</v>
      </c>
      <c r="M163" s="436"/>
      <c r="N163" s="436">
        <v>14.371</v>
      </c>
      <c r="O163" s="436" t="s">
        <v>143</v>
      </c>
    </row>
    <row r="164" spans="1:15" ht="15.75" customHeight="1" x14ac:dyDescent="0.2">
      <c r="A164" s="438">
        <v>158</v>
      </c>
      <c r="B164" s="441" t="s">
        <v>717</v>
      </c>
      <c r="C164" s="441" t="s">
        <v>233</v>
      </c>
      <c r="D164" s="436"/>
      <c r="E164" s="681"/>
      <c r="F164" s="438">
        <v>0</v>
      </c>
      <c r="G164" s="438">
        <v>0</v>
      </c>
      <c r="H164" s="438">
        <v>0</v>
      </c>
      <c r="I164" s="438">
        <v>1</v>
      </c>
      <c r="J164" s="452">
        <v>269.16699999999997</v>
      </c>
      <c r="K164" s="451"/>
      <c r="L164" s="451">
        <v>177.797</v>
      </c>
      <c r="M164" s="436"/>
      <c r="N164" s="436">
        <v>177.04499999999999</v>
      </c>
      <c r="O164" s="436" t="s">
        <v>143</v>
      </c>
    </row>
    <row r="165" spans="1:15" ht="15.75" customHeight="1" x14ac:dyDescent="0.2">
      <c r="A165" s="438">
        <v>159</v>
      </c>
      <c r="B165" s="441" t="s">
        <v>718</v>
      </c>
      <c r="C165" s="441" t="s">
        <v>232</v>
      </c>
      <c r="D165" s="436"/>
      <c r="E165" s="681"/>
      <c r="F165" s="438">
        <v>0</v>
      </c>
      <c r="G165" s="438">
        <v>0</v>
      </c>
      <c r="H165" s="438">
        <v>0</v>
      </c>
      <c r="I165" s="438">
        <v>0</v>
      </c>
      <c r="J165" s="452">
        <v>343.483</v>
      </c>
      <c r="K165" s="451"/>
      <c r="L165" s="451">
        <v>239.93600000000001</v>
      </c>
      <c r="M165" s="436"/>
      <c r="N165" s="436">
        <v>236.82400000000001</v>
      </c>
      <c r="O165" s="436" t="s">
        <v>143</v>
      </c>
    </row>
    <row r="166" spans="1:15" ht="15.75" customHeight="1" x14ac:dyDescent="0.2">
      <c r="A166" s="438">
        <v>160</v>
      </c>
      <c r="B166" s="441" t="s">
        <v>719</v>
      </c>
      <c r="C166" s="441" t="s">
        <v>20</v>
      </c>
      <c r="D166" s="436"/>
      <c r="E166" s="681"/>
      <c r="F166" s="438">
        <v>0</v>
      </c>
      <c r="G166" s="438">
        <v>3</v>
      </c>
      <c r="H166" s="438">
        <v>1</v>
      </c>
      <c r="I166" s="438">
        <v>0</v>
      </c>
      <c r="J166" s="452">
        <v>464.31700000000001</v>
      </c>
      <c r="K166" s="451"/>
      <c r="L166" s="451">
        <v>306.37200000000001</v>
      </c>
      <c r="M166" s="436"/>
      <c r="N166" s="436">
        <v>305.29199999999997</v>
      </c>
      <c r="O166" s="436" t="s">
        <v>143</v>
      </c>
    </row>
    <row r="167" spans="1:15" ht="15.75" customHeight="1" x14ac:dyDescent="0.2">
      <c r="A167" s="438">
        <v>161</v>
      </c>
      <c r="B167" s="441" t="s">
        <v>720</v>
      </c>
      <c r="C167" s="441" t="s">
        <v>232</v>
      </c>
      <c r="D167" s="436"/>
      <c r="E167" s="681"/>
      <c r="F167" s="438">
        <v>0</v>
      </c>
      <c r="G167" s="438">
        <v>0</v>
      </c>
      <c r="H167" s="438">
        <v>0</v>
      </c>
      <c r="I167" s="438">
        <v>0</v>
      </c>
      <c r="J167" s="452">
        <v>644.71699999999998</v>
      </c>
      <c r="K167" s="451"/>
      <c r="L167" s="451">
        <v>582.59900000000005</v>
      </c>
      <c r="M167" s="436"/>
      <c r="N167" s="436">
        <v>579.56700000000001</v>
      </c>
      <c r="O167" s="436" t="s">
        <v>143</v>
      </c>
    </row>
    <row r="168" spans="1:15" ht="15" customHeight="1" x14ac:dyDescent="0.2">
      <c r="A168" s="438">
        <v>162</v>
      </c>
      <c r="B168" s="441" t="s">
        <v>721</v>
      </c>
      <c r="C168" s="441" t="s">
        <v>20</v>
      </c>
      <c r="D168" s="436"/>
      <c r="E168" s="681"/>
      <c r="F168" s="438">
        <v>0</v>
      </c>
      <c r="G168" s="438">
        <v>0</v>
      </c>
      <c r="H168" s="438">
        <v>0</v>
      </c>
      <c r="I168" s="438">
        <v>0</v>
      </c>
      <c r="J168" s="452">
        <v>192.43299999999999</v>
      </c>
      <c r="K168" s="451"/>
      <c r="L168" s="451">
        <v>139.02799999999999</v>
      </c>
      <c r="M168" s="436"/>
      <c r="N168" s="436">
        <v>139.11600000000001</v>
      </c>
      <c r="O168" s="436" t="s">
        <v>143</v>
      </c>
    </row>
    <row r="169" spans="1:15" ht="15" customHeight="1" x14ac:dyDescent="0.2">
      <c r="A169" s="438">
        <v>163</v>
      </c>
      <c r="B169" s="441" t="s">
        <v>722</v>
      </c>
      <c r="C169" s="441" t="s">
        <v>233</v>
      </c>
      <c r="D169" s="436"/>
      <c r="E169" s="681">
        <v>1</v>
      </c>
      <c r="F169" s="438">
        <v>1</v>
      </c>
      <c r="G169" s="438">
        <v>2</v>
      </c>
      <c r="H169" s="438">
        <v>1</v>
      </c>
      <c r="I169" s="438">
        <v>1</v>
      </c>
      <c r="J169" s="452">
        <v>270.56700000000001</v>
      </c>
      <c r="K169" s="451"/>
      <c r="L169" s="451">
        <v>123.839</v>
      </c>
      <c r="M169" s="436"/>
      <c r="N169" s="436">
        <v>122.33499999999999</v>
      </c>
      <c r="O169" s="436" t="s">
        <v>143</v>
      </c>
    </row>
    <row r="170" spans="1:15" ht="15" customHeight="1" x14ac:dyDescent="0.2">
      <c r="A170" s="438">
        <v>164</v>
      </c>
      <c r="B170" s="441" t="s">
        <v>723</v>
      </c>
      <c r="C170" s="441" t="s">
        <v>241</v>
      </c>
      <c r="D170" s="436"/>
      <c r="E170" s="681">
        <v>4</v>
      </c>
      <c r="F170" s="438">
        <v>4</v>
      </c>
      <c r="G170" s="438">
        <v>4</v>
      </c>
      <c r="H170" s="438">
        <v>4</v>
      </c>
      <c r="I170" s="438">
        <v>4</v>
      </c>
      <c r="J170" s="452">
        <v>102.651</v>
      </c>
      <c r="K170" s="451"/>
      <c r="L170" s="451">
        <v>342.89</v>
      </c>
      <c r="M170" s="436"/>
      <c r="N170" s="438">
        <v>342.82299999999998</v>
      </c>
      <c r="O170" s="436" t="s">
        <v>143</v>
      </c>
    </row>
    <row r="171" spans="1:15" ht="15" customHeight="1" x14ac:dyDescent="0.2">
      <c r="A171" s="438">
        <v>165</v>
      </c>
      <c r="B171" s="441" t="s">
        <v>724</v>
      </c>
      <c r="C171" s="441" t="s">
        <v>233</v>
      </c>
      <c r="D171" s="436"/>
      <c r="E171" s="681">
        <v>4</v>
      </c>
      <c r="F171" s="438">
        <v>4</v>
      </c>
      <c r="G171" s="438">
        <v>4</v>
      </c>
      <c r="H171" s="438">
        <v>4</v>
      </c>
      <c r="I171" s="438">
        <v>4</v>
      </c>
      <c r="J171" s="452">
        <v>511.767</v>
      </c>
      <c r="K171" s="451"/>
      <c r="L171" s="451">
        <v>302.87400000000002</v>
      </c>
      <c r="M171" s="436"/>
      <c r="N171" s="438">
        <v>302.55399999999997</v>
      </c>
      <c r="O171" s="436" t="s">
        <v>143</v>
      </c>
    </row>
    <row r="172" spans="1:15" ht="15" customHeight="1" x14ac:dyDescent="0.2">
      <c r="A172" s="438">
        <v>166</v>
      </c>
      <c r="B172" s="441" t="s">
        <v>725</v>
      </c>
      <c r="C172" s="441" t="s">
        <v>231</v>
      </c>
      <c r="D172" s="436"/>
      <c r="E172" s="681"/>
      <c r="F172" s="438">
        <v>0</v>
      </c>
      <c r="G172" s="438">
        <v>0</v>
      </c>
      <c r="H172" s="438">
        <v>0</v>
      </c>
      <c r="I172" s="438">
        <v>2</v>
      </c>
      <c r="J172" s="452">
        <v>121.063</v>
      </c>
      <c r="K172" s="451"/>
      <c r="L172" s="451">
        <v>38.768000000000001</v>
      </c>
      <c r="M172" s="436"/>
      <c r="N172" s="436">
        <v>38.755000000000003</v>
      </c>
      <c r="O172" s="436" t="s">
        <v>143</v>
      </c>
    </row>
    <row r="173" spans="1:15" ht="15" customHeight="1" x14ac:dyDescent="0.2">
      <c r="A173" s="438">
        <v>167</v>
      </c>
      <c r="B173" s="441" t="s">
        <v>726</v>
      </c>
      <c r="C173" s="441" t="s">
        <v>233</v>
      </c>
      <c r="D173" s="436"/>
      <c r="E173" s="681"/>
      <c r="F173" s="438">
        <v>0</v>
      </c>
      <c r="G173" s="438">
        <v>4</v>
      </c>
      <c r="H173" s="438">
        <v>1</v>
      </c>
      <c r="I173" s="438">
        <v>0</v>
      </c>
      <c r="J173" s="452">
        <v>454.92700000000002</v>
      </c>
      <c r="K173" s="451"/>
      <c r="L173" s="451">
        <v>204.81299999999999</v>
      </c>
      <c r="M173" s="436"/>
      <c r="N173" s="438">
        <v>204.74299999999999</v>
      </c>
      <c r="O173" s="436" t="s">
        <v>143</v>
      </c>
    </row>
    <row r="174" spans="1:15" ht="15" customHeight="1" x14ac:dyDescent="0.2">
      <c r="A174" s="438">
        <v>168</v>
      </c>
      <c r="B174" s="441" t="s">
        <v>727</v>
      </c>
      <c r="C174" s="441" t="s">
        <v>231</v>
      </c>
      <c r="D174" s="436"/>
      <c r="E174" s="681"/>
      <c r="F174" s="438">
        <v>0</v>
      </c>
      <c r="G174" s="438">
        <v>2</v>
      </c>
      <c r="H174" s="438">
        <v>1</v>
      </c>
      <c r="I174" s="438">
        <v>0</v>
      </c>
      <c r="J174" s="452">
        <v>686.16</v>
      </c>
      <c r="K174" s="451"/>
      <c r="L174" s="451">
        <v>280.64499999999998</v>
      </c>
      <c r="M174" s="436"/>
      <c r="N174" s="438">
        <v>280.48500000000001</v>
      </c>
      <c r="O174" s="436" t="s">
        <v>143</v>
      </c>
    </row>
    <row r="175" spans="1:15" ht="15" customHeight="1" x14ac:dyDescent="0.2">
      <c r="A175" s="438">
        <v>169</v>
      </c>
      <c r="B175" s="441" t="s">
        <v>728</v>
      </c>
      <c r="C175" s="441" t="s">
        <v>20</v>
      </c>
      <c r="D175" s="436"/>
      <c r="E175" s="681"/>
      <c r="F175" s="438">
        <v>0</v>
      </c>
      <c r="G175" s="438">
        <v>0</v>
      </c>
      <c r="H175" s="438">
        <v>0</v>
      </c>
      <c r="I175" s="438">
        <v>0</v>
      </c>
      <c r="J175" s="452">
        <v>104.9</v>
      </c>
      <c r="K175" s="451"/>
      <c r="L175" s="451">
        <v>76.75</v>
      </c>
      <c r="M175" s="436"/>
      <c r="N175" s="438">
        <v>76.510000000000005</v>
      </c>
      <c r="O175" s="436" t="s">
        <v>143</v>
      </c>
    </row>
    <row r="176" spans="1:15" ht="15" customHeight="1" x14ac:dyDescent="0.2">
      <c r="A176" s="438">
        <v>170</v>
      </c>
      <c r="B176" s="441" t="s">
        <v>729</v>
      </c>
      <c r="C176" s="441" t="s">
        <v>232</v>
      </c>
      <c r="D176" s="436"/>
      <c r="E176" s="681"/>
      <c r="F176" s="438">
        <v>1</v>
      </c>
      <c r="G176" s="438">
        <v>1</v>
      </c>
      <c r="H176" s="438">
        <v>3</v>
      </c>
      <c r="I176" s="438">
        <v>1</v>
      </c>
      <c r="J176" s="452">
        <v>111.483</v>
      </c>
      <c r="K176" s="451"/>
      <c r="L176" s="451">
        <v>14.573</v>
      </c>
      <c r="M176" s="436"/>
      <c r="N176" s="438">
        <v>14.573</v>
      </c>
      <c r="O176" s="436" t="s">
        <v>143</v>
      </c>
    </row>
    <row r="177" spans="1:15" ht="15" customHeight="1" x14ac:dyDescent="0.2">
      <c r="A177" s="438">
        <v>171</v>
      </c>
      <c r="B177" s="441" t="s">
        <v>730</v>
      </c>
      <c r="C177" s="441" t="s">
        <v>231</v>
      </c>
      <c r="D177" s="436"/>
      <c r="E177" s="681"/>
      <c r="F177" s="438">
        <v>0</v>
      </c>
      <c r="G177" s="438">
        <v>0</v>
      </c>
      <c r="H177" s="438">
        <v>0</v>
      </c>
      <c r="I177" s="438">
        <v>0</v>
      </c>
      <c r="J177" s="452">
        <v>245.53700000000001</v>
      </c>
      <c r="K177" s="451"/>
      <c r="L177" s="451">
        <v>112.464</v>
      </c>
      <c r="M177" s="436"/>
      <c r="N177" s="436">
        <v>112.304</v>
      </c>
      <c r="O177" s="436" t="s">
        <v>143</v>
      </c>
    </row>
    <row r="178" spans="1:15" ht="15" customHeight="1" x14ac:dyDescent="0.2">
      <c r="A178" s="438">
        <v>172</v>
      </c>
      <c r="B178" s="441" t="s">
        <v>731</v>
      </c>
      <c r="C178" s="441" t="s">
        <v>233</v>
      </c>
      <c r="D178" s="436"/>
      <c r="E178" s="681">
        <v>0</v>
      </c>
      <c r="F178" s="438">
        <v>0</v>
      </c>
      <c r="G178" s="438">
        <v>0</v>
      </c>
      <c r="H178" s="438">
        <v>0</v>
      </c>
      <c r="I178" s="438">
        <v>0</v>
      </c>
      <c r="J178" s="452">
        <v>326.55</v>
      </c>
      <c r="K178" s="451"/>
      <c r="L178" s="451">
        <v>334.12299999999999</v>
      </c>
      <c r="M178" s="436"/>
      <c r="N178" s="436">
        <v>333.95100000000002</v>
      </c>
      <c r="O178" s="436" t="s">
        <v>143</v>
      </c>
    </row>
    <row r="179" spans="1:15" ht="15" customHeight="1" x14ac:dyDescent="0.2">
      <c r="A179" s="438">
        <v>173</v>
      </c>
      <c r="B179" s="441" t="s">
        <v>732</v>
      </c>
      <c r="C179" s="441" t="s">
        <v>246</v>
      </c>
      <c r="D179" s="436"/>
      <c r="E179" s="681"/>
      <c r="F179" s="438">
        <v>0</v>
      </c>
      <c r="G179" s="438">
        <v>0</v>
      </c>
      <c r="H179" s="438">
        <v>0</v>
      </c>
      <c r="I179" s="438">
        <v>0</v>
      </c>
      <c r="J179" s="452">
        <v>400.8</v>
      </c>
      <c r="K179" s="451"/>
      <c r="L179" s="451">
        <v>293.96699999999998</v>
      </c>
      <c r="M179" s="436"/>
      <c r="N179" s="436">
        <v>293.89999999999998</v>
      </c>
      <c r="O179" s="436" t="s">
        <v>143</v>
      </c>
    </row>
    <row r="180" spans="1:15" ht="15" customHeight="1" x14ac:dyDescent="0.2">
      <c r="A180" s="438">
        <v>174</v>
      </c>
      <c r="B180" s="441" t="s">
        <v>733</v>
      </c>
      <c r="C180" s="441" t="s">
        <v>233</v>
      </c>
      <c r="D180" s="436"/>
      <c r="E180" s="681"/>
      <c r="F180" s="438">
        <v>1</v>
      </c>
      <c r="G180" s="438">
        <v>1</v>
      </c>
      <c r="H180" s="438">
        <v>0</v>
      </c>
      <c r="I180" s="438">
        <v>0</v>
      </c>
      <c r="J180" s="452">
        <v>74.400000000000006</v>
      </c>
      <c r="K180" s="451"/>
      <c r="L180" s="451">
        <v>17.753</v>
      </c>
      <c r="M180" s="436"/>
      <c r="N180" s="436">
        <v>17.753</v>
      </c>
      <c r="O180" s="436" t="s">
        <v>143</v>
      </c>
    </row>
    <row r="181" spans="1:15" ht="15" customHeight="1" x14ac:dyDescent="0.2">
      <c r="A181" s="438">
        <v>175</v>
      </c>
      <c r="B181" s="441" t="s">
        <v>734</v>
      </c>
      <c r="C181" s="441" t="s">
        <v>20</v>
      </c>
      <c r="D181" s="436"/>
      <c r="E181" s="681"/>
      <c r="F181" s="438">
        <v>0</v>
      </c>
      <c r="G181" s="438">
        <v>0</v>
      </c>
      <c r="H181" s="438">
        <v>0</v>
      </c>
      <c r="I181" s="438">
        <v>0</v>
      </c>
      <c r="J181" s="452">
        <v>105.35</v>
      </c>
      <c r="K181" s="451"/>
      <c r="L181" s="451">
        <v>63.16</v>
      </c>
      <c r="M181" s="436"/>
      <c r="N181" s="436">
        <v>63.14</v>
      </c>
      <c r="O181" s="436" t="s">
        <v>143</v>
      </c>
    </row>
    <row r="182" spans="1:15" ht="15" customHeight="1" x14ac:dyDescent="0.2">
      <c r="A182" s="438">
        <v>176</v>
      </c>
      <c r="B182" s="441" t="s">
        <v>735</v>
      </c>
      <c r="C182" s="441" t="s">
        <v>232</v>
      </c>
      <c r="D182" s="436"/>
      <c r="E182" s="681"/>
      <c r="F182" s="438">
        <v>0</v>
      </c>
      <c r="G182" s="438">
        <v>2</v>
      </c>
      <c r="H182" s="438">
        <v>0</v>
      </c>
      <c r="I182" s="438">
        <v>0</v>
      </c>
      <c r="J182" s="452">
        <v>106.517</v>
      </c>
      <c r="K182" s="451"/>
      <c r="L182" s="451">
        <v>71.292000000000002</v>
      </c>
      <c r="M182" s="436"/>
      <c r="N182" s="438">
        <v>71.275000000000006</v>
      </c>
      <c r="O182" s="436" t="s">
        <v>143</v>
      </c>
    </row>
    <row r="183" spans="1:15" ht="15" customHeight="1" x14ac:dyDescent="0.2">
      <c r="A183" s="438">
        <v>177</v>
      </c>
      <c r="B183" s="441" t="s">
        <v>736</v>
      </c>
      <c r="C183" s="441" t="s">
        <v>233</v>
      </c>
      <c r="D183" s="436"/>
      <c r="E183" s="681">
        <v>0</v>
      </c>
      <c r="F183" s="438">
        <v>1</v>
      </c>
      <c r="G183" s="438">
        <v>2</v>
      </c>
      <c r="H183" s="438">
        <v>0</v>
      </c>
      <c r="I183" s="438">
        <v>0</v>
      </c>
      <c r="J183" s="452">
        <v>264</v>
      </c>
      <c r="K183" s="451"/>
      <c r="L183" s="451">
        <v>131.15600000000001</v>
      </c>
      <c r="M183" s="436"/>
      <c r="N183" s="438">
        <v>283.70600000000002</v>
      </c>
      <c r="O183" s="436" t="s">
        <v>143</v>
      </c>
    </row>
    <row r="184" spans="1:15" ht="15" customHeight="1" x14ac:dyDescent="0.2">
      <c r="A184" s="438">
        <v>178</v>
      </c>
      <c r="B184" s="441" t="s">
        <v>737</v>
      </c>
      <c r="C184" s="441" t="s">
        <v>233</v>
      </c>
      <c r="D184" s="436"/>
      <c r="E184" s="681">
        <v>1</v>
      </c>
      <c r="F184" s="438">
        <v>1</v>
      </c>
      <c r="G184" s="438">
        <v>3</v>
      </c>
      <c r="H184" s="438">
        <v>3</v>
      </c>
      <c r="I184" s="438">
        <v>1</v>
      </c>
      <c r="J184" s="452">
        <v>210.2</v>
      </c>
      <c r="K184" s="451"/>
      <c r="L184" s="451">
        <v>91.403000000000006</v>
      </c>
      <c r="M184" s="436"/>
      <c r="N184" s="436">
        <v>91.344999999999999</v>
      </c>
      <c r="O184" s="436" t="s">
        <v>143</v>
      </c>
    </row>
    <row r="185" spans="1:15" ht="15" customHeight="1" x14ac:dyDescent="0.2">
      <c r="A185" s="438">
        <v>179</v>
      </c>
      <c r="B185" s="441" t="s">
        <v>738</v>
      </c>
      <c r="C185" s="441" t="s">
        <v>246</v>
      </c>
      <c r="D185" s="436"/>
      <c r="E185" s="681"/>
      <c r="F185" s="438">
        <v>0</v>
      </c>
      <c r="G185" s="438">
        <v>1</v>
      </c>
      <c r="H185" s="438">
        <v>1</v>
      </c>
      <c r="I185" s="438">
        <v>0</v>
      </c>
      <c r="J185" s="452">
        <v>375.87400000000002</v>
      </c>
      <c r="K185" s="451"/>
      <c r="L185" s="451">
        <v>244.465</v>
      </c>
      <c r="M185" s="436"/>
      <c r="N185" s="436">
        <v>244.01499999999999</v>
      </c>
      <c r="O185" s="436" t="s">
        <v>143</v>
      </c>
    </row>
    <row r="186" spans="1:15" ht="15" customHeight="1" x14ac:dyDescent="0.2">
      <c r="A186" s="438">
        <v>180</v>
      </c>
      <c r="B186" s="441" t="s">
        <v>742</v>
      </c>
      <c r="C186" s="441" t="s">
        <v>231</v>
      </c>
      <c r="D186" s="436"/>
      <c r="E186" s="681"/>
      <c r="F186" s="438">
        <v>0</v>
      </c>
      <c r="G186" s="438">
        <v>0</v>
      </c>
      <c r="H186" s="438">
        <v>0</v>
      </c>
      <c r="I186" s="438">
        <v>1</v>
      </c>
      <c r="J186" s="452">
        <v>248.17699999999999</v>
      </c>
      <c r="K186" s="451"/>
      <c r="L186" s="451">
        <v>98.757000000000005</v>
      </c>
      <c r="M186" s="436"/>
      <c r="N186" s="436">
        <v>96.581000000000003</v>
      </c>
      <c r="O186" s="436" t="s">
        <v>143</v>
      </c>
    </row>
    <row r="187" spans="1:15" ht="15" customHeight="1" x14ac:dyDescent="0.2">
      <c r="A187" s="438">
        <v>181</v>
      </c>
      <c r="B187" s="441" t="s">
        <v>743</v>
      </c>
      <c r="C187" s="441" t="s">
        <v>231</v>
      </c>
      <c r="D187" s="436"/>
      <c r="E187" s="681"/>
      <c r="F187" s="438">
        <v>0</v>
      </c>
      <c r="G187" s="438">
        <v>0</v>
      </c>
      <c r="H187" s="438">
        <v>1</v>
      </c>
      <c r="I187" s="438">
        <v>3</v>
      </c>
      <c r="J187" s="452">
        <v>674.16</v>
      </c>
      <c r="K187" s="451"/>
      <c r="L187" s="451">
        <v>250.709</v>
      </c>
      <c r="M187" s="436"/>
      <c r="N187" s="436">
        <v>249.90899999999999</v>
      </c>
      <c r="O187" s="436" t="s">
        <v>143</v>
      </c>
    </row>
    <row r="188" spans="1:15" ht="15" customHeight="1" x14ac:dyDescent="0.2">
      <c r="A188" s="438">
        <v>182</v>
      </c>
      <c r="B188" s="441" t="s">
        <v>744</v>
      </c>
      <c r="C188" s="441" t="s">
        <v>231</v>
      </c>
      <c r="D188" s="436"/>
      <c r="E188" s="681"/>
      <c r="F188" s="438">
        <v>0</v>
      </c>
      <c r="G188" s="438">
        <v>0</v>
      </c>
      <c r="H188" s="438">
        <v>1</v>
      </c>
      <c r="I188" s="438">
        <v>2</v>
      </c>
      <c r="J188" s="452">
        <v>100.95399999999999</v>
      </c>
      <c r="K188" s="451"/>
      <c r="L188" s="451">
        <v>24.027000000000001</v>
      </c>
      <c r="M188" s="436"/>
      <c r="N188" s="436">
        <v>24.027000000000001</v>
      </c>
      <c r="O188" s="436" t="s">
        <v>143</v>
      </c>
    </row>
    <row r="189" spans="1:15" ht="15" customHeight="1" x14ac:dyDescent="0.2">
      <c r="A189" s="438">
        <v>183</v>
      </c>
      <c r="B189" s="441" t="s">
        <v>745</v>
      </c>
      <c r="C189" s="441" t="s">
        <v>231</v>
      </c>
      <c r="D189" s="436"/>
      <c r="E189" s="681"/>
      <c r="F189" s="438">
        <v>0</v>
      </c>
      <c r="G189" s="438">
        <v>0</v>
      </c>
      <c r="H189" s="438">
        <v>1</v>
      </c>
      <c r="I189" s="438">
        <v>0</v>
      </c>
      <c r="J189" s="452">
        <v>551.12599999999998</v>
      </c>
      <c r="K189" s="451"/>
      <c r="L189" s="451">
        <v>317.51799999999997</v>
      </c>
      <c r="M189" s="436"/>
      <c r="N189" s="436">
        <v>316.72000000000003</v>
      </c>
      <c r="O189" s="436" t="s">
        <v>143</v>
      </c>
    </row>
    <row r="190" spans="1:15" ht="15" customHeight="1" x14ac:dyDescent="0.2">
      <c r="A190" s="438">
        <v>184</v>
      </c>
      <c r="B190" s="441" t="s">
        <v>746</v>
      </c>
      <c r="C190" s="441" t="s">
        <v>233</v>
      </c>
      <c r="D190" s="436"/>
      <c r="E190" s="681"/>
      <c r="F190" s="438">
        <v>0</v>
      </c>
      <c r="G190" s="438">
        <v>0</v>
      </c>
      <c r="H190" s="438">
        <v>1</v>
      </c>
      <c r="I190" s="438">
        <v>0</v>
      </c>
      <c r="J190" s="452">
        <v>480.28300000000002</v>
      </c>
      <c r="K190" s="451"/>
      <c r="L190" s="451">
        <v>241.51</v>
      </c>
      <c r="M190" s="436"/>
      <c r="N190" s="438">
        <v>136.28800000000001</v>
      </c>
      <c r="O190" s="436" t="s">
        <v>143</v>
      </c>
    </row>
    <row r="191" spans="1:15" ht="15" customHeight="1" x14ac:dyDescent="0.2">
      <c r="A191" s="438">
        <v>185</v>
      </c>
      <c r="B191" s="441" t="s">
        <v>93</v>
      </c>
      <c r="C191" s="441" t="s">
        <v>357</v>
      </c>
      <c r="D191" s="436"/>
      <c r="E191" s="681">
        <v>4</v>
      </c>
      <c r="F191" s="438">
        <v>4</v>
      </c>
      <c r="G191" s="438">
        <v>6</v>
      </c>
      <c r="H191" s="438">
        <v>4</v>
      </c>
      <c r="I191" s="438">
        <v>4</v>
      </c>
      <c r="J191" s="452">
        <v>454.56200000000001</v>
      </c>
      <c r="K191" s="451"/>
      <c r="L191" s="451">
        <v>387.42500000000001</v>
      </c>
      <c r="M191" s="436"/>
      <c r="N191" s="436"/>
      <c r="O191" s="436"/>
    </row>
    <row r="192" spans="1:15" ht="15" customHeight="1" x14ac:dyDescent="0.2">
      <c r="A192" s="438">
        <v>186</v>
      </c>
      <c r="B192" s="441" t="s">
        <v>94</v>
      </c>
      <c r="C192" s="441" t="s">
        <v>357</v>
      </c>
      <c r="D192" s="436"/>
      <c r="E192" s="681">
        <v>0</v>
      </c>
      <c r="F192" s="438">
        <v>0</v>
      </c>
      <c r="G192" s="438">
        <v>1</v>
      </c>
      <c r="H192" s="438">
        <v>1</v>
      </c>
      <c r="I192" s="438">
        <v>0</v>
      </c>
      <c r="J192" s="452">
        <v>715.03200000000004</v>
      </c>
      <c r="K192" s="451"/>
      <c r="L192" s="451">
        <v>562.65099999999995</v>
      </c>
      <c r="M192" s="436"/>
      <c r="N192" s="438">
        <v>742.69500000000005</v>
      </c>
      <c r="O192" s="436" t="s">
        <v>143</v>
      </c>
    </row>
    <row r="193" spans="1:15" ht="15" customHeight="1" x14ac:dyDescent="0.2">
      <c r="A193" s="438">
        <v>187</v>
      </c>
      <c r="B193" s="441" t="s">
        <v>747</v>
      </c>
      <c r="C193" s="441" t="s">
        <v>20</v>
      </c>
      <c r="D193" s="436"/>
      <c r="E193" s="448"/>
      <c r="F193" s="438">
        <v>0</v>
      </c>
      <c r="G193" s="438">
        <v>0</v>
      </c>
      <c r="H193" s="438">
        <v>0</v>
      </c>
      <c r="I193" s="438">
        <v>0</v>
      </c>
      <c r="J193" s="452">
        <v>38.65</v>
      </c>
      <c r="K193" s="451"/>
      <c r="L193" s="451">
        <v>24.155000000000001</v>
      </c>
      <c r="M193" s="436"/>
      <c r="N193" s="436"/>
      <c r="O193" s="436"/>
    </row>
    <row r="194" spans="1:15" ht="15" customHeight="1" x14ac:dyDescent="0.2">
      <c r="A194" s="438">
        <v>188</v>
      </c>
      <c r="B194" s="441" t="s">
        <v>748</v>
      </c>
      <c r="C194" s="441" t="s">
        <v>20</v>
      </c>
      <c r="D194" s="436"/>
      <c r="E194" s="448"/>
      <c r="F194" s="438">
        <v>0</v>
      </c>
      <c r="G194" s="438">
        <v>0</v>
      </c>
      <c r="H194" s="438">
        <v>0</v>
      </c>
      <c r="I194" s="438">
        <v>0</v>
      </c>
      <c r="J194" s="452">
        <v>64.033000000000001</v>
      </c>
      <c r="K194" s="451"/>
      <c r="L194" s="451">
        <v>20.988</v>
      </c>
      <c r="M194" s="436"/>
      <c r="N194" s="438">
        <v>20.988</v>
      </c>
      <c r="O194" s="436" t="s">
        <v>1262</v>
      </c>
    </row>
    <row r="195" spans="1:15" ht="15" customHeight="1" x14ac:dyDescent="0.2">
      <c r="A195" s="438">
        <v>189</v>
      </c>
      <c r="B195" s="441" t="s">
        <v>749</v>
      </c>
      <c r="C195" s="441" t="s">
        <v>231</v>
      </c>
      <c r="D195" s="436"/>
      <c r="E195" s="448"/>
      <c r="F195" s="438">
        <v>0</v>
      </c>
      <c r="G195" s="438">
        <v>0</v>
      </c>
      <c r="H195" s="438">
        <v>0</v>
      </c>
      <c r="I195" s="438">
        <v>0</v>
      </c>
      <c r="J195" s="452">
        <v>91.063000000000002</v>
      </c>
      <c r="K195" s="451"/>
      <c r="L195" s="451">
        <v>39.024000000000001</v>
      </c>
      <c r="M195" s="436"/>
      <c r="N195" s="438">
        <v>39.024000000000001</v>
      </c>
      <c r="O195" s="436" t="s">
        <v>1262</v>
      </c>
    </row>
    <row r="196" spans="1:15" ht="15" customHeight="1" x14ac:dyDescent="0.2">
      <c r="A196" s="438">
        <v>190</v>
      </c>
      <c r="B196" s="441" t="s">
        <v>750</v>
      </c>
      <c r="C196" s="441" t="s">
        <v>231</v>
      </c>
      <c r="D196" s="436"/>
      <c r="E196" s="448"/>
      <c r="F196" s="438">
        <v>0</v>
      </c>
      <c r="G196" s="438">
        <v>0</v>
      </c>
      <c r="H196" s="438">
        <v>0</v>
      </c>
      <c r="I196" s="438">
        <v>0</v>
      </c>
      <c r="J196" s="452">
        <v>165.446</v>
      </c>
      <c r="K196" s="451"/>
      <c r="L196" s="451">
        <v>77.471999999999994</v>
      </c>
      <c r="M196" s="436"/>
      <c r="N196" s="438">
        <v>77.408000000000001</v>
      </c>
      <c r="O196" s="436" t="s">
        <v>1263</v>
      </c>
    </row>
    <row r="197" spans="1:15" ht="15" customHeight="1" x14ac:dyDescent="0.2">
      <c r="A197" s="438">
        <v>191</v>
      </c>
      <c r="B197" s="441" t="s">
        <v>751</v>
      </c>
      <c r="C197" s="441" t="s">
        <v>20</v>
      </c>
      <c r="D197" s="436"/>
      <c r="E197" s="448"/>
      <c r="F197" s="438">
        <v>0</v>
      </c>
      <c r="G197" s="438">
        <v>0</v>
      </c>
      <c r="H197" s="438">
        <v>0</v>
      </c>
      <c r="I197" s="438">
        <v>1</v>
      </c>
      <c r="J197" s="452">
        <v>114.81699999999999</v>
      </c>
      <c r="K197" s="451"/>
      <c r="L197" s="451">
        <v>54.628999999999998</v>
      </c>
      <c r="M197" s="436"/>
      <c r="N197" s="438">
        <v>53.905000000000001</v>
      </c>
      <c r="O197" s="436" t="s">
        <v>1263</v>
      </c>
    </row>
    <row r="198" spans="1:15" ht="15" customHeight="1" x14ac:dyDescent="0.2">
      <c r="A198" s="438">
        <v>192</v>
      </c>
      <c r="B198" s="441" t="s">
        <v>752</v>
      </c>
      <c r="C198" s="441" t="s">
        <v>20</v>
      </c>
      <c r="D198" s="436"/>
      <c r="E198" s="448"/>
      <c r="F198" s="438">
        <v>0</v>
      </c>
      <c r="G198" s="438">
        <v>1</v>
      </c>
      <c r="H198" s="438">
        <v>0</v>
      </c>
      <c r="I198" s="438">
        <v>0</v>
      </c>
      <c r="J198" s="452">
        <v>118.95</v>
      </c>
      <c r="K198" s="451"/>
      <c r="L198" s="451">
        <v>69.341999999999999</v>
      </c>
      <c r="M198" s="436"/>
      <c r="N198" s="438">
        <v>68.908000000000001</v>
      </c>
      <c r="O198" s="436" t="s">
        <v>1262</v>
      </c>
    </row>
    <row r="199" spans="1:15" ht="15" customHeight="1" x14ac:dyDescent="0.2">
      <c r="A199" s="438">
        <v>193</v>
      </c>
      <c r="B199" s="441" t="s">
        <v>95</v>
      </c>
      <c r="C199" s="441" t="s">
        <v>868</v>
      </c>
      <c r="D199" s="436"/>
      <c r="E199" s="448"/>
      <c r="F199" s="438">
        <v>0</v>
      </c>
      <c r="G199" s="438">
        <v>0</v>
      </c>
      <c r="H199" s="438">
        <v>0</v>
      </c>
      <c r="I199" s="438">
        <v>0</v>
      </c>
      <c r="J199" s="452">
        <v>16.509</v>
      </c>
      <c r="K199" s="451"/>
      <c r="L199" s="452"/>
      <c r="M199" s="436"/>
      <c r="N199" s="436"/>
      <c r="O199" s="436"/>
    </row>
    <row r="200" spans="1:15" ht="15" customHeight="1" x14ac:dyDescent="0.2">
      <c r="A200" s="438">
        <v>194</v>
      </c>
      <c r="B200" s="441" t="s">
        <v>35</v>
      </c>
      <c r="C200" s="441" t="s">
        <v>244</v>
      </c>
      <c r="D200" s="436"/>
      <c r="E200" s="448"/>
      <c r="F200" s="438">
        <v>0</v>
      </c>
      <c r="G200" s="438">
        <v>0</v>
      </c>
      <c r="H200" s="438">
        <v>0</v>
      </c>
      <c r="I200" s="438">
        <v>0</v>
      </c>
      <c r="J200" s="452">
        <v>97.629000000000005</v>
      </c>
      <c r="K200" s="451"/>
      <c r="L200" s="452">
        <v>97.629000000000005</v>
      </c>
      <c r="M200" s="436"/>
      <c r="N200" s="438">
        <v>97.593999999999994</v>
      </c>
      <c r="O200" s="436" t="s">
        <v>1262</v>
      </c>
    </row>
    <row r="201" spans="1:15" ht="15" customHeight="1" x14ac:dyDescent="0.2">
      <c r="A201" s="438">
        <v>195</v>
      </c>
      <c r="B201" s="441" t="s">
        <v>754</v>
      </c>
      <c r="C201" s="441" t="s">
        <v>20</v>
      </c>
      <c r="D201" s="436"/>
      <c r="E201" s="448"/>
      <c r="F201" s="438">
        <v>0</v>
      </c>
      <c r="G201" s="438">
        <v>0</v>
      </c>
      <c r="H201" s="438">
        <v>0</v>
      </c>
      <c r="I201" s="438">
        <v>1</v>
      </c>
      <c r="J201" s="452">
        <v>30.167000000000002</v>
      </c>
      <c r="K201" s="451"/>
      <c r="L201" s="452"/>
      <c r="M201" s="436"/>
      <c r="N201" s="436"/>
      <c r="O201" s="436"/>
    </row>
    <row r="202" spans="1:15" ht="15" customHeight="1" x14ac:dyDescent="0.2">
      <c r="A202" s="438">
        <v>196</v>
      </c>
      <c r="B202" s="441" t="s">
        <v>96</v>
      </c>
      <c r="C202" s="441" t="s">
        <v>20</v>
      </c>
      <c r="D202" s="436"/>
      <c r="E202" s="448"/>
      <c r="F202" s="438">
        <v>0</v>
      </c>
      <c r="G202" s="438">
        <v>0</v>
      </c>
      <c r="H202" s="438">
        <v>0</v>
      </c>
      <c r="I202" s="438">
        <v>0</v>
      </c>
      <c r="J202" s="452">
        <v>74.349999999999994</v>
      </c>
      <c r="K202" s="451"/>
      <c r="L202" s="452">
        <v>57.328000000000003</v>
      </c>
      <c r="M202" s="436"/>
      <c r="N202" s="438">
        <v>57.216000000000001</v>
      </c>
      <c r="O202" s="436" t="s">
        <v>1262</v>
      </c>
    </row>
    <row r="203" spans="1:15" ht="15" customHeight="1" x14ac:dyDescent="0.2">
      <c r="A203" s="438">
        <v>197</v>
      </c>
      <c r="B203" s="441" t="s">
        <v>218</v>
      </c>
      <c r="C203" s="441" t="s">
        <v>20</v>
      </c>
      <c r="D203" s="436"/>
      <c r="E203" s="448"/>
      <c r="F203" s="438">
        <v>0</v>
      </c>
      <c r="G203" s="438">
        <v>0</v>
      </c>
      <c r="H203" s="438">
        <v>0</v>
      </c>
      <c r="I203" s="438">
        <v>1</v>
      </c>
      <c r="J203" s="452">
        <v>29.783000000000001</v>
      </c>
      <c r="K203" s="451"/>
      <c r="L203" s="452"/>
      <c r="M203" s="436"/>
      <c r="N203" s="436"/>
      <c r="O203" s="436"/>
    </row>
    <row r="204" spans="1:15" ht="15" customHeight="1" x14ac:dyDescent="0.2">
      <c r="A204" s="438">
        <v>198</v>
      </c>
      <c r="B204" s="441" t="s">
        <v>758</v>
      </c>
      <c r="C204" s="441" t="s">
        <v>20</v>
      </c>
      <c r="D204" s="436"/>
      <c r="E204" s="448"/>
      <c r="F204" s="438">
        <v>0</v>
      </c>
      <c r="G204" s="438">
        <v>0</v>
      </c>
      <c r="H204" s="438">
        <v>0</v>
      </c>
      <c r="I204" s="438">
        <v>0</v>
      </c>
      <c r="J204" s="452">
        <v>88.917000000000002</v>
      </c>
      <c r="K204" s="451"/>
      <c r="L204" s="452">
        <v>67.301000000000002</v>
      </c>
      <c r="M204" s="436"/>
      <c r="N204" s="438">
        <v>67.236999999999995</v>
      </c>
      <c r="O204" s="436" t="s">
        <v>1262</v>
      </c>
    </row>
    <row r="205" spans="1:15" ht="15" customHeight="1" x14ac:dyDescent="0.2">
      <c r="A205" s="438">
        <v>199</v>
      </c>
      <c r="B205" s="441" t="s">
        <v>759</v>
      </c>
      <c r="C205" s="441" t="s">
        <v>243</v>
      </c>
      <c r="D205" s="436"/>
      <c r="E205" s="448"/>
      <c r="F205" s="438">
        <v>0</v>
      </c>
      <c r="G205" s="438">
        <v>0</v>
      </c>
      <c r="H205" s="438">
        <v>0</v>
      </c>
      <c r="I205" s="438">
        <v>0</v>
      </c>
      <c r="J205" s="452">
        <v>30.925999999999998</v>
      </c>
      <c r="K205" s="451"/>
      <c r="L205" s="452"/>
      <c r="M205" s="436"/>
      <c r="N205" s="436"/>
      <c r="O205" s="436"/>
    </row>
    <row r="206" spans="1:15" ht="15" customHeight="1" x14ac:dyDescent="0.2">
      <c r="A206" s="438">
        <v>200</v>
      </c>
      <c r="B206" s="441" t="s">
        <v>760</v>
      </c>
      <c r="C206" s="441" t="s">
        <v>20</v>
      </c>
      <c r="D206" s="436"/>
      <c r="E206" s="448"/>
      <c r="F206" s="438">
        <v>0</v>
      </c>
      <c r="G206" s="438">
        <v>0</v>
      </c>
      <c r="H206" s="438">
        <v>0</v>
      </c>
      <c r="I206" s="438">
        <v>0</v>
      </c>
      <c r="J206" s="452">
        <v>51.683</v>
      </c>
      <c r="K206" s="451"/>
      <c r="L206" s="452"/>
      <c r="M206" s="436"/>
      <c r="N206" s="436"/>
      <c r="O206" s="436"/>
    </row>
    <row r="207" spans="1:15" ht="15" customHeight="1" x14ac:dyDescent="0.2">
      <c r="A207" s="438">
        <v>201</v>
      </c>
      <c r="B207" s="441" t="s">
        <v>762</v>
      </c>
      <c r="C207" s="441" t="s">
        <v>232</v>
      </c>
      <c r="D207" s="436"/>
      <c r="E207" s="448"/>
      <c r="F207" s="438">
        <v>0</v>
      </c>
      <c r="G207" s="438">
        <v>0</v>
      </c>
      <c r="H207" s="438">
        <v>2</v>
      </c>
      <c r="I207" s="438">
        <v>0</v>
      </c>
      <c r="J207" s="452">
        <v>609.4</v>
      </c>
      <c r="K207" s="451"/>
      <c r="L207" s="452">
        <v>443.00200000000001</v>
      </c>
      <c r="M207" s="436"/>
      <c r="N207" s="438">
        <v>442.55</v>
      </c>
      <c r="O207" s="436" t="s">
        <v>1264</v>
      </c>
    </row>
    <row r="208" spans="1:15" ht="15" customHeight="1" x14ac:dyDescent="0.2">
      <c r="A208" s="438">
        <v>202</v>
      </c>
      <c r="B208" s="441" t="s">
        <v>763</v>
      </c>
      <c r="C208" s="441" t="s">
        <v>232</v>
      </c>
      <c r="D208" s="436"/>
      <c r="E208" s="448"/>
      <c r="F208" s="438">
        <v>0</v>
      </c>
      <c r="G208" s="438">
        <v>0</v>
      </c>
      <c r="H208" s="438">
        <v>0</v>
      </c>
      <c r="I208" s="438">
        <v>0</v>
      </c>
      <c r="J208" s="452">
        <v>69.983000000000004</v>
      </c>
      <c r="K208" s="451"/>
      <c r="L208" s="452"/>
      <c r="M208" s="436"/>
      <c r="N208" s="436"/>
      <c r="O208" s="436"/>
    </row>
    <row r="209" spans="1:15" ht="15" customHeight="1" x14ac:dyDescent="0.2">
      <c r="A209" s="438">
        <v>203</v>
      </c>
      <c r="B209" s="441" t="s">
        <v>769</v>
      </c>
      <c r="C209" s="441" t="s">
        <v>20</v>
      </c>
      <c r="D209" s="441"/>
      <c r="E209" s="449"/>
      <c r="F209" s="441">
        <v>2</v>
      </c>
      <c r="G209" s="441">
        <v>2</v>
      </c>
      <c r="H209" s="441">
        <v>0</v>
      </c>
      <c r="I209" s="441">
        <v>0</v>
      </c>
      <c r="J209" s="452">
        <v>150.11500000000001</v>
      </c>
      <c r="K209" s="452"/>
      <c r="L209" s="452">
        <v>67.989999999999995</v>
      </c>
      <c r="M209" s="436"/>
      <c r="N209" s="438">
        <v>67.248000000000005</v>
      </c>
      <c r="O209" s="436" t="s">
        <v>1262</v>
      </c>
    </row>
    <row r="210" spans="1:15" ht="15" customHeight="1" x14ac:dyDescent="0.2">
      <c r="A210" s="438">
        <v>204</v>
      </c>
      <c r="B210" s="441" t="s">
        <v>779</v>
      </c>
      <c r="C210" s="441" t="s">
        <v>232</v>
      </c>
      <c r="D210" s="441"/>
      <c r="E210" s="449"/>
      <c r="F210" s="441">
        <v>0</v>
      </c>
      <c r="G210" s="441">
        <v>0</v>
      </c>
      <c r="H210" s="441">
        <v>0</v>
      </c>
      <c r="I210" s="441">
        <v>0</v>
      </c>
      <c r="J210" s="452">
        <v>130.22800000000001</v>
      </c>
      <c r="K210" s="452"/>
      <c r="L210" s="452">
        <v>98.667000000000002</v>
      </c>
      <c r="M210" s="436"/>
      <c r="N210" s="438">
        <v>98.626999999999995</v>
      </c>
      <c r="O210" s="436" t="s">
        <v>1262</v>
      </c>
    </row>
    <row r="211" spans="1:15" ht="15" customHeight="1" x14ac:dyDescent="0.2">
      <c r="A211" s="438">
        <v>205</v>
      </c>
      <c r="B211" s="441" t="s">
        <v>785</v>
      </c>
      <c r="C211" s="441" t="s">
        <v>233</v>
      </c>
      <c r="D211" s="441"/>
      <c r="E211" s="449"/>
      <c r="F211" s="441">
        <v>0</v>
      </c>
      <c r="G211" s="441">
        <v>0</v>
      </c>
      <c r="H211" s="441">
        <v>0</v>
      </c>
      <c r="I211" s="441">
        <v>1</v>
      </c>
      <c r="J211" s="452">
        <v>237.78</v>
      </c>
      <c r="K211" s="452"/>
      <c r="L211" s="452">
        <v>155.44900000000001</v>
      </c>
      <c r="M211" s="436"/>
      <c r="N211" s="438">
        <v>154.809</v>
      </c>
      <c r="O211" s="436" t="s">
        <v>1262</v>
      </c>
    </row>
    <row r="212" spans="1:15" ht="15" customHeight="1" x14ac:dyDescent="0.2">
      <c r="A212" s="438">
        <v>206</v>
      </c>
      <c r="B212" s="441" t="s">
        <v>786</v>
      </c>
      <c r="C212" s="441" t="s">
        <v>232</v>
      </c>
      <c r="D212" s="441"/>
      <c r="E212" s="449"/>
      <c r="F212" s="441">
        <v>1</v>
      </c>
      <c r="G212" s="441">
        <v>2</v>
      </c>
      <c r="H212" s="441">
        <v>1</v>
      </c>
      <c r="I212" s="441">
        <v>0</v>
      </c>
      <c r="J212" s="452">
        <v>139.24199999999999</v>
      </c>
      <c r="K212" s="452"/>
      <c r="L212" s="452">
        <v>18.852</v>
      </c>
      <c r="M212" s="436"/>
      <c r="N212" s="438">
        <v>18.852</v>
      </c>
      <c r="O212" s="436" t="s">
        <v>1262</v>
      </c>
    </row>
    <row r="213" spans="1:15" ht="15" customHeight="1" x14ac:dyDescent="0.2">
      <c r="A213" s="438">
        <v>207</v>
      </c>
      <c r="B213" s="441" t="s">
        <v>99</v>
      </c>
      <c r="C213" s="441" t="s">
        <v>245</v>
      </c>
      <c r="D213" s="441"/>
      <c r="E213" s="449"/>
      <c r="F213" s="441">
        <v>0</v>
      </c>
      <c r="G213" s="441">
        <v>0</v>
      </c>
      <c r="H213" s="441">
        <v>0</v>
      </c>
      <c r="I213" s="441">
        <v>0</v>
      </c>
      <c r="J213" s="452">
        <v>50.997</v>
      </c>
      <c r="K213" s="452"/>
      <c r="L213" s="452">
        <v>36.79</v>
      </c>
      <c r="M213" s="436"/>
      <c r="N213" s="438">
        <v>36.29</v>
      </c>
      <c r="O213" s="436" t="s">
        <v>1262</v>
      </c>
    </row>
    <row r="214" spans="1:15" ht="15" customHeight="1" x14ac:dyDescent="0.2">
      <c r="A214" s="438">
        <v>208</v>
      </c>
      <c r="B214" s="441" t="s">
        <v>789</v>
      </c>
      <c r="C214" s="441" t="s">
        <v>20</v>
      </c>
      <c r="D214" s="441"/>
      <c r="E214" s="449"/>
      <c r="F214" s="441">
        <v>0</v>
      </c>
      <c r="G214" s="441">
        <v>0</v>
      </c>
      <c r="H214" s="441">
        <v>1</v>
      </c>
      <c r="I214" s="441">
        <v>2</v>
      </c>
      <c r="J214" s="452">
        <v>200.38800000000001</v>
      </c>
      <c r="K214" s="452"/>
      <c r="L214" s="452">
        <v>135.911</v>
      </c>
      <c r="M214" s="436"/>
      <c r="N214" s="438">
        <v>135.89500000000001</v>
      </c>
      <c r="O214" s="436" t="s">
        <v>1263</v>
      </c>
    </row>
    <row r="215" spans="1:15" ht="15" customHeight="1" x14ac:dyDescent="0.2">
      <c r="A215" s="438">
        <v>209</v>
      </c>
      <c r="B215" s="441" t="s">
        <v>790</v>
      </c>
      <c r="C215" s="441" t="s">
        <v>20</v>
      </c>
      <c r="D215" s="441"/>
      <c r="E215" s="449"/>
      <c r="F215" s="441">
        <v>0</v>
      </c>
      <c r="G215" s="441">
        <v>1</v>
      </c>
      <c r="H215" s="441">
        <v>0</v>
      </c>
      <c r="I215" s="441">
        <v>0</v>
      </c>
      <c r="J215" s="452">
        <v>22.433</v>
      </c>
      <c r="K215" s="452"/>
      <c r="L215" s="452"/>
      <c r="M215" s="436"/>
      <c r="N215" s="436"/>
      <c r="O215" s="436"/>
    </row>
    <row r="216" spans="1:15" ht="15" customHeight="1" x14ac:dyDescent="0.2">
      <c r="A216" s="438">
        <v>210</v>
      </c>
      <c r="B216" s="441" t="s">
        <v>792</v>
      </c>
      <c r="C216" s="441" t="s">
        <v>20</v>
      </c>
      <c r="D216" s="441"/>
      <c r="E216" s="449"/>
      <c r="F216" s="441">
        <v>0</v>
      </c>
      <c r="G216" s="441">
        <v>0</v>
      </c>
      <c r="H216" s="441">
        <v>0</v>
      </c>
      <c r="I216" s="441">
        <v>0</v>
      </c>
      <c r="J216" s="452">
        <v>27.141999999999999</v>
      </c>
      <c r="K216" s="452"/>
      <c r="L216" s="452"/>
      <c r="M216" s="436"/>
      <c r="N216" s="436"/>
      <c r="O216" s="436"/>
    </row>
    <row r="217" spans="1:15" ht="15" customHeight="1" x14ac:dyDescent="0.2">
      <c r="A217" s="438">
        <v>211</v>
      </c>
      <c r="B217" s="441" t="s">
        <v>793</v>
      </c>
      <c r="C217" s="441" t="s">
        <v>231</v>
      </c>
      <c r="D217" s="441"/>
      <c r="E217" s="449"/>
      <c r="F217" s="441">
        <v>0</v>
      </c>
      <c r="G217" s="441">
        <v>0</v>
      </c>
      <c r="H217" s="441">
        <v>0</v>
      </c>
      <c r="I217" s="441">
        <v>0</v>
      </c>
      <c r="J217" s="452">
        <v>109.34099999999999</v>
      </c>
      <c r="K217" s="452"/>
      <c r="L217" s="452">
        <v>45.234000000000002</v>
      </c>
      <c r="M217" s="436"/>
      <c r="N217" s="438">
        <v>45.234000000000002</v>
      </c>
      <c r="O217" s="436" t="s">
        <v>1262</v>
      </c>
    </row>
    <row r="218" spans="1:15" ht="15" customHeight="1" x14ac:dyDescent="0.2">
      <c r="A218" s="438">
        <v>212</v>
      </c>
      <c r="B218" s="441" t="s">
        <v>794</v>
      </c>
      <c r="C218" s="441" t="s">
        <v>20</v>
      </c>
      <c r="D218" s="441"/>
      <c r="E218" s="449"/>
      <c r="F218" s="441">
        <v>0</v>
      </c>
      <c r="G218" s="441">
        <v>0</v>
      </c>
      <c r="H218" s="441">
        <v>0</v>
      </c>
      <c r="I218" s="441">
        <v>0</v>
      </c>
      <c r="J218" s="452">
        <v>23.573</v>
      </c>
      <c r="K218" s="452"/>
      <c r="L218" s="452"/>
      <c r="M218" s="436"/>
      <c r="N218" s="436"/>
      <c r="O218" s="436"/>
    </row>
    <row r="219" spans="1:15" ht="15" customHeight="1" x14ac:dyDescent="0.2">
      <c r="A219" s="438">
        <v>213</v>
      </c>
      <c r="B219" s="441" t="s">
        <v>100</v>
      </c>
      <c r="C219" s="441" t="s">
        <v>239</v>
      </c>
      <c r="D219" s="441"/>
      <c r="E219" s="449"/>
      <c r="F219" s="441">
        <v>0</v>
      </c>
      <c r="G219" s="441">
        <v>0</v>
      </c>
      <c r="H219" s="441">
        <v>0</v>
      </c>
      <c r="I219" s="441">
        <v>0</v>
      </c>
      <c r="J219" s="452">
        <v>199.63300000000001</v>
      </c>
      <c r="K219" s="452"/>
      <c r="L219" s="452">
        <v>199.63300000000001</v>
      </c>
      <c r="M219" s="436"/>
      <c r="N219" s="438">
        <v>199.333</v>
      </c>
      <c r="O219" s="436" t="s">
        <v>1262</v>
      </c>
    </row>
    <row r="220" spans="1:15" ht="15" customHeight="1" x14ac:dyDescent="0.2">
      <c r="A220" s="438">
        <v>214</v>
      </c>
      <c r="B220" s="441" t="s">
        <v>802</v>
      </c>
      <c r="C220" s="441" t="s">
        <v>20</v>
      </c>
      <c r="D220" s="441"/>
      <c r="E220" s="449"/>
      <c r="F220" s="441">
        <v>0</v>
      </c>
      <c r="G220" s="441">
        <v>0</v>
      </c>
      <c r="H220" s="441">
        <v>0</v>
      </c>
      <c r="I220" s="441">
        <v>0</v>
      </c>
      <c r="J220" s="452">
        <v>173.68299999999999</v>
      </c>
      <c r="K220" s="452"/>
      <c r="L220" s="452">
        <v>140.624</v>
      </c>
      <c r="M220" s="436"/>
      <c r="N220" s="438">
        <v>140.608</v>
      </c>
      <c r="O220" s="436" t="s">
        <v>1262</v>
      </c>
    </row>
    <row r="221" spans="1:15" ht="15" customHeight="1" x14ac:dyDescent="0.2">
      <c r="A221" s="442">
        <v>215</v>
      </c>
      <c r="B221" s="442" t="s">
        <v>804</v>
      </c>
      <c r="C221" s="442" t="s">
        <v>20</v>
      </c>
      <c r="D221" s="442"/>
      <c r="E221" s="450"/>
      <c r="F221" s="442">
        <v>0</v>
      </c>
      <c r="G221" s="442">
        <v>0</v>
      </c>
      <c r="H221" s="442">
        <v>0</v>
      </c>
      <c r="I221" s="442">
        <v>0</v>
      </c>
      <c r="J221" s="453">
        <v>31.908000000000001</v>
      </c>
      <c r="K221" s="453"/>
      <c r="L221" s="453"/>
      <c r="M221" s="443"/>
      <c r="N221" s="443"/>
      <c r="O221" s="443"/>
    </row>
    <row r="222" spans="1:15" x14ac:dyDescent="0.2">
      <c r="A222" s="444"/>
      <c r="B222" s="444"/>
      <c r="C222" s="444"/>
      <c r="D222" s="444"/>
      <c r="E222" s="444"/>
      <c r="F222" s="444"/>
      <c r="G222" s="444"/>
      <c r="H222" s="444"/>
      <c r="I222" s="444"/>
      <c r="J222" s="445"/>
      <c r="K222" s="444"/>
      <c r="L222" s="444"/>
      <c r="M222" s="444"/>
      <c r="N222" s="444"/>
      <c r="O222" s="444"/>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7" t="s">
        <v>1586</v>
      </c>
      <c r="B2" s="1007"/>
      <c r="C2" s="1007"/>
      <c r="D2" s="1007"/>
      <c r="E2" s="1007"/>
      <c r="F2" s="1007"/>
    </row>
    <row r="3" spans="1:14" s="597" customFormat="1" x14ac:dyDescent="0.25">
      <c r="A3" s="466" t="s">
        <v>303</v>
      </c>
      <c r="B3" s="466" t="s">
        <v>1526</v>
      </c>
      <c r="C3" s="467" t="s">
        <v>1284</v>
      </c>
      <c r="D3" s="467" t="s">
        <v>1519</v>
      </c>
      <c r="E3" s="467" t="s">
        <v>1272</v>
      </c>
      <c r="F3" s="467" t="s">
        <v>1273</v>
      </c>
    </row>
    <row r="4" spans="1:14" x14ac:dyDescent="0.25">
      <c r="A4" s="462">
        <v>1</v>
      </c>
      <c r="B4" s="1008" t="s">
        <v>295</v>
      </c>
      <c r="C4" s="460" t="s">
        <v>1268</v>
      </c>
      <c r="D4" s="460" t="s">
        <v>1269</v>
      </c>
      <c r="E4" s="460" t="s">
        <v>1274</v>
      </c>
      <c r="F4" s="462">
        <v>7082518194</v>
      </c>
    </row>
    <row r="5" spans="1:14" x14ac:dyDescent="0.25">
      <c r="A5" s="462">
        <v>2</v>
      </c>
      <c r="B5" s="1009"/>
      <c r="C5" s="461" t="s">
        <v>1520</v>
      </c>
      <c r="D5" s="460" t="s">
        <v>1649</v>
      </c>
      <c r="E5" s="460" t="s">
        <v>1275</v>
      </c>
      <c r="F5" s="462">
        <v>9451783340</v>
      </c>
    </row>
    <row r="6" spans="1:14" x14ac:dyDescent="0.25">
      <c r="A6" s="462">
        <v>3</v>
      </c>
      <c r="B6" s="1009"/>
      <c r="C6" s="461" t="s">
        <v>1521</v>
      </c>
      <c r="D6" s="461" t="s">
        <v>1648</v>
      </c>
      <c r="E6" s="651"/>
      <c r="F6" s="462"/>
    </row>
    <row r="7" spans="1:14" x14ac:dyDescent="0.25">
      <c r="A7" s="462">
        <v>4</v>
      </c>
      <c r="B7" s="1009"/>
      <c r="C7" s="461" t="s">
        <v>1514</v>
      </c>
      <c r="D7" s="461" t="s">
        <v>1277</v>
      </c>
      <c r="E7" s="460" t="s">
        <v>1276</v>
      </c>
      <c r="F7" s="462">
        <v>8295788759</v>
      </c>
    </row>
    <row r="8" spans="1:14" x14ac:dyDescent="0.25">
      <c r="A8" s="462">
        <v>5</v>
      </c>
      <c r="B8" s="1009"/>
      <c r="C8" s="461" t="s">
        <v>1517</v>
      </c>
      <c r="D8" s="461" t="s">
        <v>1515</v>
      </c>
      <c r="E8" s="460" t="s">
        <v>1522</v>
      </c>
      <c r="F8" s="462">
        <v>6005356903</v>
      </c>
      <c r="N8" s="638"/>
    </row>
    <row r="9" spans="1:14" x14ac:dyDescent="0.25">
      <c r="A9" s="462">
        <v>6</v>
      </c>
      <c r="B9" s="1009"/>
      <c r="C9" s="461" t="s">
        <v>1525</v>
      </c>
      <c r="D9" s="461" t="s">
        <v>1516</v>
      </c>
      <c r="E9" s="460" t="s">
        <v>1523</v>
      </c>
      <c r="F9" s="462">
        <v>9998643264</v>
      </c>
    </row>
    <row r="10" spans="1:14" x14ac:dyDescent="0.25">
      <c r="A10" s="462">
        <v>7</v>
      </c>
      <c r="B10" s="1008" t="s">
        <v>292</v>
      </c>
      <c r="C10" s="460" t="s">
        <v>1268</v>
      </c>
      <c r="D10" s="460" t="s">
        <v>1269</v>
      </c>
      <c r="E10" s="460" t="s">
        <v>1274</v>
      </c>
      <c r="F10" s="462">
        <v>7082518194</v>
      </c>
    </row>
    <row r="11" spans="1:14" x14ac:dyDescent="0.25">
      <c r="A11" s="462">
        <v>8</v>
      </c>
      <c r="B11" s="1009"/>
      <c r="C11" s="461" t="s">
        <v>1520</v>
      </c>
      <c r="D11" s="460" t="s">
        <v>1649</v>
      </c>
      <c r="E11" s="460" t="s">
        <v>1275</v>
      </c>
      <c r="F11" s="462">
        <v>9451783340</v>
      </c>
    </row>
    <row r="12" spans="1:14" x14ac:dyDescent="0.25">
      <c r="A12" s="462">
        <v>9</v>
      </c>
      <c r="B12" s="1009"/>
      <c r="C12" s="461" t="s">
        <v>1524</v>
      </c>
      <c r="D12" s="461" t="s">
        <v>1648</v>
      </c>
      <c r="E12" s="651"/>
      <c r="F12" s="462"/>
    </row>
    <row r="13" spans="1:14" x14ac:dyDescent="0.25">
      <c r="A13" s="462">
        <v>10</v>
      </c>
      <c r="B13" s="1009"/>
      <c r="C13" s="461" t="s">
        <v>1514</v>
      </c>
      <c r="D13" s="461" t="s">
        <v>1277</v>
      </c>
      <c r="E13" s="460" t="s">
        <v>1276</v>
      </c>
      <c r="F13" s="462">
        <v>8295788759</v>
      </c>
    </row>
    <row r="14" spans="1:14" x14ac:dyDescent="0.25">
      <c r="A14" s="462">
        <v>11</v>
      </c>
      <c r="B14" s="1009"/>
      <c r="C14" s="461" t="s">
        <v>1517</v>
      </c>
      <c r="D14" s="461" t="s">
        <v>1515</v>
      </c>
      <c r="E14" s="460" t="s">
        <v>1522</v>
      </c>
      <c r="F14" s="462">
        <v>6005356903</v>
      </c>
    </row>
    <row r="15" spans="1:14" x14ac:dyDescent="0.25">
      <c r="A15" s="462">
        <v>12</v>
      </c>
      <c r="B15" s="1009"/>
      <c r="C15" s="461" t="s">
        <v>1518</v>
      </c>
      <c r="D15" s="461" t="s">
        <v>1516</v>
      </c>
      <c r="E15" s="460" t="s">
        <v>1523</v>
      </c>
      <c r="F15" s="462">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2026-02-21T13:10:39Z</dcterms:modified>
</cp:coreProperties>
</file>