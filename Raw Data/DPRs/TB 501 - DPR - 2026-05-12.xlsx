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2 May 2026/"/>
    </mc:Choice>
  </mc:AlternateContent>
  <xr:revisionPtr revIDLastSave="3435" documentId="8_{16FA9FDA-04F7-4315-B5A3-F2AC902332DB}" xr6:coauthVersionLast="47" xr6:coauthVersionMax="47" xr10:uidLastSave="{8127E13E-EC1C-4F5A-BE37-34BCD2CE174D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AW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AX22" i="14"/>
  <c r="AW22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<sst xmlns="http://schemas.openxmlformats.org/spreadsheetml/2006/main" count="11499" uniqueCount="769">
  <si>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</si>
  <si>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</si>
  <si>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</si>
  <si>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</si>
  <si>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</si>
  <si>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</si>
  <si>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</si>
  <si>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</si>
  <si>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</si>
  <si>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</si>
  <si>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</si>
  <si>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</si>
  <si>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</si>
  <si>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</si>
  <si>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</si>
  <si>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</si>
  <si>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</si>
  <si>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</si>
  <si>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</si>
  <si>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</si>
  <si>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</si>
  <si>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</si>
  <si>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</si>
  <si>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</si>
  <si>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</si>
  <si>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</si>
  <si>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</si>
  <si>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</si>
  <si>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</si>
  <si>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</si>
  <si>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</si>
  <si>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</si>
  <si>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</si>
  <si>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</si>
  <si>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</si>
  <si>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</si>
  <si>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</si>
  <si>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</si>
  <si>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</si>
  <si>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</si>
  <si>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</si>
  <si>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</si>
  <si>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</si>
  <si>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</si>
  <si>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</si>
  <si>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</si>
  <si>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</si>
  <si>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</si>
  <si>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</si>
  <si>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</si>
  <si>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</si>
  <si>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</si>
  <si>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</si>
  <si>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</si>
  <si>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</si>
  <si>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</si>
  <si>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</si>
  <si>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</si>
  <si>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</si>
  <si>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</si>
  <si>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</si>
  <si>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</si>
  <si>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</si>
  <si>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</si>
  <si>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</si>
  <si>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</si>
  <si>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</si>
  <si>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</si>
  <si>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</si>
  <si>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</si>
  <si>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</si>
  <si>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</si>
  <si>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</si>
  <si>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</si>
  <si>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</si>
  <si>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</si>
  <si>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</si>
  <si>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</si>
  <si>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</si>
  <si>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</si>
  <si>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</si>
  <si>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</si>
  <si>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</si>
  <si>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</si>
  <si>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</si>
  <si>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</si>
  <si>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</si>
  <si>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</si>
  <si>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</si>
  <si>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</si>
  <si>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</si>
  <si>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</si>
  <si>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</si>
  <si>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</si>
  <si>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</si>
  <si>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</si>
  <si>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</si>
  <si>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</si>
  <si>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</si>
  <si>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</si>
  <si>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</si>
  <si>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</si>
  <si>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</si>
  <si>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</si>
  <si>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</si>
  <si>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</si>
  <si>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</si>
  <si>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</si>
  <si>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</si>
  <si>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</si>
  <si>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</si>
  <si>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</si>
  <si>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</si>
  <si>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</si>
  <si>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</si>
  <si>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</si>
  <si>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</si>
  <si>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</si>
  <si>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</si>
  <si>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</si>
  <si>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</si>
  <si>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</si>
  <si>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</si>
  <si>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</si>
  <si>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</si>
  <si>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</si>
  <si>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</si>
  <si>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</si>
  <si>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</si>
  <si>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</si>
  <si>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</si>
  <si>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</si>
  <si>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</si>
  <si>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</si>
  <si>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</si>
  <si>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</si>
  <si>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</si>
  <si>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</si>
  <si>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</si>
  <si>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</si>
  <si>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</si>
  <si>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</si>
  <si>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</si>
  <si>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</si>
  <si>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</si>
  <si>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</si>
  <si>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</si>
  <si>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</si>
  <si>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</si>
  <si>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</si>
  <si>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</si>
  <si>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</si>
  <si>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</si>
  <si>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</si>
  <si>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</si>
  <si>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</si>
  <si>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</si>
  <si>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</si>
  <si>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</si>
  <si>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</si>
  <si>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</si>
  <si>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</si>
  <si>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</si>
  <si>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</si>
  <si>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</si>
  <si>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</si>
  <si>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</si>
  <si>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</si>
  <si>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</si>
  <si>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</si>
  <si>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</si>
  <si>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</si>
  <si>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</si>
  <si>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</si>
  <si>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</si>
  <si>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</si>
  <si>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</si>
  <si>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</si>
  <si>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</si>
  <si>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</si>
  <si>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</si>
  <si>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</si>
  <si>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</si>
  <si>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</si>
  <si>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</si>
  <si>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</si>
  <si>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</si>
  <si>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</si>
  <si>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</si>
  <si>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</si>
  <si>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</si>
  <si>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</si>
  <si>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</si>
  <si>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</si>
  <si>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</si>
  <si>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</si>
  <si>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</si>
  <si>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</si>
  <si>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</si>
  <si>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</si>
  <si>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</si>
  <si>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</si>
  <si>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</si>
  <si>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</si>
  <si>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</si>
  <si>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</si>
  <si>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</si>
  <si>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</si>
  <si>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</si>
  <si>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</si>
  <si>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</si>
  <si>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</si>
  <si>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</si>
  <si>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</si>
  <si>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</si>
  <si>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</si>
  <si>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</si>
  <si>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</si>
  <si>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</si>
  <si>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</si>
  <si>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</si>
  <si>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</si>
  <si>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</si>
  <si>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</si>
  <si>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</si>
  <si>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</si>
  <si>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</si>
  <si>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</si>
  <si>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</si>
  <si>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</si>
  <si>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</si>
  <si>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</si>
  <si>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</si>
  <si>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</si>
  <si>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</si>
  <si>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</si>
  <si>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</si>
  <si>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</si>
  <si>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</si>
  <si>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</si>
  <si>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</si>
  <si>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</si>
  <si>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</si>
  <si>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</si>
  <si>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</si>
  <si>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</si>
  <si>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</si>
  <si>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</si>
  <si>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</si>
  <si>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</si>
  <si>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</si>
  <si>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</si>
  <si>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</si>
  <si>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</si>
  <si>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</si>
  <si>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</si>
  <si>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</si>
  <si>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</si>
  <si>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</si>
  <si>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</si>
  <si>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</si>
  <si>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</si>
  <si>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</si>
  <si>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</si>
  <si>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</si>
  <si>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</si>
  <si>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</si>
  <si>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</si>
  <si>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</si>
  <si>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</si>
  <si>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</si>
  <si>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</si>
  <si>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</si>
  <si>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</si>
  <si>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</si>
  <si>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</si>
  <si>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</si>
  <si>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</si>
  <si>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</si>
  <si>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</si>
  <si>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</si>
  <si>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</si>
  <si>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</si>
  <si>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</si>
  <si>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</si>
  <si>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</si>
  <si>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</si>
  <si>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</si>
  <si>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</si>
  <si>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</si>
  <si>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</si>
  <si>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</si>
  <si>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</si>
  <si>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</si>
  <si>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</si>
  <si>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</si>
  <si>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</si>
  <si>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</si>
  <si>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</si>
  <si>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</si>
  <si>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</si>
  <si>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</si>
  <si>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</si>
  <si>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</si>
  <si>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</si>
  <si>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</si>
  <si>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</si>
  <si>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</si>
  <si>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</si>
  <si>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</si>
  <si>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</si>
  <si>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</si>
  <si>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</si>
  <si>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</si>
  <si>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</si>
  <si>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</si>
  <si>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</si>
  <si>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</si>
  <si>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</si>
  <si>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</si>
  <si>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</si>
  <si>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</si>
  <si>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</si>
  <si>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</si>
  <si>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</si>
  <si>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</si>
  <si>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</si>
  <si>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</si>
  <si>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</si>
  <si>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</si>
  <si>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</si>
  <si>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</si>
  <si>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</si>
  <si>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</si>
  <si>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</si>
  <si>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</si>
  <si>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</si>
  <si>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</si>
  <si>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</si>
  <si>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</si>
  <si>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</si>
  <si>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</si>
  <si>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</si>
  <si>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</si>
  <si>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</si>
  <si>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</si>
  <si>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</si>
  <si>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</si>
  <si>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</si>
  <si>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</si>
  <si>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</si>
  <si>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</si>
  <si>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</si>
  <si>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</si>
  <si>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</si>
  <si>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</si>
  <si>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</si>
  <si>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</si>
  <si>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</si>
  <si>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</si>
  <si>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</si>
  <si>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</si>
  <si>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</si>
  <si>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</si>
  <si>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</si>
  <si>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</si>
  <si>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</si>
  <si>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</si>
  <si>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</si>
  <si>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</si>
  <si>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</si>
  <si>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</si>
  <si>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</si>
  <si>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</si>
  <si>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</si>
  <si>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</si>
  <si>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</si>
  <si>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</si>
  <si>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</si>
  <si>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</si>
  <si>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</si>
  <si>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</si>
  <si>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</si>
  <si>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</si>
  <si>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</si>
  <si>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</si>
  <si>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</si>
  <si>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</si>
  <si>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</si>
  <si>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</si>
  <si>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</si>
  <si>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</si>
  <si>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</si>
  <si>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</si>
  <si>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</si>
  <si>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</si>
  <si>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</si>
  <si>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</si>
  <si>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</si>
  <si>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</si>
  <si>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</si>
  <si>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</si>
  <si>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</si>
  <si>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</si>
  <si>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</si>
  <si>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</si>
  <si>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</si>
  <si>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</si>
  <si>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</si>
  <si>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</si>
  <si>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</si>
  <si>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</si>
  <si>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</si>
  <si>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</si>
  <si>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</si>
  <si>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</si>
  <si>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</si>
  <si>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</si>
  <si>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</si>
  <si>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</si>
  <si>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</si>
  <si>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</si>
  <si>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</si>
  <si>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</si>
  <si>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</si>
  <si>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</si>
  <si>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</si>
  <si>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</si>
  <si>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</si>
  <si>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</si>
  <si>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</si>
  <si>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</si>
  <si>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</si>
  <si>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</si>
  <si>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</si>
  <si>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</si>
  <si>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</si>
  <si>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</si>
  <si>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</si>
  <si>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</si>
  <si>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</si>
  <si>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</si>
  <si>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</si>
  <si>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</si>
  <si>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</si>
  <si>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</si>
  <si>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</si>
  <si>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</si>
  <si>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</si>
  <si>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</si>
  <si>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</si>
  <si>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</si>
  <si>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</si>
  <si>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</si>
  <si>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</si>
  <si>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</si>
  <si>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</si>
  <si>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</si>
  <si>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</si>
  <si>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</si>
  <si>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</si>
  <si>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</si>
  <si>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</si>
  <si>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</si>
  <si>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</si>
  <si>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</si>
  <si>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</si>
  <si>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</si>
  <si>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</si>
  <si>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</si>
  <si>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</si>
  <si>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</si>
  <si>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</si>
  <si>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</si>
  <si>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</si>
  <si>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</si>
  <si>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</si>
  <si>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</si>
  <si>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</si>
  <si>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</si>
  <si>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</si>
  <si>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</si>
  <si>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</si>
  <si>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</si>
  <si>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</si>
  <si>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</si>
  <si>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</si>
  <si>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</si>
  <si>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</si>
  <si>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</si>
  <si>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</si>
  <si>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</si>
  <si>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</si>
  <si>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</si>
  <si>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</si>
  <si>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</si>
  <si>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</si>
  <si>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</si>
  <si>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</si>
  <si>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</si>
  <si>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</si>
  <si>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</si>
  <si>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</si>
  <si>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</si>
  <si>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</si>
  <si>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</si>
  <si>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</si>
  <si>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</si>
  <si>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</si>
  <si>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</si>
  <si>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</si>
  <si>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</si>
  <si>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</si>
  <si>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</si>
  <si>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</si>
  <si>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</si>
  <si>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</si>
  <si>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</si>
  <si>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</si>
  <si>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</si>
  <si>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</si>
  <si>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</si>
  <si>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</si>
  <si>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</si>
  <si>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</si>
  <si>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</si>
  <si>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</si>
  <si>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</si>
  <si>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</si>
  <si>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</si>
  <si>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</si>
  <si>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</si>
  <si>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</si>
  <si>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</si>
  <si>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</si>
  <si>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</si>
  <si>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</si>
  <si>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</si>
  <si>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</si>
  <si>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</si>
  <si>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</si>
  <si>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</si>
  <si>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</si>
  <si>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</si>
  <si>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</si>
  <si>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</si>
  <si>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</si>
  <si>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</si>
  <si>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</si>
  <si>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</si>
  <si>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</si>
  <si>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</si>
  <si>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</si>
  <si>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</si>
  <si>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</si>
  <si>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</si>
  <si>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</si>
  <si>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</si>
  <si>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</si>
  <si>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</si>
  <si>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</si>
  <si>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</si>
  <si>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</si>
  <si>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</si>
  <si>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</si>
  <si>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</si>
  <si>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</si>
  <si>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</si>
  <si>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</si>
  <si>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</si>
  <si>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</si>
  <si>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</si>
  <si>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</si>
  <si>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</si>
  <si>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</si>
  <si>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</si>
  <si>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</si>
  <si>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</si>
  <si>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</si>
  <si>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</si>
  <si>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</si>
  <si>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</si>
  <si>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</si>
  <si>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</si>
  <si>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</si>
  <si>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</si>
  <si>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</si>
  <si>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</si>
  <si>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</si>
  <si>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</si>
  <si>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</si>
  <si>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</si>
  <si>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</si>
  <si>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</si>
  <si>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</si>
  <si>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</si>
  <si>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</si>
  <si>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</si>
  <si>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</si>
  <si>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</si>
  <si>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</si>
  <si>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</si>
  <si>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</si>
  <si>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</si>
  <si>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</si>
  <si>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</si>
  <si>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</si>
  <si>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</si>
  <si>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</si>
  <si>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</si>
  <si>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</si>
  <si>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</si>
  <si>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</si>
  <si>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</si>
  <si>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</si>
  <si>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</si>
  <si>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</si>
  <si>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</si>
  <si>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</si>
  <si>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</si>
  <si>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</si>
  <si>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</si>
  <si>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</si>
  <si>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</si>
  <si>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</si>
  <si>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</si>
  <si>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</si>
  <si>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</si>
  <si>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</si>
  <si>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</si>
  <si>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</si>
  <si>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</si>
  <si>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</si>
  <si>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</si>
  <si>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</si>
  <si>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</si>
  <si>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</si>
  <si>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</si>
  <si>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</si>
  <si>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</si>
  <si>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</si>
  <si>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</si>
  <si>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</si>
  <si>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</si>
  <si>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</si>
  <si>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</si>
  <si>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</si>
  <si>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</si>
  <si>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</si>
  <si>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</si>
  <si>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</si>
  <si>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</si>
  <si>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</si>
  <si>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</si>
  <si>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</si>
  <si>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</si>
  <si>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</si>
  <si>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</si>
  <si>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</si>
  <si>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</si>
  <si>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</si>
  <si>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</si>
  <si>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</si>
  <si>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</si>
  <si>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</si>
  <si>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</si>
  <si>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</si>
  <si>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</si>
  <si>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</si>
  <si>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</si>
  <si>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</si>
  <si>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</si>
  <si>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</si>
  <si>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</si>
  <si>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</si>
  <si>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</si>
  <si>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</si>
  <si>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</si>
  <si>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</si>
  <si>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</si>
  <si>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</si>
  <si>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</si>
  <si>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</si>
  <si>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</si>
  <si>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</si>
  <si>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</si>
  <si>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</si>
  <si>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</si>
  <si>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</si>
  <si>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</si>
  <si>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</si>
  <si>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</si>
  <si>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</si>
  <si>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</si>
  <si>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</si>
  <si>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</si>
  <si>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</si>
  <si>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</si>
  <si>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</si>
  <si>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</si>
  <si>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</si>
  <si>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</si>
  <si>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</si>
  <si>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</si>
  <si>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</si>
  <si>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</si>
  <si>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</si>
  <si>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</si>
  <si>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</si>
  <si>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</si>
  <si>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</si>
  <si>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</si>
  <si>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</si>
  <si>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</si>
  <si>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</si>
  <si>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</si>
  <si>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</si>
  <si>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</si>
  <si>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</si>
  <si>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</si>
  <si>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</si>
  <si>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</si>
  <si>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</si>
  <si>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</si>
  <si>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</si>
  <si>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</si>
  <si>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</si>
  <si>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</si>
  <si>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</si>
  <si>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</si>
  <si>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</si>
  <si>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</si>
  <si>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</si>
  <si>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</si>
  <si>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</si>
  <si>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</si>
  <si>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</si>
  <si>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</si>
  <si>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</si>
  <si>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</si>
  <si>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</si>
  <si>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</si>
  <si>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</si>
  <si>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</si>
  <si>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</si>
  <si>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</si>
  <si>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</si>
  <si>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</si>
  <si>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</si>
  <si>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</si>
  <si>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</si>
  <si>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</si>
  <si>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</si>
  <si>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</si>
  <si>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</si>
  <si>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</si>
  <si>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</si>
  <si>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</si>
  <si>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</si>
  <si>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</si>
  <si>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</si>
  <si>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</si>
  <si>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RCC underprogress of Location no. 35/0 
35/0 Excavation U/P</t>
  </si>
  <si>
    <t>3/0 To 4/11 OPGW final sag Completed</t>
  </si>
  <si>
    <t xml:space="preserve">
SC-3 Steel binding Underprogess
SC-2 Excavation UnderProgress
</t>
  </si>
  <si>
    <t>U/P</t>
  </si>
  <si>
    <t>Sc-5</t>
  </si>
  <si>
    <t>33/0 erection completed and 33/1 erection U/P</t>
  </si>
  <si>
    <t>Final Sag for Ap12 to AP11 Underprogress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</si>
</sst>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7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12" fillId="0" borderId="71" xfId="0" applyFont="1" applyBorder="1"/>
    <xf numFmtId="0" fontId="26" fillId="22" borderId="73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2" fillId="0" borderId="27" xfId="0" applyFont="1" applyBorder="1"/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0" fontId="12" fillId="0" borderId="11" xfId="0" applyFont="1" applyBorder="1"/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  <xf numFmtId="0" fontId="1" fillId="0" borderId="82" xfId="0" applyFont="1" applyBorder="1" applyAlignment="1">
      <alignment horizontal="center" vertical="center" wrapText="1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52262</xdr:colOff>
      <xdr:row>19</xdr:row>
      <xdr:rowOff>2748</xdr:rowOff>
    </xdr:from>
    <xdr:to>
      <xdr:col>19</xdr:col>
      <xdr:colOff>218456</xdr:colOff>
      <xdr:row>19</xdr:row>
      <xdr:rowOff>13332</xdr:rowOff>
    </xdr:to>
    <xdr:cxnSp macro="">
      <xdr:nvCxnSpPr>
        <xdr:cNvPr id="203" name="Curved Connector 522">
          <a:extLst>
            <a:ext uri="{FF2B5EF4-FFF2-40B4-BE49-F238E27FC236}">
              <a16:creationId xmlns:a16="http://schemas.microsoft.com/office/drawing/2014/main" id="{76FA57BB-1C11-4C71-83B9-812F4BC67F9B}"/>
            </a:ext>
          </a:extLst>
        </xdr:cNvPr>
        <xdr:cNvCxnSpPr/>
      </xdr:nvCxnSpPr>
      <xdr:spPr>
        <a:xfrm rot="16200000" flipH="1">
          <a:off x="5860187" y="3145300"/>
          <a:ext cx="10584" cy="881829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27064</xdr:colOff>
      <xdr:row>18</xdr:row>
      <xdr:rowOff>189216</xdr:rowOff>
    </xdr:from>
    <xdr:to>
      <xdr:col>22</xdr:col>
      <xdr:colOff>193258</xdr:colOff>
      <xdr:row>19</xdr:row>
      <xdr:rowOff>3252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22905" y="3309089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1" t="s">
        <v>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3"/>
    </row>
    <row r="2" spans="1:26" ht="14.25" customHeight="1">
      <c r="A2" s="601" t="s">
        <v>1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4" t="s">
        <v>7</v>
      </c>
      <c r="G3" s="602"/>
      <c r="H3" s="602"/>
      <c r="I3" s="603"/>
      <c r="J3" s="2" t="s">
        <v>8</v>
      </c>
      <c r="K3" s="604" t="s">
        <v>9</v>
      </c>
      <c r="L3" s="602"/>
      <c r="M3" s="602"/>
      <c r="N3" s="603"/>
      <c r="O3" s="2" t="s">
        <v>10</v>
      </c>
      <c r="P3" s="4" t="s">
        <v>11</v>
      </c>
      <c r="Q3" s="605" t="s">
        <v>12</v>
      </c>
      <c r="R3" s="602"/>
      <c r="S3" s="603"/>
      <c r="T3" s="606" t="s">
        <v>13</v>
      </c>
      <c r="U3" s="602"/>
      <c r="V3" s="603"/>
      <c r="W3" s="607" t="s">
        <v>14</v>
      </c>
      <c r="X3" s="608"/>
      <c r="Y3" s="60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01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3"/>
    </row>
    <row r="2" spans="1:26" ht="14.25" customHeight="1">
      <c r="A2" s="601" t="s">
        <v>296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4" t="s">
        <v>7</v>
      </c>
      <c r="G3" s="602"/>
      <c r="H3" s="602"/>
      <c r="I3" s="603"/>
      <c r="J3" s="2" t="s">
        <v>8</v>
      </c>
      <c r="K3" s="604" t="s">
        <v>9</v>
      </c>
      <c r="L3" s="602"/>
      <c r="M3" s="602"/>
      <c r="N3" s="603"/>
      <c r="O3" s="2" t="s">
        <v>10</v>
      </c>
      <c r="P3" s="4" t="s">
        <v>11</v>
      </c>
      <c r="Q3" s="605" t="s">
        <v>12</v>
      </c>
      <c r="R3" s="602"/>
      <c r="S3" s="603"/>
      <c r="T3" s="606" t="s">
        <v>13</v>
      </c>
      <c r="U3" s="602"/>
      <c r="V3" s="603"/>
      <c r="W3" s="607" t="s">
        <v>14</v>
      </c>
      <c r="X3" s="608"/>
      <c r="Y3" s="60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1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3"/>
    </row>
    <row r="2" spans="1:26" ht="14.25" customHeight="1">
      <c r="A2" s="601" t="s">
        <v>302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3"/>
    </row>
    <row r="3" spans="1:26" ht="30" customHeight="1">
      <c r="A3" s="611" t="s">
        <v>2</v>
      </c>
      <c r="B3" s="611" t="s">
        <v>3</v>
      </c>
      <c r="C3" s="611" t="s">
        <v>4</v>
      </c>
      <c r="D3" s="2" t="s">
        <v>5</v>
      </c>
      <c r="E3" s="2" t="s">
        <v>6</v>
      </c>
      <c r="F3" s="604" t="s">
        <v>7</v>
      </c>
      <c r="G3" s="602"/>
      <c r="H3" s="602"/>
      <c r="I3" s="603"/>
      <c r="J3" s="2" t="s">
        <v>8</v>
      </c>
      <c r="K3" s="604" t="s">
        <v>9</v>
      </c>
      <c r="L3" s="602"/>
      <c r="M3" s="602"/>
      <c r="N3" s="603"/>
      <c r="O3" s="2" t="s">
        <v>10</v>
      </c>
      <c r="P3" s="4" t="s">
        <v>11</v>
      </c>
      <c r="Q3" s="605" t="s">
        <v>12</v>
      </c>
      <c r="R3" s="602"/>
      <c r="S3" s="603"/>
      <c r="T3" s="606" t="s">
        <v>13</v>
      </c>
      <c r="U3" s="602"/>
      <c r="V3" s="603"/>
      <c r="W3" s="607" t="s">
        <v>14</v>
      </c>
      <c r="X3" s="608"/>
      <c r="Y3" s="609"/>
      <c r="Z3" s="610" t="s">
        <v>15</v>
      </c>
    </row>
    <row r="4" spans="1:26" ht="22.5" customHeight="1">
      <c r="A4" s="593"/>
      <c r="B4" s="593"/>
      <c r="C4" s="593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3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1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3"/>
    </row>
    <row r="2" spans="1:26" ht="14.25" customHeight="1">
      <c r="A2" s="601" t="s">
        <v>296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3"/>
    </row>
    <row r="3" spans="1:26" ht="30" customHeight="1">
      <c r="A3" s="611" t="s">
        <v>2</v>
      </c>
      <c r="B3" s="611" t="s">
        <v>3</v>
      </c>
      <c r="C3" s="611" t="s">
        <v>4</v>
      </c>
      <c r="D3" s="2" t="s">
        <v>5</v>
      </c>
      <c r="E3" s="2" t="s">
        <v>6</v>
      </c>
      <c r="F3" s="604" t="s">
        <v>7</v>
      </c>
      <c r="G3" s="602"/>
      <c r="H3" s="602"/>
      <c r="I3" s="603"/>
      <c r="J3" s="2" t="s">
        <v>8</v>
      </c>
      <c r="K3" s="604" t="s">
        <v>9</v>
      </c>
      <c r="L3" s="602"/>
      <c r="M3" s="602"/>
      <c r="N3" s="603"/>
      <c r="O3" s="2" t="s">
        <v>10</v>
      </c>
      <c r="P3" s="4" t="s">
        <v>11</v>
      </c>
      <c r="Q3" s="605" t="s">
        <v>12</v>
      </c>
      <c r="R3" s="602"/>
      <c r="S3" s="603"/>
      <c r="T3" s="606" t="s">
        <v>13</v>
      </c>
      <c r="U3" s="602"/>
      <c r="V3" s="603"/>
      <c r="W3" s="607" t="s">
        <v>14</v>
      </c>
      <c r="X3" s="608"/>
      <c r="Y3" s="609"/>
      <c r="Z3" s="610" t="s">
        <v>15</v>
      </c>
    </row>
    <row r="4" spans="1:26" ht="22.5" customHeight="1">
      <c r="A4" s="593"/>
      <c r="B4" s="593"/>
      <c r="C4" s="593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3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G21" activePane="bottomRight" state="frozen"/>
      <selection pane="topRight" activeCell="C1" sqref="C1"/>
      <selection pane="bottomLeft" activeCell="A8" sqref="A8"/>
      <selection pane="bottomRight" activeCell="P27" sqref="P27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52" t="s">
        <v>345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53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54" t="s">
        <v>346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350"/>
      <c r="O2" s="656" t="s">
        <v>347</v>
      </c>
      <c r="P2" s="655"/>
      <c r="Q2" s="65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57" t="s">
        <v>348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8"/>
      <c r="N3" s="659"/>
      <c r="O3" s="660" t="s">
        <v>349</v>
      </c>
      <c r="P3" s="655"/>
      <c r="Q3" s="65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45" t="s">
        <v>350</v>
      </c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351"/>
      <c r="N4" s="351"/>
      <c r="O4" s="642" t="s">
        <v>351</v>
      </c>
      <c r="P4" s="643"/>
      <c r="Q4" s="643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46" t="s">
        <v>353</v>
      </c>
      <c r="B5" s="647"/>
      <c r="C5" s="647"/>
      <c r="D5" s="647"/>
      <c r="E5" s="647"/>
      <c r="F5" s="647"/>
      <c r="G5" s="647"/>
      <c r="H5" s="647"/>
      <c r="I5" s="647"/>
      <c r="J5" s="647"/>
      <c r="K5" s="647"/>
      <c r="L5" s="647"/>
      <c r="M5" s="647"/>
      <c r="N5" s="647"/>
      <c r="O5" s="647"/>
      <c r="P5" s="648"/>
      <c r="Q5" s="407" t="s">
        <v>354</v>
      </c>
      <c r="R5" s="408">
        <v>46154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49" t="s">
        <v>355</v>
      </c>
      <c r="B6" s="651" t="s">
        <v>356</v>
      </c>
      <c r="C6" s="651" t="s">
        <v>357</v>
      </c>
      <c r="D6" s="651" t="s">
        <v>358</v>
      </c>
      <c r="E6" s="636" t="s">
        <v>359</v>
      </c>
      <c r="F6" s="638"/>
      <c r="G6" s="636" t="s">
        <v>360</v>
      </c>
      <c r="H6" s="638"/>
      <c r="I6" s="644" t="s">
        <v>760</v>
      </c>
      <c r="J6" s="637"/>
      <c r="K6" s="638"/>
      <c r="L6" s="636" t="s">
        <v>361</v>
      </c>
      <c r="M6" s="637"/>
      <c r="N6" s="638"/>
      <c r="O6" s="636" t="s">
        <v>362</v>
      </c>
      <c r="P6" s="637"/>
      <c r="Q6" s="638"/>
      <c r="R6" s="634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650"/>
      <c r="B7" s="620"/>
      <c r="C7" s="620"/>
      <c r="D7" s="620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5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0</v>
      </c>
      <c r="L10" s="79">
        <v>199</v>
      </c>
      <c r="M10" s="81">
        <f>'Progress-220kV'!AM411</f>
        <v>198</v>
      </c>
      <c r="N10" s="79">
        <f>D10-M10</f>
        <v>1</v>
      </c>
      <c r="O10" s="624">
        <v>1</v>
      </c>
      <c r="P10" s="624">
        <v>1</v>
      </c>
      <c r="Q10" s="639">
        <f t="shared" si="1"/>
        <v>0</v>
      </c>
      <c r="R10" s="641" t="s">
        <v>762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0</v>
      </c>
      <c r="L11" s="79">
        <v>199</v>
      </c>
      <c r="M11" s="83">
        <f>'Progress-220kV'!AV411</f>
        <v>198</v>
      </c>
      <c r="N11" s="79">
        <f>D11-M11</f>
        <v>1</v>
      </c>
      <c r="O11" s="620"/>
      <c r="P11" s="620"/>
      <c r="Q11" s="640"/>
      <c r="R11" s="641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1</v>
      </c>
      <c r="K12" s="79">
        <f>M12-H12</f>
        <v>1</v>
      </c>
      <c r="L12" s="79">
        <v>199</v>
      </c>
      <c r="M12" s="81">
        <f>'Progress-220kV'!BB411</f>
        <v>196</v>
      </c>
      <c r="N12" s="79">
        <f>D12-M12</f>
        <v>3</v>
      </c>
      <c r="O12" s="78">
        <v>2</v>
      </c>
      <c r="P12" s="78">
        <v>0</v>
      </c>
      <c r="Q12" s="78">
        <v>2</v>
      </c>
      <c r="R12" s="581" t="s">
        <v>767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31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612">
        <v>1</v>
      </c>
      <c r="P15" s="624">
        <v>0</v>
      </c>
      <c r="Q15" s="612">
        <f>+O15-P15</f>
        <v>1</v>
      </c>
      <c r="R15" s="632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20"/>
      <c r="P16" s="620"/>
      <c r="Q16" s="620"/>
      <c r="R16" s="633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4.0650000000000004</v>
      </c>
      <c r="K17" s="418">
        <f>M17-H17</f>
        <v>8.5273809999999841</v>
      </c>
      <c r="L17" s="414">
        <v>64</v>
      </c>
      <c r="M17" s="520">
        <f>'Stringing-220kV'!X3</f>
        <v>62.249215999999983</v>
      </c>
      <c r="N17" s="414">
        <f t="shared" si="6"/>
        <v>1.7507840000000172</v>
      </c>
      <c r="O17" s="413">
        <v>1</v>
      </c>
      <c r="P17" s="419">
        <v>1</v>
      </c>
      <c r="Q17" s="413">
        <f>+O17-P17</f>
        <v>0</v>
      </c>
      <c r="R17" s="420" t="s">
        <v>763</v>
      </c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25" t="s">
        <v>391</v>
      </c>
      <c r="B19" s="626"/>
      <c r="C19" s="626"/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7"/>
      <c r="Q19" s="74" t="s">
        <v>354</v>
      </c>
      <c r="R19" s="75">
        <f>+R5</f>
        <v>46154</v>
      </c>
    </row>
    <row r="20" spans="1:18" ht="30" customHeight="1">
      <c r="A20" s="628" t="s">
        <v>355</v>
      </c>
      <c r="B20" s="630" t="s">
        <v>356</v>
      </c>
      <c r="C20" s="630" t="s">
        <v>357</v>
      </c>
      <c r="D20" s="630" t="s">
        <v>358</v>
      </c>
      <c r="E20" s="621" t="s">
        <v>359</v>
      </c>
      <c r="F20" s="622"/>
      <c r="G20" s="621" t="s">
        <v>360</v>
      </c>
      <c r="H20" s="622"/>
      <c r="I20" s="621" t="str">
        <f>+I6</f>
        <v>Progress of Current Month (May'26)</v>
      </c>
      <c r="J20" s="623"/>
      <c r="K20" s="622"/>
      <c r="L20" s="621" t="s">
        <v>361</v>
      </c>
      <c r="M20" s="623"/>
      <c r="N20" s="622"/>
      <c r="O20" s="621" t="s">
        <v>362</v>
      </c>
      <c r="P20" s="623"/>
      <c r="Q20" s="622"/>
      <c r="R20" s="616" t="s">
        <v>363</v>
      </c>
    </row>
    <row r="21" spans="1:18" ht="12.75" customHeight="1">
      <c r="A21" s="629"/>
      <c r="B21" s="619"/>
      <c r="C21" s="619"/>
      <c r="D21" s="619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17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1</v>
      </c>
      <c r="L24" s="79">
        <v>39</v>
      </c>
      <c r="M24" s="81">
        <f>'Progress-132kV'!AF89</f>
        <v>35</v>
      </c>
      <c r="N24" s="79">
        <f>D24-M24</f>
        <v>4</v>
      </c>
      <c r="O24" s="82">
        <v>1</v>
      </c>
      <c r="P24" s="82">
        <v>1</v>
      </c>
      <c r="Q24" s="82">
        <f>O24-P24</f>
        <v>0</v>
      </c>
      <c r="R24" s="580" t="s">
        <v>764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1</v>
      </c>
      <c r="L25" s="79">
        <v>39</v>
      </c>
      <c r="M25" s="81">
        <f>'Progress-132kV'!AL89</f>
        <v>35</v>
      </c>
      <c r="N25" s="79">
        <f t="shared" si="9"/>
        <v>4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0.48</v>
      </c>
      <c r="K29" s="494">
        <f>M29-H29</f>
        <v>0.79549599999999998</v>
      </c>
      <c r="L29" s="494">
        <v>9</v>
      </c>
      <c r="M29" s="494">
        <f>'Stringing-132KV'!I3</f>
        <v>5.795496</v>
      </c>
      <c r="N29" s="494">
        <f t="shared" ref="N29:N31" si="11">D29-M29</f>
        <v>3.204504</v>
      </c>
      <c r="O29" s="612">
        <v>1</v>
      </c>
      <c r="P29" s="612">
        <v>1</v>
      </c>
      <c r="Q29" s="618">
        <f>+O29-P29</f>
        <v>0</v>
      </c>
      <c r="R29" s="614" t="s">
        <v>768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0.48</v>
      </c>
      <c r="K30" s="494">
        <f>M30-H30</f>
        <v>0.47934600000000049</v>
      </c>
      <c r="L30" s="494">
        <v>9</v>
      </c>
      <c r="M30" s="494">
        <f>'Stringing-132KV'!L3</f>
        <v>5.4793460000000005</v>
      </c>
      <c r="N30" s="494">
        <f t="shared" si="11"/>
        <v>3.5206539999999995</v>
      </c>
      <c r="O30" s="613"/>
      <c r="P30" s="613"/>
      <c r="Q30" s="619"/>
      <c r="R30" s="615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0</v>
      </c>
      <c r="L31" s="495">
        <v>9</v>
      </c>
      <c r="M31" s="94"/>
      <c r="N31" s="495">
        <f t="shared" si="11"/>
        <v>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O29:O30"/>
    <mergeCell ref="P29:P30"/>
    <mergeCell ref="R29:R30"/>
    <mergeCell ref="R20:R21"/>
    <mergeCell ref="Q29:Q30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61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3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62" t="s">
        <v>410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3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62" t="s">
        <v>437</v>
      </c>
      <c r="B11" s="602"/>
      <c r="C11" s="602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3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M6" activePane="bottomRight" state="frozen"/>
      <selection pane="topRight" activeCell="D1" sqref="D1"/>
      <selection pane="bottomLeft" activeCell="A6" sqref="A6"/>
      <selection pane="bottomRight" activeCell="C15" sqref="C15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01" t="str">
        <f>+Summary!A2</f>
        <v>Name of the Line: 220KV DC AL59 line from Neemuch - Chanderiya + 132KV DC ACSS Line from Chanderiya to Hindustan Zinc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4"/>
      <c r="AL1" s="602"/>
      <c r="AM1" s="602"/>
      <c r="AN1" s="602"/>
      <c r="AO1" s="602"/>
      <c r="AP1" s="602"/>
      <c r="AQ1" s="664"/>
      <c r="AR1" s="664"/>
      <c r="AS1" s="664"/>
      <c r="AT1" s="664"/>
      <c r="AU1" s="664"/>
      <c r="AV1" s="664"/>
      <c r="AW1" s="664"/>
      <c r="AX1" s="664"/>
      <c r="AY1" s="664"/>
      <c r="AZ1" s="664"/>
      <c r="BA1" s="663"/>
    </row>
    <row r="2" spans="1:53" ht="14.25" customHeight="1">
      <c r="A2" s="601" t="str">
        <f>+Summary!A5</f>
        <v>Progress of 220kV Line</v>
      </c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  <c r="AA2" s="664"/>
      <c r="AB2" s="664"/>
      <c r="AC2" s="664"/>
      <c r="AD2" s="664"/>
      <c r="AE2" s="664"/>
      <c r="AF2" s="664"/>
      <c r="AG2" s="664"/>
      <c r="AH2" s="664"/>
      <c r="AI2" s="664"/>
      <c r="AJ2" s="664"/>
      <c r="AK2" s="664"/>
      <c r="AL2" s="602"/>
      <c r="AM2" s="602"/>
      <c r="AN2" s="602"/>
      <c r="AO2" s="602"/>
      <c r="AP2" s="602"/>
      <c r="AQ2" s="664"/>
      <c r="AR2" s="664"/>
      <c r="AS2" s="664"/>
      <c r="AT2" s="664"/>
      <c r="AU2" s="664"/>
      <c r="AV2" s="664"/>
      <c r="AW2" s="664"/>
      <c r="AX2" s="664"/>
      <c r="AY2" s="664"/>
      <c r="AZ2" s="664"/>
      <c r="BA2" s="663"/>
    </row>
    <row r="3" spans="1:53" ht="23.1" customHeight="1">
      <c r="A3" s="601" t="s">
        <v>468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3"/>
      <c r="T3" s="601" t="s">
        <v>379</v>
      </c>
      <c r="U3" s="664"/>
      <c r="V3" s="664"/>
      <c r="W3" s="664"/>
      <c r="X3" s="664"/>
      <c r="Y3" s="664"/>
      <c r="Z3" s="664"/>
      <c r="AA3" s="664"/>
      <c r="AB3" s="664"/>
      <c r="AC3" s="664"/>
      <c r="AD3" s="664"/>
      <c r="AE3" s="664"/>
      <c r="AF3" s="664"/>
      <c r="AG3" s="664"/>
      <c r="AH3" s="664"/>
      <c r="AI3" s="664"/>
      <c r="AJ3" s="664"/>
      <c r="AK3" s="663"/>
      <c r="AL3" s="601" t="s">
        <v>381</v>
      </c>
      <c r="AM3" s="602"/>
      <c r="AN3" s="602"/>
      <c r="AO3" s="602"/>
      <c r="AP3" s="603"/>
      <c r="AQ3" s="601" t="s">
        <v>469</v>
      </c>
      <c r="AR3" s="664"/>
      <c r="AS3" s="664"/>
      <c r="AT3" s="663"/>
      <c r="AU3" s="55" t="s">
        <v>470</v>
      </c>
      <c r="AV3" s="601" t="s">
        <v>471</v>
      </c>
      <c r="AW3" s="664"/>
      <c r="AX3" s="664"/>
      <c r="AY3" s="664"/>
      <c r="AZ3" s="663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65" t="s">
        <v>473</v>
      </c>
      <c r="H4" s="666"/>
      <c r="I4" s="666"/>
      <c r="J4" s="667"/>
      <c r="K4" s="665" t="s">
        <v>474</v>
      </c>
      <c r="L4" s="666"/>
      <c r="M4" s="666"/>
      <c r="N4" s="667"/>
      <c r="O4" s="668" t="s">
        <v>9</v>
      </c>
      <c r="P4" s="664"/>
      <c r="Q4" s="664"/>
      <c r="R4" s="663"/>
      <c r="S4" s="121" t="s">
        <v>475</v>
      </c>
      <c r="T4" s="55" t="s">
        <v>476</v>
      </c>
      <c r="U4" s="2" t="s">
        <v>477</v>
      </c>
      <c r="V4" s="601" t="s">
        <v>478</v>
      </c>
      <c r="W4" s="664"/>
      <c r="X4" s="663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69" t="s">
        <v>487</v>
      </c>
      <c r="AH4" s="663"/>
      <c r="AI4" s="601" t="s">
        <v>488</v>
      </c>
      <c r="AJ4" s="663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766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 t="s">
        <v>765</v>
      </c>
      <c r="AG12" s="15"/>
      <c r="AH12" s="15"/>
      <c r="AI12" s="6"/>
      <c r="AJ12" s="6"/>
      <c r="AK12" s="400"/>
      <c r="AL12" s="400"/>
      <c r="AM12" s="400"/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896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765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35</v>
      </c>
      <c r="AL89" s="139">
        <f>+COUNTIF($AL$6:$AL$88,"C")</f>
        <v>35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AR394" activePane="bottomRight" state="frozen"/>
      <selection activeCell="A5" sqref="A5"/>
      <selection pane="topRight" activeCell="L5" sqref="L5"/>
      <selection pane="bottomLeft" activeCell="A20" sqref="A20"/>
      <selection pane="bottomRight" activeCell="BB405" sqref="BB405"/>
    </sheetView>
  </sheetViews>
  <sheetFormatPr defaultColWidth="14.42578125" defaultRowHeight="15" customHeight="1"/>
  <cols>
    <col min="1" max="1" width="4.5703125" customWidth="1"/>
    <col min="2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73" t="s">
        <v>508</v>
      </c>
      <c r="I4" s="674"/>
      <c r="J4" s="674"/>
      <c r="K4" s="675"/>
      <c r="L4" s="673" t="s">
        <v>473</v>
      </c>
      <c r="M4" s="676"/>
      <c r="N4" s="676"/>
      <c r="O4" s="676"/>
      <c r="P4" s="677"/>
      <c r="Q4" s="673" t="s">
        <v>474</v>
      </c>
      <c r="R4" s="676"/>
      <c r="S4" s="677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04" t="s">
        <v>513</v>
      </c>
      <c r="AC6" s="603"/>
      <c r="AD6" s="604" t="s">
        <v>514</v>
      </c>
      <c r="AE6" s="602"/>
      <c r="AF6" s="602"/>
      <c r="AG6" s="602"/>
      <c r="AH6" s="602"/>
      <c r="AI6" s="602"/>
      <c r="AJ6" s="602"/>
      <c r="AK6" s="603"/>
      <c r="AL6" s="160"/>
      <c r="AM6" s="55" t="s">
        <v>515</v>
      </c>
      <c r="AN6" s="6" t="s">
        <v>516</v>
      </c>
      <c r="AO6" s="6" t="s">
        <v>517</v>
      </c>
      <c r="AP6" s="669" t="s">
        <v>487</v>
      </c>
      <c r="AQ6" s="603"/>
      <c r="AR6" s="601" t="s">
        <v>488</v>
      </c>
      <c r="AS6" s="603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70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71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71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72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 t="s">
        <v>765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198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198</v>
      </c>
      <c r="AW411" s="15"/>
      <c r="AX411" s="278"/>
      <c r="AY411" s="278"/>
      <c r="AZ411" s="182"/>
      <c r="BA411" s="183"/>
      <c r="BB411" s="15">
        <f>+COUNTIF($BB$8:$BB$410,"C")-2</f>
        <v>196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D16" sqref="D16:D23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78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3"/>
    </row>
    <row r="2" spans="1:25" ht="14.25" customHeight="1">
      <c r="A2" s="678" t="str">
        <f>+Summary!A5</f>
        <v>Progress of 220kV Line</v>
      </c>
      <c r="B2" s="602"/>
      <c r="C2" s="602"/>
      <c r="D2" s="603"/>
      <c r="E2" s="119"/>
      <c r="F2" s="678" t="s">
        <v>602</v>
      </c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3"/>
      <c r="R2" s="205"/>
      <c r="S2" s="678" t="s">
        <v>603</v>
      </c>
      <c r="T2" s="602"/>
      <c r="U2" s="602"/>
      <c r="V2" s="602"/>
      <c r="W2" s="602"/>
      <c r="X2" s="602"/>
      <c r="Y2" s="603"/>
    </row>
    <row r="3" spans="1:25" ht="14.25" customHeight="1">
      <c r="A3" s="678" t="s">
        <v>604</v>
      </c>
      <c r="B3" s="602"/>
      <c r="C3" s="603"/>
      <c r="D3" s="206">
        <f>Summary!R5</f>
        <v>46154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62.249215999999983</v>
      </c>
      <c r="V3" s="209"/>
      <c r="W3" s="209">
        <f>SUMIF(V7:V213,"WIP",$D$7:$D$213)/1000</f>
        <v>0</v>
      </c>
      <c r="X3" s="209">
        <f>SUMIF(V7:V213,"C",$D$7:$D$213)/1000</f>
        <v>62.249215999999983</v>
      </c>
      <c r="Y3" s="208"/>
    </row>
    <row r="4" spans="1:25" ht="14.25" customHeight="1">
      <c r="A4" s="211" t="s">
        <v>2</v>
      </c>
      <c r="B4" s="679" t="s">
        <v>459</v>
      </c>
      <c r="C4" s="603"/>
      <c r="D4" s="211" t="s">
        <v>605</v>
      </c>
      <c r="E4" s="212" t="s">
        <v>606</v>
      </c>
      <c r="F4" s="55" t="s">
        <v>607</v>
      </c>
      <c r="G4" s="604" t="s">
        <v>608</v>
      </c>
      <c r="H4" s="602"/>
      <c r="I4" s="603"/>
      <c r="J4" s="604" t="s">
        <v>388</v>
      </c>
      <c r="K4" s="602"/>
      <c r="L4" s="603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01" t="s">
        <v>612</v>
      </c>
      <c r="T4" s="602"/>
      <c r="U4" s="603"/>
      <c r="V4" s="601" t="s">
        <v>613</v>
      </c>
      <c r="W4" s="602"/>
      <c r="X4" s="603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7" priority="98" operator="containsText" text="WIP">
      <formula>NOT(ISERROR(SEARCH(("WIP"),(E17))))</formula>
    </cfRule>
  </conditionalFormatting>
  <conditionalFormatting sqref="F13:F18">
    <cfRule type="containsText" dxfId="1536" priority="99" operator="containsText" text="WIP">
      <formula>NOT(ISERROR(SEARCH(("WIP"),(F13))))</formula>
    </cfRule>
  </conditionalFormatting>
  <conditionalFormatting sqref="F50 E85:E101">
    <cfRule type="containsText" dxfId="1535" priority="89" operator="containsText" text="C">
      <formula>NOT(ISERROR(SEARCH(("C"),(E95))))</formula>
    </cfRule>
  </conditionalFormatting>
  <conditionalFormatting sqref="F51">
    <cfRule type="containsText" dxfId="1534" priority="65" operator="containsText" text="C">
      <formula>NOT(ISERROR(SEARCH(("C"),(F51))))</formula>
    </cfRule>
  </conditionalFormatting>
  <conditionalFormatting sqref="F131">
    <cfRule type="containsText" dxfId="1533" priority="101" operator="containsText" text="WIP">
      <formula>NOT(ISERROR(SEARCH(("WIP"),(F131))))</formula>
    </cfRule>
  </conditionalFormatting>
  <conditionalFormatting sqref="F132:F161">
    <cfRule type="containsText" dxfId="1532" priority="102" operator="containsText" text="C">
      <formula>NOT(ISERROR(SEARCH(("C"),(F132))))</formula>
    </cfRule>
  </conditionalFormatting>
  <conditionalFormatting sqref="F176:F187">
    <cfRule type="containsText" dxfId="1531" priority="103" operator="containsText" text="C">
      <formula>NOT(ISERROR(SEARCH(("C"),(F176))))</formula>
    </cfRule>
  </conditionalFormatting>
  <conditionalFormatting sqref="F30:G32">
    <cfRule type="containsText" dxfId="1530" priority="104" operator="containsText" text="WIP">
      <formula>NOT(ISERROR(SEARCH(("WIP"),(F30))))</formula>
    </cfRule>
  </conditionalFormatting>
  <conditionalFormatting sqref="F42:G50 E42:E60 E64:E84">
    <cfRule type="containsText" dxfId="1529" priority="88" operator="containsText" text="C">
      <formula>NOT(ISERROR(SEARCH(("C"),(E42))))</formula>
    </cfRule>
  </conditionalFormatting>
  <conditionalFormatting sqref="F64:G101 F52:G60 E61:G63">
    <cfRule type="containsText" dxfId="1528" priority="106" operator="containsText" text="C">
      <formula>NOT(ISERROR(SEARCH(("C"),(E52))))</formula>
    </cfRule>
  </conditionalFormatting>
  <conditionalFormatting sqref="F102:G114 E102:E214 F193:F194">
    <cfRule type="containsText" dxfId="1527" priority="90" operator="containsText" text="C">
      <formula>NOT(ISERROR(SEARCH(("C"),(E102))))</formula>
    </cfRule>
  </conditionalFormatting>
  <conditionalFormatting sqref="F115:G131">
    <cfRule type="containsText" dxfId="1526" priority="109" operator="containsText" text="C">
      <formula>NOT(ISERROR(SEARCH(("C"),(F115))))</formula>
    </cfRule>
  </conditionalFormatting>
  <conditionalFormatting sqref="F162:G175">
    <cfRule type="containsText" dxfId="1525" priority="110" operator="containsText" text="C">
      <formula>NOT(ISERROR(SEARCH(("C"),(F162))))</formula>
    </cfRule>
  </conditionalFormatting>
  <conditionalFormatting sqref="F188:G192 G193:G194">
    <cfRule type="containsText" dxfId="1524" priority="120" operator="containsText" text="C">
      <formula>NOT(ISERROR(SEARCH(("C"),(F336))))</formula>
    </cfRule>
  </conditionalFormatting>
  <conditionalFormatting sqref="F195:G213">
    <cfRule type="containsText" dxfId="1523" priority="112" operator="containsText" text="C">
      <formula>NOT(ISERROR(SEARCH(("C"),(F195))))</formula>
    </cfRule>
  </conditionalFormatting>
  <conditionalFormatting sqref="G7:G22">
    <cfRule type="containsText" dxfId="1522" priority="115" operator="containsText" text="WIP">
      <formula>NOT(ISERROR(SEARCH(("WIP"),(G7))))</formula>
    </cfRule>
  </conditionalFormatting>
  <conditionalFormatting sqref="G50:G51">
    <cfRule type="containsText" dxfId="1521" priority="64" operator="containsText" text="C">
      <formula>NOT(ISERROR(SEARCH(("C"),(G50))))</formula>
    </cfRule>
  </conditionalFormatting>
  <conditionalFormatting sqref="G69:G70 E132:E133 H70">
    <cfRule type="containsText" dxfId="1520" priority="143" operator="containsText" text="WIP">
      <formula>NOT(ISERROR(SEARCH(("WIP"),(E132))))</formula>
    </cfRule>
  </conditionalFormatting>
  <conditionalFormatting sqref="G87:G88">
    <cfRule type="containsText" dxfId="1519" priority="123" operator="containsText" text="WIP">
      <formula>NOT(ISERROR(SEARCH(("WIP"),(G87))))</formula>
    </cfRule>
  </conditionalFormatting>
  <conditionalFormatting sqref="G93:G98">
    <cfRule type="containsText" dxfId="1518" priority="124" operator="containsText" text="WIP">
      <formula>NOT(ISERROR(SEARCH(("WIP"),(G93))))</formula>
    </cfRule>
  </conditionalFormatting>
  <conditionalFormatting sqref="G100 G102:G110">
    <cfRule type="containsText" dxfId="1517" priority="125" operator="containsText" text="WIP">
      <formula>NOT(ISERROR(SEARCH(("WIP"),(G100))))</formula>
    </cfRule>
  </conditionalFormatting>
  <conditionalFormatting sqref="G115 G112">
    <cfRule type="containsText" dxfId="1516" priority="126" operator="containsText" text="WIP">
      <formula>NOT(ISERROR(SEARCH(("WIP"),(G112))))</formula>
    </cfRule>
  </conditionalFormatting>
  <conditionalFormatting sqref="G119:G121">
    <cfRule type="containsText" dxfId="1515" priority="127" operator="containsText" text="WIP">
      <formula>NOT(ISERROR(SEARCH(("WIP"),(G119))))</formula>
    </cfRule>
  </conditionalFormatting>
  <conditionalFormatting sqref="G132:G134">
    <cfRule type="containsText" dxfId="1514" priority="128" operator="containsText" text="C">
      <formula>NOT(ISERROR(SEARCH(("C"),(G132))))</formula>
    </cfRule>
  </conditionalFormatting>
  <conditionalFormatting sqref="G135:G146">
    <cfRule type="containsText" dxfId="1513" priority="129" operator="containsText" text="WIP">
      <formula>NOT(ISERROR(SEARCH(("WIP"),(G135))))</formula>
    </cfRule>
  </conditionalFormatting>
  <conditionalFormatting sqref="G135:G161">
    <cfRule type="containsText" dxfId="1512" priority="130" operator="containsText" text="C">
      <formula>NOT(ISERROR(SEARCH(("C"),(G135))))</formula>
    </cfRule>
  </conditionalFormatting>
  <conditionalFormatting sqref="G151 G153">
    <cfRule type="containsText" dxfId="1511" priority="131" operator="containsText" text="WIP">
      <formula>NOT(ISERROR(SEARCH(("WIP"),(G151))))</formula>
    </cfRule>
  </conditionalFormatting>
  <conditionalFormatting sqref="G155:G160">
    <cfRule type="containsText" dxfId="1510" priority="132" operator="containsText" text="WIP">
      <formula>NOT(ISERROR(SEARCH(("WIP"),(G155))))</formula>
    </cfRule>
  </conditionalFormatting>
  <conditionalFormatting sqref="G164:G171">
    <cfRule type="containsText" dxfId="1509" priority="133" operator="containsText" text="WIP">
      <formula>NOT(ISERROR(SEARCH(("WIP"),(G164))))</formula>
    </cfRule>
  </conditionalFormatting>
  <conditionalFormatting sqref="G171">
    <cfRule type="containsText" dxfId="1508" priority="134" operator="containsText" text="C">
      <formula>NOT(ISERROR(SEARCH(("C"),(G171))))</formula>
    </cfRule>
  </conditionalFormatting>
  <conditionalFormatting sqref="G173:G180">
    <cfRule type="containsText" dxfId="1507" priority="135" operator="containsText" text="WIP">
      <formula>NOT(ISERROR(SEARCH(("WIP"),(G173))))</formula>
    </cfRule>
  </conditionalFormatting>
  <conditionalFormatting sqref="G174:G187">
    <cfRule type="containsText" dxfId="1506" priority="136" operator="containsText" text="C">
      <formula>NOT(ISERROR(SEARCH(("C"),(G174))))</formula>
    </cfRule>
  </conditionalFormatting>
  <conditionalFormatting sqref="G176:G180">
    <cfRule type="containsText" dxfId="1505" priority="111" operator="containsText" text="C">
      <formula>NOT(ISERROR(SEARCH(("C"),(G176))))</formula>
    </cfRule>
  </conditionalFormatting>
  <conditionalFormatting sqref="G183:G186">
    <cfRule type="containsText" dxfId="1504" priority="137" operator="containsText" text="WIP">
      <formula>NOT(ISERROR(SEARCH(("WIP"),(G183))))</formula>
    </cfRule>
  </conditionalFormatting>
  <conditionalFormatting sqref="G188:G194">
    <cfRule type="containsText" dxfId="1503" priority="138" operator="containsText" text="WIP">
      <formula>NOT(ISERROR(SEARCH(("WIP"),(G188))))</formula>
    </cfRule>
  </conditionalFormatting>
  <conditionalFormatting sqref="G192:G194">
    <cfRule type="containsText" dxfId="1502" priority="140" operator="containsText" text="C">
      <formula>NOT(ISERROR(SEARCH(("C"),(G192))))</formula>
    </cfRule>
  </conditionalFormatting>
  <conditionalFormatting sqref="G196:G202">
    <cfRule type="containsText" dxfId="1501" priority="141" operator="containsText" text="WIP">
      <formula>NOT(ISERROR(SEARCH(("WIP"),(G196))))</formula>
    </cfRule>
  </conditionalFormatting>
  <conditionalFormatting sqref="G206:G207">
    <cfRule type="containsText" dxfId="1500" priority="142" operator="containsText" text="WIP">
      <formula>NOT(ISERROR(SEARCH(("WIP"),(G206))))</formula>
    </cfRule>
  </conditionalFormatting>
  <conditionalFormatting sqref="H70">
    <cfRule type="containsText" dxfId="1499" priority="144" operator="containsText" text="C">
      <formula>NOT(ISERROR(SEARCH(("C"),(H70))))</formula>
    </cfRule>
  </conditionalFormatting>
  <conditionalFormatting sqref="J6:J12">
    <cfRule type="containsText" dxfId="1498" priority="68" operator="containsText" text="C">
      <formula>NOT(ISERROR(SEARCH(("C"),(J6))))</formula>
    </cfRule>
  </conditionalFormatting>
  <conditionalFormatting sqref="J7:J21">
    <cfRule type="containsText" dxfId="1497" priority="146" operator="containsText" text="WIP">
      <formula>NOT(ISERROR(SEARCH(("WIP"),(J7))))</formula>
    </cfRule>
  </conditionalFormatting>
  <conditionalFormatting sqref="J7:J33">
    <cfRule type="containsText" dxfId="1496" priority="147" operator="containsText" text="C">
      <formula>NOT(ISERROR(SEARCH(("C"),(J7))))</formula>
    </cfRule>
  </conditionalFormatting>
  <conditionalFormatting sqref="J30:J33">
    <cfRule type="containsText" dxfId="1495" priority="151" operator="containsText" text="WIP">
      <formula>NOT(ISERROR(SEARCH(("WIP"),(J30))))</formula>
    </cfRule>
  </conditionalFormatting>
  <conditionalFormatting sqref="J34:J46">
    <cfRule type="containsText" dxfId="1494" priority="26" operator="containsText" text="C">
      <formula>NOT(ISERROR(SEARCH(("C"),(J34))))</formula>
    </cfRule>
  </conditionalFormatting>
  <conditionalFormatting sqref="J39">
    <cfRule type="containsText" dxfId="1493" priority="153" operator="containsText" text="WIP">
      <formula>NOT(ISERROR(SEARCH(("WIP"),(J39))))</formula>
    </cfRule>
  </conditionalFormatting>
  <conditionalFormatting sqref="J47:J83 J39">
    <cfRule type="containsText" dxfId="1492" priority="155" operator="containsText" text="C">
      <formula>NOT(ISERROR(SEARCH(("C"),(J39))))</formula>
    </cfRule>
  </conditionalFormatting>
  <conditionalFormatting sqref="J50:J51">
    <cfRule type="containsText" dxfId="1491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90" priority="156" operator="containsText" text="WIP">
      <formula>NOT(ISERROR(SEARCH(("WIP"),(G58))))</formula>
    </cfRule>
  </conditionalFormatting>
  <conditionalFormatting sqref="J84:J101">
    <cfRule type="containsText" dxfId="1489" priority="157" operator="containsText" text="C">
      <formula>NOT(ISERROR(SEARCH(("C"),(J84))))</formula>
    </cfRule>
  </conditionalFormatting>
  <conditionalFormatting sqref="J88:J98">
    <cfRule type="containsText" dxfId="1488" priority="159" operator="containsText" text="WIP">
      <formula>NOT(ISERROR(SEARCH(("WIP"),(J88))))</formula>
    </cfRule>
  </conditionalFormatting>
  <conditionalFormatting sqref="J100:J122">
    <cfRule type="containsText" dxfId="1487" priority="158" operator="containsText" text="WIP">
      <formula>NOT(ISERROR(SEARCH(("WIP"),(J100))))</formula>
    </cfRule>
  </conditionalFormatting>
  <conditionalFormatting sqref="J102:J133">
    <cfRule type="containsText" dxfId="1486" priority="160" operator="containsText" text="C">
      <formula>NOT(ISERROR(SEARCH(("C"),(J102))))</formula>
    </cfRule>
  </conditionalFormatting>
  <conditionalFormatting sqref="J113:J117">
    <cfRule type="containsText" dxfId="1485" priority="162" operator="containsText" text="WIP">
      <formula>NOT(ISERROR(SEARCH(("WIP"),(J113))))</formula>
    </cfRule>
  </conditionalFormatting>
  <conditionalFormatting sqref="J132:J151">
    <cfRule type="containsText" dxfId="1484" priority="163" operator="containsText" text="WIP">
      <formula>NOT(ISERROR(SEARCH(("WIP"),(J132))))</formula>
    </cfRule>
  </conditionalFormatting>
  <conditionalFormatting sqref="J133:J154">
    <cfRule type="containsText" dxfId="1483" priority="164" operator="containsText" text="C">
      <formula>NOT(ISERROR(SEARCH(("C"),(J133))))</formula>
    </cfRule>
  </conditionalFormatting>
  <conditionalFormatting sqref="J154:J171">
    <cfRule type="containsText" dxfId="1482" priority="165" operator="containsText" text="WIP">
      <formula>NOT(ISERROR(SEARCH(("WIP"),(J154))))</formula>
    </cfRule>
  </conditionalFormatting>
  <conditionalFormatting sqref="J155:J213">
    <cfRule type="containsText" dxfId="1481" priority="166" operator="containsText" text="C">
      <formula>NOT(ISERROR(SEARCH(("C"),(J155))))</formula>
    </cfRule>
  </conditionalFormatting>
  <conditionalFormatting sqref="J173:J180">
    <cfRule type="containsText" dxfId="1480" priority="168" operator="containsText" text="WIP">
      <formula>NOT(ISERROR(SEARCH(("WIP"),(J173))))</formula>
    </cfRule>
  </conditionalFormatting>
  <conditionalFormatting sqref="J186:J209">
    <cfRule type="containsText" dxfId="1479" priority="170" operator="containsText" text="WIP">
      <formula>NOT(ISERROR(SEARCH(("WIP"),(J186))))</formula>
    </cfRule>
  </conditionalFormatting>
  <conditionalFormatting sqref="J7:K8">
    <cfRule type="containsText" dxfId="1478" priority="171" operator="containsText" text="C">
      <formula>NOT(ISERROR(SEARCH(("C"),(J7))))</formula>
    </cfRule>
  </conditionalFormatting>
  <conditionalFormatting sqref="K7:K8">
    <cfRule type="containsText" dxfId="1477" priority="172" operator="containsText" text="WIP">
      <formula>NOT(ISERROR(SEARCH(("WIP"),(K7))))</formula>
    </cfRule>
  </conditionalFormatting>
  <conditionalFormatting sqref="M22:M29">
    <cfRule type="containsText" dxfId="1476" priority="185" operator="containsText" text="WIP">
      <formula>NOT(ISERROR(SEARCH(("WIP"),(M22))))</formula>
    </cfRule>
  </conditionalFormatting>
  <conditionalFormatting sqref="M22:M32">
    <cfRule type="containsText" dxfId="1475" priority="53" operator="containsText" text="C">
      <formula>NOT(ISERROR(SEARCH(("C"),(M22))))</formula>
    </cfRule>
  </conditionalFormatting>
  <conditionalFormatting sqref="M30 M51:N51 M61:N64 M6:N6">
    <cfRule type="containsText" dxfId="1474" priority="52" operator="containsText" text="WIP">
      <formula>NOT(ISERROR(SEARCH(("WIP"),(M6))))</formula>
    </cfRule>
  </conditionalFormatting>
  <conditionalFormatting sqref="M30 M51:N51 M61:N64">
    <cfRule type="containsText" dxfId="1473" priority="51" operator="containsText" text="C">
      <formula>NOT(ISERROR(SEARCH(("C"),(M30))))</formula>
    </cfRule>
  </conditionalFormatting>
  <conditionalFormatting sqref="M33:M34">
    <cfRule type="containsText" dxfId="1472" priority="50" operator="containsText" text="C">
      <formula>NOT(ISERROR(SEARCH(("C"),(M33))))</formula>
    </cfRule>
  </conditionalFormatting>
  <conditionalFormatting sqref="M40:M41">
    <cfRule type="containsText" dxfId="1471" priority="42" operator="containsText" text="WIP">
      <formula>NOT(ISERROR(SEARCH(("WIP"),(M40))))</formula>
    </cfRule>
  </conditionalFormatting>
  <conditionalFormatting sqref="M40:M43">
    <cfRule type="containsText" dxfId="1470" priority="43" operator="containsText" text="C">
      <formula>NOT(ISERROR(SEARCH(("C"),(M40))))</formula>
    </cfRule>
  </conditionalFormatting>
  <conditionalFormatting sqref="M42:M43">
    <cfRule type="containsText" dxfId="1469" priority="46" operator="containsText" text="WIP">
      <formula>NOT(ISERROR(SEARCH(("WIP"),(M42))))</formula>
    </cfRule>
    <cfRule type="containsText" dxfId="1468" priority="47" operator="containsText" text="C">
      <formula>NOT(ISERROR(SEARCH(("C"),(M42))))</formula>
    </cfRule>
  </conditionalFormatting>
  <conditionalFormatting sqref="M44:M46 M77:N79">
    <cfRule type="containsText" dxfId="1467" priority="22" operator="containsText" text="C">
      <formula>NOT(ISERROR(SEARCH(("C"),(M44))))</formula>
    </cfRule>
    <cfRule type="containsText" dxfId="1466" priority="23" operator="containsText" text="WIP">
      <formula>NOT(ISERROR(SEARCH(("WIP"),(M44))))</formula>
    </cfRule>
    <cfRule type="containsText" dxfId="1465" priority="24" operator="containsText" text="C">
      <formula>NOT(ISERROR(SEARCH(("C"),(M44))))</formula>
    </cfRule>
  </conditionalFormatting>
  <conditionalFormatting sqref="M88">
    <cfRule type="containsText" dxfId="1464" priority="176" operator="containsText" text="WIP">
      <formula>NOT(ISERROR(SEARCH(("WIP"),(M88))))</formula>
    </cfRule>
    <cfRule type="containsText" dxfId="1463" priority="177" operator="containsText" text="C">
      <formula>NOT(ISERROR(SEARCH(("C"),(M88))))</formula>
    </cfRule>
  </conditionalFormatting>
  <conditionalFormatting sqref="M6:N12">
    <cfRule type="containsText" dxfId="1462" priority="9" operator="containsText" text="C">
      <formula>NOT(ISERROR(SEARCH(("C"),(M6))))</formula>
    </cfRule>
  </conditionalFormatting>
  <conditionalFormatting sqref="M7:N12">
    <cfRule type="containsText" dxfId="1461" priority="8" operator="containsText" text="WIP">
      <formula>NOT(ISERROR(SEARCH(("WIP"),(M7))))</formula>
    </cfRule>
  </conditionalFormatting>
  <conditionalFormatting sqref="M13:N14">
    <cfRule type="containsText" dxfId="1460" priority="14" operator="containsText" text="C">
      <formula>NOT(ISERROR(SEARCH(("C"),(M13))))</formula>
    </cfRule>
  </conditionalFormatting>
  <conditionalFormatting sqref="M15:N16">
    <cfRule type="containsText" dxfId="1459" priority="15" operator="containsText" text="WIP">
      <formula>NOT(ISERROR(SEARCH(("WIP"),(M15))))</formula>
    </cfRule>
  </conditionalFormatting>
  <conditionalFormatting sqref="M15:N18">
    <cfRule type="containsText" dxfId="1458" priority="16" operator="containsText" text="C">
      <formula>NOT(ISERROR(SEARCH(("C"),(M15))))</formula>
    </cfRule>
  </conditionalFormatting>
  <conditionalFormatting sqref="M31:N32">
    <cfRule type="containsText" dxfId="1457" priority="55" operator="containsText" text="WIP">
      <formula>NOT(ISERROR(SEARCH(("WIP"),(M31))))</formula>
    </cfRule>
  </conditionalFormatting>
  <conditionalFormatting sqref="M31:N41 M6:N10 M47:N76 E6:G41">
    <cfRule type="containsText" dxfId="1456" priority="67" operator="containsText" text="C">
      <formula>NOT(ISERROR(SEARCH(("C"),(E6))))</formula>
    </cfRule>
  </conditionalFormatting>
  <conditionalFormatting sqref="M33:N34">
    <cfRule type="containsText" dxfId="1455" priority="29" operator="containsText" text="WIP">
      <formula>NOT(ISERROR(SEARCH(("WIP"),(M33))))</formula>
    </cfRule>
  </conditionalFormatting>
  <conditionalFormatting sqref="N11:N13 M13:M14 N17 N22:N30 N80:N82 M80:M83">
    <cfRule type="containsText" dxfId="1454" priority="175" operator="containsText" text="C">
      <formula>NOT(ISERROR(SEARCH(("C"),(M11))))</formula>
    </cfRule>
  </conditionalFormatting>
  <conditionalFormatting sqref="N14">
    <cfRule type="containsText" dxfId="1453" priority="13" operator="containsText" text="WIP">
      <formula>NOT(ISERROR(SEARCH(("WIP"),(N14))))</formula>
    </cfRule>
  </conditionalFormatting>
  <conditionalFormatting sqref="N17 N80:N82 M80:M83 N22:N30 N13 M13:M14">
    <cfRule type="containsText" dxfId="1452" priority="174" operator="containsText" text="WIP">
      <formula>NOT(ISERROR(SEARCH(("WIP"),(M13))))</formula>
    </cfRule>
  </conditionalFormatting>
  <conditionalFormatting sqref="N17 N80:N82 M80:M83">
    <cfRule type="containsText" dxfId="1451" priority="173" operator="containsText" text="C">
      <formula>NOT(ISERROR(SEARCH(("C"),(M17))))</formula>
    </cfRule>
  </conditionalFormatting>
  <conditionalFormatting sqref="N22:N32">
    <cfRule type="containsText" dxfId="1450" priority="59" operator="containsText" text="C">
      <formula>NOT(ISERROR(SEARCH(("C"),(N22))))</formula>
    </cfRule>
  </conditionalFormatting>
  <conditionalFormatting sqref="N33:N34">
    <cfRule type="containsText" dxfId="1449" priority="28" operator="containsText" text="C">
      <formula>NOT(ISERROR(SEARCH(("C"),(N33))))</formula>
    </cfRule>
  </conditionalFormatting>
  <conditionalFormatting sqref="N39">
    <cfRule type="containsText" dxfId="1448" priority="20" operator="containsText" text="WIP">
      <formula>NOT(ISERROR(SEARCH(("WIP"),(N39))))</formula>
    </cfRule>
  </conditionalFormatting>
  <conditionalFormatting sqref="N39:N40">
    <cfRule type="containsText" dxfId="1447" priority="21" operator="containsText" text="C">
      <formula>NOT(ISERROR(SEARCH(("C"),(N39))))</formula>
    </cfRule>
  </conditionalFormatting>
  <conditionalFormatting sqref="N40:N46">
    <cfRule type="containsText" dxfId="1446" priority="32" operator="containsText" text="WIP">
      <formula>NOT(ISERROR(SEARCH(("WIP"),(N40))))</formula>
    </cfRule>
  </conditionalFormatting>
  <conditionalFormatting sqref="N41:N46">
    <cfRule type="containsText" dxfId="1445" priority="36" operator="containsText" text="C">
      <formula>NOT(ISERROR(SEARCH(("C"),(N41))))</formula>
    </cfRule>
  </conditionalFormatting>
  <conditionalFormatting sqref="N42:N46">
    <cfRule type="containsText" dxfId="1444" priority="25" operator="containsText" text="C">
      <formula>NOT(ISERROR(SEARCH(("C"),(N42))))</formula>
    </cfRule>
  </conditionalFormatting>
  <conditionalFormatting sqref="S6:S64">
    <cfRule type="containsText" dxfId="1443" priority="5" operator="containsText" text="WIP">
      <formula>NOT(ISERROR(SEARCH(("WIP"),(S6))))</formula>
    </cfRule>
  </conditionalFormatting>
  <conditionalFormatting sqref="S6:S70">
    <cfRule type="containsText" dxfId="1442" priority="6" operator="containsText" text="C">
      <formula>NOT(ISERROR(SEARCH(("C"),(S6))))</formula>
    </cfRule>
  </conditionalFormatting>
  <conditionalFormatting sqref="S86:S93 V86:V93">
    <cfRule type="containsText" dxfId="1441" priority="189" operator="containsText" text="WIP">
      <formula>NOT(ISERROR(SEARCH(("WIP"),(S86))))</formula>
    </cfRule>
    <cfRule type="containsText" dxfId="1440" priority="190" operator="containsText" text="C">
      <formula>NOT(ISERROR(SEARCH(("C"),(S86))))</formula>
    </cfRule>
  </conditionalFormatting>
  <conditionalFormatting sqref="S103:S213">
    <cfRule type="containsText" dxfId="1439" priority="191" operator="containsText" text="WIP">
      <formula>NOT(ISERROR(SEARCH(("WIP"),(S103))))</formula>
    </cfRule>
    <cfRule type="containsText" dxfId="1438" priority="192" operator="containsText" text="C">
      <formula>NOT(ISERROR(SEARCH(("C"),(S103))))</formula>
    </cfRule>
  </conditionalFormatting>
  <conditionalFormatting sqref="V6:V64">
    <cfRule type="containsText" dxfId="1437" priority="1" operator="containsText" text="WIP">
      <formula>NOT(ISERROR(SEARCH(("WIP"),(V6))))</formula>
    </cfRule>
  </conditionalFormatting>
  <conditionalFormatting sqref="V6:V70">
    <cfRule type="containsText" dxfId="1436" priority="2" operator="containsText" text="C">
      <formula>NOT(ISERROR(SEARCH(("C"),(V6))))</formula>
    </cfRule>
  </conditionalFormatting>
  <conditionalFormatting sqref="V103:V213">
    <cfRule type="containsText" dxfId="1435" priority="196" operator="containsText" text="WIP">
      <formula>NOT(ISERROR(SEARCH(("WIP"),(V103))))</formula>
    </cfRule>
    <cfRule type="containsText" dxfId="1434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24" activePane="bottomRight" state="frozen"/>
      <selection pane="topRight" activeCell="E1" sqref="E1"/>
      <selection pane="bottomLeft" activeCell="A6" sqref="A6"/>
      <selection pane="bottomRight" activeCell="L37" sqref="L37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84" t="str">
        <f>+Summary!A2</f>
        <v>Name of the Line: 220KV DC AL59 line from Neemuch - Chanderiya + 132KV DC ACSS Line from Chanderiya to Hindustan Zinc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6"/>
    </row>
    <row r="2" spans="1:26" ht="14.25" customHeight="1">
      <c r="A2" s="683" t="str">
        <f>+Summary!A5</f>
        <v>Progress of 220kV Line</v>
      </c>
      <c r="B2" s="681"/>
      <c r="C2" s="681"/>
      <c r="D2" s="681"/>
      <c r="E2" s="461"/>
      <c r="F2" s="683" t="s">
        <v>602</v>
      </c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469"/>
      <c r="T2" s="683" t="s">
        <v>603</v>
      </c>
      <c r="U2" s="681"/>
      <c r="V2" s="681"/>
      <c r="W2" s="681"/>
      <c r="X2" s="681"/>
      <c r="Y2" s="681"/>
      <c r="Z2" s="681"/>
    </row>
    <row r="3" spans="1:26" ht="14.25" customHeight="1">
      <c r="A3" s="683" t="s">
        <v>604</v>
      </c>
      <c r="B3" s="681"/>
      <c r="C3" s="681"/>
      <c r="D3" s="468">
        <f>Summary!R5</f>
        <v>46154</v>
      </c>
      <c r="E3" s="455">
        <f>SUMIF(E6:E52,"C",$D$6:$D$52)/1000</f>
        <v>5.795496</v>
      </c>
      <c r="F3" s="461"/>
      <c r="G3" s="461"/>
      <c r="H3" s="456">
        <f>SUMIF(G7:G45,"WIP",$D$7:$D$45)/1000</f>
        <v>0</v>
      </c>
      <c r="I3" s="455">
        <f>SUMIF(G6:G52,"C",$D$6:$D$52)/1000</f>
        <v>5.795496</v>
      </c>
      <c r="J3" s="461"/>
      <c r="K3" s="456">
        <f>SUMIF(J7:J45,"WIP",$D$7:$D$45)/1000</f>
        <v>0</v>
      </c>
      <c r="L3" s="455">
        <f>SUMIF(J6:J52,"C",$D$6:$D$52)/1000</f>
        <v>5.4793460000000005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SUMIF(T7:T45,"C",$D$7:$D$45)/1000</f>
        <v>0</v>
      </c>
      <c r="W3" s="456"/>
      <c r="X3" s="456">
        <f>SUMIF(W7:W45,"WIP",$D$7:$D$45)/1000</f>
        <v>0</v>
      </c>
      <c r="Y3" s="456">
        <f>SUMIF(W7:W45,"C",$D$7:$D$45)/1000</f>
        <v>0</v>
      </c>
      <c r="Z3" s="461"/>
    </row>
    <row r="4" spans="1:26" ht="14.25" customHeight="1">
      <c r="A4" s="457" t="s">
        <v>2</v>
      </c>
      <c r="B4" s="680" t="s">
        <v>459</v>
      </c>
      <c r="C4" s="681"/>
      <c r="D4" s="457" t="s">
        <v>605</v>
      </c>
      <c r="E4" s="457" t="s">
        <v>606</v>
      </c>
      <c r="F4" s="459" t="s">
        <v>607</v>
      </c>
      <c r="G4" s="682" t="s">
        <v>608</v>
      </c>
      <c r="H4" s="681"/>
      <c r="I4" s="681"/>
      <c r="J4" s="682" t="s">
        <v>388</v>
      </c>
      <c r="K4" s="681"/>
      <c r="L4" s="681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83" t="s">
        <v>612</v>
      </c>
      <c r="U4" s="681"/>
      <c r="V4" s="681"/>
      <c r="W4" s="683" t="s">
        <v>613</v>
      </c>
      <c r="X4" s="681"/>
      <c r="Y4" s="681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51"/>
      <c r="U22" s="463"/>
      <c r="V22" s="463"/>
      <c r="W22" s="451"/>
      <c r="X22" s="463"/>
      <c r="Y22" s="463"/>
      <c r="Z22" s="451"/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51"/>
      <c r="U23" s="463"/>
      <c r="V23" s="463"/>
      <c r="W23" s="451"/>
      <c r="X23" s="463"/>
      <c r="Y23" s="463"/>
      <c r="Z23" s="451"/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51"/>
      <c r="U24" s="463"/>
      <c r="V24" s="463"/>
      <c r="W24" s="451"/>
      <c r="X24" s="463"/>
      <c r="Y24" s="463"/>
      <c r="Z24" s="451"/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51"/>
      <c r="U25" s="463"/>
      <c r="V25" s="463"/>
      <c r="W25" s="451"/>
      <c r="X25" s="463"/>
      <c r="Y25" s="463"/>
      <c r="Z25" s="451"/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51"/>
      <c r="U26" s="463"/>
      <c r="V26" s="463"/>
      <c r="W26" s="451"/>
      <c r="X26" s="463"/>
      <c r="Y26" s="463"/>
      <c r="Z26" s="451"/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51"/>
      <c r="U27" s="463"/>
      <c r="V27" s="463"/>
      <c r="W27" s="451"/>
      <c r="X27" s="463"/>
      <c r="Y27" s="463"/>
      <c r="Z27" s="451"/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51"/>
      <c r="U28" s="463"/>
      <c r="V28" s="463"/>
      <c r="W28" s="451"/>
      <c r="X28" s="463"/>
      <c r="Y28" s="463"/>
      <c r="Z28" s="451"/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51"/>
      <c r="U29" s="463"/>
      <c r="V29" s="463"/>
      <c r="W29" s="451"/>
      <c r="X29" s="463"/>
      <c r="Y29" s="463"/>
      <c r="Z29" s="451"/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51"/>
      <c r="U30" s="463"/>
      <c r="V30" s="463"/>
      <c r="W30" s="451"/>
      <c r="X30" s="463"/>
      <c r="Y30" s="463"/>
      <c r="Z30" s="451"/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51"/>
      <c r="U31" s="463"/>
      <c r="V31" s="463"/>
      <c r="W31" s="451"/>
      <c r="X31" s="463"/>
      <c r="Y31" s="463"/>
      <c r="Z31" s="451"/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51"/>
      <c r="U32" s="463"/>
      <c r="V32" s="463"/>
      <c r="W32" s="451"/>
      <c r="X32" s="463"/>
      <c r="Y32" s="463"/>
      <c r="Z32" s="451"/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51"/>
      <c r="U33" s="463"/>
      <c r="V33" s="463"/>
      <c r="W33" s="451"/>
      <c r="X33" s="463"/>
      <c r="Y33" s="463"/>
      <c r="Z33" s="451"/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51"/>
      <c r="U34" s="463"/>
      <c r="V34" s="463"/>
      <c r="W34" s="451"/>
      <c r="X34" s="463"/>
      <c r="Y34" s="463"/>
      <c r="Z34" s="451"/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51"/>
      <c r="U35" s="463"/>
      <c r="V35" s="463"/>
      <c r="W35" s="451"/>
      <c r="X35" s="463"/>
      <c r="Y35" s="463"/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52"/>
      <c r="F36" s="452"/>
      <c r="G36" s="452"/>
      <c r="H36" s="463"/>
      <c r="I36" s="463"/>
      <c r="J36" s="452"/>
      <c r="K36" s="463"/>
      <c r="L36" s="463"/>
      <c r="M36" s="452"/>
      <c r="N36" s="452"/>
      <c r="O36" s="452"/>
      <c r="P36" s="451"/>
      <c r="Q36" s="451"/>
      <c r="R36" s="451"/>
      <c r="S36" s="470"/>
      <c r="T36" s="451"/>
      <c r="U36" s="463"/>
      <c r="V36" s="463"/>
      <c r="W36" s="451"/>
      <c r="X36" s="463"/>
      <c r="Y36" s="463"/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52" t="s">
        <v>765</v>
      </c>
      <c r="K37" s="463">
        <f>I37+1</f>
        <v>46154</v>
      </c>
      <c r="L37" s="463"/>
      <c r="M37" s="452"/>
      <c r="N37" s="452"/>
      <c r="O37" s="452"/>
      <c r="P37" s="451"/>
      <c r="Q37" s="451"/>
      <c r="R37" s="451"/>
      <c r="S37" s="470"/>
      <c r="T37" s="451"/>
      <c r="U37" s="463"/>
      <c r="V37" s="463"/>
      <c r="W37" s="451"/>
      <c r="X37" s="463"/>
      <c r="Y37" s="463"/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51"/>
      <c r="U38" s="463"/>
      <c r="V38" s="463"/>
      <c r="W38" s="451"/>
      <c r="X38" s="463"/>
      <c r="Y38" s="463"/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51"/>
      <c r="U39" s="463"/>
      <c r="V39" s="463"/>
      <c r="W39" s="451"/>
      <c r="X39" s="463"/>
      <c r="Y39" s="463"/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51"/>
      <c r="U40" s="463"/>
      <c r="V40" s="463"/>
      <c r="W40" s="451"/>
      <c r="X40" s="463"/>
      <c r="Y40" s="463"/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51"/>
      <c r="U41" s="463"/>
      <c r="V41" s="463"/>
      <c r="W41" s="451"/>
      <c r="X41" s="463"/>
      <c r="Y41" s="463"/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51"/>
      <c r="U42" s="463"/>
      <c r="V42" s="463"/>
      <c r="W42" s="451"/>
      <c r="X42" s="463"/>
      <c r="Y42" s="463"/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52"/>
      <c r="F43" s="452"/>
      <c r="G43" s="452"/>
      <c r="H43" s="463"/>
      <c r="I43" s="463"/>
      <c r="J43" s="451"/>
      <c r="K43" s="463"/>
      <c r="L43" s="463"/>
      <c r="M43" s="451"/>
      <c r="N43" s="465"/>
      <c r="O43" s="451"/>
      <c r="P43" s="346"/>
      <c r="Q43" s="346"/>
      <c r="R43" s="346"/>
      <c r="S43" s="464"/>
      <c r="T43" s="451"/>
      <c r="U43" s="463"/>
      <c r="V43" s="463"/>
      <c r="W43" s="451"/>
      <c r="X43" s="463"/>
      <c r="Y43" s="463"/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51"/>
      <c r="U44" s="463"/>
      <c r="V44" s="463"/>
      <c r="W44" s="451"/>
      <c r="X44" s="463"/>
      <c r="Y44" s="463"/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51"/>
      <c r="U45" s="463"/>
      <c r="V45" s="463"/>
      <c r="W45" s="451"/>
      <c r="X45" s="463"/>
      <c r="Y45" s="463"/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66"/>
      <c r="U46" s="466"/>
      <c r="V46" s="466"/>
      <c r="W46" s="466"/>
      <c r="X46" s="466"/>
      <c r="Y46" s="466"/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66"/>
      <c r="U47" s="466"/>
      <c r="V47" s="466"/>
      <c r="W47" s="466"/>
      <c r="X47" s="466"/>
      <c r="Y47" s="466"/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66"/>
      <c r="U48" s="466"/>
      <c r="V48" s="466"/>
      <c r="W48" s="466"/>
      <c r="X48" s="466"/>
      <c r="Y48" s="466"/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66"/>
      <c r="U49" s="466"/>
      <c r="V49" s="466"/>
      <c r="W49" s="466"/>
      <c r="X49" s="466"/>
      <c r="Y49" s="466"/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66"/>
      <c r="U50" s="466"/>
      <c r="V50" s="466"/>
      <c r="W50" s="466"/>
      <c r="X50" s="466"/>
      <c r="Y50" s="466"/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66"/>
      <c r="U51" s="466"/>
      <c r="V51" s="466"/>
      <c r="W51" s="466"/>
      <c r="X51" s="466"/>
      <c r="Y51" s="466"/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66"/>
      <c r="U52" s="466"/>
      <c r="V52" s="466"/>
      <c r="W52" s="466"/>
      <c r="X52" s="466"/>
      <c r="Y52" s="466"/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 E36:G36">
    <cfRule type="containsText" dxfId="1433" priority="4" operator="containsText" text="C">
      <formula>NOT(ISERROR(SEARCH(("C"),(E6))))</formula>
    </cfRule>
  </conditionalFormatting>
  <conditionalFormatting sqref="E43:G43">
    <cfRule type="containsText" dxfId="1432" priority="17" operator="containsText" text="C">
      <formula>NOT(ISERROR(SEARCH(("C"),(E43))))</formula>
    </cfRule>
  </conditionalFormatting>
  <conditionalFormatting sqref="F13:F18">
    <cfRule type="containsText" dxfId="1431" priority="21" operator="containsText" text="WIP">
      <formula>NOT(ISERROR(SEARCH(("WIP"),(F13))))</formula>
    </cfRule>
  </conditionalFormatting>
  <conditionalFormatting sqref="G7:G21">
    <cfRule type="containsText" dxfId="1430" priority="32" operator="containsText" text="WIP">
      <formula>NOT(ISERROR(SEARCH(("WIP"),(G7))))</formula>
    </cfRule>
  </conditionalFormatting>
  <conditionalFormatting sqref="J6:J10">
    <cfRule type="containsText" dxfId="1429" priority="5" operator="containsText" text="C">
      <formula>NOT(ISERROR(SEARCH(("C"),(J6))))</formula>
    </cfRule>
  </conditionalFormatting>
  <conditionalFormatting sqref="J7:J21">
    <cfRule type="containsText" dxfId="1428" priority="56" operator="containsText" text="WIP">
      <formula>NOT(ISERROR(SEARCH(("WIP"),(J7))))</formula>
    </cfRule>
    <cfRule type="containsText" dxfId="1427" priority="57" operator="containsText" text="C">
      <formula>NOT(ISERROR(SEARCH(("C"),(J7))))</formula>
    </cfRule>
  </conditionalFormatting>
  <conditionalFormatting sqref="J36:J37">
    <cfRule type="containsText" dxfId="1426" priority="3" operator="containsText" text="C">
      <formula>NOT(ISERROR(SEARCH(("C"),(J36))))</formula>
    </cfRule>
  </conditionalFormatting>
  <conditionalFormatting sqref="J43">
    <cfRule type="containsText" dxfId="1425" priority="61" operator="containsText" text="C">
      <formula>NOT(ISERROR(SEARCH(("C"),(J43))))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8">
    <cfRule type="containsText" dxfId="1414" priority="78" operator="containsText" text="C">
      <formula>NOT(ISERROR(SEARCH(("C"),(M13))))</formula>
    </cfRule>
  </conditionalFormatting>
  <conditionalFormatting sqref="O13 M13:N14 O17 O22 M35:O38">
    <cfRule type="containsText" dxfId="1413" priority="76" operator="containsText" text="C">
      <formula>NOT(ISERROR(SEARCH(("C"),(M13))))</formula>
    </cfRule>
    <cfRule type="containsText" dxfId="1412" priority="77" operator="containsText" text="WIP">
      <formula>NOT(ISERROR(SEARCH(("WIP"),(M13))))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13" activePane="bottomLeft" state="frozen"/>
      <selection sqref="A1:H1"/>
      <selection pane="bottomLeft" activeCell="BD134" sqref="BD134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50" t="str">
        <f>+[1]Summary!A2</f>
        <v>Name of the Line: 220KV DC AL59 line from Neemuch - Chanderiya + 132KV DC ACSS Line from Chanderiya to Hindustan Zinc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1"/>
      <c r="W1" s="751"/>
      <c r="X1" s="751"/>
      <c r="Y1" s="751"/>
      <c r="Z1" s="751"/>
      <c r="AA1" s="751"/>
      <c r="AB1" s="751"/>
      <c r="AC1" s="751"/>
      <c r="AD1" s="751"/>
      <c r="AE1" s="751"/>
      <c r="AF1" s="751"/>
      <c r="AG1" s="751"/>
      <c r="AH1" s="751"/>
      <c r="AI1" s="751"/>
      <c r="AJ1" s="751"/>
      <c r="AK1" s="751"/>
      <c r="AL1" s="751"/>
      <c r="AM1" s="751"/>
      <c r="AN1" s="751"/>
      <c r="AO1" s="751"/>
      <c r="AP1" s="751"/>
      <c r="AQ1" s="751"/>
      <c r="AR1" s="751"/>
      <c r="AS1" s="751"/>
      <c r="AT1" s="751"/>
      <c r="AU1" s="752"/>
      <c r="AW1" s="753">
        <f>Summary!R5</f>
        <v>46154</v>
      </c>
      <c r="AX1" s="753"/>
      <c r="AY1" s="753"/>
      <c r="AZ1" s="753"/>
      <c r="BA1" s="753"/>
    </row>
    <row r="2" spans="1:55" ht="18.75">
      <c r="A2" s="297"/>
      <c r="T2" s="757" t="s">
        <v>664</v>
      </c>
      <c r="U2" s="757"/>
      <c r="V2" s="757"/>
      <c r="W2" s="757"/>
      <c r="X2" s="757"/>
      <c r="Y2" s="757"/>
      <c r="Z2" s="757"/>
      <c r="AA2" s="757"/>
      <c r="AB2" s="757"/>
      <c r="AC2" s="757"/>
      <c r="AD2" s="757"/>
      <c r="AK2" s="692" t="s">
        <v>26</v>
      </c>
      <c r="AL2" s="692"/>
      <c r="AM2" s="692"/>
      <c r="AN2" s="756">
        <f>AW1</f>
        <v>46154</v>
      </c>
      <c r="AO2" s="756"/>
      <c r="AP2" s="756"/>
      <c r="AW2" s="300" t="s">
        <v>621</v>
      </c>
      <c r="AX2" s="300" t="s">
        <v>622</v>
      </c>
      <c r="AY2" s="300" t="s">
        <v>623</v>
      </c>
      <c r="AZ2" s="316" t="s">
        <v>624</v>
      </c>
      <c r="BA2" s="754" t="s">
        <v>625</v>
      </c>
      <c r="BB2" s="755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88"/>
      <c r="C4" s="688"/>
      <c r="E4" s="688"/>
      <c r="F4" s="688"/>
      <c r="H4" s="739"/>
      <c r="I4" s="739"/>
      <c r="K4" s="688"/>
      <c r="L4" s="688"/>
      <c r="N4" s="688"/>
      <c r="O4" s="688"/>
      <c r="Q4" s="739"/>
      <c r="R4" s="739"/>
      <c r="T4" s="739"/>
      <c r="U4" s="739"/>
      <c r="W4" s="690"/>
      <c r="X4" s="690"/>
      <c r="Z4" s="690"/>
      <c r="AA4" s="690"/>
      <c r="AC4" s="739"/>
      <c r="AD4" s="688"/>
      <c r="AF4" s="739"/>
      <c r="AG4" s="688"/>
      <c r="AI4" s="739"/>
      <c r="AJ4" s="688"/>
      <c r="AL4" s="739"/>
      <c r="AM4" s="688"/>
      <c r="AO4" s="739"/>
      <c r="AP4" s="688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94" t="s">
        <v>33</v>
      </c>
      <c r="C7" s="694"/>
      <c r="D7" s="310"/>
      <c r="E7" s="694" t="s">
        <v>36</v>
      </c>
      <c r="F7" s="694"/>
      <c r="G7" s="310"/>
      <c r="H7" s="694" t="s">
        <v>38</v>
      </c>
      <c r="I7" s="694"/>
      <c r="J7" s="310"/>
      <c r="K7" s="734" t="s">
        <v>41</v>
      </c>
      <c r="L7" s="694"/>
      <c r="M7" s="310"/>
      <c r="N7" s="734" t="s">
        <v>43</v>
      </c>
      <c r="O7" s="694"/>
      <c r="P7" s="310"/>
      <c r="Q7" s="735" t="s">
        <v>45</v>
      </c>
      <c r="R7" s="736"/>
      <c r="S7" s="310"/>
      <c r="T7" s="693" t="s">
        <v>47</v>
      </c>
      <c r="U7" s="694"/>
      <c r="V7" s="310"/>
      <c r="W7" s="696" t="s">
        <v>48</v>
      </c>
      <c r="X7" s="691"/>
      <c r="Y7" s="310"/>
      <c r="Z7" s="696" t="s">
        <v>50</v>
      </c>
      <c r="AA7" s="691"/>
      <c r="AB7" s="310"/>
      <c r="AC7" s="699" t="s">
        <v>53</v>
      </c>
      <c r="AD7" s="694"/>
      <c r="AF7" s="699" t="s">
        <v>55</v>
      </c>
      <c r="AG7" s="694"/>
      <c r="AH7" s="310"/>
      <c r="AI7" s="694" t="s">
        <v>58</v>
      </c>
      <c r="AJ7" s="694"/>
      <c r="AK7" s="310"/>
      <c r="AL7" s="699" t="s">
        <v>59</v>
      </c>
      <c r="AM7" s="694"/>
      <c r="AN7" s="310"/>
      <c r="AO7" s="699" t="s">
        <v>61</v>
      </c>
      <c r="AP7" s="694"/>
      <c r="AQ7" s="310"/>
      <c r="AR7" s="310"/>
      <c r="AS7" s="310"/>
      <c r="AT7" s="310"/>
      <c r="AU7" s="310"/>
      <c r="BA7" s="345"/>
      <c r="BB7" s="345"/>
    </row>
    <row r="8" spans="1:55">
      <c r="A8" s="297"/>
      <c r="B8" s="738" t="s">
        <v>34</v>
      </c>
      <c r="C8" s="738"/>
      <c r="D8" s="365"/>
      <c r="E8" s="738" t="s">
        <v>37</v>
      </c>
      <c r="F8" s="738"/>
      <c r="G8" s="365"/>
      <c r="H8" s="738" t="s">
        <v>39</v>
      </c>
      <c r="I8" s="738"/>
      <c r="J8" s="365"/>
      <c r="K8" s="740" t="s">
        <v>42</v>
      </c>
      <c r="L8" s="738"/>
      <c r="M8" s="365"/>
      <c r="N8" s="740" t="s">
        <v>37</v>
      </c>
      <c r="O8" s="738"/>
      <c r="P8" s="365"/>
      <c r="Q8" s="743" t="s">
        <v>46</v>
      </c>
      <c r="R8" s="743"/>
      <c r="S8" s="365"/>
      <c r="T8" s="743" t="s">
        <v>37</v>
      </c>
      <c r="U8" s="743"/>
      <c r="V8" s="365"/>
      <c r="W8" s="738" t="s">
        <v>39</v>
      </c>
      <c r="X8" s="738"/>
      <c r="Y8" s="365"/>
      <c r="Z8" s="738" t="s">
        <v>51</v>
      </c>
      <c r="AA8" s="738"/>
      <c r="AB8" s="365"/>
      <c r="AC8" s="738" t="s">
        <v>54</v>
      </c>
      <c r="AD8" s="738"/>
      <c r="AE8" s="531"/>
      <c r="AF8" s="738" t="s">
        <v>56</v>
      </c>
      <c r="AG8" s="738"/>
      <c r="AH8" s="365"/>
      <c r="AI8" s="738" t="s">
        <v>39</v>
      </c>
      <c r="AJ8" s="738"/>
      <c r="AK8" s="365"/>
      <c r="AL8" s="738" t="s">
        <v>42</v>
      </c>
      <c r="AM8" s="738"/>
      <c r="AN8" s="365"/>
      <c r="AO8" s="738" t="s">
        <v>62</v>
      </c>
      <c r="AP8" s="738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90"/>
      <c r="C13" s="690"/>
      <c r="E13" s="739"/>
      <c r="F13" s="688"/>
      <c r="H13" s="739"/>
      <c r="I13" s="688"/>
      <c r="K13" s="688"/>
      <c r="L13" s="688"/>
      <c r="N13" s="739"/>
      <c r="O13" s="688"/>
      <c r="Q13" s="739"/>
      <c r="R13" s="688"/>
      <c r="T13" s="739"/>
      <c r="U13" s="688"/>
      <c r="W13" s="739"/>
      <c r="X13" s="688"/>
      <c r="Z13" s="739"/>
      <c r="AA13" s="688"/>
      <c r="AC13" s="688"/>
      <c r="AD13" s="688"/>
      <c r="AF13" s="739"/>
      <c r="AG13" s="688"/>
      <c r="AI13" s="688"/>
      <c r="AJ13" s="688"/>
      <c r="AL13" s="688"/>
      <c r="AM13" s="688"/>
      <c r="AO13" s="739"/>
      <c r="AP13" s="688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91" t="s">
        <v>64</v>
      </c>
      <c r="C16" s="691"/>
      <c r="D16" s="310"/>
      <c r="E16" s="694" t="s">
        <v>67</v>
      </c>
      <c r="F16" s="694"/>
      <c r="G16" s="338"/>
      <c r="H16" s="734" t="s">
        <v>69</v>
      </c>
      <c r="I16" s="694"/>
      <c r="J16" s="309"/>
      <c r="K16" s="699" t="s">
        <v>71</v>
      </c>
      <c r="L16" s="694"/>
      <c r="M16" s="310"/>
      <c r="N16" s="699" t="s">
        <v>72</v>
      </c>
      <c r="O16" s="694"/>
      <c r="P16" s="310"/>
      <c r="Q16" s="735" t="s">
        <v>73</v>
      </c>
      <c r="R16" s="736"/>
      <c r="S16" s="310"/>
      <c r="T16" s="693" t="s">
        <v>74</v>
      </c>
      <c r="U16" s="694"/>
      <c r="V16" s="310"/>
      <c r="W16" s="696" t="s">
        <v>75</v>
      </c>
      <c r="X16" s="691"/>
      <c r="Y16" s="310"/>
      <c r="Z16" s="693" t="s">
        <v>77</v>
      </c>
      <c r="AA16" s="694"/>
      <c r="AB16" s="310"/>
      <c r="AC16" s="699" t="s">
        <v>78</v>
      </c>
      <c r="AD16" s="694"/>
      <c r="AE16" s="310"/>
      <c r="AF16" s="699" t="s">
        <v>79</v>
      </c>
      <c r="AG16" s="694"/>
      <c r="AH16" s="310"/>
      <c r="AI16" s="699" t="s">
        <v>80</v>
      </c>
      <c r="AJ16" s="694"/>
      <c r="AK16" s="310"/>
      <c r="AL16" s="699" t="s">
        <v>82</v>
      </c>
      <c r="AM16" s="694"/>
      <c r="AN16" s="310"/>
      <c r="AO16" s="699" t="s">
        <v>83</v>
      </c>
      <c r="AP16" s="694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38" t="s">
        <v>65</v>
      </c>
      <c r="C17" s="738"/>
      <c r="D17" s="365"/>
      <c r="E17" s="738" t="s">
        <v>51</v>
      </c>
      <c r="F17" s="738"/>
      <c r="G17" s="365"/>
      <c r="H17" s="738" t="s">
        <v>70</v>
      </c>
      <c r="I17" s="738"/>
      <c r="J17" s="365"/>
      <c r="K17" s="738" t="s">
        <v>56</v>
      </c>
      <c r="L17" s="738"/>
      <c r="M17" s="365"/>
      <c r="N17" s="740" t="s">
        <v>37</v>
      </c>
      <c r="O17" s="738"/>
      <c r="P17" s="365"/>
      <c r="Q17" s="740" t="s">
        <v>56</v>
      </c>
      <c r="R17" s="738"/>
      <c r="S17" s="365"/>
      <c r="T17" s="743" t="s">
        <v>37</v>
      </c>
      <c r="U17" s="743"/>
      <c r="V17" s="365"/>
      <c r="W17" s="738" t="s">
        <v>76</v>
      </c>
      <c r="X17" s="738"/>
      <c r="Y17" s="365"/>
      <c r="Z17" s="743" t="s">
        <v>70</v>
      </c>
      <c r="AA17" s="743"/>
      <c r="AB17" s="365"/>
      <c r="AC17" s="738" t="s">
        <v>70</v>
      </c>
      <c r="AD17" s="738"/>
      <c r="AE17" s="365"/>
      <c r="AF17" s="738" t="s">
        <v>70</v>
      </c>
      <c r="AG17" s="738"/>
      <c r="AH17" s="365"/>
      <c r="AI17" s="738" t="s">
        <v>81</v>
      </c>
      <c r="AJ17" s="738"/>
      <c r="AK17" s="365"/>
      <c r="AL17" s="738" t="s">
        <v>81</v>
      </c>
      <c r="AM17" s="738"/>
      <c r="AN17" s="365"/>
      <c r="AO17" s="691" t="s">
        <v>76</v>
      </c>
      <c r="AP17" s="691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37"/>
      <c r="C22" s="690"/>
      <c r="E22" s="688"/>
      <c r="F22" s="688"/>
      <c r="H22" s="739"/>
      <c r="I22" s="688"/>
      <c r="K22" s="688"/>
      <c r="L22" s="688"/>
      <c r="N22" s="688"/>
      <c r="O22" s="688"/>
      <c r="Q22" s="739"/>
      <c r="R22" s="688"/>
      <c r="T22" s="739"/>
      <c r="U22" s="688"/>
      <c r="W22" s="739"/>
      <c r="X22" s="688"/>
      <c r="Z22" s="739"/>
      <c r="AA22" s="688"/>
      <c r="AC22" s="739"/>
      <c r="AD22" s="688"/>
      <c r="AF22" s="739"/>
      <c r="AG22" s="688"/>
      <c r="AI22" s="739"/>
      <c r="AJ22" s="688"/>
      <c r="AL22" s="739"/>
      <c r="AM22" s="688"/>
      <c r="AO22" s="739"/>
      <c r="AP22" s="688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96" t="s">
        <v>84</v>
      </c>
      <c r="C25" s="691"/>
      <c r="D25" s="309"/>
      <c r="E25" s="699" t="s">
        <v>86</v>
      </c>
      <c r="F25" s="694"/>
      <c r="G25" s="309"/>
      <c r="H25" s="734" t="s">
        <v>87</v>
      </c>
      <c r="I25" s="694"/>
      <c r="J25" s="310"/>
      <c r="K25" s="699" t="s">
        <v>88</v>
      </c>
      <c r="L25" s="694"/>
      <c r="M25" s="310"/>
      <c r="N25" s="699" t="s">
        <v>90</v>
      </c>
      <c r="O25" s="694"/>
      <c r="P25" s="310"/>
      <c r="Q25" s="735" t="s">
        <v>91</v>
      </c>
      <c r="R25" s="736"/>
      <c r="S25" s="310"/>
      <c r="T25" s="693" t="s">
        <v>93</v>
      </c>
      <c r="U25" s="694"/>
      <c r="V25" s="310"/>
      <c r="W25" s="696" t="s">
        <v>94</v>
      </c>
      <c r="X25" s="691"/>
      <c r="Y25" s="310"/>
      <c r="Z25" s="696" t="s">
        <v>95</v>
      </c>
      <c r="AA25" s="691"/>
      <c r="AB25" s="310"/>
      <c r="AC25" s="742" t="s">
        <v>96</v>
      </c>
      <c r="AD25" s="742"/>
      <c r="AE25" s="310"/>
      <c r="AF25" s="742" t="s">
        <v>98</v>
      </c>
      <c r="AG25" s="742"/>
      <c r="AH25" s="309"/>
      <c r="AI25" s="742" t="s">
        <v>99</v>
      </c>
      <c r="AJ25" s="742"/>
      <c r="AK25" s="336"/>
      <c r="AL25" s="742" t="s">
        <v>100</v>
      </c>
      <c r="AM25" s="742"/>
      <c r="AN25" s="309"/>
      <c r="AO25" s="742" t="s">
        <v>102</v>
      </c>
      <c r="AP25" s="742"/>
      <c r="BA25" s="345"/>
      <c r="BB25" s="345"/>
    </row>
    <row r="26" spans="1:55">
      <c r="A26" s="297"/>
      <c r="B26" s="691" t="s">
        <v>85</v>
      </c>
      <c r="C26" s="691"/>
      <c r="D26" s="309"/>
      <c r="E26" s="691" t="s">
        <v>56</v>
      </c>
      <c r="F26" s="691"/>
      <c r="G26" s="309"/>
      <c r="H26" s="691" t="s">
        <v>42</v>
      </c>
      <c r="I26" s="691"/>
      <c r="J26" s="309"/>
      <c r="K26" s="691" t="s">
        <v>89</v>
      </c>
      <c r="L26" s="691"/>
      <c r="M26" s="309"/>
      <c r="N26" s="733" t="s">
        <v>76</v>
      </c>
      <c r="O26" s="691"/>
      <c r="P26" s="309"/>
      <c r="Q26" s="733" t="s">
        <v>76</v>
      </c>
      <c r="R26" s="691"/>
      <c r="S26" s="309"/>
      <c r="T26" s="733" t="s">
        <v>81</v>
      </c>
      <c r="U26" s="691"/>
      <c r="V26" s="309"/>
      <c r="W26" s="691" t="s">
        <v>89</v>
      </c>
      <c r="X26" s="691"/>
      <c r="Y26" s="309"/>
      <c r="Z26" s="691" t="s">
        <v>56</v>
      </c>
      <c r="AA26" s="691"/>
      <c r="AB26" s="309"/>
      <c r="AC26" s="692" t="s">
        <v>37</v>
      </c>
      <c r="AD26" s="692"/>
      <c r="AE26" s="337"/>
      <c r="AF26" s="741" t="s">
        <v>39</v>
      </c>
      <c r="AG26" s="741"/>
      <c r="AH26" s="337"/>
      <c r="AI26" s="741" t="s">
        <v>76</v>
      </c>
      <c r="AJ26" s="741"/>
      <c r="AK26" s="337"/>
      <c r="AL26" s="741" t="s">
        <v>76</v>
      </c>
      <c r="AM26" s="741"/>
      <c r="AN26" s="337"/>
      <c r="AO26" s="741" t="s">
        <v>89</v>
      </c>
      <c r="AP26" s="741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37"/>
      <c r="C31" s="690"/>
      <c r="E31" s="688"/>
      <c r="F31" s="688"/>
      <c r="H31" s="688"/>
      <c r="I31" s="688"/>
      <c r="K31" s="688"/>
      <c r="L31" s="688"/>
      <c r="N31" s="688"/>
      <c r="O31" s="688"/>
      <c r="Q31" s="688"/>
      <c r="R31" s="688"/>
      <c r="T31" s="688"/>
      <c r="U31" s="688"/>
      <c r="W31" s="688"/>
      <c r="X31" s="688"/>
      <c r="Z31" s="688"/>
      <c r="AA31" s="688"/>
      <c r="AC31" s="688"/>
      <c r="AD31" s="688"/>
      <c r="AF31" s="688"/>
      <c r="AG31" s="688"/>
      <c r="AI31" s="688"/>
      <c r="AJ31" s="688"/>
      <c r="AL31" s="688"/>
      <c r="AM31" s="688"/>
      <c r="AO31" s="688"/>
      <c r="AP31" s="688"/>
      <c r="AR31" s="688"/>
      <c r="AS31" s="688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96" t="s">
        <v>104</v>
      </c>
      <c r="C34" s="691"/>
      <c r="D34" s="310"/>
      <c r="E34" s="699" t="s">
        <v>106</v>
      </c>
      <c r="F34" s="694"/>
      <c r="G34" s="310"/>
      <c r="H34" s="699" t="s">
        <v>107</v>
      </c>
      <c r="I34" s="694"/>
      <c r="J34" s="310"/>
      <c r="K34" s="699" t="s">
        <v>108</v>
      </c>
      <c r="L34" s="694"/>
      <c r="M34" s="310"/>
      <c r="N34" s="699" t="s">
        <v>109</v>
      </c>
      <c r="O34" s="694"/>
      <c r="P34" s="310"/>
      <c r="Q34" s="699" t="s">
        <v>111</v>
      </c>
      <c r="R34" s="694"/>
      <c r="S34" s="310"/>
      <c r="T34" s="699" t="s">
        <v>113</v>
      </c>
      <c r="U34" s="694"/>
      <c r="V34" s="310"/>
      <c r="W34" s="699" t="s">
        <v>115</v>
      </c>
      <c r="X34" s="694"/>
      <c r="Y34" s="309"/>
      <c r="Z34" s="699" t="s">
        <v>117</v>
      </c>
      <c r="AA34" s="694"/>
      <c r="AB34" s="310"/>
      <c r="AC34" s="699" t="s">
        <v>118</v>
      </c>
      <c r="AD34" s="694"/>
      <c r="AE34" s="310"/>
      <c r="AF34" s="699" t="s">
        <v>120</v>
      </c>
      <c r="AG34" s="694"/>
      <c r="AH34" s="309"/>
      <c r="AI34" s="699" t="s">
        <v>122</v>
      </c>
      <c r="AJ34" s="694"/>
      <c r="AK34" s="310"/>
      <c r="AL34" s="699" t="s">
        <v>568</v>
      </c>
      <c r="AM34" s="694"/>
      <c r="AN34" s="309"/>
      <c r="AO34" s="699" t="s">
        <v>123</v>
      </c>
      <c r="AP34" s="694"/>
      <c r="AQ34" s="310"/>
      <c r="AR34" s="689" t="s">
        <v>124</v>
      </c>
      <c r="AS34" s="689"/>
      <c r="AT34" s="310"/>
      <c r="AU34" s="310"/>
      <c r="BA34" s="345"/>
      <c r="BB34" s="345"/>
    </row>
    <row r="35" spans="1:55">
      <c r="A35" s="297"/>
      <c r="B35" s="691" t="s">
        <v>39</v>
      </c>
      <c r="C35" s="691"/>
      <c r="D35" s="309"/>
      <c r="E35" s="691" t="s">
        <v>70</v>
      </c>
      <c r="F35" s="691"/>
      <c r="G35" s="309"/>
      <c r="H35" s="691" t="s">
        <v>42</v>
      </c>
      <c r="I35" s="691"/>
      <c r="J35" s="309"/>
      <c r="K35" s="691" t="s">
        <v>42</v>
      </c>
      <c r="L35" s="691"/>
      <c r="M35" s="309"/>
      <c r="N35" s="691" t="s">
        <v>42</v>
      </c>
      <c r="O35" s="691"/>
      <c r="P35" s="309"/>
      <c r="Q35" s="691" t="s">
        <v>34</v>
      </c>
      <c r="R35" s="691"/>
      <c r="S35" s="309"/>
      <c r="T35" s="691" t="s">
        <v>34</v>
      </c>
      <c r="U35" s="691"/>
      <c r="V35" s="309"/>
      <c r="W35" s="691" t="s">
        <v>116</v>
      </c>
      <c r="X35" s="691"/>
      <c r="Y35" s="309"/>
      <c r="Z35" s="691" t="s">
        <v>42</v>
      </c>
      <c r="AA35" s="691"/>
      <c r="AB35" s="309"/>
      <c r="AC35" s="691" t="s">
        <v>42</v>
      </c>
      <c r="AD35" s="691"/>
      <c r="AE35" s="309"/>
      <c r="AF35" s="691" t="s">
        <v>34</v>
      </c>
      <c r="AG35" s="691"/>
      <c r="AH35" s="309"/>
      <c r="AI35" s="691" t="s">
        <v>34</v>
      </c>
      <c r="AJ35" s="691"/>
      <c r="AK35" s="309"/>
      <c r="AL35" s="691" t="s">
        <v>37</v>
      </c>
      <c r="AM35" s="691"/>
      <c r="AN35" s="309"/>
      <c r="AO35" s="691" t="s">
        <v>62</v>
      </c>
      <c r="AP35" s="691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90"/>
      <c r="C40" s="690"/>
      <c r="E40" s="688"/>
      <c r="F40" s="688"/>
      <c r="H40" s="688"/>
      <c r="I40" s="688"/>
      <c r="K40" s="688"/>
      <c r="L40" s="688"/>
      <c r="N40" s="688"/>
      <c r="O40" s="688"/>
      <c r="Q40" s="688"/>
      <c r="R40" s="688"/>
      <c r="T40" s="688"/>
      <c r="U40" s="688"/>
      <c r="W40" s="688"/>
      <c r="X40" s="688"/>
      <c r="Z40" s="688"/>
      <c r="AA40" s="688"/>
      <c r="AC40" s="688"/>
      <c r="AD40" s="688"/>
      <c r="AF40" s="688"/>
      <c r="AG40" s="688"/>
      <c r="AI40" s="688"/>
      <c r="AJ40" s="688"/>
      <c r="AL40" s="688"/>
      <c r="AM40" s="688"/>
      <c r="AO40" s="688"/>
      <c r="AP40" s="688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96" t="s">
        <v>125</v>
      </c>
      <c r="C43" s="691"/>
      <c r="D43" s="309"/>
      <c r="E43" s="699" t="s">
        <v>126</v>
      </c>
      <c r="F43" s="694"/>
      <c r="G43" s="309"/>
      <c r="H43" s="699" t="s">
        <v>127</v>
      </c>
      <c r="I43" s="694"/>
      <c r="J43" s="309"/>
      <c r="K43" s="699" t="s">
        <v>128</v>
      </c>
      <c r="L43" s="694"/>
      <c r="M43" s="309"/>
      <c r="N43" s="699" t="s">
        <v>130</v>
      </c>
      <c r="O43" s="694"/>
      <c r="P43" s="309"/>
      <c r="Q43" s="699" t="s">
        <v>131</v>
      </c>
      <c r="R43" s="694"/>
      <c r="S43" s="309"/>
      <c r="T43" s="699" t="s">
        <v>132</v>
      </c>
      <c r="U43" s="694"/>
      <c r="V43" s="309"/>
      <c r="W43" s="699" t="s">
        <v>133</v>
      </c>
      <c r="X43" s="694"/>
      <c r="Y43" s="309"/>
      <c r="Z43" s="699" t="s">
        <v>134</v>
      </c>
      <c r="AA43" s="694"/>
      <c r="AB43" s="309"/>
      <c r="AC43" s="699" t="s">
        <v>135</v>
      </c>
      <c r="AD43" s="694"/>
      <c r="AE43" s="309"/>
      <c r="AF43" s="699" t="s">
        <v>136</v>
      </c>
      <c r="AG43" s="694"/>
      <c r="AH43" s="309"/>
      <c r="AI43" s="699" t="s">
        <v>137</v>
      </c>
      <c r="AJ43" s="694"/>
      <c r="AK43" s="336"/>
      <c r="AL43" s="699" t="s">
        <v>138</v>
      </c>
      <c r="AM43" s="694"/>
      <c r="AN43" s="309"/>
      <c r="AO43" s="699" t="s">
        <v>139</v>
      </c>
      <c r="AP43" s="694"/>
      <c r="BA43" s="345"/>
      <c r="BB43" s="345"/>
    </row>
    <row r="44" spans="1:55">
      <c r="A44" s="297"/>
      <c r="B44" s="691" t="s">
        <v>76</v>
      </c>
      <c r="C44" s="691"/>
      <c r="D44" s="309"/>
      <c r="E44" s="691" t="s">
        <v>89</v>
      </c>
      <c r="F44" s="691"/>
      <c r="G44" s="309"/>
      <c r="H44" s="691" t="s">
        <v>76</v>
      </c>
      <c r="I44" s="691"/>
      <c r="J44" s="309"/>
      <c r="K44" s="691" t="s">
        <v>76</v>
      </c>
      <c r="L44" s="691"/>
      <c r="M44" s="309"/>
      <c r="N44" s="691" t="s">
        <v>39</v>
      </c>
      <c r="O44" s="691"/>
      <c r="P44" s="309"/>
      <c r="Q44" s="691" t="s">
        <v>89</v>
      </c>
      <c r="R44" s="691"/>
      <c r="S44" s="309"/>
      <c r="T44" s="691" t="s">
        <v>70</v>
      </c>
      <c r="U44" s="691"/>
      <c r="V44" s="309"/>
      <c r="W44" s="691" t="s">
        <v>37</v>
      </c>
      <c r="X44" s="691"/>
      <c r="Y44" s="309"/>
      <c r="Z44" s="691" t="s">
        <v>42</v>
      </c>
      <c r="AA44" s="691"/>
      <c r="AB44" s="309"/>
      <c r="AC44" s="691" t="s">
        <v>70</v>
      </c>
      <c r="AD44" s="691"/>
      <c r="AE44" s="309"/>
      <c r="AF44" s="691" t="s">
        <v>70</v>
      </c>
      <c r="AG44" s="691"/>
      <c r="AH44" s="309"/>
      <c r="AI44" s="691" t="s">
        <v>89</v>
      </c>
      <c r="AJ44" s="691"/>
      <c r="AK44" s="309"/>
      <c r="AL44" s="691" t="s">
        <v>70</v>
      </c>
      <c r="AM44" s="691"/>
      <c r="AN44" s="309"/>
      <c r="AO44" s="691" t="s">
        <v>42</v>
      </c>
      <c r="AP44" s="691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90"/>
      <c r="C49" s="690"/>
      <c r="E49" s="688"/>
      <c r="F49" s="688"/>
      <c r="H49" s="688"/>
      <c r="I49" s="688"/>
      <c r="K49" s="688"/>
      <c r="L49" s="688"/>
      <c r="N49" s="688"/>
      <c r="O49" s="688"/>
      <c r="Q49" s="688"/>
      <c r="R49" s="688"/>
      <c r="T49" s="688"/>
      <c r="U49" s="688"/>
      <c r="W49" s="688"/>
      <c r="X49" s="688"/>
      <c r="Z49" s="688"/>
      <c r="AA49" s="688"/>
      <c r="AC49" s="688"/>
      <c r="AD49" s="688"/>
      <c r="AF49" s="688"/>
      <c r="AG49" s="688"/>
      <c r="AI49" s="688"/>
      <c r="AJ49" s="688"/>
      <c r="AL49" s="688"/>
      <c r="AM49" s="688"/>
      <c r="AO49" s="688"/>
      <c r="AP49" s="688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96" t="s">
        <v>140</v>
      </c>
      <c r="C52" s="691"/>
      <c r="D52" s="309"/>
      <c r="E52" s="699" t="s">
        <v>141</v>
      </c>
      <c r="F52" s="694"/>
      <c r="G52" s="309"/>
      <c r="H52" s="734" t="s">
        <v>142</v>
      </c>
      <c r="I52" s="694"/>
      <c r="J52" s="310"/>
      <c r="K52" s="699" t="s">
        <v>144</v>
      </c>
      <c r="L52" s="694"/>
      <c r="M52" s="327"/>
      <c r="N52" s="699" t="s">
        <v>145</v>
      </c>
      <c r="O52" s="694"/>
      <c r="P52" s="309"/>
      <c r="Q52" s="735" t="s">
        <v>146</v>
      </c>
      <c r="R52" s="736"/>
      <c r="S52" s="309"/>
      <c r="T52" s="693" t="s">
        <v>147</v>
      </c>
      <c r="U52" s="694"/>
      <c r="V52" s="309"/>
      <c r="W52" s="696" t="s">
        <v>148</v>
      </c>
      <c r="X52" s="691"/>
      <c r="Y52" s="309"/>
      <c r="Z52" s="696" t="s">
        <v>149</v>
      </c>
      <c r="AA52" s="691"/>
      <c r="AB52" s="309"/>
      <c r="AC52" s="699" t="s">
        <v>150</v>
      </c>
      <c r="AD52" s="694"/>
      <c r="AE52" s="309"/>
      <c r="AF52" s="699" t="s">
        <v>151</v>
      </c>
      <c r="AG52" s="694"/>
      <c r="AH52" s="336"/>
      <c r="AI52" s="699" t="s">
        <v>152</v>
      </c>
      <c r="AJ52" s="694"/>
      <c r="AK52" s="336"/>
      <c r="AL52" s="699" t="s">
        <v>153</v>
      </c>
      <c r="AM52" s="694"/>
      <c r="AN52" s="309"/>
      <c r="AO52" s="699" t="s">
        <v>155</v>
      </c>
      <c r="AP52" s="694"/>
      <c r="BA52" s="345"/>
      <c r="BB52" s="345"/>
    </row>
    <row r="53" spans="1:55">
      <c r="A53" s="297"/>
      <c r="B53" s="691" t="s">
        <v>56</v>
      </c>
      <c r="C53" s="691"/>
      <c r="D53" s="309"/>
      <c r="E53" s="691" t="s">
        <v>89</v>
      </c>
      <c r="F53" s="691"/>
      <c r="G53" s="309"/>
      <c r="H53" s="691" t="s">
        <v>76</v>
      </c>
      <c r="I53" s="691"/>
      <c r="J53" s="309"/>
      <c r="K53" s="691" t="s">
        <v>116</v>
      </c>
      <c r="L53" s="691"/>
      <c r="M53" s="309"/>
      <c r="N53" s="691" t="s">
        <v>42</v>
      </c>
      <c r="O53" s="691"/>
      <c r="P53" s="309"/>
      <c r="Q53" s="733" t="s">
        <v>37</v>
      </c>
      <c r="R53" s="733"/>
      <c r="S53" s="309"/>
      <c r="T53" s="733" t="s">
        <v>42</v>
      </c>
      <c r="U53" s="733"/>
      <c r="V53" s="309"/>
      <c r="W53" s="691" t="s">
        <v>76</v>
      </c>
      <c r="X53" s="691"/>
      <c r="Y53" s="309"/>
      <c r="Z53" s="691" t="s">
        <v>81</v>
      </c>
      <c r="AA53" s="691"/>
      <c r="AB53" s="309"/>
      <c r="AC53" s="691" t="s">
        <v>85</v>
      </c>
      <c r="AD53" s="691"/>
      <c r="AE53" s="309"/>
      <c r="AF53" s="691" t="s">
        <v>42</v>
      </c>
      <c r="AG53" s="691"/>
      <c r="AH53" s="309"/>
      <c r="AI53" s="691" t="s">
        <v>42</v>
      </c>
      <c r="AJ53" s="691"/>
      <c r="AK53" s="309"/>
      <c r="AL53" s="691" t="s">
        <v>37</v>
      </c>
      <c r="AM53" s="691"/>
      <c r="AN53" s="309"/>
      <c r="AO53" s="691" t="s">
        <v>34</v>
      </c>
      <c r="AP53" s="691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90"/>
      <c r="C58" s="690"/>
      <c r="E58" s="688"/>
      <c r="F58" s="688"/>
      <c r="H58" s="688"/>
      <c r="I58" s="688"/>
      <c r="K58" s="688"/>
      <c r="L58" s="688"/>
      <c r="N58" s="688"/>
      <c r="O58" s="688"/>
      <c r="Q58" s="688"/>
      <c r="R58" s="688"/>
      <c r="T58" s="688"/>
      <c r="U58" s="688"/>
      <c r="W58" s="688"/>
      <c r="X58" s="688"/>
      <c r="Z58" s="688"/>
      <c r="AA58" s="688"/>
      <c r="AC58" s="688"/>
      <c r="AD58" s="688"/>
      <c r="AF58" s="688"/>
      <c r="AG58" s="688"/>
      <c r="AI58" s="688"/>
      <c r="AJ58" s="688"/>
      <c r="AL58" s="688"/>
      <c r="AM58" s="688"/>
      <c r="AO58" s="688"/>
      <c r="AP58" s="688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96" t="s">
        <v>156</v>
      </c>
      <c r="C61" s="691"/>
      <c r="D61" s="310"/>
      <c r="E61" s="699" t="s">
        <v>157</v>
      </c>
      <c r="F61" s="694"/>
      <c r="G61" s="310"/>
      <c r="H61" s="699" t="s">
        <v>158</v>
      </c>
      <c r="I61" s="694"/>
      <c r="J61" s="310"/>
      <c r="K61" s="699" t="s">
        <v>159</v>
      </c>
      <c r="L61" s="694"/>
      <c r="M61" s="310"/>
      <c r="N61" s="694" t="s">
        <v>161</v>
      </c>
      <c r="O61" s="694"/>
      <c r="P61" s="310"/>
      <c r="Q61" s="699" t="s">
        <v>162</v>
      </c>
      <c r="R61" s="694"/>
      <c r="S61" s="310"/>
      <c r="T61" s="694" t="s">
        <v>164</v>
      </c>
      <c r="U61" s="694"/>
      <c r="V61" s="310"/>
      <c r="W61" s="694" t="s">
        <v>166</v>
      </c>
      <c r="X61" s="694"/>
      <c r="Y61" s="310"/>
      <c r="Z61" s="699" t="s">
        <v>167</v>
      </c>
      <c r="AA61" s="694"/>
      <c r="AB61" s="310"/>
      <c r="AC61" s="694" t="s">
        <v>169</v>
      </c>
      <c r="AD61" s="694"/>
      <c r="AE61" s="310"/>
      <c r="AF61" s="699" t="s">
        <v>170</v>
      </c>
      <c r="AG61" s="694"/>
      <c r="AH61" s="310"/>
      <c r="AI61" s="693" t="s">
        <v>171</v>
      </c>
      <c r="AJ61" s="694"/>
      <c r="AK61" s="309"/>
      <c r="AL61" s="693" t="s">
        <v>172</v>
      </c>
      <c r="AM61" s="694"/>
      <c r="AN61" s="310"/>
      <c r="AO61" s="693" t="s">
        <v>173</v>
      </c>
      <c r="AP61" s="694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91" t="s">
        <v>37</v>
      </c>
      <c r="C62" s="691"/>
      <c r="D62" s="309"/>
      <c r="E62" s="691" t="s">
        <v>85</v>
      </c>
      <c r="F62" s="691"/>
      <c r="G62" s="309"/>
      <c r="H62" s="691" t="s">
        <v>42</v>
      </c>
      <c r="I62" s="691"/>
      <c r="J62" s="309"/>
      <c r="K62" s="691" t="s">
        <v>37</v>
      </c>
      <c r="L62" s="691"/>
      <c r="M62" s="309"/>
      <c r="N62" s="691" t="s">
        <v>39</v>
      </c>
      <c r="O62" s="691"/>
      <c r="P62" s="309"/>
      <c r="Q62" s="691" t="s">
        <v>42</v>
      </c>
      <c r="R62" s="691"/>
      <c r="S62" s="309"/>
      <c r="T62" s="691" t="s">
        <v>34</v>
      </c>
      <c r="U62" s="691"/>
      <c r="V62" s="309"/>
      <c r="W62" s="691" t="s">
        <v>46</v>
      </c>
      <c r="X62" s="691"/>
      <c r="Y62" s="309"/>
      <c r="Z62" s="691" t="s">
        <v>37</v>
      </c>
      <c r="AA62" s="691"/>
      <c r="AB62" s="309"/>
      <c r="AC62" s="691" t="s">
        <v>46</v>
      </c>
      <c r="AD62" s="691"/>
      <c r="AE62" s="309"/>
      <c r="AF62" s="691" t="s">
        <v>76</v>
      </c>
      <c r="AG62" s="691"/>
      <c r="AH62" s="309"/>
      <c r="AI62" s="697" t="s">
        <v>56</v>
      </c>
      <c r="AJ62" s="691"/>
      <c r="AK62" s="309"/>
      <c r="AL62" s="697" t="s">
        <v>76</v>
      </c>
      <c r="AM62" s="691"/>
      <c r="AN62" s="309"/>
      <c r="AO62" s="697" t="s">
        <v>56</v>
      </c>
      <c r="AP62" s="691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90"/>
      <c r="C67" s="690"/>
      <c r="E67" s="688"/>
      <c r="F67" s="688"/>
      <c r="H67" s="688"/>
      <c r="I67" s="688"/>
      <c r="K67" s="688"/>
      <c r="L67" s="688"/>
      <c r="N67" s="688"/>
      <c r="O67" s="688"/>
      <c r="Q67" s="688"/>
      <c r="R67" s="688"/>
      <c r="T67" s="688"/>
      <c r="U67" s="688"/>
      <c r="W67" s="688"/>
      <c r="X67" s="688"/>
      <c r="Z67" s="688"/>
      <c r="AA67" s="688"/>
      <c r="AC67" s="688"/>
      <c r="AD67" s="688"/>
      <c r="AF67" s="688"/>
      <c r="AG67" s="688"/>
      <c r="AI67" s="688"/>
      <c r="AJ67" s="688"/>
      <c r="AL67" s="688"/>
      <c r="AM67" s="688"/>
      <c r="AO67" s="688"/>
      <c r="AP67" s="688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32" t="s">
        <v>174</v>
      </c>
      <c r="C70" s="691"/>
      <c r="D70" s="310"/>
      <c r="E70" s="732" t="s">
        <v>175</v>
      </c>
      <c r="F70" s="691"/>
      <c r="G70" s="310"/>
      <c r="H70" s="693" t="s">
        <v>176</v>
      </c>
      <c r="I70" s="728"/>
      <c r="J70" s="310"/>
      <c r="K70" s="693" t="s">
        <v>177</v>
      </c>
      <c r="L70" s="728"/>
      <c r="M70" s="310"/>
      <c r="N70" s="699" t="s">
        <v>178</v>
      </c>
      <c r="O70" s="694"/>
      <c r="P70" s="310"/>
      <c r="Q70" s="694" t="s">
        <v>180</v>
      </c>
      <c r="R70" s="694"/>
      <c r="S70" s="310"/>
      <c r="T70" s="699" t="s">
        <v>181</v>
      </c>
      <c r="U70" s="694"/>
      <c r="V70" s="310"/>
      <c r="W70" s="693" t="s">
        <v>182</v>
      </c>
      <c r="X70" s="728"/>
      <c r="Y70" s="309"/>
      <c r="Z70" s="699" t="s">
        <v>183</v>
      </c>
      <c r="AA70" s="694"/>
      <c r="AB70" s="309"/>
      <c r="AC70" s="699" t="s">
        <v>184</v>
      </c>
      <c r="AD70" s="694"/>
      <c r="AE70" s="310"/>
      <c r="AF70" s="699" t="s">
        <v>185</v>
      </c>
      <c r="AG70" s="694"/>
      <c r="AH70" s="310"/>
      <c r="AI70" s="699" t="s">
        <v>186</v>
      </c>
      <c r="AJ70" s="694"/>
      <c r="AK70" s="310"/>
      <c r="AL70" s="699" t="s">
        <v>187</v>
      </c>
      <c r="AM70" s="694"/>
      <c r="AO70" s="731" t="s">
        <v>188</v>
      </c>
      <c r="AP70" s="722"/>
      <c r="BA70" s="345"/>
      <c r="BB70" s="345"/>
    </row>
    <row r="71" spans="1:55">
      <c r="A71" s="297"/>
      <c r="B71" s="697" t="s">
        <v>42</v>
      </c>
      <c r="C71" s="691"/>
      <c r="D71" s="309"/>
      <c r="E71" s="697" t="s">
        <v>37</v>
      </c>
      <c r="F71" s="691"/>
      <c r="G71" s="309"/>
      <c r="H71" s="697" t="s">
        <v>42</v>
      </c>
      <c r="I71" s="697"/>
      <c r="J71" s="309"/>
      <c r="K71" s="697" t="s">
        <v>37</v>
      </c>
      <c r="L71" s="697"/>
      <c r="M71" s="309"/>
      <c r="N71" s="691" t="s">
        <v>42</v>
      </c>
      <c r="O71" s="691"/>
      <c r="P71" s="309"/>
      <c r="Q71" s="691" t="s">
        <v>34</v>
      </c>
      <c r="R71" s="691"/>
      <c r="S71" s="309"/>
      <c r="T71" s="691" t="s">
        <v>37</v>
      </c>
      <c r="U71" s="691"/>
      <c r="V71" s="309"/>
      <c r="W71" s="697" t="s">
        <v>42</v>
      </c>
      <c r="X71" s="697"/>
      <c r="Y71" s="309"/>
      <c r="Z71" s="691" t="s">
        <v>42</v>
      </c>
      <c r="AA71" s="691"/>
      <c r="AB71" s="309"/>
      <c r="AC71" s="691" t="s">
        <v>56</v>
      </c>
      <c r="AD71" s="691"/>
      <c r="AE71" s="310"/>
      <c r="AF71" s="691" t="s">
        <v>37</v>
      </c>
      <c r="AG71" s="691"/>
      <c r="AH71" s="310"/>
      <c r="AI71" s="691" t="s">
        <v>42</v>
      </c>
      <c r="AJ71" s="691"/>
      <c r="AL71" s="692" t="s">
        <v>37</v>
      </c>
      <c r="AM71" s="692"/>
      <c r="AN71" s="309"/>
      <c r="AO71" s="692" t="s">
        <v>42</v>
      </c>
      <c r="AP71" s="692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90"/>
      <c r="C76" s="690"/>
      <c r="E76" s="688"/>
      <c r="F76" s="688"/>
      <c r="H76" s="688"/>
      <c r="I76" s="688"/>
      <c r="K76" s="688"/>
      <c r="L76" s="688"/>
      <c r="N76" s="688"/>
      <c r="O76" s="688"/>
      <c r="Q76" s="688"/>
      <c r="R76" s="688"/>
      <c r="T76" s="688"/>
      <c r="U76" s="688"/>
      <c r="W76" s="688"/>
      <c r="X76" s="688"/>
      <c r="Z76" s="688"/>
      <c r="AA76" s="688"/>
      <c r="AC76" s="688"/>
      <c r="AD76" s="688"/>
      <c r="AF76" s="688"/>
      <c r="AG76" s="688"/>
      <c r="AI76" s="688"/>
      <c r="AJ76" s="688"/>
      <c r="AL76" s="688"/>
      <c r="AM76" s="688"/>
      <c r="AO76" s="688"/>
      <c r="AP76" s="688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699" t="s">
        <v>189</v>
      </c>
      <c r="C79" s="694"/>
      <c r="D79" s="310"/>
      <c r="E79" s="694" t="s">
        <v>191</v>
      </c>
      <c r="F79" s="694"/>
      <c r="G79" s="310"/>
      <c r="H79" s="699" t="s">
        <v>192</v>
      </c>
      <c r="I79" s="694"/>
      <c r="J79" s="309"/>
      <c r="K79" s="699" t="s">
        <v>193</v>
      </c>
      <c r="L79" s="694"/>
      <c r="M79" s="309"/>
      <c r="N79" s="699" t="s">
        <v>194</v>
      </c>
      <c r="O79" s="694"/>
      <c r="P79" s="310"/>
      <c r="Q79" s="694" t="s">
        <v>196</v>
      </c>
      <c r="R79" s="694"/>
      <c r="S79" s="310"/>
      <c r="T79" s="699" t="s">
        <v>197</v>
      </c>
      <c r="U79" s="694"/>
      <c r="V79" s="310"/>
      <c r="W79" s="699" t="s">
        <v>198</v>
      </c>
      <c r="X79" s="694"/>
      <c r="Y79" s="309"/>
      <c r="Z79" s="699" t="s">
        <v>199</v>
      </c>
      <c r="AA79" s="694"/>
      <c r="AB79" s="309"/>
      <c r="AC79" s="694" t="s">
        <v>201</v>
      </c>
      <c r="AD79" s="694"/>
      <c r="AE79" s="310"/>
      <c r="AF79" s="699" t="s">
        <v>202</v>
      </c>
      <c r="AG79" s="694"/>
      <c r="AH79" s="309"/>
      <c r="AI79" s="699" t="s">
        <v>203</v>
      </c>
      <c r="AJ79" s="694"/>
      <c r="AK79" s="310"/>
      <c r="AL79" s="699" t="s">
        <v>204</v>
      </c>
      <c r="AM79" s="694"/>
      <c r="AN79" s="310"/>
      <c r="AO79" s="699" t="s">
        <v>205</v>
      </c>
      <c r="AP79" s="694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91" t="s">
        <v>42</v>
      </c>
      <c r="C80" s="691"/>
      <c r="E80" s="691" t="s">
        <v>39</v>
      </c>
      <c r="F80" s="691"/>
      <c r="G80" s="309"/>
      <c r="H80" s="691" t="s">
        <v>37</v>
      </c>
      <c r="I80" s="691"/>
      <c r="J80" s="309"/>
      <c r="K80" s="691" t="s">
        <v>37</v>
      </c>
      <c r="L80" s="691"/>
      <c r="M80" s="309"/>
      <c r="N80" s="691" t="s">
        <v>37</v>
      </c>
      <c r="O80" s="691"/>
      <c r="P80" s="309"/>
      <c r="Q80" s="691" t="s">
        <v>46</v>
      </c>
      <c r="R80" s="691"/>
      <c r="S80" s="309"/>
      <c r="T80" s="691" t="s">
        <v>56</v>
      </c>
      <c r="U80" s="691"/>
      <c r="V80" s="309"/>
      <c r="W80" s="691" t="s">
        <v>37</v>
      </c>
      <c r="X80" s="691"/>
      <c r="Y80" s="309"/>
      <c r="Z80" s="691" t="s">
        <v>56</v>
      </c>
      <c r="AA80" s="691"/>
      <c r="AB80" s="309"/>
      <c r="AC80" s="691" t="s">
        <v>39</v>
      </c>
      <c r="AD80" s="691"/>
      <c r="AE80" s="309"/>
      <c r="AF80" s="691" t="s">
        <v>42</v>
      </c>
      <c r="AG80" s="691"/>
      <c r="AH80" s="309"/>
      <c r="AI80" s="691" t="s">
        <v>37</v>
      </c>
      <c r="AJ80" s="691"/>
      <c r="AK80" s="309"/>
      <c r="AL80" s="691" t="s">
        <v>42</v>
      </c>
      <c r="AM80" s="691"/>
      <c r="AN80" s="309"/>
      <c r="AO80" s="691" t="s">
        <v>42</v>
      </c>
      <c r="AP80" s="691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90"/>
      <c r="C85" s="690"/>
      <c r="E85" s="688"/>
      <c r="F85" s="688"/>
      <c r="H85" s="688"/>
      <c r="I85" s="688"/>
      <c r="K85" s="729"/>
      <c r="L85" s="688"/>
      <c r="N85" s="729"/>
      <c r="O85" s="688"/>
      <c r="Q85" s="729"/>
      <c r="R85" s="688"/>
      <c r="T85" s="729"/>
      <c r="U85" s="688"/>
      <c r="W85" s="688"/>
      <c r="X85" s="688"/>
      <c r="Z85" s="688"/>
      <c r="AA85" s="688"/>
      <c r="AC85" s="688"/>
      <c r="AD85" s="688"/>
      <c r="AF85" s="688"/>
      <c r="AG85" s="688"/>
      <c r="AI85" s="688"/>
      <c r="AJ85" s="688"/>
      <c r="AL85" s="688"/>
      <c r="AM85" s="688"/>
      <c r="AO85" s="688"/>
      <c r="AP85" s="688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96" t="s">
        <v>206</v>
      </c>
      <c r="C88" s="691"/>
      <c r="D88" s="310"/>
      <c r="E88" s="699" t="s">
        <v>207</v>
      </c>
      <c r="F88" s="694"/>
      <c r="G88" s="310"/>
      <c r="H88" s="699" t="s">
        <v>208</v>
      </c>
      <c r="I88" s="694"/>
      <c r="J88" s="309"/>
      <c r="K88" s="699" t="s">
        <v>209</v>
      </c>
      <c r="L88" s="694"/>
      <c r="M88" s="309"/>
      <c r="N88" s="699" t="s">
        <v>210</v>
      </c>
      <c r="O88" s="694"/>
      <c r="P88" s="310"/>
      <c r="Q88" s="699" t="s">
        <v>211</v>
      </c>
      <c r="R88" s="694"/>
      <c r="S88" s="309"/>
      <c r="T88" s="699" t="s">
        <v>212</v>
      </c>
      <c r="U88" s="694"/>
      <c r="V88" s="310"/>
      <c r="W88" s="694" t="s">
        <v>214</v>
      </c>
      <c r="X88" s="694"/>
      <c r="Y88" s="310"/>
      <c r="Z88" s="699" t="s">
        <v>215</v>
      </c>
      <c r="AA88" s="694"/>
      <c r="AB88" s="310"/>
      <c r="AC88" s="699" t="s">
        <v>216</v>
      </c>
      <c r="AD88" s="694"/>
      <c r="AE88" s="310"/>
      <c r="AF88" s="699" t="s">
        <v>217</v>
      </c>
      <c r="AG88" s="694"/>
      <c r="AH88" s="310"/>
      <c r="AI88" s="699" t="s">
        <v>218</v>
      </c>
      <c r="AJ88" s="694"/>
      <c r="AK88" s="310"/>
      <c r="AL88" s="699" t="s">
        <v>219</v>
      </c>
      <c r="AM88" s="694"/>
      <c r="AN88" s="309"/>
      <c r="AO88" s="694" t="s">
        <v>221</v>
      </c>
      <c r="AP88" s="694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91" t="s">
        <v>37</v>
      </c>
      <c r="C89" s="691"/>
      <c r="D89" s="309"/>
      <c r="E89" s="691" t="s">
        <v>37</v>
      </c>
      <c r="F89" s="691"/>
      <c r="G89" s="310"/>
      <c r="H89" s="691" t="s">
        <v>56</v>
      </c>
      <c r="I89" s="691"/>
      <c r="J89" s="309"/>
      <c r="K89" s="691" t="s">
        <v>37</v>
      </c>
      <c r="L89" s="691"/>
      <c r="M89" s="309"/>
      <c r="N89" s="691" t="s">
        <v>37</v>
      </c>
      <c r="O89" s="691"/>
      <c r="P89" s="335"/>
      <c r="Q89" s="691" t="s">
        <v>37</v>
      </c>
      <c r="R89" s="691"/>
      <c r="S89" s="309"/>
      <c r="T89" s="691" t="s">
        <v>37</v>
      </c>
      <c r="U89" s="691"/>
      <c r="V89" s="309"/>
      <c r="W89" s="691" t="s">
        <v>89</v>
      </c>
      <c r="X89" s="691"/>
      <c r="Y89" s="309"/>
      <c r="Z89" s="691" t="s">
        <v>42</v>
      </c>
      <c r="AA89" s="691"/>
      <c r="AB89" s="309"/>
      <c r="AC89" s="691" t="s">
        <v>37</v>
      </c>
      <c r="AD89" s="691"/>
      <c r="AE89" s="310"/>
      <c r="AF89" s="691" t="s">
        <v>37</v>
      </c>
      <c r="AG89" s="691"/>
      <c r="AH89" s="309"/>
      <c r="AI89" s="691" t="s">
        <v>42</v>
      </c>
      <c r="AJ89" s="691"/>
      <c r="AK89" s="309"/>
      <c r="AL89" s="691" t="s">
        <v>42</v>
      </c>
      <c r="AM89" s="691"/>
      <c r="AN89" s="309"/>
      <c r="AO89" s="691" t="s">
        <v>76</v>
      </c>
      <c r="AP89" s="691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90"/>
      <c r="C94" s="690"/>
      <c r="E94" s="688"/>
      <c r="F94" s="688"/>
      <c r="H94" s="688"/>
      <c r="I94" s="688"/>
      <c r="K94" s="688"/>
      <c r="L94" s="688"/>
      <c r="N94" s="688"/>
      <c r="O94" s="688"/>
      <c r="Q94" s="730"/>
      <c r="R94" s="688"/>
      <c r="T94" s="688"/>
      <c r="U94" s="688"/>
      <c r="W94" s="688"/>
      <c r="X94" s="688"/>
      <c r="Z94" s="688"/>
      <c r="AA94" s="688"/>
      <c r="AC94" s="688"/>
      <c r="AD94" s="688"/>
      <c r="AF94" s="688"/>
      <c r="AG94" s="688"/>
      <c r="AI94" s="688"/>
      <c r="AJ94" s="688"/>
      <c r="AL94" s="688"/>
      <c r="AM94" s="688"/>
      <c r="AO94" s="688"/>
      <c r="AP94" s="688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96" t="s">
        <v>222</v>
      </c>
      <c r="C97" s="691"/>
      <c r="D97" s="310"/>
      <c r="E97" s="699" t="s">
        <v>223</v>
      </c>
      <c r="F97" s="694"/>
      <c r="G97" s="310"/>
      <c r="H97" s="699" t="s">
        <v>224</v>
      </c>
      <c r="I97" s="694"/>
      <c r="J97" s="310"/>
      <c r="K97" s="699" t="s">
        <v>225</v>
      </c>
      <c r="L97" s="694"/>
      <c r="M97" s="310"/>
      <c r="N97" s="699" t="s">
        <v>226</v>
      </c>
      <c r="O97" s="694"/>
      <c r="P97" s="310"/>
      <c r="Q97" s="699" t="s">
        <v>227</v>
      </c>
      <c r="R97" s="694"/>
      <c r="S97" s="310"/>
      <c r="T97" s="699" t="s">
        <v>228</v>
      </c>
      <c r="U97" s="694"/>
      <c r="V97" s="310"/>
      <c r="W97" s="699" t="s">
        <v>229</v>
      </c>
      <c r="X97" s="694"/>
      <c r="Y97" s="310"/>
      <c r="Z97" s="694" t="s">
        <v>231</v>
      </c>
      <c r="AA97" s="694"/>
      <c r="AB97" s="310"/>
      <c r="AC97" s="699" t="s">
        <v>232</v>
      </c>
      <c r="AD97" s="694"/>
      <c r="AE97" s="310"/>
      <c r="AF97" s="699" t="s">
        <v>233</v>
      </c>
      <c r="AG97" s="694"/>
      <c r="AH97" s="310"/>
      <c r="AI97" s="699" t="s">
        <v>234</v>
      </c>
      <c r="AJ97" s="694"/>
      <c r="AK97" s="310"/>
      <c r="AL97" s="699" t="s">
        <v>235</v>
      </c>
      <c r="AM97" s="694"/>
      <c r="AN97" s="310"/>
      <c r="AO97" s="699" t="s">
        <v>236</v>
      </c>
      <c r="AP97" s="694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91" t="s">
        <v>42</v>
      </c>
      <c r="C98" s="691"/>
      <c r="D98" s="309"/>
      <c r="E98" s="691" t="s">
        <v>37</v>
      </c>
      <c r="F98" s="691"/>
      <c r="G98" s="309"/>
      <c r="H98" s="691" t="s">
        <v>42</v>
      </c>
      <c r="I98" s="691"/>
      <c r="J98" s="309"/>
      <c r="K98" s="691" t="s">
        <v>42</v>
      </c>
      <c r="L98" s="691"/>
      <c r="M98" s="310"/>
      <c r="N98" s="691" t="s">
        <v>42</v>
      </c>
      <c r="O98" s="691"/>
      <c r="P98" s="309"/>
      <c r="Q98" s="691" t="s">
        <v>37</v>
      </c>
      <c r="R98" s="691"/>
      <c r="S98" s="309"/>
      <c r="T98" s="691" t="s">
        <v>37</v>
      </c>
      <c r="U98" s="691"/>
      <c r="V98" s="309"/>
      <c r="W98" s="691" t="s">
        <v>37</v>
      </c>
      <c r="X98" s="691"/>
      <c r="Y98" s="309"/>
      <c r="Z98" s="691" t="s">
        <v>76</v>
      </c>
      <c r="AA98" s="691"/>
      <c r="AB98" s="309"/>
      <c r="AC98" s="691" t="s">
        <v>37</v>
      </c>
      <c r="AD98" s="691"/>
      <c r="AE98" s="309"/>
      <c r="AF98" s="691" t="s">
        <v>37</v>
      </c>
      <c r="AG98" s="691"/>
      <c r="AH98" s="309"/>
      <c r="AI98" s="691" t="s">
        <v>37</v>
      </c>
      <c r="AJ98" s="691"/>
      <c r="AK98" s="309"/>
      <c r="AL98" s="691" t="s">
        <v>42</v>
      </c>
      <c r="AM98" s="691"/>
      <c r="AN98" s="309"/>
      <c r="AO98" s="691" t="s">
        <v>37</v>
      </c>
      <c r="AP98" s="691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88"/>
      <c r="C103" s="688"/>
      <c r="E103" s="688"/>
      <c r="F103" s="688"/>
      <c r="H103" s="688"/>
      <c r="I103" s="688"/>
      <c r="K103" s="688"/>
      <c r="L103" s="688"/>
      <c r="N103" s="688"/>
      <c r="O103" s="688"/>
      <c r="Q103" s="688"/>
      <c r="R103" s="688"/>
      <c r="T103" s="688"/>
      <c r="U103" s="688"/>
      <c r="W103" s="688"/>
      <c r="X103" s="688"/>
      <c r="Z103" s="688"/>
      <c r="AA103" s="688"/>
      <c r="AC103" s="688"/>
      <c r="AD103" s="688"/>
      <c r="AF103" s="688"/>
      <c r="AG103" s="688"/>
      <c r="AI103" s="688"/>
      <c r="AJ103" s="688"/>
      <c r="AL103" s="688"/>
      <c r="AM103" s="688"/>
      <c r="AN103" s="317"/>
      <c r="AO103" s="688"/>
      <c r="AP103" s="688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699" t="s">
        <v>237</v>
      </c>
      <c r="C106" s="694"/>
      <c r="D106" s="310"/>
      <c r="E106" s="699" t="s">
        <v>238</v>
      </c>
      <c r="F106" s="694"/>
      <c r="G106" s="309"/>
      <c r="H106" s="699" t="s">
        <v>239</v>
      </c>
      <c r="I106" s="694"/>
      <c r="J106" s="310"/>
      <c r="K106" s="699" t="s">
        <v>240</v>
      </c>
      <c r="L106" s="694"/>
      <c r="M106" s="310"/>
      <c r="N106" s="699" t="s">
        <v>241</v>
      </c>
      <c r="O106" s="694"/>
      <c r="P106" s="310"/>
      <c r="Q106" s="699" t="s">
        <v>242</v>
      </c>
      <c r="R106" s="694"/>
      <c r="S106" s="309"/>
      <c r="T106" s="699" t="s">
        <v>243</v>
      </c>
      <c r="U106" s="694"/>
      <c r="V106" s="310"/>
      <c r="W106" s="694" t="s">
        <v>244</v>
      </c>
      <c r="X106" s="694"/>
      <c r="Y106" s="310"/>
      <c r="Z106" s="694" t="s">
        <v>246</v>
      </c>
      <c r="AA106" s="694"/>
      <c r="AB106" s="310"/>
      <c r="AC106" s="699" t="s">
        <v>247</v>
      </c>
      <c r="AD106" s="694"/>
      <c r="AE106" s="310"/>
      <c r="AF106" s="699" t="s">
        <v>248</v>
      </c>
      <c r="AG106" s="694"/>
      <c r="AH106" s="310"/>
      <c r="AI106" s="694" t="s">
        <v>250</v>
      </c>
      <c r="AJ106" s="694"/>
      <c r="AK106" s="310" t="s">
        <v>0</v>
      </c>
      <c r="AL106" s="699" t="s">
        <v>251</v>
      </c>
      <c r="AM106" s="694"/>
      <c r="AN106" s="310" t="s">
        <v>0</v>
      </c>
      <c r="AO106" s="699" t="s">
        <v>252</v>
      </c>
      <c r="AP106" s="694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91" t="s">
        <v>37</v>
      </c>
      <c r="C107" s="691"/>
      <c r="D107" s="309"/>
      <c r="E107" s="691" t="s">
        <v>37</v>
      </c>
      <c r="F107" s="691"/>
      <c r="G107" s="309"/>
      <c r="H107" s="691" t="s">
        <v>37</v>
      </c>
      <c r="I107" s="691"/>
      <c r="J107" s="309"/>
      <c r="K107" s="691" t="s">
        <v>42</v>
      </c>
      <c r="L107" s="691"/>
      <c r="M107" s="309"/>
      <c r="N107" s="691" t="s">
        <v>37</v>
      </c>
      <c r="O107" s="691"/>
      <c r="P107" s="309"/>
      <c r="Q107" s="691" t="s">
        <v>42</v>
      </c>
      <c r="R107" s="691"/>
      <c r="S107" s="309"/>
      <c r="T107" s="691" t="s">
        <v>37</v>
      </c>
      <c r="U107" s="691"/>
      <c r="V107" s="309"/>
      <c r="W107" s="691" t="s">
        <v>37</v>
      </c>
      <c r="X107" s="691"/>
      <c r="Y107" s="309"/>
      <c r="Z107" s="691" t="s">
        <v>46</v>
      </c>
      <c r="AA107" s="691"/>
      <c r="AB107" s="309"/>
      <c r="AC107" s="691" t="s">
        <v>37</v>
      </c>
      <c r="AD107" s="691"/>
      <c r="AE107" s="309"/>
      <c r="AF107" s="691" t="s">
        <v>37</v>
      </c>
      <c r="AG107" s="691"/>
      <c r="AH107" s="309"/>
      <c r="AI107" s="691" t="s">
        <v>39</v>
      </c>
      <c r="AJ107" s="691"/>
      <c r="AK107" s="309"/>
      <c r="AL107" s="691" t="s">
        <v>42</v>
      </c>
      <c r="AM107" s="691"/>
      <c r="AN107" s="309"/>
      <c r="AO107" s="691" t="s">
        <v>42</v>
      </c>
      <c r="AP107" s="691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95"/>
      <c r="C112" s="695"/>
      <c r="D112" s="309"/>
      <c r="E112" s="695"/>
      <c r="F112" s="695"/>
      <c r="G112" s="309"/>
      <c r="H112" s="695"/>
      <c r="I112" s="695"/>
      <c r="J112" s="309"/>
      <c r="K112" s="695"/>
      <c r="L112" s="695"/>
      <c r="M112" s="309"/>
      <c r="N112" s="695"/>
      <c r="O112" s="695"/>
      <c r="P112" s="309"/>
      <c r="Q112" s="695"/>
      <c r="R112" s="695"/>
      <c r="S112" s="309"/>
      <c r="T112" s="695"/>
      <c r="U112" s="695"/>
      <c r="V112" s="309"/>
      <c r="W112" s="695"/>
      <c r="X112" s="695"/>
      <c r="Y112" s="309"/>
      <c r="Z112" s="695"/>
      <c r="AA112" s="695"/>
      <c r="AB112" s="309"/>
      <c r="AC112" s="695"/>
      <c r="AD112" s="695"/>
      <c r="AE112" s="309"/>
      <c r="AF112" s="695"/>
      <c r="AG112" s="695"/>
      <c r="AH112" s="309"/>
      <c r="AI112" s="695"/>
      <c r="AJ112" s="695"/>
      <c r="AK112" s="309"/>
      <c r="AL112" s="695"/>
      <c r="AM112" s="695"/>
      <c r="AN112" s="309"/>
      <c r="AO112" s="695"/>
      <c r="AP112" s="695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699" t="s">
        <v>253</v>
      </c>
      <c r="C115" s="694"/>
      <c r="D115" s="310" t="s">
        <v>0</v>
      </c>
      <c r="E115" s="699" t="s">
        <v>254</v>
      </c>
      <c r="F115" s="694"/>
      <c r="G115" s="310" t="s">
        <v>0</v>
      </c>
      <c r="H115" s="699" t="s">
        <v>255</v>
      </c>
      <c r="I115" s="694"/>
      <c r="J115" s="310" t="s">
        <v>0</v>
      </c>
      <c r="K115" s="728" t="s">
        <v>257</v>
      </c>
      <c r="L115" s="728"/>
      <c r="M115" s="310" t="s">
        <v>0</v>
      </c>
      <c r="N115" s="728" t="s">
        <v>259</v>
      </c>
      <c r="O115" s="728"/>
      <c r="P115" s="310" t="s">
        <v>0</v>
      </c>
      <c r="Q115" s="694" t="s">
        <v>262</v>
      </c>
      <c r="R115" s="694"/>
      <c r="S115" s="310" t="s">
        <v>0</v>
      </c>
      <c r="T115" s="694" t="s">
        <v>264</v>
      </c>
      <c r="U115" s="694"/>
      <c r="V115" s="310" t="s">
        <v>0</v>
      </c>
      <c r="W115" s="694" t="s">
        <v>266</v>
      </c>
      <c r="X115" s="694"/>
      <c r="Y115" s="309" t="s">
        <v>0</v>
      </c>
      <c r="Z115" s="699" t="s">
        <v>267</v>
      </c>
      <c r="AA115" s="694"/>
      <c r="AB115" s="309" t="s">
        <v>0</v>
      </c>
      <c r="AC115" s="699" t="s">
        <v>269</v>
      </c>
      <c r="AD115" s="694"/>
      <c r="AE115" s="310" t="s">
        <v>0</v>
      </c>
      <c r="AF115" s="694" t="s">
        <v>271</v>
      </c>
      <c r="AG115" s="694"/>
      <c r="AH115" s="309" t="s">
        <v>0</v>
      </c>
      <c r="AI115" s="699" t="s">
        <v>273</v>
      </c>
      <c r="AJ115" s="694"/>
      <c r="AK115" s="309" t="s">
        <v>0</v>
      </c>
      <c r="AL115" s="699" t="s">
        <v>274</v>
      </c>
      <c r="AM115" s="694"/>
      <c r="AN115" s="309" t="s">
        <v>0</v>
      </c>
      <c r="AO115" s="699" t="s">
        <v>275</v>
      </c>
      <c r="AP115" s="694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91" t="s">
        <v>42</v>
      </c>
      <c r="C116" s="691"/>
      <c r="D116" s="309"/>
      <c r="E116" s="691" t="s">
        <v>37</v>
      </c>
      <c r="F116" s="691"/>
      <c r="G116" s="309"/>
      <c r="H116" s="691" t="s">
        <v>42</v>
      </c>
      <c r="I116" s="691"/>
      <c r="J116" s="309"/>
      <c r="K116" s="697" t="s">
        <v>54</v>
      </c>
      <c r="L116" s="697"/>
      <c r="M116" s="309"/>
      <c r="N116" s="697" t="s">
        <v>260</v>
      </c>
      <c r="O116" s="697"/>
      <c r="P116" s="309"/>
      <c r="Q116" s="691" t="s">
        <v>260</v>
      </c>
      <c r="R116" s="691"/>
      <c r="S116" s="309"/>
      <c r="T116" s="691" t="s">
        <v>260</v>
      </c>
      <c r="U116" s="691"/>
      <c r="V116" s="309"/>
      <c r="W116" s="691" t="s">
        <v>34</v>
      </c>
      <c r="X116" s="691"/>
      <c r="Y116" s="309"/>
      <c r="Z116" s="691" t="s">
        <v>626</v>
      </c>
      <c r="AA116" s="691"/>
      <c r="AB116" s="309"/>
      <c r="AC116" s="691" t="s">
        <v>626</v>
      </c>
      <c r="AD116" s="691"/>
      <c r="AE116" s="309"/>
      <c r="AF116" s="691" t="s">
        <v>51</v>
      </c>
      <c r="AG116" s="691"/>
      <c r="AH116" s="309"/>
      <c r="AI116" s="691" t="s">
        <v>65</v>
      </c>
      <c r="AJ116" s="691"/>
      <c r="AK116" s="309"/>
      <c r="AL116" s="691" t="s">
        <v>42</v>
      </c>
      <c r="AM116" s="691"/>
      <c r="AN116" s="309"/>
      <c r="AO116" s="691" t="s">
        <v>56</v>
      </c>
      <c r="AP116" s="691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91"/>
      <c r="C121" s="691"/>
      <c r="D121" s="309"/>
      <c r="E121" s="695"/>
      <c r="F121" s="695"/>
      <c r="G121" s="309"/>
      <c r="H121" s="695"/>
      <c r="I121" s="695"/>
      <c r="J121" s="309"/>
      <c r="K121" s="695"/>
      <c r="L121" s="695"/>
      <c r="M121" s="309"/>
      <c r="N121" s="695"/>
      <c r="O121" s="695"/>
      <c r="P121" s="309"/>
      <c r="Q121" s="695"/>
      <c r="R121" s="695"/>
      <c r="S121" s="309"/>
      <c r="T121" s="695"/>
      <c r="U121" s="695"/>
      <c r="V121" s="309"/>
      <c r="W121" s="695"/>
      <c r="X121" s="695"/>
      <c r="Y121" s="309"/>
      <c r="Z121" s="691"/>
      <c r="AA121" s="691"/>
      <c r="AB121" s="309"/>
      <c r="AC121" s="691"/>
      <c r="AD121" s="691"/>
      <c r="AE121" s="692"/>
      <c r="AF121" s="692"/>
      <c r="AG121" s="692"/>
      <c r="AH121" s="692"/>
      <c r="AI121" s="690"/>
      <c r="AJ121" s="690"/>
      <c r="AL121" s="690"/>
      <c r="AM121" s="690"/>
      <c r="AO121" s="690"/>
      <c r="AP121" s="690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96" t="s">
        <v>276</v>
      </c>
      <c r="C124" s="691"/>
      <c r="D124" s="310"/>
      <c r="E124" s="699" t="s">
        <v>277</v>
      </c>
      <c r="F124" s="694"/>
      <c r="G124" s="310"/>
      <c r="H124" s="694" t="s">
        <v>279</v>
      </c>
      <c r="I124" s="694"/>
      <c r="J124" s="310"/>
      <c r="K124" s="699" t="s">
        <v>280</v>
      </c>
      <c r="L124" s="694"/>
      <c r="M124" s="310"/>
      <c r="N124" s="699" t="s">
        <v>281</v>
      </c>
      <c r="O124" s="694"/>
      <c r="P124" s="310"/>
      <c r="Q124" s="699" t="s">
        <v>282</v>
      </c>
      <c r="R124" s="694"/>
      <c r="S124" s="310"/>
      <c r="T124" s="693" t="s">
        <v>283</v>
      </c>
      <c r="U124" s="694"/>
      <c r="V124" s="310"/>
      <c r="W124" s="693" t="s">
        <v>284</v>
      </c>
      <c r="X124" s="694"/>
      <c r="Y124" s="309"/>
      <c r="Z124" s="696" t="s">
        <v>285</v>
      </c>
      <c r="AA124" s="691"/>
      <c r="AB124" s="327"/>
      <c r="AC124" s="696" t="s">
        <v>665</v>
      </c>
      <c r="AD124" s="696"/>
      <c r="AE124" s="309"/>
      <c r="AF124" s="696" t="s">
        <v>288</v>
      </c>
      <c r="AG124" s="691"/>
      <c r="AH124" s="317"/>
      <c r="AI124" s="698" t="s">
        <v>290</v>
      </c>
      <c r="AJ124" s="690"/>
      <c r="AL124" s="690" t="s">
        <v>291</v>
      </c>
      <c r="AM124" s="690"/>
      <c r="AO124" s="690" t="s">
        <v>292</v>
      </c>
      <c r="AP124" s="690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91" t="s">
        <v>56</v>
      </c>
      <c r="C125" s="691"/>
      <c r="D125" s="309"/>
      <c r="E125" s="691" t="s">
        <v>37</v>
      </c>
      <c r="F125" s="691"/>
      <c r="G125" s="309"/>
      <c r="H125" s="691" t="s">
        <v>76</v>
      </c>
      <c r="I125" s="691"/>
      <c r="J125" s="309"/>
      <c r="K125" s="691" t="s">
        <v>42</v>
      </c>
      <c r="L125" s="691"/>
      <c r="M125" s="309"/>
      <c r="N125" s="691" t="s">
        <v>42</v>
      </c>
      <c r="O125" s="691"/>
      <c r="P125" s="309"/>
      <c r="Q125" s="691" t="s">
        <v>42</v>
      </c>
      <c r="R125" s="691"/>
      <c r="S125" s="309"/>
      <c r="T125" s="691" t="s">
        <v>42</v>
      </c>
      <c r="U125" s="691"/>
      <c r="V125" s="309"/>
      <c r="W125" s="697" t="s">
        <v>42</v>
      </c>
      <c r="X125" s="691"/>
      <c r="Y125" s="309"/>
      <c r="Z125" s="691" t="s">
        <v>42</v>
      </c>
      <c r="AA125" s="691"/>
      <c r="AB125" s="309"/>
      <c r="AC125" s="691" t="s">
        <v>76</v>
      </c>
      <c r="AD125" s="691"/>
      <c r="AE125" s="309"/>
      <c r="AF125" s="691" t="s">
        <v>56</v>
      </c>
      <c r="AG125" s="691"/>
      <c r="AI125" s="698" t="s">
        <v>39</v>
      </c>
      <c r="AJ125" s="690"/>
      <c r="AL125" s="690" t="s">
        <v>42</v>
      </c>
      <c r="AM125" s="690"/>
      <c r="AO125" s="690" t="s">
        <v>42</v>
      </c>
      <c r="AP125" s="690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91"/>
      <c r="C130" s="691"/>
      <c r="D130" s="309"/>
      <c r="E130" s="691"/>
      <c r="F130" s="691"/>
      <c r="G130" s="309"/>
      <c r="H130" s="691"/>
      <c r="I130" s="691"/>
      <c r="J130" s="309"/>
      <c r="K130" s="691"/>
      <c r="L130" s="691"/>
      <c r="M130" s="309"/>
      <c r="N130" s="691"/>
      <c r="O130" s="691"/>
      <c r="P130" s="309"/>
      <c r="Q130" s="691"/>
      <c r="R130" s="691"/>
      <c r="S130" s="309"/>
      <c r="T130" s="691"/>
      <c r="U130" s="691"/>
      <c r="V130" s="309"/>
      <c r="W130" s="691"/>
      <c r="X130" s="691"/>
      <c r="Y130" s="309"/>
      <c r="Z130" s="691"/>
      <c r="AA130" s="691"/>
      <c r="AB130" s="309"/>
      <c r="AC130" s="691"/>
      <c r="AD130" s="691"/>
      <c r="AE130" s="692"/>
      <c r="AF130" s="692"/>
      <c r="AG130" s="692"/>
      <c r="AH130" s="692"/>
      <c r="AI130" s="690"/>
      <c r="AJ130" s="690"/>
      <c r="AL130" s="690"/>
      <c r="AM130" s="690"/>
      <c r="AO130" s="690"/>
      <c r="AP130" s="690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1</v>
      </c>
      <c r="AZ132" s="291"/>
      <c r="BA132" s="347"/>
      <c r="BB132" s="347"/>
    </row>
    <row r="133" spans="2:55">
      <c r="B133" s="694" t="s">
        <v>294</v>
      </c>
      <c r="C133" s="694"/>
      <c r="D133" s="310"/>
      <c r="E133" s="726" t="s">
        <v>695</v>
      </c>
      <c r="F133" s="726"/>
      <c r="G133" s="373"/>
      <c r="H133" s="726" t="s">
        <v>295</v>
      </c>
      <c r="I133" s="726"/>
      <c r="J133" s="310"/>
      <c r="K133" s="727" t="s">
        <v>696</v>
      </c>
      <c r="L133" s="727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91" t="s">
        <v>81</v>
      </c>
      <c r="C134" s="691"/>
      <c r="D134" s="310"/>
      <c r="E134" s="687" t="s">
        <v>260</v>
      </c>
      <c r="F134" s="687"/>
      <c r="G134" s="311"/>
      <c r="H134" s="687" t="s">
        <v>260</v>
      </c>
      <c r="I134" s="687"/>
      <c r="J134" s="310"/>
      <c r="K134" s="687" t="s">
        <v>260</v>
      </c>
      <c r="L134" s="687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05" t="s">
        <v>628</v>
      </c>
      <c r="C137" s="706"/>
      <c r="D137" s="703"/>
      <c r="E137" s="703"/>
      <c r="F137" s="703"/>
      <c r="G137" s="703"/>
      <c r="H137" s="703"/>
      <c r="I137" s="703"/>
      <c r="J137" s="703"/>
      <c r="K137" s="703"/>
      <c r="L137" s="704"/>
      <c r="M137" s="307"/>
      <c r="N137" s="702" t="s">
        <v>629</v>
      </c>
      <c r="O137" s="703"/>
      <c r="P137" s="703"/>
      <c r="Q137" s="703"/>
      <c r="R137" s="703"/>
      <c r="S137" s="703"/>
      <c r="T137" s="703"/>
      <c r="U137" s="703"/>
      <c r="V137" s="704"/>
      <c r="W137" s="799" t="s">
        <v>666</v>
      </c>
      <c r="X137" s="800"/>
      <c r="Y137" s="800"/>
      <c r="Z137" s="800"/>
      <c r="AA137" s="800"/>
      <c r="AB137" s="800"/>
      <c r="AC137" s="800"/>
      <c r="AD137" s="800"/>
      <c r="AE137" s="800"/>
      <c r="AF137" s="800"/>
      <c r="AG137" s="800"/>
      <c r="AH137" s="800"/>
      <c r="AI137" s="800"/>
      <c r="AJ137" s="800"/>
      <c r="AK137" s="800"/>
      <c r="AL137" s="800"/>
      <c r="AM137" s="800"/>
      <c r="AN137" s="744"/>
      <c r="AO137" s="744"/>
      <c r="AP137" s="744"/>
      <c r="AQ137" s="745"/>
      <c r="AR137" s="745"/>
      <c r="AS137" s="745"/>
      <c r="AT137" s="745"/>
      <c r="AU137" s="746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196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801"/>
      <c r="X138" s="802"/>
      <c r="Y138" s="802"/>
      <c r="Z138" s="802"/>
      <c r="AA138" s="802"/>
      <c r="AB138" s="802"/>
      <c r="AC138" s="802"/>
      <c r="AD138" s="802"/>
      <c r="AE138" s="802"/>
      <c r="AF138" s="802"/>
      <c r="AG138" s="802"/>
      <c r="AH138" s="802"/>
      <c r="AI138" s="802"/>
      <c r="AJ138" s="802"/>
      <c r="AK138" s="802"/>
      <c r="AL138" s="802"/>
      <c r="AM138" s="802"/>
      <c r="AN138" s="747"/>
      <c r="AO138" s="747"/>
      <c r="AP138" s="747"/>
      <c r="AQ138" s="748"/>
      <c r="AR138" s="748"/>
      <c r="AS138" s="748"/>
      <c r="AT138" s="748"/>
      <c r="AU138" s="749"/>
    </row>
    <row r="139" spans="2:55">
      <c r="B139" s="709" t="s">
        <v>471</v>
      </c>
      <c r="C139" s="710"/>
      <c r="D139" s="711"/>
      <c r="F139" s="776" t="s">
        <v>631</v>
      </c>
      <c r="G139" s="776"/>
      <c r="I139" s="777" t="s">
        <v>632</v>
      </c>
      <c r="J139" s="777"/>
      <c r="N139" s="779" t="s">
        <v>633</v>
      </c>
      <c r="O139" s="779"/>
      <c r="P139" s="712"/>
      <c r="R139" s="787" t="s">
        <v>634</v>
      </c>
      <c r="S139" s="788"/>
      <c r="T139" s="793"/>
      <c r="U139" s="794"/>
      <c r="V139" s="290"/>
      <c r="W139" s="762" t="s">
        <v>2</v>
      </c>
      <c r="X139" s="763"/>
      <c r="Y139" s="764" t="s">
        <v>356</v>
      </c>
      <c r="Z139" s="764"/>
      <c r="AA139" s="764"/>
      <c r="AB139" s="764"/>
      <c r="AC139" s="764" t="s">
        <v>635</v>
      </c>
      <c r="AD139" s="764"/>
      <c r="AE139" s="764" t="s">
        <v>636</v>
      </c>
      <c r="AF139" s="764"/>
      <c r="AG139" s="764"/>
      <c r="AH139" s="764" t="s">
        <v>32</v>
      </c>
      <c r="AI139" s="764"/>
      <c r="AJ139" s="764"/>
      <c r="AK139" s="764" t="s">
        <v>372</v>
      </c>
      <c r="AL139" s="764"/>
      <c r="AM139" s="764"/>
      <c r="AN139" s="764" t="s">
        <v>15</v>
      </c>
      <c r="AO139" s="764"/>
      <c r="AP139" s="764"/>
      <c r="AQ139" s="768"/>
      <c r="AR139" s="768"/>
      <c r="AS139" s="768"/>
      <c r="AT139" s="768"/>
      <c r="AU139" s="769"/>
    </row>
    <row r="140" spans="2:55">
      <c r="B140" s="297"/>
      <c r="N140" s="779"/>
      <c r="O140" s="779"/>
      <c r="P140" s="712"/>
      <c r="R140" s="789"/>
      <c r="S140" s="790"/>
      <c r="T140" s="795"/>
      <c r="U140" s="796"/>
      <c r="V140" s="290"/>
      <c r="W140" s="765">
        <v>1</v>
      </c>
      <c r="X140" s="766"/>
      <c r="Y140" s="767" t="s">
        <v>376</v>
      </c>
      <c r="Z140" s="767"/>
      <c r="AA140" s="767"/>
      <c r="AB140" s="767"/>
      <c r="AC140" s="758" t="s">
        <v>377</v>
      </c>
      <c r="AD140" s="758"/>
      <c r="AE140" s="761">
        <f>AU136</f>
        <v>64.033460000000005</v>
      </c>
      <c r="AF140" s="758"/>
      <c r="AG140" s="758"/>
      <c r="AH140" s="761">
        <f>AU136</f>
        <v>64.033460000000005</v>
      </c>
      <c r="AI140" s="758"/>
      <c r="AJ140" s="758"/>
      <c r="AK140" s="761">
        <f>AE140-AH140</f>
        <v>0</v>
      </c>
      <c r="AL140" s="761"/>
      <c r="AM140" s="761"/>
      <c r="AN140" s="758"/>
      <c r="AO140" s="758"/>
      <c r="AP140" s="758"/>
      <c r="AQ140" s="759"/>
      <c r="AR140" s="759"/>
      <c r="AS140" s="759"/>
      <c r="AT140" s="759"/>
      <c r="AU140" s="760"/>
    </row>
    <row r="141" spans="2:55">
      <c r="B141" s="713" t="s">
        <v>469</v>
      </c>
      <c r="C141" s="714"/>
      <c r="D141" s="715"/>
      <c r="N141" s="779" t="s">
        <v>637</v>
      </c>
      <c r="O141" s="779"/>
      <c r="P141" s="712"/>
      <c r="R141" s="789"/>
      <c r="S141" s="790"/>
      <c r="T141" s="795"/>
      <c r="U141" s="796"/>
      <c r="V141" s="290"/>
      <c r="W141" s="765">
        <v>2</v>
      </c>
      <c r="X141" s="766"/>
      <c r="Y141" s="767" t="s">
        <v>378</v>
      </c>
      <c r="Z141" s="767"/>
      <c r="AA141" s="767"/>
      <c r="AB141" s="767"/>
      <c r="AC141" s="758" t="s">
        <v>377</v>
      </c>
      <c r="AD141" s="758"/>
      <c r="AE141" s="761">
        <f>AU136</f>
        <v>64.033460000000005</v>
      </c>
      <c r="AF141" s="758"/>
      <c r="AG141" s="758"/>
      <c r="AH141" s="761">
        <f>AU136</f>
        <v>64.033460000000005</v>
      </c>
      <c r="AI141" s="758"/>
      <c r="AJ141" s="758"/>
      <c r="AK141" s="761">
        <f t="shared" ref="AK141:AK148" si="1">AE141-AH141</f>
        <v>0</v>
      </c>
      <c r="AL141" s="761"/>
      <c r="AM141" s="761"/>
      <c r="AN141" s="758"/>
      <c r="AO141" s="758"/>
      <c r="AP141" s="758"/>
      <c r="AQ141" s="759"/>
      <c r="AR141" s="759"/>
      <c r="AS141" s="759"/>
      <c r="AT141" s="759"/>
      <c r="AU141" s="760"/>
    </row>
    <row r="142" spans="2:55">
      <c r="B142" s="297"/>
      <c r="F142" s="285"/>
      <c r="G142" s="284"/>
      <c r="N142" s="779"/>
      <c r="O142" s="779"/>
      <c r="P142" s="712"/>
      <c r="R142" s="791"/>
      <c r="S142" s="792"/>
      <c r="T142" s="797"/>
      <c r="U142" s="798"/>
      <c r="V142" s="290"/>
      <c r="W142" s="765">
        <v>3</v>
      </c>
      <c r="X142" s="766"/>
      <c r="Y142" s="767" t="s">
        <v>379</v>
      </c>
      <c r="Z142" s="767"/>
      <c r="AA142" s="767"/>
      <c r="AB142" s="767"/>
      <c r="AC142" s="758" t="s">
        <v>638</v>
      </c>
      <c r="AD142" s="758"/>
      <c r="AE142" s="758">
        <v>199</v>
      </c>
      <c r="AF142" s="758"/>
      <c r="AG142" s="758"/>
      <c r="AH142" s="758">
        <f>+AW137</f>
        <v>198</v>
      </c>
      <c r="AI142" s="758"/>
      <c r="AJ142" s="758"/>
      <c r="AK142" s="761">
        <f t="shared" si="1"/>
        <v>1</v>
      </c>
      <c r="AL142" s="761"/>
      <c r="AM142" s="761"/>
      <c r="AN142" s="758"/>
      <c r="AO142" s="758"/>
      <c r="AP142" s="758"/>
      <c r="AQ142" s="759"/>
      <c r="AR142" s="759"/>
      <c r="AS142" s="759"/>
      <c r="AT142" s="759"/>
      <c r="AU142" s="760"/>
    </row>
    <row r="143" spans="2:55">
      <c r="B143" s="297"/>
      <c r="E143" s="688"/>
      <c r="F143" s="688"/>
      <c r="H143" s="739"/>
      <c r="I143" s="739"/>
      <c r="K143" s="688"/>
      <c r="L143" s="688"/>
      <c r="N143" s="779" t="s">
        <v>639</v>
      </c>
      <c r="O143" s="779"/>
      <c r="P143" s="712"/>
      <c r="R143" s="787" t="s">
        <v>452</v>
      </c>
      <c r="S143" s="788"/>
      <c r="T143" s="793"/>
      <c r="U143" s="794"/>
      <c r="V143" s="290"/>
      <c r="W143" s="765">
        <v>4</v>
      </c>
      <c r="X143" s="766"/>
      <c r="Y143" s="767" t="s">
        <v>381</v>
      </c>
      <c r="Z143" s="767"/>
      <c r="AA143" s="767"/>
      <c r="AB143" s="767"/>
      <c r="AC143" s="758" t="s">
        <v>638</v>
      </c>
      <c r="AD143" s="758"/>
      <c r="AE143" s="758">
        <v>199</v>
      </c>
      <c r="AF143" s="758"/>
      <c r="AG143" s="758"/>
      <c r="AH143" s="758">
        <f>AX137</f>
        <v>197</v>
      </c>
      <c r="AI143" s="758"/>
      <c r="AJ143" s="758"/>
      <c r="AK143" s="761">
        <f t="shared" si="1"/>
        <v>2</v>
      </c>
      <c r="AL143" s="761"/>
      <c r="AM143" s="761"/>
      <c r="AN143" s="758"/>
      <c r="AO143" s="758"/>
      <c r="AP143" s="758"/>
      <c r="AQ143" s="759"/>
      <c r="AR143" s="759"/>
      <c r="AS143" s="759"/>
      <c r="AT143" s="759"/>
      <c r="AU143" s="760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79"/>
      <c r="O144" s="779"/>
      <c r="P144" s="712"/>
      <c r="R144" s="789"/>
      <c r="S144" s="790"/>
      <c r="T144" s="795"/>
      <c r="U144" s="796"/>
      <c r="V144" s="290"/>
      <c r="W144" s="765">
        <v>5</v>
      </c>
      <c r="X144" s="766"/>
      <c r="Y144" s="767" t="s">
        <v>469</v>
      </c>
      <c r="Z144" s="767"/>
      <c r="AA144" s="767"/>
      <c r="AB144" s="767"/>
      <c r="AC144" s="758" t="s">
        <v>638</v>
      </c>
      <c r="AD144" s="758"/>
      <c r="AE144" s="758">
        <v>199</v>
      </c>
      <c r="AF144" s="758"/>
      <c r="AG144" s="758"/>
      <c r="AH144" s="761">
        <f>AY137</f>
        <v>196</v>
      </c>
      <c r="AI144" s="758"/>
      <c r="AJ144" s="758"/>
      <c r="AK144" s="761">
        <f t="shared" si="1"/>
        <v>3</v>
      </c>
      <c r="AL144" s="761"/>
      <c r="AM144" s="761"/>
      <c r="AN144" s="758"/>
      <c r="AO144" s="758"/>
      <c r="AP144" s="758"/>
      <c r="AQ144" s="759"/>
      <c r="AR144" s="759"/>
      <c r="AS144" s="759"/>
      <c r="AT144" s="759"/>
      <c r="AU144" s="760"/>
    </row>
    <row r="145" spans="2:47">
      <c r="B145" s="716" t="s">
        <v>379</v>
      </c>
      <c r="C145" s="717"/>
      <c r="D145" s="718"/>
      <c r="E145" s="301"/>
      <c r="F145" s="301"/>
      <c r="G145" s="292"/>
      <c r="H145" s="299"/>
      <c r="I145" s="299"/>
      <c r="K145" s="300"/>
      <c r="L145" s="299"/>
      <c r="M145" s="292"/>
      <c r="N145" s="779" t="s">
        <v>640</v>
      </c>
      <c r="O145" s="779"/>
      <c r="P145" s="712"/>
      <c r="R145" s="789"/>
      <c r="S145" s="790"/>
      <c r="T145" s="795"/>
      <c r="U145" s="796"/>
      <c r="V145" s="290"/>
      <c r="W145" s="765">
        <v>6</v>
      </c>
      <c r="X145" s="766"/>
      <c r="Y145" s="767" t="s">
        <v>641</v>
      </c>
      <c r="Z145" s="767"/>
      <c r="AA145" s="767"/>
      <c r="AB145" s="767"/>
      <c r="AC145" s="758" t="s">
        <v>638</v>
      </c>
      <c r="AD145" s="758"/>
      <c r="AE145" s="758">
        <v>199</v>
      </c>
      <c r="AF145" s="758"/>
      <c r="AG145" s="758"/>
      <c r="AH145" s="761">
        <f>AZ137</f>
        <v>194</v>
      </c>
      <c r="AI145" s="758"/>
      <c r="AJ145" s="758"/>
      <c r="AK145" s="761">
        <f t="shared" si="1"/>
        <v>5</v>
      </c>
      <c r="AL145" s="761"/>
      <c r="AM145" s="761"/>
      <c r="AN145" s="758"/>
      <c r="AO145" s="758"/>
      <c r="AP145" s="758"/>
      <c r="AQ145" s="759"/>
      <c r="AR145" s="759"/>
      <c r="AS145" s="759"/>
      <c r="AT145" s="759"/>
      <c r="AU145" s="760"/>
    </row>
    <row r="146" spans="2:47">
      <c r="B146" s="296" t="s">
        <v>642</v>
      </c>
      <c r="C146" s="295"/>
      <c r="E146" s="722" t="s">
        <v>38</v>
      </c>
      <c r="F146" s="722"/>
      <c r="G146" s="298">
        <v>293</v>
      </c>
      <c r="H146" s="723" t="s">
        <v>41</v>
      </c>
      <c r="I146" s="722"/>
      <c r="J146" s="293">
        <v>391</v>
      </c>
      <c r="K146" s="724" t="s">
        <v>45</v>
      </c>
      <c r="L146" s="725"/>
      <c r="M146" s="292"/>
      <c r="N146" s="779"/>
      <c r="O146" s="779"/>
      <c r="P146" s="712"/>
      <c r="R146" s="791"/>
      <c r="S146" s="792"/>
      <c r="T146" s="797"/>
      <c r="U146" s="798"/>
      <c r="V146" s="290"/>
      <c r="W146" s="765">
        <v>7</v>
      </c>
      <c r="X146" s="766"/>
      <c r="Y146" s="767" t="s">
        <v>643</v>
      </c>
      <c r="Z146" s="767"/>
      <c r="AA146" s="767"/>
      <c r="AB146" s="767"/>
      <c r="AC146" s="758" t="s">
        <v>377</v>
      </c>
      <c r="AD146" s="758"/>
      <c r="AE146" s="761">
        <f>AU136</f>
        <v>64.033460000000005</v>
      </c>
      <c r="AF146" s="758"/>
      <c r="AG146" s="758"/>
      <c r="AH146" s="770">
        <f>BA137</f>
        <v>61.141999999999996</v>
      </c>
      <c r="AI146" s="770"/>
      <c r="AJ146" s="770"/>
      <c r="AK146" s="770">
        <f t="shared" si="1"/>
        <v>2.8914600000000092</v>
      </c>
      <c r="AL146" s="770"/>
      <c r="AM146" s="770"/>
      <c r="AN146" s="767"/>
      <c r="AO146" s="767"/>
      <c r="AP146" s="767"/>
      <c r="AQ146" s="774"/>
      <c r="AR146" s="774"/>
      <c r="AS146" s="774"/>
      <c r="AT146" s="774"/>
      <c r="AU146" s="775"/>
    </row>
    <row r="147" spans="2:47">
      <c r="B147" s="296" t="s">
        <v>399</v>
      </c>
      <c r="C147" s="295"/>
      <c r="E147" s="690" t="s">
        <v>39</v>
      </c>
      <c r="F147" s="690"/>
      <c r="H147" s="690" t="s">
        <v>37</v>
      </c>
      <c r="I147" s="690"/>
      <c r="J147" s="293"/>
      <c r="K147" s="720" t="s">
        <v>46</v>
      </c>
      <c r="L147" s="721"/>
      <c r="M147" s="292"/>
      <c r="N147" s="779" t="s">
        <v>667</v>
      </c>
      <c r="O147" s="779"/>
      <c r="P147" s="712"/>
      <c r="R147" s="700" t="s">
        <v>668</v>
      </c>
      <c r="S147" s="700"/>
      <c r="T147" s="707"/>
      <c r="U147" s="707"/>
      <c r="V147" s="290"/>
      <c r="W147" s="765">
        <v>8</v>
      </c>
      <c r="X147" s="766"/>
      <c r="Y147" s="767" t="s">
        <v>669</v>
      </c>
      <c r="Z147" s="767"/>
      <c r="AA147" s="767"/>
      <c r="AB147" s="767"/>
      <c r="AC147" s="758" t="s">
        <v>377</v>
      </c>
      <c r="AD147" s="758"/>
      <c r="AE147" s="761">
        <f>AU136</f>
        <v>64.033460000000005</v>
      </c>
      <c r="AF147" s="758"/>
      <c r="AG147" s="758"/>
      <c r="AH147" s="770">
        <f>BB137</f>
        <v>61.141999999999996</v>
      </c>
      <c r="AI147" s="770"/>
      <c r="AJ147" s="770"/>
      <c r="AK147" s="770">
        <f t="shared" si="1"/>
        <v>2.8914600000000092</v>
      </c>
      <c r="AL147" s="770"/>
      <c r="AM147" s="770"/>
      <c r="AN147" s="758"/>
      <c r="AO147" s="758"/>
      <c r="AP147" s="758"/>
      <c r="AQ147" s="759"/>
      <c r="AR147" s="759"/>
      <c r="AS147" s="759"/>
      <c r="AT147" s="759"/>
      <c r="AU147" s="760"/>
    </row>
    <row r="148" spans="2:47" ht="15.75" thickBot="1">
      <c r="B148" s="289"/>
      <c r="C148" s="288"/>
      <c r="D148" s="287"/>
      <c r="E148" s="288"/>
      <c r="F148" s="719" t="s">
        <v>381</v>
      </c>
      <c r="G148" s="719"/>
      <c r="H148" s="288"/>
      <c r="I148" s="288"/>
      <c r="J148" s="778" t="s">
        <v>646</v>
      </c>
      <c r="K148" s="778"/>
      <c r="L148" s="778"/>
      <c r="M148" s="287"/>
      <c r="N148" s="780"/>
      <c r="O148" s="780"/>
      <c r="P148" s="786"/>
      <c r="Q148" s="287"/>
      <c r="R148" s="701"/>
      <c r="S148" s="701"/>
      <c r="T148" s="708"/>
      <c r="U148" s="708"/>
      <c r="V148" s="286"/>
      <c r="W148" s="782">
        <v>9</v>
      </c>
      <c r="X148" s="783"/>
      <c r="Y148" s="784" t="s">
        <v>390</v>
      </c>
      <c r="Z148" s="784"/>
      <c r="AA148" s="784"/>
      <c r="AB148" s="784"/>
      <c r="AC148" s="771" t="s">
        <v>377</v>
      </c>
      <c r="AD148" s="771"/>
      <c r="AE148" s="761">
        <f>AU136</f>
        <v>64.033460000000005</v>
      </c>
      <c r="AF148" s="758"/>
      <c r="AG148" s="758"/>
      <c r="AH148" s="785">
        <f>BC137</f>
        <v>54</v>
      </c>
      <c r="AI148" s="771"/>
      <c r="AJ148" s="771"/>
      <c r="AK148" s="761">
        <f t="shared" si="1"/>
        <v>10.033460000000005</v>
      </c>
      <c r="AL148" s="761"/>
      <c r="AM148" s="761"/>
      <c r="AN148" s="771"/>
      <c r="AO148" s="771"/>
      <c r="AP148" s="771"/>
      <c r="AQ148" s="772"/>
      <c r="AR148" s="772"/>
      <c r="AS148" s="772"/>
      <c r="AT148" s="772"/>
      <c r="AU148" s="773"/>
    </row>
    <row r="151" spans="2:47">
      <c r="AH151" s="781"/>
      <c r="AI151" s="781"/>
    </row>
    <row r="153" spans="2:47">
      <c r="AH153" s="317"/>
    </row>
    <row r="155" spans="2:47">
      <c r="AH155" s="690"/>
      <c r="AI155" s="690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2" operator="containsText" text="Ere">
      <formula>NOT(ISERROR(SEARCH("Ere",B5)))</formula>
    </cfRule>
    <cfRule type="containsText" dxfId="1409" priority="283" operator="containsText" text="Ear">
      <formula>NOT(ISERROR(SEARCH("Ear",B5)))</formula>
    </cfRule>
    <cfRule type="containsText" dxfId="1408" priority="284" operator="containsText" text="fnd">
      <formula>NOT(ISERROR(SEARCH("fnd",B5)))</formula>
    </cfRule>
  </conditionalFormatting>
  <conditionalFormatting sqref="B14:B15">
    <cfRule type="containsText" dxfId="1407" priority="393" operator="containsText" text="Str">
      <formula>NOT(ISERROR(SEARCH("Str",B14)))</formula>
    </cfRule>
    <cfRule type="containsText" dxfId="1406" priority="394" operator="containsText" text="Ere">
      <formula>NOT(ISERROR(SEARCH("Ere",B14)))</formula>
    </cfRule>
    <cfRule type="containsText" dxfId="1405" priority="395" operator="containsText" text="Ear">
      <formula>NOT(ISERROR(SEARCH("Ear",B14)))</formula>
    </cfRule>
    <cfRule type="containsText" dxfId="1404" priority="396" operator="containsText" text="fnd">
      <formula>NOT(ISERROR(SEARCH("fnd",B14)))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1" operator="containsText" text="Str">
      <formula>NOT(ISERROR(SEARCH("Str",B32)))</formula>
    </cfRule>
    <cfRule type="containsText" dxfId="1398" priority="1362" operator="containsText" text="Ere">
      <formula>NOT(ISERROR(SEARCH("Ere",B32)))</formula>
    </cfRule>
    <cfRule type="containsText" dxfId="1397" priority="1363" operator="containsText" text="Ear">
      <formula>NOT(ISERROR(SEARCH("Ear",B32)))</formula>
    </cfRule>
    <cfRule type="containsText" dxfId="1396" priority="1364" operator="containsText" text="fnd">
      <formula>NOT(ISERROR(SEARCH("fnd",B32)))</formula>
    </cfRule>
  </conditionalFormatting>
  <conditionalFormatting sqref="B50:B51">
    <cfRule type="containsText" dxfId="1395" priority="997" operator="containsText" text="Str">
      <formula>NOT(ISERROR(SEARCH("Str",B50)))</formula>
    </cfRule>
    <cfRule type="containsText" dxfId="1394" priority="998" operator="containsText" text="Ere">
      <formula>NOT(ISERROR(SEARCH("Ere",B50)))</formula>
    </cfRule>
    <cfRule type="containsText" dxfId="1393" priority="999" operator="containsText" text="Ear">
      <formula>NOT(ISERROR(SEARCH("Ear",B50)))</formula>
    </cfRule>
    <cfRule type="containsText" dxfId="1392" priority="1000" operator="containsText" text="fnd">
      <formula>NOT(ISERROR(SEARCH("fnd",B50)))</formula>
    </cfRule>
  </conditionalFormatting>
  <conditionalFormatting sqref="B68">
    <cfRule type="containsText" dxfId="1391" priority="45" operator="containsText" text="Str">
      <formula>NOT(ISERROR(SEARCH("Str",B68)))</formula>
    </cfRule>
    <cfRule type="containsText" dxfId="1390" priority="46" operator="containsText" text="Ere">
      <formula>NOT(ISERROR(SEARCH("Ere",B68)))</formula>
    </cfRule>
    <cfRule type="containsText" dxfId="1389" priority="47" operator="containsText" text="Ear">
      <formula>NOT(ISERROR(SEARCH("Ear",B68)))</formula>
    </cfRule>
    <cfRule type="containsText" dxfId="1388" priority="48" operator="containsText" text="fnd">
      <formula>NOT(ISERROR(SEARCH("fnd",B68)))</formula>
    </cfRule>
  </conditionalFormatting>
  <conditionalFormatting sqref="B77">
    <cfRule type="containsText" dxfId="1387" priority="825" operator="containsText" text="Str">
      <formula>NOT(ISERROR(SEARCH("Str",B77)))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8" operator="containsText" text="fnd">
      <formula>NOT(ISERROR(SEARCH("fnd",B77)))</formula>
    </cfRule>
  </conditionalFormatting>
  <conditionalFormatting sqref="B96">
    <cfRule type="containsText" dxfId="1383" priority="853" operator="containsText" text="Str">
      <formula>NOT(ISERROR(SEARCH("Str",B96)))</formula>
    </cfRule>
    <cfRule type="containsText" dxfId="1382" priority="854" operator="containsText" text="Ere">
      <formula>NOT(ISERROR(SEARCH("Ere",B96)))</formula>
    </cfRule>
    <cfRule type="containsText" dxfId="1381" priority="855" operator="containsText" text="Ear">
      <formula>NOT(ISERROR(SEARCH("Ear",B96)))</formula>
    </cfRule>
    <cfRule type="containsText" dxfId="1380" priority="856" operator="containsText" text="fnd">
      <formula>NOT(ISERROR(SEARCH("fnd",B96)))</formula>
    </cfRule>
  </conditionalFormatting>
  <conditionalFormatting sqref="B113:B114">
    <cfRule type="containsText" dxfId="1379" priority="237" operator="containsText" text="Str">
      <formula>NOT(ISERROR(SEARCH("Str",B113)))</formula>
    </cfRule>
    <cfRule type="containsText" dxfId="1378" priority="238" operator="containsText" text="Ere">
      <formula>NOT(ISERROR(SEARCH("Ere",B113)))</formula>
    </cfRule>
    <cfRule type="containsText" dxfId="1377" priority="239" operator="containsText" text="Ear">
      <formula>NOT(ISERROR(SEARCH("Ear",B113)))</formula>
    </cfRule>
    <cfRule type="containsText" dxfId="1376" priority="240" operator="containsText" text="fnd">
      <formula>NOT(ISERROR(SEARCH("fnd",B113)))</formula>
    </cfRule>
  </conditionalFormatting>
  <conditionalFormatting sqref="B122">
    <cfRule type="containsText" dxfId="1375" priority="633" operator="containsText" text="Str">
      <formula>NOT(ISERROR(SEARCH("Str",B122)))</formula>
    </cfRule>
    <cfRule type="containsText" dxfId="1374" priority="634" operator="containsText" text="Ere">
      <formula>NOT(ISERROR(SEARCH("Ere",B122)))</formula>
    </cfRule>
    <cfRule type="containsText" dxfId="1373" priority="635" operator="containsText" text="Ear">
      <formula>NOT(ISERROR(SEARCH("Ear",B122)))</formula>
    </cfRule>
    <cfRule type="containsText" dxfId="1372" priority="636" operator="containsText" text="fnd">
      <formula>NOT(ISERROR(SEARCH("fnd",B122)))</formula>
    </cfRule>
  </conditionalFormatting>
  <conditionalFormatting sqref="B33:C33">
    <cfRule type="containsText" dxfId="1371" priority="1369" operator="containsText" text="Str">
      <formula>NOT(ISERROR(SEARCH("Str",B33)))</formula>
    </cfRule>
    <cfRule type="containsText" dxfId="1370" priority="1370" operator="containsText" text="Ere">
      <formula>NOT(ISERROR(SEARCH("Ere",B33)))</formula>
    </cfRule>
    <cfRule type="containsText" dxfId="1369" priority="1371" operator="containsText" text="Ear">
      <formula>NOT(ISERROR(SEARCH("Ear",B33)))</formula>
    </cfRule>
    <cfRule type="containsText" dxfId="1368" priority="1372" operator="containsText" text="fnd">
      <formula>NOT(ISERROR(SEARCH("fnd",B33)))</formula>
    </cfRule>
  </conditionalFormatting>
  <conditionalFormatting sqref="B42:C42">
    <cfRule type="containsText" dxfId="1367" priority="1001" operator="containsText" text="Str">
      <formula>NOT(ISERROR(SEARCH("Str",B42)))</formula>
    </cfRule>
    <cfRule type="containsText" dxfId="1366" priority="1002" operator="containsText" text="Ere">
      <formula>NOT(ISERROR(SEARCH("Ere",B42)))</formula>
    </cfRule>
    <cfRule type="containsText" dxfId="1365" priority="1003" operator="containsText" text="Ear">
      <formula>NOT(ISERROR(SEARCH("Ear",B42)))</formula>
    </cfRule>
    <cfRule type="containsText" dxfId="1364" priority="1004" operator="containsText" text="fnd">
      <formula>NOT(ISERROR(SEARCH("fnd",B42)))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4" operator="containsText" text="Ere">
      <formula>NOT(ISERROR(SEARCH("Ere",B60)))</formula>
    </cfRule>
    <cfRule type="containsText" dxfId="1361" priority="995" operator="containsText" text="Ear">
      <formula>NOT(ISERROR(SEARCH("Ear",B60)))</formula>
    </cfRule>
    <cfRule type="containsText" dxfId="1360" priority="996" operator="containsText" text="fnd">
      <formula>NOT(ISERROR(SEARCH("fnd",B60)))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0" operator="containsText" text="Ere">
      <formula>NOT(ISERROR(SEARCH("Ere",B69)))</formula>
    </cfRule>
    <cfRule type="containsText" dxfId="1357" priority="51" operator="containsText" text="Ear">
      <formula>NOT(ISERROR(SEARCH("Ear",B69)))</formula>
    </cfRule>
    <cfRule type="containsText" dxfId="1356" priority="52" operator="containsText" text="fnd">
      <formula>NOT(ISERROR(SEARCH("fnd",B69)))</formula>
    </cfRule>
  </conditionalFormatting>
  <conditionalFormatting sqref="B105:C105">
    <cfRule type="containsText" dxfId="1355" priority="985" operator="containsText" text="Str">
      <formula>NOT(ISERROR(SEARCH("Str",B105)))</formula>
    </cfRule>
    <cfRule type="containsText" dxfId="1354" priority="986" operator="containsText" text="Ere">
      <formula>NOT(ISERROR(SEARCH("Ere",B105)))</formula>
    </cfRule>
    <cfRule type="containsText" dxfId="1353" priority="987" operator="containsText" text="Ear">
      <formula>NOT(ISERROR(SEARCH("Ear",B105)))</formula>
    </cfRule>
    <cfRule type="containsText" dxfId="1352" priority="988" operator="containsText" text="fnd">
      <formula>NOT(ISERROR(SEARCH("fnd",B105)))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5" operator="containsText" text="Str">
      <formula>NOT(ISERROR(SEARCH("Str",B136)))</formula>
    </cfRule>
    <cfRule type="containsText" dxfId="1346" priority="486" operator="containsText" text="Ere">
      <formula>NOT(ISERROR(SEARCH("Ere",B136)))</formula>
    </cfRule>
    <cfRule type="containsText" dxfId="1345" priority="487" operator="containsText" text="Ear">
      <formula>NOT(ISERROR(SEARCH("Ear",B136)))</formula>
    </cfRule>
    <cfRule type="containsText" dxfId="1344" priority="488" operator="containsText" text="fnd">
      <formula>NOT(ISERROR(SEARCH("fnd",B136)))</formula>
    </cfRule>
  </conditionalFormatting>
  <conditionalFormatting sqref="C6">
    <cfRule type="containsText" dxfId="1343" priority="277" operator="containsText" text="Str">
      <formula>NOT(ISERROR(SEARCH("Str",C6)))</formula>
    </cfRule>
    <cfRule type="containsText" dxfId="1342" priority="278" operator="containsText" text="Ere">
      <formula>NOT(ISERROR(SEARCH("Ere",C6)))</formula>
    </cfRule>
    <cfRule type="containsText" dxfId="1341" priority="279" operator="containsText" text="Ear">
      <formula>NOT(ISERROR(SEARCH("Ear",C6)))</formula>
    </cfRule>
    <cfRule type="containsText" dxfId="1340" priority="280" operator="containsText" text="fnd">
      <formula>NOT(ISERROR(SEARCH("fnd",C6)))</formula>
    </cfRule>
  </conditionalFormatting>
  <conditionalFormatting sqref="C15">
    <cfRule type="containsText" dxfId="1339" priority="389" operator="containsText" text="Str">
      <formula>NOT(ISERROR(SEARCH("Str",C15)))</formula>
    </cfRule>
    <cfRule type="containsText" dxfId="1338" priority="390" operator="containsText" text="Ere">
      <formula>NOT(ISERROR(SEARCH("Ere",C15)))</formula>
    </cfRule>
    <cfRule type="containsText" dxfId="1337" priority="391" operator="containsText" text="Ear">
      <formula>NOT(ISERROR(SEARCH("Ear",C15)))</formula>
    </cfRule>
    <cfRule type="containsText" dxfId="1336" priority="392" operator="containsText" text="fnd">
      <formula>NOT(ISERROR(SEARCH("fnd",C15)))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5" operator="containsText" text="Str">
      <formula>NOT(ISERROR(SEARCH("Str",C51)))</formula>
    </cfRule>
    <cfRule type="containsText" dxfId="1330" priority="1006" operator="containsText" text="Ere">
      <formula>NOT(ISERROR(SEARCH("Ere",C51)))</formula>
    </cfRule>
    <cfRule type="containsText" dxfId="1329" priority="1007" operator="containsText" text="Ear">
      <formula>NOT(ISERROR(SEARCH("Ear",C51)))</formula>
    </cfRule>
    <cfRule type="containsText" dxfId="1328" priority="1008" operator="containsText" text="fnd">
      <formula>NOT(ISERROR(SEARCH("fnd",C51)))</formula>
    </cfRule>
  </conditionalFormatting>
  <conditionalFormatting sqref="C87">
    <cfRule type="containsText" dxfId="1327" priority="989" operator="containsText" text="Str">
      <formula>NOT(ISERROR(SEARCH("Str",C87)))</formula>
    </cfRule>
    <cfRule type="containsText" dxfId="1326" priority="990" operator="containsText" text="Ere">
      <formula>NOT(ISERROR(SEARCH("Ere",C87)))</formula>
    </cfRule>
    <cfRule type="containsText" dxfId="1325" priority="991" operator="containsText" text="Ear">
      <formula>NOT(ISERROR(SEARCH("Ear",C87)))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1" operator="containsText" text="Ear">
      <formula>NOT(ISERROR(SEARCH("Ear",E5)))</formula>
    </cfRule>
    <cfRule type="containsText" dxfId="1320" priority="352" operator="containsText" text="fnd">
      <formula>NOT(ISERROR(SEARCH("fnd",E5)))</formula>
    </cfRule>
  </conditionalFormatting>
  <conditionalFormatting sqref="E14:E15">
    <cfRule type="containsText" dxfId="1319" priority="297" operator="containsText" text="Str">
      <formula>NOT(ISERROR(SEARCH("Str",E14)))</formula>
    </cfRule>
    <cfRule type="containsText" dxfId="1318" priority="298" operator="containsText" text="Ere">
      <formula>NOT(ISERROR(SEARCH("Ere",E14)))</formula>
    </cfRule>
    <cfRule type="containsText" dxfId="1317" priority="299" operator="containsText" text="Ear">
      <formula>NOT(ISERROR(SEARCH("Ear",E14)))</formula>
    </cfRule>
    <cfRule type="containsText" dxfId="1316" priority="300" operator="containsText" text="fnd">
      <formula>NOT(ISERROR(SEARCH("fnd",E14)))</formula>
    </cfRule>
  </conditionalFormatting>
  <conditionalFormatting sqref="E23:E24">
    <cfRule type="containsText" dxfId="1315" priority="697" operator="containsText" text="Str">
      <formula>NOT(ISERROR(SEARCH("Str",E23)))</formula>
    </cfRule>
    <cfRule type="containsText" dxfId="1314" priority="698" operator="containsText" text="Ere">
      <formula>NOT(ISERROR(SEARCH("Ere",E23)))</formula>
    </cfRule>
    <cfRule type="containsText" dxfId="1313" priority="699" operator="containsText" text="Ear">
      <formula>NOT(ISERROR(SEARCH("Ear",E23)))</formula>
    </cfRule>
    <cfRule type="containsText" dxfId="1312" priority="700" operator="containsText" text="fnd">
      <formula>NOT(ISERROR(SEARCH("fnd",E23)))</formula>
    </cfRule>
  </conditionalFormatting>
  <conditionalFormatting sqref="E32">
    <cfRule type="containsText" dxfId="1311" priority="205" operator="containsText" text="Str">
      <formula>NOT(ISERROR(SEARCH("Str",E32)))</formula>
    </cfRule>
    <cfRule type="containsText" dxfId="1310" priority="206" operator="containsText" text="Ere">
      <formula>NOT(ISERROR(SEARCH("Ere",E32)))</formula>
    </cfRule>
    <cfRule type="containsText" dxfId="1309" priority="207" operator="containsText" text="Ear">
      <formula>NOT(ISERROR(SEARCH("Ear",E32)))</formula>
    </cfRule>
    <cfRule type="containsText" dxfId="1308" priority="208" operator="containsText" text="fnd">
      <formula>NOT(ISERROR(SEARCH("fnd",E32)))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89" operator="containsText" text="Str">
      <formula>NOT(ISERROR(SEARCH("Str",E50)))</formula>
    </cfRule>
    <cfRule type="containsText" dxfId="1302" priority="1190" operator="containsText" text="Ere">
      <formula>NOT(ISERROR(SEARCH("Ere",E50)))</formula>
    </cfRule>
    <cfRule type="containsText" dxfId="1301" priority="1191" operator="containsText" text="Ear">
      <formula>NOT(ISERROR(SEARCH("Ear",E50)))</formula>
    </cfRule>
    <cfRule type="containsText" dxfId="1300" priority="1192" operator="containsText" text="fnd">
      <formula>NOT(ISERROR(SEARCH("fnd",E50)))</formula>
    </cfRule>
  </conditionalFormatting>
  <conditionalFormatting sqref="E59:E60">
    <cfRule type="containsText" dxfId="1299" priority="805" operator="containsText" text="Str">
      <formula>NOT(ISERROR(SEARCH("Str",E59)))</formula>
    </cfRule>
    <cfRule type="containsText" dxfId="1298" priority="806" operator="containsText" text="Ere">
      <formula>NOT(ISERROR(SEARCH("Ere",E59)))</formula>
    </cfRule>
    <cfRule type="containsText" dxfId="1297" priority="807" operator="containsText" text="Ear">
      <formula>NOT(ISERROR(SEARCH("Ear",E59)))</formula>
    </cfRule>
    <cfRule type="containsText" dxfId="1296" priority="808" operator="containsText" text="fnd">
      <formula>NOT(ISERROR(SEARCH("fnd",E59)))</formula>
    </cfRule>
  </conditionalFormatting>
  <conditionalFormatting sqref="E68">
    <cfRule type="containsText" dxfId="1295" priority="21" operator="containsText" text="Str">
      <formula>NOT(ISERROR(SEARCH("Str",E68)))</formula>
    </cfRule>
    <cfRule type="containsText" dxfId="1294" priority="22" operator="containsText" text="Ere">
      <formula>NOT(ISERROR(SEARCH("Ere",E68)))</formula>
    </cfRule>
    <cfRule type="containsText" dxfId="1293" priority="23" operator="containsText" text="Ear">
      <formula>NOT(ISERROR(SEARCH("Ear",E68)))</formula>
    </cfRule>
    <cfRule type="containsText" dxfId="1292" priority="24" operator="containsText" text="fnd">
      <formula>NOT(ISERROR(SEARCH("fnd",E68)))</formula>
    </cfRule>
  </conditionalFormatting>
  <conditionalFormatting sqref="E77">
    <cfRule type="containsText" dxfId="1291" priority="941" operator="containsText" text="Str">
      <formula>NOT(ISERROR(SEARCH("Str",E77)))</formula>
    </cfRule>
    <cfRule type="containsText" dxfId="1290" priority="942" operator="containsText" text="Ere">
      <formula>NOT(ISERROR(SEARCH("Ere",E77)))</formula>
    </cfRule>
    <cfRule type="containsText" dxfId="1289" priority="943" operator="containsText" text="Ear">
      <formula>NOT(ISERROR(SEARCH("Ear",E77)))</formula>
    </cfRule>
    <cfRule type="containsText" dxfId="1288" priority="944" operator="containsText" text="fnd">
      <formula>NOT(ISERROR(SEARCH("fnd",E77)))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1" operator="containsText" text="Str">
      <formula>NOT(ISERROR(SEARCH("Str",E104)))</formula>
    </cfRule>
    <cfRule type="containsText" dxfId="1282" priority="882" operator="containsText" text="Ere">
      <formula>NOT(ISERROR(SEARCH("Ere",E104)))</formula>
    </cfRule>
    <cfRule type="containsText" dxfId="1281" priority="883" operator="containsText" text="Ear">
      <formula>NOT(ISERROR(SEARCH("Ear",E104)))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2" operator="containsText" text="Ere">
      <formula>NOT(ISERROR(SEARCH("Ere",E122)))</formula>
    </cfRule>
    <cfRule type="containsText" dxfId="1273" priority="463" operator="containsText" text="Ear">
      <formula>NOT(ISERROR(SEARCH("Ear",E122)))</formula>
    </cfRule>
    <cfRule type="containsText" dxfId="1272" priority="464" operator="containsText" text="fnd">
      <formula>NOT(ISERROR(SEARCH("fnd",E122)))</formula>
    </cfRule>
  </conditionalFormatting>
  <conditionalFormatting sqref="E131:E134">
    <cfRule type="containsText" dxfId="1271" priority="913" operator="containsText" text="Str">
      <formula>NOT(ISERROR(SEARCH("Str",E131)))</formula>
    </cfRule>
    <cfRule type="containsText" dxfId="1270" priority="914" operator="containsText" text="Ere">
      <formula>NOT(ISERROR(SEARCH("Ere",E131)))</formula>
    </cfRule>
    <cfRule type="containsText" dxfId="1269" priority="915" operator="containsText" text="Ear">
      <formula>NOT(ISERROR(SEARCH("Ear",E131)))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3" operator="containsText" text="Str">
      <formula>NOT(ISERROR(SEARCH("Str",E136)))</formula>
    </cfRule>
    <cfRule type="containsText" dxfId="1266" priority="274" operator="containsText" text="Ere">
      <formula>NOT(ISERROR(SEARCH("Ere",E136)))</formula>
    </cfRule>
    <cfRule type="containsText" dxfId="1265" priority="275" operator="containsText" text="Ear">
      <formula>NOT(ISERROR(SEARCH("Ear",E136)))</formula>
    </cfRule>
    <cfRule type="containsText" dxfId="1264" priority="276" operator="containsText" text="fnd">
      <formula>NOT(ISERROR(SEARCH("fnd",E136)))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1" operator="containsText" text="Ear">
      <formula>NOT(ISERROR(SEARCH("Ear",E33)))</formula>
    </cfRule>
    <cfRule type="containsText" dxfId="1256" priority="212" operator="containsText" text="fnd">
      <formula>NOT(ISERROR(SEARCH("fnd",E33)))</formula>
    </cfRule>
  </conditionalFormatting>
  <conditionalFormatting sqref="E51:F51">
    <cfRule type="containsText" dxfId="1255" priority="1305" operator="containsText" text="Str">
      <formula>NOT(ISERROR(SEARCH("Str",E51)))</formula>
    </cfRule>
    <cfRule type="containsText" dxfId="1254" priority="1306" operator="containsText" text="Ere">
      <formula>NOT(ISERROR(SEARCH("Ere",E51)))</formula>
    </cfRule>
    <cfRule type="containsText" dxfId="1253" priority="1307" operator="containsText" text="Ear">
      <formula>NOT(ISERROR(SEARCH("Ear",E51)))</formula>
    </cfRule>
    <cfRule type="containsText" dxfId="1252" priority="1308" operator="containsText" text="fnd">
      <formula>NOT(ISERROR(SEARCH("fnd",E51)))</formula>
    </cfRule>
  </conditionalFormatting>
  <conditionalFormatting sqref="E69:F69">
    <cfRule type="containsText" dxfId="1251" priority="25" operator="containsText" text="Str">
      <formula>NOT(ISERROR(SEARCH("Str",E69)))</formula>
    </cfRule>
    <cfRule type="containsText" dxfId="1250" priority="26" operator="containsText" text="Ere">
      <formula>NOT(ISERROR(SEARCH("Ere",E69)))</formula>
    </cfRule>
    <cfRule type="containsText" dxfId="1249" priority="27" operator="containsText" text="Ear">
      <formula>NOT(ISERROR(SEARCH("Ear",E69)))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5" operator="containsText" text="Str">
      <formula>NOT(ISERROR(SEARCH("Str",E105)))</formula>
    </cfRule>
    <cfRule type="containsText" dxfId="1246" priority="886" operator="containsText" text="Ere">
      <formula>NOT(ISERROR(SEARCH("Ere",E105)))</formula>
    </cfRule>
    <cfRule type="containsText" dxfId="1245" priority="887" operator="containsText" text="Ear">
      <formula>NOT(ISERROR(SEARCH("Ear",E105)))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2" operator="containsText" text="Ere">
      <formula>NOT(ISERROR(SEARCH("Ere",E114)))</formula>
    </cfRule>
    <cfRule type="containsText" dxfId="1241" priority="723" operator="containsText" text="Ear">
      <formula>NOT(ISERROR(SEARCH("Ear",E114)))</formula>
    </cfRule>
    <cfRule type="containsText" dxfId="1240" priority="724" operator="containsText" text="fnd">
      <formula>NOT(ISERROR(SEARCH("fnd",E114)))</formula>
    </cfRule>
  </conditionalFormatting>
  <conditionalFormatting sqref="E123:F123">
    <cfRule type="containsText" dxfId="1239" priority="465" operator="containsText" text="Str">
      <formula>NOT(ISERROR(SEARCH("Str",E123)))</formula>
    </cfRule>
    <cfRule type="containsText" dxfId="1238" priority="466" operator="containsText" text="Ere">
      <formula>NOT(ISERROR(SEARCH("Ere",E123)))</formula>
    </cfRule>
    <cfRule type="containsText" dxfId="1237" priority="467" operator="containsText" text="Ear">
      <formula>NOT(ISERROR(SEARCH("Ear",E123)))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7" operator="containsText" text="Str">
      <formula>NOT(ISERROR(SEARCH("Str",E145)))</formula>
    </cfRule>
    <cfRule type="containsText" dxfId="1234" priority="1058" operator="containsText" text="Ere">
      <formula>NOT(ISERROR(SEARCH("Ere",E145)))</formula>
    </cfRule>
    <cfRule type="containsText" dxfId="1233" priority="1059" operator="containsText" text="Ear">
      <formula>NOT(ISERROR(SEARCH("Ear",E145)))</formula>
    </cfRule>
    <cfRule type="containsText" dxfId="1232" priority="1060" operator="containsText" text="fnd">
      <formula>NOT(ISERROR(SEARCH("fnd",E145)))</formula>
    </cfRule>
  </conditionalFormatting>
  <conditionalFormatting sqref="F6">
    <cfRule type="containsText" dxfId="1231" priority="345" operator="containsText" text="Str">
      <formula>NOT(ISERROR(SEARCH("Str",F6)))</formula>
    </cfRule>
    <cfRule type="containsText" dxfId="1230" priority="346" operator="containsText" text="Ere">
      <formula>NOT(ISERROR(SEARCH("Ere",F6)))</formula>
    </cfRule>
    <cfRule type="containsText" dxfId="1229" priority="347" operator="containsText" text="Ear">
      <formula>NOT(ISERROR(SEARCH("Ear",F6)))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3" operator="containsText" text="Str">
      <formula>NOT(ISERROR(SEARCH("Str",F15)))</formula>
    </cfRule>
    <cfRule type="containsText" dxfId="1226" priority="294" operator="containsText" text="Ere">
      <formula>NOT(ISERROR(SEARCH("Ere",F15)))</formula>
    </cfRule>
    <cfRule type="containsText" dxfId="1225" priority="295" operator="containsText" text="Ear">
      <formula>NOT(ISERROR(SEARCH("Ear",F15)))</formula>
    </cfRule>
    <cfRule type="containsText" dxfId="1224" priority="296" operator="containsText" text="fnd">
      <formula>NOT(ISERROR(SEARCH("fnd",F15)))</formula>
    </cfRule>
  </conditionalFormatting>
  <conditionalFormatting sqref="F24">
    <cfRule type="containsText" dxfId="1223" priority="693" operator="containsText" text="Str">
      <formula>NOT(ISERROR(SEARCH("Str",F24)))</formula>
    </cfRule>
    <cfRule type="containsText" dxfId="1222" priority="694" operator="containsText" text="Ere">
      <formula>NOT(ISERROR(SEARCH("Ere",F24)))</formula>
    </cfRule>
    <cfRule type="containsText" dxfId="1221" priority="695" operator="containsText" text="Ear">
      <formula>NOT(ISERROR(SEARCH("Ear",F24)))</formula>
    </cfRule>
    <cfRule type="containsText" dxfId="1220" priority="696" operator="containsText" text="fnd">
      <formula>NOT(ISERROR(SEARCH("fnd",F24)))</formula>
    </cfRule>
  </conditionalFormatting>
  <conditionalFormatting sqref="F42">
    <cfRule type="containsText" dxfId="1219" priority="1017" operator="containsText" text="Str">
      <formula>NOT(ISERROR(SEARCH("Str",F42)))</formula>
    </cfRule>
    <cfRule type="containsText" dxfId="1218" priority="1018" operator="containsText" text="Ere">
      <formula>NOT(ISERROR(SEARCH("Ere",F42)))</formula>
    </cfRule>
    <cfRule type="containsText" dxfId="1217" priority="1019" operator="containsText" text="Ear">
      <formula>NOT(ISERROR(SEARCH("Ear",F42)))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1" operator="containsText" text="Str">
      <formula>NOT(ISERROR(SEARCH("Str",F60)))</formula>
    </cfRule>
    <cfRule type="containsText" dxfId="1214" priority="802" operator="containsText" text="Ere">
      <formula>NOT(ISERROR(SEARCH("Ere",F60)))</formula>
    </cfRule>
    <cfRule type="containsText" dxfId="1213" priority="803" operator="containsText" text="Ear">
      <formula>NOT(ISERROR(SEARCH("Ear",F60)))</formula>
    </cfRule>
    <cfRule type="containsText" dxfId="1212" priority="804" operator="containsText" text="fnd">
      <formula>NOT(ISERROR(SEARCH("fnd",F60)))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5" operator="containsText" text="Ear">
      <formula>NOT(ISERROR(SEARCH("Ear",F87)))</formula>
    </cfRule>
    <cfRule type="containsText" dxfId="1208" priority="816" operator="containsText" text="fnd">
      <formula>NOT(ISERROR(SEARCH("fnd",F87)))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69" operator="containsText" text="Str">
      <formula>NOT(ISERROR(SEARCH("Str",H14)))</formula>
    </cfRule>
    <cfRule type="containsText" dxfId="1202" priority="370" operator="containsText" text="Ere">
      <formula>NOT(ISERROR(SEARCH("Ere",H14)))</formula>
    </cfRule>
    <cfRule type="containsText" dxfId="1201" priority="371" operator="containsText" text="Ear">
      <formula>NOT(ISERROR(SEARCH("Ear",H14)))</formula>
    </cfRule>
    <cfRule type="containsText" dxfId="1200" priority="372" operator="containsText" text="fnd">
      <formula>NOT(ISERROR(SEARCH("fnd",H14)))</formula>
    </cfRule>
  </conditionalFormatting>
  <conditionalFormatting sqref="H23:H24">
    <cfRule type="containsText" dxfId="1199" priority="689" operator="containsText" text="Str">
      <formula>NOT(ISERROR(SEARCH("Str",H23)))</formula>
    </cfRule>
    <cfRule type="containsText" dxfId="1198" priority="690" operator="containsText" text="Ere">
      <formula>NOT(ISERROR(SEARCH("Ere",H23)))</formula>
    </cfRule>
    <cfRule type="containsText" dxfId="1197" priority="691" operator="containsText" text="Ear">
      <formula>NOT(ISERROR(SEARCH("Ear",H23)))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4" operator="containsText" text="Ere">
      <formula>NOT(ISERROR(SEARCH("Ere",H50)))</formula>
    </cfRule>
    <cfRule type="containsText" dxfId="1189" priority="1215" operator="containsText" text="Ear">
      <formula>NOT(ISERROR(SEARCH("Ear",H50)))</formula>
    </cfRule>
    <cfRule type="containsText" dxfId="1188" priority="1216" operator="containsText" text="fnd">
      <formula>NOT(ISERROR(SEARCH("fnd",H50)))</formula>
    </cfRule>
  </conditionalFormatting>
  <conditionalFormatting sqref="H68">
    <cfRule type="containsText" dxfId="1187" priority="641" operator="containsText" text="Str">
      <formula>NOT(ISERROR(SEARCH("Str",H68)))</formula>
    </cfRule>
    <cfRule type="containsText" dxfId="1186" priority="642" operator="containsText" text="Ere">
      <formula>NOT(ISERROR(SEARCH("Ere",H68)))</formula>
    </cfRule>
    <cfRule type="containsText" dxfId="1185" priority="643" operator="containsText" text="Ear">
      <formula>NOT(ISERROR(SEARCH("Ear",H68)))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0" operator="containsText" text="Ere">
      <formula>NOT(ISERROR(SEARCH("Ere",H77)))</formula>
    </cfRule>
    <cfRule type="containsText" dxfId="1181" priority="1171" operator="containsText" text="Ear">
      <formula>NOT(ISERROR(SEARCH("Ear",H77)))</formula>
    </cfRule>
    <cfRule type="containsText" dxfId="1180" priority="1172" operator="containsText" text="fnd">
      <formula>NOT(ISERROR(SEARCH("fnd",H77)))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4" operator="containsText" text="Ere">
      <formula>NOT(ISERROR(SEARCH("Ere",H96)))</formula>
    </cfRule>
    <cfRule type="containsText" dxfId="1177" priority="1275" operator="containsText" text="Ear">
      <formula>NOT(ISERROR(SEARCH("Ear",H96)))</formula>
    </cfRule>
    <cfRule type="containsText" dxfId="1176" priority="1276" operator="containsText" text="fnd">
      <formula>NOT(ISERROR(SEARCH("fnd",H96)))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6" operator="containsText" text="Ere">
      <formula>NOT(ISERROR(SEARCH("Ere",H104)))</formula>
    </cfRule>
    <cfRule type="containsText" dxfId="1173" priority="787" operator="containsText" text="Ear">
      <formula>NOT(ISERROR(SEARCH("Ear",H104)))</formula>
    </cfRule>
    <cfRule type="containsText" dxfId="1172" priority="788" operator="containsText" text="fnd">
      <formula>NOT(ISERROR(SEARCH("fnd",H104)))</formula>
    </cfRule>
  </conditionalFormatting>
  <conditionalFormatting sqref="H113">
    <cfRule type="containsText" dxfId="1171" priority="133" operator="containsText" text="Str">
      <formula>NOT(ISERROR(SEARCH("Str",H113)))</formula>
    </cfRule>
    <cfRule type="containsText" dxfId="1170" priority="134" operator="containsText" text="Ere">
      <formula>NOT(ISERROR(SEARCH("Ere",H113)))</formula>
    </cfRule>
    <cfRule type="containsText" dxfId="1169" priority="135" operator="containsText" text="Ear">
      <formula>NOT(ISERROR(SEARCH("Ear",H113)))</formula>
    </cfRule>
    <cfRule type="containsText" dxfId="1168" priority="136" operator="containsText" text="fnd">
      <formula>NOT(ISERROR(SEARCH("fnd",H113)))</formula>
    </cfRule>
  </conditionalFormatting>
  <conditionalFormatting sqref="H122">
    <cfRule type="containsText" dxfId="1167" priority="609" operator="containsText" text="Str">
      <formula>NOT(ISERROR(SEARCH("Str",H122)))</formula>
    </cfRule>
    <cfRule type="containsText" dxfId="1166" priority="610" operator="containsText" text="Ere">
      <formula>NOT(ISERROR(SEARCH("Ere",H122)))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3" operator="containsText" text="Str">
      <formula>NOT(ISERROR(SEARCH("Str",H131)))</formula>
    </cfRule>
    <cfRule type="containsText" dxfId="1162" priority="14" operator="containsText" text="Ere">
      <formula>NOT(ISERROR(SEARCH("Ere",H131)))</formula>
    </cfRule>
    <cfRule type="containsText" dxfId="1161" priority="15" operator="containsText" text="Ear">
      <formula>NOT(ISERROR(SEARCH("Ear",H131)))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09" operator="containsText" text="Str">
      <formula>NOT(ISERROR(SEARCH("Str",H51)))</formula>
    </cfRule>
    <cfRule type="containsText" dxfId="1150" priority="1310" operator="containsText" text="Ere">
      <formula>NOT(ISERROR(SEARCH("Ere",H51)))</formula>
    </cfRule>
    <cfRule type="containsText" dxfId="1149" priority="1311" operator="containsText" text="Ear">
      <formula>NOT(ISERROR(SEARCH("Ear",H51)))</formula>
    </cfRule>
    <cfRule type="containsText" dxfId="1148" priority="1312" operator="containsText" text="fnd">
      <formula>NOT(ISERROR(SEARCH("fnd",H51)))</formula>
    </cfRule>
  </conditionalFormatting>
  <conditionalFormatting sqref="H69:I69">
    <cfRule type="containsText" dxfId="1147" priority="645" operator="containsText" text="Str">
      <formula>NOT(ISERROR(SEARCH("Str",H69)))</formula>
    </cfRule>
    <cfRule type="containsText" dxfId="1146" priority="646" operator="containsText" text="Ere">
      <formula>NOT(ISERROR(SEARCH("Ere",H69)))</formula>
    </cfRule>
    <cfRule type="containsText" dxfId="1145" priority="647" operator="containsText" text="Ear">
      <formula>NOT(ISERROR(SEARCH("Ear",H69)))</formula>
    </cfRule>
    <cfRule type="containsText" dxfId="1144" priority="648" operator="containsText" text="fnd">
      <formula>NOT(ISERROR(SEARCH("fnd",H69)))</formula>
    </cfRule>
  </conditionalFormatting>
  <conditionalFormatting sqref="H105:I105">
    <cfRule type="containsText" dxfId="1143" priority="789" operator="containsText" text="Str">
      <formula>NOT(ISERROR(SEARCH("Str",H105)))</formula>
    </cfRule>
    <cfRule type="containsText" dxfId="1142" priority="790" operator="containsText" text="Ere">
      <formula>NOT(ISERROR(SEARCH("Ere",H105)))</formula>
    </cfRule>
    <cfRule type="containsText" dxfId="1141" priority="791" operator="containsText" text="Ear">
      <formula>NOT(ISERROR(SEARCH("Ear",H105)))</formula>
    </cfRule>
    <cfRule type="containsText" dxfId="1140" priority="792" operator="containsText" text="fnd">
      <formula>NOT(ISERROR(SEARCH("fnd",H105)))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39" operator="containsText" text="Ear">
      <formula>NOT(ISERROR(SEARCH("Ear",H114)))</formula>
    </cfRule>
    <cfRule type="containsText" dxfId="1136" priority="140" operator="containsText" text="fnd">
      <formula>NOT(ISERROR(SEARCH("fnd",H114)))</formula>
    </cfRule>
  </conditionalFormatting>
  <conditionalFormatting sqref="H123:I123">
    <cfRule type="containsText" dxfId="1135" priority="613" operator="containsText" text="Str">
      <formula>NOT(ISERROR(SEARCH("Str",H123)))</formula>
    </cfRule>
    <cfRule type="containsText" dxfId="1134" priority="614" operator="containsText" text="Ere">
      <formula>NOT(ISERROR(SEARCH("Ere",H123)))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5" operator="containsText" text="Str">
      <formula>NOT(ISERROR(SEARCH("Str",H136)))</formula>
    </cfRule>
    <cfRule type="containsText" dxfId="1130" priority="6" operator="containsText" text="Ere">
      <formula>NOT(ISERROR(SEARCH("Ere",H136)))</formula>
    </cfRule>
    <cfRule type="containsText" dxfId="1129" priority="7" operator="containsText" text="Ear">
      <formula>NOT(ISERROR(SEARCH("Ear",H136)))</formula>
    </cfRule>
    <cfRule type="containsText" dxfId="1128" priority="8" operator="containsText" text="fnd">
      <formula>NOT(ISERROR(SEARCH("fnd",H136)))</formula>
    </cfRule>
  </conditionalFormatting>
  <conditionalFormatting sqref="I6">
    <cfRule type="containsText" dxfId="1127" priority="173" operator="containsText" text="Str">
      <formula>NOT(ISERROR(SEARCH("Str",I6)))</formula>
    </cfRule>
    <cfRule type="containsText" dxfId="1126" priority="174" operator="containsText" text="Ere">
      <formula>NOT(ISERROR(SEARCH("Ere",I6)))</formula>
    </cfRule>
    <cfRule type="containsText" dxfId="1125" priority="175" operator="containsText" text="Ear">
      <formula>NOT(ISERROR(SEARCH("Ear",I6)))</formula>
    </cfRule>
    <cfRule type="containsText" dxfId="1124" priority="176" operator="containsText" text="fnd">
      <formula>NOT(ISERROR(SEARCH("fnd",I6)))</formula>
    </cfRule>
  </conditionalFormatting>
  <conditionalFormatting sqref="I15">
    <cfRule type="containsText" dxfId="1123" priority="365" operator="containsText" text="Str">
      <formula>NOT(ISERROR(SEARCH("Str",I15)))</formula>
    </cfRule>
    <cfRule type="containsText" dxfId="1122" priority="366" operator="containsText" text="Ere">
      <formula>NOT(ISERROR(SEARCH("Ere",I15)))</formula>
    </cfRule>
    <cfRule type="containsText" dxfId="1121" priority="367" operator="containsText" text="Ear">
      <formula>NOT(ISERROR(SEARCH("Ear",I15)))</formula>
    </cfRule>
    <cfRule type="containsText" dxfId="1120" priority="368" operator="containsText" text="fnd">
      <formula>NOT(ISERROR(SEARCH("fnd",I15)))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7" operator="containsText" text="Str">
      <formula>NOT(ISERROR(SEARCH("Str",I60)))</formula>
    </cfRule>
    <cfRule type="containsText" dxfId="1114" priority="958" operator="containsText" text="Ere">
      <formula>NOT(ISERROR(SEARCH("Ere",I60)))</formula>
    </cfRule>
    <cfRule type="containsText" dxfId="1113" priority="959" operator="containsText" text="Ear">
      <formula>NOT(ISERROR(SEARCH("Ear",I60)))</formula>
    </cfRule>
    <cfRule type="containsText" dxfId="1112" priority="960" operator="containsText" text="fnd">
      <formula>NOT(ISERROR(SEARCH("fnd",I60)))</formula>
    </cfRule>
  </conditionalFormatting>
  <conditionalFormatting sqref="I87">
    <cfRule type="containsText" dxfId="1111" priority="781" operator="containsText" text="Str">
      <formula>NOT(ISERROR(SEARCH("Str",I87)))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4" operator="containsText" text="fnd">
      <formula>NOT(ISERROR(SEARCH("fnd",I87)))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3" operator="containsText" text="Str">
      <formula>NOT(ISERROR(SEARCH("Str",K14)))</formula>
    </cfRule>
    <cfRule type="containsText" dxfId="1102" priority="434" operator="containsText" text="Ere">
      <formula>NOT(ISERROR(SEARCH("Ere",K14)))</formula>
    </cfRule>
    <cfRule type="containsText" dxfId="1101" priority="435" operator="containsText" text="Ear">
      <formula>NOT(ISERROR(SEARCH("Ear",K14)))</formula>
    </cfRule>
    <cfRule type="containsText" dxfId="1100" priority="436" operator="containsText" text="fnd">
      <formula>NOT(ISERROR(SEARCH("fnd",K14)))</formula>
    </cfRule>
  </conditionalFormatting>
  <conditionalFormatting sqref="K23:K24">
    <cfRule type="containsText" dxfId="1099" priority="629" operator="containsText" text="Str">
      <formula>NOT(ISERROR(SEARCH("Str",K23)))</formula>
    </cfRule>
    <cfRule type="containsText" dxfId="1098" priority="630" operator="containsText" text="Ere">
      <formula>NOT(ISERROR(SEARCH("Ere",K23)))</formula>
    </cfRule>
    <cfRule type="containsText" dxfId="1097" priority="631" operator="containsText" text="Ear">
      <formula>NOT(ISERROR(SEARCH("Ear",K23)))</formula>
    </cfRule>
    <cfRule type="containsText" dxfId="1096" priority="632" operator="containsText" text="fnd">
      <formula>NOT(ISERROR(SEARCH("fnd",K23)))</formula>
    </cfRule>
  </conditionalFormatting>
  <conditionalFormatting sqref="K32">
    <cfRule type="containsText" dxfId="1095" priority="197" operator="containsText" text="Str">
      <formula>NOT(ISERROR(SEARCH("Str",K32)))</formula>
    </cfRule>
    <cfRule type="containsText" dxfId="1094" priority="198" operator="containsText" text="Ere">
      <formula>NOT(ISERROR(SEARCH("Ere",K32)))</formula>
    </cfRule>
    <cfRule type="containsText" dxfId="1093" priority="199" operator="containsText" text="Ear">
      <formula>NOT(ISERROR(SEARCH("Ear",K32)))</formula>
    </cfRule>
    <cfRule type="containsText" dxfId="1092" priority="200" operator="containsText" text="fnd">
      <formula>NOT(ISERROR(SEARCH("fnd",K32)))</formula>
    </cfRule>
  </conditionalFormatting>
  <conditionalFormatting sqref="K50:K51">
    <cfRule type="containsText" dxfId="1091" priority="965" operator="containsText" text="Str">
      <formula>NOT(ISERROR(SEARCH("Str",K50)))</formula>
    </cfRule>
    <cfRule type="containsText" dxfId="1090" priority="966" operator="containsText" text="Ere">
      <formula>NOT(ISERROR(SEARCH("Ere",K50)))</formula>
    </cfRule>
    <cfRule type="containsText" dxfId="1089" priority="967" operator="containsText" text="Ear">
      <formula>NOT(ISERROR(SEARCH("Ear",K50)))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8" operator="containsText" text="Ere">
      <formula>NOT(ISERROR(SEARCH("Ere",K68)))</formula>
    </cfRule>
    <cfRule type="containsText" dxfId="1085" priority="579" operator="containsText" text="Ear">
      <formula>NOT(ISERROR(SEARCH("Ear",K68)))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77" operator="containsText" text="Str">
      <formula>NOT(ISERROR(SEARCH("Str",K86)))</formula>
    </cfRule>
    <cfRule type="containsText" dxfId="1082" priority="1278" operator="containsText" text="Ere">
      <formula>NOT(ISERROR(SEARCH("Ere",K86)))</formula>
    </cfRule>
    <cfRule type="containsText" dxfId="1081" priority="1279" operator="containsText" text="Ear">
      <formula>NOT(ISERROR(SEARCH("Ear",K86)))</formula>
    </cfRule>
    <cfRule type="containsText" dxfId="1080" priority="1280" operator="containsText" text="fnd">
      <formula>NOT(ISERROR(SEARCH("fnd",K86)))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0" operator="containsText" text="Ere">
      <formula>NOT(ISERROR(SEARCH("Ere",K95)))</formula>
    </cfRule>
    <cfRule type="containsText" dxfId="1077" priority="1271" operator="containsText" text="Ear">
      <formula>NOT(ISERROR(SEARCH("Ear",K95)))</formula>
    </cfRule>
    <cfRule type="containsText" dxfId="1076" priority="1272" operator="containsText" text="fnd">
      <formula>NOT(ISERROR(SEARCH("fnd",K95)))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5" operator="containsText" text="Str">
      <formula>NOT(ISERROR(SEARCH("Str",K113)))</formula>
    </cfRule>
    <cfRule type="containsText" dxfId="1070" priority="126" operator="containsText" text="Ere">
      <formula>NOT(ISERROR(SEARCH("Ere",K113)))</formula>
    </cfRule>
    <cfRule type="containsText" dxfId="1069" priority="127" operator="containsText" text="Ear">
      <formula>NOT(ISERROR(SEARCH("Ear",K113)))</formula>
    </cfRule>
    <cfRule type="containsText" dxfId="1068" priority="128" operator="containsText" text="fnd">
      <formula>NOT(ISERROR(SEARCH("fnd",K113)))</formula>
    </cfRule>
  </conditionalFormatting>
  <conditionalFormatting sqref="K122">
    <cfRule type="containsText" dxfId="1067" priority="601" operator="containsText" text="Str">
      <formula>NOT(ISERROR(SEARCH("Str",K122)))</formula>
    </cfRule>
    <cfRule type="containsText" dxfId="1066" priority="602" operator="containsText" text="Ere">
      <formula>NOT(ISERROR(SEARCH("Ere",K122)))</formula>
    </cfRule>
    <cfRule type="containsText" dxfId="1065" priority="603" operator="containsText" text="Ear">
      <formula>NOT(ISERROR(SEARCH("Ear",K122)))</formula>
    </cfRule>
    <cfRule type="containsText" dxfId="1064" priority="604" operator="containsText" text="fnd">
      <formula>NOT(ISERROR(SEARCH("fnd",K122)))</formula>
    </cfRule>
  </conditionalFormatting>
  <conditionalFormatting sqref="K131:K134">
    <cfRule type="containsText" dxfId="1063" priority="9" operator="containsText" text="Str">
      <formula>NOT(ISERROR(SEARCH("Str",K131)))</formula>
    </cfRule>
    <cfRule type="containsText" dxfId="1062" priority="10" operator="containsText" text="Ere">
      <formula>NOT(ISERROR(SEARCH("Ere",K131)))</formula>
    </cfRule>
    <cfRule type="containsText" dxfId="1061" priority="11" operator="containsText" text="Ear">
      <formula>NOT(ISERROR(SEARCH("Ear",K131)))</formula>
    </cfRule>
    <cfRule type="containsText" dxfId="1060" priority="12" operator="containsText" text="fnd">
      <formula>NOT(ISERROR(SEARCH("fnd",K131)))</formula>
    </cfRule>
  </conditionalFormatting>
  <conditionalFormatting sqref="K136">
    <cfRule type="containsText" dxfId="1059" priority="1" operator="containsText" text="Str">
      <formula>NOT(ISERROR(SEARCH("Str",K136)))</formula>
    </cfRule>
    <cfRule type="containsText" dxfId="1058" priority="2" operator="containsText" text="Ere">
      <formula>NOT(ISERROR(SEARCH("Ere",K136)))</formula>
    </cfRule>
    <cfRule type="containsText" dxfId="1057" priority="3" operator="containsText" text="Ear">
      <formula>NOT(ISERROR(SEARCH("Ear",K136)))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1" operator="containsText" text="Str">
      <formula>NOT(ISERROR(SEARCH("Str",K144)))</formula>
    </cfRule>
    <cfRule type="containsText" dxfId="1054" priority="1062" operator="containsText" text="Ere">
      <formula>NOT(ISERROR(SEARCH("Ere",K144)))</formula>
    </cfRule>
    <cfRule type="containsText" dxfId="1053" priority="1063" operator="containsText" text="Ear">
      <formula>NOT(ISERROR(SEARCH("Ear",K144)))</formula>
    </cfRule>
    <cfRule type="containsText" dxfId="1052" priority="1064" operator="containsText" text="fnd">
      <formula>NOT(ISERROR(SEARCH("fnd",K144)))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3" operator="containsText" text="Str">
      <formula>NOT(ISERROR(SEARCH("Str",K42)))</formula>
    </cfRule>
    <cfRule type="containsText" dxfId="1046" priority="1374" operator="containsText" text="Ere">
      <formula>NOT(ISERROR(SEARCH("Ere",K42)))</formula>
    </cfRule>
    <cfRule type="containsText" dxfId="1045" priority="1375" operator="containsText" text="Ear">
      <formula>NOT(ISERROR(SEARCH("Ear",K42)))</formula>
    </cfRule>
    <cfRule type="containsText" dxfId="1044" priority="1376" operator="containsText" text="fnd">
      <formula>NOT(ISERROR(SEARCH("fnd",K42)))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1" operator="containsText" text="Str">
      <formula>NOT(ISERROR(SEARCH("Str",K69)))</formula>
    </cfRule>
    <cfRule type="containsText" dxfId="1038" priority="582" operator="containsText" text="Ere">
      <formula>NOT(ISERROR(SEARCH("Ere",K69)))</formula>
    </cfRule>
    <cfRule type="containsText" dxfId="1037" priority="583" operator="containsText" text="Ear">
      <formula>NOT(ISERROR(SEARCH("Ear",K69)))</formula>
    </cfRule>
    <cfRule type="containsText" dxfId="1036" priority="584" operator="containsText" text="fnd">
      <formula>NOT(ISERROR(SEARCH("fnd",K69)))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5" operator="containsText" text="Str">
      <formula>NOT(ISERROR(SEARCH("Str",K105)))</formula>
    </cfRule>
    <cfRule type="containsText" dxfId="1030" priority="1246" operator="containsText" text="Ere">
      <formula>NOT(ISERROR(SEARCH("Ere",K105)))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29" operator="containsText" text="Str">
      <formula>NOT(ISERROR(SEARCH("Str",K114)))</formula>
    </cfRule>
    <cfRule type="containsText" dxfId="1026" priority="130" operator="containsText" text="Ere">
      <formula>NOT(ISERROR(SEARCH("Ere",K114)))</formula>
    </cfRule>
    <cfRule type="containsText" dxfId="1025" priority="131" operator="containsText" text="Ear">
      <formula>NOT(ISERROR(SEARCH("Ear",K114)))</formula>
    </cfRule>
    <cfRule type="containsText" dxfId="1024" priority="132" operator="containsText" text="fnd">
      <formula>NOT(ISERROR(SEARCH("fnd",K114)))</formula>
    </cfRule>
  </conditionalFormatting>
  <conditionalFormatting sqref="K123:L123">
    <cfRule type="containsText" dxfId="1023" priority="605" operator="containsText" text="Str">
      <formula>NOT(ISERROR(SEARCH("Str",K123)))</formula>
    </cfRule>
    <cfRule type="containsText" dxfId="1022" priority="606" operator="containsText" text="Ere">
      <formula>NOT(ISERROR(SEARCH("Ere",K123)))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5" operator="containsText" text="Str">
      <formula>NOT(ISERROR(SEARCH("Str",L6)))</formula>
    </cfRule>
    <cfRule type="containsText" dxfId="1018" priority="266" operator="containsText" text="Ere">
      <formula>NOT(ISERROR(SEARCH("Ere",L6)))</formula>
    </cfRule>
    <cfRule type="containsText" dxfId="1017" priority="267" operator="containsText" text="Ear">
      <formula>NOT(ISERROR(SEARCH("Ear",L6)))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29" operator="containsText" text="Str">
      <formula>NOT(ISERROR(SEARCH("Str",L15)))</formula>
    </cfRule>
    <cfRule type="containsText" dxfId="1014" priority="430" operator="containsText" text="Ere">
      <formula>NOT(ISERROR(SEARCH("Ere",L15)))</formula>
    </cfRule>
    <cfRule type="containsText" dxfId="1013" priority="431" operator="containsText" text="Ear">
      <formula>NOT(ISERROR(SEARCH("Ear",L15)))</formula>
    </cfRule>
    <cfRule type="containsText" dxfId="1012" priority="432" operator="containsText" text="fnd">
      <formula>NOT(ISERROR(SEARCH("fnd",L15)))</formula>
    </cfRule>
  </conditionalFormatting>
  <conditionalFormatting sqref="L24">
    <cfRule type="containsText" dxfId="1011" priority="625" operator="containsText" text="Str">
      <formula>NOT(ISERROR(SEARCH("Str",L24)))</formula>
    </cfRule>
    <cfRule type="containsText" dxfId="1010" priority="626" operator="containsText" text="Ere">
      <formula>NOT(ISERROR(SEARCH("Ere",L24)))</formula>
    </cfRule>
    <cfRule type="containsText" dxfId="1009" priority="627" operator="containsText" text="Ear">
      <formula>NOT(ISERROR(SEARCH("Ear",L24)))</formula>
    </cfRule>
    <cfRule type="containsText" dxfId="1008" priority="628" operator="containsText" text="fnd">
      <formula>NOT(ISERROR(SEARCH("fnd",L24)))</formula>
    </cfRule>
  </conditionalFormatting>
  <conditionalFormatting sqref="N5:N6">
    <cfRule type="containsText" dxfId="1007" priority="357" operator="containsText" text="Str">
      <formula>NOT(ISERROR(SEARCH("Str",N5)))</formula>
    </cfRule>
    <cfRule type="containsText" dxfId="1006" priority="358" operator="containsText" text="Ere">
      <formula>NOT(ISERROR(SEARCH("Ere",N5)))</formula>
    </cfRule>
    <cfRule type="containsText" dxfId="1005" priority="359" operator="containsText" text="Ear">
      <formula>NOT(ISERROR(SEARCH("Ear",N5)))</formula>
    </cfRule>
    <cfRule type="containsText" dxfId="1004" priority="360" operator="containsText" text="fnd">
      <formula>NOT(ISERROR(SEARCH("fnd",N5)))</formula>
    </cfRule>
  </conditionalFormatting>
  <conditionalFormatting sqref="N14:N15">
    <cfRule type="containsText" dxfId="1003" priority="449" operator="containsText" text="Str">
      <formula>NOT(ISERROR(SEARCH("Str",N14)))</formula>
    </cfRule>
    <cfRule type="containsText" dxfId="1002" priority="450" operator="containsText" text="Ere">
      <formula>NOT(ISERROR(SEARCH("Ere",N14)))</formula>
    </cfRule>
    <cfRule type="containsText" dxfId="1001" priority="451" operator="containsText" text="Ear">
      <formula>NOT(ISERROR(SEARCH("Ear",N14)))</formula>
    </cfRule>
    <cfRule type="containsText" dxfId="1000" priority="452" operator="containsText" text="fnd">
      <formula>NOT(ISERROR(SEARCH("fnd",N14)))</formula>
    </cfRule>
  </conditionalFormatting>
  <conditionalFormatting sqref="N23:N24">
    <cfRule type="containsText" dxfId="999" priority="329" operator="containsText" text="Str">
      <formula>NOT(ISERROR(SEARCH("Str",N23)))</formula>
    </cfRule>
    <cfRule type="containsText" dxfId="998" priority="330" operator="containsText" text="Ere">
      <formula>NOT(ISERROR(SEARCH("Ere",N23)))</formula>
    </cfRule>
    <cfRule type="containsText" dxfId="997" priority="331" operator="containsText" text="Ear">
      <formula>NOT(ISERROR(SEARCH("Ear",N23)))</formula>
    </cfRule>
    <cfRule type="containsText" dxfId="996" priority="332" operator="containsText" text="fnd">
      <formula>NOT(ISERROR(SEARCH("fnd",N23)))</formula>
    </cfRule>
  </conditionalFormatting>
  <conditionalFormatting sqref="N32">
    <cfRule type="containsText" dxfId="995" priority="181" operator="containsText" text="Str">
      <formula>NOT(ISERROR(SEARCH("Str",N32)))</formula>
    </cfRule>
    <cfRule type="containsText" dxfId="994" priority="182" operator="containsText" text="Ere">
      <formula>NOT(ISERROR(SEARCH("Ere",N32)))</formula>
    </cfRule>
    <cfRule type="containsText" dxfId="993" priority="183" operator="containsText" text="Ear">
      <formula>NOT(ISERROR(SEARCH("Ear",N32)))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5" operator="containsText" text="Str">
      <formula>NOT(ISERROR(SEARCH("Str",N41)))</formula>
    </cfRule>
    <cfRule type="containsText" dxfId="990" priority="1366" operator="containsText" text="Ere">
      <formula>NOT(ISERROR(SEARCH("Ere",N41)))</formula>
    </cfRule>
    <cfRule type="containsText" dxfId="989" priority="1367" operator="containsText" text="Ear">
      <formula>NOT(ISERROR(SEARCH("Ear",N41)))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7" operator="containsText" text="Str">
      <formula>NOT(ISERROR(SEARCH("Str",N50)))</formula>
    </cfRule>
    <cfRule type="containsText" dxfId="986" priority="1298" operator="containsText" text="Ere">
      <formula>NOT(ISERROR(SEARCH("Ere",N50)))</formula>
    </cfRule>
    <cfRule type="containsText" dxfId="985" priority="1299" operator="containsText" text="Ear">
      <formula>NOT(ISERROR(SEARCH("Ear",N50)))</formula>
    </cfRule>
    <cfRule type="containsText" dxfId="984" priority="1300" operator="containsText" text="fnd">
      <formula>NOT(ISERROR(SEARCH("fnd",N50)))</formula>
    </cfRule>
  </conditionalFormatting>
  <conditionalFormatting sqref="N59">
    <cfRule type="containsText" dxfId="983" priority="1221" operator="containsText" text="Str">
      <formula>NOT(ISERROR(SEARCH("Str",N59)))</formula>
    </cfRule>
    <cfRule type="containsText" dxfId="982" priority="1222" operator="containsText" text="Ere">
      <formula>NOT(ISERROR(SEARCH("Ere",N59)))</formula>
    </cfRule>
    <cfRule type="containsText" dxfId="981" priority="1223" operator="containsText" text="Ear">
      <formula>NOT(ISERROR(SEARCH("Ear",N59)))</formula>
    </cfRule>
    <cfRule type="containsText" dxfId="980" priority="1224" operator="containsText" text="fnd">
      <formula>NOT(ISERROR(SEARCH("fnd",N59)))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3" operator="containsText" text="Str">
      <formula>NOT(ISERROR(SEARCH("Str",N104)))</formula>
    </cfRule>
    <cfRule type="containsText" dxfId="974" priority="794" operator="containsText" text="Ere">
      <formula>NOT(ISERROR(SEARCH("Ere",N104)))</formula>
    </cfRule>
    <cfRule type="containsText" dxfId="973" priority="795" operator="containsText" text="Ear">
      <formula>NOT(ISERROR(SEARCH("Ear",N104)))</formula>
    </cfRule>
    <cfRule type="containsText" dxfId="972" priority="796" operator="containsText" text="fnd">
      <formula>NOT(ISERROR(SEARCH("fnd",N104)))</formula>
    </cfRule>
  </conditionalFormatting>
  <conditionalFormatting sqref="N113:N114">
    <cfRule type="containsText" dxfId="971" priority="981" operator="containsText" text="Str">
      <formula>NOT(ISERROR(SEARCH("Str",N113)))</formula>
    </cfRule>
    <cfRule type="containsText" dxfId="970" priority="982" operator="containsText" text="Ere">
      <formula>NOT(ISERROR(SEARCH("Ere",N113)))</formula>
    </cfRule>
    <cfRule type="containsText" dxfId="969" priority="983" operator="containsText" text="Ear">
      <formula>NOT(ISERROR(SEARCH("Ear",N113)))</formula>
    </cfRule>
    <cfRule type="containsText" dxfId="968" priority="984" operator="containsText" text="fnd">
      <formula>NOT(ISERROR(SEARCH("fnd",N113)))</formula>
    </cfRule>
  </conditionalFormatting>
  <conditionalFormatting sqref="N122">
    <cfRule type="containsText" dxfId="967" priority="537" operator="containsText" text="Str">
      <formula>NOT(ISERROR(SEARCH("Str",N122)))</formula>
    </cfRule>
    <cfRule type="containsText" dxfId="966" priority="538" operator="containsText" text="Ere">
      <formula>NOT(ISERROR(SEARCH("Ere",N122)))</formula>
    </cfRule>
    <cfRule type="containsText" dxfId="965" priority="539" operator="containsText" text="Ear">
      <formula>NOT(ISERROR(SEARCH("Ear",N122)))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29" operator="containsText" text="Str">
      <formula>NOT(ISERROR(SEARCH("Str",N132)))</formula>
    </cfRule>
    <cfRule type="containsText" dxfId="962" priority="930" operator="containsText" text="Ere">
      <formula>NOT(ISERROR(SEARCH("Ere",N132)))</formula>
    </cfRule>
    <cfRule type="containsText" dxfId="961" priority="931" operator="containsText" text="Ear">
      <formula>NOT(ISERROR(SEARCH("Ear",N132)))</formula>
    </cfRule>
    <cfRule type="containsText" dxfId="960" priority="932" operator="containsText" text="fnd">
      <formula>NOT(ISERROR(SEARCH("fnd",N132)))</formula>
    </cfRule>
  </conditionalFormatting>
  <conditionalFormatting sqref="N33:O33">
    <cfRule type="containsText" dxfId="959" priority="185" operator="containsText" text="Str">
      <formula>NOT(ISERROR(SEARCH("Str",N33)))</formula>
    </cfRule>
    <cfRule type="containsText" dxfId="958" priority="186" operator="containsText" text="Ere">
      <formula>NOT(ISERROR(SEARCH("Ere",N33)))</formula>
    </cfRule>
    <cfRule type="containsText" dxfId="957" priority="187" operator="containsText" text="Ear">
      <formula>NOT(ISERROR(SEARCH("Ear",N33)))</formula>
    </cfRule>
    <cfRule type="containsText" dxfId="956" priority="188" operator="containsText" text="fnd">
      <formula>NOT(ISERROR(SEARCH("fnd",N33)))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0" operator="containsText" text="Ere">
      <formula>NOT(ISERROR(SEARCH("Ere",N42)))</formula>
    </cfRule>
    <cfRule type="containsText" dxfId="953" priority="1391" operator="containsText" text="Ear">
      <formula>NOT(ISERROR(SEARCH("Ear",N42)))</formula>
    </cfRule>
    <cfRule type="containsText" dxfId="952" priority="1392" operator="containsText" text="fnd">
      <formula>NOT(ISERROR(SEARCH("fnd",N42)))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3" operator="containsText" text="Str">
      <formula>NOT(ISERROR(SEARCH("Str",N60)))</formula>
    </cfRule>
    <cfRule type="containsText" dxfId="946" priority="1334" operator="containsText" text="Ere">
      <formula>NOT(ISERROR(SEARCH("Ere",N60)))</formula>
    </cfRule>
    <cfRule type="containsText" dxfId="945" priority="1335" operator="containsText" text="Ear">
      <formula>NOT(ISERROR(SEARCH("Ear",N60)))</formula>
    </cfRule>
    <cfRule type="containsText" dxfId="944" priority="1336" operator="containsText" text="fnd">
      <formula>NOT(ISERROR(SEARCH("fnd",N60)))</formula>
    </cfRule>
  </conditionalFormatting>
  <conditionalFormatting sqref="N69:O69">
    <cfRule type="containsText" dxfId="943" priority="681" operator="containsText" text="Str">
      <formula>NOT(ISERROR(SEARCH("Str",N69)))</formula>
    </cfRule>
    <cfRule type="containsText" dxfId="942" priority="682" operator="containsText" text="Ere">
      <formula>NOT(ISERROR(SEARCH("Ere",N69)))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797" operator="containsText" text="Str">
      <formula>NOT(ISERROR(SEARCH("Str",N105)))</formula>
    </cfRule>
    <cfRule type="containsText" dxfId="938" priority="798" operator="containsText" text="Ere">
      <formula>NOT(ISERROR(SEARCH("Ere",N105)))</formula>
    </cfRule>
    <cfRule type="containsText" dxfId="937" priority="799" operator="containsText" text="Ear">
      <formula>NOT(ISERROR(SEARCH("Ear",N105)))</formula>
    </cfRule>
    <cfRule type="containsText" dxfId="936" priority="800" operator="containsText" text="fnd">
      <formula>NOT(ISERROR(SEARCH("fnd",N105)))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3" operator="containsText" text="Str">
      <formula>NOT(ISERROR(SEARCH("Str",O6)))</formula>
    </cfRule>
    <cfRule type="containsText" dxfId="930" priority="354" operator="containsText" text="Ere">
      <formula>NOT(ISERROR(SEARCH("Ere",O6)))</formula>
    </cfRule>
    <cfRule type="containsText" dxfId="929" priority="355" operator="containsText" text="Ear">
      <formula>NOT(ISERROR(SEARCH("Ear",O6)))</formula>
    </cfRule>
    <cfRule type="containsText" dxfId="928" priority="356" operator="containsText" text="fnd">
      <formula>NOT(ISERROR(SEARCH("fnd",O6)))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6" operator="containsText" text="Ere">
      <formula>NOT(ISERROR(SEARCH("Ere",O15)))</formula>
    </cfRule>
    <cfRule type="containsText" dxfId="925" priority="447" operator="containsText" text="Ear">
      <formula>NOT(ISERROR(SEARCH("Ear",O15)))</formula>
    </cfRule>
    <cfRule type="containsText" dxfId="924" priority="448" operator="containsText" text="fnd">
      <formula>NOT(ISERROR(SEARCH("fnd",O15)))</formula>
    </cfRule>
  </conditionalFormatting>
  <conditionalFormatting sqref="O24">
    <cfRule type="containsText" dxfId="923" priority="325" operator="containsText" text="Str">
      <formula>NOT(ISERROR(SEARCH("Str",O24)))</formula>
    </cfRule>
    <cfRule type="containsText" dxfId="922" priority="326" operator="containsText" text="Ere">
      <formula>NOT(ISERROR(SEARCH("Ere",O24)))</formula>
    </cfRule>
    <cfRule type="containsText" dxfId="921" priority="327" operator="containsText" text="Ear">
      <formula>NOT(ISERROR(SEARCH("Ear",O24)))</formula>
    </cfRule>
    <cfRule type="containsText" dxfId="920" priority="328" operator="containsText" text="fnd">
      <formula>NOT(ISERROR(SEARCH("fnd",O24)))</formula>
    </cfRule>
  </conditionalFormatting>
  <conditionalFormatting sqref="O87">
    <cfRule type="containsText" dxfId="919" priority="777" operator="containsText" text="Str">
      <formula>NOT(ISERROR(SEARCH("Str",O87)))</formula>
    </cfRule>
    <cfRule type="containsText" dxfId="918" priority="778" operator="containsText" text="Ere">
      <formula>NOT(ISERROR(SEARCH("Ere",O87)))</formula>
    </cfRule>
    <cfRule type="containsText" dxfId="917" priority="779" operator="containsText" text="Ear">
      <formula>NOT(ISERROR(SEARCH("Ear",O87)))</formula>
    </cfRule>
    <cfRule type="containsText" dxfId="916" priority="780" operator="containsText" text="fnd">
      <formula>NOT(ISERROR(SEARCH("fnd",O87)))</formula>
    </cfRule>
  </conditionalFormatting>
  <conditionalFormatting sqref="O114">
    <cfRule type="containsText" dxfId="915" priority="1253" operator="containsText" text="Str">
      <formula>NOT(ISERROR(SEARCH("Str",O114)))</formula>
    </cfRule>
    <cfRule type="containsText" dxfId="914" priority="1254" operator="containsText" text="Ere">
      <formula>NOT(ISERROR(SEARCH("Ere",O114)))</formula>
    </cfRule>
    <cfRule type="containsText" dxfId="913" priority="1255" operator="containsText" text="Ear">
      <formula>NOT(ISERROR(SEARCH("Ear",O114)))</formula>
    </cfRule>
    <cfRule type="containsText" dxfId="912" priority="1256" operator="containsText" text="fnd">
      <formula>NOT(ISERROR(SEARCH("fnd",O114)))</formula>
    </cfRule>
  </conditionalFormatting>
  <conditionalFormatting sqref="O138">
    <cfRule type="containsText" dxfId="911" priority="1049" operator="containsText" text="Str">
      <formula>NOT(ISERROR(SEARCH("Str",O138)))</formula>
    </cfRule>
    <cfRule type="containsText" dxfId="910" priority="1050" operator="containsText" text="Ere">
      <formula>NOT(ISERROR(SEARCH("Ere",O138)))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5" operator="containsText" text="Str">
      <formula>NOT(ISERROR(SEARCH("Str",Q5)))</formula>
    </cfRule>
    <cfRule type="containsText" dxfId="906" priority="306" operator="containsText" text="Ere">
      <formula>NOT(ISERROR(SEARCH("Ere",Q5)))</formula>
    </cfRule>
    <cfRule type="containsText" dxfId="905" priority="307" operator="containsText" text="Ear">
      <formula>NOT(ISERROR(SEARCH("Ear",Q5)))</formula>
    </cfRule>
    <cfRule type="containsText" dxfId="904" priority="308" operator="containsText" text="fnd">
      <formula>NOT(ISERROR(SEARCH("fnd",Q5)))</formula>
    </cfRule>
  </conditionalFormatting>
  <conditionalFormatting sqref="Q14:Q15">
    <cfRule type="containsText" dxfId="903" priority="501" operator="containsText" text="Str">
      <formula>NOT(ISERROR(SEARCH("Str",Q14)))</formula>
    </cfRule>
    <cfRule type="containsText" dxfId="902" priority="502" operator="containsText" text="Ere">
      <formula>NOT(ISERROR(SEARCH("Ere",Q14)))</formula>
    </cfRule>
    <cfRule type="containsText" dxfId="901" priority="503" operator="containsText" text="Ear">
      <formula>NOT(ISERROR(SEARCH("Ear",Q14)))</formula>
    </cfRule>
    <cfRule type="containsText" dxfId="900" priority="504" operator="containsText" text="fnd">
      <formula>NOT(ISERROR(SEARCH("fnd",Q14)))</formula>
    </cfRule>
  </conditionalFormatting>
  <conditionalFormatting sqref="Q23:Q24">
    <cfRule type="containsText" dxfId="899" priority="321" operator="containsText" text="Str">
      <formula>NOT(ISERROR(SEARCH("Str",Q23)))</formula>
    </cfRule>
    <cfRule type="containsText" dxfId="898" priority="322" operator="containsText" text="Ere">
      <formula>NOT(ISERROR(SEARCH("Ere",Q23)))</formula>
    </cfRule>
    <cfRule type="containsText" dxfId="897" priority="323" operator="containsText" text="Ear">
      <formula>NOT(ISERROR(SEARCH("Ear",Q23)))</formula>
    </cfRule>
    <cfRule type="containsText" dxfId="896" priority="324" operator="containsText" text="fnd">
      <formula>NOT(ISERROR(SEARCH("fnd",Q23)))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69" operator="containsText" text="Str">
      <formula>NOT(ISERROR(SEARCH("Str",Q41)))</formula>
    </cfRule>
    <cfRule type="containsText" dxfId="890" priority="1070" operator="containsText" text="Ere">
      <formula>NOT(ISERROR(SEARCH("Ere",Q41)))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3" operator="containsText" text="Str">
      <formula>NOT(ISERROR(SEARCH("Str",Q59)))</formula>
    </cfRule>
    <cfRule type="containsText" dxfId="886" priority="1134" operator="containsText" text="Ere">
      <formula>NOT(ISERROR(SEARCH("Ere",Q59)))</formula>
    </cfRule>
    <cfRule type="containsText" dxfId="885" priority="1135" operator="containsText" text="Ear">
      <formula>NOT(ISERROR(SEARCH("Ear",Q59)))</formula>
    </cfRule>
    <cfRule type="containsText" dxfId="884" priority="1136" operator="containsText" text="fnd">
      <formula>NOT(ISERROR(SEARCH("fnd",Q59)))</formula>
    </cfRule>
  </conditionalFormatting>
  <conditionalFormatting sqref="Q68">
    <cfRule type="containsText" dxfId="883" priority="709" operator="containsText" text="Str">
      <formula>NOT(ISERROR(SEARCH("Str",Q68)))</formula>
    </cfRule>
    <cfRule type="containsText" dxfId="882" priority="710" operator="containsText" text="Ere">
      <formula>NOT(ISERROR(SEARCH("Ere",Q68)))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89" operator="containsText" text="Str">
      <formula>NOT(ISERROR(SEARCH("Str",Q95)))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92" operator="containsText" text="fnd">
      <formula>NOT(ISERROR(SEARCH("fnd",Q95)))</formula>
    </cfRule>
  </conditionalFormatting>
  <conditionalFormatting sqref="Q104">
    <cfRule type="containsText" dxfId="875" priority="285" operator="containsText" text="Str">
      <formula>NOT(ISERROR(SEARCH("Str",Q104)))</formula>
    </cfRule>
    <cfRule type="containsText" dxfId="874" priority="286" operator="containsText" text="Ere">
      <formula>NOT(ISERROR(SEARCH("Ere",Q104)))</formula>
    </cfRule>
    <cfRule type="containsText" dxfId="873" priority="287" operator="containsText" text="Ear">
      <formula>NOT(ISERROR(SEARCH("Ear",Q104)))</formula>
    </cfRule>
    <cfRule type="containsText" dxfId="872" priority="288" operator="containsText" text="fnd">
      <formula>NOT(ISERROR(SEARCH("fnd",Q104)))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39" operator="containsText" text="Ear">
      <formula>NOT(ISERROR(SEARCH("Ear",Q131)))</formula>
    </cfRule>
    <cfRule type="containsText" dxfId="860" priority="940" operator="containsText" text="fnd">
      <formula>NOT(ISERROR(SEARCH("fnd",Q131)))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2" operator="containsText" text="Ere">
      <formula>NOT(ISERROR(SEARCH("Ere",Q51)))</formula>
    </cfRule>
    <cfRule type="containsText" dxfId="857" priority="1303" operator="containsText" text="Ear">
      <formula>NOT(ISERROR(SEARCH("Ear",Q51)))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1" operator="containsText" text="Ear">
      <formula>NOT(ISERROR(SEARCH("Ear",Q60)))</formula>
    </cfRule>
    <cfRule type="containsText" dxfId="852" priority="1332" operator="containsText" text="fnd">
      <formula>NOT(ISERROR(SEARCH("fnd",Q60)))</formula>
    </cfRule>
  </conditionalFormatting>
  <conditionalFormatting sqref="Q69:R69">
    <cfRule type="containsText" dxfId="851" priority="713" operator="containsText" text="Str">
      <formula>NOT(ISERROR(SEARCH("Str",Q69)))</formula>
    </cfRule>
    <cfRule type="containsText" dxfId="850" priority="714" operator="containsText" text="Ere">
      <formula>NOT(ISERROR(SEARCH("Ere",Q69)))</formula>
    </cfRule>
    <cfRule type="containsText" dxfId="849" priority="715" operator="containsText" text="Ear">
      <formula>NOT(ISERROR(SEARCH("Ear",Q69)))</formula>
    </cfRule>
    <cfRule type="containsText" dxfId="848" priority="716" operator="containsText" text="fnd">
      <formula>NOT(ISERROR(SEARCH("fnd",Q69)))</formula>
    </cfRule>
  </conditionalFormatting>
  <conditionalFormatting sqref="Q86:R87">
    <cfRule type="containsText" dxfId="847" priority="973" operator="containsText" text="Str">
      <formula>NOT(ISERROR(SEARCH("Str",Q86)))</formula>
    </cfRule>
    <cfRule type="containsText" dxfId="846" priority="974" operator="containsText" text="Ere">
      <formula>NOT(ISERROR(SEARCH("Ere",Q86)))</formula>
    </cfRule>
    <cfRule type="containsText" dxfId="845" priority="975" operator="containsText" text="Ear">
      <formula>NOT(ISERROR(SEARCH("Ear",Q86)))</formula>
    </cfRule>
    <cfRule type="containsText" dxfId="844" priority="976" operator="containsText" text="fnd">
      <formula>NOT(ISERROR(SEARCH("fnd",Q86)))</formula>
    </cfRule>
  </conditionalFormatting>
  <conditionalFormatting sqref="Q96:R96">
    <cfRule type="containsText" dxfId="843" priority="1165" operator="containsText" text="Str">
      <formula>NOT(ISERROR(SEARCH("Str",Q96)))</formula>
    </cfRule>
    <cfRule type="containsText" dxfId="842" priority="1166" operator="containsText" text="Ere">
      <formula>NOT(ISERROR(SEARCH("Ere",Q96)))</formula>
    </cfRule>
    <cfRule type="containsText" dxfId="841" priority="1167" operator="containsText" text="Ear">
      <formula>NOT(ISERROR(SEARCH("Ear",Q96)))</formula>
    </cfRule>
    <cfRule type="containsText" dxfId="840" priority="1168" operator="containsText" text="fnd">
      <formula>NOT(ISERROR(SEARCH("fnd",Q96)))</formula>
    </cfRule>
  </conditionalFormatting>
  <conditionalFormatting sqref="Q105:R105">
    <cfRule type="containsText" dxfId="839" priority="289" operator="containsText" text="Str">
      <formula>NOT(ISERROR(SEARCH("Str",Q105)))</formula>
    </cfRule>
    <cfRule type="containsText" dxfId="838" priority="290" operator="containsText" text="Ere">
      <formula>NOT(ISERROR(SEARCH("Ere",Q105)))</formula>
    </cfRule>
    <cfRule type="containsText" dxfId="837" priority="291" operator="containsText" text="Ear">
      <formula>NOT(ISERROR(SEARCH("Ear",Q105)))</formula>
    </cfRule>
    <cfRule type="containsText" dxfId="836" priority="292" operator="containsText" text="fnd">
      <formula>NOT(ISERROR(SEARCH("fnd",Q105)))</formula>
    </cfRule>
  </conditionalFormatting>
  <conditionalFormatting sqref="Q114:R114">
    <cfRule type="containsText" dxfId="835" priority="217" operator="containsText" text="Str">
      <formula>NOT(ISERROR(SEARCH("Str",Q114)))</formula>
    </cfRule>
    <cfRule type="containsText" dxfId="834" priority="218" operator="containsText" text="Ere">
      <formula>NOT(ISERROR(SEARCH("Ere",Q114)))</formula>
    </cfRule>
    <cfRule type="containsText" dxfId="833" priority="219" operator="containsText" text="Ear">
      <formula>NOT(ISERROR(SEARCH("Ear",Q114)))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4" operator="containsText" text="Ere">
      <formula>NOT(ISERROR(SEARCH("Ere",Q123)))</formula>
    </cfRule>
    <cfRule type="containsText" dxfId="829" priority="575" operator="containsText" text="Ear">
      <formula>NOT(ISERROR(SEARCH("Ear",Q123)))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2" operator="containsText" text="Ere">
      <formula>NOT(ISERROR(SEARCH("Ere",R6)))</formula>
    </cfRule>
    <cfRule type="containsText" dxfId="825" priority="303" operator="containsText" text="Ear">
      <formula>NOT(ISERROR(SEARCH("Ear",R6)))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497" operator="containsText" text="Str">
      <formula>NOT(ISERROR(SEARCH("Str",R15)))</formula>
    </cfRule>
    <cfRule type="containsText" dxfId="822" priority="498" operator="containsText" text="Ere">
      <formula>NOT(ISERROR(SEARCH("Ere",R15)))</formula>
    </cfRule>
    <cfRule type="containsText" dxfId="821" priority="499" operator="containsText" text="Ear">
      <formula>NOT(ISERROR(SEARCH("Ear",R15)))</formula>
    </cfRule>
    <cfRule type="containsText" dxfId="820" priority="500" operator="containsText" text="fnd">
      <formula>NOT(ISERROR(SEARCH("fnd",R15)))</formula>
    </cfRule>
  </conditionalFormatting>
  <conditionalFormatting sqref="R24">
    <cfRule type="containsText" dxfId="819" priority="317" operator="containsText" text="Str">
      <formula>NOT(ISERROR(SEARCH("Str",R24)))</formula>
    </cfRule>
    <cfRule type="containsText" dxfId="818" priority="318" operator="containsText" text="Ere">
      <formula>NOT(ISERROR(SEARCH("Ere",R24)))</formula>
    </cfRule>
    <cfRule type="containsText" dxfId="817" priority="319" operator="containsText" text="Ear">
      <formula>NOT(ISERROR(SEARCH("Ear",R24)))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77" operator="containsText" text="Str">
      <formula>NOT(ISERROR(SEARCH("Str",T5)))</formula>
    </cfRule>
    <cfRule type="containsText" dxfId="806" priority="378" operator="containsText" text="Ere">
      <formula>NOT(ISERROR(SEARCH("Ere",T5)))</formula>
    </cfRule>
    <cfRule type="containsText" dxfId="805" priority="379" operator="containsText" text="Ear">
      <formula>NOT(ISERROR(SEARCH("Ear",T5)))</formula>
    </cfRule>
    <cfRule type="containsText" dxfId="804" priority="380" operator="containsText" text="fnd">
      <formula>NOT(ISERROR(SEARCH("fnd",T5)))</formula>
    </cfRule>
  </conditionalFormatting>
  <conditionalFormatting sqref="T14:T15">
    <cfRule type="containsText" dxfId="803" priority="533" operator="containsText" text="Str">
      <formula>NOT(ISERROR(SEARCH("Str",T14)))</formula>
    </cfRule>
    <cfRule type="containsText" dxfId="802" priority="534" operator="containsText" text="Ere">
      <formula>NOT(ISERROR(SEARCH("Ere",T14)))</formula>
    </cfRule>
    <cfRule type="containsText" dxfId="801" priority="535" operator="containsText" text="Ear">
      <formula>NOT(ISERROR(SEARCH("Ear",T14)))</formula>
    </cfRule>
    <cfRule type="containsText" dxfId="800" priority="536" operator="containsText" text="fnd">
      <formula>NOT(ISERROR(SEARCH("fnd",T14)))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1" operator="containsText" text="Ear">
      <formula>NOT(ISERROR(SEARCH("Ear",T23)))</formula>
    </cfRule>
    <cfRule type="containsText" dxfId="796" priority="172" operator="containsText" text="fnd">
      <formula>NOT(ISERROR(SEARCH("fnd",T23)))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6" operator="containsText" text="Ere">
      <formula>NOT(ISERROR(SEARCH("Ere",T32)))</formula>
    </cfRule>
    <cfRule type="containsText" dxfId="793" priority="547" operator="containsText" text="Ear">
      <formula>NOT(ISERROR(SEARCH("Ear",T32)))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1" operator="containsText" text="Str">
      <formula>NOT(ISERROR(SEARCH("Str",T41)))</formula>
    </cfRule>
    <cfRule type="containsText" dxfId="790" priority="422" operator="containsText" text="Ere">
      <formula>NOT(ISERROR(SEARCH("Ere",T41)))</formula>
    </cfRule>
    <cfRule type="containsText" dxfId="789" priority="423" operator="containsText" text="Ear">
      <formula>NOT(ISERROR(SEARCH("Ear",T41)))</formula>
    </cfRule>
    <cfRule type="containsText" dxfId="788" priority="424" operator="containsText" text="fnd">
      <formula>NOT(ISERROR(SEARCH("fnd",T41)))</formula>
    </cfRule>
  </conditionalFormatting>
  <conditionalFormatting sqref="T59">
    <cfRule type="containsText" dxfId="787" priority="1097" operator="containsText" text="Str">
      <formula>NOT(ISERROR(SEARCH("Str",T59)))</formula>
    </cfRule>
    <cfRule type="containsText" dxfId="786" priority="1098" operator="containsText" text="Ere">
      <formula>NOT(ISERROR(SEARCH("Ere",T59)))</formula>
    </cfRule>
    <cfRule type="containsText" dxfId="785" priority="1099" operator="containsText" text="Ear">
      <formula>NOT(ISERROR(SEARCH("Ear",T59)))</formula>
    </cfRule>
    <cfRule type="containsText" dxfId="784" priority="1100" operator="containsText" text="fnd">
      <formula>NOT(ISERROR(SEARCH("fnd",T59)))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1" operator="containsText" text="Ear">
      <formula>NOT(ISERROR(SEARCH("Ear",T68)))</formula>
    </cfRule>
    <cfRule type="containsText" dxfId="780" priority="952" operator="containsText" text="fnd">
      <formula>NOT(ISERROR(SEARCH("fnd",T68)))</formula>
    </cfRule>
  </conditionalFormatting>
  <conditionalFormatting sqref="T95">
    <cfRule type="containsText" dxfId="779" priority="1085" operator="containsText" text="Str">
      <formula>NOT(ISERROR(SEARCH("Str",T95)))</formula>
    </cfRule>
    <cfRule type="containsText" dxfId="778" priority="1086" operator="containsText" text="Ere">
      <formula>NOT(ISERROR(SEARCH("Ere",T95)))</formula>
    </cfRule>
    <cfRule type="containsText" dxfId="777" priority="1087" operator="containsText" text="Ear">
      <formula>NOT(ISERROR(SEARCH("Ear",T95)))</formula>
    </cfRule>
    <cfRule type="containsText" dxfId="776" priority="1088" operator="containsText" text="fnd">
      <formula>NOT(ISERROR(SEARCH("fnd",T95)))</formula>
    </cfRule>
  </conditionalFormatting>
  <conditionalFormatting sqref="T104">
    <cfRule type="containsText" dxfId="775" priority="1229" operator="containsText" text="Str">
      <formula>NOT(ISERROR(SEARCH("Str",T104)))</formula>
    </cfRule>
    <cfRule type="containsText" dxfId="774" priority="1230" operator="containsText" text="Ere">
      <formula>NOT(ISERROR(SEARCH("Ere",T104)))</formula>
    </cfRule>
    <cfRule type="containsText" dxfId="773" priority="1231" operator="containsText" text="Ear">
      <formula>NOT(ISERROR(SEARCH("Ear",T104)))</formula>
    </cfRule>
    <cfRule type="containsText" dxfId="772" priority="1232" operator="containsText" text="fnd">
      <formula>NOT(ISERROR(SEARCH("fnd",T104)))</formula>
    </cfRule>
  </conditionalFormatting>
  <conditionalFormatting sqref="T113">
    <cfRule type="containsText" dxfId="771" priority="1193" operator="containsText" text="Str">
      <formula>NOT(ISERROR(SEARCH("Str",T113)))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6" operator="containsText" text="fnd">
      <formula>NOT(ISERROR(SEARCH("fnd",T113)))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4" operator="containsText" text="Ere">
      <formula>NOT(ISERROR(SEARCH("Ere",T122)))</formula>
    </cfRule>
    <cfRule type="containsText" dxfId="765" priority="555" operator="containsText" text="Ear">
      <formula>NOT(ISERROR(SEARCH("Ear",T122)))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1" operator="containsText" text="Str">
      <formula>NOT(ISERROR(SEARCH("Str",T132)))</formula>
    </cfRule>
    <cfRule type="containsText" dxfId="762" priority="922" operator="containsText" text="Ere">
      <formula>NOT(ISERROR(SEARCH("Ere",T132)))</formula>
    </cfRule>
    <cfRule type="containsText" dxfId="761" priority="923" operator="containsText" text="Ear">
      <formula>NOT(ISERROR(SEARCH("Ear",T132)))</formula>
    </cfRule>
    <cfRule type="containsText" dxfId="760" priority="924" operator="containsText" text="fnd">
      <formula>NOT(ISERROR(SEARCH("fnd",T132)))</formula>
    </cfRule>
  </conditionalFormatting>
  <conditionalFormatting sqref="T33:U33">
    <cfRule type="containsText" dxfId="759" priority="549" operator="containsText" text="Str">
      <formula>NOT(ISERROR(SEARCH("Str",T33)))</formula>
    </cfRule>
    <cfRule type="containsText" dxfId="758" priority="550" operator="containsText" text="Ere">
      <formula>NOT(ISERROR(SEARCH("Ere",T33)))</formula>
    </cfRule>
    <cfRule type="containsText" dxfId="757" priority="551" operator="containsText" text="Ear">
      <formula>NOT(ISERROR(SEARCH("Ear",T33)))</formula>
    </cfRule>
    <cfRule type="containsText" dxfId="756" priority="552" operator="containsText" text="fnd">
      <formula>NOT(ISERROR(SEARCH("fnd",T33)))</formula>
    </cfRule>
  </conditionalFormatting>
  <conditionalFormatting sqref="T42:U42">
    <cfRule type="containsText" dxfId="755" priority="425" operator="containsText" text="Str">
      <formula>NOT(ISERROR(SEARCH("Str",T42)))</formula>
    </cfRule>
    <cfRule type="containsText" dxfId="754" priority="426" operator="containsText" text="Ere">
      <formula>NOT(ISERROR(SEARCH("Ere",T42)))</formula>
    </cfRule>
    <cfRule type="containsText" dxfId="753" priority="427" operator="containsText" text="Ear">
      <formula>NOT(ISERROR(SEARCH("Ear",T42)))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5" operator="containsText" text="Str">
      <formula>NOT(ISERROR(SEARCH("Str",T51)))</formula>
    </cfRule>
    <cfRule type="containsText" dxfId="750" priority="106" operator="containsText" text="Ere">
      <formula>NOT(ISERROR(SEARCH("Ere",T51)))</formula>
    </cfRule>
    <cfRule type="containsText" dxfId="749" priority="107" operator="containsText" text="Ear">
      <formula>NOT(ISERROR(SEARCH("Ear",T51)))</formula>
    </cfRule>
    <cfRule type="containsText" dxfId="748" priority="108" operator="containsText" text="fnd">
      <formula>NOT(ISERROR(SEARCH("fnd",T51)))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3" operator="containsText" text="Str">
      <formula>NOT(ISERROR(SEARCH("Str",T69)))</formula>
    </cfRule>
    <cfRule type="containsText" dxfId="742" priority="954" operator="containsText" text="Ere">
      <formula>NOT(ISERROR(SEARCH("Ere",T69)))</formula>
    </cfRule>
    <cfRule type="containsText" dxfId="741" priority="955" operator="containsText" text="Ear">
      <formula>NOT(ISERROR(SEARCH("Ear",T69)))</formula>
    </cfRule>
    <cfRule type="containsText" dxfId="740" priority="956" operator="containsText" text="fnd">
      <formula>NOT(ISERROR(SEARCH("fnd",T69)))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1" operator="containsText" text="Str">
      <formula>NOT(ISERROR(SEARCH("Str",T96)))</formula>
    </cfRule>
    <cfRule type="containsText" dxfId="734" priority="1162" operator="containsText" text="Ere">
      <formula>NOT(ISERROR(SEARCH("Ere",T96)))</formula>
    </cfRule>
    <cfRule type="containsText" dxfId="733" priority="1163" operator="containsText" text="Ear">
      <formula>NOT(ISERROR(SEARCH("Ear",T96)))</formula>
    </cfRule>
    <cfRule type="containsText" dxfId="732" priority="1164" operator="containsText" text="fnd">
      <formula>NOT(ISERROR(SEARCH("fnd",T96)))</formula>
    </cfRule>
  </conditionalFormatting>
  <conditionalFormatting sqref="T105:U105">
    <cfRule type="containsText" dxfId="731" priority="1241" operator="containsText" text="Str">
      <formula>NOT(ISERROR(SEARCH("Str",T105)))</formula>
    </cfRule>
    <cfRule type="containsText" dxfId="730" priority="1242" operator="containsText" text="Ere">
      <formula>NOT(ISERROR(SEARCH("Ere",T105)))</formula>
    </cfRule>
    <cfRule type="containsText" dxfId="729" priority="1243" operator="containsText" text="Ear">
      <formula>NOT(ISERROR(SEARCH("Ear",T105)))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49" operator="containsText" text="Str">
      <formula>NOT(ISERROR(SEARCH("Str",T114)))</formula>
    </cfRule>
    <cfRule type="containsText" dxfId="726" priority="1250" operator="containsText" text="Ere">
      <formula>NOT(ISERROR(SEARCH("Ere",T114)))</formula>
    </cfRule>
    <cfRule type="containsText" dxfId="725" priority="1251" operator="containsText" text="Ear">
      <formula>NOT(ISERROR(SEARCH("Ear",T114)))</formula>
    </cfRule>
    <cfRule type="containsText" dxfId="724" priority="1252" operator="containsText" text="fnd">
      <formula>NOT(ISERROR(SEARCH("fnd",T114)))</formula>
    </cfRule>
  </conditionalFormatting>
  <conditionalFormatting sqref="T123:U123">
    <cfRule type="containsText" dxfId="723" priority="557" operator="containsText" text="Str">
      <formula>NOT(ISERROR(SEARCH("Str",T123)))</formula>
    </cfRule>
    <cfRule type="containsText" dxfId="722" priority="558" operator="containsText" text="Ere">
      <formula>NOT(ISERROR(SEARCH("Ere",T123)))</formula>
    </cfRule>
    <cfRule type="containsText" dxfId="721" priority="559" operator="containsText" text="Ear">
      <formula>NOT(ISERROR(SEARCH("Ear",T123)))</formula>
    </cfRule>
    <cfRule type="containsText" dxfId="720" priority="560" operator="containsText" text="fnd">
      <formula>NOT(ISERROR(SEARCH("fnd",T123)))</formula>
    </cfRule>
  </conditionalFormatting>
  <conditionalFormatting sqref="U6">
    <cfRule type="containsText" dxfId="719" priority="373" operator="containsText" text="Str">
      <formula>NOT(ISERROR(SEARCH("Str",U6)))</formula>
    </cfRule>
    <cfRule type="containsText" dxfId="718" priority="374" operator="containsText" text="Ere">
      <formula>NOT(ISERROR(SEARCH("Ere",U6)))</formula>
    </cfRule>
    <cfRule type="containsText" dxfId="717" priority="375" operator="containsText" text="Ear">
      <formula>NOT(ISERROR(SEARCH("Ear",U6)))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29" operator="containsText" text="Str">
      <formula>NOT(ISERROR(SEARCH("Str",U15)))</formula>
    </cfRule>
    <cfRule type="containsText" dxfId="714" priority="530" operator="containsText" text="Ere">
      <formula>NOT(ISERROR(SEARCH("Ere",U15)))</formula>
    </cfRule>
    <cfRule type="containsText" dxfId="713" priority="531" operator="containsText" text="Ear">
      <formula>NOT(ISERROR(SEARCH("Ear",U15)))</formula>
    </cfRule>
    <cfRule type="containsText" dxfId="712" priority="532" operator="containsText" text="fnd">
      <formula>NOT(ISERROR(SEARCH("fnd",U15)))</formula>
    </cfRule>
  </conditionalFormatting>
  <conditionalFormatting sqref="U24">
    <cfRule type="containsText" dxfId="711" priority="165" operator="containsText" text="Str">
      <formula>NOT(ISERROR(SEARCH("Str",U24)))</formula>
    </cfRule>
    <cfRule type="containsText" dxfId="710" priority="166" operator="containsText" text="Ere">
      <formula>NOT(ISERROR(SEARCH("Ere",U24)))</formula>
    </cfRule>
    <cfRule type="containsText" dxfId="709" priority="167" operator="containsText" text="Ear">
      <formula>NOT(ISERROR(SEARCH("Ear",U24)))</formula>
    </cfRule>
    <cfRule type="containsText" dxfId="708" priority="168" operator="containsText" text="fnd">
      <formula>NOT(ISERROR(SEARCH("fnd",U24)))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57" operator="containsText" text="Str">
      <formula>NOT(ISERROR(SEARCH("Str",W14)))</formula>
    </cfRule>
    <cfRule type="containsText" dxfId="702" priority="458" operator="containsText" text="Ere">
      <formula>NOT(ISERROR(SEARCH("Ere",W14)))</formula>
    </cfRule>
    <cfRule type="containsText" dxfId="701" priority="459" operator="containsText" text="Ear">
      <formula>NOT(ISERROR(SEARCH("Ear",W14)))</formula>
    </cfRule>
    <cfRule type="containsText" dxfId="700" priority="460" operator="containsText" text="fnd">
      <formula>NOT(ISERROR(SEARCH("fnd",W14)))</formula>
    </cfRule>
  </conditionalFormatting>
  <conditionalFormatting sqref="W23:W24">
    <cfRule type="containsText" dxfId="699" priority="565" operator="containsText" text="Str">
      <formula>NOT(ISERROR(SEARCH("Str",W23)))</formula>
    </cfRule>
    <cfRule type="containsText" dxfId="698" priority="566" operator="containsText" text="Ere">
      <formula>NOT(ISERROR(SEARCH("Ere",W23)))</formula>
    </cfRule>
    <cfRule type="containsText" dxfId="697" priority="567" operator="containsText" text="Ear">
      <formula>NOT(ISERROR(SEARCH("Ear",W23)))</formula>
    </cfRule>
    <cfRule type="containsText" dxfId="696" priority="568" operator="containsText" text="fnd">
      <formula>NOT(ISERROR(SEARCH("fnd",W23)))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7" operator="containsText" text="Str">
      <formula>NOT(ISERROR(SEARCH("Str",W41)))</formula>
    </cfRule>
    <cfRule type="containsText" dxfId="690" priority="1038" operator="containsText" text="Ere">
      <formula>NOT(ISERROR(SEARCH("Ere",W41)))</formula>
    </cfRule>
    <cfRule type="containsText" dxfId="689" priority="1039" operator="containsText" text="Ear">
      <formula>NOT(ISERROR(SEARCH("Ear",W41)))</formula>
    </cfRule>
    <cfRule type="containsText" dxfId="688" priority="1040" operator="containsText" text="fnd">
      <formula>NOT(ISERROR(SEARCH("fnd",W41)))</formula>
    </cfRule>
  </conditionalFormatting>
  <conditionalFormatting sqref="W59">
    <cfRule type="containsText" dxfId="687" priority="1181" operator="containsText" text="Str">
      <formula>NOT(ISERROR(SEARCH("Str",W59)))</formula>
    </cfRule>
    <cfRule type="containsText" dxfId="686" priority="1182" operator="containsText" text="Ere">
      <formula>NOT(ISERROR(SEARCH("Ere",W59)))</formula>
    </cfRule>
    <cfRule type="containsText" dxfId="685" priority="1183" operator="containsText" text="Ear">
      <formula>NOT(ISERROR(SEARCH("Ear",W59)))</formula>
    </cfRule>
    <cfRule type="containsText" dxfId="684" priority="1184" operator="containsText" text="fnd">
      <formula>NOT(ISERROR(SEARCH("fnd",W59)))</formula>
    </cfRule>
  </conditionalFormatting>
  <conditionalFormatting sqref="W68:W69">
    <cfRule type="containsText" dxfId="683" priority="1185" operator="containsText" text="Str">
      <formula>NOT(ISERROR(SEARCH("Str",W68)))</formula>
    </cfRule>
    <cfRule type="containsText" dxfId="682" priority="1186" operator="containsText" text="Ere">
      <formula>NOT(ISERROR(SEARCH("Ere",W68)))</formula>
    </cfRule>
    <cfRule type="containsText" dxfId="681" priority="1187" operator="containsText" text="Ear">
      <formula>NOT(ISERROR(SEARCH("Ear",W68)))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3" operator="containsText" text="Str">
      <formula>NOT(ISERROR(SEARCH("Str",W77)))</formula>
    </cfRule>
    <cfRule type="containsText" dxfId="678" priority="1094" operator="containsText" text="Ere">
      <formula>NOT(ISERROR(SEARCH("Ere",W77)))</formula>
    </cfRule>
    <cfRule type="containsText" dxfId="677" priority="1095" operator="containsText" text="Ear">
      <formula>NOT(ISERROR(SEARCH("Ear",W77)))</formula>
    </cfRule>
    <cfRule type="containsText" dxfId="676" priority="1096" operator="containsText" text="fnd">
      <formula>NOT(ISERROR(SEARCH("fnd",W77)))</formula>
    </cfRule>
  </conditionalFormatting>
  <conditionalFormatting sqref="W95">
    <cfRule type="containsText" dxfId="675" priority="249" operator="containsText" text="Str">
      <formula>NOT(ISERROR(SEARCH("Str",W95)))</formula>
    </cfRule>
    <cfRule type="containsText" dxfId="674" priority="250" operator="containsText" text="Ere">
      <formula>NOT(ISERROR(SEARCH("Ere",W95)))</formula>
    </cfRule>
    <cfRule type="containsText" dxfId="673" priority="251" operator="containsText" text="Ear">
      <formula>NOT(ISERROR(SEARCH("Ear",W95)))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7" operator="containsText" text="Str">
      <formula>NOT(ISERROR(SEARCH("Str",W104)))</formula>
    </cfRule>
    <cfRule type="containsText" dxfId="670" priority="158" operator="containsText" text="Ere">
      <formula>NOT(ISERROR(SEARCH("Ere",W104)))</formula>
    </cfRule>
    <cfRule type="containsText" dxfId="669" priority="159" operator="containsText" text="Ear">
      <formula>NOT(ISERROR(SEARCH("Ear",W104)))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1" operator="containsText" text="Str">
      <formula>NOT(ISERROR(SEARCH("Str",W113)))</formula>
    </cfRule>
    <cfRule type="containsText" dxfId="666" priority="1202" operator="containsText" text="Ere">
      <formula>NOT(ISERROR(SEARCH("Ere",W113)))</formula>
    </cfRule>
    <cfRule type="containsText" dxfId="665" priority="1203" operator="containsText" text="Ear">
      <formula>NOT(ISERROR(SEARCH("Ear",W113)))</formula>
    </cfRule>
    <cfRule type="containsText" dxfId="664" priority="1204" operator="containsText" text="fnd">
      <formula>NOT(ISERROR(SEARCH("fnd",W113)))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6" operator="containsText" text="Ere">
      <formula>NOT(ISERROR(SEARCH("Ere",W122)))</formula>
    </cfRule>
    <cfRule type="containsText" dxfId="661" priority="507" operator="containsText" text="Ear">
      <formula>NOT(ISERROR(SEARCH("Ear",W122)))</formula>
    </cfRule>
    <cfRule type="containsText" dxfId="660" priority="508" operator="containsText" text="fnd">
      <formula>NOT(ISERROR(SEARCH("fnd",W122)))</formula>
    </cfRule>
  </conditionalFormatting>
  <conditionalFormatting sqref="W132:W135">
    <cfRule type="containsText" dxfId="659" priority="917" operator="containsText" text="Str">
      <formula>NOT(ISERROR(SEARCH("Str",W132)))</formula>
    </cfRule>
    <cfRule type="containsText" dxfId="658" priority="918" operator="containsText" text="Ere">
      <formula>NOT(ISERROR(SEARCH("Ere",W132)))</formula>
    </cfRule>
    <cfRule type="containsText" dxfId="657" priority="919" operator="containsText" text="Ear">
      <formula>NOT(ISERROR(SEARCH("Ear",W132)))</formula>
    </cfRule>
    <cfRule type="containsText" dxfId="656" priority="920" operator="containsText" text="fnd">
      <formula>NOT(ISERROR(SEARCH("fnd",W132)))</formula>
    </cfRule>
  </conditionalFormatting>
  <conditionalFormatting sqref="W33:X33">
    <cfRule type="containsText" dxfId="655" priority="729" operator="containsText" text="Str">
      <formula>NOT(ISERROR(SEARCH("Str",W33)))</formula>
    </cfRule>
    <cfRule type="containsText" dxfId="654" priority="730" operator="containsText" text="Ere">
      <formula>NOT(ISERROR(SEARCH("Ere",W33)))</formula>
    </cfRule>
    <cfRule type="containsText" dxfId="653" priority="731" operator="containsText" text="Ear">
      <formula>NOT(ISERROR(SEARCH("Ear",W33)))</formula>
    </cfRule>
    <cfRule type="containsText" dxfId="652" priority="732" operator="containsText" text="fnd">
      <formula>NOT(ISERROR(SEARCH("fnd",W33)))</formula>
    </cfRule>
  </conditionalFormatting>
  <conditionalFormatting sqref="W51:X51">
    <cfRule type="containsText" dxfId="651" priority="101" operator="containsText" text="Str">
      <formula>NOT(ISERROR(SEARCH("Str",W51)))</formula>
    </cfRule>
    <cfRule type="containsText" dxfId="650" priority="102" operator="containsText" text="Ere">
      <formula>NOT(ISERROR(SEARCH("Ere",W51)))</formula>
    </cfRule>
    <cfRule type="containsText" dxfId="649" priority="103" operator="containsText" text="Ear">
      <formula>NOT(ISERROR(SEARCH("Ear",W51)))</formula>
    </cfRule>
    <cfRule type="containsText" dxfId="648" priority="104" operator="containsText" text="fnd">
      <formula>NOT(ISERROR(SEARCH("fnd",W51)))</formula>
    </cfRule>
  </conditionalFormatting>
  <conditionalFormatting sqref="W60:X60">
    <cfRule type="containsText" dxfId="647" priority="1321" operator="containsText" text="Str">
      <formula>NOT(ISERROR(SEARCH("Str",W60)))</formula>
    </cfRule>
    <cfRule type="containsText" dxfId="646" priority="1322" operator="containsText" text="Ere">
      <formula>NOT(ISERROR(SEARCH("Ere",W60)))</formula>
    </cfRule>
    <cfRule type="containsText" dxfId="645" priority="1323" operator="containsText" text="Ear">
      <formula>NOT(ISERROR(SEARCH("Ear",W60)))</formula>
    </cfRule>
    <cfRule type="containsText" dxfId="644" priority="1324" operator="containsText" text="fnd">
      <formula>NOT(ISERROR(SEARCH("fnd",W60)))</formula>
    </cfRule>
  </conditionalFormatting>
  <conditionalFormatting sqref="W78:X78">
    <cfRule type="containsText" dxfId="643" priority="1149" operator="containsText" text="Str">
      <formula>NOT(ISERROR(SEARCH("Str",W78)))</formula>
    </cfRule>
    <cfRule type="containsText" dxfId="642" priority="1150" operator="containsText" text="Ere">
      <formula>NOT(ISERROR(SEARCH("Ere",W78)))</formula>
    </cfRule>
    <cfRule type="containsText" dxfId="641" priority="1151" operator="containsText" text="Ear">
      <formula>NOT(ISERROR(SEARCH("Ear",W78)))</formula>
    </cfRule>
    <cfRule type="containsText" dxfId="640" priority="1152" operator="containsText" text="fnd">
      <formula>NOT(ISERROR(SEARCH("fnd",W78)))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3" operator="containsText" text="Str">
      <formula>NOT(ISERROR(SEARCH("Str",W96)))</formula>
    </cfRule>
    <cfRule type="containsText" dxfId="634" priority="254" operator="containsText" text="Ere">
      <formula>NOT(ISERROR(SEARCH("Ere",W96)))</formula>
    </cfRule>
    <cfRule type="containsText" dxfId="633" priority="255" operator="containsText" text="Ear">
      <formula>NOT(ISERROR(SEARCH("Ear",W96)))</formula>
    </cfRule>
    <cfRule type="containsText" dxfId="632" priority="256" operator="containsText" text="fnd">
      <formula>NOT(ISERROR(SEARCH("fnd",W96)))</formula>
    </cfRule>
  </conditionalFormatting>
  <conditionalFormatting sqref="W105:X105">
    <cfRule type="containsText" dxfId="631" priority="161" operator="containsText" text="Str">
      <formula>NOT(ISERROR(SEARCH("Str",W105)))</formula>
    </cfRule>
    <cfRule type="containsText" dxfId="630" priority="162" operator="containsText" text="Ere">
      <formula>NOT(ISERROR(SEARCH("Ere",W105)))</formula>
    </cfRule>
    <cfRule type="containsText" dxfId="629" priority="163" operator="containsText" text="Ear">
      <formula>NOT(ISERROR(SEARCH("Ear",W105)))</formula>
    </cfRule>
    <cfRule type="containsText" dxfId="628" priority="164" operator="containsText" text="fnd">
      <formula>NOT(ISERROR(SEARCH("fnd",W105)))</formula>
    </cfRule>
  </conditionalFormatting>
  <conditionalFormatting sqref="W123:X123">
    <cfRule type="containsText" dxfId="627" priority="509" operator="containsText" text="Str">
      <formula>NOT(ISERROR(SEARCH("Str",W123)))</formula>
    </cfRule>
    <cfRule type="containsText" dxfId="626" priority="510" operator="containsText" text="Ere">
      <formula>NOT(ISERROR(SEARCH("Ere",W123)))</formula>
    </cfRule>
    <cfRule type="containsText" dxfId="625" priority="511" operator="containsText" text="Ear">
      <formula>NOT(ISERROR(SEARCH("Ear",W123)))</formula>
    </cfRule>
    <cfRule type="containsText" dxfId="624" priority="512" operator="containsText" text="fnd">
      <formula>NOT(ISERROR(SEARCH("fnd",W123)))</formula>
    </cfRule>
  </conditionalFormatting>
  <conditionalFormatting sqref="X6">
    <cfRule type="containsText" dxfId="623" priority="405" operator="containsText" text="Str">
      <formula>NOT(ISERROR(SEARCH("Str",X6)))</formula>
    </cfRule>
    <cfRule type="containsText" dxfId="622" priority="406" operator="containsText" text="Ere">
      <formula>NOT(ISERROR(SEARCH("Ere",X6)))</formula>
    </cfRule>
    <cfRule type="containsText" dxfId="621" priority="407" operator="containsText" text="Ear">
      <formula>NOT(ISERROR(SEARCH("Ear",X6)))</formula>
    </cfRule>
    <cfRule type="containsText" dxfId="620" priority="408" operator="containsText" text="fnd">
      <formula>NOT(ISERROR(SEARCH("fnd",X6)))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3" operator="containsText" text="Ear">
      <formula>NOT(ISERROR(SEARCH("Ear",X24)))</formula>
    </cfRule>
    <cfRule type="containsText" dxfId="612" priority="564" operator="containsText" text="fnd">
      <formula>NOT(ISERROR(SEARCH("fnd",X24)))</formula>
    </cfRule>
  </conditionalFormatting>
  <conditionalFormatting sqref="X42">
    <cfRule type="containsText" dxfId="611" priority="1013" operator="containsText" text="Str">
      <formula>NOT(ISERROR(SEARCH("Str",X42)))</formula>
    </cfRule>
    <cfRule type="containsText" dxfId="610" priority="1014" operator="containsText" text="Ere">
      <formula>NOT(ISERROR(SEARCH("Ere",X42)))</formula>
    </cfRule>
    <cfRule type="containsText" dxfId="609" priority="1015" operator="containsText" text="Ear">
      <formula>NOT(ISERROR(SEARCH("Ear",X42)))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89" operator="containsText" text="Str">
      <formula>NOT(ISERROR(SEARCH("Str",X69)))</formula>
    </cfRule>
    <cfRule type="containsText" dxfId="606" priority="1290" operator="containsText" text="Ere">
      <formula>NOT(ISERROR(SEARCH("Ere",X69)))</formula>
    </cfRule>
    <cfRule type="containsText" dxfId="605" priority="1291" operator="containsText" text="Ear">
      <formula>NOT(ISERROR(SEARCH("Ear",X69)))</formula>
    </cfRule>
    <cfRule type="containsText" dxfId="604" priority="1292" operator="containsText" text="fnd">
      <formula>NOT(ISERROR(SEARCH("fnd",X69)))</formula>
    </cfRule>
  </conditionalFormatting>
  <conditionalFormatting sqref="Z5:Z6">
    <cfRule type="containsText" dxfId="603" priority="233" operator="containsText" text="Str">
      <formula>NOT(ISERROR(SEARCH("Str",Z5)))</formula>
    </cfRule>
    <cfRule type="containsText" dxfId="602" priority="234" operator="containsText" text="Ere">
      <formula>NOT(ISERROR(SEARCH("Ere",Z5)))</formula>
    </cfRule>
    <cfRule type="containsText" dxfId="601" priority="235" operator="containsText" text="Ear">
      <formula>NOT(ISERROR(SEARCH("Ear",Z5)))</formula>
    </cfRule>
    <cfRule type="containsText" dxfId="600" priority="236" operator="containsText" text="fnd">
      <formula>NOT(ISERROR(SEARCH("fnd",Z5)))</formula>
    </cfRule>
  </conditionalFormatting>
  <conditionalFormatting sqref="Z14:Z15">
    <cfRule type="containsText" dxfId="599" priority="493" operator="containsText" text="Str">
      <formula>NOT(ISERROR(SEARCH("Str",Z14)))</formula>
    </cfRule>
    <cfRule type="containsText" dxfId="598" priority="494" operator="containsText" text="Ere">
      <formula>NOT(ISERROR(SEARCH("Ere",Z14)))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69" operator="containsText" text="Str">
      <formula>NOT(ISERROR(SEARCH("Str",Z23)))</formula>
    </cfRule>
    <cfRule type="containsText" dxfId="594" priority="770" operator="containsText" text="Ere">
      <formula>NOT(ISERROR(SEARCH("Ere",Z23)))</formula>
    </cfRule>
    <cfRule type="containsText" dxfId="593" priority="771" operator="containsText" text="Ear">
      <formula>NOT(ISERROR(SEARCH("Ear",Z23)))</formula>
    </cfRule>
    <cfRule type="containsText" dxfId="592" priority="772" operator="containsText" text="fnd">
      <formula>NOT(ISERROR(SEARCH("fnd",Z23)))</formula>
    </cfRule>
  </conditionalFormatting>
  <conditionalFormatting sqref="Z32">
    <cfRule type="containsText" dxfId="591" priority="701" operator="containsText" text="Str">
      <formula>NOT(ISERROR(SEARCH("Str",Z32)))</formula>
    </cfRule>
    <cfRule type="containsText" dxfId="590" priority="702" operator="containsText" text="Ere">
      <formula>NOT(ISERROR(SEARCH("Ere",Z32)))</formula>
    </cfRule>
    <cfRule type="containsText" dxfId="589" priority="703" operator="containsText" text="Ear">
      <formula>NOT(ISERROR(SEARCH("Ear",Z32)))</formula>
    </cfRule>
    <cfRule type="containsText" dxfId="588" priority="704" operator="containsText" text="fnd">
      <formula>NOT(ISERROR(SEARCH("fnd",Z32)))</formula>
    </cfRule>
  </conditionalFormatting>
  <conditionalFormatting sqref="Z41">
    <cfRule type="containsText" dxfId="587" priority="149" operator="containsText" text="Str">
      <formula>NOT(ISERROR(SEARCH("Str",Z41)))</formula>
    </cfRule>
    <cfRule type="containsText" dxfId="586" priority="150" operator="containsText" text="Ere">
      <formula>NOT(ISERROR(SEARCH("Ere",Z41)))</formula>
    </cfRule>
    <cfRule type="containsText" dxfId="585" priority="151" operator="containsText" text="Ear">
      <formula>NOT(ISERROR(SEARCH("Ear",Z41)))</formula>
    </cfRule>
    <cfRule type="containsText" dxfId="584" priority="152" operator="containsText" text="fnd">
      <formula>NOT(ISERROR(SEARCH("fnd",Z41)))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0" operator="containsText" text="Ere">
      <formula>NOT(ISERROR(SEARCH("Ere",Z50)))</formula>
    </cfRule>
    <cfRule type="containsText" dxfId="581" priority="971" operator="containsText" text="Ear">
      <formula>NOT(ISERROR(SEARCH("Ear",Z50)))</formula>
    </cfRule>
    <cfRule type="containsText" dxfId="580" priority="972" operator="containsText" text="fnd">
      <formula>NOT(ISERROR(SEARCH("fnd",Z50)))</formula>
    </cfRule>
  </conditionalFormatting>
  <conditionalFormatting sqref="Z59">
    <cfRule type="containsText" dxfId="579" priority="1197" operator="containsText" text="Str">
      <formula>NOT(ISERROR(SEARCH("Str",Z59)))</formula>
    </cfRule>
    <cfRule type="containsText" dxfId="578" priority="1198" operator="containsText" text="Ere">
      <formula>NOT(ISERROR(SEARCH("Ere",Z59)))</formula>
    </cfRule>
    <cfRule type="containsText" dxfId="577" priority="1199" operator="containsText" text="Ear">
      <formula>NOT(ISERROR(SEARCH("Ear",Z59)))</formula>
    </cfRule>
    <cfRule type="containsText" dxfId="576" priority="1200" operator="containsText" text="fnd">
      <formula>NOT(ISERROR(SEARCH("fnd",Z59)))</formula>
    </cfRule>
  </conditionalFormatting>
  <conditionalFormatting sqref="Z68">
    <cfRule type="containsText" dxfId="575" priority="945" operator="containsText" text="Str">
      <formula>NOT(ISERROR(SEARCH("Str",Z68)))</formula>
    </cfRule>
    <cfRule type="containsText" dxfId="574" priority="946" operator="containsText" text="Ere">
      <formula>NOT(ISERROR(SEARCH("Ere",Z68)))</formula>
    </cfRule>
    <cfRule type="containsText" dxfId="573" priority="947" operator="containsText" text="Ear">
      <formula>NOT(ISERROR(SEARCH("Ear",Z68)))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7" operator="containsText" text="Str">
      <formula>NOT(ISERROR(SEARCH("Str",Z95)))</formula>
    </cfRule>
    <cfRule type="containsText" dxfId="570" priority="838" operator="containsText" text="Ere">
      <formula>NOT(ISERROR(SEARCH("Ere",Z95)))</formula>
    </cfRule>
    <cfRule type="containsText" dxfId="569" priority="839" operator="containsText" text="Ear">
      <formula>NOT(ISERROR(SEARCH("Ear",Z95)))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3" operator="containsText" text="Str">
      <formula>NOT(ISERROR(SEARCH("Str",Z104)))</formula>
    </cfRule>
    <cfRule type="containsText" dxfId="566" priority="734" operator="containsText" text="Ere">
      <formula>NOT(ISERROR(SEARCH("Ere",Z104)))</formula>
    </cfRule>
    <cfRule type="containsText" dxfId="565" priority="735" operator="containsText" text="Ear">
      <formula>NOT(ISERROR(SEARCH("Ear",Z104)))</formula>
    </cfRule>
    <cfRule type="containsText" dxfId="564" priority="736" operator="containsText" text="fnd">
      <formula>NOT(ISERROR(SEARCH("fnd",Z104)))</formula>
    </cfRule>
  </conditionalFormatting>
  <conditionalFormatting sqref="Z113">
    <cfRule type="containsText" dxfId="563" priority="77" operator="containsText" text="Str">
      <formula>NOT(ISERROR(SEARCH("Str",Z113)))</formula>
    </cfRule>
    <cfRule type="containsText" dxfId="562" priority="78" operator="containsText" text="Ere">
      <formula>NOT(ISERROR(SEARCH("Ere",Z113)))</formula>
    </cfRule>
    <cfRule type="containsText" dxfId="561" priority="79" operator="containsText" text="Ear">
      <formula>NOT(ISERROR(SEARCH("Ear",Z113)))</formula>
    </cfRule>
    <cfRule type="containsText" dxfId="560" priority="80" operator="containsText" text="fnd">
      <formula>NOT(ISERROR(SEARCH("fnd",Z113)))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6" operator="containsText" text="Ere">
      <formula>NOT(ISERROR(SEARCH("Ere",Z122)))</formula>
    </cfRule>
    <cfRule type="containsText" dxfId="557" priority="587" operator="containsText" text="Ear">
      <formula>NOT(ISERROR(SEARCH("Ear",Z122)))</formula>
    </cfRule>
    <cfRule type="containsText" dxfId="556" priority="588" operator="containsText" text="fnd">
      <formula>NOT(ISERROR(SEARCH("fnd",Z122)))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0" operator="containsText" text="Ere">
      <formula>NOT(ISERROR(SEARCH("Ere",Z132)))</formula>
    </cfRule>
    <cfRule type="containsText" dxfId="553" priority="911" operator="containsText" text="Ear">
      <formula>NOT(ISERROR(SEARCH("Ear",Z132)))</formula>
    </cfRule>
    <cfRule type="containsText" dxfId="552" priority="912" operator="containsText" text="fnd">
      <formula>NOT(ISERROR(SEARCH("fnd",Z132)))</formula>
    </cfRule>
  </conditionalFormatting>
  <conditionalFormatting sqref="Z33:AA33">
    <cfRule type="containsText" dxfId="551" priority="705" operator="containsText" text="Str">
      <formula>NOT(ISERROR(SEARCH("Str",Z33)))</formula>
    </cfRule>
    <cfRule type="containsText" dxfId="550" priority="706" operator="containsText" text="Ere">
      <formula>NOT(ISERROR(SEARCH("Ere",Z33)))</formula>
    </cfRule>
    <cfRule type="containsText" dxfId="549" priority="707" operator="containsText" text="Ear">
      <formula>NOT(ISERROR(SEARCH("Ear",Z33)))</formula>
    </cfRule>
    <cfRule type="containsText" dxfId="548" priority="708" operator="containsText" text="fnd">
      <formula>NOT(ISERROR(SEARCH("fnd",Z33)))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4" operator="containsText" text="Ere">
      <formula>NOT(ISERROR(SEARCH("Ere",Z42)))</formula>
    </cfRule>
    <cfRule type="containsText" dxfId="545" priority="155" operator="containsText" text="Ear">
      <formula>NOT(ISERROR(SEARCH("Ear",Z42)))</formula>
    </cfRule>
    <cfRule type="containsText" dxfId="544" priority="156" operator="containsText" text="fnd">
      <formula>NOT(ISERROR(SEARCH("fnd",Z42)))</formula>
    </cfRule>
  </conditionalFormatting>
  <conditionalFormatting sqref="Z51:AA51">
    <cfRule type="containsText" dxfId="543" priority="1349" operator="containsText" text="Str">
      <formula>NOT(ISERROR(SEARCH("Str",Z51)))</formula>
    </cfRule>
    <cfRule type="containsText" dxfId="542" priority="1350" operator="containsText" text="Ere">
      <formula>NOT(ISERROR(SEARCH("Ere",Z51)))</formula>
    </cfRule>
    <cfRule type="containsText" dxfId="541" priority="1351" operator="containsText" text="Ear">
      <formula>NOT(ISERROR(SEARCH("Ear",Z51)))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7" operator="containsText" text="Str">
      <formula>NOT(ISERROR(SEARCH("Str",Z60)))</formula>
    </cfRule>
    <cfRule type="containsText" dxfId="538" priority="1318" operator="containsText" text="Ere">
      <formula>NOT(ISERROR(SEARCH("Ere",Z60)))</formula>
    </cfRule>
    <cfRule type="containsText" dxfId="537" priority="1319" operator="containsText" text="Ear">
      <formula>NOT(ISERROR(SEARCH("Ear",Z60)))</formula>
    </cfRule>
    <cfRule type="containsText" dxfId="536" priority="1320" operator="containsText" text="fnd">
      <formula>NOT(ISERROR(SEARCH("fnd",Z60)))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5" operator="containsText" text="Ear">
      <formula>NOT(ISERROR(SEARCH("Ear",Z77)))</formula>
    </cfRule>
    <cfRule type="containsText" dxfId="532" priority="1076" operator="containsText" text="fnd">
      <formula>NOT(ISERROR(SEARCH("fnd",Z77)))</formula>
    </cfRule>
  </conditionalFormatting>
  <conditionalFormatting sqref="Z86:AA87">
    <cfRule type="containsText" dxfId="531" priority="773" operator="containsText" text="Str">
      <formula>NOT(ISERROR(SEARCH("Str",Z86)))</formula>
    </cfRule>
    <cfRule type="containsText" dxfId="530" priority="774" operator="containsText" text="Ere">
      <formula>NOT(ISERROR(SEARCH("Ere",Z86)))</formula>
    </cfRule>
    <cfRule type="containsText" dxfId="529" priority="775" operator="containsText" text="Ear">
      <formula>NOT(ISERROR(SEARCH("Ear",Z86)))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1" operator="containsText" text="Str">
      <formula>NOT(ISERROR(SEARCH("Str",Z96)))</formula>
    </cfRule>
    <cfRule type="containsText" dxfId="526" priority="842" operator="containsText" text="Ere">
      <formula>NOT(ISERROR(SEARCH("Ere",Z96)))</formula>
    </cfRule>
    <cfRule type="containsText" dxfId="525" priority="843" operator="containsText" text="Ear">
      <formula>NOT(ISERROR(SEARCH("Ear",Z96)))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1" operator="containsText" text="Str">
      <formula>NOT(ISERROR(SEARCH("Str",Z114)))</formula>
    </cfRule>
    <cfRule type="containsText" dxfId="518" priority="82" operator="containsText" text="Ere">
      <formula>NOT(ISERROR(SEARCH("Ere",Z114)))</formula>
    </cfRule>
    <cfRule type="containsText" dxfId="517" priority="83" operator="containsText" text="Ear">
      <formula>NOT(ISERROR(SEARCH("Ear",Z114)))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29" operator="containsText" text="Str">
      <formula>NOT(ISERROR(SEARCH("Str",AA6)))</formula>
    </cfRule>
    <cfRule type="containsText" dxfId="510" priority="230" operator="containsText" text="Ere">
      <formula>NOT(ISERROR(SEARCH("Ere",AA6)))</formula>
    </cfRule>
    <cfRule type="containsText" dxfId="509" priority="231" operator="containsText" text="Ear">
      <formula>NOT(ISERROR(SEARCH("Ear",AA6)))</formula>
    </cfRule>
    <cfRule type="containsText" dxfId="508" priority="232" operator="containsText" text="fnd">
      <formula>NOT(ISERROR(SEARCH("fnd",AA6)))</formula>
    </cfRule>
  </conditionalFormatting>
  <conditionalFormatting sqref="AA15">
    <cfRule type="containsText" dxfId="507" priority="489" operator="containsText" text="Str">
      <formula>NOT(ISERROR(SEARCH("Str",AA15)))</formula>
    </cfRule>
    <cfRule type="containsText" dxfId="506" priority="490" operator="containsText" text="Ere">
      <formula>NOT(ISERROR(SEARCH("Ere",AA15)))</formula>
    </cfRule>
    <cfRule type="containsText" dxfId="505" priority="491" operator="containsText" text="Ear">
      <formula>NOT(ISERROR(SEARCH("Ear",AA15)))</formula>
    </cfRule>
    <cfRule type="containsText" dxfId="504" priority="492" operator="containsText" text="fnd">
      <formula>NOT(ISERROR(SEARCH("fnd",AA15)))</formula>
    </cfRule>
  </conditionalFormatting>
  <conditionalFormatting sqref="AA24">
    <cfRule type="containsText" dxfId="503" priority="761" operator="containsText" text="Str">
      <formula>NOT(ISERROR(SEARCH("Str",AA24)))</formula>
    </cfRule>
    <cfRule type="containsText" dxfId="502" priority="762" operator="containsText" text="Ere">
      <formula>NOT(ISERROR(SEARCH("Ere",AA24)))</formula>
    </cfRule>
    <cfRule type="containsText" dxfId="501" priority="763" operator="containsText" text="Ear">
      <formula>NOT(ISERROR(SEARCH("Ear",AA24)))</formula>
    </cfRule>
    <cfRule type="containsText" dxfId="500" priority="764" operator="containsText" text="fnd">
      <formula>NOT(ISERROR(SEARCH("fnd",AA24)))</formula>
    </cfRule>
  </conditionalFormatting>
  <conditionalFormatting sqref="AC5:AC6">
    <cfRule type="containsText" dxfId="499" priority="1065" operator="containsText" text="Str">
      <formula>NOT(ISERROR(SEARCH("Str",AC5)))</formula>
    </cfRule>
    <cfRule type="containsText" dxfId="498" priority="1066" operator="containsText" text="Ere">
      <formula>NOT(ISERROR(SEARCH("Ere",AC5)))</formula>
    </cfRule>
    <cfRule type="containsText" dxfId="497" priority="1067" operator="containsText" text="Ear">
      <formula>NOT(ISERROR(SEARCH("Ear",AC5)))</formula>
    </cfRule>
    <cfRule type="containsText" dxfId="496" priority="1068" operator="containsText" text="fnd">
      <formula>NOT(ISERROR(SEARCH("fnd",AC5)))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7" operator="containsText" text="Str">
      <formula>NOT(ISERROR(SEARCH("Str",AC32)))</formula>
    </cfRule>
    <cfRule type="containsText" dxfId="486" priority="618" operator="containsText" text="Ere">
      <formula>NOT(ISERROR(SEARCH("Ere",AC32)))</formula>
    </cfRule>
    <cfRule type="containsText" dxfId="485" priority="619" operator="containsText" text="Ear">
      <formula>NOT(ISERROR(SEARCH("Ear",AC32)))</formula>
    </cfRule>
    <cfRule type="containsText" dxfId="484" priority="620" operator="containsText" text="fnd">
      <formula>NOT(ISERROR(SEARCH("fnd",AC32)))</formula>
    </cfRule>
  </conditionalFormatting>
  <conditionalFormatting sqref="AC41">
    <cfRule type="containsText" dxfId="483" priority="141" operator="containsText" text="Str">
      <formula>NOT(ISERROR(SEARCH("Str",AC41)))</formula>
    </cfRule>
    <cfRule type="containsText" dxfId="482" priority="142" operator="containsText" text="Ere">
      <formula>NOT(ISERROR(SEARCH("Ere",AC41)))</formula>
    </cfRule>
    <cfRule type="containsText" dxfId="481" priority="143" operator="containsText" text="Ear">
      <formula>NOT(ISERROR(SEARCH("Ear",AC41)))</formula>
    </cfRule>
    <cfRule type="containsText" dxfId="480" priority="144" operator="containsText" text="fnd">
      <formula>NOT(ISERROR(SEARCH("fnd",AC41)))</formula>
    </cfRule>
  </conditionalFormatting>
  <conditionalFormatting sqref="AC50:AC51 AF50:AG51 K59 H59:H60">
    <cfRule type="containsText" dxfId="479" priority="1293" operator="containsText" text="Str">
      <formula>NOT(ISERROR(SEARCH("Str",H50)))</formula>
    </cfRule>
    <cfRule type="containsText" dxfId="478" priority="1294" operator="containsText" text="Ere">
      <formula>NOT(ISERROR(SEARCH("Ere",H50)))</formula>
    </cfRule>
    <cfRule type="containsText" dxfId="477" priority="1295" operator="containsText" text="Ear">
      <formula>NOT(ISERROR(SEARCH("Ear",H50)))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5" operator="containsText" text="Str">
      <formula>NOT(ISERROR(SEARCH("Str",AC59)))</formula>
    </cfRule>
    <cfRule type="containsText" dxfId="474" priority="846" operator="containsText" text="Ere">
      <formula>NOT(ISERROR(SEARCH("Ere",AC59)))</formula>
    </cfRule>
    <cfRule type="containsText" dxfId="473" priority="847" operator="containsText" text="Ear">
      <formula>NOT(ISERROR(SEARCH("Ear",AC59)))</formula>
    </cfRule>
    <cfRule type="containsText" dxfId="472" priority="848" operator="containsText" text="fnd">
      <formula>NOT(ISERROR(SEARCH("fnd",AC59)))</formula>
    </cfRule>
  </conditionalFormatting>
  <conditionalFormatting sqref="AC68">
    <cfRule type="containsText" dxfId="471" priority="1205" operator="containsText" text="Str">
      <formula>NOT(ISERROR(SEARCH("Str",AC68)))</formula>
    </cfRule>
    <cfRule type="containsText" dxfId="470" priority="1206" operator="containsText" text="Ere">
      <formula>NOT(ISERROR(SEARCH("Ere",AC68)))</formula>
    </cfRule>
    <cfRule type="containsText" dxfId="469" priority="1207" operator="containsText" text="Ear">
      <formula>NOT(ISERROR(SEARCH("Ear",AC68)))</formula>
    </cfRule>
    <cfRule type="containsText" dxfId="468" priority="1208" operator="containsText" text="fnd">
      <formula>NOT(ISERROR(SEARCH("fnd",AC68)))</formula>
    </cfRule>
  </conditionalFormatting>
  <conditionalFormatting sqref="AC78">
    <cfRule type="containsText" dxfId="467" priority="1137" operator="containsText" text="Str">
      <formula>NOT(ISERROR(SEARCH("Str",AC78)))</formula>
    </cfRule>
    <cfRule type="containsText" dxfId="466" priority="1138" operator="containsText" text="Ere">
      <formula>NOT(ISERROR(SEARCH("Ere",AC78)))</formula>
    </cfRule>
    <cfRule type="containsText" dxfId="465" priority="1139" operator="containsText" text="Ear">
      <formula>NOT(ISERROR(SEARCH("Ear",AC78)))</formula>
    </cfRule>
    <cfRule type="containsText" dxfId="464" priority="1140" operator="containsText" text="fnd">
      <formula>NOT(ISERROR(SEARCH("fnd",AC78)))</formula>
    </cfRule>
  </conditionalFormatting>
  <conditionalFormatting sqref="AC95:AC96">
    <cfRule type="containsText" dxfId="463" priority="1129" operator="containsText" text="Str">
      <formula>NOT(ISERROR(SEARCH("Str",AC95)))</formula>
    </cfRule>
    <cfRule type="containsText" dxfId="462" priority="1130" operator="containsText" text="Ere">
      <formula>NOT(ISERROR(SEARCH("Ere",AC95)))</formula>
    </cfRule>
    <cfRule type="containsText" dxfId="461" priority="1131" operator="containsText" text="Ear">
      <formula>NOT(ISERROR(SEARCH("Ear",AC95)))</formula>
    </cfRule>
    <cfRule type="containsText" dxfId="460" priority="1132" operator="containsText" text="fnd">
      <formula>NOT(ISERROR(SEARCH("fnd",AC95)))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0" operator="containsText" text="Ere">
      <formula>NOT(ISERROR(SEARCH("Ere",AC104)))</formula>
    </cfRule>
    <cfRule type="containsText" dxfId="457" priority="671" operator="containsText" text="Ear">
      <formula>NOT(ISERROR(SEARCH("Ear",AC104)))</formula>
    </cfRule>
    <cfRule type="containsText" dxfId="456" priority="672" operator="containsText" text="fnd">
      <formula>NOT(ISERROR(SEARCH("fnd",AC104)))</formula>
    </cfRule>
  </conditionalFormatting>
  <conditionalFormatting sqref="AC113">
    <cfRule type="containsText" dxfId="455" priority="93" operator="containsText" text="Str">
      <formula>NOT(ISERROR(SEARCH("Str",AC113)))</formula>
    </cfRule>
    <cfRule type="containsText" dxfId="454" priority="94" operator="containsText" text="Ere">
      <formula>NOT(ISERROR(SEARCH("Ere",AC113)))</formula>
    </cfRule>
    <cfRule type="containsText" dxfId="453" priority="95" operator="containsText" text="Ear">
      <formula>NOT(ISERROR(SEARCH("Ear",AC113)))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1" operator="containsText" text="Str">
      <formula>NOT(ISERROR(SEARCH("Str",AC122)))</formula>
    </cfRule>
    <cfRule type="containsText" dxfId="450" priority="522" operator="containsText" text="Ere">
      <formula>NOT(ISERROR(SEARCH("Ere",AC122)))</formula>
    </cfRule>
    <cfRule type="containsText" dxfId="449" priority="523" operator="containsText" text="Ear">
      <formula>NOT(ISERROR(SEARCH("Ear",AC122)))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5" operator="containsText" text="Str">
      <formula>NOT(ISERROR(SEARCH("Str",AC132)))</formula>
    </cfRule>
    <cfRule type="containsText" dxfId="446" priority="906" operator="containsText" text="Ere">
      <formula>NOT(ISERROR(SEARCH("Ere",AC132)))</formula>
    </cfRule>
    <cfRule type="containsText" dxfId="445" priority="907" operator="containsText" text="Ear">
      <formula>NOT(ISERROR(SEARCH("Ear",AC132)))</formula>
    </cfRule>
    <cfRule type="containsText" dxfId="444" priority="908" operator="containsText" text="fnd">
      <formula>NOT(ISERROR(SEARCH("fnd",AC132)))</formula>
    </cfRule>
  </conditionalFormatting>
  <conditionalFormatting sqref="AC33:AD33">
    <cfRule type="containsText" dxfId="443" priority="621" operator="containsText" text="Str">
      <formula>NOT(ISERROR(SEARCH("Str",AC33)))</formula>
    </cfRule>
    <cfRule type="containsText" dxfId="442" priority="622" operator="containsText" text="Ere">
      <formula>NOT(ISERROR(SEARCH("Ere",AC33)))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5" operator="containsText" text="Str">
      <formula>NOT(ISERROR(SEARCH("Str",AC42)))</formula>
    </cfRule>
    <cfRule type="containsText" dxfId="438" priority="146" operator="containsText" text="Ere">
      <formula>NOT(ISERROR(SEARCH("Ere",AC42)))</formula>
    </cfRule>
    <cfRule type="containsText" dxfId="437" priority="147" operator="containsText" text="Ear">
      <formula>NOT(ISERROR(SEARCH("Ear",AC42)))</formula>
    </cfRule>
    <cfRule type="containsText" dxfId="436" priority="148" operator="containsText" text="fnd">
      <formula>NOT(ISERROR(SEARCH("fnd",AC42)))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97" operator="containsText" text="Str">
      <formula>NOT(ISERROR(SEARCH("Str",AC114)))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100" operator="containsText" text="fnd">
      <formula>NOT(ISERROR(SEARCH("fnd",AC114)))</formula>
    </cfRule>
  </conditionalFormatting>
  <conditionalFormatting sqref="AC123:AD123">
    <cfRule type="containsText" dxfId="427" priority="525" operator="containsText" text="Str">
      <formula>NOT(ISERROR(SEARCH("Str",AC123)))</formula>
    </cfRule>
    <cfRule type="containsText" dxfId="426" priority="526" operator="containsText" text="Ere">
      <formula>NOT(ISERROR(SEARCH("Ere",AC123)))</formula>
    </cfRule>
    <cfRule type="containsText" dxfId="425" priority="527" operator="containsText" text="Ear">
      <formula>NOT(ISERROR(SEARCH("Ear",AC123)))</formula>
    </cfRule>
    <cfRule type="containsText" dxfId="424" priority="528" operator="containsText" text="fnd">
      <formula>NOT(ISERROR(SEARCH("fnd",AC123)))</formula>
    </cfRule>
  </conditionalFormatting>
  <conditionalFormatting sqref="AD6">
    <cfRule type="containsText" dxfId="423" priority="961" operator="containsText" text="Str">
      <formula>NOT(ISERROR(SEARCH("Str",AD6)))</formula>
    </cfRule>
    <cfRule type="containsText" dxfId="422" priority="962" operator="containsText" text="Ere">
      <formula>NOT(ISERROR(SEARCH("Ere",AD6)))</formula>
    </cfRule>
    <cfRule type="containsText" dxfId="421" priority="963" operator="containsText" text="Ear">
      <formula>NOT(ISERROR(SEARCH("Ear",AD6)))</formula>
    </cfRule>
    <cfRule type="containsText" dxfId="420" priority="964" operator="containsText" text="fnd">
      <formula>NOT(ISERROR(SEARCH("fnd",AD6)))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7" operator="containsText" text="Str">
      <formula>NOT(ISERROR(SEARCH("Str",AD24)))</formula>
    </cfRule>
    <cfRule type="containsText" dxfId="414" priority="758" operator="containsText" text="Ere">
      <formula>NOT(ISERROR(SEARCH("Ere",AD24)))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5" operator="containsText" text="Str">
      <formula>NOT(ISERROR(SEARCH("Str",AD51)))</formula>
    </cfRule>
    <cfRule type="containsText" dxfId="410" priority="1346" operator="containsText" text="Ere">
      <formula>NOT(ISERROR(SEARCH("Ere",AD51)))</formula>
    </cfRule>
    <cfRule type="containsText" dxfId="409" priority="1347" operator="containsText" text="Ear">
      <formula>NOT(ISERROR(SEARCH("Ear",AD51)))</formula>
    </cfRule>
    <cfRule type="containsText" dxfId="408" priority="1348" operator="containsText" text="fnd">
      <formula>NOT(ISERROR(SEARCH("fnd",AD51)))</formula>
    </cfRule>
  </conditionalFormatting>
  <conditionalFormatting sqref="AD87 AG87 AJ87 AM87">
    <cfRule type="containsText" dxfId="407" priority="1281" operator="containsText" text="Str">
      <formula>NOT(ISERROR(SEARCH("Str",AD87)))</formula>
    </cfRule>
    <cfRule type="containsText" dxfId="406" priority="1282" operator="containsText" text="Ere">
      <formula>NOT(ISERROR(SEARCH("Ere",AD87)))</formula>
    </cfRule>
    <cfRule type="containsText" dxfId="405" priority="1283" operator="containsText" text="Ear">
      <formula>NOT(ISERROR(SEARCH("Ear",AD87)))</formula>
    </cfRule>
    <cfRule type="containsText" dxfId="404" priority="1284" operator="containsText" text="fnd">
      <formula>NOT(ISERROR(SEARCH("fnd",AD87)))</formula>
    </cfRule>
  </conditionalFormatting>
  <conditionalFormatting sqref="AD105">
    <cfRule type="containsText" dxfId="403" priority="673" operator="containsText" text="Str">
      <formula>NOT(ISERROR(SEARCH("Str",AD105)))</formula>
    </cfRule>
    <cfRule type="containsText" dxfId="402" priority="674" operator="containsText" text="Ere">
      <formula>NOT(ISERROR(SEARCH("Ere",AD105)))</formula>
    </cfRule>
    <cfRule type="containsText" dxfId="401" priority="675" operator="containsText" text="Ear">
      <formula>NOT(ISERROR(SEARCH("Ear",AD105)))</formula>
    </cfRule>
    <cfRule type="containsText" dxfId="400" priority="676" operator="containsText" text="fnd">
      <formula>NOT(ISERROR(SEARCH("fnd",AD105)))</formula>
    </cfRule>
  </conditionalFormatting>
  <conditionalFormatting sqref="AF5:AF6">
    <cfRule type="containsText" dxfId="399" priority="245" operator="containsText" text="Str">
      <formula>NOT(ISERROR(SEARCH("Str",AF5)))</formula>
    </cfRule>
    <cfRule type="containsText" dxfId="398" priority="246" operator="containsText" text="Ere">
      <formula>NOT(ISERROR(SEARCH("Ere",AF5)))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3" operator="containsText" text="Str">
      <formula>NOT(ISERROR(SEARCH("Str",AF14)))</formula>
    </cfRule>
    <cfRule type="containsText" dxfId="394" priority="1114" operator="containsText" text="Ere">
      <formula>NOT(ISERROR(SEARCH("Ere",AF14)))</formula>
    </cfRule>
    <cfRule type="containsText" dxfId="393" priority="1115" operator="containsText" text="Ear">
      <formula>NOT(ISERROR(SEARCH("Ear",AF14)))</formula>
    </cfRule>
    <cfRule type="containsText" dxfId="392" priority="1116" operator="containsText" text="fnd">
      <formula>NOT(ISERROR(SEARCH("fnd",AF14)))</formula>
    </cfRule>
  </conditionalFormatting>
  <conditionalFormatting sqref="AF23:AF24">
    <cfRule type="containsText" dxfId="391" priority="597" operator="containsText" text="Str">
      <formula>NOT(ISERROR(SEARCH("Str",AF23)))</formula>
    </cfRule>
    <cfRule type="containsText" dxfId="390" priority="598" operator="containsText" text="Ere">
      <formula>NOT(ISERROR(SEARCH("Ere",AF23)))</formula>
    </cfRule>
    <cfRule type="containsText" dxfId="389" priority="599" operator="containsText" text="Ear">
      <formula>NOT(ISERROR(SEARCH("Ear",AF23)))</formula>
    </cfRule>
    <cfRule type="containsText" dxfId="388" priority="600" operator="containsText" text="fnd">
      <formula>NOT(ISERROR(SEARCH("fnd",AF23)))</formula>
    </cfRule>
  </conditionalFormatting>
  <conditionalFormatting sqref="AF32">
    <cfRule type="containsText" dxfId="387" priority="117" operator="containsText" text="Str">
      <formula>NOT(ISERROR(SEARCH("Str",AF32)))</formula>
    </cfRule>
    <cfRule type="containsText" dxfId="386" priority="118" operator="containsText" text="Ere">
      <formula>NOT(ISERROR(SEARCH("Ere",AF32)))</formula>
    </cfRule>
    <cfRule type="containsText" dxfId="385" priority="119" operator="containsText" text="Ear">
      <formula>NOT(ISERROR(SEARCH("Ear",AF32)))</formula>
    </cfRule>
    <cfRule type="containsText" dxfId="384" priority="120" operator="containsText" text="fnd">
      <formula>NOT(ISERROR(SEARCH("fnd",AF32)))</formula>
    </cfRule>
  </conditionalFormatting>
  <conditionalFormatting sqref="AF41">
    <cfRule type="containsText" dxfId="383" priority="1225" operator="containsText" text="Str">
      <formula>NOT(ISERROR(SEARCH("Str",AF41)))</formula>
    </cfRule>
    <cfRule type="containsText" dxfId="382" priority="1226" operator="containsText" text="Ere">
      <formula>NOT(ISERROR(SEARCH("Ere",AF41)))</formula>
    </cfRule>
    <cfRule type="containsText" dxfId="381" priority="1227" operator="containsText" text="Ear">
      <formula>NOT(ISERROR(SEARCH("Ear",AF41)))</formula>
    </cfRule>
    <cfRule type="containsText" dxfId="380" priority="1228" operator="containsText" text="fnd">
      <formula>NOT(ISERROR(SEARCH("fnd",AF41)))</formula>
    </cfRule>
  </conditionalFormatting>
  <conditionalFormatting sqref="AF59">
    <cfRule type="containsText" dxfId="379" priority="1081" operator="containsText" text="Str">
      <formula>NOT(ISERROR(SEARCH("Str",AF59)))</formula>
    </cfRule>
    <cfRule type="containsText" dxfId="378" priority="1082" operator="containsText" text="Ere">
      <formula>NOT(ISERROR(SEARCH("Ere",AF59)))</formula>
    </cfRule>
    <cfRule type="containsText" dxfId="377" priority="1083" operator="containsText" text="Ear">
      <formula>NOT(ISERROR(SEARCH("Ear",AF59)))</formula>
    </cfRule>
    <cfRule type="containsText" dxfId="376" priority="1084" operator="containsText" text="fnd">
      <formula>NOT(ISERROR(SEARCH("fnd",AF59)))</formula>
    </cfRule>
  </conditionalFormatting>
  <conditionalFormatting sqref="AF68">
    <cfRule type="containsText" dxfId="375" priority="741" operator="containsText" text="Str">
      <formula>NOT(ISERROR(SEARCH("Str",AF68)))</formula>
    </cfRule>
    <cfRule type="containsText" dxfId="374" priority="742" operator="containsText" text="Ere">
      <formula>NOT(ISERROR(SEARCH("Ere",AF68)))</formula>
    </cfRule>
    <cfRule type="containsText" dxfId="373" priority="743" operator="containsText" text="Ear">
      <formula>NOT(ISERROR(SEARCH("Ear",AF68)))</formula>
    </cfRule>
    <cfRule type="containsText" dxfId="372" priority="744" operator="containsText" text="fnd">
      <formula>NOT(ISERROR(SEARCH("fnd",AF68)))</formula>
    </cfRule>
  </conditionalFormatting>
  <conditionalFormatting sqref="AF77">
    <cfRule type="containsText" dxfId="371" priority="1117" operator="containsText" text="Str">
      <formula>NOT(ISERROR(SEARCH("Str",AF77)))</formula>
    </cfRule>
    <cfRule type="containsText" dxfId="370" priority="1118" operator="containsText" text="Ere">
      <formula>NOT(ISERROR(SEARCH("Ere",AF77)))</formula>
    </cfRule>
    <cfRule type="containsText" dxfId="369" priority="1119" operator="containsText" text="Ear">
      <formula>NOT(ISERROR(SEARCH("Ear",AF77)))</formula>
    </cfRule>
    <cfRule type="containsText" dxfId="368" priority="1120" operator="containsText" text="fnd">
      <formula>NOT(ISERROR(SEARCH("fnd",AF77)))</formula>
    </cfRule>
  </conditionalFormatting>
  <conditionalFormatting sqref="AF95 AI95 AL95">
    <cfRule type="containsText" dxfId="367" priority="1237" operator="containsText" text="Str">
      <formula>NOT(ISERROR(SEARCH("Str",AF95)))</formula>
    </cfRule>
    <cfRule type="containsText" dxfId="366" priority="1238" operator="containsText" text="Ere">
      <formula>NOT(ISERROR(SEARCH("Ere",AF95)))</formula>
    </cfRule>
    <cfRule type="containsText" dxfId="365" priority="1239" operator="containsText" text="Ear">
      <formula>NOT(ISERROR(SEARCH("Ear",AF95)))</formula>
    </cfRule>
    <cfRule type="containsText" dxfId="364" priority="1240" operator="containsText" text="fnd">
      <formula>NOT(ISERROR(SEARCH("fnd",AF95)))</formula>
    </cfRule>
  </conditionalFormatting>
  <conditionalFormatting sqref="AF104:AF105">
    <cfRule type="containsText" dxfId="363" priority="1209" operator="containsText" text="Str">
      <formula>NOT(ISERROR(SEARCH("Str",AF104)))</formula>
    </cfRule>
    <cfRule type="containsText" dxfId="362" priority="1210" operator="containsText" text="Ere">
      <formula>NOT(ISERROR(SEARCH("Ere",AF104)))</formula>
    </cfRule>
    <cfRule type="containsText" dxfId="361" priority="1211" operator="containsText" text="Ear">
      <formula>NOT(ISERROR(SEARCH("Ear",AF104)))</formula>
    </cfRule>
    <cfRule type="containsText" dxfId="360" priority="1212" operator="containsText" text="fnd">
      <formula>NOT(ISERROR(SEARCH("fnd",AF104)))</formula>
    </cfRule>
  </conditionalFormatting>
  <conditionalFormatting sqref="AF113">
    <cfRule type="containsText" dxfId="359" priority="1177" operator="containsText" text="Str">
      <formula>NOT(ISERROR(SEARCH("Str",AF113)))</formula>
    </cfRule>
    <cfRule type="containsText" dxfId="358" priority="1178" operator="containsText" text="Ere">
      <formula>NOT(ISERROR(SEARCH("Ere",AF113)))</formula>
    </cfRule>
    <cfRule type="containsText" dxfId="357" priority="1179" operator="containsText" text="Ear">
      <formula>NOT(ISERROR(SEARCH("Ear",AF113)))</formula>
    </cfRule>
    <cfRule type="containsText" dxfId="356" priority="1180" operator="containsText" text="fnd">
      <formula>NOT(ISERROR(SEARCH("fnd",AF113)))</formula>
    </cfRule>
  </conditionalFormatting>
  <conditionalFormatting sqref="AF122">
    <cfRule type="containsText" dxfId="355" priority="469" operator="containsText" text="Str">
      <formula>NOT(ISERROR(SEARCH("Str",AF122)))</formula>
    </cfRule>
    <cfRule type="containsText" dxfId="354" priority="470" operator="containsText" text="Ere">
      <formula>NOT(ISERROR(SEARCH("Ere",AF122)))</formula>
    </cfRule>
    <cfRule type="containsText" dxfId="353" priority="471" operator="containsText" text="Ear">
      <formula>NOT(ISERROR(SEARCH("Ear",AF122)))</formula>
    </cfRule>
    <cfRule type="containsText" dxfId="352" priority="472" operator="containsText" text="fnd">
      <formula>NOT(ISERROR(SEARCH("fnd",AF122)))</formula>
    </cfRule>
  </conditionalFormatting>
  <conditionalFormatting sqref="AF132:AF135">
    <cfRule type="containsText" dxfId="351" priority="901" operator="containsText" text="Str">
      <formula>NOT(ISERROR(SEARCH("Str",AF132)))</formula>
    </cfRule>
    <cfRule type="containsText" dxfId="350" priority="902" operator="containsText" text="Ere">
      <formula>NOT(ISERROR(SEARCH("Ere",AF132)))</formula>
    </cfRule>
    <cfRule type="containsText" dxfId="349" priority="903" operator="containsText" text="Ear">
      <formula>NOT(ISERROR(SEARCH("Ear",AF132)))</formula>
    </cfRule>
    <cfRule type="containsText" dxfId="348" priority="904" operator="containsText" text="fnd">
      <formula>NOT(ISERROR(SEARCH("fnd",AF132)))</formula>
    </cfRule>
  </conditionalFormatting>
  <conditionalFormatting sqref="AF33:AG33">
    <cfRule type="containsText" dxfId="347" priority="121" operator="containsText" text="Str">
      <formula>NOT(ISERROR(SEARCH("Str",AF33)))</formula>
    </cfRule>
    <cfRule type="containsText" dxfId="346" priority="122" operator="containsText" text="Ere">
      <formula>NOT(ISERROR(SEARCH("Ere",AF33)))</formula>
    </cfRule>
    <cfRule type="containsText" dxfId="345" priority="123" operator="containsText" text="Ear">
      <formula>NOT(ISERROR(SEARCH("Ear",AF33)))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7" operator="containsText" text="Str">
      <formula>NOT(ISERROR(SEARCH("Str",AF42)))</formula>
    </cfRule>
    <cfRule type="containsText" dxfId="342" priority="1358" operator="containsText" text="Ere">
      <formula>NOT(ISERROR(SEARCH("Ere",AF42)))</formula>
    </cfRule>
    <cfRule type="containsText" dxfId="341" priority="1359" operator="containsText" text="Ear">
      <formula>NOT(ISERROR(SEARCH("Ear",AF42)))</formula>
    </cfRule>
    <cfRule type="containsText" dxfId="340" priority="1360" operator="containsText" text="fnd">
      <formula>NOT(ISERROR(SEARCH("fnd",AF42)))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5" operator="containsText" text="Str">
      <formula>NOT(ISERROR(SEARCH("Str",AF69)))</formula>
    </cfRule>
    <cfRule type="containsText" dxfId="334" priority="746" operator="containsText" text="Ere">
      <formula>NOT(ISERROR(SEARCH("Ere",AF69)))</formula>
    </cfRule>
    <cfRule type="containsText" dxfId="333" priority="747" operator="containsText" text="Ear">
      <formula>NOT(ISERROR(SEARCH("Ear",AF69)))</formula>
    </cfRule>
    <cfRule type="containsText" dxfId="332" priority="748" operator="containsText" text="fnd">
      <formula>NOT(ISERROR(SEARCH("fnd",AF69)))</formula>
    </cfRule>
  </conditionalFormatting>
  <conditionalFormatting sqref="AF78:AG78">
    <cfRule type="containsText" dxfId="331" priority="1145" operator="containsText" text="Str">
      <formula>NOT(ISERROR(SEARCH("Str",AF78)))</formula>
    </cfRule>
    <cfRule type="containsText" dxfId="330" priority="1146" operator="containsText" text="Ere">
      <formula>NOT(ISERROR(SEARCH("Ere",AF78)))</formula>
    </cfRule>
    <cfRule type="containsText" dxfId="329" priority="1147" operator="containsText" text="Ear">
      <formula>NOT(ISERROR(SEARCH("Ear",AF78)))</formula>
    </cfRule>
    <cfRule type="containsText" dxfId="328" priority="1148" operator="containsText" text="fnd">
      <formula>NOT(ISERROR(SEARCH("fnd",AF78)))</formula>
    </cfRule>
  </conditionalFormatting>
  <conditionalFormatting sqref="AF96:AG96">
    <cfRule type="containsText" dxfId="327" priority="1265" operator="containsText" text="Str">
      <formula>NOT(ISERROR(SEARCH("Str",AF96)))</formula>
    </cfRule>
    <cfRule type="containsText" dxfId="326" priority="1266" operator="containsText" text="Ere">
      <formula>NOT(ISERROR(SEARCH("Ere",AF96)))</formula>
    </cfRule>
    <cfRule type="containsText" dxfId="325" priority="1267" operator="containsText" text="Ear">
      <formula>NOT(ISERROR(SEARCH("Ear",AF96)))</formula>
    </cfRule>
    <cfRule type="containsText" dxfId="324" priority="1268" operator="containsText" text="fnd">
      <formula>NOT(ISERROR(SEARCH("fnd",AF96)))</formula>
    </cfRule>
  </conditionalFormatting>
  <conditionalFormatting sqref="AF114:AG114 AI114:AJ114">
    <cfRule type="containsText" dxfId="323" priority="1257" operator="containsText" text="Str">
      <formula>NOT(ISERROR(SEARCH("Str",AF114)))</formula>
    </cfRule>
    <cfRule type="containsText" dxfId="322" priority="1258" operator="containsText" text="Ere">
      <formula>NOT(ISERROR(SEARCH("Ere",AF114)))</formula>
    </cfRule>
    <cfRule type="containsText" dxfId="321" priority="1259" operator="containsText" text="Ear">
      <formula>NOT(ISERROR(SEARCH("Ear",AF114)))</formula>
    </cfRule>
    <cfRule type="containsText" dxfId="320" priority="1260" operator="containsText" text="fnd">
      <formula>NOT(ISERROR(SEARCH("fnd",AF114)))</formula>
    </cfRule>
  </conditionalFormatting>
  <conditionalFormatting sqref="AF123:AG123">
    <cfRule type="containsText" dxfId="319" priority="473" operator="containsText" text="Str">
      <formula>NOT(ISERROR(SEARCH("Str",AF123)))</formula>
    </cfRule>
    <cfRule type="containsText" dxfId="318" priority="474" operator="containsText" text="Ere">
      <formula>NOT(ISERROR(SEARCH("Ere",AF123)))</formula>
    </cfRule>
    <cfRule type="containsText" dxfId="317" priority="475" operator="containsText" text="Ear">
      <formula>NOT(ISERROR(SEARCH("Ear",AF123)))</formula>
    </cfRule>
    <cfRule type="containsText" dxfId="316" priority="476" operator="containsText" text="fnd">
      <formula>NOT(ISERROR(SEARCH("fnd",AF123)))</formula>
    </cfRule>
  </conditionalFormatting>
  <conditionalFormatting sqref="AG6">
    <cfRule type="containsText" dxfId="315" priority="241" operator="containsText" text="Str">
      <formula>NOT(ISERROR(SEARCH("Str",AG6)))</formula>
    </cfRule>
    <cfRule type="containsText" dxfId="314" priority="242" operator="containsText" text="Ere">
      <formula>NOT(ISERROR(SEARCH("Ere",AG6)))</formula>
    </cfRule>
    <cfRule type="containsText" dxfId="313" priority="243" operator="containsText" text="Ear">
      <formula>NOT(ISERROR(SEARCH("Ear",AG6)))</formula>
    </cfRule>
    <cfRule type="containsText" dxfId="312" priority="244" operator="containsText" text="fnd">
      <formula>NOT(ISERROR(SEARCH("fnd",AG6)))</formula>
    </cfRule>
  </conditionalFormatting>
  <conditionalFormatting sqref="AG24">
    <cfRule type="containsText" dxfId="311" priority="593" operator="containsText" text="Str">
      <formula>NOT(ISERROR(SEARCH("Str",AG24)))</formula>
    </cfRule>
    <cfRule type="containsText" dxfId="310" priority="594" operator="containsText" text="Ere">
      <formula>NOT(ISERROR(SEARCH("Ere",AG24)))</formula>
    </cfRule>
    <cfRule type="containsText" dxfId="309" priority="595" operator="containsText" text="Ear">
      <formula>NOT(ISERROR(SEARCH("Ear",AG24)))</formula>
    </cfRule>
    <cfRule type="containsText" dxfId="308" priority="596" operator="containsText" text="fnd">
      <formula>NOT(ISERROR(SEARCH("fnd",AG24)))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2" operator="containsText" text="Ere">
      <formula>NOT(ISERROR(SEARCH("Ere",AI5)))</formula>
    </cfRule>
    <cfRule type="containsText" dxfId="305" priority="403" operator="containsText" text="Ear">
      <formula>NOT(ISERROR(SEARCH("Ear",AI5)))</formula>
    </cfRule>
    <cfRule type="containsText" dxfId="304" priority="404" operator="containsText" text="fnd">
      <formula>NOT(ISERROR(SEARCH("fnd",AI5)))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57" operator="containsText" text="Str">
      <formula>NOT(ISERROR(SEARCH("Str",AI23)))</formula>
    </cfRule>
    <cfRule type="containsText" dxfId="298" priority="58" operator="containsText" text="Ere">
      <formula>NOT(ISERROR(SEARCH("Ere",AI23)))</formula>
    </cfRule>
    <cfRule type="containsText" dxfId="297" priority="59" operator="containsText" text="Ear">
      <formula>NOT(ISERROR(SEARCH("Ear",AI23)))</formula>
    </cfRule>
    <cfRule type="containsText" dxfId="296" priority="60" operator="containsText" text="fnd">
      <formula>NOT(ISERROR(SEARCH("fnd",AI23)))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78" operator="containsText" text="Ere">
      <formula>NOT(ISERROR(SEARCH("Ere",AI32)))</formula>
    </cfRule>
    <cfRule type="containsText" dxfId="293" priority="479" operator="containsText" text="Ear">
      <formula>NOT(ISERROR(SEARCH("Ear",AI32)))</formula>
    </cfRule>
    <cfRule type="containsText" dxfId="292" priority="480" operator="containsText" text="fnd">
      <formula>NOT(ISERROR(SEARCH("fnd",AI32)))</formula>
    </cfRule>
  </conditionalFormatting>
  <conditionalFormatting sqref="AI41:AI42">
    <cfRule type="containsText" dxfId="291" priority="1025" operator="containsText" text="Str">
      <formula>NOT(ISERROR(SEARCH("Str",AI41)))</formula>
    </cfRule>
    <cfRule type="containsText" dxfId="290" priority="1026" operator="containsText" text="Ere">
      <formula>NOT(ISERROR(SEARCH("Ere",AI41)))</formula>
    </cfRule>
    <cfRule type="containsText" dxfId="289" priority="1027" operator="containsText" text="Ear">
      <formula>NOT(ISERROR(SEARCH("Ear",AI41)))</formula>
    </cfRule>
    <cfRule type="containsText" dxfId="288" priority="1028" operator="containsText" text="fnd">
      <formula>NOT(ISERROR(SEARCH("fnd",AI41)))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57" operator="containsText" text="Str">
      <formula>NOT(ISERROR(SEARCH("Str",AI68)))</formula>
    </cfRule>
    <cfRule type="containsText" dxfId="282" priority="858" operator="containsText" text="Ere">
      <formula>NOT(ISERROR(SEARCH("Ere",AI68)))</formula>
    </cfRule>
    <cfRule type="containsText" dxfId="281" priority="859" operator="containsText" text="Ear">
      <formula>NOT(ISERROR(SEARCH("Ear",AI68)))</formula>
    </cfRule>
    <cfRule type="containsText" dxfId="280" priority="860" operator="containsText" text="fnd">
      <formula>NOT(ISERROR(SEARCH("fnd",AI68)))</formula>
    </cfRule>
  </conditionalFormatting>
  <conditionalFormatting sqref="AI77">
    <cfRule type="containsText" dxfId="279" priority="749" operator="containsText" text="Str">
      <formula>NOT(ISERROR(SEARCH("Str",AI77)))</formula>
    </cfRule>
    <cfRule type="containsText" dxfId="278" priority="750" operator="containsText" text="Ere">
      <formula>NOT(ISERROR(SEARCH("Ere",AI77)))</formula>
    </cfRule>
    <cfRule type="containsText" dxfId="277" priority="751" operator="containsText" text="Ear">
      <formula>NOT(ISERROR(SEARCH("Ear",AI77)))</formula>
    </cfRule>
    <cfRule type="containsText" dxfId="276" priority="752" operator="containsText" text="fnd">
      <formula>NOT(ISERROR(SEARCH("fnd",AI77)))</formula>
    </cfRule>
  </conditionalFormatting>
  <conditionalFormatting sqref="AI104:AI105">
    <cfRule type="containsText" dxfId="275" priority="361" operator="containsText" text="Str">
      <formula>NOT(ISERROR(SEARCH("Str",AI104)))</formula>
    </cfRule>
    <cfRule type="containsText" dxfId="274" priority="362" operator="containsText" text="Ere">
      <formula>NOT(ISERROR(SEARCH("Ere",AI104)))</formula>
    </cfRule>
    <cfRule type="containsText" dxfId="273" priority="363" operator="containsText" text="Ear">
      <formula>NOT(ISERROR(SEARCH("Ear",AI104)))</formula>
    </cfRule>
    <cfRule type="containsText" dxfId="272" priority="364" operator="containsText" text="fnd">
      <formula>NOT(ISERROR(SEARCH("fnd",AI104)))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3" operator="containsText" text="Str">
      <formula>NOT(ISERROR(SEARCH("Str",AI122)))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6" operator="containsText" text="fnd">
      <formula>NOT(ISERROR(SEARCH("fnd",AI122)))</formula>
    </cfRule>
  </conditionalFormatting>
  <conditionalFormatting sqref="AI132:AI135">
    <cfRule type="containsText" dxfId="263" priority="897" operator="containsText" text="Str">
      <formula>NOT(ISERROR(SEARCH("Str",AI132)))</formula>
    </cfRule>
    <cfRule type="containsText" dxfId="262" priority="898" operator="containsText" text="Ere">
      <formula>NOT(ISERROR(SEARCH("Ere",AI132)))</formula>
    </cfRule>
    <cfRule type="containsText" dxfId="261" priority="899" operator="containsText" text="Ear">
      <formula>NOT(ISERROR(SEARCH("Ear",AI132)))</formula>
    </cfRule>
    <cfRule type="containsText" dxfId="260" priority="900" operator="containsText" text="fnd">
      <formula>NOT(ISERROR(SEARCH("fnd",AI132)))</formula>
    </cfRule>
  </conditionalFormatting>
  <conditionalFormatting sqref="AI33:AJ33">
    <cfRule type="containsText" dxfId="259" priority="481" operator="containsText" text="Str">
      <formula>NOT(ISERROR(SEARCH("Str",AI33)))</formula>
    </cfRule>
    <cfRule type="containsText" dxfId="258" priority="482" operator="containsText" text="Ere">
      <formula>NOT(ISERROR(SEARCH("Ere",AI33)))</formula>
    </cfRule>
    <cfRule type="containsText" dxfId="257" priority="483" operator="containsText" text="Ear">
      <formula>NOT(ISERROR(SEARCH("Ear",AI33)))</formula>
    </cfRule>
    <cfRule type="containsText" dxfId="256" priority="484" operator="containsText" text="fnd">
      <formula>NOT(ISERROR(SEARCH("fnd",AI33)))</formula>
    </cfRule>
  </conditionalFormatting>
  <conditionalFormatting sqref="AI51:AJ51">
    <cfRule type="containsText" dxfId="255" priority="1341" operator="containsText" text="Str">
      <formula>NOT(ISERROR(SEARCH("Str",AI51)))</formula>
    </cfRule>
    <cfRule type="containsText" dxfId="254" priority="1342" operator="containsText" text="Ere">
      <formula>NOT(ISERROR(SEARCH("Ere",AI51)))</formula>
    </cfRule>
    <cfRule type="containsText" dxfId="253" priority="1343" operator="containsText" text="Ear">
      <formula>NOT(ISERROR(SEARCH("Ear",AI51)))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2" operator="containsText" text="Ere">
      <formula>NOT(ISERROR(SEARCH("Ere",AI69)))</formula>
    </cfRule>
    <cfRule type="containsText" dxfId="249" priority="863" operator="containsText" text="Ear">
      <formula>NOT(ISERROR(SEARCH("Ear",AI69)))</formula>
    </cfRule>
    <cfRule type="containsText" dxfId="248" priority="864" operator="containsText" text="fnd">
      <formula>NOT(ISERROR(SEARCH("fnd",AI69)))</formula>
    </cfRule>
  </conditionalFormatting>
  <conditionalFormatting sqref="AI78:AJ78">
    <cfRule type="containsText" dxfId="247" priority="753" operator="containsText" text="Str">
      <formula>NOT(ISERROR(SEARCH("Str",AI78)))</formula>
    </cfRule>
    <cfRule type="containsText" dxfId="246" priority="754" operator="containsText" text="Ere">
      <formula>NOT(ISERROR(SEARCH("Ere",AI78)))</formula>
    </cfRule>
    <cfRule type="containsText" dxfId="245" priority="755" operator="containsText" text="Ear">
      <formula>NOT(ISERROR(SEARCH("Ear",AI78)))</formula>
    </cfRule>
    <cfRule type="containsText" dxfId="244" priority="756" operator="containsText" text="fnd">
      <formula>NOT(ISERROR(SEARCH("fnd",AI78)))</formula>
    </cfRule>
  </conditionalFormatting>
  <conditionalFormatting sqref="AI96:AJ96 AL96:AM96 AO96:AP96">
    <cfRule type="containsText" dxfId="243" priority="1261" operator="containsText" text="Str">
      <formula>NOT(ISERROR(SEARCH("Str",AI96)))</formula>
    </cfRule>
    <cfRule type="containsText" dxfId="242" priority="1262" operator="containsText" text="Ere">
      <formula>NOT(ISERROR(SEARCH("Ere",AI96)))</formula>
    </cfRule>
    <cfRule type="containsText" dxfId="241" priority="1263" operator="containsText" text="Ear">
      <formula>NOT(ISERROR(SEARCH("Ear",AI96)))</formula>
    </cfRule>
    <cfRule type="containsText" dxfId="240" priority="1264" operator="containsText" text="fnd">
      <formula>NOT(ISERROR(SEARCH("fnd",AI96)))</formula>
    </cfRule>
  </conditionalFormatting>
  <conditionalFormatting sqref="AI123:AJ123">
    <cfRule type="containsText" dxfId="239" priority="417" operator="containsText" text="Str">
      <formula>NOT(ISERROR(SEARCH("Str",AI123)))</formula>
    </cfRule>
    <cfRule type="containsText" dxfId="238" priority="418" operator="containsText" text="Ere">
      <formula>NOT(ISERROR(SEARCH("Ere",AI123)))</formula>
    </cfRule>
    <cfRule type="containsText" dxfId="237" priority="419" operator="containsText" text="Ear">
      <formula>NOT(ISERROR(SEARCH("Ear",AI123)))</formula>
    </cfRule>
    <cfRule type="containsText" dxfId="236" priority="420" operator="containsText" text="fnd">
      <formula>NOT(ISERROR(SEARCH("fnd",AI123)))</formula>
    </cfRule>
  </conditionalFormatting>
  <conditionalFormatting sqref="AJ6">
    <cfRule type="containsText" dxfId="235" priority="397" operator="containsText" text="Str">
      <formula>NOT(ISERROR(SEARCH("Str",AJ6)))</formula>
    </cfRule>
    <cfRule type="containsText" dxfId="234" priority="398" operator="containsText" text="Ere">
      <formula>NOT(ISERROR(SEARCH("Ere",AJ6)))</formula>
    </cfRule>
    <cfRule type="containsText" dxfId="233" priority="399" operator="containsText" text="Ear">
      <formula>NOT(ISERROR(SEARCH("Ear",AJ6)))</formula>
    </cfRule>
    <cfRule type="containsText" dxfId="232" priority="400" operator="containsText" text="fnd">
      <formula>NOT(ISERROR(SEARCH("fnd",AJ6)))</formula>
    </cfRule>
  </conditionalFormatting>
  <conditionalFormatting sqref="AJ15">
    <cfRule type="containsText" dxfId="231" priority="381" operator="containsText" text="Str">
      <formula>NOT(ISERROR(SEARCH("Str",AJ15)))</formula>
    </cfRule>
    <cfRule type="containsText" dxfId="230" priority="382" operator="containsText" text="Ere">
      <formula>NOT(ISERROR(SEARCH("Ere",AJ15)))</formula>
    </cfRule>
    <cfRule type="containsText" dxfId="229" priority="383" operator="containsText" text="Ear">
      <formula>NOT(ISERROR(SEARCH("Ear",AJ15)))</formula>
    </cfRule>
    <cfRule type="containsText" dxfId="228" priority="384" operator="containsText" text="fnd">
      <formula>NOT(ISERROR(SEARCH("fnd",AJ15)))</formula>
    </cfRule>
  </conditionalFormatting>
  <conditionalFormatting sqref="AJ24">
    <cfRule type="containsText" dxfId="227" priority="53" operator="containsText" text="Str">
      <formula>NOT(ISERROR(SEARCH("Str",AJ24)))</formula>
    </cfRule>
    <cfRule type="containsText" dxfId="226" priority="54" operator="containsText" text="Ere">
      <formula>NOT(ISERROR(SEARCH("Ere",AJ24)))</formula>
    </cfRule>
    <cfRule type="containsText" dxfId="225" priority="55" operator="containsText" text="Ear">
      <formula>NOT(ISERROR(SEARCH("Ear",AJ24)))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29" operator="containsText" text="Str">
      <formula>NOT(ISERROR(SEARCH("Str",AJ42)))</formula>
    </cfRule>
    <cfRule type="containsText" dxfId="222" priority="1030" operator="containsText" text="Ere">
      <formula>NOT(ISERROR(SEARCH("Ere",AJ42)))</formula>
    </cfRule>
    <cfRule type="containsText" dxfId="221" priority="1031" operator="containsText" text="Ear">
      <formula>NOT(ISERROR(SEARCH("Ear",AJ42)))</formula>
    </cfRule>
    <cfRule type="containsText" dxfId="220" priority="1032" operator="containsText" text="fnd">
      <formula>NOT(ISERROR(SEARCH("fnd",AJ42)))</formula>
    </cfRule>
  </conditionalFormatting>
  <conditionalFormatting sqref="AJ60">
    <cfRule type="containsText" dxfId="219" priority="1105" operator="containsText" text="Str">
      <formula>NOT(ISERROR(SEARCH("Str",AJ60)))</formula>
    </cfRule>
    <cfRule type="containsText" dxfId="218" priority="1106" operator="containsText" text="Ere">
      <formula>NOT(ISERROR(SEARCH("Ere",AJ60)))</formula>
    </cfRule>
    <cfRule type="containsText" dxfId="217" priority="1107" operator="containsText" text="Ear">
      <formula>NOT(ISERROR(SEARCH("Ear",AJ60)))</formula>
    </cfRule>
    <cfRule type="containsText" dxfId="216" priority="1108" operator="containsText" text="fnd">
      <formula>NOT(ISERROR(SEARCH("fnd",AJ60)))</formula>
    </cfRule>
  </conditionalFormatting>
  <conditionalFormatting sqref="AL5:AL6">
    <cfRule type="containsText" dxfId="215" priority="261" operator="containsText" text="Str">
      <formula>NOT(ISERROR(SEARCH("Str",AL5)))</formula>
    </cfRule>
    <cfRule type="containsText" dxfId="214" priority="262" operator="containsText" text="Ere">
      <formula>NOT(ISERROR(SEARCH("Ere",AL5)))</formula>
    </cfRule>
    <cfRule type="containsText" dxfId="213" priority="263" operator="containsText" text="Ear">
      <formula>NOT(ISERROR(SEARCH("Ear",AL5)))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1" operator="containsText" text="Str">
      <formula>NOT(ISERROR(SEARCH("Str",AL14)))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4" operator="containsText" text="fnd">
      <formula>NOT(ISERROR(SEARCH("fnd",AL14)))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17" operator="containsText" text="Str">
      <formula>NOT(ISERROR(SEARCH("Str",AL41)))</formula>
    </cfRule>
    <cfRule type="containsText" dxfId="202" priority="1218" operator="containsText" text="Ere">
      <formula>NOT(ISERROR(SEARCH("Ere",AL41)))</formula>
    </cfRule>
    <cfRule type="containsText" dxfId="201" priority="1219" operator="containsText" text="Ear">
      <formula>NOT(ISERROR(SEARCH("Ear",AL41)))</formula>
    </cfRule>
    <cfRule type="containsText" dxfId="200" priority="1220" operator="containsText" text="fnd">
      <formula>NOT(ISERROR(SEARCH("fnd",AL41)))</formula>
    </cfRule>
  </conditionalFormatting>
  <conditionalFormatting sqref="AL59">
    <cfRule type="containsText" dxfId="199" priority="1077" operator="containsText" text="Str">
      <formula>NOT(ISERROR(SEARCH("Str",AL59)))</formula>
    </cfRule>
    <cfRule type="containsText" dxfId="198" priority="1078" operator="containsText" text="Ere">
      <formula>NOT(ISERROR(SEARCH("Ere",AL59)))</formula>
    </cfRule>
    <cfRule type="containsText" dxfId="197" priority="1079" operator="containsText" text="Ear">
      <formula>NOT(ISERROR(SEARCH("Ear",AL59)))</formula>
    </cfRule>
    <cfRule type="containsText" dxfId="196" priority="1080" operator="containsText" text="fnd">
      <formula>NOT(ISERROR(SEARCH("fnd",AL59)))</formula>
    </cfRule>
  </conditionalFormatting>
  <conditionalFormatting sqref="AL68:AL69">
    <cfRule type="containsText" dxfId="195" priority="877" operator="containsText" text="Str">
      <formula>NOT(ISERROR(SEARCH("Str",AL68)))</formula>
    </cfRule>
    <cfRule type="containsText" dxfId="194" priority="878" operator="containsText" text="Ere">
      <formula>NOT(ISERROR(SEARCH("Ere",AL68)))</formula>
    </cfRule>
    <cfRule type="containsText" dxfId="193" priority="879" operator="containsText" text="Ear">
      <formula>NOT(ISERROR(SEARCH("Ear",AL68)))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1" operator="containsText" text="Str">
      <formula>NOT(ISERROR(SEARCH("Str",AL77)))</formula>
    </cfRule>
    <cfRule type="containsText" dxfId="190" priority="1142" operator="containsText" text="Ere">
      <formula>NOT(ISERROR(SEARCH("Ere",AL77)))</formula>
    </cfRule>
    <cfRule type="containsText" dxfId="189" priority="1143" operator="containsText" text="Ear">
      <formula>NOT(ISERROR(SEARCH("Ear",AL77)))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0" operator="containsText" text="Ere">
      <formula>NOT(ISERROR(SEARCH("Ere",AL113)))</formula>
    </cfRule>
    <cfRule type="containsText" dxfId="181" priority="651" operator="containsText" text="Ear">
      <formula>NOT(ISERROR(SEARCH("Ear",AL113)))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3" operator="containsText" text="Str">
      <formula>NOT(ISERROR(SEARCH("Str",AL132)))</formula>
    </cfRule>
    <cfRule type="containsText" dxfId="174" priority="894" operator="containsText" text="Ere">
      <formula>NOT(ISERROR(SEARCH("Ere",AL132)))</formula>
    </cfRule>
    <cfRule type="containsText" dxfId="173" priority="895" operator="containsText" text="Ear">
      <formula>NOT(ISERROR(SEARCH("Ear",AL132)))</formula>
    </cfRule>
    <cfRule type="containsText" dxfId="172" priority="896" operator="containsText" text="fnd">
      <formula>NOT(ISERROR(SEARCH("fnd",AL132)))</formula>
    </cfRule>
  </conditionalFormatting>
  <conditionalFormatting sqref="AL33:AM33">
    <cfRule type="containsText" dxfId="171" priority="1385" operator="containsText" text="Str">
      <formula>NOT(ISERROR(SEARCH("Str",AL33)))</formula>
    </cfRule>
    <cfRule type="containsText" dxfId="170" priority="1386" operator="containsText" text="Ere">
      <formula>NOT(ISERROR(SEARCH("Ere",AL33)))</formula>
    </cfRule>
    <cfRule type="containsText" dxfId="169" priority="1387" operator="containsText" text="Ear">
      <formula>NOT(ISERROR(SEARCH("Ear",AL33)))</formula>
    </cfRule>
    <cfRule type="containsText" dxfId="168" priority="1388" operator="containsText" text="fnd">
      <formula>NOT(ISERROR(SEARCH("fnd",AL33)))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3" operator="containsText" text="Ear">
      <formula>NOT(ISERROR(SEARCH("Ear",AL60)))</formula>
    </cfRule>
    <cfRule type="containsText" dxfId="164" priority="1104" operator="containsText" text="fnd">
      <formula>NOT(ISERROR(SEARCH("fnd",AL60)))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1" operator="containsText" text="Str">
      <formula>NOT(ISERROR(SEARCH("Str",AL123)))</formula>
    </cfRule>
    <cfRule type="containsText" dxfId="154" priority="442" operator="containsText" text="Ere">
      <formula>NOT(ISERROR(SEARCH("Ere",AL123)))</formula>
    </cfRule>
    <cfRule type="containsText" dxfId="153" priority="443" operator="containsText" text="Ear">
      <formula>NOT(ISERROR(SEARCH("Ear",AL123)))</formula>
    </cfRule>
    <cfRule type="containsText" dxfId="152" priority="444" operator="containsText" text="fnd">
      <formula>NOT(ISERROR(SEARCH("fnd",AL123)))</formula>
    </cfRule>
  </conditionalFormatting>
  <conditionalFormatting sqref="AM6">
    <cfRule type="containsText" dxfId="151" priority="257" operator="containsText" text="Str">
      <formula>NOT(ISERROR(SEARCH("Str",AM6)))</formula>
    </cfRule>
    <cfRule type="containsText" dxfId="150" priority="258" operator="containsText" text="Ere">
      <formula>NOT(ISERROR(SEARCH("Ere",AM6)))</formula>
    </cfRule>
    <cfRule type="containsText" dxfId="149" priority="259" operator="containsText" text="Ear">
      <formula>NOT(ISERROR(SEARCH("Ear",AM6)))</formula>
    </cfRule>
    <cfRule type="containsText" dxfId="148" priority="260" operator="containsText" text="fnd">
      <formula>NOT(ISERROR(SEARCH("fnd",AM6)))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7" operator="containsText" text="Str">
      <formula>NOT(ISERROR(SEARCH("Str",AM24)))</formula>
    </cfRule>
    <cfRule type="containsText" dxfId="142" priority="38" operator="containsText" text="Ere">
      <formula>NOT(ISERROR(SEARCH("Ere",AM24)))</formula>
    </cfRule>
    <cfRule type="containsText" dxfId="141" priority="39" operator="containsText" text="Ear">
      <formula>NOT(ISERROR(SEARCH("Ear",AM24)))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4" operator="containsText" text="Ere">
      <formula>NOT(ISERROR(SEARCH("Ere",AO5)))</formula>
    </cfRule>
    <cfRule type="containsText" dxfId="133" priority="195" operator="containsText" text="Ear">
      <formula>NOT(ISERROR(SEARCH("Ear",AO5)))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7" operator="containsText" text="Str">
      <formula>NOT(ISERROR(SEARCH("Str",AO14)))</formula>
    </cfRule>
    <cfRule type="containsText" dxfId="130" priority="518" operator="containsText" text="Ere">
      <formula>NOT(ISERROR(SEARCH("Ere",AO14)))</formula>
    </cfRule>
    <cfRule type="containsText" dxfId="129" priority="519" operator="containsText" text="Ear">
      <formula>NOT(ISERROR(SEARCH("Ear",AO14)))</formula>
    </cfRule>
    <cfRule type="containsText" dxfId="128" priority="520" operator="containsText" text="fnd">
      <formula>NOT(ISERROR(SEARCH("fnd",AO14)))</formula>
    </cfRule>
  </conditionalFormatting>
  <conditionalFormatting sqref="AO23:AO24">
    <cfRule type="containsText" dxfId="127" priority="33" operator="containsText" text="Str">
      <formula>NOT(ISERROR(SEARCH("Str",AO23)))</formula>
    </cfRule>
    <cfRule type="containsText" dxfId="126" priority="34" operator="containsText" text="Ere">
      <formula>NOT(ISERROR(SEARCH("Ere",AO23)))</formula>
    </cfRule>
    <cfRule type="containsText" dxfId="125" priority="35" operator="containsText" text="Ear">
      <formula>NOT(ISERROR(SEARCH("Ear",AO23)))</formula>
    </cfRule>
    <cfRule type="containsText" dxfId="124" priority="36" operator="containsText" text="fnd">
      <formula>NOT(ISERROR(SEARCH("fnd",AO23)))</formula>
    </cfRule>
  </conditionalFormatting>
  <conditionalFormatting sqref="AO41:AO42">
    <cfRule type="containsText" dxfId="123" priority="1041" operator="containsText" text="Str">
      <formula>NOT(ISERROR(SEARCH("Str",AO41)))</formula>
    </cfRule>
    <cfRule type="containsText" dxfId="122" priority="1042" operator="containsText" text="Ere">
      <formula>NOT(ISERROR(SEARCH("Ere",AO41)))</formula>
    </cfRule>
    <cfRule type="containsText" dxfId="121" priority="1043" operator="containsText" text="Ear">
      <formula>NOT(ISERROR(SEARCH("Ear",AO41)))</formula>
    </cfRule>
    <cfRule type="containsText" dxfId="120" priority="1044" operator="containsText" text="fnd">
      <formula>NOT(ISERROR(SEARCH("fnd",AO41)))</formula>
    </cfRule>
  </conditionalFormatting>
  <conditionalFormatting sqref="AO59">
    <cfRule type="containsText" dxfId="119" priority="61" operator="containsText" text="Str">
      <formula>NOT(ISERROR(SEARCH("Str",AO59)))</formula>
    </cfRule>
    <cfRule type="containsText" dxfId="118" priority="62" operator="containsText" text="Ere">
      <formula>NOT(ISERROR(SEARCH("Ere",AO59)))</formula>
    </cfRule>
    <cfRule type="containsText" dxfId="117" priority="63" operator="containsText" text="Ear">
      <formula>NOT(ISERROR(SEARCH("Ear",AO59)))</formula>
    </cfRule>
    <cfRule type="containsText" dxfId="116" priority="64" operator="containsText" text="fnd">
      <formula>NOT(ISERROR(SEARCH("fnd",AO59)))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69" operator="containsText" text="Str">
      <formula>NOT(ISERROR(SEARCH("Str",AO77)))</formula>
    </cfRule>
    <cfRule type="containsText" dxfId="110" priority="870" operator="containsText" text="Ere">
      <formula>NOT(ISERROR(SEARCH("Ere",AO77)))</formula>
    </cfRule>
    <cfRule type="containsText" dxfId="109" priority="871" operator="containsText" text="Ear">
      <formula>NOT(ISERROR(SEARCH("Ear",AO77)))</formula>
    </cfRule>
    <cfRule type="containsText" dxfId="108" priority="872" operator="containsText" text="fnd">
      <formula>NOT(ISERROR(SEARCH("fnd",AO77)))</formula>
    </cfRule>
  </conditionalFormatting>
  <conditionalFormatting sqref="AO86">
    <cfRule type="containsText" dxfId="107" priority="817" operator="containsText" text="Str">
      <formula>NOT(ISERROR(SEARCH("Str",AO86)))</formula>
    </cfRule>
    <cfRule type="containsText" dxfId="106" priority="818" operator="containsText" text="Ere">
      <formula>NOT(ISERROR(SEARCH("Ere",AO86)))</formula>
    </cfRule>
    <cfRule type="containsText" dxfId="105" priority="819" operator="containsText" text="Ear">
      <formula>NOT(ISERROR(SEARCH("Ear",AO86)))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0" operator="containsText" text="Ere">
      <formula>NOT(ISERROR(SEARCH("Ere",AO95)))</formula>
    </cfRule>
    <cfRule type="containsText" dxfId="101" priority="811" operator="containsText" text="Ear">
      <formula>NOT(ISERROR(SEARCH("Ear",AO95)))</formula>
    </cfRule>
    <cfRule type="containsText" dxfId="100" priority="812" operator="containsText" text="fnd">
      <formula>NOT(ISERROR(SEARCH("fnd",AO95)))</formula>
    </cfRule>
  </conditionalFormatting>
  <conditionalFormatting sqref="AO104:AO105">
    <cfRule type="containsText" dxfId="99" priority="657" operator="containsText" text="Str">
      <formula>NOT(ISERROR(SEARCH("Str",AO104)))</formula>
    </cfRule>
    <cfRule type="containsText" dxfId="98" priority="658" operator="containsText" text="Ere">
      <formula>NOT(ISERROR(SEARCH("Ere",AO104)))</formula>
    </cfRule>
    <cfRule type="containsText" dxfId="97" priority="659" operator="containsText" text="Ear">
      <formula>NOT(ISERROR(SEARCH("Ear",AO104)))</formula>
    </cfRule>
    <cfRule type="containsText" dxfId="96" priority="660" operator="containsText" text="fnd">
      <formula>NOT(ISERROR(SEARCH("fnd",AO104)))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3" operator="containsText" text="Ear">
      <formula>NOT(ISERROR(SEARCH("Ear",AO113)))</formula>
    </cfRule>
    <cfRule type="containsText" dxfId="92" priority="664" operator="containsText" text="fnd">
      <formula>NOT(ISERROR(SEARCH("fnd",AO113)))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0" operator="containsText" text="Ere">
      <formula>NOT(ISERROR(SEARCH("Ere",AO122)))</formula>
    </cfRule>
    <cfRule type="containsText" dxfId="89" priority="311" operator="containsText" text="Ear">
      <formula>NOT(ISERROR(SEARCH("Ear",AO122)))</formula>
    </cfRule>
    <cfRule type="containsText" dxfId="88" priority="312" operator="containsText" text="fnd">
      <formula>NOT(ISERROR(SEARCH("fnd",AO122)))</formula>
    </cfRule>
  </conditionalFormatting>
  <conditionalFormatting sqref="AO132:AO135">
    <cfRule type="containsText" dxfId="87" priority="889" operator="containsText" text="Str">
      <formula>NOT(ISERROR(SEARCH("Str",AO132)))</formula>
    </cfRule>
    <cfRule type="containsText" dxfId="86" priority="890" operator="containsText" text="Ere">
      <formula>NOT(ISERROR(SEARCH("Ere",AO132)))</formula>
    </cfRule>
    <cfRule type="containsText" dxfId="85" priority="891" operator="containsText" text="Ear">
      <formula>NOT(ISERROR(SEARCH("Ear",AO132)))</formula>
    </cfRule>
    <cfRule type="containsText" dxfId="84" priority="892" operator="containsText" text="fnd">
      <formula>NOT(ISERROR(SEARCH("fnd",AO132)))</formula>
    </cfRule>
  </conditionalFormatting>
  <conditionalFormatting sqref="AO33:AP33">
    <cfRule type="containsText" dxfId="83" priority="1381" operator="containsText" text="Str">
      <formula>NOT(ISERROR(SEARCH("Str",AO33)))</formula>
    </cfRule>
    <cfRule type="containsText" dxfId="82" priority="1382" operator="containsText" text="Ere">
      <formula>NOT(ISERROR(SEARCH("Ere",AO33)))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5" operator="containsText" text="Str">
      <formula>NOT(ISERROR(SEARCH("Str",AO60)))</formula>
    </cfRule>
    <cfRule type="containsText" dxfId="78" priority="66" operator="containsText" text="Ere">
      <formula>NOT(ISERROR(SEARCH("Ere",AO60)))</formula>
    </cfRule>
    <cfRule type="containsText" dxfId="77" priority="67" operator="containsText" text="Ear">
      <formula>NOT(ISERROR(SEARCH("Ear",AO60)))</formula>
    </cfRule>
    <cfRule type="containsText" dxfId="76" priority="68" operator="containsText" text="fnd">
      <formula>NOT(ISERROR(SEARCH("fnd",AO60)))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4" operator="containsText" text="Ere">
      <formula>NOT(ISERROR(SEARCH("Ere",AO78)))</formula>
    </cfRule>
    <cfRule type="containsText" dxfId="73" priority="875" operator="containsText" text="Ear">
      <formula>NOT(ISERROR(SEARCH("Ear",AO78)))</formula>
    </cfRule>
    <cfRule type="containsText" dxfId="72" priority="876" operator="containsText" text="fnd">
      <formula>NOT(ISERROR(SEARCH("fnd",AO78)))</formula>
    </cfRule>
  </conditionalFormatting>
  <conditionalFormatting sqref="AO87:AP87">
    <cfRule type="containsText" dxfId="71" priority="821" operator="containsText" text="Str">
      <formula>NOT(ISERROR(SEARCH("Str",AO87)))</formula>
    </cfRule>
    <cfRule type="containsText" dxfId="70" priority="822" operator="containsText" text="Ere">
      <formula>NOT(ISERROR(SEARCH("Ere",AO87)))</formula>
    </cfRule>
    <cfRule type="containsText" dxfId="69" priority="823" operator="containsText" text="Ear">
      <formula>NOT(ISERROR(SEARCH("Ear",AO87)))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5" operator="containsText" text="Str">
      <formula>NOT(ISERROR(SEARCH("Str",AO114)))</formula>
    </cfRule>
    <cfRule type="containsText" dxfId="66" priority="666" operator="containsText" text="Ere">
      <formula>NOT(ISERROR(SEARCH("Ere",AO114)))</formula>
    </cfRule>
    <cfRule type="containsText" dxfId="65" priority="667" operator="containsText" text="Ear">
      <formula>NOT(ISERROR(SEARCH("Ear",AO114)))</formula>
    </cfRule>
    <cfRule type="containsText" dxfId="64" priority="668" operator="containsText" text="fnd">
      <formula>NOT(ISERROR(SEARCH("fnd",AO114)))</formula>
    </cfRule>
  </conditionalFormatting>
  <conditionalFormatting sqref="AO123:AP123">
    <cfRule type="containsText" dxfId="63" priority="313" operator="containsText" text="Str">
      <formula>NOT(ISERROR(SEARCH("Str",AO123)))</formula>
    </cfRule>
    <cfRule type="containsText" dxfId="62" priority="314" operator="containsText" text="Ere">
      <formula>NOT(ISERROR(SEARCH("Ere",AO123)))</formula>
    </cfRule>
    <cfRule type="containsText" dxfId="61" priority="315" operator="containsText" text="Ear">
      <formula>NOT(ISERROR(SEARCH("Ear",AO123)))</formula>
    </cfRule>
    <cfRule type="containsText" dxfId="60" priority="316" operator="containsText" text="fnd">
      <formula>NOT(ISERROR(SEARCH("fnd",AO123)))</formula>
    </cfRule>
  </conditionalFormatting>
  <conditionalFormatting sqref="AP6">
    <cfRule type="containsText" dxfId="59" priority="189" operator="containsText" text="Str">
      <formula>NOT(ISERROR(SEARCH("Str",AP6)))</formula>
    </cfRule>
    <cfRule type="containsText" dxfId="58" priority="190" operator="containsText" text="Ere">
      <formula>NOT(ISERROR(SEARCH("Ere",AP6)))</formula>
    </cfRule>
    <cfRule type="containsText" dxfId="57" priority="191" operator="containsText" text="Ear">
      <formula>NOT(ISERROR(SEARCH("Ear",AP6)))</formula>
    </cfRule>
    <cfRule type="containsText" dxfId="56" priority="192" operator="containsText" text="fnd">
      <formula>NOT(ISERROR(SEARCH("fnd",AP6)))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29" operator="containsText" text="Str">
      <formula>NOT(ISERROR(SEARCH("Str",AP24)))</formula>
    </cfRule>
    <cfRule type="containsText" dxfId="50" priority="30" operator="containsText" text="Ere">
      <formula>NOT(ISERROR(SEARCH("Ere",AP24)))</formula>
    </cfRule>
    <cfRule type="containsText" dxfId="49" priority="31" operator="containsText" text="Ear">
      <formula>NOT(ISERROR(SEARCH("Ear",AP24)))</formula>
    </cfRule>
    <cfRule type="containsText" dxfId="48" priority="32" operator="containsText" text="fnd">
      <formula>NOT(ISERROR(SEARCH("fnd",AP24)))</formula>
    </cfRule>
  </conditionalFormatting>
  <conditionalFormatting sqref="AP42">
    <cfRule type="containsText" dxfId="47" priority="1009" operator="containsText" text="Str">
      <formula>NOT(ISERROR(SEARCH("Str",AP42)))</formula>
    </cfRule>
    <cfRule type="containsText" dxfId="46" priority="1010" operator="containsText" text="Ere">
      <formula>NOT(ISERROR(SEARCH("Ere",AP42)))</formula>
    </cfRule>
    <cfRule type="containsText" dxfId="45" priority="1011" operator="containsText" text="Ear">
      <formula>NOT(ISERROR(SEARCH("Ear",AP42)))</formula>
    </cfRule>
    <cfRule type="containsText" dxfId="44" priority="1012" operator="containsText" text="fnd">
      <formula>NOT(ISERROR(SEARCH("fnd",AP42)))</formula>
    </cfRule>
  </conditionalFormatting>
  <conditionalFormatting sqref="AP69">
    <cfRule type="containsText" dxfId="43" priority="833" operator="containsText" text="Str">
      <formula>NOT(ISERROR(SEARCH("Str",AP69)))</formula>
    </cfRule>
    <cfRule type="containsText" dxfId="42" priority="834" operator="containsText" text="Ere">
      <formula>NOT(ISERROR(SEARCH("Ere",AP69)))</formula>
    </cfRule>
    <cfRule type="containsText" dxfId="41" priority="835" operator="containsText" text="Ear">
      <formula>NOT(ISERROR(SEARCH("Ear",AP69)))</formula>
    </cfRule>
    <cfRule type="containsText" dxfId="40" priority="836" operator="containsText" text="fnd">
      <formula>NOT(ISERROR(SEARCH("fnd",AP69)))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89" operator="containsText" text="Str">
      <formula>NOT(ISERROR(SEARCH("Str",AR33)))</formula>
    </cfRule>
    <cfRule type="containsText" dxfId="34" priority="90" operator="containsText" text="Ere">
      <formula>NOT(ISERROR(SEARCH("Ere",AR33)))</formula>
    </cfRule>
    <cfRule type="containsText" dxfId="33" priority="91" operator="containsText" text="Ear">
      <formula>NOT(ISERROR(SEARCH("Ear",AR33)))</formula>
    </cfRule>
    <cfRule type="containsText" dxfId="32" priority="92" operator="containsText" text="fnd">
      <formula>NOT(ISERROR(SEARCH("fnd",AR33)))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7" activePane="bottomLeft" state="frozen"/>
      <selection sqref="A1:H1"/>
      <selection pane="bottomLeft" activeCell="AL30" sqref="AL30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74" t="str">
        <f>+[1]Summary!A2</f>
        <v>Name of the Line: 220KV DC AL59 line from Neemuch - Chanderiya + 132KV DC ACSS Line from Chanderiya to Hindustan Zinc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875"/>
      <c r="AD1" s="875"/>
      <c r="AE1" s="875"/>
      <c r="AF1" s="875"/>
      <c r="AG1" s="875"/>
      <c r="AH1" s="875"/>
      <c r="AI1" s="875"/>
      <c r="AJ1" s="875"/>
      <c r="AK1" s="875"/>
      <c r="AL1" s="875"/>
      <c r="AM1" s="875"/>
      <c r="AN1" s="875"/>
      <c r="AO1" s="875"/>
      <c r="AP1" s="875"/>
      <c r="AQ1" s="876"/>
      <c r="AS1" s="753">
        <f>Summary!R5</f>
        <v>46154</v>
      </c>
      <c r="AT1" s="753"/>
      <c r="AU1" s="753"/>
      <c r="AV1" s="753"/>
      <c r="AW1" s="753"/>
      <c r="AX1" s="753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77" t="s">
        <v>620</v>
      </c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480"/>
      <c r="AC2" s="307"/>
      <c r="AD2" s="307"/>
      <c r="AE2" s="307"/>
      <c r="AF2" s="307"/>
      <c r="AG2" s="307"/>
      <c r="AH2" s="480"/>
      <c r="AI2" s="307"/>
      <c r="AJ2" s="307"/>
      <c r="AK2" s="878" t="s">
        <v>26</v>
      </c>
      <c r="AL2" s="878"/>
      <c r="AM2" s="878"/>
      <c r="AN2" s="885">
        <f>AS1</f>
        <v>46154</v>
      </c>
      <c r="AO2" s="885"/>
      <c r="AP2" s="885"/>
      <c r="AQ2" s="886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79" t="s">
        <v>759</v>
      </c>
      <c r="I4" s="880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81"/>
      <c r="I5" s="882"/>
      <c r="J5" s="553"/>
      <c r="K5" s="873"/>
      <c r="L5" s="873"/>
      <c r="M5" s="553"/>
      <c r="N5" s="873"/>
      <c r="O5" s="873"/>
      <c r="P5" s="553"/>
      <c r="Q5" s="873"/>
      <c r="R5" s="873"/>
      <c r="S5" s="553"/>
      <c r="T5" s="873"/>
      <c r="U5" s="873"/>
      <c r="V5" s="553"/>
      <c r="W5" s="873"/>
      <c r="X5" s="873"/>
      <c r="Y5" s="553"/>
      <c r="Z5" s="819"/>
      <c r="AA5" s="819"/>
      <c r="AB5" s="553"/>
      <c r="AC5" s="873"/>
      <c r="AD5" s="873"/>
      <c r="AE5" s="556"/>
      <c r="AF5" s="873"/>
      <c r="AG5" s="873"/>
      <c r="AH5" s="553"/>
      <c r="AI5" s="873"/>
      <c r="AJ5" s="873"/>
      <c r="AK5" s="553"/>
      <c r="AL5" s="873"/>
      <c r="AM5" s="873"/>
      <c r="AN5" s="553"/>
      <c r="AO5" s="873"/>
      <c r="AP5" s="873"/>
      <c r="AQ5" s="557"/>
    </row>
    <row r="6" spans="1:60" ht="15.75" customHeight="1">
      <c r="A6" s="381"/>
      <c r="B6" s="579"/>
      <c r="C6" s="579"/>
      <c r="D6" s="579"/>
      <c r="G6" s="558"/>
      <c r="H6" s="881"/>
      <c r="I6" s="882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83"/>
      <c r="I7" s="884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92"/>
      <c r="C8" s="692"/>
      <c r="D8" s="482"/>
      <c r="E8" s="692"/>
      <c r="F8" s="692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19"/>
      <c r="AG8" s="819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92"/>
      <c r="C9" s="692"/>
      <c r="D9" s="481"/>
      <c r="E9" s="692"/>
      <c r="F9" s="692"/>
      <c r="G9" s="555"/>
      <c r="H9" s="822"/>
      <c r="I9" s="822"/>
      <c r="J9" s="551"/>
      <c r="K9" s="822" t="s">
        <v>758</v>
      </c>
      <c r="L9" s="822"/>
      <c r="M9" s="551"/>
      <c r="N9" s="822" t="s">
        <v>757</v>
      </c>
      <c r="O9" s="822"/>
      <c r="P9" s="551"/>
      <c r="Q9" s="822" t="s">
        <v>756</v>
      </c>
      <c r="R9" s="822"/>
      <c r="S9" s="551"/>
      <c r="T9" s="822" t="s">
        <v>755</v>
      </c>
      <c r="U9" s="822"/>
      <c r="V9" s="551"/>
      <c r="W9" s="822" t="s">
        <v>754</v>
      </c>
      <c r="X9" s="822"/>
      <c r="Y9" s="551"/>
      <c r="Z9" s="822" t="s">
        <v>753</v>
      </c>
      <c r="AA9" s="822"/>
      <c r="AB9" s="551"/>
      <c r="AC9" s="822" t="s">
        <v>752</v>
      </c>
      <c r="AD9" s="822"/>
      <c r="AE9" s="552"/>
      <c r="AF9" s="819" t="s">
        <v>735</v>
      </c>
      <c r="AG9" s="819"/>
      <c r="AH9" s="556"/>
      <c r="AI9" s="819" t="s">
        <v>711</v>
      </c>
      <c r="AJ9" s="819"/>
      <c r="AK9" s="556"/>
      <c r="AL9" s="819" t="s">
        <v>751</v>
      </c>
      <c r="AM9" s="819"/>
      <c r="AN9" s="556"/>
      <c r="AO9" s="819" t="s">
        <v>715</v>
      </c>
      <c r="AP9" s="819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23"/>
      <c r="I10" s="823"/>
      <c r="J10" s="566"/>
      <c r="K10" s="823"/>
      <c r="L10" s="823"/>
      <c r="M10" s="566"/>
      <c r="N10" s="823"/>
      <c r="O10" s="823"/>
      <c r="P10" s="566"/>
      <c r="Q10" s="823"/>
      <c r="R10" s="823"/>
      <c r="S10" s="566"/>
      <c r="T10" s="823"/>
      <c r="U10" s="823"/>
      <c r="V10" s="566"/>
      <c r="W10" s="823"/>
      <c r="X10" s="823"/>
      <c r="Y10" s="566"/>
      <c r="Z10" s="823"/>
      <c r="AA10" s="823"/>
      <c r="AB10" s="566"/>
      <c r="AC10" s="823"/>
      <c r="AD10" s="823"/>
      <c r="AE10" s="567"/>
      <c r="AF10" s="821" t="s">
        <v>54</v>
      </c>
      <c r="AG10" s="821"/>
      <c r="AH10" s="566"/>
      <c r="AI10" s="821" t="s">
        <v>54</v>
      </c>
      <c r="AJ10" s="821"/>
      <c r="AK10" s="566"/>
      <c r="AL10" s="821" t="s">
        <v>54</v>
      </c>
      <c r="AM10" s="821"/>
      <c r="AN10" s="566"/>
      <c r="AO10" s="821" t="s">
        <v>34</v>
      </c>
      <c r="AP10" s="821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12" t="s">
        <v>750</v>
      </c>
      <c r="F12" s="813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72"/>
      <c r="C13" s="873"/>
      <c r="D13" s="553"/>
      <c r="E13" s="814"/>
      <c r="F13" s="815"/>
      <c r="G13" s="553"/>
      <c r="H13" s="873"/>
      <c r="I13" s="873"/>
      <c r="J13" s="553"/>
      <c r="K13" s="873"/>
      <c r="L13" s="873"/>
      <c r="M13" s="553"/>
      <c r="N13" s="873"/>
      <c r="O13" s="873"/>
      <c r="P13" s="557"/>
      <c r="Q13" s="825"/>
      <c r="R13" s="825"/>
      <c r="S13" s="481"/>
      <c r="T13" s="825"/>
      <c r="U13" s="825"/>
      <c r="V13" s="481"/>
      <c r="W13" s="825"/>
      <c r="X13" s="825"/>
      <c r="Y13" s="481"/>
      <c r="Z13" s="825"/>
      <c r="AA13" s="825"/>
      <c r="AB13" s="481"/>
      <c r="AC13" s="692"/>
      <c r="AD13" s="692"/>
      <c r="AE13" s="309"/>
      <c r="AF13" s="825"/>
      <c r="AG13" s="825"/>
      <c r="AH13" s="481"/>
      <c r="AI13" s="825"/>
      <c r="AJ13" s="825"/>
      <c r="AK13" s="481"/>
      <c r="AL13" s="825"/>
      <c r="AM13" s="825"/>
      <c r="AN13" s="481"/>
      <c r="AO13" s="825"/>
      <c r="AP13" s="825"/>
      <c r="AQ13" s="490"/>
    </row>
    <row r="14" spans="1:60">
      <c r="A14" s="381"/>
      <c r="B14" s="534"/>
      <c r="C14" s="533"/>
      <c r="D14" s="559"/>
      <c r="E14" s="814"/>
      <c r="F14" s="815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16"/>
      <c r="F15" s="817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18" t="s">
        <v>716</v>
      </c>
      <c r="C17" s="819"/>
      <c r="D17" s="551"/>
      <c r="E17" s="552"/>
      <c r="F17" s="552"/>
      <c r="G17" s="551"/>
      <c r="H17" s="887" t="s">
        <v>38</v>
      </c>
      <c r="I17" s="887"/>
      <c r="J17" s="551"/>
      <c r="K17" s="819" t="s">
        <v>64</v>
      </c>
      <c r="L17" s="819"/>
      <c r="M17" s="551"/>
      <c r="N17" s="888" t="s">
        <v>344</v>
      </c>
      <c r="O17" s="888"/>
      <c r="P17" s="554"/>
      <c r="Q17" s="692" t="s">
        <v>67</v>
      </c>
      <c r="R17" s="692"/>
      <c r="T17" s="741" t="s">
        <v>310</v>
      </c>
      <c r="U17" s="741"/>
      <c r="W17" s="692" t="s">
        <v>69</v>
      </c>
      <c r="X17" s="692"/>
      <c r="Z17" s="870" t="s">
        <v>71</v>
      </c>
      <c r="AA17" s="741"/>
      <c r="AC17" s="870" t="s">
        <v>72</v>
      </c>
      <c r="AD17" s="741"/>
      <c r="AF17" s="870" t="s">
        <v>93</v>
      </c>
      <c r="AG17" s="692"/>
      <c r="AI17" s="741" t="s">
        <v>104</v>
      </c>
      <c r="AJ17" s="692"/>
      <c r="AL17" s="870" t="s">
        <v>697</v>
      </c>
      <c r="AM17" s="692"/>
      <c r="AO17" s="741" t="s">
        <v>698</v>
      </c>
      <c r="AP17" s="692"/>
    </row>
    <row r="18" spans="1:50" ht="15.75" thickBot="1">
      <c r="A18" s="381"/>
      <c r="B18" s="820" t="s">
        <v>34</v>
      </c>
      <c r="C18" s="821"/>
      <c r="D18" s="577"/>
      <c r="E18" s="568"/>
      <c r="F18" s="568"/>
      <c r="G18" s="577"/>
      <c r="H18" s="821" t="s">
        <v>34</v>
      </c>
      <c r="I18" s="821"/>
      <c r="J18" s="577"/>
      <c r="K18" s="821" t="s">
        <v>34</v>
      </c>
      <c r="L18" s="821"/>
      <c r="M18" s="577"/>
      <c r="N18" s="821" t="s">
        <v>62</v>
      </c>
      <c r="O18" s="821"/>
      <c r="P18" s="578"/>
      <c r="Q18" s="692" t="s">
        <v>34</v>
      </c>
      <c r="R18" s="692"/>
      <c r="S18" s="481"/>
      <c r="T18" s="692" t="s">
        <v>37</v>
      </c>
      <c r="U18" s="692"/>
      <c r="V18" s="481"/>
      <c r="W18" s="692" t="s">
        <v>34</v>
      </c>
      <c r="X18" s="692"/>
      <c r="Y18" s="481"/>
      <c r="Z18" s="692" t="s">
        <v>626</v>
      </c>
      <c r="AA18" s="692"/>
      <c r="AB18" s="481"/>
      <c r="AC18" s="692" t="s">
        <v>626</v>
      </c>
      <c r="AD18" s="692"/>
      <c r="AE18" s="309"/>
      <c r="AF18" s="692" t="s">
        <v>34</v>
      </c>
      <c r="AG18" s="692"/>
      <c r="AH18" s="481"/>
      <c r="AI18" s="692" t="s">
        <v>51</v>
      </c>
      <c r="AJ18" s="692"/>
      <c r="AK18" s="481"/>
      <c r="AL18" s="692" t="s">
        <v>56</v>
      </c>
      <c r="AM18" s="692"/>
      <c r="AN18" s="481"/>
      <c r="AO18" s="692" t="s">
        <v>56</v>
      </c>
      <c r="AP18" s="692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25"/>
      <c r="C21" s="825"/>
      <c r="D21" s="481"/>
      <c r="E21" s="825"/>
      <c r="F21" s="825"/>
      <c r="G21" s="481"/>
      <c r="H21" s="825"/>
      <c r="I21" s="825"/>
      <c r="J21" s="481"/>
      <c r="K21" s="825"/>
      <c r="L21" s="825"/>
      <c r="M21" s="481"/>
      <c r="N21" s="825"/>
      <c r="O21" s="825"/>
      <c r="P21" s="481"/>
      <c r="Q21" s="825"/>
      <c r="R21" s="825"/>
      <c r="S21" s="481"/>
      <c r="T21" s="825"/>
      <c r="U21" s="825"/>
      <c r="V21" s="481"/>
      <c r="W21" s="825"/>
      <c r="X21" s="825"/>
      <c r="Y21" s="481"/>
      <c r="Z21" s="692"/>
      <c r="AA21" s="692"/>
      <c r="AB21" s="481"/>
      <c r="AC21" s="692"/>
      <c r="AD21" s="692"/>
      <c r="AE21" s="309"/>
      <c r="AF21" s="692"/>
      <c r="AG21" s="692"/>
      <c r="AH21" s="481"/>
      <c r="AI21" s="692"/>
      <c r="AJ21" s="692"/>
      <c r="AK21" s="481"/>
      <c r="AL21" s="692"/>
      <c r="AM21" s="692"/>
      <c r="AN21" s="481"/>
      <c r="AO21" s="692"/>
      <c r="AP21" s="692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((SUM(D24:AQ24))-(S24+V24+AN24))/1000</f>
        <v>2.4902499999999996</v>
      </c>
      <c r="AX22" s="291">
        <f>((SUM(D24:AQ24))-(S24+V24+AN24))/1000</f>
        <v>2.4902499999999996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24"/>
      <c r="AD24" s="824"/>
      <c r="AE24" s="376">
        <v>48.42</v>
      </c>
      <c r="AF24" s="824"/>
      <c r="AG24" s="824"/>
      <c r="AH24" s="483">
        <v>58.24</v>
      </c>
      <c r="AI24" s="824"/>
      <c r="AJ24" s="824"/>
      <c r="AK24" s="483">
        <v>70.13</v>
      </c>
      <c r="AL24" s="824"/>
      <c r="AM24" s="824"/>
      <c r="AN24" s="483">
        <v>220.7</v>
      </c>
      <c r="AO24" s="824"/>
      <c r="AP24" s="824"/>
      <c r="AQ24" s="492">
        <v>262.95</v>
      </c>
    </row>
    <row r="25" spans="1:50">
      <c r="A25" s="381"/>
      <c r="B25" s="741" t="s">
        <v>699</v>
      </c>
      <c r="C25" s="692"/>
      <c r="E25" s="741" t="s">
        <v>700</v>
      </c>
      <c r="F25" s="692"/>
      <c r="H25" s="741" t="s">
        <v>106</v>
      </c>
      <c r="I25" s="692"/>
      <c r="K25" s="871" t="s">
        <v>111</v>
      </c>
      <c r="L25" s="692"/>
      <c r="N25" s="741" t="s">
        <v>320</v>
      </c>
      <c r="O25" s="692"/>
      <c r="Q25" s="692" t="s">
        <v>322</v>
      </c>
      <c r="R25" s="692"/>
      <c r="T25" s="309" t="s">
        <v>324</v>
      </c>
      <c r="U25" s="309"/>
      <c r="W25" s="741" t="s">
        <v>326</v>
      </c>
      <c r="X25" s="741"/>
      <c r="Z25" s="741" t="s">
        <v>328</v>
      </c>
      <c r="AA25" s="741"/>
      <c r="AC25" s="692" t="s">
        <v>329</v>
      </c>
      <c r="AD25" s="692"/>
      <c r="AF25" s="741" t="s">
        <v>167</v>
      </c>
      <c r="AG25" s="741"/>
      <c r="AI25" s="741" t="s">
        <v>331</v>
      </c>
      <c r="AJ25" s="741"/>
      <c r="AL25" s="692" t="s">
        <v>332</v>
      </c>
      <c r="AM25" s="692"/>
      <c r="AO25" s="692" t="s">
        <v>334</v>
      </c>
      <c r="AP25" s="692"/>
    </row>
    <row r="26" spans="1:50">
      <c r="A26" s="381"/>
      <c r="B26" s="692" t="s">
        <v>37</v>
      </c>
      <c r="C26" s="692"/>
      <c r="D26" s="481"/>
      <c r="E26" s="692" t="s">
        <v>42</v>
      </c>
      <c r="F26" s="692"/>
      <c r="G26" s="481"/>
      <c r="H26" s="692" t="s">
        <v>34</v>
      </c>
      <c r="I26" s="692"/>
      <c r="J26" s="481"/>
      <c r="K26" s="692" t="s">
        <v>51</v>
      </c>
      <c r="L26" s="692"/>
      <c r="M26" s="481"/>
      <c r="N26" s="692" t="s">
        <v>51</v>
      </c>
      <c r="O26" s="692"/>
      <c r="P26" s="481"/>
      <c r="Q26" s="692" t="s">
        <v>62</v>
      </c>
      <c r="R26" s="692"/>
      <c r="S26" s="481"/>
      <c r="T26" s="692" t="s">
        <v>62</v>
      </c>
      <c r="U26" s="692"/>
      <c r="V26" s="481"/>
      <c r="W26" s="692" t="s">
        <v>34</v>
      </c>
      <c r="X26" s="692"/>
      <c r="Y26" s="481"/>
      <c r="Z26" s="692" t="s">
        <v>37</v>
      </c>
      <c r="AA26" s="692"/>
      <c r="AB26" s="481"/>
      <c r="AC26" s="692" t="s">
        <v>34</v>
      </c>
      <c r="AD26" s="692"/>
      <c r="AE26" s="309"/>
      <c r="AF26" s="692" t="s">
        <v>626</v>
      </c>
      <c r="AG26" s="692"/>
      <c r="AH26" s="481"/>
      <c r="AI26" s="692" t="s">
        <v>626</v>
      </c>
      <c r="AJ26" s="692"/>
      <c r="AK26" s="481"/>
      <c r="AL26" s="692" t="s">
        <v>62</v>
      </c>
      <c r="AM26" s="692"/>
      <c r="AN26" s="481"/>
      <c r="AO26" s="692" t="s">
        <v>51</v>
      </c>
      <c r="AP26" s="692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03" t="s">
        <v>745</v>
      </c>
      <c r="AA29" s="804"/>
      <c r="AB29" s="805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06"/>
      <c r="AA30" s="807"/>
      <c r="AB30" s="808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09"/>
      <c r="AA31" s="810"/>
      <c r="AB31" s="811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70" t="s">
        <v>181</v>
      </c>
      <c r="C33" s="870"/>
      <c r="D33" s="285"/>
      <c r="E33" s="741" t="s">
        <v>182</v>
      </c>
      <c r="F33" s="741"/>
      <c r="G33" s="285"/>
      <c r="H33" s="741" t="s">
        <v>183</v>
      </c>
      <c r="I33" s="741"/>
      <c r="J33" s="285"/>
      <c r="K33" s="741" t="s">
        <v>336</v>
      </c>
      <c r="L33" s="741"/>
      <c r="M33" s="285"/>
      <c r="N33" s="741" t="s">
        <v>192</v>
      </c>
      <c r="O33" s="741"/>
      <c r="P33" s="285"/>
      <c r="Q33" s="741" t="s">
        <v>193</v>
      </c>
      <c r="R33" s="741"/>
      <c r="S33" s="285"/>
      <c r="T33" s="692" t="s">
        <v>338</v>
      </c>
      <c r="U33" s="692"/>
      <c r="V33" s="285"/>
      <c r="W33" s="692" t="s">
        <v>340</v>
      </c>
      <c r="X33" s="692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92" t="s">
        <v>42</v>
      </c>
      <c r="C34" s="692"/>
      <c r="D34" s="481"/>
      <c r="E34" s="692" t="s">
        <v>42</v>
      </c>
      <c r="F34" s="692"/>
      <c r="G34" s="481"/>
      <c r="H34" s="309" t="s">
        <v>42</v>
      </c>
      <c r="I34" s="309"/>
      <c r="J34" s="481"/>
      <c r="K34" s="692" t="s">
        <v>34</v>
      </c>
      <c r="L34" s="692"/>
      <c r="M34" s="481"/>
      <c r="N34" s="692" t="s">
        <v>626</v>
      </c>
      <c r="O34" s="692"/>
      <c r="P34" s="481"/>
      <c r="Q34" s="692" t="s">
        <v>626</v>
      </c>
      <c r="R34" s="692"/>
      <c r="S34" s="481"/>
      <c r="T34" s="692" t="s">
        <v>34</v>
      </c>
      <c r="U34" s="692"/>
      <c r="V34" s="481"/>
      <c r="W34" s="692" t="s">
        <v>627</v>
      </c>
      <c r="X34" s="692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5.4793459999999996</v>
      </c>
      <c r="AX36" s="496">
        <f t="shared" si="0"/>
        <v>5.4793459999999996</v>
      </c>
    </row>
    <row r="37" spans="1:50" ht="15.75" customHeight="1" thickBot="1">
      <c r="A37" s="380"/>
      <c r="B37" s="864" t="s">
        <v>628</v>
      </c>
      <c r="C37" s="865"/>
      <c r="D37" s="865"/>
      <c r="E37" s="865"/>
      <c r="F37" s="865"/>
      <c r="G37" s="865"/>
      <c r="H37" s="865"/>
      <c r="I37" s="865"/>
      <c r="J37" s="865"/>
      <c r="K37" s="865"/>
      <c r="L37" s="866"/>
      <c r="N37" s="864" t="s">
        <v>629</v>
      </c>
      <c r="O37" s="865"/>
      <c r="P37" s="865"/>
      <c r="Q37" s="865"/>
      <c r="R37" s="865"/>
      <c r="S37" s="865"/>
      <c r="T37" s="865"/>
      <c r="U37" s="865"/>
      <c r="V37" s="866"/>
      <c r="W37" s="847" t="s">
        <v>630</v>
      </c>
      <c r="X37" s="848"/>
      <c r="Y37" s="848"/>
      <c r="Z37" s="848"/>
      <c r="AA37" s="848"/>
      <c r="AB37" s="848"/>
      <c r="AC37" s="848"/>
      <c r="AD37" s="848"/>
      <c r="AE37" s="848"/>
      <c r="AF37" s="848"/>
      <c r="AG37" s="848"/>
      <c r="AH37" s="848"/>
      <c r="AI37" s="848"/>
      <c r="AJ37" s="848"/>
      <c r="AK37" s="848"/>
      <c r="AL37" s="848"/>
      <c r="AM37" s="848"/>
      <c r="AN37" s="851" t="s">
        <v>354</v>
      </c>
      <c r="AO37" s="851"/>
      <c r="AP37" s="851"/>
      <c r="AQ37" s="852"/>
    </row>
    <row r="38" spans="1:50" ht="15" customHeight="1">
      <c r="A38" s="380"/>
      <c r="B38" s="380"/>
      <c r="O38" s="538"/>
      <c r="V38" s="487"/>
      <c r="W38" s="849"/>
      <c r="X38" s="850"/>
      <c r="Y38" s="850"/>
      <c r="Z38" s="850"/>
      <c r="AA38" s="850"/>
      <c r="AB38" s="850"/>
      <c r="AC38" s="850"/>
      <c r="AD38" s="850"/>
      <c r="AE38" s="850"/>
      <c r="AF38" s="850"/>
      <c r="AG38" s="850"/>
      <c r="AH38" s="850"/>
      <c r="AI38" s="850"/>
      <c r="AJ38" s="850"/>
      <c r="AK38" s="850"/>
      <c r="AL38" s="850"/>
      <c r="AM38" s="850"/>
      <c r="AN38" s="853">
        <f>AS1</f>
        <v>46154</v>
      </c>
      <c r="AO38" s="853"/>
      <c r="AP38" s="853"/>
      <c r="AQ38" s="854"/>
    </row>
    <row r="39" spans="1:50">
      <c r="A39" s="380"/>
      <c r="B39" s="867" t="s">
        <v>471</v>
      </c>
      <c r="C39" s="868"/>
      <c r="D39" s="869"/>
      <c r="F39" s="777" t="s">
        <v>631</v>
      </c>
      <c r="G39" s="777"/>
      <c r="I39" s="777" t="s">
        <v>632</v>
      </c>
      <c r="J39" s="777"/>
      <c r="N39" s="779" t="s">
        <v>633</v>
      </c>
      <c r="O39" s="779"/>
      <c r="P39" s="830"/>
      <c r="R39" s="787" t="s">
        <v>634</v>
      </c>
      <c r="S39" s="788"/>
      <c r="T39" s="787"/>
      <c r="U39" s="788"/>
      <c r="V39" s="487"/>
      <c r="W39" s="855" t="s">
        <v>2</v>
      </c>
      <c r="X39" s="764"/>
      <c r="Y39" s="764" t="s">
        <v>356</v>
      </c>
      <c r="Z39" s="764"/>
      <c r="AA39" s="764"/>
      <c r="AB39" s="764"/>
      <c r="AC39" s="764" t="s">
        <v>635</v>
      </c>
      <c r="AD39" s="764"/>
      <c r="AE39" s="764" t="s">
        <v>636</v>
      </c>
      <c r="AF39" s="764"/>
      <c r="AG39" s="764"/>
      <c r="AH39" s="764" t="s">
        <v>32</v>
      </c>
      <c r="AI39" s="764"/>
      <c r="AJ39" s="764"/>
      <c r="AK39" s="764" t="s">
        <v>372</v>
      </c>
      <c r="AL39" s="764"/>
      <c r="AM39" s="764"/>
      <c r="AN39" s="764" t="s">
        <v>15</v>
      </c>
      <c r="AO39" s="764"/>
      <c r="AP39" s="764"/>
      <c r="AQ39" s="769"/>
    </row>
    <row r="40" spans="1:50">
      <c r="A40" s="380"/>
      <c r="B40" s="380"/>
      <c r="N40" s="779"/>
      <c r="O40" s="779"/>
      <c r="P40" s="830"/>
      <c r="R40" s="789"/>
      <c r="S40" s="790"/>
      <c r="T40" s="789"/>
      <c r="U40" s="790"/>
      <c r="V40" s="487"/>
      <c r="W40" s="831">
        <v>1</v>
      </c>
      <c r="X40" s="758"/>
      <c r="Y40" s="758" t="s">
        <v>376</v>
      </c>
      <c r="Z40" s="758"/>
      <c r="AA40" s="758"/>
      <c r="AB40" s="758"/>
      <c r="AC40" s="758" t="s">
        <v>377</v>
      </c>
      <c r="AD40" s="758"/>
      <c r="AE40" s="841">
        <v>9.23</v>
      </c>
      <c r="AF40" s="842"/>
      <c r="AG40" s="843"/>
      <c r="AH40" s="841">
        <v>9.23</v>
      </c>
      <c r="AI40" s="842"/>
      <c r="AJ40" s="843"/>
      <c r="AK40" s="758">
        <f t="shared" ref="AK40:AK48" si="1">AE40-AH40</f>
        <v>0</v>
      </c>
      <c r="AL40" s="758"/>
      <c r="AM40" s="758"/>
      <c r="AN40" s="758"/>
      <c r="AO40" s="758"/>
      <c r="AP40" s="758"/>
      <c r="AQ40" s="760"/>
    </row>
    <row r="41" spans="1:50">
      <c r="A41" s="380"/>
      <c r="B41" s="860" t="s">
        <v>469</v>
      </c>
      <c r="C41" s="861"/>
      <c r="D41" s="862"/>
      <c r="N41" s="779" t="s">
        <v>637</v>
      </c>
      <c r="O41" s="779"/>
      <c r="P41" s="830"/>
      <c r="R41" s="789"/>
      <c r="S41" s="790"/>
      <c r="T41" s="789"/>
      <c r="U41" s="790"/>
      <c r="V41" s="487"/>
      <c r="W41" s="831">
        <v>2</v>
      </c>
      <c r="X41" s="758"/>
      <c r="Y41" s="758" t="s">
        <v>378</v>
      </c>
      <c r="Z41" s="758"/>
      <c r="AA41" s="758"/>
      <c r="AB41" s="758"/>
      <c r="AC41" s="758" t="s">
        <v>377</v>
      </c>
      <c r="AD41" s="758"/>
      <c r="AE41" s="841">
        <v>9.23</v>
      </c>
      <c r="AF41" s="842"/>
      <c r="AG41" s="843"/>
      <c r="AH41" s="841">
        <v>9.23</v>
      </c>
      <c r="AI41" s="842"/>
      <c r="AJ41" s="843"/>
      <c r="AK41" s="758">
        <f t="shared" si="1"/>
        <v>0</v>
      </c>
      <c r="AL41" s="758"/>
      <c r="AM41" s="758"/>
      <c r="AN41" s="758"/>
      <c r="AO41" s="758"/>
      <c r="AP41" s="758"/>
      <c r="AQ41" s="760"/>
    </row>
    <row r="42" spans="1:50">
      <c r="A42" s="380"/>
      <c r="B42" s="380"/>
      <c r="N42" s="779"/>
      <c r="O42" s="779"/>
      <c r="P42" s="830"/>
      <c r="R42" s="791"/>
      <c r="S42" s="792"/>
      <c r="T42" s="791"/>
      <c r="U42" s="792"/>
      <c r="V42" s="487"/>
      <c r="W42" s="831">
        <v>3</v>
      </c>
      <c r="X42" s="758"/>
      <c r="Y42" s="758" t="s">
        <v>379</v>
      </c>
      <c r="Z42" s="758"/>
      <c r="AA42" s="758"/>
      <c r="AB42" s="758"/>
      <c r="AC42" s="758" t="s">
        <v>638</v>
      </c>
      <c r="AD42" s="758"/>
      <c r="AE42" s="758">
        <v>39</v>
      </c>
      <c r="AF42" s="758"/>
      <c r="AG42" s="758"/>
      <c r="AH42" s="758">
        <f>+AS36</f>
        <v>34</v>
      </c>
      <c r="AI42" s="758"/>
      <c r="AJ42" s="758"/>
      <c r="AK42" s="758">
        <f t="shared" si="1"/>
        <v>5</v>
      </c>
      <c r="AL42" s="758"/>
      <c r="AM42" s="758"/>
      <c r="AN42" s="758"/>
      <c r="AO42" s="758"/>
      <c r="AP42" s="758"/>
      <c r="AQ42" s="760"/>
    </row>
    <row r="43" spans="1:50">
      <c r="A43" s="380"/>
      <c r="B43" s="380"/>
      <c r="E43" s="859"/>
      <c r="F43" s="859"/>
      <c r="H43" s="863"/>
      <c r="I43" s="863"/>
      <c r="K43" s="859"/>
      <c r="L43" s="859"/>
      <c r="N43" s="779" t="s">
        <v>639</v>
      </c>
      <c r="O43" s="779"/>
      <c r="P43" s="830"/>
      <c r="R43" s="787" t="s">
        <v>452</v>
      </c>
      <c r="S43" s="788"/>
      <c r="T43" s="787"/>
      <c r="U43" s="788"/>
      <c r="V43" s="487"/>
      <c r="W43" s="831">
        <v>4</v>
      </c>
      <c r="X43" s="758"/>
      <c r="Y43" s="758" t="s">
        <v>381</v>
      </c>
      <c r="Z43" s="758"/>
      <c r="AA43" s="758"/>
      <c r="AB43" s="758"/>
      <c r="AC43" s="758" t="s">
        <v>638</v>
      </c>
      <c r="AD43" s="758"/>
      <c r="AE43" s="758">
        <v>39</v>
      </c>
      <c r="AF43" s="758"/>
      <c r="AG43" s="758"/>
      <c r="AH43" s="758">
        <f>+AT36</f>
        <v>34</v>
      </c>
      <c r="AI43" s="758"/>
      <c r="AJ43" s="758"/>
      <c r="AK43" s="758">
        <f t="shared" si="1"/>
        <v>5</v>
      </c>
      <c r="AL43" s="758"/>
      <c r="AM43" s="758"/>
      <c r="AN43" s="758"/>
      <c r="AO43" s="758"/>
      <c r="AP43" s="758"/>
      <c r="AQ43" s="760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79"/>
      <c r="O44" s="779"/>
      <c r="P44" s="830"/>
      <c r="R44" s="789"/>
      <c r="S44" s="790"/>
      <c r="T44" s="789"/>
      <c r="U44" s="790"/>
      <c r="V44" s="487"/>
      <c r="W44" s="831">
        <v>5</v>
      </c>
      <c r="X44" s="758"/>
      <c r="Y44" s="758" t="s">
        <v>469</v>
      </c>
      <c r="Z44" s="758"/>
      <c r="AA44" s="758"/>
      <c r="AB44" s="758"/>
      <c r="AC44" s="758" t="s">
        <v>638</v>
      </c>
      <c r="AD44" s="758"/>
      <c r="AE44" s="758">
        <v>39</v>
      </c>
      <c r="AF44" s="758"/>
      <c r="AG44" s="758"/>
      <c r="AH44" s="758">
        <f>+AU36</f>
        <v>31</v>
      </c>
      <c r="AI44" s="758"/>
      <c r="AJ44" s="758"/>
      <c r="AK44" s="758">
        <f t="shared" si="1"/>
        <v>8</v>
      </c>
      <c r="AL44" s="758"/>
      <c r="AM44" s="758"/>
      <c r="AN44" s="758"/>
      <c r="AO44" s="758"/>
      <c r="AP44" s="758"/>
      <c r="AQ44" s="760"/>
    </row>
    <row r="45" spans="1:50">
      <c r="A45" s="380"/>
      <c r="B45" s="856" t="s">
        <v>379</v>
      </c>
      <c r="C45" s="857"/>
      <c r="D45" s="858"/>
      <c r="E45" s="388"/>
      <c r="F45" s="388"/>
      <c r="G45" s="539"/>
      <c r="H45" s="291"/>
      <c r="I45" s="291"/>
      <c r="K45" s="378"/>
      <c r="L45" s="291"/>
      <c r="M45" s="539"/>
      <c r="N45" s="779" t="s">
        <v>640</v>
      </c>
      <c r="O45" s="779"/>
      <c r="P45" s="830"/>
      <c r="R45" s="789"/>
      <c r="S45" s="790"/>
      <c r="T45" s="789"/>
      <c r="U45" s="790"/>
      <c r="V45" s="487"/>
      <c r="W45" s="831">
        <v>6</v>
      </c>
      <c r="X45" s="758"/>
      <c r="Y45" s="758" t="s">
        <v>641</v>
      </c>
      <c r="Z45" s="758"/>
      <c r="AA45" s="758"/>
      <c r="AB45" s="758"/>
      <c r="AC45" s="758" t="s">
        <v>638</v>
      </c>
      <c r="AD45" s="758"/>
      <c r="AE45" s="758">
        <v>39</v>
      </c>
      <c r="AF45" s="758"/>
      <c r="AG45" s="758"/>
      <c r="AH45" s="758">
        <f>+AV36</f>
        <v>29</v>
      </c>
      <c r="AI45" s="758"/>
      <c r="AJ45" s="758"/>
      <c r="AK45" s="758">
        <f t="shared" si="1"/>
        <v>10</v>
      </c>
      <c r="AL45" s="758"/>
      <c r="AM45" s="758"/>
      <c r="AN45" s="759"/>
      <c r="AO45" s="844"/>
      <c r="AP45" s="844"/>
      <c r="AQ45" s="845"/>
    </row>
    <row r="46" spans="1:50">
      <c r="A46" s="380"/>
      <c r="B46" s="385" t="s">
        <v>642</v>
      </c>
      <c r="C46" s="386"/>
      <c r="E46" s="826" t="s">
        <v>38</v>
      </c>
      <c r="F46" s="826"/>
      <c r="G46" s="540">
        <v>293</v>
      </c>
      <c r="H46" s="827" t="s">
        <v>41</v>
      </c>
      <c r="I46" s="826"/>
      <c r="J46" s="541">
        <v>391</v>
      </c>
      <c r="K46" s="828" t="s">
        <v>45</v>
      </c>
      <c r="L46" s="829"/>
      <c r="M46" s="539"/>
      <c r="N46" s="779"/>
      <c r="O46" s="779"/>
      <c r="P46" s="830"/>
      <c r="R46" s="791"/>
      <c r="S46" s="792"/>
      <c r="T46" s="791"/>
      <c r="U46" s="792"/>
      <c r="V46" s="487"/>
      <c r="W46" s="831">
        <v>7</v>
      </c>
      <c r="X46" s="758"/>
      <c r="Y46" s="758" t="s">
        <v>643</v>
      </c>
      <c r="Z46" s="758"/>
      <c r="AA46" s="758"/>
      <c r="AB46" s="758"/>
      <c r="AC46" s="758" t="s">
        <v>377</v>
      </c>
      <c r="AD46" s="758"/>
      <c r="AE46" s="841">
        <v>9.23</v>
      </c>
      <c r="AF46" s="842"/>
      <c r="AG46" s="843"/>
      <c r="AH46" s="846">
        <f>+AX36</f>
        <v>5.4793459999999996</v>
      </c>
      <c r="AI46" s="846"/>
      <c r="AJ46" s="846"/>
      <c r="AK46" s="770">
        <f t="shared" si="1"/>
        <v>3.7506540000000008</v>
      </c>
      <c r="AL46" s="770"/>
      <c r="AM46" s="770"/>
      <c r="AN46" s="758"/>
      <c r="AO46" s="758"/>
      <c r="AP46" s="758"/>
      <c r="AQ46" s="760"/>
    </row>
    <row r="47" spans="1:50">
      <c r="A47" s="380"/>
      <c r="B47" s="385" t="s">
        <v>399</v>
      </c>
      <c r="C47" s="386"/>
      <c r="E47" s="833" t="s">
        <v>39</v>
      </c>
      <c r="F47" s="833"/>
      <c r="H47" s="833" t="s">
        <v>37</v>
      </c>
      <c r="I47" s="833"/>
      <c r="J47" s="541"/>
      <c r="K47" s="834" t="s">
        <v>46</v>
      </c>
      <c r="L47" s="835"/>
      <c r="M47" s="539"/>
      <c r="N47" s="779" t="s">
        <v>644</v>
      </c>
      <c r="O47" s="779"/>
      <c r="P47" s="830"/>
      <c r="R47" s="700" t="s">
        <v>438</v>
      </c>
      <c r="S47" s="700"/>
      <c r="T47" s="712"/>
      <c r="U47" s="712"/>
      <c r="V47" s="487"/>
      <c r="W47" s="831">
        <v>8</v>
      </c>
      <c r="X47" s="758"/>
      <c r="Y47" s="758" t="s">
        <v>645</v>
      </c>
      <c r="Z47" s="758"/>
      <c r="AA47" s="758"/>
      <c r="AB47" s="758"/>
      <c r="AC47" s="758" t="s">
        <v>377</v>
      </c>
      <c r="AD47" s="758"/>
      <c r="AE47" s="841">
        <v>9.23</v>
      </c>
      <c r="AF47" s="842"/>
      <c r="AG47" s="843"/>
      <c r="AH47" s="761">
        <f>AX36</f>
        <v>5.4793459999999996</v>
      </c>
      <c r="AI47" s="758"/>
      <c r="AJ47" s="758"/>
      <c r="AK47" s="770">
        <f t="shared" si="1"/>
        <v>3.7506540000000008</v>
      </c>
      <c r="AL47" s="770"/>
      <c r="AM47" s="770"/>
      <c r="AN47" s="758"/>
      <c r="AO47" s="758"/>
      <c r="AP47" s="758"/>
      <c r="AQ47" s="760"/>
    </row>
    <row r="48" spans="1:50" ht="15.75" thickBot="1">
      <c r="A48" s="389"/>
      <c r="B48" s="389"/>
      <c r="C48" s="287"/>
      <c r="D48" s="484"/>
      <c r="E48" s="287"/>
      <c r="F48" s="778" t="s">
        <v>381</v>
      </c>
      <c r="G48" s="778"/>
      <c r="H48" s="287"/>
      <c r="I48" s="287"/>
      <c r="J48" s="778" t="s">
        <v>646</v>
      </c>
      <c r="K48" s="778"/>
      <c r="L48" s="778"/>
      <c r="M48" s="484"/>
      <c r="N48" s="780"/>
      <c r="O48" s="780"/>
      <c r="P48" s="836"/>
      <c r="Q48" s="287"/>
      <c r="R48" s="701"/>
      <c r="S48" s="701"/>
      <c r="T48" s="786"/>
      <c r="U48" s="786"/>
      <c r="V48" s="488"/>
      <c r="W48" s="832">
        <v>9</v>
      </c>
      <c r="X48" s="771"/>
      <c r="Y48" s="771" t="s">
        <v>390</v>
      </c>
      <c r="Z48" s="771"/>
      <c r="AA48" s="771"/>
      <c r="AB48" s="771"/>
      <c r="AC48" s="771" t="s">
        <v>377</v>
      </c>
      <c r="AD48" s="771"/>
      <c r="AE48" s="838">
        <v>9.23</v>
      </c>
      <c r="AF48" s="839"/>
      <c r="AG48" s="840"/>
      <c r="AH48" s="785">
        <f>+[1]Summary!M31</f>
        <v>0</v>
      </c>
      <c r="AI48" s="771"/>
      <c r="AJ48" s="771"/>
      <c r="AK48" s="771">
        <f t="shared" si="1"/>
        <v>9.23</v>
      </c>
      <c r="AL48" s="771"/>
      <c r="AM48" s="771"/>
      <c r="AN48" s="771"/>
      <c r="AO48" s="771"/>
      <c r="AP48" s="771"/>
      <c r="AQ48" s="773"/>
    </row>
    <row r="52" spans="34:35">
      <c r="AH52" s="837"/>
      <c r="AI52" s="837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3" workbookViewId="0">
      <selection activeCell="J35" sqref="J35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93" t="str">
        <f>+Summary!A2</f>
        <v>Name of the Line: 220KV DC AL59 line from Neemuch - Chanderiya + 132KV DC ACSS Line from Chanderiya to Hindustan Zinc</v>
      </c>
      <c r="B1" s="586"/>
      <c r="C1" s="586"/>
      <c r="D1" s="586"/>
      <c r="E1" s="586"/>
      <c r="F1" s="586"/>
      <c r="G1" s="586"/>
      <c r="H1" s="894"/>
    </row>
    <row r="2" spans="1:8" ht="14.25" customHeight="1">
      <c r="A2" s="895" t="s">
        <v>647</v>
      </c>
      <c r="B2" s="588"/>
      <c r="C2" s="588"/>
      <c r="D2" s="588"/>
      <c r="E2" s="588"/>
      <c r="F2" s="588"/>
      <c r="G2" s="589"/>
      <c r="H2" s="234">
        <f>+Summary!R5</f>
        <v>46154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92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90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90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90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90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90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91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92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90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90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90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91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95" t="s">
        <v>662</v>
      </c>
      <c r="B22" s="588"/>
      <c r="C22" s="588"/>
      <c r="D22" s="588"/>
      <c r="E22" s="588"/>
      <c r="F22" s="588"/>
      <c r="G22" s="589"/>
      <c r="H22" s="234">
        <f>+Summary!R5</f>
        <v>46154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89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90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91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92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90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91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workbookViewId="0">
      <selection activeCell="P1" sqref="P1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585" t="str">
        <f>+Summary!A5</f>
        <v>Progress of 220kV Line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250" t="s">
        <v>670</v>
      </c>
      <c r="P1" s="251">
        <f>+Summary!R5</f>
        <v>46154</v>
      </c>
      <c r="Q1" s="252"/>
      <c r="R1" s="252" t="s">
        <v>0</v>
      </c>
    </row>
    <row r="2" spans="1:18" ht="29.25" customHeight="1">
      <c r="A2" s="596" t="s">
        <v>355</v>
      </c>
      <c r="B2" s="598" t="s">
        <v>671</v>
      </c>
      <c r="C2" s="598" t="s">
        <v>357</v>
      </c>
      <c r="D2" s="599" t="s">
        <v>672</v>
      </c>
      <c r="E2" s="587" t="s">
        <v>673</v>
      </c>
      <c r="F2" s="589"/>
      <c r="G2" s="587" t="str">
        <f>+Summary!I6</f>
        <v>Progress of Current Month (May'26)</v>
      </c>
      <c r="H2" s="588"/>
      <c r="I2" s="589"/>
      <c r="J2" s="587" t="s">
        <v>361</v>
      </c>
      <c r="K2" s="588"/>
      <c r="L2" s="589"/>
      <c r="M2" s="587" t="str">
        <f>+Summary!O6</f>
        <v>Resources Status</v>
      </c>
      <c r="N2" s="588"/>
      <c r="O2" s="589"/>
      <c r="P2" s="590" t="s">
        <v>15</v>
      </c>
      <c r="Q2" s="252"/>
      <c r="R2" s="252"/>
    </row>
    <row r="3" spans="1:18" ht="12.75" customHeight="1">
      <c r="A3" s="597"/>
      <c r="B3" s="593"/>
      <c r="C3" s="593"/>
      <c r="D3" s="593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91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198</v>
      </c>
      <c r="L6" s="258">
        <f>+Summary!N10</f>
        <v>1</v>
      </c>
      <c r="M6" s="600">
        <f>Summary!O10</f>
        <v>1</v>
      </c>
      <c r="N6" s="600">
        <f>Summary!P10</f>
        <v>1</v>
      </c>
      <c r="O6" s="600">
        <f>Summary!Q10</f>
        <v>0</v>
      </c>
      <c r="P6" s="594" t="str">
        <f>+Summary!R10</f>
        <v>RCC underprogress of Location no. 35/0 
35/0 Excavation U/P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198</v>
      </c>
      <c r="L7" s="258">
        <f>+Summary!N11</f>
        <v>1</v>
      </c>
      <c r="M7" s="593"/>
      <c r="N7" s="593"/>
      <c r="O7" s="593"/>
      <c r="P7" s="595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1</v>
      </c>
      <c r="I8" s="259">
        <f>Summary!K12</f>
        <v>1</v>
      </c>
      <c r="J8" s="259">
        <f>+Summary!L12</f>
        <v>199</v>
      </c>
      <c r="K8" s="259">
        <f>+Summary!M12</f>
        <v>196</v>
      </c>
      <c r="L8" s="259">
        <f>+Summary!N12</f>
        <v>3</v>
      </c>
      <c r="M8" s="257">
        <f>+Summary!O12</f>
        <v>2</v>
      </c>
      <c r="N8" s="257">
        <f>+Summary!P12</f>
        <v>0</v>
      </c>
      <c r="O8" s="257">
        <f>+Summary!Q12</f>
        <v>2</v>
      </c>
      <c r="P8" s="265" t="str">
        <f>+Summary!R12</f>
        <v>33/0 erection completed and 33/1 erection U/P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82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584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583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4.0650000000000004</v>
      </c>
      <c r="I13" s="270">
        <f>+Summary!K17</f>
        <v>8.5273809999999841</v>
      </c>
      <c r="J13" s="270">
        <f>+Summary!L17</f>
        <v>64</v>
      </c>
      <c r="K13" s="498">
        <f>+Summary!M17</f>
        <v>62.249215999999983</v>
      </c>
      <c r="L13" s="270">
        <f>+Summary!N17</f>
        <v>1.7507840000000172</v>
      </c>
      <c r="M13" s="270">
        <f>+Summary!O17</f>
        <v>1</v>
      </c>
      <c r="N13" s="270">
        <f>+Summary!P17</f>
        <v>1</v>
      </c>
      <c r="O13" s="270">
        <f>+Summary!Q17</f>
        <v>0</v>
      </c>
      <c r="P13" s="405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>
      <c r="A15" s="585" t="str">
        <f>+Summary!A19</f>
        <v>Progress of 132kV Line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6"/>
      <c r="N15" s="586"/>
      <c r="O15" s="250" t="s">
        <v>670</v>
      </c>
      <c r="P15" s="251">
        <f>+Summary!R19</f>
        <v>46154</v>
      </c>
      <c r="Q15" s="252"/>
      <c r="R15" s="252"/>
    </row>
    <row r="16" spans="1:18" ht="28.5" customHeight="1">
      <c r="A16" s="596" t="s">
        <v>355</v>
      </c>
      <c r="B16" s="598" t="s">
        <v>671</v>
      </c>
      <c r="C16" s="598" t="s">
        <v>357</v>
      </c>
      <c r="D16" s="599" t="s">
        <v>672</v>
      </c>
      <c r="E16" s="587" t="s">
        <v>673</v>
      </c>
      <c r="F16" s="589"/>
      <c r="G16" s="587" t="str">
        <f>+Summary!I20</f>
        <v>Progress of Current Month (May'26)</v>
      </c>
      <c r="H16" s="588"/>
      <c r="I16" s="589"/>
      <c r="J16" s="587" t="s">
        <v>361</v>
      </c>
      <c r="K16" s="588"/>
      <c r="L16" s="589"/>
      <c r="M16" s="587" t="str">
        <f>+Summary!O20</f>
        <v>Resources Status</v>
      </c>
      <c r="N16" s="588"/>
      <c r="O16" s="589"/>
      <c r="P16" s="590" t="s">
        <v>15</v>
      </c>
      <c r="Q16" s="252"/>
      <c r="R16" s="252"/>
    </row>
    <row r="17" spans="1:16" ht="12.75" customHeight="1">
      <c r="A17" s="597"/>
      <c r="B17" s="593"/>
      <c r="C17" s="593"/>
      <c r="D17" s="593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91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1</v>
      </c>
      <c r="J20" s="259">
        <f>+Summary!L24</f>
        <v>39</v>
      </c>
      <c r="K20" s="258">
        <f t="shared" si="2"/>
        <v>35</v>
      </c>
      <c r="L20" s="258">
        <f>+Summary!N24</f>
        <v>4</v>
      </c>
      <c r="M20" s="592">
        <f>Summary!O24</f>
        <v>1</v>
      </c>
      <c r="N20" s="592">
        <f>Summary!P24</f>
        <v>1</v>
      </c>
      <c r="O20" s="592">
        <f>Summary!Q24</f>
        <v>0</v>
      </c>
      <c r="P20" s="594" t="str">
        <f>+Summary!R24</f>
        <v xml:space="preserve">
SC-3 Steel binding Underprogess
SC-2 Excavation UnderProgress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1</v>
      </c>
      <c r="J21" s="259">
        <f>+Summary!L25</f>
        <v>39</v>
      </c>
      <c r="K21" s="258">
        <f t="shared" si="2"/>
        <v>35</v>
      </c>
      <c r="L21" s="258">
        <f>+Summary!N25</f>
        <v>4</v>
      </c>
      <c r="M21" s="593"/>
      <c r="N21" s="593"/>
      <c r="O21" s="593"/>
      <c r="P21" s="595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0.48</v>
      </c>
      <c r="I25" s="258">
        <f>+Summary!K29</f>
        <v>0.79549599999999998</v>
      </c>
      <c r="J25" s="497">
        <f>E25</f>
        <v>9</v>
      </c>
      <c r="K25" s="497">
        <f>+Summary!M29</f>
        <v>5.795496</v>
      </c>
      <c r="L25" s="258">
        <f>+Summary!N29</f>
        <v>3.204504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582" t="str">
        <f>+Summary!R29</f>
        <v>Final Sag for Ap12 to AP11 Underprogress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0.48</v>
      </c>
      <c r="I26" s="258">
        <f>+Summary!K30</f>
        <v>0.47934600000000049</v>
      </c>
      <c r="J26" s="497">
        <f>E26</f>
        <v>9</v>
      </c>
      <c r="K26" s="497">
        <f>+Summary!M30</f>
        <v>5.4793460000000005</v>
      </c>
      <c r="L26" s="258">
        <f>+Summary!N30</f>
        <v>3.5206539999999995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583"/>
    </row>
    <row r="27" spans="1:16" ht="12.75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498">
        <f>+Summary!L31</f>
        <v>9</v>
      </c>
      <c r="K27" s="498">
        <f>+Summary!M31</f>
        <v>0</v>
      </c>
      <c r="L27" s="270">
        <f>+Summary!N31</f>
        <v>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2026-05-13T03:45:16Z</dcterms:modified>
</cp:coreProperties>
</file>