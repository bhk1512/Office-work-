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PR\"/>
    </mc:Choice>
  </mc:AlternateContent>
  <xr:revisionPtr revIDLastSave="0" documentId="13_ncr:2001_{EDECECA6-EDEF-4038-8154-87B92DB5A92E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Project Details" sheetId="22" r:id="rId1"/>
    <sheet name="Master Sheet" sheetId="2" r:id="rId2"/>
    <sheet name="ProGress Sheet " sheetId="8" r:id="rId3"/>
    <sheet name="Erection Compiled " sheetId="24" r:id="rId4"/>
    <sheet name="SuPPLY " sheetId="9" r:id="rId5"/>
    <sheet name="Visual Chart " sheetId="13" r:id="rId6"/>
    <sheet name="X-ing Details " sheetId="14" r:id="rId7"/>
    <sheet name="Tack Welding " sheetId="16" r:id="rId8"/>
    <sheet name="Tower Tightening " sheetId="19" r:id="rId9"/>
    <sheet name="Stubs and Towers " sheetId="20" r:id="rId10"/>
    <sheet name="Hardwares &amp; Tower Accessories " sheetId="21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</externalReferences>
  <definedNames>
    <definedName name="\0" localSheetId="5">#REF!</definedName>
    <definedName name="\0">#REF!</definedName>
    <definedName name="\A" localSheetId="5">#REF!</definedName>
    <definedName name="\A">#REF!</definedName>
    <definedName name="\B" localSheetId="5">#REF!</definedName>
    <definedName name="\B">#REF!</definedName>
    <definedName name="\C" localSheetId="5">#REF!</definedName>
    <definedName name="\C">#REF!</definedName>
    <definedName name="\c1" localSheetId="5">#REF!</definedName>
    <definedName name="\c1">#REF!</definedName>
    <definedName name="\dd" localSheetId="5">#REF!</definedName>
    <definedName name="\dd">#REF!</definedName>
    <definedName name="\g" localSheetId="5">'[1]B-Chart'!#REF!</definedName>
    <definedName name="\g">'[1]B-Chart'!#REF!</definedName>
    <definedName name="\H" localSheetId="5">#REF!</definedName>
    <definedName name="\H">#REF!</definedName>
    <definedName name="\i" localSheetId="5">#REF!</definedName>
    <definedName name="\i">#REF!</definedName>
    <definedName name="\M" localSheetId="5">#REF!</definedName>
    <definedName name="\M">#REF!</definedName>
    <definedName name="\N" localSheetId="5">#REF!</definedName>
    <definedName name="\N">#REF!</definedName>
    <definedName name="\P" localSheetId="5">#REF!</definedName>
    <definedName name="\P">#REF!</definedName>
    <definedName name="\R" localSheetId="5">#REF!</definedName>
    <definedName name="\R">#REF!</definedName>
    <definedName name="\s" localSheetId="5">'[1]B-Chart'!#REF!</definedName>
    <definedName name="\s">'[1]B-Chart'!#REF!</definedName>
    <definedName name="\U" localSheetId="5">#REF!</definedName>
    <definedName name="\U">#REF!</definedName>
    <definedName name="\V" localSheetId="5">#REF!</definedName>
    <definedName name="\V">#REF!</definedName>
    <definedName name="\z" localSheetId="5">#REF!</definedName>
    <definedName name="\z">#REF!</definedName>
    <definedName name="\z1" localSheetId="5">#REF!</definedName>
    <definedName name="\z1">#REF!</definedName>
    <definedName name="_">"tcap"</definedName>
    <definedName name="__________________________b111121" localSheetId="5">'[2]PACK (B)'!#REF!</definedName>
    <definedName name="__________________________b111121">'[2]PACK (B)'!#REF!</definedName>
    <definedName name="_________________________b111121" localSheetId="5">'[2]PACK (B)'!#REF!</definedName>
    <definedName name="_________________________b111121">'[2]PACK (B)'!#REF!</definedName>
    <definedName name="________________________b111121" localSheetId="5">'[2]PACK (B)'!#REF!</definedName>
    <definedName name="________________________b111121">'[2]PACK (B)'!#REF!</definedName>
    <definedName name="_______________________b111121" localSheetId="5">'[2]PACK (B)'!#REF!</definedName>
    <definedName name="_______________________b111121">'[2]PACK (B)'!#REF!</definedName>
    <definedName name="______________________b111121" localSheetId="5">'[2]PACK (B)'!#REF!</definedName>
    <definedName name="______________________b111121">'[2]PACK (B)'!#REF!</definedName>
    <definedName name="______________________TAB1">[3]TABLES!$A$2:$C$16</definedName>
    <definedName name="_____________________b111121" localSheetId="5">'[2]PACK (B)'!#REF!</definedName>
    <definedName name="_____________________b111121">'[2]PACK (B)'!#REF!</definedName>
    <definedName name="_____________________TAB1">[3]TABLES!$A$2:$C$16</definedName>
    <definedName name="____________________b111121" localSheetId="5">'[2]PACK (B)'!#REF!</definedName>
    <definedName name="____________________b111121">'[2]PACK (B)'!#REF!</definedName>
    <definedName name="____________________KEY3" localSheetId="5" hidden="1">'[4]SC Cost FEB 03'!#REF!</definedName>
    <definedName name="____________________KEY3" hidden="1">'[4]SC Cost FEB 03'!#REF!</definedName>
    <definedName name="____________________TAB1">[3]TABLES!$A$2:$C$16</definedName>
    <definedName name="___________________b111121" localSheetId="5">'[2]PACK (B)'!#REF!</definedName>
    <definedName name="___________________b111121">'[2]PACK (B)'!#REF!</definedName>
    <definedName name="___________________KEY3" localSheetId="5" hidden="1">'[4]SC Cost FEB 03'!#REF!</definedName>
    <definedName name="___________________KEY3" hidden="1">'[4]SC Cost FEB 03'!#REF!</definedName>
    <definedName name="___________________TAB1">[3]TABLES!$A$2:$C$16</definedName>
    <definedName name="__________________b111121" localSheetId="5">'[2]PACK (B)'!#REF!</definedName>
    <definedName name="__________________b111121">'[2]PACK (B)'!#REF!</definedName>
    <definedName name="__________________KEY3" localSheetId="5" hidden="1">'[5]SC Cost FEB 03'!#REF!</definedName>
    <definedName name="__________________KEY3" hidden="1">'[5]SC Cost FEB 03'!#REF!</definedName>
    <definedName name="__________________TAB1">[6]TABLES!$A$2:$C$16</definedName>
    <definedName name="_________________b111121" localSheetId="5">'[2]PACK (B)'!#REF!</definedName>
    <definedName name="_________________b111121">'[2]PACK (B)'!#REF!</definedName>
    <definedName name="_________________KEY3" localSheetId="5" hidden="1">'[4]SC Cost FEB 03'!#REF!</definedName>
    <definedName name="_________________KEY3" hidden="1">'[4]SC Cost FEB 03'!#REF!</definedName>
    <definedName name="_________________TAB1">[7]TABLES!$A$2:$C$16</definedName>
    <definedName name="________________b111121" localSheetId="5">'[2]PACK (B)'!#REF!</definedName>
    <definedName name="________________b111121">'[2]PACK (B)'!#REF!</definedName>
    <definedName name="________________KEY3" localSheetId="5" hidden="1">'[5]SC Cost FEB 03'!#REF!</definedName>
    <definedName name="________________KEY3" hidden="1">'[5]SC Cost FEB 03'!#REF!</definedName>
    <definedName name="________________TAB1">[7]TABLES!$A$2:$C$16</definedName>
    <definedName name="_______________b111121" localSheetId="5">'[2]PACK (B)'!#REF!</definedName>
    <definedName name="_______________b111121">'[2]PACK (B)'!#REF!</definedName>
    <definedName name="_______________KEY3" localSheetId="5" hidden="1">'[5]SC Cost FEB 03'!#REF!</definedName>
    <definedName name="_______________KEY3" hidden="1">'[5]SC Cost FEB 03'!#REF!</definedName>
    <definedName name="_______________TAB1">[7]TABLES!$A$2:$C$16</definedName>
    <definedName name="______________b111121" localSheetId="5">'[2]PACK (B)'!#REF!</definedName>
    <definedName name="______________b111121">'[2]PACK (B)'!#REF!</definedName>
    <definedName name="______________TAB1">[7]TABLES!$A$2:$C$16</definedName>
    <definedName name="_____________A65537" localSheetId="5">#REF!</definedName>
    <definedName name="_____________A65537">#REF!</definedName>
    <definedName name="_____________b111121" localSheetId="5">'[2]PACK (B)'!#REF!</definedName>
    <definedName name="_____________b111121">'[2]PACK (B)'!#REF!</definedName>
    <definedName name="_____________TAB1">[7]TABLES!$A$2:$C$16</definedName>
    <definedName name="____________A655600" localSheetId="5">#REF!</definedName>
    <definedName name="____________A655600">#REF!</definedName>
    <definedName name="____________b111121" localSheetId="5">'[2]PACK (B)'!#REF!</definedName>
    <definedName name="____________b111121">'[2]PACK (B)'!#REF!</definedName>
    <definedName name="____________KEY3" localSheetId="5" hidden="1">'[5]SC Cost FEB 03'!#REF!</definedName>
    <definedName name="____________KEY3" hidden="1">'[5]SC Cost FEB 03'!#REF!</definedName>
    <definedName name="____________TAB1">[7]TABLES!$A$2:$C$16</definedName>
    <definedName name="___________A65537" localSheetId="5">#REF!</definedName>
    <definedName name="___________A65537">#REF!</definedName>
    <definedName name="___________A655600" localSheetId="5">#REF!</definedName>
    <definedName name="___________A655600">#REF!</definedName>
    <definedName name="___________a655601" localSheetId="5">#REF!</definedName>
    <definedName name="___________a655601">#REF!</definedName>
    <definedName name="___________b111121" localSheetId="5">'[2]PACK (B)'!#REF!</definedName>
    <definedName name="___________b111121">'[2]PACK (B)'!#REF!</definedName>
    <definedName name="___________Ki1">[8]grid!$C$182</definedName>
    <definedName name="___________Ki2">[8]grid!$C$191</definedName>
    <definedName name="___________TAB1">[7]TABLES!$A$2:$C$16</definedName>
    <definedName name="__________A65537" localSheetId="5">#REF!</definedName>
    <definedName name="__________A65537">#REF!</definedName>
    <definedName name="__________A655600" localSheetId="5">#REF!</definedName>
    <definedName name="__________A655600">#REF!</definedName>
    <definedName name="__________a655601" localSheetId="5">#REF!</definedName>
    <definedName name="__________a655601">#REF!</definedName>
    <definedName name="__________a999999" localSheetId="5">#REF!</definedName>
    <definedName name="__________a999999">#REF!</definedName>
    <definedName name="__________b111121" localSheetId="5">'[2]PACK (B)'!#REF!</definedName>
    <definedName name="__________b111121">'[2]PACK (B)'!#REF!</definedName>
    <definedName name="__________Ki1">[8]grid!$C$182</definedName>
    <definedName name="__________Ki2">[8]grid!$C$191</definedName>
    <definedName name="__________TAB1">[6]TABLES!$A$2:$C$16</definedName>
    <definedName name="_________A65537" localSheetId="5">#REF!</definedName>
    <definedName name="_________A65537">#REF!</definedName>
    <definedName name="_________A655600" localSheetId="5">#REF!</definedName>
    <definedName name="_________A655600">#REF!</definedName>
    <definedName name="_________a655601" localSheetId="5">#REF!</definedName>
    <definedName name="_________a655601">#REF!</definedName>
    <definedName name="_________a999999" localSheetId="5">#REF!</definedName>
    <definedName name="_________a999999">#REF!</definedName>
    <definedName name="_________b111121" localSheetId="5">'[2]PACK (B)'!#REF!</definedName>
    <definedName name="_________b111121">'[2]PACK (B)'!#REF!</definedName>
    <definedName name="_________Ki1">[8]grid!$C$182</definedName>
    <definedName name="_________Ki2">[8]grid!$C$191</definedName>
    <definedName name="_________TAB1">[6]TABLES!$A$2:$C$16</definedName>
    <definedName name="________A65537" localSheetId="5">#REF!</definedName>
    <definedName name="________A65537">#REF!</definedName>
    <definedName name="________A655600" localSheetId="5">#REF!</definedName>
    <definedName name="________A655600">#REF!</definedName>
    <definedName name="________a655601" localSheetId="5">#REF!</definedName>
    <definedName name="________a655601">#REF!</definedName>
    <definedName name="________a999999" localSheetId="5">#REF!</definedName>
    <definedName name="________a999999">#REF!</definedName>
    <definedName name="________b111121" localSheetId="5">'[2]PACK (B)'!#REF!</definedName>
    <definedName name="________b111121">'[2]PACK (B)'!#REF!</definedName>
    <definedName name="________KEY3" localSheetId="5" hidden="1">'[5]SC Cost FEB 03'!#REF!</definedName>
    <definedName name="________KEY3" hidden="1">'[5]SC Cost FEB 03'!#REF!</definedName>
    <definedName name="________Ki1" localSheetId="5">#REF!</definedName>
    <definedName name="________Ki1">#REF!</definedName>
    <definedName name="________Ki2" localSheetId="5">#REF!</definedName>
    <definedName name="________Ki2">#REF!</definedName>
    <definedName name="________TAB1">[6]TABLES!$A$2:$C$16</definedName>
    <definedName name="________Xl1" localSheetId="5">#REF!</definedName>
    <definedName name="________Xl1">#REF!</definedName>
    <definedName name="_______a1" localSheetId="5">#REF!</definedName>
    <definedName name="_______a1">#REF!</definedName>
    <definedName name="_______A2" localSheetId="5">#REF!</definedName>
    <definedName name="_______A2">#REF!</definedName>
    <definedName name="_______A65537" localSheetId="5">#REF!</definedName>
    <definedName name="_______A65537">#REF!</definedName>
    <definedName name="_______A655600" localSheetId="5">#REF!</definedName>
    <definedName name="_______A655600">#REF!</definedName>
    <definedName name="_______a655601" localSheetId="5">#REF!</definedName>
    <definedName name="_______a655601">#REF!</definedName>
    <definedName name="_______a999999" localSheetId="5">#REF!</definedName>
    <definedName name="_______a999999">#REF!</definedName>
    <definedName name="_______b111121" localSheetId="5">'[2]PACK (B)'!#REF!</definedName>
    <definedName name="_______b111121">'[2]PACK (B)'!#REF!</definedName>
    <definedName name="_______col33" localSheetId="5">'[9]A1-Continuous'!#REF!</definedName>
    <definedName name="_______col33">'[9]A1-Continuous'!#REF!</definedName>
    <definedName name="_______del1" localSheetId="5">#REF!</definedName>
    <definedName name="_______del1">#REF!</definedName>
    <definedName name="_______Ki1" localSheetId="5">#REF!</definedName>
    <definedName name="_______Ki1">#REF!</definedName>
    <definedName name="_______Ki2" localSheetId="5">#REF!</definedName>
    <definedName name="_______Ki2">#REF!</definedName>
    <definedName name="_______mcl132" localSheetId="5">'[9]A1-Continuous'!#REF!</definedName>
    <definedName name="_______mcl132">'[9]A1-Continuous'!#REF!</definedName>
    <definedName name="_______ml3" localSheetId="5">'[9]A1-Continuous'!#REF!</definedName>
    <definedName name="_______ml3">'[9]A1-Continuous'!#REF!</definedName>
    <definedName name="_______ml33" localSheetId="5">'[9]A1-Continuous'!#REF!</definedName>
    <definedName name="_______ml33">'[9]A1-Continuous'!#REF!</definedName>
    <definedName name="_______mlc33" localSheetId="5">'[9]A1-Continuous'!#REF!</definedName>
    <definedName name="_______mlc33">'[9]A1-Continuous'!#REF!</definedName>
    <definedName name="_______mnk1" localSheetId="5">#REF!</definedName>
    <definedName name="_______mnk1">#REF!</definedName>
    <definedName name="_______Re1" localSheetId="5">#REF!</definedName>
    <definedName name="_______Re1">#REF!</definedName>
    <definedName name="_______Rl1" localSheetId="5">#REF!</definedName>
    <definedName name="_______Rl1">#REF!</definedName>
    <definedName name="_______Rs1" localSheetId="5">#REF!</definedName>
    <definedName name="_______Rs1">#REF!</definedName>
    <definedName name="_______TAB1">[7]TABLES!$A$2:$C$16</definedName>
    <definedName name="_______Tk1" localSheetId="5">#REF!</definedName>
    <definedName name="_______Tk1">#REF!</definedName>
    <definedName name="_______Tkl1" localSheetId="5">#REF!</definedName>
    <definedName name="_______Tkl1">#REF!</definedName>
    <definedName name="_______wp1" localSheetId="5">#REF!</definedName>
    <definedName name="_______wp1">#REF!</definedName>
    <definedName name="_______Xl1" localSheetId="5">#REF!</definedName>
    <definedName name="_______Xl1">#REF!</definedName>
    <definedName name="______a1" localSheetId="5">#REF!</definedName>
    <definedName name="______a1">#REF!</definedName>
    <definedName name="______A2" localSheetId="5">#REF!</definedName>
    <definedName name="______A2">#REF!</definedName>
    <definedName name="______A65537" localSheetId="5">#REF!</definedName>
    <definedName name="______A65537">#REF!</definedName>
    <definedName name="______A655600" localSheetId="5">#REF!</definedName>
    <definedName name="______A655600">#REF!</definedName>
    <definedName name="______a655601" localSheetId="5">#REF!</definedName>
    <definedName name="______a655601">#REF!</definedName>
    <definedName name="______a999999" localSheetId="5">#REF!</definedName>
    <definedName name="______a999999">#REF!</definedName>
    <definedName name="______axx2" localSheetId="5">[10]Report!#REF!</definedName>
    <definedName name="______axx2">[10]Report!#REF!</definedName>
    <definedName name="______AXX4" localSheetId="5">[11]Sheet1!#REF!</definedName>
    <definedName name="______AXX4">[11]Sheet1!#REF!</definedName>
    <definedName name="______axx5" localSheetId="5">[11]Sheet1!#REF!</definedName>
    <definedName name="______axx5">[11]Sheet1!#REF!</definedName>
    <definedName name="______axx6" localSheetId="5">[11]Sheet1!#REF!</definedName>
    <definedName name="______axx6">[11]Sheet1!#REF!</definedName>
    <definedName name="______AXX7" localSheetId="5">[11]Sheet1!#REF!</definedName>
    <definedName name="______AXX7">[11]Sheet1!#REF!</definedName>
    <definedName name="______axx8" localSheetId="5">[11]Sheet1!#REF!</definedName>
    <definedName name="______axx8">[11]Sheet1!#REF!</definedName>
    <definedName name="______b111121" localSheetId="5">'[2]PACK (B)'!#REF!</definedName>
    <definedName name="______b111121">'[2]PACK (B)'!#REF!</definedName>
    <definedName name="______cli1">[12]Code!$B$3</definedName>
    <definedName name="______cli2">[12]Code!$B$4</definedName>
    <definedName name="______cli3">[12]Code!$B$5</definedName>
    <definedName name="______cli4">[12]Code!$B$6</definedName>
    <definedName name="______col33" localSheetId="5">'[13]A1-Continuous'!#REF!</definedName>
    <definedName name="______col33">'[13]A1-Continuous'!#REF!</definedName>
    <definedName name="______del1" localSheetId="5">#REF!</definedName>
    <definedName name="______del1">#REF!</definedName>
    <definedName name="______HCO2" localSheetId="5">[14]Design!#REF!</definedName>
    <definedName name="______HCO2">[14]Design!#REF!</definedName>
    <definedName name="______hfi2" localSheetId="5">[11]Sheet1!#REF!</definedName>
    <definedName name="______hfi2">[11]Sheet1!#REF!</definedName>
    <definedName name="______hfi3" localSheetId="5">[10]Report!#REF!</definedName>
    <definedName name="______hfi3">[10]Report!#REF!</definedName>
    <definedName name="______hfi4" localSheetId="5">[11]Sheet1!#REF!</definedName>
    <definedName name="______hfi4">[11]Sheet1!#REF!</definedName>
    <definedName name="______hfi5" localSheetId="5">[11]Sheet1!#REF!</definedName>
    <definedName name="______hfi5">[11]Sheet1!#REF!</definedName>
    <definedName name="______hfi6" localSheetId="5">[11]Sheet1!#REF!</definedName>
    <definedName name="______hfi6">[11]Sheet1!#REF!</definedName>
    <definedName name="______HFI7" localSheetId="5">[11]Sheet1!#REF!</definedName>
    <definedName name="______HFI7">[11]Sheet1!#REF!</definedName>
    <definedName name="______hfi8" localSheetId="5">[11]Sheet1!#REF!</definedName>
    <definedName name="______hfi8">[11]Sheet1!#REF!</definedName>
    <definedName name="______Hra2" localSheetId="5">[14]Design!#REF!</definedName>
    <definedName name="______Hra2">[14]Design!#REF!</definedName>
    <definedName name="______Hso2" localSheetId="5">[14]Design!#REF!</definedName>
    <definedName name="______Hso2">[14]Design!#REF!</definedName>
    <definedName name="______Hso3" localSheetId="5">[14]Design!#REF!</definedName>
    <definedName name="______Hso3">[14]Design!#REF!</definedName>
    <definedName name="______Ism3" localSheetId="5">[14]Design!#REF!</definedName>
    <definedName name="______Ism3">[14]Design!#REF!</definedName>
    <definedName name="______kd1" localSheetId="5">[14]Design!#REF!</definedName>
    <definedName name="______kd1">[14]Design!#REF!</definedName>
    <definedName name="______kd2" localSheetId="5">[14]Design!#REF!</definedName>
    <definedName name="______kd2">[14]Design!#REF!</definedName>
    <definedName name="______kd3" localSheetId="5">[14]Design!#REF!</definedName>
    <definedName name="______kd3">[14]Design!#REF!</definedName>
    <definedName name="______Ki1" localSheetId="5">#REF!</definedName>
    <definedName name="______Ki1">#REF!</definedName>
    <definedName name="______Ki2" localSheetId="5">#REF!</definedName>
    <definedName name="______Ki2">#REF!</definedName>
    <definedName name="______mcl132" localSheetId="5">'[13]A1-Continuous'!#REF!</definedName>
    <definedName name="______mcl132">'[13]A1-Continuous'!#REF!</definedName>
    <definedName name="______ml3" localSheetId="5">'[13]A1-Continuous'!#REF!</definedName>
    <definedName name="______ml3">'[13]A1-Continuous'!#REF!</definedName>
    <definedName name="______ml33" localSheetId="5">'[13]A1-Continuous'!#REF!</definedName>
    <definedName name="______ml33">'[13]A1-Continuous'!#REF!</definedName>
    <definedName name="______mlc33" localSheetId="5">'[13]A1-Continuous'!#REF!</definedName>
    <definedName name="______mlc33">'[13]A1-Continuous'!#REF!</definedName>
    <definedName name="______mnk1" localSheetId="5">#REF!</definedName>
    <definedName name="______mnk1">#REF!</definedName>
    <definedName name="______pan1" localSheetId="5">#REF!</definedName>
    <definedName name="______pan1">#REF!</definedName>
    <definedName name="______PAN2" localSheetId="5">#REF!</definedName>
    <definedName name="______PAN2">#REF!</definedName>
    <definedName name="______Re1" localSheetId="5">#REF!</definedName>
    <definedName name="______Re1">#REF!</definedName>
    <definedName name="______Rl1" localSheetId="5">#REF!</definedName>
    <definedName name="______Rl1">#REF!</definedName>
    <definedName name="______Rs1" localSheetId="5">#REF!</definedName>
    <definedName name="______Rs1">#REF!</definedName>
    <definedName name="______run1" localSheetId="5">[14]Design!#REF!</definedName>
    <definedName name="______run1">[14]Design!#REF!</definedName>
    <definedName name="______run2" localSheetId="5">[14]Design!#REF!</definedName>
    <definedName name="______run2">[14]Design!#REF!</definedName>
    <definedName name="______run3" localSheetId="5">[14]Design!#REF!</definedName>
    <definedName name="______run3">[14]Design!#REF!</definedName>
    <definedName name="______TAB1">[6]TABLES!$A$2:$C$16</definedName>
    <definedName name="______Tk1" localSheetId="5">#REF!</definedName>
    <definedName name="______Tk1">#REF!</definedName>
    <definedName name="______Tkl1" localSheetId="5">#REF!</definedName>
    <definedName name="______Tkl1">#REF!</definedName>
    <definedName name="______Vf1" localSheetId="5">#REF!</definedName>
    <definedName name="______Vf1">#REF!</definedName>
    <definedName name="______Vf2" localSheetId="5">#REF!</definedName>
    <definedName name="______Vf2">#REF!</definedName>
    <definedName name="______Wc1" localSheetId="5">[14]Design!#REF!</definedName>
    <definedName name="______Wc1">[14]Design!#REF!</definedName>
    <definedName name="______WC3" localSheetId="5">[14]Design!#REF!</definedName>
    <definedName name="______WC3">[14]Design!#REF!</definedName>
    <definedName name="______wp1" localSheetId="5">#REF!</definedName>
    <definedName name="______wp1">#REF!</definedName>
    <definedName name="______Wr1" localSheetId="5">[14]Design!#REF!</definedName>
    <definedName name="______Wr1">[14]Design!#REF!</definedName>
    <definedName name="______Wr3" localSheetId="5">[14]Design!#REF!</definedName>
    <definedName name="______Wr3">[14]Design!#REF!</definedName>
    <definedName name="______Xl1" localSheetId="5">#REF!</definedName>
    <definedName name="______Xl1">#REF!</definedName>
    <definedName name="_____a1" localSheetId="5">#REF!</definedName>
    <definedName name="_____a1">#REF!</definedName>
    <definedName name="_____A2" localSheetId="5">#REF!</definedName>
    <definedName name="_____A2">#REF!</definedName>
    <definedName name="_____A65537" localSheetId="5">#REF!</definedName>
    <definedName name="_____A65537">#REF!</definedName>
    <definedName name="_____A655600" localSheetId="5">#REF!</definedName>
    <definedName name="_____A655600">#REF!</definedName>
    <definedName name="_____a655601" localSheetId="5">#REF!</definedName>
    <definedName name="_____a655601">#REF!</definedName>
    <definedName name="_____a999999" localSheetId="5">#REF!</definedName>
    <definedName name="_____a999999">#REF!</definedName>
    <definedName name="_____acs1" localSheetId="5">#REF!</definedName>
    <definedName name="_____acs1">#REF!</definedName>
    <definedName name="_____acs2" localSheetId="5">#REF!</definedName>
    <definedName name="_____acs2">#REF!</definedName>
    <definedName name="_____axx1" localSheetId="5">[10]Report!#REF!</definedName>
    <definedName name="_____axx1">[10]Report!#REF!</definedName>
    <definedName name="_____axx2" localSheetId="5">[15]Report!#REF!</definedName>
    <definedName name="_____axx2">[15]Report!#REF!</definedName>
    <definedName name="_____axx3" localSheetId="5">[10]Report!#REF!</definedName>
    <definedName name="_____axx3">[10]Report!#REF!</definedName>
    <definedName name="_____AXX4" localSheetId="5">[11]Sheet1!#REF!</definedName>
    <definedName name="_____AXX4">[11]Sheet1!#REF!</definedName>
    <definedName name="_____axx5" localSheetId="5">[11]Sheet1!#REF!</definedName>
    <definedName name="_____axx5">[11]Sheet1!#REF!</definedName>
    <definedName name="_____axx6" localSheetId="5">[11]Sheet1!#REF!</definedName>
    <definedName name="_____axx6">[11]Sheet1!#REF!</definedName>
    <definedName name="_____AXX7" localSheetId="5">[11]Sheet1!#REF!</definedName>
    <definedName name="_____AXX7">[11]Sheet1!#REF!</definedName>
    <definedName name="_____axx8" localSheetId="5">[11]Sheet1!#REF!</definedName>
    <definedName name="_____axx8">[11]Sheet1!#REF!</definedName>
    <definedName name="_____b111121" localSheetId="5">'[2]PACK (B)'!#REF!</definedName>
    <definedName name="_____b111121">'[2]PACK (B)'!#REF!</definedName>
    <definedName name="_____bhh2" localSheetId="5">#REF!</definedName>
    <definedName name="_____bhh2">#REF!</definedName>
    <definedName name="_____cdd2" localSheetId="5">#REF!</definedName>
    <definedName name="_____cdd2">#REF!</definedName>
    <definedName name="_____cff2" localSheetId="5">#REF!</definedName>
    <definedName name="_____cff2">#REF!</definedName>
    <definedName name="_____cli1">[16]Code!$B$3</definedName>
    <definedName name="_____cli2">[16]Code!$B$4</definedName>
    <definedName name="_____cli3">[16]Code!$B$5</definedName>
    <definedName name="_____cli4">[16]Code!$B$6</definedName>
    <definedName name="_____col33" localSheetId="5">'[17]A1-Continuous'!#REF!</definedName>
    <definedName name="_____col33">'[17]A1-Continuous'!#REF!</definedName>
    <definedName name="_____cth2" localSheetId="5">#REF!</definedName>
    <definedName name="_____cth2">#REF!</definedName>
    <definedName name="_____del1" localSheetId="5">#REF!</definedName>
    <definedName name="_____del1">#REF!</definedName>
    <definedName name="_____drg1" localSheetId="5">#REF!</definedName>
    <definedName name="_____drg1">#REF!</definedName>
    <definedName name="_____eth2" localSheetId="5">#REF!</definedName>
    <definedName name="_____eth2">#REF!</definedName>
    <definedName name="_____Fpi1" localSheetId="5">#REF!</definedName>
    <definedName name="_____Fpi1">#REF!</definedName>
    <definedName name="_____HCO2" localSheetId="5">[14]Design!#REF!</definedName>
    <definedName name="_____HCO2">[14]Design!#REF!</definedName>
    <definedName name="_____hfi1" localSheetId="5">[10]Report!#REF!</definedName>
    <definedName name="_____hfi1">[10]Report!#REF!</definedName>
    <definedName name="_____hfi2" localSheetId="5">[15]Report!#REF!</definedName>
    <definedName name="_____hfi2">[15]Report!#REF!</definedName>
    <definedName name="_____hfi3" localSheetId="5">[15]Report!#REF!</definedName>
    <definedName name="_____hfi3">[15]Report!#REF!</definedName>
    <definedName name="_____hfi4" localSheetId="5">[11]Sheet1!#REF!</definedName>
    <definedName name="_____hfi4">[11]Sheet1!#REF!</definedName>
    <definedName name="_____hfi5" localSheetId="5">[11]Sheet1!#REF!</definedName>
    <definedName name="_____hfi5">[11]Sheet1!#REF!</definedName>
    <definedName name="_____hfi6" localSheetId="5">[11]Sheet1!#REF!</definedName>
    <definedName name="_____hfi6">[11]Sheet1!#REF!</definedName>
    <definedName name="_____HFI7" localSheetId="5">[11]Sheet1!#REF!</definedName>
    <definedName name="_____HFI7">[11]Sheet1!#REF!</definedName>
    <definedName name="_____hfi8" localSheetId="5">[11]Sheet1!#REF!</definedName>
    <definedName name="_____hfi8">[11]Sheet1!#REF!</definedName>
    <definedName name="_____Hra2" localSheetId="5">[14]Design!#REF!</definedName>
    <definedName name="_____Hra2">[14]Design!#REF!</definedName>
    <definedName name="_____Hso2" localSheetId="5">[14]Design!#REF!</definedName>
    <definedName name="_____Hso2">[14]Design!#REF!</definedName>
    <definedName name="_____Hso3" localSheetId="5">[14]Design!#REF!</definedName>
    <definedName name="_____Hso3">[14]Design!#REF!</definedName>
    <definedName name="_____ifa1" localSheetId="5">#REF!</definedName>
    <definedName name="_____ifa1">#REF!</definedName>
    <definedName name="_____ifa2" localSheetId="5">#REF!</definedName>
    <definedName name="_____ifa2">#REF!</definedName>
    <definedName name="_____INT1" localSheetId="5">#REF!</definedName>
    <definedName name="_____INT1">#REF!</definedName>
    <definedName name="_____Ism3" localSheetId="5">[14]Design!#REF!</definedName>
    <definedName name="_____Ism3">[14]Design!#REF!</definedName>
    <definedName name="_____kd1" localSheetId="5">[14]Design!#REF!</definedName>
    <definedName name="_____kd1">[14]Design!#REF!</definedName>
    <definedName name="_____kd2" localSheetId="5">[14]Design!#REF!</definedName>
    <definedName name="_____kd2">[14]Design!#REF!</definedName>
    <definedName name="_____kd3" localSheetId="5">[14]Design!#REF!</definedName>
    <definedName name="_____kd3">[14]Design!#REF!</definedName>
    <definedName name="_____Ki1" localSheetId="5">#REF!</definedName>
    <definedName name="_____Ki1">#REF!</definedName>
    <definedName name="_____Ki2" localSheetId="5">#REF!</definedName>
    <definedName name="_____Ki2">#REF!</definedName>
    <definedName name="_____mcl132" localSheetId="5">'[17]A1-Continuous'!#REF!</definedName>
    <definedName name="_____mcl132">'[17]A1-Continuous'!#REF!</definedName>
    <definedName name="_____ml3" localSheetId="5">'[17]A1-Continuous'!#REF!</definedName>
    <definedName name="_____ml3">'[17]A1-Continuous'!#REF!</definedName>
    <definedName name="_____ml33" localSheetId="5">'[17]A1-Continuous'!#REF!</definedName>
    <definedName name="_____ml33">'[17]A1-Continuous'!#REF!</definedName>
    <definedName name="_____mlc33" localSheetId="5">'[17]A1-Continuous'!#REF!</definedName>
    <definedName name="_____mlc33">'[17]A1-Continuous'!#REF!</definedName>
    <definedName name="_____mnk1" localSheetId="5">#REF!</definedName>
    <definedName name="_____mnk1">#REF!</definedName>
    <definedName name="_____new1" localSheetId="5">#REF!</definedName>
    <definedName name="_____new1">#REF!</definedName>
    <definedName name="_____pan1" localSheetId="5">#REF!</definedName>
    <definedName name="_____pan1">#REF!</definedName>
    <definedName name="_____PAN2" localSheetId="5">#REF!</definedName>
    <definedName name="_____PAN2">#REF!</definedName>
    <definedName name="_____rcu2" localSheetId="5">#REF!</definedName>
    <definedName name="_____rcu2">#REF!</definedName>
    <definedName name="_____Re1" localSheetId="5">#REF!</definedName>
    <definedName name="_____Re1">#REF!</definedName>
    <definedName name="_____Rl1" localSheetId="5">#REF!</definedName>
    <definedName name="_____Rl1">#REF!</definedName>
    <definedName name="_____Rs1" localSheetId="5">#REF!</definedName>
    <definedName name="_____Rs1">#REF!</definedName>
    <definedName name="_____rt1" localSheetId="5">#REF!</definedName>
    <definedName name="_____rt1">#REF!</definedName>
    <definedName name="_____rt2" localSheetId="5">#REF!</definedName>
    <definedName name="_____rt2">#REF!</definedName>
    <definedName name="_____rt3" localSheetId="5">#REF!</definedName>
    <definedName name="_____rt3">#REF!</definedName>
    <definedName name="_____run1" localSheetId="5">[14]Design!#REF!</definedName>
    <definedName name="_____run1">[14]Design!#REF!</definedName>
    <definedName name="_____run2" localSheetId="5">[14]Design!#REF!</definedName>
    <definedName name="_____run2">[14]Design!#REF!</definedName>
    <definedName name="_____run3" localSheetId="5">[14]Design!#REF!</definedName>
    <definedName name="_____run3">[14]Design!#REF!</definedName>
    <definedName name="_____TAB1">[7]TABLES!$A$2:$C$16</definedName>
    <definedName name="_____Tk1" localSheetId="5">#REF!</definedName>
    <definedName name="_____Tk1">#REF!</definedName>
    <definedName name="_____Tk11" localSheetId="5">#REF!</definedName>
    <definedName name="_____Tk11">#REF!</definedName>
    <definedName name="_____Tk2" localSheetId="5">#REF!</definedName>
    <definedName name="_____Tk2">#REF!</definedName>
    <definedName name="_____Tkl1" localSheetId="5">#REF!</definedName>
    <definedName name="_____Tkl1">#REF!</definedName>
    <definedName name="_____tl1" localSheetId="5">#REF!</definedName>
    <definedName name="_____tl1">#REF!</definedName>
    <definedName name="_____tl2" localSheetId="5">#REF!</definedName>
    <definedName name="_____tl2">#REF!</definedName>
    <definedName name="_____Vf1" localSheetId="5">#REF!</definedName>
    <definedName name="_____Vf1">#REF!</definedName>
    <definedName name="_____Vf2" localSheetId="5">#REF!</definedName>
    <definedName name="_____Vf2">#REF!</definedName>
    <definedName name="_____vr1" localSheetId="5">#REF!</definedName>
    <definedName name="_____vr1">#REF!</definedName>
    <definedName name="_____Wc1" localSheetId="5">[14]Design!#REF!</definedName>
    <definedName name="_____Wc1">[14]Design!#REF!</definedName>
    <definedName name="_____WC3" localSheetId="5">[14]Design!#REF!</definedName>
    <definedName name="_____WC3">[14]Design!#REF!</definedName>
    <definedName name="_____wp1" localSheetId="5">#REF!</definedName>
    <definedName name="_____wp1">#REF!</definedName>
    <definedName name="_____Wr1" localSheetId="5">[14]Design!#REF!</definedName>
    <definedName name="_____Wr1">[14]Design!#REF!</definedName>
    <definedName name="_____Wr3" localSheetId="5">[14]Design!#REF!</definedName>
    <definedName name="_____Wr3">[14]Design!#REF!</definedName>
    <definedName name="_____Xl1" localSheetId="5">#REF!</definedName>
    <definedName name="_____Xl1">#REF!</definedName>
    <definedName name="____a1" localSheetId="5">#REF!</definedName>
    <definedName name="____a1">#REF!</definedName>
    <definedName name="____A2" localSheetId="5">#REF!</definedName>
    <definedName name="____A2">#REF!</definedName>
    <definedName name="____A65537" localSheetId="5">#REF!</definedName>
    <definedName name="____A65537">#REF!</definedName>
    <definedName name="____A655600" localSheetId="5">#REF!</definedName>
    <definedName name="____A655600">#REF!</definedName>
    <definedName name="____a655601" localSheetId="5">#REF!</definedName>
    <definedName name="____a655601">#REF!</definedName>
    <definedName name="____a999999" localSheetId="5">#REF!</definedName>
    <definedName name="____a999999">#REF!</definedName>
    <definedName name="____aba2" localSheetId="5">#REF!</definedName>
    <definedName name="____aba2">#REF!</definedName>
    <definedName name="____acs1" localSheetId="5">#REF!</definedName>
    <definedName name="____acs1">#REF!</definedName>
    <definedName name="____acs2" localSheetId="5">#REF!</definedName>
    <definedName name="____acs2">#REF!</definedName>
    <definedName name="____axx1" localSheetId="5">[15]Report!#REF!</definedName>
    <definedName name="____axx1">[15]Report!#REF!</definedName>
    <definedName name="____axx2" localSheetId="5">[18]Report!#REF!</definedName>
    <definedName name="____axx2">[18]Report!#REF!</definedName>
    <definedName name="____axx3" localSheetId="5">[15]Report!#REF!</definedName>
    <definedName name="____axx3">[15]Report!#REF!</definedName>
    <definedName name="____AXX4" localSheetId="5">[11]Sheet1!#REF!</definedName>
    <definedName name="____AXX4">[11]Sheet1!#REF!</definedName>
    <definedName name="____axx5" localSheetId="5">[11]Sheet1!#REF!</definedName>
    <definedName name="____axx5">[11]Sheet1!#REF!</definedName>
    <definedName name="____axx6" localSheetId="5">[11]Sheet1!#REF!</definedName>
    <definedName name="____axx6">[11]Sheet1!#REF!</definedName>
    <definedName name="____AXX7" localSheetId="5">[11]Sheet1!#REF!</definedName>
    <definedName name="____AXX7">[11]Sheet1!#REF!</definedName>
    <definedName name="____axx8" localSheetId="5">[11]Sheet1!#REF!</definedName>
    <definedName name="____axx8">[11]Sheet1!#REF!</definedName>
    <definedName name="____b111121" localSheetId="5">'[2]PACK (B)'!#REF!</definedName>
    <definedName name="____b111121">'[2]PACK (B)'!#REF!</definedName>
    <definedName name="____bhh2" localSheetId="5">#REF!</definedName>
    <definedName name="____bhh2">#REF!</definedName>
    <definedName name="____bom1" localSheetId="5">#REF!</definedName>
    <definedName name="____bom1">#REF!</definedName>
    <definedName name="____cdd2" localSheetId="5">#REF!</definedName>
    <definedName name="____cdd2">#REF!</definedName>
    <definedName name="____CFB1" localSheetId="5">#REF!</definedName>
    <definedName name="____CFB1">#REF!</definedName>
    <definedName name="____CFB2" localSheetId="5">#REF!</definedName>
    <definedName name="____CFB2">#REF!</definedName>
    <definedName name="____CFB3" localSheetId="5">#REF!</definedName>
    <definedName name="____CFB3">#REF!</definedName>
    <definedName name="____cff2" localSheetId="5">#REF!</definedName>
    <definedName name="____cff2">#REF!</definedName>
    <definedName name="____cli1">[16]Code!$B$3</definedName>
    <definedName name="____cli2">[16]Code!$B$4</definedName>
    <definedName name="____cli3">[16]Code!$B$5</definedName>
    <definedName name="____cli4">[16]Code!$B$6</definedName>
    <definedName name="____col33" localSheetId="5">#REF!</definedName>
    <definedName name="____col33">#REF!</definedName>
    <definedName name="____cth2" localSheetId="5">#REF!</definedName>
    <definedName name="____cth2">#REF!</definedName>
    <definedName name="____DAT1" localSheetId="5">#REF!</definedName>
    <definedName name="____DAT1">#REF!</definedName>
    <definedName name="____DAT10" localSheetId="5">#REF!</definedName>
    <definedName name="____DAT10">#REF!</definedName>
    <definedName name="____DAT11" localSheetId="5">#REF!</definedName>
    <definedName name="____DAT11">#REF!</definedName>
    <definedName name="____DAT12" localSheetId="5">#REF!</definedName>
    <definedName name="____DAT12">#REF!</definedName>
    <definedName name="____DAT13" localSheetId="5">#REF!</definedName>
    <definedName name="____DAT13">#REF!</definedName>
    <definedName name="____DAT14" localSheetId="5">#REF!</definedName>
    <definedName name="____DAT14">#REF!</definedName>
    <definedName name="____DAT15" localSheetId="5">#REF!</definedName>
    <definedName name="____DAT15">#REF!</definedName>
    <definedName name="____DAT16" localSheetId="5">#REF!</definedName>
    <definedName name="____DAT16">#REF!</definedName>
    <definedName name="____DAT2" localSheetId="5">#REF!</definedName>
    <definedName name="____DAT2">#REF!</definedName>
    <definedName name="____DAT3" localSheetId="5">#REF!</definedName>
    <definedName name="____DAT3">#REF!</definedName>
    <definedName name="____DAT4" localSheetId="5">#REF!</definedName>
    <definedName name="____DAT4">#REF!</definedName>
    <definedName name="____DAT5" localSheetId="5">#REF!</definedName>
    <definedName name="____DAT5">#REF!</definedName>
    <definedName name="____DAT6" localSheetId="5">#REF!</definedName>
    <definedName name="____DAT6">#REF!</definedName>
    <definedName name="____DAT7" localSheetId="5">#REF!</definedName>
    <definedName name="____DAT7">#REF!</definedName>
    <definedName name="____DAT8" localSheetId="5">#REF!</definedName>
    <definedName name="____DAT8">#REF!</definedName>
    <definedName name="____DAT9" localSheetId="5">#REF!</definedName>
    <definedName name="____DAT9">#REF!</definedName>
    <definedName name="____del1" localSheetId="5">#REF!</definedName>
    <definedName name="____del1">#REF!</definedName>
    <definedName name="____DET1" localSheetId="5">#REF!</definedName>
    <definedName name="____DET1">#REF!</definedName>
    <definedName name="____DET2" localSheetId="5">#REF!</definedName>
    <definedName name="____DET2">#REF!</definedName>
    <definedName name="____DET3" localSheetId="5">#REF!</definedName>
    <definedName name="____DET3">#REF!</definedName>
    <definedName name="____DET4" localSheetId="5">#REF!</definedName>
    <definedName name="____DET4">#REF!</definedName>
    <definedName name="____DET5" localSheetId="5">#REF!</definedName>
    <definedName name="____DET5">#REF!</definedName>
    <definedName name="____DET6" localSheetId="5">#REF!</definedName>
    <definedName name="____DET6">#REF!</definedName>
    <definedName name="____DIS1" localSheetId="5">[19]CAL!#REF!</definedName>
    <definedName name="____DIS1">[19]CAL!#REF!</definedName>
    <definedName name="____drg1" localSheetId="5">#REF!</definedName>
    <definedName name="____drg1">#REF!</definedName>
    <definedName name="____drg2" localSheetId="5">#REF!</definedName>
    <definedName name="____drg2">#REF!</definedName>
    <definedName name="____eth2" localSheetId="5">#REF!</definedName>
    <definedName name="____eth2">#REF!</definedName>
    <definedName name="____Fpi1" localSheetId="5">#REF!</definedName>
    <definedName name="____Fpi1">#REF!</definedName>
    <definedName name="____HCO2" localSheetId="5">#REF!</definedName>
    <definedName name="____HCO2">#REF!</definedName>
    <definedName name="____hfi1" localSheetId="5">[15]Report!#REF!</definedName>
    <definedName name="____hfi1">[15]Report!#REF!</definedName>
    <definedName name="____hfi2" localSheetId="5">[11]Sheet1!#REF!</definedName>
    <definedName name="____hfi2">[11]Sheet1!#REF!</definedName>
    <definedName name="____hfi3" localSheetId="5">[18]Report!#REF!</definedName>
    <definedName name="____hfi3">[18]Report!#REF!</definedName>
    <definedName name="____hfi4" localSheetId="5">[11]Sheet1!#REF!</definedName>
    <definedName name="____hfi4">[11]Sheet1!#REF!</definedName>
    <definedName name="____hfi5" localSheetId="5">[11]Sheet1!#REF!</definedName>
    <definedName name="____hfi5">[11]Sheet1!#REF!</definedName>
    <definedName name="____hfi6" localSheetId="5">[11]Sheet1!#REF!</definedName>
    <definedName name="____hfi6">[11]Sheet1!#REF!</definedName>
    <definedName name="____HFI7" localSheetId="5">[11]Sheet1!#REF!</definedName>
    <definedName name="____HFI7">[11]Sheet1!#REF!</definedName>
    <definedName name="____hfi8" localSheetId="5">[11]Sheet1!#REF!</definedName>
    <definedName name="____hfi8">[11]Sheet1!#REF!</definedName>
    <definedName name="____Hra2" localSheetId="5">#REF!</definedName>
    <definedName name="____Hra2">#REF!</definedName>
    <definedName name="____Hso2" localSheetId="5">#REF!</definedName>
    <definedName name="____Hso2">#REF!</definedName>
    <definedName name="____Hso3" localSheetId="5">#REF!</definedName>
    <definedName name="____Hso3">#REF!</definedName>
    <definedName name="____hxa1" localSheetId="5">#REF!</definedName>
    <definedName name="____hxa1">#REF!</definedName>
    <definedName name="____hxa2" localSheetId="5">#REF!</definedName>
    <definedName name="____hxa2">#REF!</definedName>
    <definedName name="____hxb1" localSheetId="5">#REF!</definedName>
    <definedName name="____hxb1">#REF!</definedName>
    <definedName name="____hxb2" localSheetId="5">#REF!</definedName>
    <definedName name="____hxb2">#REF!</definedName>
    <definedName name="____hxc1" localSheetId="5">#REF!</definedName>
    <definedName name="____hxc1">#REF!</definedName>
    <definedName name="____hxc2" localSheetId="5">#REF!</definedName>
    <definedName name="____hxc2">#REF!</definedName>
    <definedName name="____hxd1" localSheetId="5">[19]CAL!#REF!</definedName>
    <definedName name="____hxd1">[19]CAL!#REF!</definedName>
    <definedName name="____ifa1" localSheetId="5">#REF!</definedName>
    <definedName name="____ifa1">#REF!</definedName>
    <definedName name="____ifa2" localSheetId="5">#REF!</definedName>
    <definedName name="____ifa2">#REF!</definedName>
    <definedName name="____INT1" localSheetId="5">#REF!</definedName>
    <definedName name="____INT1">#REF!</definedName>
    <definedName name="____Ism3" localSheetId="5">#REF!</definedName>
    <definedName name="____Ism3">#REF!</definedName>
    <definedName name="____kd1" localSheetId="5">#REF!</definedName>
    <definedName name="____kd1">#REF!</definedName>
    <definedName name="____kd2" localSheetId="5">#REF!</definedName>
    <definedName name="____kd2">#REF!</definedName>
    <definedName name="____kd3" localSheetId="5">#REF!</definedName>
    <definedName name="____kd3">#REF!</definedName>
    <definedName name="____Ki1" localSheetId="5">#REF!</definedName>
    <definedName name="____Ki1">#REF!</definedName>
    <definedName name="____Ki2" localSheetId="5">#REF!</definedName>
    <definedName name="____Ki2">#REF!</definedName>
    <definedName name="____LMH1" localSheetId="5">#REF!</definedName>
    <definedName name="____LMH1">#REF!</definedName>
    <definedName name="____LMH2" localSheetId="5">#REF!</definedName>
    <definedName name="____LMH2">#REF!</definedName>
    <definedName name="____MAN1" localSheetId="5">#REF!</definedName>
    <definedName name="____MAN1">#REF!</definedName>
    <definedName name="____mcl132" localSheetId="5">'[17]A1-Continuous'!#REF!</definedName>
    <definedName name="____mcl132">'[17]A1-Continuous'!#REF!</definedName>
    <definedName name="____ml3" localSheetId="5">'[17]A1-Continuous'!#REF!</definedName>
    <definedName name="____ml3">'[17]A1-Continuous'!#REF!</definedName>
    <definedName name="____ml33" localSheetId="5">'[17]A1-Continuous'!#REF!</definedName>
    <definedName name="____ml33">'[17]A1-Continuous'!#REF!</definedName>
    <definedName name="____mlc33" localSheetId="5">'[17]A1-Continuous'!#REF!</definedName>
    <definedName name="____mlc33">'[17]A1-Continuous'!#REF!</definedName>
    <definedName name="____mnk1" localSheetId="5">#REF!</definedName>
    <definedName name="____mnk1">#REF!</definedName>
    <definedName name="____new1" localSheetId="5">#REF!</definedName>
    <definedName name="____new1">#REF!</definedName>
    <definedName name="____out2" localSheetId="5">#REF!</definedName>
    <definedName name="____out2">#REF!</definedName>
    <definedName name="____pan1" localSheetId="5">#REF!</definedName>
    <definedName name="____pan1">#REF!</definedName>
    <definedName name="____PAN2" localSheetId="5">#REF!</definedName>
    <definedName name="____PAN2">#REF!</definedName>
    <definedName name="____PB1" localSheetId="5">#REF!</definedName>
    <definedName name="____PB1">#REF!</definedName>
    <definedName name="____pep99" localSheetId="5">#REF!</definedName>
    <definedName name="____pep99">#REF!</definedName>
    <definedName name="____pfi1" localSheetId="5">[19]CAL!#REF!</definedName>
    <definedName name="____pfi1">[19]CAL!#REF!</definedName>
    <definedName name="____pp1" localSheetId="5">[19]CAL!#REF!</definedName>
    <definedName name="____pp1">[19]CAL!#REF!</definedName>
    <definedName name="____pp2" localSheetId="5">[19]CAL!#REF!</definedName>
    <definedName name="____pp2">[19]CAL!#REF!</definedName>
    <definedName name="____rcu2" localSheetId="5">#REF!</definedName>
    <definedName name="____rcu2">#REF!</definedName>
    <definedName name="____Re1" localSheetId="5">#REF!</definedName>
    <definedName name="____Re1">#REF!</definedName>
    <definedName name="____Rl1" localSheetId="5">#REF!</definedName>
    <definedName name="____Rl1">#REF!</definedName>
    <definedName name="____Rs1" localSheetId="5">#REF!</definedName>
    <definedName name="____Rs1">#REF!</definedName>
    <definedName name="____rt1" localSheetId="5">#REF!</definedName>
    <definedName name="____rt1">#REF!</definedName>
    <definedName name="____rt2" localSheetId="5">#REF!</definedName>
    <definedName name="____rt2">#REF!</definedName>
    <definedName name="____rt3" localSheetId="5">#REF!</definedName>
    <definedName name="____rt3">#REF!</definedName>
    <definedName name="____run1" localSheetId="5">#REF!</definedName>
    <definedName name="____run1">#REF!</definedName>
    <definedName name="____run2" localSheetId="5">#REF!</definedName>
    <definedName name="____run2">#REF!</definedName>
    <definedName name="____run3" localSheetId="5">#REF!</definedName>
    <definedName name="____run3">#REF!</definedName>
    <definedName name="____sch2" localSheetId="5">#REF!</definedName>
    <definedName name="____sch2">#REF!</definedName>
    <definedName name="____sch9" localSheetId="5">#REF!</definedName>
    <definedName name="____sch9">#REF!</definedName>
    <definedName name="____SS402" localSheetId="5">#REF!</definedName>
    <definedName name="____SS402">#REF!</definedName>
    <definedName name="____SS403" localSheetId="5">#REF!</definedName>
    <definedName name="____SS403">#REF!</definedName>
    <definedName name="____SS404" localSheetId="5">#REF!</definedName>
    <definedName name="____SS404">#REF!</definedName>
    <definedName name="____SS405" localSheetId="5">#REF!</definedName>
    <definedName name="____SS405">#REF!</definedName>
    <definedName name="____SS406" localSheetId="5">#REF!</definedName>
    <definedName name="____SS406">#REF!</definedName>
    <definedName name="____SS407" localSheetId="5">#REF!</definedName>
    <definedName name="____SS407">#REF!</definedName>
    <definedName name="____SS408" localSheetId="5">#REF!</definedName>
    <definedName name="____SS408">#REF!</definedName>
    <definedName name="____SS409" localSheetId="5">#REF!</definedName>
    <definedName name="____SS409">#REF!</definedName>
    <definedName name="____SS423" localSheetId="5">#REF!</definedName>
    <definedName name="____SS423">#REF!</definedName>
    <definedName name="____SS424" localSheetId="5">#REF!</definedName>
    <definedName name="____SS424">#REF!</definedName>
    <definedName name="____TAB1">[7]TABLES!$A$2:$C$16</definedName>
    <definedName name="____Tk1" localSheetId="5">#REF!</definedName>
    <definedName name="____Tk1">#REF!</definedName>
    <definedName name="____Tk11" localSheetId="5">#REF!</definedName>
    <definedName name="____Tk11">#REF!</definedName>
    <definedName name="____Tk2" localSheetId="5">#REF!</definedName>
    <definedName name="____Tk2">#REF!</definedName>
    <definedName name="____Tkl1" localSheetId="5">#REF!</definedName>
    <definedName name="____Tkl1">#REF!</definedName>
    <definedName name="____tl1" localSheetId="5">#REF!</definedName>
    <definedName name="____tl1">#REF!</definedName>
    <definedName name="____tl2" localSheetId="5">#REF!</definedName>
    <definedName name="____tl2">#REF!</definedName>
    <definedName name="____Vf1" localSheetId="5">#REF!</definedName>
    <definedName name="____Vf1">#REF!</definedName>
    <definedName name="____Vf2" localSheetId="5">#REF!</definedName>
    <definedName name="____Vf2">#REF!</definedName>
    <definedName name="____vr1" localSheetId="5">#REF!</definedName>
    <definedName name="____vr1">#REF!</definedName>
    <definedName name="____Wc1" localSheetId="5">#REF!</definedName>
    <definedName name="____Wc1">#REF!</definedName>
    <definedName name="____WC3" localSheetId="5">#REF!</definedName>
    <definedName name="____WC3">#REF!</definedName>
    <definedName name="____wp1" localSheetId="5">#REF!</definedName>
    <definedName name="____wp1">#REF!</definedName>
    <definedName name="____Wr1" localSheetId="5">#REF!</definedName>
    <definedName name="____Wr1">#REF!</definedName>
    <definedName name="____Wr3" localSheetId="5">#REF!</definedName>
    <definedName name="____Wr3">#REF!</definedName>
    <definedName name="____Xl1" localSheetId="5">#REF!</definedName>
    <definedName name="____Xl1">#REF!</definedName>
    <definedName name="___A1" localSheetId="5">#REF!</definedName>
    <definedName name="___A1">#REF!</definedName>
    <definedName name="___A10" localSheetId="5">#REF!</definedName>
    <definedName name="___A10">#REF!</definedName>
    <definedName name="___A13" localSheetId="5">#REF!</definedName>
    <definedName name="___A13">#REF!</definedName>
    <definedName name="___A2" localSheetId="5">#REF!</definedName>
    <definedName name="___A2">#REF!</definedName>
    <definedName name="___A3" localSheetId="5">#REF!</definedName>
    <definedName name="___A3">#REF!</definedName>
    <definedName name="___A4" localSheetId="5">#REF!</definedName>
    <definedName name="___A4">#REF!</definedName>
    <definedName name="___A5" localSheetId="5">#REF!</definedName>
    <definedName name="___A5">#REF!</definedName>
    <definedName name="___A6" localSheetId="5">#REF!</definedName>
    <definedName name="___A6">#REF!</definedName>
    <definedName name="___A65537" localSheetId="5">#REF!</definedName>
    <definedName name="___A65537">#REF!</definedName>
    <definedName name="___A655600" localSheetId="5">#REF!</definedName>
    <definedName name="___A655600">#REF!</definedName>
    <definedName name="___a655601" localSheetId="5">#REF!</definedName>
    <definedName name="___a655601">#REF!</definedName>
    <definedName name="___A7" localSheetId="5">#REF!</definedName>
    <definedName name="___A7">#REF!</definedName>
    <definedName name="___A8" localSheetId="5">#REF!</definedName>
    <definedName name="___A8">#REF!</definedName>
    <definedName name="___A9" localSheetId="5">#REF!</definedName>
    <definedName name="___A9">#REF!</definedName>
    <definedName name="___a999999" localSheetId="5">#REF!</definedName>
    <definedName name="___a999999">#REF!</definedName>
    <definedName name="___aba2" localSheetId="5">#REF!</definedName>
    <definedName name="___aba2">#REF!</definedName>
    <definedName name="___acs1" localSheetId="5">#REF!</definedName>
    <definedName name="___acs1">#REF!</definedName>
    <definedName name="___acs2" localSheetId="5">#REF!</definedName>
    <definedName name="___acs2">#REF!</definedName>
    <definedName name="___axx1" localSheetId="5">[18]Report!#REF!</definedName>
    <definedName name="___axx1">[18]Report!#REF!</definedName>
    <definedName name="___axx2" localSheetId="5">[10]Report!#REF!</definedName>
    <definedName name="___axx2">[10]Report!#REF!</definedName>
    <definedName name="___axx3" localSheetId="5">[18]Report!#REF!</definedName>
    <definedName name="___axx3">[18]Report!#REF!</definedName>
    <definedName name="___AXX4" localSheetId="5">[11]Sheet1!#REF!</definedName>
    <definedName name="___AXX4">[11]Sheet1!#REF!</definedName>
    <definedName name="___axx5" localSheetId="5">[11]Sheet1!#REF!</definedName>
    <definedName name="___axx5">[11]Sheet1!#REF!</definedName>
    <definedName name="___axx6" localSheetId="5">[11]Sheet1!#REF!</definedName>
    <definedName name="___axx6">[11]Sheet1!#REF!</definedName>
    <definedName name="___AXX7" localSheetId="5">[11]Sheet1!#REF!</definedName>
    <definedName name="___AXX7">[11]Sheet1!#REF!</definedName>
    <definedName name="___axx8" localSheetId="5">[11]Sheet1!#REF!</definedName>
    <definedName name="___axx8">[11]Sheet1!#REF!</definedName>
    <definedName name="___b111121" localSheetId="5">'[2]PACK (B)'!#REF!</definedName>
    <definedName name="___b111121">'[2]PACK (B)'!#REF!</definedName>
    <definedName name="___bhh2" localSheetId="5">#REF!</definedName>
    <definedName name="___bhh2">#REF!</definedName>
    <definedName name="___bom1" localSheetId="5">#REF!</definedName>
    <definedName name="___bom1">#REF!</definedName>
    <definedName name="___cdd2" localSheetId="5">#REF!</definedName>
    <definedName name="___cdd2">#REF!</definedName>
    <definedName name="___CFB1" localSheetId="5">#REF!</definedName>
    <definedName name="___CFB1">#REF!</definedName>
    <definedName name="___CFB2" localSheetId="5">#REF!</definedName>
    <definedName name="___CFB2">#REF!</definedName>
    <definedName name="___CFB3" localSheetId="5">#REF!</definedName>
    <definedName name="___CFB3">#REF!</definedName>
    <definedName name="___cff2" localSheetId="5">#REF!</definedName>
    <definedName name="___cff2">#REF!</definedName>
    <definedName name="___cli1">[16]Code!$B$3</definedName>
    <definedName name="___cli2">[16]Code!$B$4</definedName>
    <definedName name="___cli3">[16]Code!$B$5</definedName>
    <definedName name="___cli4">[16]Code!$B$6</definedName>
    <definedName name="___cli5" localSheetId="5">#REF!</definedName>
    <definedName name="___cli5">#REF!</definedName>
    <definedName name="___col33" localSheetId="5">'[9]A1-Continuous'!#REF!</definedName>
    <definedName name="___col33">'[9]A1-Continuous'!#REF!</definedName>
    <definedName name="___cth2" localSheetId="5">#REF!</definedName>
    <definedName name="___cth2">#REF!</definedName>
    <definedName name="___DAT1" localSheetId="5">#REF!</definedName>
    <definedName name="___DAT1">#REF!</definedName>
    <definedName name="___DAT10" localSheetId="5">#REF!</definedName>
    <definedName name="___DAT10">#REF!</definedName>
    <definedName name="___DAT11" localSheetId="5">#REF!</definedName>
    <definedName name="___DAT11">#REF!</definedName>
    <definedName name="___DAT12" localSheetId="5">#REF!</definedName>
    <definedName name="___DAT12">#REF!</definedName>
    <definedName name="___DAT13" localSheetId="5">#REF!</definedName>
    <definedName name="___DAT13">#REF!</definedName>
    <definedName name="___DAT14" localSheetId="5">#REF!</definedName>
    <definedName name="___DAT14">#REF!</definedName>
    <definedName name="___DAT15" localSheetId="5">#REF!</definedName>
    <definedName name="___DAT15">#REF!</definedName>
    <definedName name="___DAT16" localSheetId="5">#REF!</definedName>
    <definedName name="___DAT16">#REF!</definedName>
    <definedName name="___DAT2" localSheetId="5">#REF!</definedName>
    <definedName name="___DAT2">#REF!</definedName>
    <definedName name="___DAT3" localSheetId="5">#REF!</definedName>
    <definedName name="___DAT3">#REF!</definedName>
    <definedName name="___DAT4" localSheetId="5">#REF!</definedName>
    <definedName name="___DAT4">#REF!</definedName>
    <definedName name="___DAT5" localSheetId="5">#REF!</definedName>
    <definedName name="___DAT5">#REF!</definedName>
    <definedName name="___DAT6" localSheetId="5">#REF!</definedName>
    <definedName name="___DAT6">#REF!</definedName>
    <definedName name="___DAT7" localSheetId="5">#REF!</definedName>
    <definedName name="___DAT7">#REF!</definedName>
    <definedName name="___DAT8" localSheetId="5">#REF!</definedName>
    <definedName name="___DAT8">#REF!</definedName>
    <definedName name="___DAT9" localSheetId="5">#REF!</definedName>
    <definedName name="___DAT9">#REF!</definedName>
    <definedName name="___del1" localSheetId="5">#REF!</definedName>
    <definedName name="___del1">#REF!</definedName>
    <definedName name="___DET1" localSheetId="5">#REF!</definedName>
    <definedName name="___DET1">#REF!</definedName>
    <definedName name="___DET2" localSheetId="5">#REF!</definedName>
    <definedName name="___DET2">#REF!</definedName>
    <definedName name="___DET3" localSheetId="5">#REF!</definedName>
    <definedName name="___DET3">#REF!</definedName>
    <definedName name="___DET4" localSheetId="5">#REF!</definedName>
    <definedName name="___DET4">#REF!</definedName>
    <definedName name="___DET5" localSheetId="5">#REF!</definedName>
    <definedName name="___DET5">#REF!</definedName>
    <definedName name="___DET6" localSheetId="5">#REF!</definedName>
    <definedName name="___DET6">#REF!</definedName>
    <definedName name="___DIS1" localSheetId="5">[20]Coalmine!#REF!</definedName>
    <definedName name="___DIS1">[20]Coalmine!#REF!</definedName>
    <definedName name="___drg1" localSheetId="5">#REF!</definedName>
    <definedName name="___drg1">#REF!</definedName>
    <definedName name="___drg2" localSheetId="5">#REF!</definedName>
    <definedName name="___drg2">#REF!</definedName>
    <definedName name="___eth2" localSheetId="5">#REF!</definedName>
    <definedName name="___eth2">#REF!</definedName>
    <definedName name="___Fpi1" localSheetId="5">#REF!</definedName>
    <definedName name="___Fpi1">#REF!</definedName>
    <definedName name="___HCO2" localSheetId="5">#REF!</definedName>
    <definedName name="___HCO2">#REF!</definedName>
    <definedName name="___hfi1" localSheetId="5">[18]Report!#REF!</definedName>
    <definedName name="___hfi1">[18]Report!#REF!</definedName>
    <definedName name="___hfi2" localSheetId="5">[11]Sheet1!#REF!</definedName>
    <definedName name="___hfi2">[11]Sheet1!#REF!</definedName>
    <definedName name="___hfi3" localSheetId="5">[10]Report!#REF!</definedName>
    <definedName name="___hfi3">[10]Report!#REF!</definedName>
    <definedName name="___hfi4" localSheetId="5">[11]Sheet1!#REF!</definedName>
    <definedName name="___hfi4">[11]Sheet1!#REF!</definedName>
    <definedName name="___hfi5" localSheetId="5">[11]Sheet1!#REF!</definedName>
    <definedName name="___hfi5">[11]Sheet1!#REF!</definedName>
    <definedName name="___hfi6" localSheetId="5">[11]Sheet1!#REF!</definedName>
    <definedName name="___hfi6">[11]Sheet1!#REF!</definedName>
    <definedName name="___HFI7" localSheetId="5">[11]Sheet1!#REF!</definedName>
    <definedName name="___HFI7">[11]Sheet1!#REF!</definedName>
    <definedName name="___hfi8" localSheetId="5">[11]Sheet1!#REF!</definedName>
    <definedName name="___hfi8">[11]Sheet1!#REF!</definedName>
    <definedName name="___Hra2" localSheetId="5">#REF!</definedName>
    <definedName name="___Hra2">#REF!</definedName>
    <definedName name="___Hso2" localSheetId="5">#REF!</definedName>
    <definedName name="___Hso2">#REF!</definedName>
    <definedName name="___Hso3" localSheetId="5">#REF!</definedName>
    <definedName name="___Hso3">#REF!</definedName>
    <definedName name="___hxa1" localSheetId="5">#REF!</definedName>
    <definedName name="___hxa1">#REF!</definedName>
    <definedName name="___hxa2" localSheetId="5">#REF!</definedName>
    <definedName name="___hxa2">#REF!</definedName>
    <definedName name="___hxb1" localSheetId="5">#REF!</definedName>
    <definedName name="___hxb1">#REF!</definedName>
    <definedName name="___hxb2" localSheetId="5">#REF!</definedName>
    <definedName name="___hxb2">#REF!</definedName>
    <definedName name="___hxc1" localSheetId="5">#REF!</definedName>
    <definedName name="___hxc1">#REF!</definedName>
    <definedName name="___hxc2" localSheetId="5">#REF!</definedName>
    <definedName name="___hxc2">#REF!</definedName>
    <definedName name="___hxd1" localSheetId="5">[20]Coalmine!#REF!</definedName>
    <definedName name="___hxd1">[20]Coalmine!#REF!</definedName>
    <definedName name="___ifa1" localSheetId="5">#REF!</definedName>
    <definedName name="___ifa1">#REF!</definedName>
    <definedName name="___ifa2" localSheetId="5">#REF!</definedName>
    <definedName name="___ifa2">#REF!</definedName>
    <definedName name="___INT1" localSheetId="5">#REF!</definedName>
    <definedName name="___INT1">#REF!</definedName>
    <definedName name="___Ism3" localSheetId="5">#REF!</definedName>
    <definedName name="___Ism3">#REF!</definedName>
    <definedName name="___kd1" localSheetId="5">#REF!</definedName>
    <definedName name="___kd1">#REF!</definedName>
    <definedName name="___kd2" localSheetId="5">#REF!</definedName>
    <definedName name="___kd2">#REF!</definedName>
    <definedName name="___kd3" localSheetId="5">#REF!</definedName>
    <definedName name="___kd3">#REF!</definedName>
    <definedName name="___KEY3" localSheetId="5" hidden="1">'[5]SC Cost FEB 03'!#REF!</definedName>
    <definedName name="___KEY3" hidden="1">'[5]SC Cost FEB 03'!#REF!</definedName>
    <definedName name="___Ki1" localSheetId="5">#REF!</definedName>
    <definedName name="___Ki1">#REF!</definedName>
    <definedName name="___Ki2" localSheetId="5">#REF!</definedName>
    <definedName name="___Ki2">#REF!</definedName>
    <definedName name="___LMH1" localSheetId="5">#REF!</definedName>
    <definedName name="___LMH1">#REF!</definedName>
    <definedName name="___LMH2" localSheetId="5">#REF!</definedName>
    <definedName name="___LMH2">#REF!</definedName>
    <definedName name="___MAN1" localSheetId="5">#REF!</definedName>
    <definedName name="___MAN1">#REF!</definedName>
    <definedName name="___mcl132" localSheetId="5">'[9]A1-Continuous'!#REF!</definedName>
    <definedName name="___mcl132">'[9]A1-Continuous'!#REF!</definedName>
    <definedName name="___ml3" localSheetId="5">'[9]A1-Continuous'!#REF!</definedName>
    <definedName name="___ml3">'[9]A1-Continuous'!#REF!</definedName>
    <definedName name="___ml33" localSheetId="5">'[9]A1-Continuous'!#REF!</definedName>
    <definedName name="___ml33">'[9]A1-Continuous'!#REF!</definedName>
    <definedName name="___mlc33" localSheetId="5">'[9]A1-Continuous'!#REF!</definedName>
    <definedName name="___mlc33">'[9]A1-Continuous'!#REF!</definedName>
    <definedName name="___mnk1" localSheetId="5">#REF!</definedName>
    <definedName name="___mnk1">#REF!</definedName>
    <definedName name="___new1" localSheetId="5">#REF!</definedName>
    <definedName name="___new1">#REF!</definedName>
    <definedName name="___out2" localSheetId="5">#REF!</definedName>
    <definedName name="___out2">#REF!</definedName>
    <definedName name="___pan1" localSheetId="5">#REF!</definedName>
    <definedName name="___pan1">#REF!</definedName>
    <definedName name="___PAN2" localSheetId="5">#REF!</definedName>
    <definedName name="___PAN2">#REF!</definedName>
    <definedName name="___PB1" localSheetId="5">#REF!</definedName>
    <definedName name="___PB1">#REF!</definedName>
    <definedName name="___pep99" localSheetId="5">#REF!</definedName>
    <definedName name="___pep99">#REF!</definedName>
    <definedName name="___pfi1" localSheetId="5">[20]Coalmine!#REF!</definedName>
    <definedName name="___pfi1">[20]Coalmine!#REF!</definedName>
    <definedName name="___pp1" localSheetId="5">[20]Coalmine!#REF!</definedName>
    <definedName name="___pp1">[20]Coalmine!#REF!</definedName>
    <definedName name="___pp2" localSheetId="5">[20]Coalmine!#REF!</definedName>
    <definedName name="___pp2">[20]Coalmine!#REF!</definedName>
    <definedName name="___rcu2" localSheetId="5">#REF!</definedName>
    <definedName name="___rcu2">#REF!</definedName>
    <definedName name="___Re1" localSheetId="5">#REF!</definedName>
    <definedName name="___Re1">#REF!</definedName>
    <definedName name="___Rl1" localSheetId="5">#REF!</definedName>
    <definedName name="___Rl1">#REF!</definedName>
    <definedName name="___Rs1" localSheetId="5">#REF!</definedName>
    <definedName name="___Rs1">#REF!</definedName>
    <definedName name="___rt1" localSheetId="5">#REF!</definedName>
    <definedName name="___rt1">#REF!</definedName>
    <definedName name="___rt2" localSheetId="5">#REF!</definedName>
    <definedName name="___rt2">#REF!</definedName>
    <definedName name="___rt3" localSheetId="5">#REF!</definedName>
    <definedName name="___rt3">#REF!</definedName>
    <definedName name="___run1" localSheetId="5">#REF!</definedName>
    <definedName name="___run1">#REF!</definedName>
    <definedName name="___run2" localSheetId="5">#REF!</definedName>
    <definedName name="___run2">#REF!</definedName>
    <definedName name="___run3" localSheetId="5">#REF!</definedName>
    <definedName name="___run3">#REF!</definedName>
    <definedName name="___sch2" localSheetId="5">#REF!</definedName>
    <definedName name="___sch2">#REF!</definedName>
    <definedName name="___sch9" localSheetId="5">#REF!</definedName>
    <definedName name="___sch9">#REF!</definedName>
    <definedName name="___SS402" localSheetId="5">#REF!</definedName>
    <definedName name="___SS402">#REF!</definedName>
    <definedName name="___SS403" localSheetId="5">#REF!</definedName>
    <definedName name="___SS403">#REF!</definedName>
    <definedName name="___SS404" localSheetId="5">#REF!</definedName>
    <definedName name="___SS404">#REF!</definedName>
    <definedName name="___SS405" localSheetId="5">#REF!</definedName>
    <definedName name="___SS405">#REF!</definedName>
    <definedName name="___SS406" localSheetId="5">#REF!</definedName>
    <definedName name="___SS406">#REF!</definedName>
    <definedName name="___SS407" localSheetId="5">#REF!</definedName>
    <definedName name="___SS407">#REF!</definedName>
    <definedName name="___SS408" localSheetId="5">#REF!</definedName>
    <definedName name="___SS408">#REF!</definedName>
    <definedName name="___SS409" localSheetId="5">#REF!</definedName>
    <definedName name="___SS409">#REF!</definedName>
    <definedName name="___SS423" localSheetId="5">#REF!</definedName>
    <definedName name="___SS423">#REF!</definedName>
    <definedName name="___SS424" localSheetId="5">#REF!</definedName>
    <definedName name="___SS424">#REF!</definedName>
    <definedName name="___TAB1">[6]TABLES!$A$2:$C$16</definedName>
    <definedName name="___Tk1" localSheetId="5">#REF!</definedName>
    <definedName name="___Tk1">#REF!</definedName>
    <definedName name="___Tk11" localSheetId="5">#REF!</definedName>
    <definedName name="___Tk11">#REF!</definedName>
    <definedName name="___Tk2" localSheetId="5">#REF!</definedName>
    <definedName name="___Tk2">#REF!</definedName>
    <definedName name="___Tkl1" localSheetId="5">#REF!</definedName>
    <definedName name="___Tkl1">#REF!</definedName>
    <definedName name="___tl1" localSheetId="5">#REF!</definedName>
    <definedName name="___tl1">#REF!</definedName>
    <definedName name="___tl2" localSheetId="5">#REF!</definedName>
    <definedName name="___tl2">#REF!</definedName>
    <definedName name="___Vf1" localSheetId="5">#REF!</definedName>
    <definedName name="___Vf1">#REF!</definedName>
    <definedName name="___Vf2" localSheetId="5">#REF!</definedName>
    <definedName name="___Vf2">#REF!</definedName>
    <definedName name="___vr1" localSheetId="5">#REF!</definedName>
    <definedName name="___vr1">#REF!</definedName>
    <definedName name="___Wc1" localSheetId="5">#REF!</definedName>
    <definedName name="___Wc1">#REF!</definedName>
    <definedName name="___WC3" localSheetId="5">#REF!</definedName>
    <definedName name="___WC3">#REF!</definedName>
    <definedName name="___wp1" localSheetId="5">#REF!</definedName>
    <definedName name="___wp1">#REF!</definedName>
    <definedName name="___Wr1" localSheetId="5">#REF!</definedName>
    <definedName name="___Wr1">#REF!</definedName>
    <definedName name="___Wr3" localSheetId="5">#REF!</definedName>
    <definedName name="___Wr3">#REF!</definedName>
    <definedName name="___Xl1" localSheetId="5">#REF!</definedName>
    <definedName name="___Xl1">#REF!</definedName>
    <definedName name="___xlfn_COUNTIFS">#N/A</definedName>
    <definedName name="___xlfn_SUMIFS">#N/A</definedName>
    <definedName name="__123Graph_A" localSheetId="5" hidden="1">#REF!</definedName>
    <definedName name="__123Graph_A" hidden="1">#REF!</definedName>
    <definedName name="__123Graph_B" localSheetId="5" hidden="1">'[21]CASH-FLOW'!#REF!</definedName>
    <definedName name="__123Graph_B" hidden="1">'[21]CASH-FLOW'!#REF!</definedName>
    <definedName name="__123Graph_C" localSheetId="5" hidden="1">#REF!</definedName>
    <definedName name="__123Graph_C" hidden="1">#REF!</definedName>
    <definedName name="__123Graph_D" localSheetId="5" hidden="1">#REF!</definedName>
    <definedName name="__123Graph_D" hidden="1">#REF!</definedName>
    <definedName name="__123Graph_E" localSheetId="5" hidden="1">#REF!</definedName>
    <definedName name="__123Graph_E" hidden="1">#REF!</definedName>
    <definedName name="__123Graph_F" localSheetId="5" hidden="1">#REF!</definedName>
    <definedName name="__123Graph_F" hidden="1">#REF!</definedName>
    <definedName name="__123Graph_X" localSheetId="5" hidden="1">#REF!</definedName>
    <definedName name="__123Graph_X" hidden="1">#REF!</definedName>
    <definedName name="__A1" localSheetId="5">#REF!</definedName>
    <definedName name="__A1">#REF!</definedName>
    <definedName name="__A10" localSheetId="5">#REF!</definedName>
    <definedName name="__A10">#REF!</definedName>
    <definedName name="__A13" localSheetId="5">#REF!</definedName>
    <definedName name="__A13">#REF!</definedName>
    <definedName name="__A2" localSheetId="5">#REF!</definedName>
    <definedName name="__A2">#REF!</definedName>
    <definedName name="__A3" localSheetId="5">#REF!</definedName>
    <definedName name="__A3">#REF!</definedName>
    <definedName name="__A4" localSheetId="5">#REF!</definedName>
    <definedName name="__A4">#REF!</definedName>
    <definedName name="__A5" localSheetId="5">#REF!</definedName>
    <definedName name="__A5">#REF!</definedName>
    <definedName name="__A6" localSheetId="5">#REF!</definedName>
    <definedName name="__A6">#REF!</definedName>
    <definedName name="__A65537" localSheetId="5">#REF!</definedName>
    <definedName name="__A65537">#REF!</definedName>
    <definedName name="__A655600" localSheetId="5">#REF!</definedName>
    <definedName name="__A655600">#REF!</definedName>
    <definedName name="__a655601" localSheetId="5">#REF!</definedName>
    <definedName name="__a655601">#REF!</definedName>
    <definedName name="__A7" localSheetId="5">#REF!</definedName>
    <definedName name="__A7">#REF!</definedName>
    <definedName name="__A8" localSheetId="5">#REF!</definedName>
    <definedName name="__A8">#REF!</definedName>
    <definedName name="__A9" localSheetId="5">#REF!</definedName>
    <definedName name="__A9">#REF!</definedName>
    <definedName name="__a999999" localSheetId="5">#REF!</definedName>
    <definedName name="__a999999">#REF!</definedName>
    <definedName name="__aba2" localSheetId="5">#REF!</definedName>
    <definedName name="__aba2">#REF!</definedName>
    <definedName name="__acs1" localSheetId="5">#REF!</definedName>
    <definedName name="__acs1">#REF!</definedName>
    <definedName name="__acs2" localSheetId="5">#REF!</definedName>
    <definedName name="__acs2">#REF!</definedName>
    <definedName name="__axx1" localSheetId="5">[10]Report!#REF!</definedName>
    <definedName name="__axx1">[10]Report!#REF!</definedName>
    <definedName name="__axx2" localSheetId="5">[18]Report!#REF!</definedName>
    <definedName name="__axx2">[18]Report!#REF!</definedName>
    <definedName name="__axx3" localSheetId="5">[10]Report!#REF!</definedName>
    <definedName name="__axx3">[10]Report!#REF!</definedName>
    <definedName name="__axx5" localSheetId="5">[11]Sheet1!#REF!</definedName>
    <definedName name="__axx5">[11]Sheet1!#REF!</definedName>
    <definedName name="__AXX7" localSheetId="5">[11]Sheet1!#REF!</definedName>
    <definedName name="__AXX7">[11]Sheet1!#REF!</definedName>
    <definedName name="__b111121" localSheetId="5">'[2]PACK (B)'!#REF!</definedName>
    <definedName name="__b111121">'[2]PACK (B)'!#REF!</definedName>
    <definedName name="__bct75" localSheetId="5">#REF!</definedName>
    <definedName name="__bct75">#REF!</definedName>
    <definedName name="__bhh2" localSheetId="5">#REF!</definedName>
    <definedName name="__bhh2">#REF!</definedName>
    <definedName name="__bom1" localSheetId="5">#REF!</definedName>
    <definedName name="__bom1">#REF!</definedName>
    <definedName name="__buh11" localSheetId="5">#REF!</definedName>
    <definedName name="__buh11">#REF!</definedName>
    <definedName name="__CCT220" localSheetId="5">#REF!</definedName>
    <definedName name="__CCT220">#REF!</definedName>
    <definedName name="__cdd2" localSheetId="5">#REF!</definedName>
    <definedName name="__cdd2">#REF!</definedName>
    <definedName name="__CFB1" localSheetId="5">#REF!</definedName>
    <definedName name="__CFB1">#REF!</definedName>
    <definedName name="__CFB2" localSheetId="5">#REF!</definedName>
    <definedName name="__CFB2">#REF!</definedName>
    <definedName name="__CFB3" localSheetId="5">#REF!</definedName>
    <definedName name="__CFB3">#REF!</definedName>
    <definedName name="__cff2" localSheetId="5">#REF!</definedName>
    <definedName name="__cff2">#REF!</definedName>
    <definedName name="__cli1">[16]Code!$B$3</definedName>
    <definedName name="__cli2">[16]Code!$B$4</definedName>
    <definedName name="__cli3">[16]Code!$B$5</definedName>
    <definedName name="__cli4">[16]Code!$B$6</definedName>
    <definedName name="__cli5" localSheetId="5">#REF!</definedName>
    <definedName name="__cli5">#REF!</definedName>
    <definedName name="__col33" localSheetId="5">'[17]A1-Continuous'!#REF!</definedName>
    <definedName name="__col33">'[17]A1-Continuous'!#REF!</definedName>
    <definedName name="__cth2" localSheetId="5">#REF!</definedName>
    <definedName name="__cth2">#REF!</definedName>
    <definedName name="__CVT220" localSheetId="5">#REF!</definedName>
    <definedName name="__CVT220">#REF!</definedName>
    <definedName name="__DAT1" localSheetId="5">#REF!</definedName>
    <definedName name="__DAT1">#REF!</definedName>
    <definedName name="__DAT10" localSheetId="5">#REF!</definedName>
    <definedName name="__DAT10">#REF!</definedName>
    <definedName name="__DAT11" localSheetId="5">#REF!</definedName>
    <definedName name="__DAT11">#REF!</definedName>
    <definedName name="__DAT12" localSheetId="5">#REF!</definedName>
    <definedName name="__DAT12">#REF!</definedName>
    <definedName name="__DAT13" localSheetId="5">#REF!</definedName>
    <definedName name="__DAT13">#REF!</definedName>
    <definedName name="__DAT14" localSheetId="5">#REF!</definedName>
    <definedName name="__DAT14">#REF!</definedName>
    <definedName name="__DAT15" localSheetId="5">#REF!</definedName>
    <definedName name="__DAT15">#REF!</definedName>
    <definedName name="__DAT16" localSheetId="5">#REF!</definedName>
    <definedName name="__DAT16">#REF!</definedName>
    <definedName name="__DAT2" localSheetId="5">#REF!</definedName>
    <definedName name="__DAT2">#REF!</definedName>
    <definedName name="__DAT3" localSheetId="5">#REF!</definedName>
    <definedName name="__DAT3">#REF!</definedName>
    <definedName name="__DAT4" localSheetId="5">#REF!</definedName>
    <definedName name="__DAT4">#REF!</definedName>
    <definedName name="__DAT5" localSheetId="5">#REF!</definedName>
    <definedName name="__DAT5">#REF!</definedName>
    <definedName name="__DAT6" localSheetId="5">#REF!</definedName>
    <definedName name="__DAT6">#REF!</definedName>
    <definedName name="__DAT7" localSheetId="5">#REF!</definedName>
    <definedName name="__DAT7">#REF!</definedName>
    <definedName name="__DAT8" localSheetId="5">#REF!</definedName>
    <definedName name="__DAT8">#REF!</definedName>
    <definedName name="__DAT9" localSheetId="5">#REF!</definedName>
    <definedName name="__DAT9">#REF!</definedName>
    <definedName name="__del1" localSheetId="5">#REF!</definedName>
    <definedName name="__del1">#REF!</definedName>
    <definedName name="__DET1" localSheetId="5">#REF!</definedName>
    <definedName name="__DET1">#REF!</definedName>
    <definedName name="__DET2" localSheetId="5">#REF!</definedName>
    <definedName name="__DET2">#REF!</definedName>
    <definedName name="__DET3" localSheetId="5">#REF!</definedName>
    <definedName name="__DET3">#REF!</definedName>
    <definedName name="__DET4" localSheetId="5">#REF!</definedName>
    <definedName name="__DET4">#REF!</definedName>
    <definedName name="__DET5" localSheetId="5">#REF!</definedName>
    <definedName name="__DET5">#REF!</definedName>
    <definedName name="__DET6" localSheetId="5">#REF!</definedName>
    <definedName name="__DET6">#REF!</definedName>
    <definedName name="__DIS1" localSheetId="5">[22]Coalmine!#REF!</definedName>
    <definedName name="__DIS1">[22]Coalmine!#REF!</definedName>
    <definedName name="__DKT75" localSheetId="5">#REF!</definedName>
    <definedName name="__DKT75">#REF!</definedName>
    <definedName name="__drg1" localSheetId="5">#REF!</definedName>
    <definedName name="__drg1">#REF!</definedName>
    <definedName name="__drg2" localSheetId="5">#REF!</definedName>
    <definedName name="__drg2">#REF!</definedName>
    <definedName name="__eth2" localSheetId="5">#REF!</definedName>
    <definedName name="__eth2">#REF!</definedName>
    <definedName name="__Fpi1" localSheetId="5">#REF!</definedName>
    <definedName name="__Fpi1">#REF!</definedName>
    <definedName name="__HCO2" localSheetId="5">#REF!</definedName>
    <definedName name="__HCO2">#REF!</definedName>
    <definedName name="__hfi1" localSheetId="5">[10]Report!#REF!</definedName>
    <definedName name="__hfi1">[10]Report!#REF!</definedName>
    <definedName name="__hfi2" localSheetId="5">[11]Sheet1!#REF!</definedName>
    <definedName name="__hfi2">[11]Sheet1!#REF!</definedName>
    <definedName name="__hfi3" localSheetId="5">[18]Report!#REF!</definedName>
    <definedName name="__hfi3">[18]Report!#REF!</definedName>
    <definedName name="__Hra2" localSheetId="5">#REF!</definedName>
    <definedName name="__Hra2">#REF!</definedName>
    <definedName name="__Hso2" localSheetId="5">#REF!</definedName>
    <definedName name="__Hso2">#REF!</definedName>
    <definedName name="__Hso3" localSheetId="5">#REF!</definedName>
    <definedName name="__Hso3">#REF!</definedName>
    <definedName name="__hxa1" localSheetId="5">#REF!</definedName>
    <definedName name="__hxa1">#REF!</definedName>
    <definedName name="__hxa2" localSheetId="5">#REF!</definedName>
    <definedName name="__hxa2">#REF!</definedName>
    <definedName name="__hxb1" localSheetId="5">#REF!</definedName>
    <definedName name="__hxb1">#REF!</definedName>
    <definedName name="__hxb2" localSheetId="5">#REF!</definedName>
    <definedName name="__hxb2">#REF!</definedName>
    <definedName name="__hxc1" localSheetId="5">#REF!</definedName>
    <definedName name="__hxc1">#REF!</definedName>
    <definedName name="__hxc2" localSheetId="5">#REF!</definedName>
    <definedName name="__hxc2">#REF!</definedName>
    <definedName name="__hxd1" localSheetId="5">[22]Coalmine!#REF!</definedName>
    <definedName name="__hxd1">[22]Coalmine!#REF!</definedName>
    <definedName name="__hxf1" localSheetId="5">[19]CAL!#REF!</definedName>
    <definedName name="__hxf1">[19]CAL!#REF!</definedName>
    <definedName name="__ifa1" localSheetId="5">#REF!</definedName>
    <definedName name="__ifa1">#REF!</definedName>
    <definedName name="__ifa2" localSheetId="5">#REF!</definedName>
    <definedName name="__ifa2">#REF!</definedName>
    <definedName name="__INT1" localSheetId="5">#REF!</definedName>
    <definedName name="__INT1">#REF!</definedName>
    <definedName name="__Ism3" localSheetId="5">#REF!</definedName>
    <definedName name="__Ism3">#REF!</definedName>
    <definedName name="__ISO220" localSheetId="5">#REF!</definedName>
    <definedName name="__ISO220">#REF!</definedName>
    <definedName name="__kd1" localSheetId="5">#REF!</definedName>
    <definedName name="__kd1">#REF!</definedName>
    <definedName name="__kd2" localSheetId="5">#REF!</definedName>
    <definedName name="__kd2">#REF!</definedName>
    <definedName name="__kd3" localSheetId="5">#REF!</definedName>
    <definedName name="__kd3">#REF!</definedName>
    <definedName name="__KEY3" localSheetId="5" hidden="1">'[4]SC Cost FEB 03'!#REF!</definedName>
    <definedName name="__KEY3" hidden="1">'[4]SC Cost FEB 03'!#REF!</definedName>
    <definedName name="__Ki1" localSheetId="5">#REF!</definedName>
    <definedName name="__Ki1">#REF!</definedName>
    <definedName name="__Ki2" localSheetId="5">#REF!</definedName>
    <definedName name="__Ki2">#REF!</definedName>
    <definedName name="__LMH1" localSheetId="5">#REF!</definedName>
    <definedName name="__LMH1">#REF!</definedName>
    <definedName name="__LMH2" localSheetId="5">#REF!</definedName>
    <definedName name="__LMH2">#REF!</definedName>
    <definedName name="__ls1" localSheetId="5">#REF!</definedName>
    <definedName name="__ls1">#REF!</definedName>
    <definedName name="__ls2" localSheetId="5">#REF!</definedName>
    <definedName name="__ls2">#REF!</definedName>
    <definedName name="__ls3" localSheetId="5">#REF!</definedName>
    <definedName name="__ls3">#REF!</definedName>
    <definedName name="__ls4" localSheetId="5">#REF!</definedName>
    <definedName name="__ls4">#REF!</definedName>
    <definedName name="__MAN1" localSheetId="5">#REF!</definedName>
    <definedName name="__MAN1">#REF!</definedName>
    <definedName name="__mcl132" localSheetId="5">'[17]A1-Continuous'!#REF!</definedName>
    <definedName name="__mcl132">'[17]A1-Continuous'!#REF!</definedName>
    <definedName name="__ml3" localSheetId="5">'[17]A1-Continuous'!#REF!</definedName>
    <definedName name="__ml3">'[17]A1-Continuous'!#REF!</definedName>
    <definedName name="__ml33" localSheetId="5">'[17]A1-Continuous'!#REF!</definedName>
    <definedName name="__ml33">'[17]A1-Continuous'!#REF!</definedName>
    <definedName name="__mlc33" localSheetId="5">'[17]A1-Continuous'!#REF!</definedName>
    <definedName name="__mlc33">'[17]A1-Continuous'!#REF!</definedName>
    <definedName name="__MMB220" localSheetId="5">#REF!</definedName>
    <definedName name="__MMB220">#REF!</definedName>
    <definedName name="__mnk1" localSheetId="5">#REF!</definedName>
    <definedName name="__mnk1">#REF!</definedName>
    <definedName name="__new1" localSheetId="5">#REF!</definedName>
    <definedName name="__new1">#REF!</definedName>
    <definedName name="__nt75" localSheetId="5">#REF!</definedName>
    <definedName name="__nt75">#REF!</definedName>
    <definedName name="__out2" localSheetId="5">#REF!</definedName>
    <definedName name="__out2">#REF!</definedName>
    <definedName name="__pan1" localSheetId="5">#REF!</definedName>
    <definedName name="__pan1">#REF!</definedName>
    <definedName name="__PAN2" localSheetId="5">#REF!</definedName>
    <definedName name="__PAN2">#REF!</definedName>
    <definedName name="__PB1" localSheetId="5">#REF!</definedName>
    <definedName name="__PB1">#REF!</definedName>
    <definedName name="__pep99" localSheetId="5">#REF!</definedName>
    <definedName name="__pep99">#REF!</definedName>
    <definedName name="__pfi1" localSheetId="5">[22]Coalmine!#REF!</definedName>
    <definedName name="__pfi1">[22]Coalmine!#REF!</definedName>
    <definedName name="__pp1" localSheetId="5">[22]Coalmine!#REF!</definedName>
    <definedName name="__pp1">[22]Coalmine!#REF!</definedName>
    <definedName name="__pp2" localSheetId="5">[22]Coalmine!#REF!</definedName>
    <definedName name="__pp2">[22]Coalmine!#REF!</definedName>
    <definedName name="__rcu2" localSheetId="5">#REF!</definedName>
    <definedName name="__rcu2">#REF!</definedName>
    <definedName name="__Re1" localSheetId="5">#REF!</definedName>
    <definedName name="__Re1">#REF!</definedName>
    <definedName name="__Rl1" localSheetId="5">#REF!</definedName>
    <definedName name="__Rl1">#REF!</definedName>
    <definedName name="__Rs1" localSheetId="5">#REF!</definedName>
    <definedName name="__Rs1">#REF!</definedName>
    <definedName name="__rt1" localSheetId="5">#REF!</definedName>
    <definedName name="__rt1">#REF!</definedName>
    <definedName name="__rt2" localSheetId="5">#REF!</definedName>
    <definedName name="__rt2">#REF!</definedName>
    <definedName name="__rt3" localSheetId="5">#REF!</definedName>
    <definedName name="__rt3">#REF!</definedName>
    <definedName name="__run1" localSheetId="5">#REF!</definedName>
    <definedName name="__run1">#REF!</definedName>
    <definedName name="__run2" localSheetId="5">#REF!</definedName>
    <definedName name="__run2">#REF!</definedName>
    <definedName name="__run3" localSheetId="5">#REF!</definedName>
    <definedName name="__run3">#REF!</definedName>
    <definedName name="__sch2" localSheetId="5">#REF!</definedName>
    <definedName name="__sch2">#REF!</definedName>
    <definedName name="__sch9" localSheetId="5">#REF!</definedName>
    <definedName name="__sch9">#REF!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 localSheetId="5">#REF!</definedName>
    <definedName name="__sit75">#REF!</definedName>
    <definedName name="__SS402" localSheetId="5">#REF!</definedName>
    <definedName name="__SS402">#REF!</definedName>
    <definedName name="__SS403" localSheetId="5">#REF!</definedName>
    <definedName name="__SS403">#REF!</definedName>
    <definedName name="__SS404" localSheetId="5">#REF!</definedName>
    <definedName name="__SS404">#REF!</definedName>
    <definedName name="__SS405" localSheetId="5">#REF!</definedName>
    <definedName name="__SS405">#REF!</definedName>
    <definedName name="__SS406" localSheetId="5">#REF!</definedName>
    <definedName name="__SS406">#REF!</definedName>
    <definedName name="__SS407" localSheetId="5">#REF!</definedName>
    <definedName name="__SS407">#REF!</definedName>
    <definedName name="__SS408" localSheetId="5">#REF!</definedName>
    <definedName name="__SS408">#REF!</definedName>
    <definedName name="__SS409" localSheetId="5">#REF!</definedName>
    <definedName name="__SS409">#REF!</definedName>
    <definedName name="__SS423" localSheetId="5">#REF!</definedName>
    <definedName name="__SS423">#REF!</definedName>
    <definedName name="__SS424" localSheetId="5">#REF!</definedName>
    <definedName name="__SS424">#REF!</definedName>
    <definedName name="__TAB1">[6]TABLES!$A$2:$C$16</definedName>
    <definedName name="__TB2" localSheetId="5">#REF!</definedName>
    <definedName name="__TB2">#REF!</definedName>
    <definedName name="__Tk1" localSheetId="5">#REF!</definedName>
    <definedName name="__Tk1">#REF!</definedName>
    <definedName name="__Tk11" localSheetId="5">#REF!</definedName>
    <definedName name="__Tk11">#REF!</definedName>
    <definedName name="__Tk2" localSheetId="5">#REF!</definedName>
    <definedName name="__Tk2">#REF!</definedName>
    <definedName name="__Tkl1" localSheetId="5">#REF!</definedName>
    <definedName name="__Tkl1">#REF!</definedName>
    <definedName name="__tl1" localSheetId="5">#REF!</definedName>
    <definedName name="__tl1">#REF!</definedName>
    <definedName name="__tl2" localSheetId="5">#REF!</definedName>
    <definedName name="__tl2">#REF!</definedName>
    <definedName name="__tr75" localSheetId="5">#REF!</definedName>
    <definedName name="__tr75">#REF!</definedName>
    <definedName name="__trt75" localSheetId="5">#REF!</definedName>
    <definedName name="__trt75">#REF!</definedName>
    <definedName name="__tt75" localSheetId="5">#REF!</definedName>
    <definedName name="__tt75">#REF!</definedName>
    <definedName name="__vr1" localSheetId="5">#REF!</definedName>
    <definedName name="__vr1">#REF!</definedName>
    <definedName name="__Wc1" localSheetId="5">#REF!</definedName>
    <definedName name="__Wc1">#REF!</definedName>
    <definedName name="__WC3" localSheetId="5">#REF!</definedName>
    <definedName name="__WC3">#REF!</definedName>
    <definedName name="__wp1" localSheetId="5">#REF!</definedName>
    <definedName name="__wp1">#REF!</definedName>
    <definedName name="__Wr1" localSheetId="5">#REF!</definedName>
    <definedName name="__Wr1">#REF!</definedName>
    <definedName name="__Wr3" localSheetId="5">#REF!</definedName>
    <definedName name="__Wr3">#REF!</definedName>
    <definedName name="__Xl1" localSheetId="5">#REF!</definedName>
    <definedName name="__Xl1">#REF!</definedName>
    <definedName name="__xlfn_COUNTIFS">#N/A</definedName>
    <definedName name="__xlfn_SUMIFS">#N/A</definedName>
    <definedName name="_0" localSheetId="5">#REF!</definedName>
    <definedName name="_0">#REF!</definedName>
    <definedName name="_0___0" localSheetId="5">#REF!</definedName>
    <definedName name="_0___0">#REF!</definedName>
    <definedName name="_1" localSheetId="5">#REF!</definedName>
    <definedName name="_1">#REF!</definedName>
    <definedName name="_11BS" localSheetId="5">#REF!</definedName>
    <definedName name="_11BS">#REF!</definedName>
    <definedName name="_12BS" localSheetId="5">#REF!</definedName>
    <definedName name="_12BS">#REF!</definedName>
    <definedName name="_13BS" localSheetId="5">#REF!</definedName>
    <definedName name="_13BS">#REF!</definedName>
    <definedName name="_14BS" localSheetId="5">#REF!</definedName>
    <definedName name="_14BS">#REF!</definedName>
    <definedName name="_15BS" localSheetId="5">#REF!</definedName>
    <definedName name="_15BS">#REF!</definedName>
    <definedName name="_16BS" localSheetId="5">#REF!</definedName>
    <definedName name="_16BS">#REF!</definedName>
    <definedName name="_1Excel_BuiltIn_Print_Area_1_1" localSheetId="5">#REF!</definedName>
    <definedName name="_1Excel_BuiltIn_Print_Area_1_1">#REF!</definedName>
    <definedName name="_1Excel_BuiltIn_Print_Area_3_1" localSheetId="5">#REF!</definedName>
    <definedName name="_1Excel_BuiltIn_Print_Area_3_1">#REF!</definedName>
    <definedName name="_1Excel_BuiltIn_Print_Area_6_1" localSheetId="5">#REF!</definedName>
    <definedName name="_1Excel_BuiltIn_Print_Area_6_1">#REF!</definedName>
    <definedName name="_2Excel_BuiltIn_Print_Area_3_1" localSheetId="5">#REF!</definedName>
    <definedName name="_2Excel_BuiltIn_Print_Area_3_1">#REF!</definedName>
    <definedName name="_2Excel_BuiltIn_Print_Area_4_1" localSheetId="5">#REF!</definedName>
    <definedName name="_2Excel_BuiltIn_Print_Area_4_1">#REF!</definedName>
    <definedName name="_3Excel_BuiltIn_Print_Area_4_1_1" localSheetId="5">#REF!</definedName>
    <definedName name="_3Excel_BuiltIn_Print_Area_4_1_1">#REF!</definedName>
    <definedName name="_3Excel_BuiltIn_Print_Titles_3_1" localSheetId="5">#REF!</definedName>
    <definedName name="_3Excel_BuiltIn_Print_Titles_3_1">#REF!</definedName>
    <definedName name="_4321" localSheetId="5">#REF!</definedName>
    <definedName name="_4321">#REF!</definedName>
    <definedName name="_4Excel_BuiltIn_Print_Area_4_1_1_1" localSheetId="5">#REF!</definedName>
    <definedName name="_4Excel_BuiltIn_Print_Area_4_1_1_1">#REF!</definedName>
    <definedName name="_5Excel_BuiltIn_Print_Area_4_1_1_1_1" localSheetId="5">#REF!</definedName>
    <definedName name="_5Excel_BuiltIn_Print_Area_4_1_1_1_1">#REF!</definedName>
    <definedName name="_6Excel_BuiltIn_Print_Area_4_1_1_1_1_1" localSheetId="5">#REF!</definedName>
    <definedName name="_6Excel_BuiltIn_Print_Area_4_1_1_1_1_1">#REF!</definedName>
    <definedName name="_7Excel_BuiltIn_Print_Titles_4_1" localSheetId="5">#REF!</definedName>
    <definedName name="_7Excel_BuiltIn_Print_Titles_4_1">#REF!</definedName>
    <definedName name="_A" localSheetId="5">#REF!</definedName>
    <definedName name="_A">#REF!</definedName>
    <definedName name="_A1" localSheetId="5">#REF!</definedName>
    <definedName name="_A1">#REF!</definedName>
    <definedName name="_A10" localSheetId="5">#REF!</definedName>
    <definedName name="_A10">#REF!</definedName>
    <definedName name="_A13" localSheetId="5">#REF!</definedName>
    <definedName name="_A13">#REF!</definedName>
    <definedName name="_A2" localSheetId="5">#REF!</definedName>
    <definedName name="_A2">#REF!</definedName>
    <definedName name="_A3" localSheetId="5">#REF!</definedName>
    <definedName name="_A3">#REF!</definedName>
    <definedName name="_A31" localSheetId="5">#REF!</definedName>
    <definedName name="_A31">#REF!</definedName>
    <definedName name="_A321" localSheetId="5">#REF!</definedName>
    <definedName name="_A321">#REF!</definedName>
    <definedName name="_A4" localSheetId="5">#REF!</definedName>
    <definedName name="_A4">#REF!</definedName>
    <definedName name="_A5" localSheetId="5">#REF!</definedName>
    <definedName name="_A5">#REF!</definedName>
    <definedName name="_A6" localSheetId="5">#REF!</definedName>
    <definedName name="_A6">#REF!</definedName>
    <definedName name="_A65537" localSheetId="5">#REF!</definedName>
    <definedName name="_A65537">#REF!</definedName>
    <definedName name="_A655600" localSheetId="5">#REF!</definedName>
    <definedName name="_A655600">#REF!</definedName>
    <definedName name="_a655601" localSheetId="5">#REF!</definedName>
    <definedName name="_a655601">#REF!</definedName>
    <definedName name="_A7" localSheetId="5">#REF!</definedName>
    <definedName name="_A7">#REF!</definedName>
    <definedName name="_A8" localSheetId="5">#REF!</definedName>
    <definedName name="_A8">#REF!</definedName>
    <definedName name="_A81613" localSheetId="5">#REF!</definedName>
    <definedName name="_A81613">#REF!</definedName>
    <definedName name="_A9" localSheetId="5">#REF!</definedName>
    <definedName name="_A9">#REF!</definedName>
    <definedName name="_a999999" localSheetId="5">#REF!</definedName>
    <definedName name="_a999999">#REF!</definedName>
    <definedName name="_aba2" localSheetId="5">#REF!</definedName>
    <definedName name="_aba2">#REF!</definedName>
    <definedName name="_acs1" localSheetId="5">#REF!</definedName>
    <definedName name="_acs1">#REF!</definedName>
    <definedName name="_acs2" localSheetId="5">#REF!</definedName>
    <definedName name="_acs2">#REF!</definedName>
    <definedName name="_Ann1" localSheetId="5">#REF!</definedName>
    <definedName name="_Ann1">#REF!</definedName>
    <definedName name="_axx1" localSheetId="5">[10]Report!#REF!</definedName>
    <definedName name="_axx1">[10]Report!#REF!</definedName>
    <definedName name="_axx2" localSheetId="5">[10]Report!#REF!</definedName>
    <definedName name="_axx2">[10]Report!#REF!</definedName>
    <definedName name="_axx3" localSheetId="5">[18]Report!#REF!</definedName>
    <definedName name="_axx3">[18]Report!#REF!</definedName>
    <definedName name="_AXX4" localSheetId="5">[11]Sheet1!#REF!</definedName>
    <definedName name="_AXX4">[11]Sheet1!#REF!</definedName>
    <definedName name="_axx5" localSheetId="5">[11]Sheet1!#REF!</definedName>
    <definedName name="_axx5">[11]Sheet1!#REF!</definedName>
    <definedName name="_axx6" localSheetId="5">[11]Sheet1!#REF!</definedName>
    <definedName name="_axx6">[11]Sheet1!#REF!</definedName>
    <definedName name="_AXX7" localSheetId="5">[11]Sheet1!#REF!</definedName>
    <definedName name="_AXX7">[11]Sheet1!#REF!</definedName>
    <definedName name="_axx8" localSheetId="5">[11]Sheet1!#REF!</definedName>
    <definedName name="_axx8">[11]Sheet1!#REF!</definedName>
    <definedName name="_B" localSheetId="5">#REF!</definedName>
    <definedName name="_B">#REF!</definedName>
    <definedName name="_B1" localSheetId="5">#REF!</definedName>
    <definedName name="_B1">#REF!</definedName>
    <definedName name="_b111121" localSheetId="5">'[2]PACK (B)'!#REF!</definedName>
    <definedName name="_b111121">'[2]PACK (B)'!#REF!</definedName>
    <definedName name="_bct75" localSheetId="5">#REF!</definedName>
    <definedName name="_bct75">#REF!</definedName>
    <definedName name="_bhh2" localSheetId="5">#REF!</definedName>
    <definedName name="_bhh2">#REF!</definedName>
    <definedName name="_bom1" localSheetId="5">#REF!</definedName>
    <definedName name="_bom1">#REF!</definedName>
    <definedName name="_buh11" localSheetId="5">#REF!</definedName>
    <definedName name="_buh11">#REF!</definedName>
    <definedName name="_C" localSheetId="5">#REF!</definedName>
    <definedName name="_C">#REF!</definedName>
    <definedName name="_C___0" localSheetId="5">#REF!</definedName>
    <definedName name="_C___0">#REF!</definedName>
    <definedName name="_C___13" localSheetId="5">#REF!</definedName>
    <definedName name="_C___13">#REF!</definedName>
    <definedName name="_CCT220" localSheetId="5">#REF!</definedName>
    <definedName name="_CCT220">#REF!</definedName>
    <definedName name="_cdd2" localSheetId="5">#REF!</definedName>
    <definedName name="_cdd2">#REF!</definedName>
    <definedName name="_CFB1" localSheetId="5">#REF!</definedName>
    <definedName name="_CFB1">#REF!</definedName>
    <definedName name="_CFB2" localSheetId="5">#REF!</definedName>
    <definedName name="_CFB2">#REF!</definedName>
    <definedName name="_CFB3" localSheetId="5">#REF!</definedName>
    <definedName name="_CFB3">#REF!</definedName>
    <definedName name="_cff2" localSheetId="5">#REF!</definedName>
    <definedName name="_cff2">#REF!</definedName>
    <definedName name="_cli1">[16]Code!$B$3</definedName>
    <definedName name="_cli2">[16]Code!$B$4</definedName>
    <definedName name="_cli3">[16]Code!$B$5</definedName>
    <definedName name="_cli4">[16]Code!$B$6</definedName>
    <definedName name="_cli5" localSheetId="5">#REF!</definedName>
    <definedName name="_cli5">#REF!</definedName>
    <definedName name="_COL1" localSheetId="5">#REF!</definedName>
    <definedName name="_COL1">#REF!</definedName>
    <definedName name="_col33" localSheetId="5">'[9]A1-Continuous'!#REF!</definedName>
    <definedName name="_col33">'[9]A1-Continuous'!#REF!</definedName>
    <definedName name="_cth2" localSheetId="5">#REF!</definedName>
    <definedName name="_cth2">#REF!</definedName>
    <definedName name="_CVT220" localSheetId="5">#REF!</definedName>
    <definedName name="_CVT220">#REF!</definedName>
    <definedName name="_DAT1" localSheetId="5">#REF!</definedName>
    <definedName name="_DAT1">#REF!</definedName>
    <definedName name="_DAT10" localSheetId="5">#REF!</definedName>
    <definedName name="_DAT10">#REF!</definedName>
    <definedName name="_DAT11" localSheetId="5">#REF!</definedName>
    <definedName name="_DAT11">#REF!</definedName>
    <definedName name="_DAT12" localSheetId="5">#REF!</definedName>
    <definedName name="_DAT12">#REF!</definedName>
    <definedName name="_DAT13" localSheetId="5">#REF!</definedName>
    <definedName name="_DAT13">#REF!</definedName>
    <definedName name="_DAT14" localSheetId="5">#REF!</definedName>
    <definedName name="_DAT14">#REF!</definedName>
    <definedName name="_DAT15" localSheetId="5">#REF!</definedName>
    <definedName name="_DAT15">#REF!</definedName>
    <definedName name="_DAT16" localSheetId="5">#REF!</definedName>
    <definedName name="_DAT16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 localSheetId="5">#REF!</definedName>
    <definedName name="_DAT4">#REF!</definedName>
    <definedName name="_DAT5" localSheetId="5">#REF!</definedName>
    <definedName name="_DAT5">#REF!</definedName>
    <definedName name="_DAT6" localSheetId="5">#REF!</definedName>
    <definedName name="_DAT6">#REF!</definedName>
    <definedName name="_DAT7" localSheetId="5">#REF!</definedName>
    <definedName name="_DAT7">#REF!</definedName>
    <definedName name="_DAT8" localSheetId="5">#REF!</definedName>
    <definedName name="_DAT8">#REF!</definedName>
    <definedName name="_DAT9" localSheetId="5">#REF!</definedName>
    <definedName name="_DAT9">#REF!</definedName>
    <definedName name="_del1" localSheetId="5">#REF!</definedName>
    <definedName name="_del1">#REF!</definedName>
    <definedName name="_DET1" localSheetId="5">#REF!</definedName>
    <definedName name="_DET1">#REF!</definedName>
    <definedName name="_DET2" localSheetId="5">#REF!</definedName>
    <definedName name="_DET2">#REF!</definedName>
    <definedName name="_DET3" localSheetId="5">#REF!</definedName>
    <definedName name="_DET3">#REF!</definedName>
    <definedName name="_DET4" localSheetId="5">#REF!</definedName>
    <definedName name="_DET4">#REF!</definedName>
    <definedName name="_DET5" localSheetId="5">#REF!</definedName>
    <definedName name="_DET5">#REF!</definedName>
    <definedName name="_DET6" localSheetId="5">#REF!</definedName>
    <definedName name="_DET6">#REF!</definedName>
    <definedName name="_DIS1" localSheetId="5">[22]Coalmine!#REF!</definedName>
    <definedName name="_DIS1">[22]Coalmine!#REF!</definedName>
    <definedName name="_DKT75" localSheetId="5">#REF!</definedName>
    <definedName name="_DKT75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th2" localSheetId="5">#REF!</definedName>
    <definedName name="_eth2">#REF!</definedName>
    <definedName name="_Fill" localSheetId="5" hidden="1">#REF!</definedName>
    <definedName name="_Fill" hidden="1">#REF!</definedName>
    <definedName name="_Fill1" localSheetId="5" hidden="1">[24]BHANDUP!#REF!</definedName>
    <definedName name="_Fill1" hidden="1">[24]BHANDUP!#REF!</definedName>
    <definedName name="_xlnm._FilterDatabase" localSheetId="2" hidden="1">'ProGress Sheet '!$B$645:$Q$908</definedName>
    <definedName name="_xlnm._FilterDatabase" localSheetId="7" hidden="1">'Tack Welding '!$C$2:$I$2</definedName>
    <definedName name="_xlnm._FilterDatabase" localSheetId="8" hidden="1">'Tower Tightening '!$D$2:$H$312</definedName>
    <definedName name="_Fpi1" localSheetId="5">#REF!</definedName>
    <definedName name="_Fpi1">#REF!</definedName>
    <definedName name="_g66666" localSheetId="5">#REF!</definedName>
    <definedName name="_g66666">#REF!</definedName>
    <definedName name="_hcjksd" localSheetId="5">#REF!</definedName>
    <definedName name="_hcjksd">#REF!</definedName>
    <definedName name="_HCO2" localSheetId="5">#REF!</definedName>
    <definedName name="_HCO2">#REF!</definedName>
    <definedName name="_hfi04" localSheetId="5">#REF!</definedName>
    <definedName name="_hfi04">#REF!</definedName>
    <definedName name="_hfi1" localSheetId="5">[10]Report!#REF!</definedName>
    <definedName name="_hfi1">[10]Report!#REF!</definedName>
    <definedName name="_hfi2" localSheetId="5">[11]Sheet1!#REF!</definedName>
    <definedName name="_hfi2">[11]Sheet1!#REF!</definedName>
    <definedName name="_hfi3" localSheetId="5">[10]Report!#REF!</definedName>
    <definedName name="_hfi3">[10]Report!#REF!</definedName>
    <definedName name="_hfi4" localSheetId="5">[11]Sheet1!#REF!</definedName>
    <definedName name="_hfi4">[11]Sheet1!#REF!</definedName>
    <definedName name="_hfi5" localSheetId="5">[11]Sheet1!#REF!</definedName>
    <definedName name="_hfi5">[11]Sheet1!#REF!</definedName>
    <definedName name="_hfi6" localSheetId="5">[11]Sheet1!#REF!</definedName>
    <definedName name="_hfi6">[11]Sheet1!#REF!</definedName>
    <definedName name="_HFI7" localSheetId="5">[11]Sheet1!#REF!</definedName>
    <definedName name="_HFI7">[11]Sheet1!#REF!</definedName>
    <definedName name="_hfi8" localSheetId="5">[11]Sheet1!#REF!</definedName>
    <definedName name="_hfi8">[11]Sheet1!#REF!</definedName>
    <definedName name="_Hra2" localSheetId="5">#REF!</definedName>
    <definedName name="_Hra2">#REF!</definedName>
    <definedName name="_Hso2" localSheetId="5">#REF!</definedName>
    <definedName name="_Hso2">#REF!</definedName>
    <definedName name="_Hso3" localSheetId="5">#REF!</definedName>
    <definedName name="_Hso3">#REF!</definedName>
    <definedName name="_hxa1" localSheetId="5">#REF!</definedName>
    <definedName name="_hxa1">#REF!</definedName>
    <definedName name="_hxa2" localSheetId="5">#REF!</definedName>
    <definedName name="_hxa2">#REF!</definedName>
    <definedName name="_hxb1" localSheetId="5">#REF!</definedName>
    <definedName name="_hxb1">#REF!</definedName>
    <definedName name="_hxb2" localSheetId="5">#REF!</definedName>
    <definedName name="_hxb2">#REF!</definedName>
    <definedName name="_hxc1" localSheetId="5">#REF!</definedName>
    <definedName name="_hxc1">#REF!</definedName>
    <definedName name="_hxc2" localSheetId="5">#REF!</definedName>
    <definedName name="_hxc2">#REF!</definedName>
    <definedName name="_hxd1" localSheetId="5">[22]Coalmine!#REF!</definedName>
    <definedName name="_hxd1">[22]Coalmine!#REF!</definedName>
    <definedName name="_hxf1" localSheetId="5">[19]CAL!#REF!</definedName>
    <definedName name="_hxf1">[19]CAL!#REF!</definedName>
    <definedName name="_ifa1" localSheetId="5">#REF!</definedName>
    <definedName name="_ifa1">#REF!</definedName>
    <definedName name="_ifa2" localSheetId="5">#REF!</definedName>
    <definedName name="_ifa2">#REF!</definedName>
    <definedName name="_INT1" localSheetId="5">#REF!</definedName>
    <definedName name="_INT1">#REF!</definedName>
    <definedName name="_Ism3" localSheetId="5">#REF!</definedName>
    <definedName name="_Ism3">#REF!</definedName>
    <definedName name="_ISO220" localSheetId="5">#REF!</definedName>
    <definedName name="_ISO220">#REF!</definedName>
    <definedName name="_kd1" localSheetId="5">#REF!</definedName>
    <definedName name="_kd1">#REF!</definedName>
    <definedName name="_kd2" localSheetId="5">#REF!</definedName>
    <definedName name="_kd2">#REF!</definedName>
    <definedName name="_kd3" localSheetId="5">#REF!</definedName>
    <definedName name="_kd3">#REF!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KEY3" localSheetId="5" hidden="1">'[5]SC Cost FEB 03'!#REF!</definedName>
    <definedName name="_KEY3" hidden="1">'[5]SC Cost FEB 03'!#REF!</definedName>
    <definedName name="_Ki1" localSheetId="5">#REF!</definedName>
    <definedName name="_Ki1">#REF!</definedName>
    <definedName name="_Ki2" localSheetId="5">#REF!</definedName>
    <definedName name="_Ki2">#REF!</definedName>
    <definedName name="_klkjlo" localSheetId="5">#REF!</definedName>
    <definedName name="_klkjlo">#REF!</definedName>
    <definedName name="_LMH1" localSheetId="5">#REF!</definedName>
    <definedName name="_LMH1">#REF!</definedName>
    <definedName name="_LMH2" localSheetId="5">#REF!</definedName>
    <definedName name="_LMH2">#REF!</definedName>
    <definedName name="_ls1" localSheetId="5">#REF!</definedName>
    <definedName name="_ls1">#REF!</definedName>
    <definedName name="_ls2" localSheetId="5">#REF!</definedName>
    <definedName name="_ls2">#REF!</definedName>
    <definedName name="_ls3" localSheetId="5">#REF!</definedName>
    <definedName name="_ls3">#REF!</definedName>
    <definedName name="_ls4" localSheetId="5">#REF!</definedName>
    <definedName name="_ls4">#REF!</definedName>
    <definedName name="_lvl1" localSheetId="5">#REF!</definedName>
    <definedName name="_lvl1">#REF!</definedName>
    <definedName name="_M" localSheetId="5">#REF!</definedName>
    <definedName name="_M">#REF!</definedName>
    <definedName name="_mac2">200</definedName>
    <definedName name="_MAN1" localSheetId="5">#REF!</definedName>
    <definedName name="_MAN1">#REF!</definedName>
    <definedName name="_mcl132" localSheetId="5">'[9]A1-Continuous'!#REF!</definedName>
    <definedName name="_mcl132">'[9]A1-Continuous'!#REF!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 localSheetId="5">'[9]A1-Continuous'!#REF!</definedName>
    <definedName name="_ml3">'[9]A1-Continuous'!#REF!</definedName>
    <definedName name="_ml33" localSheetId="5">'[9]A1-Continuous'!#REF!</definedName>
    <definedName name="_ml33">'[9]A1-Continuous'!#REF!</definedName>
    <definedName name="_mlc33" localSheetId="5">'[9]A1-Continuous'!#REF!</definedName>
    <definedName name="_mlc33">'[9]A1-Continuous'!#REF!</definedName>
    <definedName name="_MMB220" localSheetId="5">#REF!</definedName>
    <definedName name="_MMB220">#REF!</definedName>
    <definedName name="_mnk1" localSheetId="5">#REF!</definedName>
    <definedName name="_mnk1">#REF!</definedName>
    <definedName name="_N" localSheetId="5">#REF!</definedName>
    <definedName name="_N">#REF!</definedName>
    <definedName name="_new1" localSheetId="5">#REF!</definedName>
    <definedName name="_new1">#REF!</definedName>
    <definedName name="_nt75" localSheetId="5">#REF!</definedName>
    <definedName name="_nt75">#REF!</definedName>
    <definedName name="_Order1" hidden="1">255</definedName>
    <definedName name="_Order2" hidden="1">255</definedName>
    <definedName name="_out2" localSheetId="5">#REF!</definedName>
    <definedName name="_out2">#REF!</definedName>
    <definedName name="_P" localSheetId="5">#REF!</definedName>
    <definedName name="_P">#REF!</definedName>
    <definedName name="_pan1" localSheetId="5">#REF!</definedName>
    <definedName name="_pan1">#REF!</definedName>
    <definedName name="_PAN2" localSheetId="5">#REF!</definedName>
    <definedName name="_PAN2">#REF!</definedName>
    <definedName name="_Parse_In" localSheetId="5" hidden="1">#REF!</definedName>
    <definedName name="_Parse_In" hidden="1">#REF!</definedName>
    <definedName name="_PB1" localSheetId="5">#REF!</definedName>
    <definedName name="_PB1">#REF!</definedName>
    <definedName name="_pep99" localSheetId="5">#REF!</definedName>
    <definedName name="_pep99">#REF!</definedName>
    <definedName name="_pfi1" localSheetId="5">[22]Coalmine!#REF!</definedName>
    <definedName name="_pfi1">[22]Coalmine!#REF!</definedName>
    <definedName name="_pp1" localSheetId="5">[22]Coalmine!#REF!</definedName>
    <definedName name="_pp1">[22]Coalmine!#REF!</definedName>
    <definedName name="_pp2" localSheetId="5">[22]Coalmine!#REF!</definedName>
    <definedName name="_pp2">[22]Coalmine!#REF!</definedName>
    <definedName name="_R" localSheetId="5">#REF!</definedName>
    <definedName name="_R">#REF!</definedName>
    <definedName name="_R1" localSheetId="5">#REF!</definedName>
    <definedName name="_R1">#REF!</definedName>
    <definedName name="_rcu2" localSheetId="5">#REF!</definedName>
    <definedName name="_rcu2">#REF!</definedName>
    <definedName name="_Re1" localSheetId="5">#REF!</definedName>
    <definedName name="_Re1">#REF!</definedName>
    <definedName name="_Rl1" localSheetId="5">#REF!</definedName>
    <definedName name="_Rl1">#REF!</definedName>
    <definedName name="_Rs1" localSheetId="5">#REF!</definedName>
    <definedName name="_Rs1">#REF!</definedName>
    <definedName name="_rt1" localSheetId="5">#REF!</definedName>
    <definedName name="_rt1">#REF!</definedName>
    <definedName name="_rt2" localSheetId="5">#REF!</definedName>
    <definedName name="_rt2">#REF!</definedName>
    <definedName name="_rt3" localSheetId="5">#REF!</definedName>
    <definedName name="_rt3">#REF!</definedName>
    <definedName name="_run1" localSheetId="5">#REF!</definedName>
    <definedName name="_run1">#REF!</definedName>
    <definedName name="_run2" localSheetId="5">#REF!</definedName>
    <definedName name="_run2">#REF!</definedName>
    <definedName name="_run3" localSheetId="5">#REF!</definedName>
    <definedName name="_run3">#REF!</definedName>
    <definedName name="_sch2" localSheetId="5">#REF!</definedName>
    <definedName name="_sch2">#REF!</definedName>
    <definedName name="_sch9" localSheetId="5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 localSheetId="5">#REF!</definedName>
    <definedName name="_sit75">#REF!</definedName>
    <definedName name="_Sort" localSheetId="5" hidden="1">#REF!</definedName>
    <definedName name="_Sort" hidden="1">#REF!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 localSheetId="5">#REF!</definedName>
    <definedName name="_SS405">#REF!</definedName>
    <definedName name="_SS406" localSheetId="5">#REF!</definedName>
    <definedName name="_SS406">#REF!</definedName>
    <definedName name="_SS407" localSheetId="5">#REF!</definedName>
    <definedName name="_SS407">#REF!</definedName>
    <definedName name="_SS408" localSheetId="5">#REF!</definedName>
    <definedName name="_SS408">#REF!</definedName>
    <definedName name="_SS409" localSheetId="5">#REF!</definedName>
    <definedName name="_SS409">#REF!</definedName>
    <definedName name="_SS423" localSheetId="5">#REF!</definedName>
    <definedName name="_SS423">#REF!</definedName>
    <definedName name="_SS424" localSheetId="5">#REF!</definedName>
    <definedName name="_SS424">#REF!</definedName>
    <definedName name="_TAB1">[6]TABLES!$A$2:$C$16</definedName>
    <definedName name="_TB2" localSheetId="5">#REF!</definedName>
    <definedName name="_TB2">#REF!</definedName>
    <definedName name="_te1" localSheetId="5">#REF!</definedName>
    <definedName name="_te1">#REF!</definedName>
    <definedName name="_Tk1" localSheetId="5">#REF!</definedName>
    <definedName name="_Tk1">#REF!</definedName>
    <definedName name="_Tk11" localSheetId="5">#REF!</definedName>
    <definedName name="_Tk11">#REF!</definedName>
    <definedName name="_Tk2" localSheetId="5">#REF!</definedName>
    <definedName name="_Tk2">#REF!</definedName>
    <definedName name="_Tkl1" localSheetId="5">#REF!</definedName>
    <definedName name="_Tkl1">#REF!</definedName>
    <definedName name="_tl1" localSheetId="5">#REF!</definedName>
    <definedName name="_tl1">#REF!</definedName>
    <definedName name="_tl2" localSheetId="5">#REF!</definedName>
    <definedName name="_tl2">#REF!</definedName>
    <definedName name="_TR100" localSheetId="5">#REF!</definedName>
    <definedName name="_TR100">#REF!</definedName>
    <definedName name="_TR315" localSheetId="5">#REF!</definedName>
    <definedName name="_TR315">#REF!</definedName>
    <definedName name="_TR33" localSheetId="5">#REF!</definedName>
    <definedName name="_TR33">#REF!</definedName>
    <definedName name="_tr75" localSheetId="5">#REF!</definedName>
    <definedName name="_tr75">#REF!</definedName>
    <definedName name="_trt75" localSheetId="5">#REF!</definedName>
    <definedName name="_trt75">#REF!</definedName>
    <definedName name="_tt75" localSheetId="5">#REF!</definedName>
    <definedName name="_tt75">#REF!</definedName>
    <definedName name="_U" localSheetId="5">#REF!</definedName>
    <definedName name="_U">#REF!</definedName>
    <definedName name="_V" localSheetId="5">#REF!</definedName>
    <definedName name="_V">#REF!</definedName>
    <definedName name="_Vf1" localSheetId="5">#REF!</definedName>
    <definedName name="_Vf1">#REF!</definedName>
    <definedName name="_Vf2" localSheetId="5">#REF!</definedName>
    <definedName name="_Vf2">#REF!</definedName>
    <definedName name="_vr1" localSheetId="5">#REF!</definedName>
    <definedName name="_vr1">#REF!</definedName>
    <definedName name="_Wc1" localSheetId="5">#REF!</definedName>
    <definedName name="_Wc1">#REF!</definedName>
    <definedName name="_WC3" localSheetId="5">#REF!</definedName>
    <definedName name="_WC3">#REF!</definedName>
    <definedName name="_wp1" localSheetId="5">#REF!</definedName>
    <definedName name="_wp1">#REF!</definedName>
    <definedName name="_Wr1" localSheetId="5">#REF!</definedName>
    <definedName name="_Wr1">#REF!</definedName>
    <definedName name="_Wr3" localSheetId="5">#REF!</definedName>
    <definedName name="_Wr3">#REF!</definedName>
    <definedName name="A" localSheetId="5">#REF!</definedName>
    <definedName name="A">#REF!</definedName>
    <definedName name="A.T.RAJAN" localSheetId="5">#REF!</definedName>
    <definedName name="A.T.RAJAN">#REF!</definedName>
    <definedName name="a___0" localSheetId="5">#REF!</definedName>
    <definedName name="a___0">#REF!</definedName>
    <definedName name="a___13" localSheetId="5">#REF!</definedName>
    <definedName name="a___13">#REF!</definedName>
    <definedName name="A_A" localSheetId="5">#REF!</definedName>
    <definedName name="A_A">#REF!</definedName>
    <definedName name="A_B" localSheetId="5">#REF!</definedName>
    <definedName name="A_B">#REF!</definedName>
    <definedName name="A_sp" localSheetId="5">#REF!</definedName>
    <definedName name="A_sp">#REF!</definedName>
    <definedName name="A0" localSheetId="5">#REF!</definedName>
    <definedName name="A0">#REF!</definedName>
    <definedName name="A1_" localSheetId="5">#REF!</definedName>
    <definedName name="A1_">#REF!</definedName>
    <definedName name="A1____0" localSheetId="5">#REF!</definedName>
    <definedName name="A1____0">#REF!</definedName>
    <definedName name="A1____13" localSheetId="5">#REF!</definedName>
    <definedName name="A1____13">#REF!</definedName>
    <definedName name="A10_" localSheetId="5">#REF!</definedName>
    <definedName name="A10_">#REF!</definedName>
    <definedName name="A10____0" localSheetId="5">#REF!</definedName>
    <definedName name="A10____0">#REF!</definedName>
    <definedName name="A10____13" localSheetId="5">#REF!</definedName>
    <definedName name="A10____13">#REF!</definedName>
    <definedName name="A13_" localSheetId="5">#REF!</definedName>
    <definedName name="A13_">#REF!</definedName>
    <definedName name="A13____0" localSheetId="5">#REF!</definedName>
    <definedName name="A13____0">#REF!</definedName>
    <definedName name="A13____13" localSheetId="5">#REF!</definedName>
    <definedName name="A13____13">#REF!</definedName>
    <definedName name="a1a" localSheetId="5">[25]Report!#REF!</definedName>
    <definedName name="a1a">[25]Report!#REF!</definedName>
    <definedName name="A2_" localSheetId="5">#REF!</definedName>
    <definedName name="A2_">#REF!</definedName>
    <definedName name="A2____0" localSheetId="5">#REF!</definedName>
    <definedName name="A2____0">#REF!</definedName>
    <definedName name="A2____13" localSheetId="5">#REF!</definedName>
    <definedName name="A2____13">#REF!</definedName>
    <definedName name="a2a" localSheetId="5">[25]Report!#REF!</definedName>
    <definedName name="a2a">[25]Report!#REF!</definedName>
    <definedName name="A3_" localSheetId="5">#REF!</definedName>
    <definedName name="A3_">#REF!</definedName>
    <definedName name="A3____0" localSheetId="5">#REF!</definedName>
    <definedName name="A3____0">#REF!</definedName>
    <definedName name="A3____13" localSheetId="5">#REF!</definedName>
    <definedName name="A3____13">#REF!</definedName>
    <definedName name="A4_" localSheetId="5">#REF!</definedName>
    <definedName name="A4_">#REF!</definedName>
    <definedName name="A4____0" localSheetId="5">#REF!</definedName>
    <definedName name="A4____0">#REF!</definedName>
    <definedName name="A4____13" localSheetId="5">#REF!</definedName>
    <definedName name="A4____13">#REF!</definedName>
    <definedName name="A5_" localSheetId="5">#REF!</definedName>
    <definedName name="A5_">#REF!</definedName>
    <definedName name="A5____0" localSheetId="5">#REF!</definedName>
    <definedName name="A5____0">#REF!</definedName>
    <definedName name="A5____13" localSheetId="5">#REF!</definedName>
    <definedName name="A5____13">#REF!</definedName>
    <definedName name="A6_" localSheetId="5">#REF!</definedName>
    <definedName name="A6_">#REF!</definedName>
    <definedName name="A6____0" localSheetId="5">#REF!</definedName>
    <definedName name="A6____0">#REF!</definedName>
    <definedName name="A6____13" localSheetId="5">#REF!</definedName>
    <definedName name="A6____13">#REF!</definedName>
    <definedName name="A7_" localSheetId="5">#REF!</definedName>
    <definedName name="A7_">#REF!</definedName>
    <definedName name="A7____0" localSheetId="5">#REF!</definedName>
    <definedName name="A7____0">#REF!</definedName>
    <definedName name="A7____13" localSheetId="5">#REF!</definedName>
    <definedName name="A7____13">#REF!</definedName>
    <definedName name="A8_" localSheetId="5">#REF!</definedName>
    <definedName name="A8_">#REF!</definedName>
    <definedName name="A8____0" localSheetId="5">#REF!</definedName>
    <definedName name="A8____0">#REF!</definedName>
    <definedName name="A8____13" localSheetId="5">#REF!</definedName>
    <definedName name="A8____13">#REF!</definedName>
    <definedName name="A9_" localSheetId="5">#REF!</definedName>
    <definedName name="A9_">#REF!</definedName>
    <definedName name="A9____0" localSheetId="5">#REF!</definedName>
    <definedName name="A9____0">#REF!</definedName>
    <definedName name="A9____13" localSheetId="5">#REF!</definedName>
    <definedName name="A9____13">#REF!</definedName>
    <definedName name="AA" localSheetId="5">#REF!</definedName>
    <definedName name="AA">#REF!</definedName>
    <definedName name="aaa" localSheetId="5">#REF!</definedName>
    <definedName name="aaa">#REF!</definedName>
    <definedName name="aaaa" localSheetId="5">#REF!</definedName>
    <definedName name="aaaa">#REF!</definedName>
    <definedName name="aaaaaaaaaaa" localSheetId="5">#REF!</definedName>
    <definedName name="aaaaaaaaaaa">#REF!</definedName>
    <definedName name="AAAAAAAAAAAAAAAAAAAAAAAAAAAAAAAAAAAAAAAAA" localSheetId="5">#REF!</definedName>
    <definedName name="AAAAAAAAAAAAAAAAAAAAAAAAAAAAAAAAAAAAAAAAA">#REF!</definedName>
    <definedName name="aamin" localSheetId="5">#REF!</definedName>
    <definedName name="aamin">#REF!</definedName>
    <definedName name="aas" localSheetId="5">#REF!</definedName>
    <definedName name="aas">#REF!</definedName>
    <definedName name="aasdad" localSheetId="5">[26]GWC!#REF!</definedName>
    <definedName name="aasdad">[26]GWC!#REF!</definedName>
    <definedName name="aAXX1" localSheetId="5">#REF!</definedName>
    <definedName name="aAXX1">#REF!</definedName>
    <definedName name="ab" localSheetId="5">#REF!</definedName>
    <definedName name="ab">#REF!</definedName>
    <definedName name="ABACUS" localSheetId="5">#REF!</definedName>
    <definedName name="ABACUS">#REF!</definedName>
    <definedName name="ABC" localSheetId="5">#REF!</definedName>
    <definedName name="ABC">#REF!</definedName>
    <definedName name="abcd" localSheetId="5">#REF!</definedName>
    <definedName name="abcd">#REF!</definedName>
    <definedName name="abg" localSheetId="5">'[27]UNP-NCW '!#REF!</definedName>
    <definedName name="abg">'[27]UNP-NCW '!#REF!</definedName>
    <definedName name="Ac" localSheetId="5">#REF!</definedName>
    <definedName name="Ac">#REF!</definedName>
    <definedName name="ACER" comment="Self loader 03" localSheetId="5">#REF!</definedName>
    <definedName name="ACER" comment="Self loader 03">#REF!</definedName>
    <definedName name="ACK">[28]Basis!$I$5</definedName>
    <definedName name="ad" localSheetId="5">#REF!</definedName>
    <definedName name="ad">#REF!</definedName>
    <definedName name="adas" localSheetId="5">[29]CLAY!#REF!</definedName>
    <definedName name="adas">[29]CLAY!#REF!</definedName>
    <definedName name="adasdas" localSheetId="5">#REF!</definedName>
    <definedName name="adasdas">#REF!</definedName>
    <definedName name="ADD" localSheetId="5">#REF!</definedName>
    <definedName name="ADD">#REF!</definedName>
    <definedName name="addf" localSheetId="5">#REF!</definedName>
    <definedName name="addf">#REF!</definedName>
    <definedName name="adfad" localSheetId="5">[26]GWC!#REF!</definedName>
    <definedName name="adfad">[26]GWC!#REF!</definedName>
    <definedName name="ADFFG" localSheetId="5">#REF!</definedName>
    <definedName name="ADFFG">#REF!</definedName>
    <definedName name="ADFGFG" localSheetId="5">#REF!</definedName>
    <definedName name="ADFGFG">#REF!</definedName>
    <definedName name="ADFS" localSheetId="5">#REF!</definedName>
    <definedName name="ADFS">#REF!</definedName>
    <definedName name="ADG" localSheetId="5">#REF!</definedName>
    <definedName name="ADG">#REF!</definedName>
    <definedName name="adgh" localSheetId="5">[11]Sheet1!#REF!</definedName>
    <definedName name="adgh">[11]Sheet1!#REF!</definedName>
    <definedName name="ADVIK" localSheetId="5">#REF!</definedName>
    <definedName name="ADVIK">#REF!</definedName>
    <definedName name="adwea" localSheetId="5">#REF!</definedName>
    <definedName name="adwea">#REF!</definedName>
    <definedName name="AE" localSheetId="5">#REF!</definedName>
    <definedName name="AE">#REF!</definedName>
    <definedName name="aerawrwaraaa" localSheetId="5">[26]GWC!#REF!</definedName>
    <definedName name="aerawrwaraaa">[26]GWC!#REF!</definedName>
    <definedName name="AF" localSheetId="5">#REF!</definedName>
    <definedName name="AF">#REF!</definedName>
    <definedName name="afafa" localSheetId="5" hidden="1">[30]MAINBS1!#REF!</definedName>
    <definedName name="afafa" hidden="1">[30]MAINBS1!#REF!</definedName>
    <definedName name="AFF" localSheetId="5">#REF!</definedName>
    <definedName name="AFF">#REF!</definedName>
    <definedName name="AFFH" localSheetId="5">#REF!</definedName>
    <definedName name="AFFH">#REF!</definedName>
    <definedName name="afsgs" localSheetId="5">[29]CLAY!#REF!</definedName>
    <definedName name="afsgs">[29]CLAY!#REF!</definedName>
    <definedName name="AG" localSheetId="5">#REF!</definedName>
    <definedName name="AG">#REF!</definedName>
    <definedName name="Ag___0" localSheetId="5">#REF!</definedName>
    <definedName name="Ag___0">#REF!</definedName>
    <definedName name="Ag___13" localSheetId="5">#REF!</definedName>
    <definedName name="Ag___13">#REF!</definedName>
    <definedName name="ah" localSheetId="5">#REF!</definedName>
    <definedName name="ah">#REF!</definedName>
    <definedName name="AK" localSheetId="5">#REF!</definedName>
    <definedName name="AK">#REF!</definedName>
    <definedName name="aks" localSheetId="5">#REF!</definedName>
    <definedName name="aks">#REF!</definedName>
    <definedName name="AL" localSheetId="5">#REF!</definedName>
    <definedName name="AL">#REF!</definedName>
    <definedName name="ALarea" localSheetId="5">#REF!</definedName>
    <definedName name="ALarea">#REF!</definedName>
    <definedName name="all">'[31]Load Details(B2)'!$A$1:$J$387</definedName>
    <definedName name="alpha" localSheetId="5">[32]DSLP!#REF!</definedName>
    <definedName name="alpha">[32]DSLP!#REF!</definedName>
    <definedName name="alphaa" localSheetId="5">#REF!</definedName>
    <definedName name="alphaa">#REF!</definedName>
    <definedName name="alphab" localSheetId="5">#REF!</definedName>
    <definedName name="alphab">#REF!</definedName>
    <definedName name="Alw" localSheetId="5">#REF!</definedName>
    <definedName name="Alw">#REF!</definedName>
    <definedName name="am" localSheetId="5">'[33]YTD-March''10'!#REF!</definedName>
    <definedName name="am">'[33]YTD-March''10'!#REF!</definedName>
    <definedName name="ama" localSheetId="5">'[33]YTD-March''10'!#REF!</definedName>
    <definedName name="ama">'[33]YTD-March''10'!#REF!</definedName>
    <definedName name="amin" localSheetId="5">#REF!</definedName>
    <definedName name="amin">#REF!</definedName>
    <definedName name="amin1" localSheetId="5">#REF!</definedName>
    <definedName name="amin1">#REF!</definedName>
    <definedName name="amin2" localSheetId="5">#REF!</definedName>
    <definedName name="amin2">#REF!</definedName>
    <definedName name="amit" localSheetId="5">#REF!</definedName>
    <definedName name="amit">#REF!</definedName>
    <definedName name="anb" localSheetId="5">#REF!</definedName>
    <definedName name="anb">#REF!</definedName>
    <definedName name="ANNEX2" localSheetId="5">#REF!</definedName>
    <definedName name="ANNEX2">#REF!</definedName>
    <definedName name="ANNEX2A" localSheetId="5">#REF!</definedName>
    <definedName name="ANNEX2A">#REF!</definedName>
    <definedName name="ANNEX4" localSheetId="5">#REF!</definedName>
    <definedName name="ANNEX4">#REF!</definedName>
    <definedName name="annex4.1" localSheetId="5">#REF!</definedName>
    <definedName name="annex4.1">#REF!</definedName>
    <definedName name="annex4.1a" localSheetId="5">#REF!</definedName>
    <definedName name="annex4.1a">#REF!</definedName>
    <definedName name="ANNEX4A" localSheetId="5">#REF!</definedName>
    <definedName name="ANNEX4A">#REF!</definedName>
    <definedName name="annex6">'[34]IDCCALHYD-GOO'!$A$47:$U$92</definedName>
    <definedName name="ANNEXURE_FOR_BILL_NO.EUS_632_FDN_001" localSheetId="5">#REF!</definedName>
    <definedName name="ANNEXURE_FOR_BILL_NO.EUS_632_FDN_001">#REF!</definedName>
    <definedName name="ANNEXURE_FOR_BILL_NO.EUS_632_FDN_002" localSheetId="5">#REF!</definedName>
    <definedName name="ANNEXURE_FOR_BILL_NO.EUS_632_FDN_002">#REF!</definedName>
    <definedName name="ANNEXURE4A" localSheetId="5">#REF!</definedName>
    <definedName name="ANNEXURE4A">#REF!</definedName>
    <definedName name="annexyu" localSheetId="5">#REF!</definedName>
    <definedName name="annexyu">#REF!</definedName>
    <definedName name="anscount" hidden="1">1</definedName>
    <definedName name="Aone" localSheetId="5">#REF!</definedName>
    <definedName name="Aone">#REF!</definedName>
    <definedName name="AP" localSheetId="5">#REF!</definedName>
    <definedName name="AP">#REF!</definedName>
    <definedName name="april" localSheetId="5">#REF!</definedName>
    <definedName name="april">#REF!</definedName>
    <definedName name="april_qty" localSheetId="5">#REF!</definedName>
    <definedName name="april_qty">#REF!</definedName>
    <definedName name="aq" localSheetId="5">[29]CLAY!#REF!</definedName>
    <definedName name="aq">[29]CLAY!#REF!</definedName>
    <definedName name="arctanz" localSheetId="5">#REF!</definedName>
    <definedName name="arctanz">#REF!</definedName>
    <definedName name="arwrw" localSheetId="5">#REF!</definedName>
    <definedName name="arwrw">#REF!</definedName>
    <definedName name="as" localSheetId="5">#REF!</definedName>
    <definedName name="as">#REF!</definedName>
    <definedName name="ASD" localSheetId="5">#REF!</definedName>
    <definedName name="ASD">#REF!</definedName>
    <definedName name="asda" localSheetId="5">[29]CLAY!#REF!</definedName>
    <definedName name="asda">[29]CLAY!#REF!</definedName>
    <definedName name="ASF" localSheetId="5">#REF!</definedName>
    <definedName name="ASF">#REF!</definedName>
    <definedName name="asfaff" localSheetId="5">#REF!</definedName>
    <definedName name="asfaff">#REF!</definedName>
    <definedName name="ASFFFF" localSheetId="5">#REF!</definedName>
    <definedName name="ASFFFF">#REF!</definedName>
    <definedName name="asfgeruu" localSheetId="5">#REF!</definedName>
    <definedName name="asfgeruu">#REF!</definedName>
    <definedName name="asfsd" localSheetId="5">#REF!</definedName>
    <definedName name="asfsd">#REF!</definedName>
    <definedName name="ASHOKA" localSheetId="5">#REF!</definedName>
    <definedName name="ASHOKA">#REF!</definedName>
    <definedName name="ass" localSheetId="5">#REF!</definedName>
    <definedName name="ass">#REF!</definedName>
    <definedName name="assets" localSheetId="5">#REF!</definedName>
    <definedName name="assets">#REF!</definedName>
    <definedName name="ASSSSSSSSSSSSSSSSSSSSSSSS" localSheetId="5">#REF!</definedName>
    <definedName name="ASSSSSSSSSSSSSSSSSSSSSSSS">#REF!</definedName>
    <definedName name="asw" localSheetId="5">#REF!</definedName>
    <definedName name="asw">#REF!</definedName>
    <definedName name="At" localSheetId="5">#REF!</definedName>
    <definedName name="At">#REF!</definedName>
    <definedName name="Athree" localSheetId="5">#REF!</definedName>
    <definedName name="Athree">#REF!</definedName>
    <definedName name="Atwo" localSheetId="5">#REF!</definedName>
    <definedName name="Atwo">#REF!</definedName>
    <definedName name="August" localSheetId="5">#REF!</definedName>
    <definedName name="August">#REF!</definedName>
    <definedName name="AuxRelay" localSheetId="5">#REF!</definedName>
    <definedName name="AuxRelay">#REF!</definedName>
    <definedName name="AWW" localSheetId="5">#REF!</definedName>
    <definedName name="AWW">#REF!</definedName>
    <definedName name="ax" localSheetId="5">[35]CLAY!#REF!</definedName>
    <definedName name="ax">[35]CLAY!#REF!</definedName>
    <definedName name="AXXX2" localSheetId="5">[19]CAL!#REF!</definedName>
    <definedName name="AXXX2">[19]CAL!#REF!</definedName>
    <definedName name="AXXX3" localSheetId="5">[19]CAL!#REF!</definedName>
    <definedName name="AXXX3">[19]CAL!#REF!</definedName>
    <definedName name="AXXX3d" localSheetId="5">[19]CAL!#REF!</definedName>
    <definedName name="AXXX3d">[19]CAL!#REF!</definedName>
    <definedName name="AXXXX2" localSheetId="5">[19]CAL!#REF!</definedName>
    <definedName name="AXXXX2">[19]CAL!#REF!</definedName>
    <definedName name="AXXXX3" localSheetId="5">[19]CAL!#REF!</definedName>
    <definedName name="AXXXX3">[19]CAL!#REF!</definedName>
    <definedName name="ay" localSheetId="5">[35]CLAY!#REF!</definedName>
    <definedName name="ay">[35]CLAY!#REF!</definedName>
    <definedName name="B" localSheetId="5">#REF!</definedName>
    <definedName name="B">#REF!</definedName>
    <definedName name="B___0" localSheetId="5">#REF!</definedName>
    <definedName name="B___0">#REF!</definedName>
    <definedName name="B___13" localSheetId="5">#REF!</definedName>
    <definedName name="B___13">#REF!</definedName>
    <definedName name="b1x" localSheetId="5">#REF!</definedName>
    <definedName name="b1x">#REF!</definedName>
    <definedName name="b1xx" localSheetId="5">#REF!</definedName>
    <definedName name="b1xx">#REF!</definedName>
    <definedName name="b2x" localSheetId="5">#REF!</definedName>
    <definedName name="b2x">#REF!</definedName>
    <definedName name="b2xx" localSheetId="5">#REF!</definedName>
    <definedName name="b2xx">#REF!</definedName>
    <definedName name="ba" localSheetId="5">#REF!</definedName>
    <definedName name="ba">#REF!</definedName>
    <definedName name="BaseCement">[36]Indices!$F$7</definedName>
    <definedName name="BaseClayProducts">[36]Indices!$G$7</definedName>
    <definedName name="BaseDiesel">[36]Indices!$C$7</definedName>
    <definedName name="BaseIronSteel">[36]Indices!$E$7</definedName>
    <definedName name="BaseLabour">[36]Indices!$D$7</definedName>
    <definedName name="bb" localSheetId="5">#REF!</definedName>
    <definedName name="bb">#REF!</definedName>
    <definedName name="bbb" localSheetId="5">#REF!</definedName>
    <definedName name="bbb">#REF!</definedName>
    <definedName name="BBNXN" localSheetId="5">#REF!</definedName>
    <definedName name="BBNXN">#REF!</definedName>
    <definedName name="bc" localSheetId="5">[37]strain!#REF!</definedName>
    <definedName name="bc">[37]strain!#REF!</definedName>
    <definedName name="bcgf" localSheetId="5">[29]CLAY!#REF!</definedName>
    <definedName name="bcgf">[29]CLAY!#REF!</definedName>
    <definedName name="bcs" localSheetId="5">#REF!</definedName>
    <definedName name="bcs">#REF!</definedName>
    <definedName name="bct" localSheetId="5">#REF!</definedName>
    <definedName name="bct">#REF!</definedName>
    <definedName name="BD1_Meas1" localSheetId="5">#REF!</definedName>
    <definedName name="BD1_Meas1">#REF!</definedName>
    <definedName name="BD1_Meas2" localSheetId="5">#REF!</definedName>
    <definedName name="BD1_Meas2">#REF!</definedName>
    <definedName name="BD1_Meas3" localSheetId="5">#REF!</definedName>
    <definedName name="BD1_Meas3">#REF!</definedName>
    <definedName name="BD1CE" localSheetId="5">#REF!</definedName>
    <definedName name="BD1CE">#REF!</definedName>
    <definedName name="BD1CL" localSheetId="5">#REF!</definedName>
    <definedName name="BD1CL">#REF!</definedName>
    <definedName name="BD1DeltaT" localSheetId="5">#REF!</definedName>
    <definedName name="BD1DeltaT">#REF!</definedName>
    <definedName name="BD1EconMeasure" localSheetId="5">#REF!</definedName>
    <definedName name="BD1EconMeasure">#REF!</definedName>
    <definedName name="BD1Event" localSheetId="5">#REF!</definedName>
    <definedName name="BD1Event">#REF!</definedName>
    <definedName name="BD1EventFeas" localSheetId="5">#REF!</definedName>
    <definedName name="BD1EventFeas">#REF!</definedName>
    <definedName name="BD1EventInd" localSheetId="5">#REF!</definedName>
    <definedName name="BD1EventInd">#REF!</definedName>
    <definedName name="BD1EventIndMax" localSheetId="5">#REF!</definedName>
    <definedName name="BD1EventIndMax">#REF!</definedName>
    <definedName name="BD1EventLogic" localSheetId="5">#REF!</definedName>
    <definedName name="BD1EventLogic">#REF!</definedName>
    <definedName name="BD1EventMax" localSheetId="5">#REF!</definedName>
    <definedName name="BD1EventMax">#REF!</definedName>
    <definedName name="BD1EventMin" localSheetId="5">#REF!</definedName>
    <definedName name="BD1EventMin">#REF!</definedName>
    <definedName name="BD1EventNames" localSheetId="5">#REF!</definedName>
    <definedName name="BD1EventNames">#REF!</definedName>
    <definedName name="BD1EventStep" localSheetId="5">#REF!</definedName>
    <definedName name="BD1EventStep">#REF!</definedName>
    <definedName name="BD1HC" localSheetId="5">#REF!</definedName>
    <definedName name="BD1HC">#REF!</definedName>
    <definedName name="BD1Lambda" localSheetId="5">#REF!</definedName>
    <definedName name="BD1Lambda">#REF!</definedName>
    <definedName name="BD1Max_System" localSheetId="5">#REF!</definedName>
    <definedName name="BD1Max_System">#REF!</definedName>
    <definedName name="BD1Model_Params" localSheetId="5">#REF!</definedName>
    <definedName name="BD1Model_Params">#REF!</definedName>
    <definedName name="BD1Mu" localSheetId="5">#REF!</definedName>
    <definedName name="BD1Mu">#REF!</definedName>
    <definedName name="BD1Next1" localSheetId="5">#REF!</definedName>
    <definedName name="BD1Next1">#REF!</definedName>
    <definedName name="BD1Next2" localSheetId="5">#REF!</definedName>
    <definedName name="BD1Next2">#REF!</definedName>
    <definedName name="BD1P_enter" localSheetId="5">#REF!</definedName>
    <definedName name="BD1P_enter">#REF!</definedName>
    <definedName name="BD1P_leave" localSheetId="5">#REF!</definedName>
    <definedName name="BD1P_leave">#REF!</definedName>
    <definedName name="BD1ParamStore" localSheetId="5">#REF!</definedName>
    <definedName name="BD1ParamStore">#REF!</definedName>
    <definedName name="BD1State" localSheetId="5">#REF!</definedName>
    <definedName name="BD1State">#REF!</definedName>
    <definedName name="BD1StateCost" localSheetId="5">#REF!</definedName>
    <definedName name="BD1StateCost">#REF!</definedName>
    <definedName name="BD1StateFeas" localSheetId="5">#REF!</definedName>
    <definedName name="BD1StateFeas">#REF!</definedName>
    <definedName name="BD1StateInd" localSheetId="5">#REF!</definedName>
    <definedName name="BD1StateInd">#REF!</definedName>
    <definedName name="BD1StateIndMax" localSheetId="5">#REF!</definedName>
    <definedName name="BD1StateIndMax">#REF!</definedName>
    <definedName name="BD1StateList" localSheetId="5">#REF!</definedName>
    <definedName name="BD1StateList">#REF!</definedName>
    <definedName name="BD1StateLogic" localSheetId="5">#REF!</definedName>
    <definedName name="BD1StateLogic">#REF!</definedName>
    <definedName name="BD1StateMax" localSheetId="5">#REF!</definedName>
    <definedName name="BD1StateMax">#REF!</definedName>
    <definedName name="BD1StateMin" localSheetId="5">#REF!</definedName>
    <definedName name="BD1StateMin">#REF!</definedName>
    <definedName name="BD1StateNames" localSheetId="5">#REF!</definedName>
    <definedName name="BD1StateNames">#REF!</definedName>
    <definedName name="BD1StateStep" localSheetId="5">#REF!</definedName>
    <definedName name="BD1StateStep">#REF!</definedName>
    <definedName name="BD1TimeMeasure" localSheetId="5">#REF!</definedName>
    <definedName name="BD1TimeMeasure">#REF!</definedName>
    <definedName name="BD1TransCost1" localSheetId="5">#REF!</definedName>
    <definedName name="BD1TransCost1">#REF!</definedName>
    <definedName name="BD1TransCost2" localSheetId="5">#REF!</definedName>
    <definedName name="BD1TransCost2">#REF!</definedName>
    <definedName name="BD1TransEvent1" localSheetId="5">#REF!</definedName>
    <definedName name="BD1TransEvent1">#REF!</definedName>
    <definedName name="BD1TransEvent2" localSheetId="5">#REF!</definedName>
    <definedName name="BD1TransEvent2">#REF!</definedName>
    <definedName name="BD1TransEventLogic1" localSheetId="5">#REF!</definedName>
    <definedName name="BD1TransEventLogic1">#REF!</definedName>
    <definedName name="BD1TransEventLogic2" localSheetId="5">#REF!</definedName>
    <definedName name="BD1TransEventLogic2">#REF!</definedName>
    <definedName name="BD1TransInd1" localSheetId="5">#REF!</definedName>
    <definedName name="BD1TransInd1">#REF!</definedName>
    <definedName name="BD1TransInd2" localSheetId="5">#REF!</definedName>
    <definedName name="BD1TransInd2">#REF!</definedName>
    <definedName name="BD1TransLogic1" localSheetId="5">#REF!</definedName>
    <definedName name="BD1TransLogic1">#REF!</definedName>
    <definedName name="BD1TransLogic2" localSheetId="5">#REF!</definedName>
    <definedName name="BD1TransLogic2">#REF!</definedName>
    <definedName name="BD1TransName1" localSheetId="5">#REF!</definedName>
    <definedName name="BD1TransName1">#REF!</definedName>
    <definedName name="BD1TransName2" localSheetId="5">#REF!</definedName>
    <definedName name="BD1TransName2">#REF!</definedName>
    <definedName name="BD1TransNextState1" localSheetId="5">#REF!</definedName>
    <definedName name="BD1TransNextState1">#REF!</definedName>
    <definedName name="BD1TransNextState2" localSheetId="5">#REF!</definedName>
    <definedName name="BD1TransNextState2">#REF!</definedName>
    <definedName name="BD1TransProb1" localSheetId="5">#REF!</definedName>
    <definedName name="BD1TransProb1">#REF!</definedName>
    <definedName name="BD1TransProb2" localSheetId="5">#REF!</definedName>
    <definedName name="BD1TransProb2">#REF!</definedName>
    <definedName name="BD1TransState1" localSheetId="5">#REF!</definedName>
    <definedName name="BD1TransState1">#REF!</definedName>
    <definedName name="BD1TransState2" localSheetId="5">#REF!</definedName>
    <definedName name="BD1TransState2">#REF!</definedName>
    <definedName name="BD1TransStateLogic1" localSheetId="5">#REF!</definedName>
    <definedName name="BD1TransStateLogic1">#REF!</definedName>
    <definedName name="BD1TransStateLogic2" localSheetId="5">#REF!</definedName>
    <definedName name="BD1TransStateLogic2">#REF!</definedName>
    <definedName name="Beg_Bal" localSheetId="5">#REF!</definedName>
    <definedName name="Beg_Bal">#REF!</definedName>
    <definedName name="BEND" localSheetId="5">#REF!</definedName>
    <definedName name="BEND">#REF!</definedName>
    <definedName name="BENJ" localSheetId="5">#REF!</definedName>
    <definedName name="BENJ">#REF!</definedName>
    <definedName name="beta" localSheetId="5">#REF!</definedName>
    <definedName name="beta">#REF!</definedName>
    <definedName name="bf" localSheetId="5">[38]Transfer!#REF!</definedName>
    <definedName name="bf">[38]Transfer!#REF!</definedName>
    <definedName name="bh" localSheetId="5">[37]strain!#REF!</definedName>
    <definedName name="bh">[37]strain!#REF!</definedName>
    <definedName name="bhs" localSheetId="5">[37]strain!#REF!</definedName>
    <definedName name="bhs">[37]strain!#REF!</definedName>
    <definedName name="BID_CURR" localSheetId="5">#REF!</definedName>
    <definedName name="BID_CURR">#REF!</definedName>
    <definedName name="bikash">'[39]Sulphur (2)'!$I$3</definedName>
    <definedName name="BOISAR_BAYWISE" localSheetId="5">#REF!</definedName>
    <definedName name="BOISAR_BAYWISE">#REF!</definedName>
    <definedName name="bol" localSheetId="5">#REF!</definedName>
    <definedName name="bol">#REF!</definedName>
    <definedName name="bom" localSheetId="5">#REF!</definedName>
    <definedName name="bom">#REF!</definedName>
    <definedName name="BOM_PR" localSheetId="5">#REF!</definedName>
    <definedName name="BOM_PR">#REF!</definedName>
    <definedName name="BOM_PR_TOT" localSheetId="5">#REF!</definedName>
    <definedName name="BOM_PR_TOT">#REF!</definedName>
    <definedName name="boml" localSheetId="5">#REF!</definedName>
    <definedName name="boml">#REF!</definedName>
    <definedName name="botl" localSheetId="5">#REF!</definedName>
    <definedName name="botl">#REF!</definedName>
    <definedName name="botn" localSheetId="5">#REF!</definedName>
    <definedName name="botn">#REF!</definedName>
    <definedName name="bp">'[40]BP-Other strs'!$D$75</definedName>
    <definedName name="bps" localSheetId="5">#REF!</definedName>
    <definedName name="bps">#REF!</definedName>
    <definedName name="Breadth_of_base_slab" localSheetId="5">#REF!</definedName>
    <definedName name="Breadth_of_base_slab">#REF!</definedName>
    <definedName name="Breadth_of_cover_slab" localSheetId="5">#REF!</definedName>
    <definedName name="Breadth_of_cover_slab">#REF!</definedName>
    <definedName name="Breadth_of_PCC_Layer" localSheetId="5">#REF!</definedName>
    <definedName name="Breadth_of_PCC_Layer">#REF!</definedName>
    <definedName name="Breadth_of_the_section" localSheetId="5">#REF!</definedName>
    <definedName name="Breadth_of_the_section">#REF!</definedName>
    <definedName name="Breaks" localSheetId="5">#REF!</definedName>
    <definedName name="Breaks">#REF!</definedName>
    <definedName name="BRICK" localSheetId="5">#REF!</definedName>
    <definedName name="BRICK">#REF!</definedName>
    <definedName name="bs" localSheetId="5">#REF!</definedName>
    <definedName name="bs">#REF!</definedName>
    <definedName name="btb_musd" localSheetId="5">[41]BTB!#REF!</definedName>
    <definedName name="btb_musd">[41]BTB!#REF!</definedName>
    <definedName name="bua" localSheetId="5">#REF!</definedName>
    <definedName name="bua">#REF!</definedName>
    <definedName name="BUDDHA" localSheetId="5">#REF!</definedName>
    <definedName name="BUDDHA">#REF!</definedName>
    <definedName name="building">'[42]DETAILED  BOQ'!$A$2</definedName>
    <definedName name="building___0" localSheetId="5">#REF!</definedName>
    <definedName name="building___0">#REF!</definedName>
    <definedName name="building___11" localSheetId="5">#REF!</definedName>
    <definedName name="building___11">#REF!</definedName>
    <definedName name="building___12" localSheetId="5">#REF!</definedName>
    <definedName name="building___12">#REF!</definedName>
    <definedName name="BuiltIn_Print_Area" localSheetId="5">#REF!</definedName>
    <definedName name="BuiltIn_Print_Area">#REF!</definedName>
    <definedName name="BuiltIn_Print_Area___0" localSheetId="5">#REF!</definedName>
    <definedName name="BuiltIn_Print_Area___0">#REF!</definedName>
    <definedName name="BuiltIn_Print_Titles" localSheetId="5">#REF!</definedName>
    <definedName name="BuiltIn_Print_Titles">#REF!</definedName>
    <definedName name="BuiltIn_Print_Titles___0">#N/A</definedName>
    <definedName name="BuiltIn_Print_Titles___0___0" localSheetId="5">#REF!</definedName>
    <definedName name="BuiltIn_Print_Titles___0___0">#REF!</definedName>
    <definedName name="BuiltIn_Print_Titles___0___0___0" localSheetId="5">#REF!</definedName>
    <definedName name="BuiltIn_Print_Titles___0___0___0">#REF!</definedName>
    <definedName name="Bx" localSheetId="5">#REF!</definedName>
    <definedName name="Bx">#REF!</definedName>
    <definedName name="Bx___0" localSheetId="5">#REF!</definedName>
    <definedName name="Bx___0">#REF!</definedName>
    <definedName name="Bx___13" localSheetId="5">#REF!</definedName>
    <definedName name="Bx___13">#REF!</definedName>
    <definedName name="Bxx" localSheetId="5">#REF!</definedName>
    <definedName name="Bxx">#REF!</definedName>
    <definedName name="C_" localSheetId="5">#REF!</definedName>
    <definedName name="C_">#REF!</definedName>
    <definedName name="C__" localSheetId="5">#REF!</definedName>
    <definedName name="C__">#REF!</definedName>
    <definedName name="CA" localSheetId="5">#REF!</definedName>
    <definedName name="CA">#REF!</definedName>
    <definedName name="Cable" localSheetId="5">#REF!</definedName>
    <definedName name="Cable">#REF!</definedName>
    <definedName name="cant" localSheetId="5">'[43]Staff Acco.'!#REF!</definedName>
    <definedName name="cant">'[43]Staff Acco.'!#REF!</definedName>
    <definedName name="CAPAPR" localSheetId="5">#REF!</definedName>
    <definedName name="CAPAPR">#REF!</definedName>
    <definedName name="CAPAUG" localSheetId="5">#REF!</definedName>
    <definedName name="CAPAUG">#REF!</definedName>
    <definedName name="CAPDEC" localSheetId="5">#REF!</definedName>
    <definedName name="CAPDEC">#REF!</definedName>
    <definedName name="CAPFEB" localSheetId="5">#REF!</definedName>
    <definedName name="CAPFEB">#REF!</definedName>
    <definedName name="CAPJAN" localSheetId="5">#REF!</definedName>
    <definedName name="CAPJAN">#REF!</definedName>
    <definedName name="CAPJUL" localSheetId="5">#REF!</definedName>
    <definedName name="CAPJUL">#REF!</definedName>
    <definedName name="CAPJUN" localSheetId="5">#REF!</definedName>
    <definedName name="CAPJUN">#REF!</definedName>
    <definedName name="CAPMAR" localSheetId="5">#REF!</definedName>
    <definedName name="CAPMAR">#REF!</definedName>
    <definedName name="CAPMAY" localSheetId="5">#REF!</definedName>
    <definedName name="CAPMAY">#REF!</definedName>
    <definedName name="CAPNOV" localSheetId="5">#REF!</definedName>
    <definedName name="CAPNOV">#REF!</definedName>
    <definedName name="CAPOCT" localSheetId="5">#REF!</definedName>
    <definedName name="CAPOCT">#REF!</definedName>
    <definedName name="CAPSEP" localSheetId="5">#REF!</definedName>
    <definedName name="CAPSEP">#REF!</definedName>
    <definedName name="carpet" localSheetId="5">#REF!</definedName>
    <definedName name="carpet">#REF!</definedName>
    <definedName name="carpet___0" localSheetId="5">#REF!</definedName>
    <definedName name="carpet___0">#REF!</definedName>
    <definedName name="carpet___11" localSheetId="5">#REF!</definedName>
    <definedName name="carpet___11">#REF!</definedName>
    <definedName name="carpet___12" localSheetId="5">#REF!</definedName>
    <definedName name="carpet___12">#REF!</definedName>
    <definedName name="CARPET1" localSheetId="5">#REF!</definedName>
    <definedName name="CARPET1">#REF!</definedName>
    <definedName name="CB" localSheetId="5">#REF!</definedName>
    <definedName name="CB">#REF!</definedName>
    <definedName name="CC" localSheetId="5">#REF!</definedName>
    <definedName name="CC">#REF!</definedName>
    <definedName name="CCB" localSheetId="5">#REF!</definedName>
    <definedName name="CCB">#REF!</definedName>
    <definedName name="CCC" localSheetId="5">#REF!</definedName>
    <definedName name="CCC">#REF!</definedName>
    <definedName name="Cd" localSheetId="5">'[44]220 11  BS '!#REF!</definedName>
    <definedName name="Cd">'[44]220 11  BS '!#REF!</definedName>
    <definedName name="cdds" localSheetId="5">'[27]UNP-NCW '!#REF!</definedName>
    <definedName name="cdds">'[27]UNP-NCW '!#REF!</definedName>
    <definedName name="Cdi" localSheetId="5">'[44]220 11  BS '!#REF!</definedName>
    <definedName name="Cdi">'[44]220 11  BS '!#REF!</definedName>
    <definedName name="CE" localSheetId="5">#REF!</definedName>
    <definedName name="CE">#REF!</definedName>
    <definedName name="cee" localSheetId="5">#REF!</definedName>
    <definedName name="cee">#REF!</definedName>
    <definedName name="cem">190</definedName>
    <definedName name="central" localSheetId="5">#REF!</definedName>
    <definedName name="central">#REF!</definedName>
    <definedName name="Cf" localSheetId="5">#REF!</definedName>
    <definedName name="Cf">#REF!</definedName>
    <definedName name="cf_musd" localSheetId="5">[41]cf!#REF!</definedName>
    <definedName name="cf_musd">[41]cf!#REF!</definedName>
    <definedName name="cfre" localSheetId="5">#REF!</definedName>
    <definedName name="cfre">#REF!</definedName>
    <definedName name="chandra" localSheetId="5">#REF!</definedName>
    <definedName name="chandra">#REF!</definedName>
    <definedName name="ChartData_Monthly" localSheetId="5">#REF!</definedName>
    <definedName name="ChartData_Monthly">#REF!</definedName>
    <definedName name="ChartData_Weekly" localSheetId="5">#REF!</definedName>
    <definedName name="ChartData_Weekly">#REF!</definedName>
    <definedName name="checked" localSheetId="5">[35]CLAY!#REF!</definedName>
    <definedName name="checked">[35]CLAY!#REF!</definedName>
    <definedName name="civ" localSheetId="5">#REF!</definedName>
    <definedName name="civ">#REF!</definedName>
    <definedName name="civil" localSheetId="5">#REF!</definedName>
    <definedName name="civil">#REF!</definedName>
    <definedName name="CL" localSheetId="5">#REF!</definedName>
    <definedName name="CL">#REF!</definedName>
    <definedName name="cl33kv" localSheetId="5">'[13]A1-Continuous'!#REF!</definedName>
    <definedName name="cl33kv">'[13]A1-Continuous'!#REF!</definedName>
    <definedName name="clbs" localSheetId="5">#REF!</definedName>
    <definedName name="clbs">#REF!</definedName>
    <definedName name="cld" localSheetId="5">#REF!</definedName>
    <definedName name="cld">#REF!</definedName>
    <definedName name="cll" localSheetId="5">#REF!</definedName>
    <definedName name="cll">#REF!</definedName>
    <definedName name="cllf" localSheetId="5">'[13]A1-Continuous'!#REF!</definedName>
    <definedName name="cllf">'[13]A1-Continuous'!#REF!</definedName>
    <definedName name="clobs" localSheetId="5">#REF!</definedName>
    <definedName name="clobs">#REF!</definedName>
    <definedName name="clod" localSheetId="5">#REF!</definedName>
    <definedName name="clod">#REF!</definedName>
    <definedName name="clol" localSheetId="5">#REF!</definedName>
    <definedName name="clol">#REF!</definedName>
    <definedName name="clot" localSheetId="5">#REF!</definedName>
    <definedName name="clot">#REF!</definedName>
    <definedName name="clt" localSheetId="5">#REF!</definedName>
    <definedName name="clt">#REF!</definedName>
    <definedName name="cltf" localSheetId="5">'[13]A1-Continuous'!#REF!</definedName>
    <definedName name="cltf">'[13]A1-Continuous'!#REF!</definedName>
    <definedName name="Code" localSheetId="5" hidden="1">#REF!</definedName>
    <definedName name="Code" hidden="1">#REF!</definedName>
    <definedName name="col" localSheetId="5">#REF!</definedName>
    <definedName name="col">#REF!</definedName>
    <definedName name="col___0" localSheetId="5">#REF!</definedName>
    <definedName name="col___0">#REF!</definedName>
    <definedName name="col___11" localSheetId="5">#REF!</definedName>
    <definedName name="col___11">#REF!</definedName>
    <definedName name="col___12" localSheetId="5">#REF!</definedName>
    <definedName name="col___12">#REF!</definedName>
    <definedName name="collection" localSheetId="5">#REF!</definedName>
    <definedName name="collection">#REF!</definedName>
    <definedName name="COLLSTATUS" localSheetId="5">#REF!</definedName>
    <definedName name="COLLSTATUS">#REF!</definedName>
    <definedName name="collstatuspage1" localSheetId="5">#REF!</definedName>
    <definedName name="collstatuspage1">#REF!</definedName>
    <definedName name="collstatuspage2" localSheetId="5">#REF!</definedName>
    <definedName name="collstatuspage2">#REF!</definedName>
    <definedName name="Columns" localSheetId="5">#REF!</definedName>
    <definedName name="Columns">#REF!</definedName>
    <definedName name="Comm" localSheetId="5">#REF!</definedName>
    <definedName name="Comm">#REF!</definedName>
    <definedName name="COMP" localSheetId="5">#REF!</definedName>
    <definedName name="COMP">#REF!</definedName>
    <definedName name="company" localSheetId="5">#REF!</definedName>
    <definedName name="company">#REF!</definedName>
    <definedName name="cond.span" localSheetId="5">#REF!</definedName>
    <definedName name="cond.span">#REF!</definedName>
    <definedName name="conductor" localSheetId="5">#REF!</definedName>
    <definedName name="conductor">#REF!</definedName>
    <definedName name="CONDUCTORS">'[45]Conductor Parameter'!$B$10:$B$565</definedName>
    <definedName name="CONS" localSheetId="5">#REF!</definedName>
    <definedName name="CONS">#REF!</definedName>
    <definedName name="control132" localSheetId="5">#REF!</definedName>
    <definedName name="control132">#REF!</definedName>
    <definedName name="convAlloy">[46]conversion!$C$10</definedName>
    <definedName name="convEC">[46]conversion!$B$10</definedName>
    <definedName name="cosq" localSheetId="5">#REF!</definedName>
    <definedName name="cosq">#REF!</definedName>
    <definedName name="cost" localSheetId="5">#REF!</definedName>
    <definedName name="cost">#REF!</definedName>
    <definedName name="Cost_code" localSheetId="5">#REF!</definedName>
    <definedName name="Cost_code">#REF!</definedName>
    <definedName name="Cost_Per_Manday" localSheetId="5">#REF!</definedName>
    <definedName name="Cost_Per_Manday">#REF!</definedName>
    <definedName name="COST_PSCH">[47]COST!$A$7:$BM$1194</definedName>
    <definedName name="COU" localSheetId="5">#REF!</definedName>
    <definedName name="COU">#REF!</definedName>
    <definedName name="COU___0" localSheetId="5">#REF!</definedName>
    <definedName name="COU___0">#REF!</definedName>
    <definedName name="COU___13" localSheetId="5">#REF!</definedName>
    <definedName name="COU___13">#REF!</definedName>
    <definedName name="cr">[48]dBase!$J$14</definedName>
    <definedName name="CRB" localSheetId="5">#REF!</definedName>
    <definedName name="CRB">#REF!</definedName>
    <definedName name="CRPANEL" localSheetId="5">#REF!</definedName>
    <definedName name="CRPANEL">#REF!</definedName>
    <definedName name="CS" localSheetId="5">[32]DSLP!#REF!</definedName>
    <definedName name="CS">[32]DSLP!#REF!</definedName>
    <definedName name="Cs___0" localSheetId="5">#REF!</definedName>
    <definedName name="Cs___0">#REF!</definedName>
    <definedName name="Cs___13" localSheetId="5">#REF!</definedName>
    <definedName name="Cs___13">#REF!</definedName>
    <definedName name="csd" localSheetId="5">#REF!</definedName>
    <definedName name="csd">#REF!</definedName>
    <definedName name="CT" localSheetId="5">#REF!</definedName>
    <definedName name="CT">#REF!</definedName>
    <definedName name="ctf" localSheetId="5">#REF!</definedName>
    <definedName name="ctf">#REF!</definedName>
    <definedName name="Cth" localSheetId="5">#REF!</definedName>
    <definedName name="Cth">#REF!</definedName>
    <definedName name="CTR" localSheetId="5">#REF!</definedName>
    <definedName name="CTR">#REF!</definedName>
    <definedName name="Ctype" localSheetId="5">#REF!</definedName>
    <definedName name="Ctype">#REF!</definedName>
    <definedName name="Cum_Int" localSheetId="5">#REF!</definedName>
    <definedName name="Cum_Int">#REF!</definedName>
    <definedName name="cummeas_may1006" localSheetId="5">#REF!</definedName>
    <definedName name="cummeas_may1006">#REF!</definedName>
    <definedName name="cummeas_up_to_mar" localSheetId="5">#REF!</definedName>
    <definedName name="cummeas_up_to_mar">#REF!</definedName>
    <definedName name="cur" localSheetId="5">#REF!</definedName>
    <definedName name="cur">#REF!</definedName>
    <definedName name="CURR_FCT" localSheetId="5">#REF!</definedName>
    <definedName name="CURR_FCT">#REF!</definedName>
    <definedName name="CURR_LIST" localSheetId="5">#REF!</definedName>
    <definedName name="CURR_LIST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 localSheetId="5">#REF!</definedName>
    <definedName name="current3">#REF!</definedName>
    <definedName name="current4" localSheetId="5">#REF!</definedName>
    <definedName name="current4">#REF!</definedName>
    <definedName name="current5" localSheetId="5">#REF!</definedName>
    <definedName name="current5">#REF!</definedName>
    <definedName name="CVT" localSheetId="5">#REF!</definedName>
    <definedName name="CVT">#REF!</definedName>
    <definedName name="cw">10</definedName>
    <definedName name="cx" localSheetId="5">#REF!</definedName>
    <definedName name="cx">#REF!</definedName>
    <definedName name="d" localSheetId="5">#REF!</definedName>
    <definedName name="d">#REF!</definedName>
    <definedName name="d___0" localSheetId="5">#REF!</definedName>
    <definedName name="d___0">#REF!</definedName>
    <definedName name="d___13" localSheetId="5">#REF!</definedName>
    <definedName name="d___13">#REF!</definedName>
    <definedName name="D8Data" localSheetId="5">#REF!</definedName>
    <definedName name="D8Data">#REF!</definedName>
    <definedName name="dam" localSheetId="5">#REF!</definedName>
    <definedName name="dam">#REF!</definedName>
    <definedName name="DASD" localSheetId="5">#REF!</definedName>
    <definedName name="DASD">#REF!</definedName>
    <definedName name="DATA" localSheetId="5">#REF!</definedName>
    <definedName name="DATA">#REF!</definedName>
    <definedName name="data1" localSheetId="5" hidden="1">#REF!</definedName>
    <definedName name="data1" hidden="1">#REF!</definedName>
    <definedName name="data2" localSheetId="5" hidden="1">#REF!</definedName>
    <definedName name="data2" hidden="1">#REF!</definedName>
    <definedName name="data3" localSheetId="5" hidden="1">#REF!</definedName>
    <definedName name="data3" hidden="1">#REF!</definedName>
    <definedName name="_xlnm.Database" localSheetId="5">#REF!</definedName>
    <definedName name="_xlnm.Database">#REF!</definedName>
    <definedName name="date" localSheetId="5">#REF!</definedName>
    <definedName name="date">#REF!</definedName>
    <definedName name="db" localSheetId="5">#REF!</definedName>
    <definedName name="db">#REF!</definedName>
    <definedName name="db___0" localSheetId="5">#REF!</definedName>
    <definedName name="db___0">#REF!</definedName>
    <definedName name="db___13" localSheetId="5">#REF!</definedName>
    <definedName name="db___13">#REF!</definedName>
    <definedName name="Dc" localSheetId="5">#REF!</definedName>
    <definedName name="Dc">#REF!</definedName>
    <definedName name="dd" localSheetId="5">#REF!</definedName>
    <definedName name="dd">#REF!</definedName>
    <definedName name="ddash" localSheetId="5">#REF!</definedName>
    <definedName name="ddash">#REF!</definedName>
    <definedName name="DDD">'[49]CFL-KIM'!$G$1</definedName>
    <definedName name="dddd" localSheetId="5">[26]GWC!#REF!</definedName>
    <definedName name="dddd">[26]GWC!#REF!</definedName>
    <definedName name="ddddd" localSheetId="5">#REF!</definedName>
    <definedName name="ddddd">#REF!</definedName>
    <definedName name="ddf" localSheetId="5">#REF!</definedName>
    <definedName name="ddf">#REF!</definedName>
    <definedName name="DEBTORS" localSheetId="5">#REF!</definedName>
    <definedName name="DEBTORS">#REF!</definedName>
    <definedName name="DEHRI" localSheetId="5">#REF!</definedName>
    <definedName name="DEHRI">#REF!</definedName>
    <definedName name="delk" localSheetId="5">#REF!</definedName>
    <definedName name="delk">#REF!</definedName>
    <definedName name="delm" localSheetId="5">#REF!</definedName>
    <definedName name="delm">#REF!</definedName>
    <definedName name="delm2" localSheetId="5">#REF!</definedName>
    <definedName name="delm2">#REF!</definedName>
    <definedName name="delta" localSheetId="5">#REF!</definedName>
    <definedName name="delta">#REF!</definedName>
    <definedName name="delta1" localSheetId="5">#REF!</definedName>
    <definedName name="delta1">#REF!</definedName>
    <definedName name="DELTA20" localSheetId="5">#REF!</definedName>
    <definedName name="DELTA20">#REF!</definedName>
    <definedName name="DELTA20___0" localSheetId="5">#REF!</definedName>
    <definedName name="DELTA20___0">#REF!</definedName>
    <definedName name="DELTA20___13" localSheetId="5">#REF!</definedName>
    <definedName name="DELTA20___13">#REF!</definedName>
    <definedName name="delyw" localSheetId="5">#REF!</definedName>
    <definedName name="delyw">#REF!</definedName>
    <definedName name="Den" localSheetId="5">[14]Design!#REF!</definedName>
    <definedName name="Den">[14]Design!#REF!</definedName>
    <definedName name="Depth_above_FGL" localSheetId="5">#REF!</definedName>
    <definedName name="Depth_above_FGL">#REF!</definedName>
    <definedName name="Depth_below_ground_level" localSheetId="5">#REF!</definedName>
    <definedName name="Depth_below_ground_level">#REF!</definedName>
    <definedName name="Depth_of_the_section" localSheetId="5">#REF!</definedName>
    <definedName name="Depth_of_the_section">#REF!</definedName>
    <definedName name="designed" localSheetId="5">[35]CLAY!#REF!</definedName>
    <definedName name="designed">[35]CLAY!#REF!</definedName>
    <definedName name="dev">'[50]july-I'!$H$126:$H$140</definedName>
    <definedName name="df" localSheetId="5">#REF!</definedName>
    <definedName name="df">#REF!</definedName>
    <definedName name="dfaf" localSheetId="5">#REF!</definedName>
    <definedName name="dfaf">#REF!</definedName>
    <definedName name="dfd" localSheetId="5">#REF!</definedName>
    <definedName name="dfd">#REF!</definedName>
    <definedName name="dfdf" localSheetId="5">[51]Report!#REF!</definedName>
    <definedName name="dfdf">[51]Report!#REF!</definedName>
    <definedName name="DFR" localSheetId="5">#REF!</definedName>
    <definedName name="DFR">#REF!</definedName>
    <definedName name="dfrads" localSheetId="5">#REF!</definedName>
    <definedName name="dfrads">#REF!</definedName>
    <definedName name="dfsdf" localSheetId="5">#REF!</definedName>
    <definedName name="dfsdf">#REF!</definedName>
    <definedName name="dg" localSheetId="5">#REF!</definedName>
    <definedName name="dg">#REF!</definedName>
    <definedName name="dgv" localSheetId="5">#REF!</definedName>
    <definedName name="dgv">#REF!</definedName>
    <definedName name="Dh" localSheetId="5">[14]Design!#REF!</definedName>
    <definedName name="Dh">[14]Design!#REF!</definedName>
    <definedName name="Di" localSheetId="5">#REF!</definedName>
    <definedName name="Di">#REF!</definedName>
    <definedName name="Dialog5">#N/A</definedName>
    <definedName name="diff" localSheetId="5">'[52]Sch-3'!#REF!</definedName>
    <definedName name="diff">'[52]Sch-3'!#REF!</definedName>
    <definedName name="diff1" localSheetId="5">'[52]Sch-3'!#REF!</definedName>
    <definedName name="diff1">'[52]Sch-3'!#REF!</definedName>
    <definedName name="DIns" localSheetId="5">[32]DSLP!#REF!</definedName>
    <definedName name="DIns">[32]DSLP!#REF!</definedName>
    <definedName name="Discount" localSheetId="5" hidden="1">#REF!</definedName>
    <definedName name="Discount" hidden="1">#REF!</definedName>
    <definedName name="display_area_2" localSheetId="5" hidden="1">#REF!</definedName>
    <definedName name="display_area_2" hidden="1">#REF!</definedName>
    <definedName name="DIST1" localSheetId="5">[20]Coalmine!#REF!</definedName>
    <definedName name="DIST1">[20]Coalmine!#REF!</definedName>
    <definedName name="DIV">1000000</definedName>
    <definedName name="dk" localSheetId="5">#REF!</definedName>
    <definedName name="dk">#REF!</definedName>
    <definedName name="dks" localSheetId="5">#REF!</definedName>
    <definedName name="dks">#REF!</definedName>
    <definedName name="dkt" localSheetId="5">#REF!</definedName>
    <definedName name="dkt">#REF!</definedName>
    <definedName name="dl" localSheetId="5">#REF!</definedName>
    <definedName name="dl">#REF!</definedName>
    <definedName name="dl___0" localSheetId="5">#REF!</definedName>
    <definedName name="dl___0">#REF!</definedName>
    <definedName name="dl___13" localSheetId="5">#REF!</definedName>
    <definedName name="dl___13">#REF!</definedName>
    <definedName name="Dm" localSheetId="5">#REF!</definedName>
    <definedName name="Dm">#REF!</definedName>
    <definedName name="dms" localSheetId="5">#REF!</definedName>
    <definedName name="dms">#REF!</definedName>
    <definedName name="dmt" localSheetId="5">#REF!</definedName>
    <definedName name="dmt">#REF!</definedName>
    <definedName name="Do" localSheetId="5">#REF!</definedName>
    <definedName name="Do">#REF!</definedName>
    <definedName name="docu" localSheetId="5">[35]CLAY!#REF!</definedName>
    <definedName name="docu">[35]CLAY!#REF!</definedName>
    <definedName name="dollar" localSheetId="5">#REF!</definedName>
    <definedName name="dollar">#REF!</definedName>
    <definedName name="Dome1">'[53]Data Sheet'!$B$3:$B$51</definedName>
    <definedName name="Double" localSheetId="5">#REF!</definedName>
    <definedName name="Double">#REF!</definedName>
    <definedName name="dq" localSheetId="5">#REF!</definedName>
    <definedName name="dq">#REF!</definedName>
    <definedName name="drossalloy">[46]conversion!$C$11</definedName>
    <definedName name="drossEC">[46]conversion!$B$11</definedName>
    <definedName name="DS" localSheetId="5">#REF!</definedName>
    <definedName name="DS">#REF!</definedName>
    <definedName name="Ds___0" localSheetId="5">#REF!</definedName>
    <definedName name="Ds___0">#REF!</definedName>
    <definedName name="Ds___13" localSheetId="5">#REF!</definedName>
    <definedName name="Ds___13">#REF!</definedName>
    <definedName name="dsat" localSheetId="5">#REF!</definedName>
    <definedName name="dsat">#REF!</definedName>
    <definedName name="dsdf" localSheetId="5" hidden="1">#REF!</definedName>
    <definedName name="dsdf" hidden="1">#REF!</definedName>
    <definedName name="Dt">[54]Codes!$C$8</definedName>
    <definedName name="Dv" localSheetId="5">[14]Design!#REF!</definedName>
    <definedName name="Dv">[14]Design!#REF!</definedName>
    <definedName name="dvv" localSheetId="5">'[27]UNP-NCW '!#REF!</definedName>
    <definedName name="dvv">'[27]UNP-NCW '!#REF!</definedName>
    <definedName name="E" localSheetId="5">#REF!</definedName>
    <definedName name="E">#REF!</definedName>
    <definedName name="Eair" localSheetId="5">#REF!</definedName>
    <definedName name="Eair">#REF!</definedName>
    <definedName name="eawerawea" localSheetId="5">[26]NWC!#REF!</definedName>
    <definedName name="eawerawea">[26]NWC!#REF!</definedName>
    <definedName name="Econd" localSheetId="5">#REF!</definedName>
    <definedName name="Econd">#REF!</definedName>
    <definedName name="ecs" localSheetId="5">#REF!</definedName>
    <definedName name="ecs">#REF!</definedName>
    <definedName name="ed" localSheetId="5">#REF!</definedName>
    <definedName name="ed">#REF!</definedName>
    <definedName name="ee" localSheetId="5">#REF!</definedName>
    <definedName name="ee">#REF!</definedName>
    <definedName name="eee" localSheetId="5">#REF!</definedName>
    <definedName name="eee">#REF!</definedName>
    <definedName name="eeee" localSheetId="5">[26]GWC!#REF!</definedName>
    <definedName name="eeee">[26]GWC!#REF!</definedName>
    <definedName name="Eela" localSheetId="5">#REF!</definedName>
    <definedName name="Eela">#REF!</definedName>
    <definedName name="eela2" localSheetId="5">#REF!</definedName>
    <definedName name="eela2">#REF!</definedName>
    <definedName name="eelat" localSheetId="5">[37]strain!#REF!</definedName>
    <definedName name="eelat">[37]strain!#REF!</definedName>
    <definedName name="EEpi" localSheetId="5">#REF!</definedName>
    <definedName name="EEpi">#REF!</definedName>
    <definedName name="EEst" localSheetId="5">#REF!</definedName>
    <definedName name="EEst">#REF!</definedName>
    <definedName name="elb" localSheetId="5">#REF!</definedName>
    <definedName name="elb">#REF!</definedName>
    <definedName name="elt" localSheetId="5">#REF!</definedName>
    <definedName name="elt">#REF!</definedName>
    <definedName name="Em" localSheetId="5">#REF!</definedName>
    <definedName name="Em">#REF!</definedName>
    <definedName name="Em___0" localSheetId="5">#REF!</definedName>
    <definedName name="Em___0">#REF!</definedName>
    <definedName name="Em___13" localSheetId="5">#REF!</definedName>
    <definedName name="Em___13">#REF!</definedName>
    <definedName name="eml" localSheetId="5">'[13]A1-Continuous'!#REF!</definedName>
    <definedName name="eml">'[13]A1-Continuous'!#REF!</definedName>
    <definedName name="End_Bal" localSheetId="5">#REF!</definedName>
    <definedName name="End_Bal">#REF!</definedName>
    <definedName name="ENG" localSheetId="5">#REF!</definedName>
    <definedName name="ENG">#REF!</definedName>
    <definedName name="Enot" localSheetId="5">#REF!</definedName>
    <definedName name="Enot">#REF!</definedName>
    <definedName name="EP_AGWC" localSheetId="5">'[55]EP 13-14'!#REF!</definedName>
    <definedName name="EP_AGWC">'[55]EP 13-14'!#REF!</definedName>
    <definedName name="EP_AM" localSheetId="5">'[55]EP 13-14'!#REF!</definedName>
    <definedName name="EP_AM">'[55]EP 13-14'!#REF!</definedName>
    <definedName name="EP_ANFA" localSheetId="5">'[55]EP 13-14'!#REF!</definedName>
    <definedName name="EP_ANFA">'[55]EP 13-14'!#REF!</definedName>
    <definedName name="EP_ANFE" localSheetId="5">'[55]EP 13-14'!#REF!</definedName>
    <definedName name="EP_ANFE">'[55]EP 13-14'!#REF!</definedName>
    <definedName name="EP_ANFEBG" localSheetId="5">'[55]EP 13-14'!#REF!</definedName>
    <definedName name="EP_ANFEBG">'[55]EP 13-14'!#REF!</definedName>
    <definedName name="EP_ANWC" localSheetId="5">'[55]EP 13-14'!#REF!</definedName>
    <definedName name="EP_ANWC">'[55]EP 13-14'!#REF!</definedName>
    <definedName name="EP_Apr">'[55]EP 13-14'!$AN:$AN</definedName>
    <definedName name="EP_Aug">'[55]EP 13-14'!$AR:$AR</definedName>
    <definedName name="EP_Avg_Adv" localSheetId="5">'[55]EP 13-14'!#REF!</definedName>
    <definedName name="EP_Avg_Adv">'[55]EP 13-14'!#REF!</definedName>
    <definedName name="EP_Avg_COI" localSheetId="5">'[55]EP 13-14'!#REF!</definedName>
    <definedName name="EP_Avg_COI">'[55]EP 13-14'!#REF!</definedName>
    <definedName name="EP_Avg_OCA" localSheetId="5">'[55]EP 13-14'!#REF!</definedName>
    <definedName name="EP_Avg_OCA">'[55]EP 13-14'!#REF!</definedName>
    <definedName name="EP_Avg_OCL" localSheetId="5">'[55]EP 13-14'!#REF!</definedName>
    <definedName name="EP_Avg_OCL">'[55]EP 13-14'!#REF!</definedName>
    <definedName name="EP_Avg_OS" localSheetId="5">'[55]EP 13-14'!#REF!</definedName>
    <definedName name="EP_Avg_OS">'[55]EP 13-14'!#REF!</definedName>
    <definedName name="EP_Avg_Stk" localSheetId="5">'[55]EP 13-14'!#REF!</definedName>
    <definedName name="EP_Avg_Stk">'[55]EP 13-14'!#REF!</definedName>
    <definedName name="EP_Avg_VC" localSheetId="5">'[55]EP 13-14'!#REF!</definedName>
    <definedName name="EP_Avg_VC">'[55]EP 13-14'!#REF!</definedName>
    <definedName name="EP_Avg_WC_Key" localSheetId="5">#REF!</definedName>
    <definedName name="EP_Avg_WC_Key">#REF!</definedName>
    <definedName name="EP_COI" localSheetId="5">'[55]EP 13-14'!#REF!</definedName>
    <definedName name="EP_COI">'[55]EP 13-14'!#REF!</definedName>
    <definedName name="EP_Dec">'[55]EP 13-14'!$AV:$AV</definedName>
    <definedName name="EP_Deprn" localSheetId="5">'[55]EP 13-14'!#REF!</definedName>
    <definedName name="EP_Deprn">'[55]EP 13-14'!#REF!</definedName>
    <definedName name="EP_Feb">'[55]EP 13-14'!$AX:$AX</definedName>
    <definedName name="EP_GM" localSheetId="5">'[55]EP 13-14'!#REF!</definedName>
    <definedName name="EP_GM">'[55]EP 13-14'!#REF!</definedName>
    <definedName name="EP_Jan">'[55]EP 13-14'!$AW:$AW</definedName>
    <definedName name="EP_Jul">'[55]EP 13-14'!$AQ:$AQ</definedName>
    <definedName name="EP_Jun">'[55]EP 13-14'!$AP:$AP</definedName>
    <definedName name="EP_Key" localSheetId="5">'[55]EP 13-14'!#REF!</definedName>
    <definedName name="EP_Key">'[55]EP 13-14'!#REF!</definedName>
    <definedName name="EP_Mar">'[55]EP 13-14'!$AY:$AY</definedName>
    <definedName name="EP_MAT_Sales" localSheetId="5">'[55]EP 13-14'!#REF!</definedName>
    <definedName name="EP_MAT_Sales">'[55]EP 13-14'!#REF!</definedName>
    <definedName name="EP_May">'[55]EP 13-14'!$AO:$AO</definedName>
    <definedName name="EP_Nov">'[55]EP 13-14'!$AU:$AU</definedName>
    <definedName name="EP_NWC" localSheetId="5">'[55]EP 13-14'!#REF!</definedName>
    <definedName name="EP_NWC">'[55]EP 13-14'!#REF!</definedName>
    <definedName name="EP_OB_Cust" localSheetId="5">'[55]EP 13-14'!#REF!</definedName>
    <definedName name="EP_OB_Cust">'[55]EP 13-14'!#REF!</definedName>
    <definedName name="EP_OB_IU" localSheetId="5">'[55]EP 13-14'!#REF!</definedName>
    <definedName name="EP_OB_IU">'[55]EP 13-14'!#REF!</definedName>
    <definedName name="EP_OCA" localSheetId="5">'[55]EP 13-14'!#REF!</definedName>
    <definedName name="EP_OCA">'[55]EP 13-14'!#REF!</definedName>
    <definedName name="EP_OCL" localSheetId="5">'[55]EP 13-14'!#REF!</definedName>
    <definedName name="EP_OCL">'[55]EP 13-14'!#REF!</definedName>
    <definedName name="EP_Oct">'[55]EP 13-14'!$AT:$AT</definedName>
    <definedName name="EP_OD_Common" localSheetId="5">'[55]EP 13-14'!#REF!</definedName>
    <definedName name="EP_OD_Common">'[55]EP 13-14'!#REF!</definedName>
    <definedName name="EP_OI_Cust" localSheetId="5">'[55]EP 13-14'!#REF!</definedName>
    <definedName name="EP_OI_Cust">'[55]EP 13-14'!#REF!</definedName>
    <definedName name="EP_OI_IU" localSheetId="5">'[55]EP 13-14'!#REF!</definedName>
    <definedName name="EP_OI_IU">'[55]EP 13-14'!#REF!</definedName>
    <definedName name="EP_OS" localSheetId="5">'[55]EP 13-14'!#REF!</definedName>
    <definedName name="EP_OS">'[55]EP 13-14'!#REF!</definedName>
    <definedName name="EP_PBDIT" localSheetId="5">'[55]EP 13-14'!#REF!</definedName>
    <definedName name="EP_PBDIT">'[55]EP 13-14'!#REF!</definedName>
    <definedName name="EP_PBIT" localSheetId="5">'[55]EP 13-14'!#REF!</definedName>
    <definedName name="EP_PBIT">'[55]EP 13-14'!#REF!</definedName>
    <definedName name="EP_Per_Key" localSheetId="5">#REF!</definedName>
    <definedName name="EP_Per_Key">#REF!</definedName>
    <definedName name="EP_Res_Key" localSheetId="5">#REF!</definedName>
    <definedName name="EP_Res_Key">#REF!</definedName>
    <definedName name="EP_Sales_Cust" localSheetId="5">'[55]EP 13-14'!#REF!</definedName>
    <definedName name="EP_Sales_Cust">'[55]EP 13-14'!#REF!</definedName>
    <definedName name="EP_Sales_IU" localSheetId="5">'[55]EP 13-14'!#REF!</definedName>
    <definedName name="EP_Sales_IU">'[55]EP 13-14'!#REF!</definedName>
    <definedName name="EP_Sep">'[55]EP 13-14'!$AS:$AS</definedName>
    <definedName name="EP_Stk" localSheetId="5">'[55]EP 13-14'!#REF!</definedName>
    <definedName name="EP_Stk">'[55]EP 13-14'!#REF!</definedName>
    <definedName name="EP_Top_Key" localSheetId="5">#REF!</definedName>
    <definedName name="EP_Top_Key">#REF!</definedName>
    <definedName name="EP_VC" localSheetId="5">'[55]EP 13-14'!#REF!</definedName>
    <definedName name="EP_VC">'[55]EP 13-14'!#REF!</definedName>
    <definedName name="EP_WC_Key" localSheetId="5">#REF!</definedName>
    <definedName name="EP_WC_Key">#REF!</definedName>
    <definedName name="Epi" localSheetId="5">#REF!</definedName>
    <definedName name="Epi">#REF!</definedName>
    <definedName name="ER" localSheetId="5">#REF!</definedName>
    <definedName name="ER">#REF!</definedName>
    <definedName name="ere" localSheetId="5">'[56]3BPA00132-5-3 W plan HVPNL'!#REF!</definedName>
    <definedName name="ere">'[56]3BPA00132-5-3 W plan HVPNL'!#REF!</definedName>
    <definedName name="EREC" localSheetId="5">'[1]B-Chart'!#REF!</definedName>
    <definedName name="EREC">'[1]B-Chart'!#REF!</definedName>
    <definedName name="erection" localSheetId="5">#REF!</definedName>
    <definedName name="erection">#REF!</definedName>
    <definedName name="Erection_Cost" localSheetId="5">#REF!</definedName>
    <definedName name="Erection_Cost">#REF!</definedName>
    <definedName name="Erection_Sales" localSheetId="5">#REF!</definedName>
    <definedName name="Erection_Sales">#REF!</definedName>
    <definedName name="erer" localSheetId="5">#REF!</definedName>
    <definedName name="erer">#REF!</definedName>
    <definedName name="Es" localSheetId="5">#REF!</definedName>
    <definedName name="Es">#REF!</definedName>
    <definedName name="Es___0" localSheetId="5">#REF!</definedName>
    <definedName name="Es___0">#REF!</definedName>
    <definedName name="Es___13" localSheetId="5">#REF!</definedName>
    <definedName name="Es___13">#REF!</definedName>
    <definedName name="esc_1" localSheetId="5">#REF!</definedName>
    <definedName name="esc_1">#REF!</definedName>
    <definedName name="ESC_2" localSheetId="5">#REF!</definedName>
    <definedName name="ESC_2">#REF!</definedName>
    <definedName name="Ess" localSheetId="5">#REF!</definedName>
    <definedName name="Ess">#REF!</definedName>
    <definedName name="est" localSheetId="5">#REF!</definedName>
    <definedName name="est">#REF!</definedName>
    <definedName name="et" localSheetId="5">#REF!</definedName>
    <definedName name="et">#REF!</definedName>
    <definedName name="Et___0" localSheetId="5">#REF!</definedName>
    <definedName name="Et___0">#REF!</definedName>
    <definedName name="Et___13" localSheetId="5">#REF!</definedName>
    <definedName name="Et___13">#REF!</definedName>
    <definedName name="Eta" localSheetId="5">#REF!</definedName>
    <definedName name="Eta">#REF!</definedName>
    <definedName name="eta0" localSheetId="5">#REF!</definedName>
    <definedName name="eta0">#REF!</definedName>
    <definedName name="etaa" localSheetId="5">#REF!</definedName>
    <definedName name="etaa">#REF!</definedName>
    <definedName name="ETC_CST_HDG" localSheetId="5">#REF!</definedName>
    <definedName name="ETC_CST_HDG">#REF!</definedName>
    <definedName name="Eth" localSheetId="5">#REF!</definedName>
    <definedName name="Eth">#REF!</definedName>
    <definedName name="eto" localSheetId="5">#REF!</definedName>
    <definedName name="eto">#REF!</definedName>
    <definedName name="EWEQEWE" localSheetId="5">[26]GWC!#REF!</definedName>
    <definedName name="EWEQEWE">[26]GWC!#REF!</definedName>
    <definedName name="ewre" localSheetId="5" hidden="1">#REF!</definedName>
    <definedName name="ewre" hidden="1">#REF!</definedName>
    <definedName name="excavtion_offset" localSheetId="5">#REF!</definedName>
    <definedName name="excavtion_offset">#REF!</definedName>
    <definedName name="Excel_BuiltIn__FilterDatabase_1" localSheetId="5">'[57]Sheet 1'!#REF!</definedName>
    <definedName name="Excel_BuiltIn__FilterDatabase_1">'[57]Sheet 1'!#REF!</definedName>
    <definedName name="Excel_BuiltIn__FilterDatabase_3" localSheetId="5">#REF!</definedName>
    <definedName name="Excel_BuiltIn__FilterDatabase_3">#REF!</definedName>
    <definedName name="Excel_BuiltIn__FilterDatabase_4" localSheetId="5">#REF!</definedName>
    <definedName name="Excel_BuiltIn__FilterDatabase_4">#REF!</definedName>
    <definedName name="Excel_BuiltIn__FilterDatabase_5" localSheetId="5">#REF!</definedName>
    <definedName name="Excel_BuiltIn__FilterDatabase_5">#REF!</definedName>
    <definedName name="Excel_BuiltIn__FilterDatabase_6" localSheetId="5">#REF!</definedName>
    <definedName name="Excel_BuiltIn__FilterDatabase_6">#REF!</definedName>
    <definedName name="Excel_BuiltIn_Print_Area_1" localSheetId="5">#REF!</definedName>
    <definedName name="Excel_BuiltIn_Print_Area_1">#REF!</definedName>
    <definedName name="Excel_BuiltIn_Print_Area_1_1" localSheetId="5">#REF!</definedName>
    <definedName name="Excel_BuiltIn_Print_Area_1_1">#REF!</definedName>
    <definedName name="Excel_BuiltIn_Print_Area_16" localSheetId="5">#REF!</definedName>
    <definedName name="Excel_BuiltIn_Print_Area_16">#REF!</definedName>
    <definedName name="Excel_BuiltIn_Print_Area_2" localSheetId="5">#REF!</definedName>
    <definedName name="Excel_BuiltIn_Print_Area_2">#REF!</definedName>
    <definedName name="Excel_BuiltIn_Print_Area_2_1" localSheetId="5">#REF!</definedName>
    <definedName name="Excel_BuiltIn_Print_Area_2_1">#REF!</definedName>
    <definedName name="Excel_BuiltIn_Print_Area_3" localSheetId="5">#REF!</definedName>
    <definedName name="Excel_BuiltIn_Print_Area_3">#REF!</definedName>
    <definedName name="Excel_BuiltIn_Print_Area_3_1" localSheetId="5">#REF!</definedName>
    <definedName name="Excel_BuiltIn_Print_Area_3_1">#REF!</definedName>
    <definedName name="Excel_BuiltIn_Print_Area_3_1_1" localSheetId="5">#REF!</definedName>
    <definedName name="Excel_BuiltIn_Print_Area_3_1_1">#REF!</definedName>
    <definedName name="Excel_BuiltIn_Print_Area_3_1_1_1" localSheetId="5">#REF!</definedName>
    <definedName name="Excel_BuiltIn_Print_Area_3_1_1_1">#REF!</definedName>
    <definedName name="Excel_BuiltIn_Print_Area_3_1_1_1_1" localSheetId="5">#REF!</definedName>
    <definedName name="Excel_BuiltIn_Print_Area_3_1_1_1_1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 localSheetId="5">#REF!</definedName>
    <definedName name="Excel_BuiltIn_Print_Area_4_1_1_1">#REF!</definedName>
    <definedName name="Excel_BuiltIn_Print_Area_4_1_1_1_1" localSheetId="5">#REF!</definedName>
    <definedName name="Excel_BuiltIn_Print_Area_4_1_1_1_1">#REF!</definedName>
    <definedName name="Excel_BuiltIn_Print_Area_4_1_1_1_1_1" localSheetId="5">#REF!</definedName>
    <definedName name="Excel_BuiltIn_Print_Area_4_1_1_1_1_1">#REF!</definedName>
    <definedName name="Excel_BuiltIn_Print_Area_5_1_1_1_1" localSheetId="5">#REF!</definedName>
    <definedName name="Excel_BuiltIn_Print_Area_5_1_1_1_1">#REF!</definedName>
    <definedName name="Excel_BuiltIn_Print_Area_6_1" localSheetId="5">#REF!</definedName>
    <definedName name="Excel_BuiltIn_Print_Area_6_1">#REF!</definedName>
    <definedName name="Excel_BuiltIn_Print_Area_7_1" localSheetId="5">#REF!</definedName>
    <definedName name="Excel_BuiltIn_Print_Area_7_1">#REF!</definedName>
    <definedName name="Excel_BuiltIn_Print_Area_8" localSheetId="5">#REF!</definedName>
    <definedName name="Excel_BuiltIn_Print_Area_8">#REF!</definedName>
    <definedName name="Excel_BuiltIn_Print_Area_8_1" localSheetId="5">#REF!</definedName>
    <definedName name="Excel_BuiltIn_Print_Area_8_1">#REF!</definedName>
    <definedName name="Excel_BuiltIn_Print_Titles_1" localSheetId="5">#REF!</definedName>
    <definedName name="Excel_BuiltIn_Print_Titles_1">#REF!</definedName>
    <definedName name="Excel_BuiltIn_Print_Titles_10">[58]main1!$A$1:$B$65087,[58]main1!$1:$6</definedName>
    <definedName name="Excel_BuiltIn_Print_Titles_16" localSheetId="5">#REF!,#REF!</definedName>
    <definedName name="Excel_BuiltIn_Print_Titles_16">#REF!,#REF!</definedName>
    <definedName name="Excel_BuiltIn_Print_Titles_17" localSheetId="5">#REF!,#REF!</definedName>
    <definedName name="Excel_BuiltIn_Print_Titles_17">#REF!,#REF!</definedName>
    <definedName name="Excel_BuiltIn_Print_Titles_3" localSheetId="5">#REF!</definedName>
    <definedName name="Excel_BuiltIn_Print_Titles_3">#REF!</definedName>
    <definedName name="Excel_BuiltIn_Print_Titles_4_1">[58]main1!$A$1:$B$65093,[58]main1!$1:$6</definedName>
    <definedName name="Excel_BuiltIn_Print_Titles_5_1">[58]main1!$A$1:$B$65233,[58]main1!$1:$6</definedName>
    <definedName name="Excel_BuiltIn_Print_Titles_5_1_1">[58]main1!$A$1:$B$65231,[58]main1!$1:$6</definedName>
    <definedName name="Excel_BuiltIn_Print_Titles_5_1_1_1" localSheetId="5">#REF!,#REF!</definedName>
    <definedName name="Excel_BuiltIn_Print_Titles_5_1_1_1">#REF!,#REF!</definedName>
    <definedName name="Excel_BuiltIn_Recorder" localSheetId="5">#REF!</definedName>
    <definedName name="Excel_BuiltIn_Recorder">#REF!</definedName>
    <definedName name="exist" localSheetId="5">#REF!</definedName>
    <definedName name="exist">#REF!</definedName>
    <definedName name="EXIT" localSheetId="5">#REF!</definedName>
    <definedName name="EXIT">#REF!</definedName>
    <definedName name="EXPHEADS" localSheetId="5">#REF!</definedName>
    <definedName name="EXPHEADS">#REF!</definedName>
    <definedName name="external" localSheetId="5">#REF!</definedName>
    <definedName name="external">#REF!</definedName>
    <definedName name="Extra_Pay" localSheetId="5">#REF!</definedName>
    <definedName name="Extra_Pay">#REF!</definedName>
    <definedName name="exwks" localSheetId="5">#REF!</definedName>
    <definedName name="exwks">#REF!</definedName>
    <definedName name="F" localSheetId="5">#REF!</definedName>
    <definedName name="F">#REF!</definedName>
    <definedName name="fa" localSheetId="5">#REF!</definedName>
    <definedName name="fa">#REF!</definedName>
    <definedName name="fafas" localSheetId="5">#REF!</definedName>
    <definedName name="fafas">#REF!</definedName>
    <definedName name="FAH" localSheetId="5">#REF!</definedName>
    <definedName name="FAH">#REF!</definedName>
    <definedName name="fasdfasdf" localSheetId="5">#REF!</definedName>
    <definedName name="fasdfasdf">#REF!</definedName>
    <definedName name="FASDFSD" localSheetId="5">#REF!</definedName>
    <definedName name="FASDFSD">#REF!</definedName>
    <definedName name="Fb" localSheetId="5">#REF!</definedName>
    <definedName name="Fb">#REF!</definedName>
    <definedName name="FC" localSheetId="5">#REF!</definedName>
    <definedName name="FC">#REF!</definedName>
    <definedName name="FCL" localSheetId="5">'[44]220 11  BS '!#REF!</definedName>
    <definedName name="FCL">'[44]220 11  BS '!#REF!</definedName>
    <definedName name="FCode" localSheetId="5" hidden="1">#REF!</definedName>
    <definedName name="FCode" hidden="1">#REF!</definedName>
    <definedName name="FCR" localSheetId="5">#REF!</definedName>
    <definedName name="FCR">#REF!</definedName>
    <definedName name="FD" localSheetId="5">#REF!</definedName>
    <definedName name="FD">#REF!</definedName>
    <definedName name="fda" localSheetId="5">#REF!</definedName>
    <definedName name="fda">#REF!</definedName>
    <definedName name="fdb" localSheetId="5">#REF!</definedName>
    <definedName name="fdb">#REF!</definedName>
    <definedName name="FDF" localSheetId="5">#REF!</definedName>
    <definedName name="FDF">#REF!</definedName>
    <definedName name="fdhd" localSheetId="5">#REF!</definedName>
    <definedName name="fdhd">#REF!</definedName>
    <definedName name="Fdl" localSheetId="5">'[44]220 11  BS '!#REF!</definedName>
    <definedName name="Fdl">'[44]220 11  BS '!#REF!</definedName>
    <definedName name="Fdn" localSheetId="5">#REF!</definedName>
    <definedName name="Fdn">#REF!</definedName>
    <definedName name="FdnWet">'[59]FDn Wet'!$C$5:$H$27</definedName>
    <definedName name="Fdr" localSheetId="5">'[44]220 11  BS '!#REF!</definedName>
    <definedName name="Fdr">'[44]220 11  BS '!#REF!</definedName>
    <definedName name="fdsdafas" localSheetId="5" hidden="1">{"'TP-SUMMARY'!$I$11:$K$11"}</definedName>
    <definedName name="fdsdafas" hidden="1">{"'TP-SUMMARY'!$I$11:$K$11"}</definedName>
    <definedName name="fdsdf" localSheetId="5">#REF!</definedName>
    <definedName name="fdsdf">#REF!</definedName>
    <definedName name="feb_qty_rev_3" localSheetId="5">#REF!</definedName>
    <definedName name="feb_qty_rev_3">#REF!</definedName>
    <definedName name="feb_rev4_qty" localSheetId="5">#REF!</definedName>
    <definedName name="feb_rev4_qty">#REF!</definedName>
    <definedName name="fEQAvz" localSheetId="5">#REF!</definedName>
    <definedName name="fEQAvz">#REF!</definedName>
    <definedName name="ff" localSheetId="5" hidden="1">#REF!</definedName>
    <definedName name="ff" hidden="1">#REF!</definedName>
    <definedName name="FFB" localSheetId="5">#REF!</definedName>
    <definedName name="FFB">#REF!</definedName>
    <definedName name="fff" localSheetId="5">[26]GWC!#REF!</definedName>
    <definedName name="fff">[26]GWC!#REF!</definedName>
    <definedName name="ffff" localSheetId="5">#REF!</definedName>
    <definedName name="ffff">#REF!</definedName>
    <definedName name="fffffffff" localSheetId="5">[26]GWC!#REF!</definedName>
    <definedName name="fffffffff">[26]GWC!#REF!</definedName>
    <definedName name="fffffffffff" localSheetId="5">'[27]UNP-NCW '!#REF!</definedName>
    <definedName name="fffffffffff">'[27]UNP-NCW '!#REF!</definedName>
    <definedName name="ffvvv" localSheetId="5">[26]GWC!#REF!</definedName>
    <definedName name="ffvvv">[26]GWC!#REF!</definedName>
    <definedName name="fg" localSheetId="5">#REF!</definedName>
    <definedName name="fg">#REF!</definedName>
    <definedName name="fgdfgg" localSheetId="5">#REF!</definedName>
    <definedName name="fgdfgg">#REF!</definedName>
    <definedName name="FGNFN" localSheetId="5">#REF!</definedName>
    <definedName name="FGNFN">#REF!</definedName>
    <definedName name="Fh" localSheetId="5">#REF!</definedName>
    <definedName name="Fh">#REF!</definedName>
    <definedName name="Fha" localSheetId="5">#REF!</definedName>
    <definedName name="Fha">#REF!</definedName>
    <definedName name="FHH" localSheetId="5">#REF!</definedName>
    <definedName name="FHH">#REF!</definedName>
    <definedName name="Fhwa" localSheetId="5">#REF!</definedName>
    <definedName name="Fhwa">#REF!</definedName>
    <definedName name="Fhwl" localSheetId="5">#REF!</definedName>
    <definedName name="Fhwl">#REF!</definedName>
    <definedName name="Fi" localSheetId="5">'[44]220 11  BS '!#REF!</definedName>
    <definedName name="Fi">'[44]220 11  BS '!#REF!</definedName>
    <definedName name="fill" localSheetId="5" hidden="1">#REF!</definedName>
    <definedName name="fill" hidden="1">#REF!</definedName>
    <definedName name="fill2" localSheetId="5" hidden="1">#REF!</definedName>
    <definedName name="fill2" hidden="1">#REF!</definedName>
    <definedName name="FIT" localSheetId="5">#REF!</definedName>
    <definedName name="FIT">#REF!</definedName>
    <definedName name="FIT___0" localSheetId="5">#REF!</definedName>
    <definedName name="FIT___0">#REF!</definedName>
    <definedName name="FIT___13" localSheetId="5">#REF!</definedName>
    <definedName name="FIT___13">#REF!</definedName>
    <definedName name="Floor">'[42]DETAILED  BOQ'!$C$4</definedName>
    <definedName name="Fm" localSheetId="5">'[60]220KV CS'!#REF!</definedName>
    <definedName name="Fm">'[60]220KV CS'!#REF!</definedName>
    <definedName name="Fmg" localSheetId="5">#REF!</definedName>
    <definedName name="Fmg">#REF!</definedName>
    <definedName name="Fml" localSheetId="5">'[44]220 11  BS '!#REF!</definedName>
    <definedName name="Fml">'[44]220 11  BS '!#REF!</definedName>
    <definedName name="Fmr" localSheetId="5">'[44]220 11  BS '!#REF!</definedName>
    <definedName name="Fmr">'[44]220 11  BS '!#REF!</definedName>
    <definedName name="fn" localSheetId="5">#REF!</definedName>
    <definedName name="fn">#REF!</definedName>
    <definedName name="FND" localSheetId="5">#REF!</definedName>
    <definedName name="FND">#REF!</definedName>
    <definedName name="fo" localSheetId="5">#REF!</definedName>
    <definedName name="fo">#REF!</definedName>
    <definedName name="foa" localSheetId="5">#REF!</definedName>
    <definedName name="foa">#REF!</definedName>
    <definedName name="form_type">[61]Sheet2!$B$1:$B$3</definedName>
    <definedName name="Formula" localSheetId="5">'[62]except wiring'!#REF!</definedName>
    <definedName name="Formula">'[62]except wiring'!#REF!</definedName>
    <definedName name="forthemonth" localSheetId="5">#REF!</definedName>
    <definedName name="forthemonth">#REF!</definedName>
    <definedName name="FOS.NLC" localSheetId="5">#REF!</definedName>
    <definedName name="FOS.NLC">#REF!</definedName>
    <definedName name="FOS.SCF" localSheetId="5">#REF!</definedName>
    <definedName name="FOS.SCF">#REF!</definedName>
    <definedName name="Fp" localSheetId="5">[32]DSLP!#REF!</definedName>
    <definedName name="Fp">[32]DSLP!#REF!</definedName>
    <definedName name="Fpi" localSheetId="5">#REF!</definedName>
    <definedName name="Fpi">#REF!</definedName>
    <definedName name="Fpi0" localSheetId="5">#REF!</definedName>
    <definedName name="Fpi0">#REF!</definedName>
    <definedName name="Fr" localSheetId="5">'[44]220 11  BS '!#REF!</definedName>
    <definedName name="Fr">'[44]220 11  BS '!#REF!</definedName>
    <definedName name="free" localSheetId="5">[14]Design!#REF!</definedName>
    <definedName name="free">[14]Design!#REF!</definedName>
    <definedName name="Frl" localSheetId="5">'[44]220 11  BS '!#REF!</definedName>
    <definedName name="Frl">'[44]220 11  BS '!#REF!</definedName>
    <definedName name="frnorms" localSheetId="5">#REF!</definedName>
    <definedName name="frnorms">#REF!</definedName>
    <definedName name="Frr" localSheetId="5">'[44]220 11  BS '!#REF!</definedName>
    <definedName name="Frr">'[44]220 11  BS '!#REF!</definedName>
    <definedName name="Fs" localSheetId="5">[32]DSLP!#REF!</definedName>
    <definedName name="Fs">[32]DSLP!#REF!</definedName>
    <definedName name="Fst" localSheetId="5">#REF!</definedName>
    <definedName name="Fst">#REF!</definedName>
    <definedName name="FT" localSheetId="5">#REF!</definedName>
    <definedName name="FT">#REF!</definedName>
    <definedName name="FT0" localSheetId="5">#REF!</definedName>
    <definedName name="FT0">#REF!</definedName>
    <definedName name="fto" localSheetId="5">#REF!</definedName>
    <definedName name="fto">#REF!</definedName>
    <definedName name="Full_Print" localSheetId="5">#REF!</definedName>
    <definedName name="Full_Print">#REF!</definedName>
    <definedName name="Fv" localSheetId="5">#REF!</definedName>
    <definedName name="Fv">#REF!</definedName>
    <definedName name="Fvl" localSheetId="5">'[44]220 11  BS '!#REF!</definedName>
    <definedName name="Fvl">'[44]220 11  BS '!#REF!</definedName>
    <definedName name="Fvr" localSheetId="5">'[44]220 11  BS '!#REF!</definedName>
    <definedName name="Fvr">'[44]220 11  BS '!#REF!</definedName>
    <definedName name="fw" localSheetId="5">#REF!</definedName>
    <definedName name="fw">#REF!</definedName>
    <definedName name="Fwi" localSheetId="5">'[44]220 11  BS '!#REF!</definedName>
    <definedName name="Fwi">'[44]220 11  BS '!#REF!</definedName>
    <definedName name="fwii" localSheetId="5">#REF!</definedName>
    <definedName name="fwii">#REF!</definedName>
    <definedName name="fwio" localSheetId="5">#REF!</definedName>
    <definedName name="fwio">#REF!</definedName>
    <definedName name="fww" localSheetId="5">#REF!</definedName>
    <definedName name="fww">#REF!</definedName>
    <definedName name="G" localSheetId="5">#REF!</definedName>
    <definedName name="G">#REF!</definedName>
    <definedName name="gama" localSheetId="5">#REF!</definedName>
    <definedName name="gama">#REF!</definedName>
    <definedName name="gamah" localSheetId="5">#REF!</definedName>
    <definedName name="gamah">#REF!</definedName>
    <definedName name="gamma" localSheetId="5">#REF!</definedName>
    <definedName name="gamma">#REF!</definedName>
    <definedName name="gammon" localSheetId="5">#REF!</definedName>
    <definedName name="gammon">#REF!</definedName>
    <definedName name="GATE" localSheetId="5">#REF!</definedName>
    <definedName name="GATE">#REF!</definedName>
    <definedName name="GBDFG" localSheetId="5">#REF!</definedName>
    <definedName name="GBDFG">#REF!</definedName>
    <definedName name="Gc" localSheetId="5">'[44]220 11  BS '!#REF!</definedName>
    <definedName name="Gc">'[44]220 11  BS '!#REF!</definedName>
    <definedName name="Gci" localSheetId="5">'[44]220 11  BS '!#REF!</definedName>
    <definedName name="Gci">'[44]220 11  BS '!#REF!</definedName>
    <definedName name="gd">[63]PROG_DATA!$B$6</definedName>
    <definedName name="GDGSDGG" localSheetId="5">#REF!</definedName>
    <definedName name="GDGSDGG">#REF!</definedName>
    <definedName name="ge" localSheetId="5">#REF!</definedName>
    <definedName name="ge">#REF!</definedName>
    <definedName name="gfggfg" localSheetId="5">#REF!</definedName>
    <definedName name="gfggfg">#REF!</definedName>
    <definedName name="GG" localSheetId="5">#REF!</definedName>
    <definedName name="GG">#REF!</definedName>
    <definedName name="GGF" localSheetId="5">#REF!</definedName>
    <definedName name="GGF">#REF!</definedName>
    <definedName name="GGG" localSheetId="5" hidden="1">#REF!</definedName>
    <definedName name="GGG" hidden="1">#REF!</definedName>
    <definedName name="GH" localSheetId="5">#REF!</definedName>
    <definedName name="GH">#REF!</definedName>
    <definedName name="Gi" localSheetId="5">'[44]220 11  BS '!#REF!</definedName>
    <definedName name="Gi">'[44]220 11  BS '!#REF!</definedName>
    <definedName name="girder.span" localSheetId="5">#REF!</definedName>
    <definedName name="girder.span">#REF!</definedName>
    <definedName name="gn" localSheetId="5">#REF!</definedName>
    <definedName name="gn">#REF!</definedName>
    <definedName name="gngn" localSheetId="5">[51]Report!#REF!</definedName>
    <definedName name="gngn">[51]Report!#REF!</definedName>
    <definedName name="gross" localSheetId="5">#REF!</definedName>
    <definedName name="gross">#REF!</definedName>
    <definedName name="GROUP1" localSheetId="5">#REF!</definedName>
    <definedName name="GROUP1">#REF!</definedName>
    <definedName name="GROUPIIE" localSheetId="5">#REF!</definedName>
    <definedName name="GROUPIIE">#REF!</definedName>
    <definedName name="GROUPIIP" localSheetId="5">#REF!</definedName>
    <definedName name="GROUPIIP">#REF!</definedName>
    <definedName name="GROUPX" localSheetId="5">#REF!</definedName>
    <definedName name="GROUPX">#REF!</definedName>
    <definedName name="GROUPXI" localSheetId="5">#REF!</definedName>
    <definedName name="GROUPXI">#REF!</definedName>
    <definedName name="gs" localSheetId="5">#REF!</definedName>
    <definedName name="gs">#REF!</definedName>
    <definedName name="GSDFGFHGH" localSheetId="5">#REF!</definedName>
    <definedName name="GSDFGFHGH">#REF!</definedName>
    <definedName name="GSDGG" localSheetId="5">#REF!</definedName>
    <definedName name="GSDGG">#REF!</definedName>
    <definedName name="gtst" localSheetId="5">#REF!</definedName>
    <definedName name="gtst">#REF!</definedName>
    <definedName name="Gw" localSheetId="5">#REF!</definedName>
    <definedName name="Gw">#REF!</definedName>
    <definedName name="H" localSheetId="5">#REF!</definedName>
    <definedName name="H">#REF!</definedName>
    <definedName name="H___0" localSheetId="5">#REF!</definedName>
    <definedName name="H___0">#REF!</definedName>
    <definedName name="H___13" localSheetId="5">#REF!</definedName>
    <definedName name="H___13">#REF!</definedName>
    <definedName name="H0" localSheetId="5">#REF!</definedName>
    <definedName name="H0">#REF!</definedName>
    <definedName name="H0___0" localSheetId="5">#REF!</definedName>
    <definedName name="H0___0">#REF!</definedName>
    <definedName name="H0___13" localSheetId="5">#REF!</definedName>
    <definedName name="H0___13">#REF!</definedName>
    <definedName name="hai" localSheetId="5">#REF!</definedName>
    <definedName name="hai">#REF!</definedName>
    <definedName name="HARI" localSheetId="5">[64]DSLP!#REF!</definedName>
    <definedName name="HARI">[64]DSLP!#REF!</definedName>
    <definedName name="Hcbdw" localSheetId="5">#REF!</definedName>
    <definedName name="Hcbdw">#REF!</definedName>
    <definedName name="Hcw" localSheetId="5">#REF!</definedName>
    <definedName name="Hcw">#REF!</definedName>
    <definedName name="hdffghh" localSheetId="5">#REF!</definedName>
    <definedName name="hdffghh">#REF!</definedName>
    <definedName name="head1">[16]Code!$B$1</definedName>
    <definedName name="head2" localSheetId="5">[12]Code!#REF!</definedName>
    <definedName name="head2">[12]Code!#REF!</definedName>
    <definedName name="head3" localSheetId="5">[12]Code!#REF!</definedName>
    <definedName name="head3">[12]Code!#REF!</definedName>
    <definedName name="Header_Row" localSheetId="5">ROW(#REF!)</definedName>
    <definedName name="Header_Row">ROW(#REF!)</definedName>
    <definedName name="her" localSheetId="5">'[44]220 11  BS '!#REF!</definedName>
    <definedName name="her">'[44]220 11  BS '!#REF!</definedName>
    <definedName name="hf" localSheetId="5">#REF!</definedName>
    <definedName name="hf">#REF!</definedName>
    <definedName name="hfi" localSheetId="5">#REF!</definedName>
    <definedName name="hfi">#REF!</definedName>
    <definedName name="hg" localSheetId="5">#REF!</definedName>
    <definedName name="hg">#REF!</definedName>
    <definedName name="hgdfhfjkg" localSheetId="5">[64]Timesheet!#REF!</definedName>
    <definedName name="hgdfhfjkg">[64]Timesheet!#REF!</definedName>
    <definedName name="hgr" localSheetId="5">#REF!</definedName>
    <definedName name="hgr">#REF!</definedName>
    <definedName name="hh" localSheetId="5">#REF!</definedName>
    <definedName name="hh">#REF!</definedName>
    <definedName name="hh___0" localSheetId="5">#REF!</definedName>
    <definedName name="hh___0">#REF!</definedName>
    <definedName name="hh___13" localSheetId="5">#REF!</definedName>
    <definedName name="hh___13">#REF!</definedName>
    <definedName name="hhgfhbfghj" localSheetId="5">#REF!</definedName>
    <definedName name="hhgfhbfghj">#REF!</definedName>
    <definedName name="hhgg" localSheetId="5">[26]GWC!#REF!</definedName>
    <definedName name="hhgg">[26]GWC!#REF!</definedName>
    <definedName name="hhhhhhh" localSheetId="5">#REF!</definedName>
    <definedName name="hhhhhhh">#REF!</definedName>
    <definedName name="hhhhhhhh" localSheetId="5">'[27]UNP-NCW '!#REF!</definedName>
    <definedName name="hhhhhhhh">'[27]UNP-NCW '!#REF!</definedName>
    <definedName name="hhhhhhhhh" localSheetId="5">'[27]UNP-NCW '!#REF!</definedName>
    <definedName name="hhhhhhhhh">'[27]UNP-NCW '!#REF!</definedName>
    <definedName name="Hhpc" localSheetId="5">#REF!</definedName>
    <definedName name="Hhpc">#REF!</definedName>
    <definedName name="hhs" localSheetId="5">#REF!</definedName>
    <definedName name="hhs">#REF!</definedName>
    <definedName name="hi" localSheetId="5">[32]DSLP!#REF!</definedName>
    <definedName name="hi">[32]DSLP!#REF!</definedName>
    <definedName name="HiddenRows" localSheetId="5" hidden="1">#REF!</definedName>
    <definedName name="HiddenRows" hidden="1">#REF!</definedName>
    <definedName name="HINDHUSTAN" localSheetId="5">#REF!</definedName>
    <definedName name="HINDHUSTAN">#REF!</definedName>
    <definedName name="HINDI" localSheetId="5">#REF!</definedName>
    <definedName name="HINDI">#REF!</definedName>
    <definedName name="HIns" localSheetId="5">[32]DSLP!#REF!</definedName>
    <definedName name="HIns">[32]DSLP!#REF!</definedName>
    <definedName name="Hipc" localSheetId="5">#REF!</definedName>
    <definedName name="Hipc">#REF!</definedName>
    <definedName name="hiuhiuhpoho" localSheetId="5">#REF!</definedName>
    <definedName name="hiuhiuhpoho">#REF!</definedName>
    <definedName name="HJ" localSheetId="5">#REF!</definedName>
    <definedName name="HJ">#REF!</definedName>
    <definedName name="hkg" localSheetId="5">#REF!</definedName>
    <definedName name="hkg">#REF!</definedName>
    <definedName name="hl" localSheetId="5">[25]Report!#REF!</definedName>
    <definedName name="hl">[25]Report!#REF!</definedName>
    <definedName name="hleft" localSheetId="5">#REF!</definedName>
    <definedName name="hleft">#REF!</definedName>
    <definedName name="Hlp" localSheetId="5">#REF!</definedName>
    <definedName name="Hlp">#REF!</definedName>
    <definedName name="ho" localSheetId="5">#REF!</definedName>
    <definedName name="ho">#REF!</definedName>
    <definedName name="ho___0" localSheetId="5">#REF!</definedName>
    <definedName name="ho___0">#REF!</definedName>
    <definedName name="ho___13" localSheetId="5">#REF!</definedName>
    <definedName name="ho___13">#REF!</definedName>
    <definedName name="hoi" localSheetId="5">[32]DSLP!#REF!</definedName>
    <definedName name="hoi">[32]DSLP!#REF!</definedName>
    <definedName name="hone" localSheetId="5">#REF!</definedName>
    <definedName name="hone">#REF!</definedName>
    <definedName name="hotwo" localSheetId="5">#REF!</definedName>
    <definedName name="hotwo">#REF!</definedName>
    <definedName name="hr" localSheetId="5">[25]Report!#REF!</definedName>
    <definedName name="hr">[25]Report!#REF!</definedName>
    <definedName name="hright" localSheetId="5">#REF!</definedName>
    <definedName name="hright">#REF!</definedName>
    <definedName name="hS" localSheetId="5">#REF!</definedName>
    <definedName name="hS">#REF!</definedName>
    <definedName name="hS___0" localSheetId="5">#REF!</definedName>
    <definedName name="hS___0">#REF!</definedName>
    <definedName name="hS___13" localSheetId="5">#REF!</definedName>
    <definedName name="hS___13">#REF!</definedName>
    <definedName name="Hs_atm" localSheetId="5">#REF!</definedName>
    <definedName name="Hs_atm">#REF!</definedName>
    <definedName name="HSS" localSheetId="5">#REF!</definedName>
    <definedName name="HSS">#REF!</definedName>
    <definedName name="ht" localSheetId="5">[20]Coalmine!#REF!</definedName>
    <definedName name="ht">[20]Coalmine!#REF!</definedName>
    <definedName name="hthree" localSheetId="5">#REF!</definedName>
    <definedName name="hthree">#REF!</definedName>
    <definedName name="HTML_CodePage" hidden="1">1252</definedName>
    <definedName name="HTML_Control" localSheetId="5" hidden="1">{"'TP-SUMMARY'!$I$11:$K$11"}</definedName>
    <definedName name="HTML_Control" hidden="1">{"'TP-SUMMARY'!$I$11:$K$11"}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htwo" localSheetId="5">[15]Report!#REF!</definedName>
    <definedName name="htwo">[15]Report!#REF!</definedName>
    <definedName name="Hu" localSheetId="5">#REF!</definedName>
    <definedName name="Hu">#REF!</definedName>
    <definedName name="Hu___0" localSheetId="5">#REF!</definedName>
    <definedName name="Hu___0">#REF!</definedName>
    <definedName name="Hu___13" localSheetId="5">#REF!</definedName>
    <definedName name="Hu___13">#REF!</definedName>
    <definedName name="HW" localSheetId="5">'[65]PV FDN'!#REF!</definedName>
    <definedName name="HW">'[65]PV FDN'!#REF!</definedName>
    <definedName name="Hw_atm" localSheetId="5">#REF!</definedName>
    <definedName name="Hw_atm">#REF!</definedName>
    <definedName name="HX" localSheetId="5">[11]Sheet1!#REF!</definedName>
    <definedName name="HX">[11]Sheet1!#REF!</definedName>
    <definedName name="hxa" localSheetId="5">[15]Report!#REF!</definedName>
    <definedName name="hxa">[15]Report!#REF!</definedName>
    <definedName name="hxb" localSheetId="5">[32]DSLP!#REF!</definedName>
    <definedName name="hxb">[32]DSLP!#REF!</definedName>
    <definedName name="hxc" localSheetId="5">#REF!</definedName>
    <definedName name="hxc">#REF!</definedName>
    <definedName name="hxd" localSheetId="5">[11]Sheet1!#REF!</definedName>
    <definedName name="hxd">[11]Sheet1!#REF!</definedName>
    <definedName name="hxdd" localSheetId="5">[19]CAL!#REF!</definedName>
    <definedName name="hxdd">[19]CAL!#REF!</definedName>
    <definedName name="hxe" localSheetId="5">#REF!</definedName>
    <definedName name="hxe">#REF!</definedName>
    <definedName name="hxee" localSheetId="5">[19]CAL!#REF!</definedName>
    <definedName name="hxee">[19]CAL!#REF!</definedName>
    <definedName name="hxf" localSheetId="5">#REF!</definedName>
    <definedName name="hxf">#REF!</definedName>
    <definedName name="Hxg" localSheetId="5">'[66]220Kv'!#REF!</definedName>
    <definedName name="Hxg">'[66]220Kv'!#REF!</definedName>
    <definedName name="hxi" localSheetId="5">[32]DSLP!#REF!</definedName>
    <definedName name="hxi">[32]DSLP!#REF!</definedName>
    <definedName name="hyio" localSheetId="5">#REF!</definedName>
    <definedName name="hyio">#REF!</definedName>
    <definedName name="Hz" localSheetId="5">#REF!</definedName>
    <definedName name="Hz">#REF!</definedName>
    <definedName name="I" localSheetId="5">#REF!</definedName>
    <definedName name="I">#REF!</definedName>
    <definedName name="I___0" localSheetId="5">#REF!</definedName>
    <definedName name="I___0">#REF!</definedName>
    <definedName name="I___13" localSheetId="5">#REF!</definedName>
    <definedName name="I___13">#REF!</definedName>
    <definedName name="I2m" localSheetId="5">[14]Design!#REF!</definedName>
    <definedName name="I2m">[14]Design!#REF!</definedName>
    <definedName name="i3phf" localSheetId="5">#REF!</definedName>
    <definedName name="i3phf">#REF!</definedName>
    <definedName name="IAH" localSheetId="5">#REF!</definedName>
    <definedName name="IAH">#REF!</definedName>
    <definedName name="ic">5%</definedName>
    <definedName name="icb">[67]Codes!$C$9</definedName>
    <definedName name="idb" localSheetId="5">#REF!</definedName>
    <definedName name="idb">#REF!</definedName>
    <definedName name="idt" localSheetId="5">#REF!</definedName>
    <definedName name="idt">#REF!</definedName>
    <definedName name="idyn" localSheetId="5">#REF!</definedName>
    <definedName name="idyn">#REF!</definedName>
    <definedName name="IE_Adv" localSheetId="5">'[55]IE 13-14'!#REF!</definedName>
    <definedName name="IE_Adv">'[55]IE 13-14'!#REF!</definedName>
    <definedName name="IE_AGWC" localSheetId="5">'[55]IE 13-14'!#REF!</definedName>
    <definedName name="IE_AGWC">'[55]IE 13-14'!#REF!</definedName>
    <definedName name="IE_AM" localSheetId="5">'[55]IE 13-14'!#REF!</definedName>
    <definedName name="IE_AM">'[55]IE 13-14'!#REF!</definedName>
    <definedName name="IE_ANFA" localSheetId="5">'[55]IE 13-14'!#REF!</definedName>
    <definedName name="IE_ANFA">'[55]IE 13-14'!#REF!</definedName>
    <definedName name="IE_ANFE" localSheetId="5">'[55]IE 13-14'!#REF!</definedName>
    <definedName name="IE_ANFE">'[55]IE 13-14'!#REF!</definedName>
    <definedName name="IE_ANFEBG" localSheetId="5">'[55]IE 13-14'!#REF!</definedName>
    <definedName name="IE_ANFEBG">'[55]IE 13-14'!#REF!</definedName>
    <definedName name="IE_ANWC" localSheetId="5">'[55]IE 13-14'!#REF!</definedName>
    <definedName name="IE_ANWC">'[55]IE 13-14'!#REF!</definedName>
    <definedName name="IE_Apr">'[55]IE 13-14'!$AN:$AN</definedName>
    <definedName name="IE_Aug">'[55]IE 13-14'!$AR:$AR</definedName>
    <definedName name="IE_Avg_Adv" localSheetId="5">'[55]IE 13-14'!#REF!</definedName>
    <definedName name="IE_Avg_Adv">'[55]IE 13-14'!#REF!</definedName>
    <definedName name="IE_Avg_COI" localSheetId="5">'[55]IE 13-14'!#REF!</definedName>
    <definedName name="IE_Avg_COI">'[55]IE 13-14'!#REF!</definedName>
    <definedName name="IE_Avg_OCA" localSheetId="5">'[55]IE 13-14'!#REF!</definedName>
    <definedName name="IE_Avg_OCA">'[55]IE 13-14'!#REF!</definedName>
    <definedName name="IE_Avg_OCL" localSheetId="5">'[55]IE 13-14'!#REF!</definedName>
    <definedName name="IE_Avg_OCL">'[55]IE 13-14'!#REF!</definedName>
    <definedName name="IE_Avg_OS" localSheetId="5">'[55]IE 13-14'!#REF!</definedName>
    <definedName name="IE_Avg_OS">'[55]IE 13-14'!#REF!</definedName>
    <definedName name="IE_Avg_Stk" localSheetId="5">'[55]IE 13-14'!#REF!</definedName>
    <definedName name="IE_Avg_Stk">'[55]IE 13-14'!#REF!</definedName>
    <definedName name="IE_Avg_VC" localSheetId="5">'[55]IE 13-14'!#REF!</definedName>
    <definedName name="IE_Avg_VC">'[55]IE 13-14'!#REF!</definedName>
    <definedName name="IE_Avg_WC_Key" localSheetId="5">#REF!</definedName>
    <definedName name="IE_Avg_WC_Key">#REF!</definedName>
    <definedName name="IE_COI" localSheetId="5">'[55]IE 13-14'!#REF!</definedName>
    <definedName name="IE_COI">'[55]IE 13-14'!#REF!</definedName>
    <definedName name="IE_Dec">'[55]IE 13-14'!$AV:$AV</definedName>
    <definedName name="IE_Deprn" localSheetId="5">'[55]IE 13-14'!#REF!</definedName>
    <definedName name="IE_Deprn">'[55]IE 13-14'!#REF!</definedName>
    <definedName name="IE_Feb">'[55]IE 13-14'!$AX:$AX</definedName>
    <definedName name="IE_GM" localSheetId="5">'[55]IE 13-14'!#REF!</definedName>
    <definedName name="IE_GM">'[55]IE 13-14'!#REF!</definedName>
    <definedName name="IE_Jan">'[55]IE 13-14'!$AW:$AW</definedName>
    <definedName name="IE_Jul">'[55]IE 13-14'!$AQ:$AQ</definedName>
    <definedName name="IE_Jun">'[55]IE 13-14'!$AP:$AP</definedName>
    <definedName name="IE_Key" localSheetId="5">'[55]IE 13-14'!#REF!</definedName>
    <definedName name="IE_Key">'[55]IE 13-14'!#REF!</definedName>
    <definedName name="IE_Mar">'[55]IE 13-14'!$AY:$AY</definedName>
    <definedName name="IE_MAT_Sales" localSheetId="5">'[55]IE 13-14'!#REF!</definedName>
    <definedName name="IE_MAT_Sales">'[55]IE 13-14'!#REF!</definedName>
    <definedName name="IE_May">'[55]IE 13-14'!$AO:$AO</definedName>
    <definedName name="IE_Nov">'[55]IE 13-14'!$AU:$AU</definedName>
    <definedName name="IE_NWC" localSheetId="5">'[55]IE 13-14'!#REF!</definedName>
    <definedName name="IE_NWC">'[55]IE 13-14'!#REF!</definedName>
    <definedName name="IE_OB_Cust" localSheetId="5">'[55]IE 13-14'!#REF!</definedName>
    <definedName name="IE_OB_Cust">'[55]IE 13-14'!#REF!</definedName>
    <definedName name="IE_OB_IU" localSheetId="5">'[55]IE 13-14'!#REF!</definedName>
    <definedName name="IE_OB_IU">'[55]IE 13-14'!#REF!</definedName>
    <definedName name="IE_OCA" localSheetId="5">'[55]IE 13-14'!#REF!</definedName>
    <definedName name="IE_OCA">'[55]IE 13-14'!#REF!</definedName>
    <definedName name="IE_OCL" localSheetId="5">'[55]IE 13-14'!#REF!</definedName>
    <definedName name="IE_OCL">'[55]IE 13-14'!#REF!</definedName>
    <definedName name="IE_Oct">'[55]IE 13-14'!$AT:$AT</definedName>
    <definedName name="IE_OD_Common" localSheetId="5">'[55]IE 13-14'!#REF!</definedName>
    <definedName name="IE_OD_Common">'[55]IE 13-14'!#REF!</definedName>
    <definedName name="IE_OI_Cust" localSheetId="5">'[55]IE 13-14'!#REF!</definedName>
    <definedName name="IE_OI_Cust">'[55]IE 13-14'!#REF!</definedName>
    <definedName name="IE_OI_IU" localSheetId="5">'[55]IE 13-14'!#REF!</definedName>
    <definedName name="IE_OI_IU">'[55]IE 13-14'!#REF!</definedName>
    <definedName name="IE_OS" localSheetId="5">'[55]IE 13-14'!#REF!</definedName>
    <definedName name="IE_OS">'[55]IE 13-14'!#REF!</definedName>
    <definedName name="IE_PBDIT" localSheetId="5">'[55]IE 13-14'!#REF!</definedName>
    <definedName name="IE_PBDIT">'[55]IE 13-14'!#REF!</definedName>
    <definedName name="IE_PBIT" localSheetId="5">'[55]IE 13-14'!#REF!</definedName>
    <definedName name="IE_PBIT">'[55]IE 13-14'!#REF!</definedName>
    <definedName name="IE_Per_Key" localSheetId="5">#REF!</definedName>
    <definedName name="IE_Per_Key">#REF!</definedName>
    <definedName name="IE_Res_Key" localSheetId="5">#REF!</definedName>
    <definedName name="IE_Res_Key">#REF!</definedName>
    <definedName name="IE_Sales_Cust" localSheetId="5">'[55]IE 13-14'!#REF!</definedName>
    <definedName name="IE_Sales_Cust">'[55]IE 13-14'!#REF!</definedName>
    <definedName name="IE_Sales_IU" localSheetId="5">'[55]IE 13-14'!#REF!</definedName>
    <definedName name="IE_Sales_IU">'[55]IE 13-14'!#REF!</definedName>
    <definedName name="IE_Sep">'[55]IE 13-14'!$AS:$AS</definedName>
    <definedName name="IE_Stk" localSheetId="5">'[55]IE 13-14'!#REF!</definedName>
    <definedName name="IE_Stk">'[55]IE 13-14'!#REF!</definedName>
    <definedName name="IE_Top_Key" localSheetId="5">#REF!</definedName>
    <definedName name="IE_Top_Key">#REF!</definedName>
    <definedName name="IE_VC" localSheetId="5">'[55]IE 13-14'!#REF!</definedName>
    <definedName name="IE_VC">'[55]IE 13-14'!#REF!</definedName>
    <definedName name="IE_WC_Key" localSheetId="5">#REF!</definedName>
    <definedName name="IE_WC_Key">#REF!</definedName>
    <definedName name="If" localSheetId="5">#REF!</definedName>
    <definedName name="If">#REF!</definedName>
    <definedName name="IFB">[54]Codes!$C$6</definedName>
    <definedName name="Ig" localSheetId="5">#REF!</definedName>
    <definedName name="Ig">#REF!</definedName>
    <definedName name="Ig___0" localSheetId="5">#REF!</definedName>
    <definedName name="Ig___0">#REF!</definedName>
    <definedName name="Ig___13" localSheetId="5">#REF!</definedName>
    <definedName name="Ig___13">#REF!</definedName>
    <definedName name="IGP_M" localSheetId="5">#REF!</definedName>
    <definedName name="IGP_M">#REF!</definedName>
    <definedName name="iiiiii" localSheetId="5">#REF!</definedName>
    <definedName name="iiiiii">#REF!</definedName>
    <definedName name="ijui" localSheetId="5">#REF!</definedName>
    <definedName name="ijui">#REF!</definedName>
    <definedName name="Ik" localSheetId="5">#REF!</definedName>
    <definedName name="Ik">#REF!</definedName>
    <definedName name="ikmax" localSheetId="5">#REF!</definedName>
    <definedName name="ikmax">#REF!</definedName>
    <definedName name="IL" localSheetId="5">[14]Design!#REF!</definedName>
    <definedName name="IL">[14]Design!#REF!</definedName>
    <definedName name="ilgf" localSheetId="5">#REF!</definedName>
    <definedName name="ilgf">#REF!</definedName>
    <definedName name="illgf" localSheetId="5">#REF!</definedName>
    <definedName name="illgf">#REF!</definedName>
    <definedName name="Im" localSheetId="5">#REF!</definedName>
    <definedName name="Im">#REF!</definedName>
    <definedName name="INDEX" localSheetId="5">#REF!</definedName>
    <definedName name="INDEX">#REF!</definedName>
    <definedName name="IndicesRange">[68]FdN!$B$1:$G$65536</definedName>
    <definedName name="insertplate_and_exp_joint" localSheetId="5">#REF!</definedName>
    <definedName name="insertplate_and_exp_joint">#REF!</definedName>
    <definedName name="int">[46]conversion!$E$2</definedName>
    <definedName name="Interest_Rate" localSheetId="5">#REF!</definedName>
    <definedName name="Interest_Rate">#REF!</definedName>
    <definedName name="ip" localSheetId="5">#REF!</definedName>
    <definedName name="ip">#REF!</definedName>
    <definedName name="IP_EQPT_FRGT" localSheetId="5">#REF!</definedName>
    <definedName name="IP_EQPT_FRGT">#REF!</definedName>
    <definedName name="IP_SPRS" localSheetId="5">#REF!</definedName>
    <definedName name="IP_SPRS">#REF!</definedName>
    <definedName name="IP_SUP" localSheetId="5">#REF!</definedName>
    <definedName name="IP_SUP">#REF!</definedName>
    <definedName name="IP_TTC" localSheetId="5">#REF!</definedName>
    <definedName name="IP_TTC">#REF!</definedName>
    <definedName name="ipn" localSheetId="5">#REF!</definedName>
    <definedName name="ipn">#REF!</definedName>
    <definedName name="ipu" localSheetId="5">#REF!</definedName>
    <definedName name="ipu">#REF!</definedName>
    <definedName name="ipu___0" localSheetId="5">#REF!</definedName>
    <definedName name="ipu___0">#REF!</definedName>
    <definedName name="ipu___13" localSheetId="5">#REF!</definedName>
    <definedName name="ipu___13">#REF!</definedName>
    <definedName name="ir" localSheetId="5">#REF!</definedName>
    <definedName name="ir">#REF!</definedName>
    <definedName name="Irated" localSheetId="5">[14]Design!#REF!</definedName>
    <definedName name="Irated">[14]Design!#REF!</definedName>
    <definedName name="Is" localSheetId="5">#REF!</definedName>
    <definedName name="Is">#REF!</definedName>
    <definedName name="Isc" localSheetId="5">#REF!</definedName>
    <definedName name="Isc">#REF!</definedName>
    <definedName name="isn" localSheetId="5">#REF!</definedName>
    <definedName name="isn">#REF!</definedName>
    <definedName name="ISO" localSheetId="5">#REF!</definedName>
    <definedName name="ISO">#REF!</definedName>
    <definedName name="issue_summ">'[69]water prop.'!$A$1</definedName>
    <definedName name="itmax" localSheetId="5">#REF!</definedName>
    <definedName name="itmax">#REF!</definedName>
    <definedName name="J" localSheetId="5">#REF!</definedName>
    <definedName name="J">#REF!</definedName>
    <definedName name="JEJS" localSheetId="5">#REF!</definedName>
    <definedName name="JEJS">#REF!</definedName>
    <definedName name="JEJS___0" localSheetId="5">#REF!</definedName>
    <definedName name="JEJS___0">#REF!</definedName>
    <definedName name="JEJS___11" localSheetId="5">#REF!</definedName>
    <definedName name="JEJS___11">#REF!</definedName>
    <definedName name="JEJS___12" localSheetId="5">#REF!</definedName>
    <definedName name="JEJS___12">#REF!</definedName>
    <definedName name="JEJS___13" localSheetId="5">#REF!</definedName>
    <definedName name="JEJS___13">#REF!</definedName>
    <definedName name="JEJS___4" localSheetId="5">#REF!</definedName>
    <definedName name="JEJS___4">#REF!</definedName>
    <definedName name="jfjfj" localSheetId="5">[26]GWC!#REF!</definedName>
    <definedName name="jfjfj">[26]GWC!#REF!</definedName>
    <definedName name="JH" localSheetId="5">#REF!</definedName>
    <definedName name="JH">#REF!</definedName>
    <definedName name="jj" localSheetId="5">#REF!</definedName>
    <definedName name="jj">#REF!</definedName>
    <definedName name="jk" localSheetId="5">#REF!</definedName>
    <definedName name="jk">#REF!</definedName>
    <definedName name="job">'[70]DETAILED  BOQ'!$A$1</definedName>
    <definedName name="job___0" localSheetId="5">#REF!</definedName>
    <definedName name="job___0">#REF!</definedName>
    <definedName name="job___11" localSheetId="5">#REF!</definedName>
    <definedName name="job___11">#REF!</definedName>
    <definedName name="job___12" localSheetId="5">#REF!</definedName>
    <definedName name="job___12">#REF!</definedName>
    <definedName name="JobID" localSheetId="5">#REF!</definedName>
    <definedName name="JobID">#REF!</definedName>
    <definedName name="Jobtypes">[55]FORM7!$R$3:$S$7</definedName>
    <definedName name="K" localSheetId="5">#REF!</definedName>
    <definedName name="K">#REF!</definedName>
    <definedName name="K___0" localSheetId="5">#REF!</definedName>
    <definedName name="K___0">#REF!</definedName>
    <definedName name="K___13" localSheetId="5">#REF!</definedName>
    <definedName name="K___13">#REF!</definedName>
    <definedName name="K_a" localSheetId="5">#REF!</definedName>
    <definedName name="K_a">#REF!</definedName>
    <definedName name="K_b" localSheetId="5">#REF!</definedName>
    <definedName name="K_b">#REF!</definedName>
    <definedName name="k0" localSheetId="5">#REF!</definedName>
    <definedName name="k0">#REF!</definedName>
    <definedName name="k1_table" localSheetId="5">#REF!</definedName>
    <definedName name="k1_table">#REF!</definedName>
    <definedName name="k1l" localSheetId="5">#REF!</definedName>
    <definedName name="k1l">#REF!</definedName>
    <definedName name="k1s" localSheetId="5">#REF!</definedName>
    <definedName name="k1s">#REF!</definedName>
    <definedName name="K1V" localSheetId="5">#REF!</definedName>
    <definedName name="K1V">#REF!</definedName>
    <definedName name="k1x" localSheetId="5">[71]Design!#REF!</definedName>
    <definedName name="k1x">[71]Design!#REF!</definedName>
    <definedName name="k1y" localSheetId="5">[71]Design!#REF!</definedName>
    <definedName name="k1y">[71]Design!#REF!</definedName>
    <definedName name="k2s" localSheetId="5">#REF!</definedName>
    <definedName name="k2s">#REF!</definedName>
    <definedName name="K2v" localSheetId="5">#REF!</definedName>
    <definedName name="K2v">#REF!</definedName>
    <definedName name="k2x" localSheetId="5">[71]Design!#REF!</definedName>
    <definedName name="k2x">[71]Design!#REF!</definedName>
    <definedName name="k2y" localSheetId="5">[71]Design!#REF!</definedName>
    <definedName name="k2y">[71]Design!#REF!</definedName>
    <definedName name="K3V" localSheetId="5">#REF!</definedName>
    <definedName name="K3V">#REF!</definedName>
    <definedName name="ka" localSheetId="5">#REF!</definedName>
    <definedName name="ka">#REF!</definedName>
    <definedName name="KARNA">'[72]Cover sheet'!$G$13</definedName>
    <definedName name="kb" localSheetId="5">#REF!</definedName>
    <definedName name="kb">#REF!</definedName>
    <definedName name="kc" localSheetId="5">#REF!</definedName>
    <definedName name="kc">#REF!</definedName>
    <definedName name="ke" localSheetId="5">#REF!</definedName>
    <definedName name="ke">#REF!</definedName>
    <definedName name="key" localSheetId="5" hidden="1">#REF!</definedName>
    <definedName name="key" hidden="1">#REF!</definedName>
    <definedName name="Key_EP" localSheetId="5">'[55]EP 13-14'!#REF!</definedName>
    <definedName name="Key_EP">'[55]EP 13-14'!#REF!</definedName>
    <definedName name="Key_IE" localSheetId="5">'[55]IE 13-14'!#REF!</definedName>
    <definedName name="Key_IE">'[55]IE 13-14'!#REF!</definedName>
    <definedName name="Key_SS" localSheetId="5">'[55]SS 13-14'!#REF!</definedName>
    <definedName name="Key_SS">'[55]SS 13-14'!#REF!</definedName>
    <definedName name="Key_TL" localSheetId="5">'[55]TL 13-14'!#REF!</definedName>
    <definedName name="Key_TL">'[55]TL 13-14'!#REF!</definedName>
    <definedName name="Kh" localSheetId="5">#REF!</definedName>
    <definedName name="Kh">#REF!</definedName>
    <definedName name="Kh___0" localSheetId="5">#REF!</definedName>
    <definedName name="Kh___0">#REF!</definedName>
    <definedName name="Kh___13" localSheetId="5">#REF!</definedName>
    <definedName name="Kh___13">#REF!</definedName>
    <definedName name="Ki" localSheetId="5">#REF!</definedName>
    <definedName name="Ki">#REF!</definedName>
    <definedName name="Ki___0" localSheetId="5">#REF!</definedName>
    <definedName name="Ki___0">#REF!</definedName>
    <definedName name="Ki___13" localSheetId="5">#REF!</definedName>
    <definedName name="Ki___13">#REF!</definedName>
    <definedName name="Ki1___0" localSheetId="5">#REF!</definedName>
    <definedName name="Ki1___0">#REF!</definedName>
    <definedName name="Ki1___13" localSheetId="5">#REF!</definedName>
    <definedName name="Ki1___13">#REF!</definedName>
    <definedName name="Ki2___0" localSheetId="5">#REF!</definedName>
    <definedName name="Ki2___0">#REF!</definedName>
    <definedName name="Ki2___13" localSheetId="5">#REF!</definedName>
    <definedName name="Ki2___13">#REF!</definedName>
    <definedName name="Kii" localSheetId="5">#REF!</definedName>
    <definedName name="Kii">#REF!</definedName>
    <definedName name="Kii___0" localSheetId="5">#REF!</definedName>
    <definedName name="Kii___0">#REF!</definedName>
    <definedName name="Kii___13" localSheetId="5">#REF!</definedName>
    <definedName name="Kii___13">#REF!</definedName>
    <definedName name="kjk" localSheetId="5">#REF!</definedName>
    <definedName name="kjk">#REF!</definedName>
    <definedName name="kjlk" localSheetId="5">#REF!</definedName>
    <definedName name="kjlk">#REF!</definedName>
    <definedName name="kjnol" localSheetId="5">#REF!</definedName>
    <definedName name="kjnol">#REF!</definedName>
    <definedName name="KK" localSheetId="5">#REF!</definedName>
    <definedName name="KK">#REF!</definedName>
    <definedName name="KKK" localSheetId="5">#REF!</definedName>
    <definedName name="KKK">#REF!</definedName>
    <definedName name="kl" localSheetId="5">#REF!</definedName>
    <definedName name="kl">#REF!</definedName>
    <definedName name="klkml" localSheetId="5">#REF!</definedName>
    <definedName name="klkml">#REF!</definedName>
    <definedName name="klmkl" localSheetId="5">#REF!</definedName>
    <definedName name="klmkl">#REF!</definedName>
    <definedName name="klsasK" localSheetId="5">#REF!</definedName>
    <definedName name="klsasK">#REF!</definedName>
    <definedName name="Km" localSheetId="5">#REF!</definedName>
    <definedName name="Km">#REF!</definedName>
    <definedName name="Km___0" localSheetId="5">#REF!</definedName>
    <definedName name="Km___0">#REF!</definedName>
    <definedName name="Km___13" localSheetId="5">#REF!</definedName>
    <definedName name="Km___13">#REF!</definedName>
    <definedName name="ko" localSheetId="5">#REF!</definedName>
    <definedName name="ko">#REF!</definedName>
    <definedName name="Kone" localSheetId="5">#REF!</definedName>
    <definedName name="Kone">#REF!</definedName>
    <definedName name="KP" localSheetId="5">#REF!</definedName>
    <definedName name="KP">#REF!</definedName>
    <definedName name="kr" localSheetId="5">#REF!</definedName>
    <definedName name="kr">#REF!</definedName>
    <definedName name="Ks" localSheetId="5">#REF!</definedName>
    <definedName name="Ks">#REF!</definedName>
    <definedName name="Ks___0" localSheetId="5">#REF!</definedName>
    <definedName name="Ks___0">#REF!</definedName>
    <definedName name="Ks___13" localSheetId="5">#REF!</definedName>
    <definedName name="Ks___13">#REF!</definedName>
    <definedName name="kscc" localSheetId="5">#REF!</definedName>
    <definedName name="kscc">#REF!</definedName>
    <definedName name="kt" localSheetId="5">#REF!</definedName>
    <definedName name="kt">#REF!</definedName>
    <definedName name="ktd" localSheetId="5">#REF!</definedName>
    <definedName name="ktd">#REF!</definedName>
    <definedName name="KUKULE_GANGA_HYDROPOWER_PROJECT" localSheetId="5">#REF!,#REF!,#REF!,#REF!,#REF!,#REF!,#REF!,#REF!,#REF!</definedName>
    <definedName name="KUKULE_GANGA_HYDROPOWER_PROJECT">#REF!,#REF!,#REF!,#REF!,#REF!,#REF!,#REF!,#REF!,#REF!</definedName>
    <definedName name="kw" localSheetId="5">'[44]220 11  BS '!#REF!</definedName>
    <definedName name="kw">'[44]220 11  BS '!#REF!</definedName>
    <definedName name="L" localSheetId="5">#REF!</definedName>
    <definedName name="L">#REF!</definedName>
    <definedName name="L___0" localSheetId="5">#REF!</definedName>
    <definedName name="L___0">#REF!</definedName>
    <definedName name="L___13" localSheetId="5">#REF!</definedName>
    <definedName name="L___13">#REF!</definedName>
    <definedName name="L_T_PY_RSTL_RB_55" localSheetId="5">#REF!</definedName>
    <definedName name="L_T_PY_RSTL_RB_55">#REF!</definedName>
    <definedName name="l1x" localSheetId="5">#REF!</definedName>
    <definedName name="l1x">#REF!</definedName>
    <definedName name="l1xx" localSheetId="5">#REF!</definedName>
    <definedName name="l1xx">#REF!</definedName>
    <definedName name="l2x" localSheetId="5">#REF!</definedName>
    <definedName name="l2x">#REF!</definedName>
    <definedName name="l2xx" localSheetId="5">#REF!</definedName>
    <definedName name="l2xx">#REF!</definedName>
    <definedName name="LA" localSheetId="5">#REF!</definedName>
    <definedName name="LA">#REF!</definedName>
    <definedName name="LACS">[73]PLAN_FEB97!$A$2</definedName>
    <definedName name="lakh">[48]dBase!$J$12</definedName>
    <definedName name="lamda" localSheetId="5">#REF!</definedName>
    <definedName name="lamda">#REF!</definedName>
    <definedName name="LAMP" localSheetId="5">#REF!</definedName>
    <definedName name="LAMP">#REF!</definedName>
    <definedName name="LAMP___0" localSheetId="5">#REF!</definedName>
    <definedName name="LAMP___0">#REF!</definedName>
    <definedName name="LAMP___13" localSheetId="5">#REF!</definedName>
    <definedName name="LAMP___13">#REF!</definedName>
    <definedName name="Lap_length_for_side_wall_reiforcemnt" localSheetId="5">#REF!</definedName>
    <definedName name="Lap_length_for_side_wall_reiforcemnt">#REF!</definedName>
    <definedName name="Last_Row" localSheetId="5">IF([74]!Values_Entered,'Visual Chart '!Header_Row+[74]!Number_of_Payments,'Visual Chart '!Header_Row)</definedName>
    <definedName name="Last_Row">IF([74]!Values_Entered,Header_Row+[74]!Number_of_Payments,Header_Row)</definedName>
    <definedName name="LBA" localSheetId="5">#REF!</definedName>
    <definedName name="LBA">#REF!</definedName>
    <definedName name="lc" localSheetId="5">#REF!</definedName>
    <definedName name="lc">#REF!</definedName>
    <definedName name="Lc___0" localSheetId="5">#REF!</definedName>
    <definedName name="Lc___0">#REF!</definedName>
    <definedName name="Lc___13" localSheetId="5">#REF!</definedName>
    <definedName name="Lc___13">#REF!</definedName>
    <definedName name="lcs" localSheetId="5">#REF!</definedName>
    <definedName name="lcs">#REF!</definedName>
    <definedName name="LD">[63]PROG_DATA!$B$7</definedName>
    <definedName name="ldlen1" localSheetId="5">#REF!</definedName>
    <definedName name="ldlen1">#REF!</definedName>
    <definedName name="ldlen2" localSheetId="5">#REF!</definedName>
    <definedName name="ldlen2">#REF!</definedName>
    <definedName name="Le" localSheetId="5">[25]Report!#REF!</definedName>
    <definedName name="Le">[25]Report!#REF!</definedName>
    <definedName name="lef" localSheetId="5">#REF!</definedName>
    <definedName name="lef">#REF!</definedName>
    <definedName name="lel" localSheetId="5">#REF!</definedName>
    <definedName name="lel">#REF!</definedName>
    <definedName name="len" localSheetId="5">#REF!</definedName>
    <definedName name="len">#REF!</definedName>
    <definedName name="Length_of_cable_tray" localSheetId="5">#REF!</definedName>
    <definedName name="Length_of_cable_tray">#REF!</definedName>
    <definedName name="LG" localSheetId="5">#REF!</definedName>
    <definedName name="LG">#REF!</definedName>
    <definedName name="li" localSheetId="5">#REF!</definedName>
    <definedName name="li">#REF!</definedName>
    <definedName name="light" localSheetId="5">#REF!</definedName>
    <definedName name="light">#REF!</definedName>
    <definedName name="line" localSheetId="5">#REF!</definedName>
    <definedName name="line">#REF!</definedName>
    <definedName name="lkdsndsfddf" localSheetId="5">#REF!</definedName>
    <definedName name="lkdsndsfddf">#REF!</definedName>
    <definedName name="Ll" localSheetId="5">'[44]220 11  BS '!#REF!</definedName>
    <definedName name="Ll">'[44]220 11  BS '!#REF!</definedName>
    <definedName name="LLL" localSheetId="5">#REF!</definedName>
    <definedName name="LLL">#REF!</definedName>
    <definedName name="lm" localSheetId="5">#REF!</definedName>
    <definedName name="lm">#REF!</definedName>
    <definedName name="LMO" localSheetId="5">#REF!</definedName>
    <definedName name="LMO">#REF!</definedName>
    <definedName name="LOA" localSheetId="5">#REF!</definedName>
    <definedName name="LOA">#REF!</definedName>
    <definedName name="Load" localSheetId="5">#REF!</definedName>
    <definedName name="Load">#REF!</definedName>
    <definedName name="Loan_Amount" localSheetId="5">#REF!</definedName>
    <definedName name="Loan_Amount">#REF!</definedName>
    <definedName name="Loan_Start" localSheetId="5">#REF!</definedName>
    <definedName name="Loan_Start">#REF!</definedName>
    <definedName name="Loan_Years" localSheetId="5">#REF!</definedName>
    <definedName name="Loan_Years">#REF!</definedName>
    <definedName name="locNo" localSheetId="5">#REF!</definedName>
    <definedName name="locNo">#REF!</definedName>
    <definedName name="logo1">"Picture 7"</definedName>
    <definedName name="logoa" localSheetId="5">#REF!</definedName>
    <definedName name="logoa">#REF!</definedName>
    <definedName name="Lp" localSheetId="5">#REF!</definedName>
    <definedName name="Lp">#REF!</definedName>
    <definedName name="Lr" localSheetId="5">#REF!</definedName>
    <definedName name="Lr">#REF!</definedName>
    <definedName name="Lr___0" localSheetId="5">#REF!</definedName>
    <definedName name="Lr___0">#REF!</definedName>
    <definedName name="Lr___13" localSheetId="5">#REF!</definedName>
    <definedName name="Lr___13">#REF!</definedName>
    <definedName name="ls" localSheetId="5">#REF!</definedName>
    <definedName name="ls">#REF!</definedName>
    <definedName name="lso" localSheetId="5">#REF!</definedName>
    <definedName name="lso">#REF!</definedName>
    <definedName name="LTCG" localSheetId="5">#REF!</definedName>
    <definedName name="LTCG">#REF!</definedName>
    <definedName name="LTR" localSheetId="5">#REF!</definedName>
    <definedName name="LTR">#REF!</definedName>
    <definedName name="LUMEN" localSheetId="5">#REF!</definedName>
    <definedName name="LUMEN">#REF!</definedName>
    <definedName name="LUMEN___0" localSheetId="5">#REF!</definedName>
    <definedName name="LUMEN___0">#REF!</definedName>
    <definedName name="LUMEN___13" localSheetId="5">#REF!</definedName>
    <definedName name="LUMEN___13">#REF!</definedName>
    <definedName name="LUX" localSheetId="5">#REF!</definedName>
    <definedName name="LUX">#REF!</definedName>
    <definedName name="LUX___0" localSheetId="5">#REF!</definedName>
    <definedName name="LUX___0">#REF!</definedName>
    <definedName name="LUX___13" localSheetId="5">#REF!</definedName>
    <definedName name="LUX___13">#REF!</definedName>
    <definedName name="Lx" localSheetId="5">#REF!</definedName>
    <definedName name="Lx">#REF!</definedName>
    <definedName name="Lx___0" localSheetId="5">#REF!</definedName>
    <definedName name="Lx___0">#REF!</definedName>
    <definedName name="Lx___13" localSheetId="5">#REF!</definedName>
    <definedName name="Lx___13">#REF!</definedName>
    <definedName name="Lxx" localSheetId="5">#REF!</definedName>
    <definedName name="Lxx">#REF!</definedName>
    <definedName name="M" localSheetId="5">#REF!</definedName>
    <definedName name="M">#REF!</definedName>
    <definedName name="m___0" localSheetId="5">#REF!</definedName>
    <definedName name="m___0">#REF!</definedName>
    <definedName name="m___13" localSheetId="5">#REF!</definedName>
    <definedName name="m___13">#REF!</definedName>
    <definedName name="M_A" localSheetId="5">#REF!</definedName>
    <definedName name="M_A">#REF!</definedName>
    <definedName name="M_B" localSheetId="5">#REF!</definedName>
    <definedName name="M_B">#REF!</definedName>
    <definedName name="M_s.MAMTHA_CONTRACTORS" localSheetId="5">#REF!</definedName>
    <definedName name="M_s.MAMTHA_CONTRACTORS">#REF!</definedName>
    <definedName name="M0" localSheetId="5">#REF!</definedName>
    <definedName name="M0">#REF!</definedName>
    <definedName name="M1x" localSheetId="5">[71]Design!#REF!</definedName>
    <definedName name="M1x">[71]Design!#REF!</definedName>
    <definedName name="M1y" localSheetId="5">[71]Design!#REF!</definedName>
    <definedName name="M1y">[71]Design!#REF!</definedName>
    <definedName name="M2x" localSheetId="5">[71]Design!#REF!</definedName>
    <definedName name="M2x">[71]Design!#REF!</definedName>
    <definedName name="M2y" localSheetId="5">[71]Design!#REF!</definedName>
    <definedName name="M2y">[71]Design!#REF!</definedName>
    <definedName name="Ma" localSheetId="5">#REF!</definedName>
    <definedName name="Ma">#REF!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harastra">[75]Sheet2!$A$1:$A$35</definedName>
    <definedName name="main" localSheetId="5">#REF!</definedName>
    <definedName name="main">#REF!</definedName>
    <definedName name="MainRelay" localSheetId="5">#REF!</definedName>
    <definedName name="MainRelay">#REF!</definedName>
    <definedName name="majord" localSheetId="5">#REF!</definedName>
    <definedName name="majord">#REF!</definedName>
    <definedName name="majororders" localSheetId="5">#REF!</definedName>
    <definedName name="majororders">#REF!</definedName>
    <definedName name="man" localSheetId="5">#REF!</definedName>
    <definedName name="man">#REF!</definedName>
    <definedName name="man___0" localSheetId="5">#REF!</definedName>
    <definedName name="man___0">#REF!</definedName>
    <definedName name="man___11" localSheetId="5">#REF!</definedName>
    <definedName name="man___11">#REF!</definedName>
    <definedName name="man___12" localSheetId="5">#REF!</definedName>
    <definedName name="man___12">#REF!</definedName>
    <definedName name="manas" localSheetId="5">#REF!</definedName>
    <definedName name="manas">#REF!</definedName>
    <definedName name="manday1" localSheetId="5">#REF!</definedName>
    <definedName name="manday1">#REF!</definedName>
    <definedName name="manday1___0" localSheetId="5">#REF!</definedName>
    <definedName name="manday1___0">#REF!</definedName>
    <definedName name="manday1___11" localSheetId="5">#REF!</definedName>
    <definedName name="manday1___11">#REF!</definedName>
    <definedName name="manday1___12" localSheetId="5">#REF!</definedName>
    <definedName name="manday1___12">#REF!</definedName>
    <definedName name="march_qty" localSheetId="5">#REF!</definedName>
    <definedName name="march_qty">#REF!</definedName>
    <definedName name="MATHS" localSheetId="5">#REF!</definedName>
    <definedName name="MATHS">#REF!</definedName>
    <definedName name="MB" localSheetId="5">#REF!</definedName>
    <definedName name="MB">#REF!</definedName>
    <definedName name="Mb_v" localSheetId="5">#REF!</definedName>
    <definedName name="Mb_v">#REF!</definedName>
    <definedName name="mbn">'[27]UNP-NCW '!$F$17</definedName>
    <definedName name="mc" localSheetId="5">#REF!</definedName>
    <definedName name="mc">#REF!</definedName>
    <definedName name="Mc_v" localSheetId="5">#REF!</definedName>
    <definedName name="Mc_v">#REF!</definedName>
    <definedName name="Mcbdo" localSheetId="5">#REF!</definedName>
    <definedName name="Mcbdo">#REF!</definedName>
    <definedName name="mcl" localSheetId="5">'[13]A1-Continuous'!#REF!</definedName>
    <definedName name="mcl">'[13]A1-Continuous'!#REF!</definedName>
    <definedName name="mcl33b1" localSheetId="5">'[13]A1-Continuous'!#REF!</definedName>
    <definedName name="mcl33b1">'[13]A1-Continuous'!#REF!</definedName>
    <definedName name="mcl33b2" localSheetId="5">'[13]A1-Continuous'!#REF!</definedName>
    <definedName name="mcl33b2">'[13]A1-Continuous'!#REF!</definedName>
    <definedName name="mcl33b3" localSheetId="5">'[13]A1-Continuous'!#REF!</definedName>
    <definedName name="mcl33b3">'[13]A1-Continuous'!#REF!</definedName>
    <definedName name="mclo" localSheetId="5">#REF!</definedName>
    <definedName name="mclo">#REF!</definedName>
    <definedName name="Mcwc" localSheetId="5">#REF!</definedName>
    <definedName name="Mcwc">#REF!</definedName>
    <definedName name="Mcws" localSheetId="5">#REF!</definedName>
    <definedName name="Mcws">#REF!</definedName>
    <definedName name="Md" localSheetId="5">#REF!</definedName>
    <definedName name="Md">#REF!</definedName>
    <definedName name="Md_v" localSheetId="5">#REF!</definedName>
    <definedName name="Md_v">#REF!</definedName>
    <definedName name="Me" localSheetId="5">#REF!</definedName>
    <definedName name="Me">#REF!</definedName>
    <definedName name="Me_v" localSheetId="5">#REF!</definedName>
    <definedName name="Me_v">#REF!</definedName>
    <definedName name="MeanDepth_Inclusive_of_cover_sl._thk." localSheetId="5">#REF!</definedName>
    <definedName name="MeanDepth_Inclusive_of_cover_sl._thk.">#REF!</definedName>
    <definedName name="MF" localSheetId="5">#REF!</definedName>
    <definedName name="MF">#REF!</definedName>
    <definedName name="MF___0" localSheetId="5">#REF!</definedName>
    <definedName name="MF___0">#REF!</definedName>
    <definedName name="MF___13" localSheetId="5">#REF!</definedName>
    <definedName name="MF___13">#REF!</definedName>
    <definedName name="Mf_v" localSheetId="5">#REF!</definedName>
    <definedName name="Mf_v">#REF!</definedName>
    <definedName name="mff" localSheetId="5">#REF!</definedName>
    <definedName name="mff">#REF!</definedName>
    <definedName name="Mfour" localSheetId="5">#REF!</definedName>
    <definedName name="Mfour">#REF!</definedName>
    <definedName name="Mg" localSheetId="5">#REF!</definedName>
    <definedName name="Mg">#REF!</definedName>
    <definedName name="Mg_v" localSheetId="5">#REF!</definedName>
    <definedName name="Mg_v">#REF!</definedName>
    <definedName name="Mh" localSheetId="5">#REF!</definedName>
    <definedName name="Mh">#REF!</definedName>
    <definedName name="Mh_v" localSheetId="5">#REF!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k" localSheetId="5">#REF!</definedName>
    <definedName name="mk">#REF!</definedName>
    <definedName name="ml" localSheetId="5">'[13]A1-Continuous'!#REF!</definedName>
    <definedName name="ml">'[13]A1-Continuous'!#REF!</definedName>
    <definedName name="ml33b1" localSheetId="5">'[13]A1-Continuous'!#REF!</definedName>
    <definedName name="ml33b1">'[13]A1-Continuous'!#REF!</definedName>
    <definedName name="ml33b2" localSheetId="5">'[13]A1-Continuous'!#REF!</definedName>
    <definedName name="ml33b2">'[13]A1-Continuous'!#REF!</definedName>
    <definedName name="ml33b3" localSheetId="5">'[13]A1-Continuous'!#REF!</definedName>
    <definedName name="ml33b3">'[13]A1-Continuous'!#REF!</definedName>
    <definedName name="ml33kv" localSheetId="5">'[13]A1-Continuous'!#REF!</definedName>
    <definedName name="ml33kv">'[13]A1-Continuous'!#REF!</definedName>
    <definedName name="mlbs" localSheetId="5">#REF!</definedName>
    <definedName name="mlbs">#REF!</definedName>
    <definedName name="mlc33b1" localSheetId="5">'[13]A1-Continuous'!#REF!</definedName>
    <definedName name="mlc33b1">'[13]A1-Continuous'!#REF!</definedName>
    <definedName name="mlc33b2" localSheetId="5">'[13]A1-Continuous'!#REF!</definedName>
    <definedName name="mlc33b2">'[13]A1-Continuous'!#REF!</definedName>
    <definedName name="mlc33b3" localSheetId="5">'[13]A1-Continuous'!#REF!</definedName>
    <definedName name="mlc33b3">'[13]A1-Continuous'!#REF!</definedName>
    <definedName name="mlclf" localSheetId="5">'[13]A1-Continuous'!#REF!</definedName>
    <definedName name="mlclf">'[13]A1-Continuous'!#REF!</definedName>
    <definedName name="mld" localSheetId="5">#REF!</definedName>
    <definedName name="mld">#REF!</definedName>
    <definedName name="mll" localSheetId="5">#REF!</definedName>
    <definedName name="mll">#REF!</definedName>
    <definedName name="mllf" localSheetId="5">'[13]A1-Continuous'!#REF!</definedName>
    <definedName name="mllf">'[13]A1-Continuous'!#REF!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 localSheetId="5">#REF!</definedName>
    <definedName name="mlt">#REF!</definedName>
    <definedName name="mltf" localSheetId="5">'[13]A1-Continuous'!#REF!</definedName>
    <definedName name="mltf">'[13]A1-Continuous'!#REF!</definedName>
    <definedName name="mm" localSheetId="5">#REF!</definedName>
    <definedName name="mm">#REF!</definedName>
    <definedName name="mmmmmmmmmm" localSheetId="5">#REF!</definedName>
    <definedName name="mmmmmmmmmm">#REF!</definedName>
    <definedName name="MN" localSheetId="5">#REF!</definedName>
    <definedName name="MN">#REF!</definedName>
    <definedName name="mnk" localSheetId="5">#REF!</definedName>
    <definedName name="mnk">#REF!</definedName>
    <definedName name="modassar" localSheetId="5">#REF!</definedName>
    <definedName name="modassar">#REF!</definedName>
    <definedName name="modified" localSheetId="5">'[76]Load Details-220kV'!#REF!</definedName>
    <definedName name="modified">'[76]Load Details-220kV'!#REF!</definedName>
    <definedName name="Mone" localSheetId="5">#REF!</definedName>
    <definedName name="Mone">#REF!</definedName>
    <definedName name="monthprogress">'[77]Progress Graphs'!$A$4:$K$23</definedName>
    <definedName name="MonthYear">'[53]Data Sheet'!$A$2:$A$50</definedName>
    <definedName name="ms" localSheetId="5">#REF!</definedName>
    <definedName name="ms">#REF!</definedName>
    <definedName name="MS200202rev2" localSheetId="5">#REF!</definedName>
    <definedName name="MS200202rev2">#REF!</definedName>
    <definedName name="ms2002may1706" localSheetId="5">#REF!</definedName>
    <definedName name="ms2002may1706">#REF!</definedName>
    <definedName name="Msbdo" localSheetId="5">#REF!</definedName>
    <definedName name="Msbdo">#REF!</definedName>
    <definedName name="msc" localSheetId="5">#REF!</definedName>
    <definedName name="msc">#REF!</definedName>
    <definedName name="msj" localSheetId="5">#REF!</definedName>
    <definedName name="msj">#REF!</definedName>
    <definedName name="msjune1807" localSheetId="5">#REF!</definedName>
    <definedName name="msjune1807">#REF!</definedName>
    <definedName name="mss" localSheetId="5">[25]Report!#REF!</definedName>
    <definedName name="mss">[25]Report!#REF!</definedName>
    <definedName name="Mthree" localSheetId="5">#REF!</definedName>
    <definedName name="Mthree">#REF!</definedName>
    <definedName name="MVAR50" localSheetId="5">#REF!</definedName>
    <definedName name="MVAR50">#REF!</definedName>
    <definedName name="MVAR63" localSheetId="5">#REF!</definedName>
    <definedName name="MVAR63">#REF!</definedName>
    <definedName name="MVAR80" localSheetId="5">#REF!</definedName>
    <definedName name="MVAR80">#REF!</definedName>
    <definedName name="N" localSheetId="5">#REF!</definedName>
    <definedName name="N">#REF!</definedName>
    <definedName name="N___0" localSheetId="5">#REF!</definedName>
    <definedName name="N___0">#REF!</definedName>
    <definedName name="N___13" localSheetId="5">#REF!</definedName>
    <definedName name="N___13">#REF!</definedName>
    <definedName name="n1x" localSheetId="5">#REF!</definedName>
    <definedName name="n1x">#REF!</definedName>
    <definedName name="n1xx" localSheetId="5">#REF!</definedName>
    <definedName name="n1xx">#REF!</definedName>
    <definedName name="n1y" localSheetId="5">#REF!</definedName>
    <definedName name="n1y">#REF!</definedName>
    <definedName name="n1yy" localSheetId="5">#REF!</definedName>
    <definedName name="n1yy">#REF!</definedName>
    <definedName name="n2x" localSheetId="5">#REF!</definedName>
    <definedName name="n2x">#REF!</definedName>
    <definedName name="n2xx" localSheetId="5">#REF!</definedName>
    <definedName name="n2xx">#REF!</definedName>
    <definedName name="n2y" localSheetId="5">#REF!</definedName>
    <definedName name="n2y">#REF!</definedName>
    <definedName name="n2yy" localSheetId="5">#REF!</definedName>
    <definedName name="n2yy">#REF!</definedName>
    <definedName name="na" localSheetId="5">#REF!</definedName>
    <definedName name="na">#REF!</definedName>
    <definedName name="Name_Company">[78]L!$D$7</definedName>
    <definedName name="Name_Project">[78]L!$D$8</definedName>
    <definedName name="nb" localSheetId="5">#REF!</definedName>
    <definedName name="nb">#REF!</definedName>
    <definedName name="nc" localSheetId="5">#REF!</definedName>
    <definedName name="nc">#REF!</definedName>
    <definedName name="ncfnvo" localSheetId="5">'[79]purpose&amp;input'!#REF!</definedName>
    <definedName name="ncfnvo">'[79]purpose&amp;input'!#REF!</definedName>
    <definedName name="nd" localSheetId="5">#REF!</definedName>
    <definedName name="nd">#REF!</definedName>
    <definedName name="ND1VisualChart" localSheetId="5">#REF!</definedName>
    <definedName name="ND1VisualChart">#REF!</definedName>
    <definedName name="ne" localSheetId="5">#REF!</definedName>
    <definedName name="ne">#REF!</definedName>
    <definedName name="new" localSheetId="5">'[76]Load Details-220kV'!#REF!</definedName>
    <definedName name="new">'[76]Load Details-220kV'!#REF!</definedName>
    <definedName name="Ni" localSheetId="5">#REF!</definedName>
    <definedName name="Ni">#REF!</definedName>
    <definedName name="NIL" localSheetId="5">#REF!</definedName>
    <definedName name="NIL">#REF!</definedName>
    <definedName name="NIT" localSheetId="5">#REF!</definedName>
    <definedName name="NIT">#REF!</definedName>
    <definedName name="nmk" localSheetId="5">#REF!</definedName>
    <definedName name="nmk">#REF!</definedName>
    <definedName name="NN" localSheetId="5">#REF!</definedName>
    <definedName name="NN">#REF!</definedName>
    <definedName name="NN___0" localSheetId="5">#REF!</definedName>
    <definedName name="NN___0">#REF!</definedName>
    <definedName name="NN___13" localSheetId="5">#REF!</definedName>
    <definedName name="NN___13">#REF!</definedName>
    <definedName name="non" localSheetId="5">#REF!</definedName>
    <definedName name="non">#REF!</definedName>
    <definedName name="NONSOR" localSheetId="5">#REF!</definedName>
    <definedName name="NONSOR">#REF!</definedName>
    <definedName name="Ns" localSheetId="5">#REF!</definedName>
    <definedName name="Ns">#REF!</definedName>
    <definedName name="NSS" localSheetId="5">#REF!</definedName>
    <definedName name="NSS">#REF!</definedName>
    <definedName name="Nst" localSheetId="5">[25]Report!#REF!</definedName>
    <definedName name="Nst">[25]Report!#REF!</definedName>
    <definedName name="Nsu" localSheetId="5">[25]Report!#REF!</definedName>
    <definedName name="Nsu">[25]Report!#REF!</definedName>
    <definedName name="nt0" localSheetId="5">#REF!</definedName>
    <definedName name="nt0">#REF!</definedName>
    <definedName name="Num_Pmt_Per_Year" localSheetId="5">#REF!</definedName>
    <definedName name="Num_Pmt_Per_Year">#REF!</definedName>
    <definedName name="num2text">[48]dBase!$A$3:$I$1005</definedName>
    <definedName name="Number_of_Payments">#N/A</definedName>
    <definedName name="NWE" localSheetId="5">#REF!</definedName>
    <definedName name="NWE">#REF!</definedName>
    <definedName name="Nx" localSheetId="5">#REF!</definedName>
    <definedName name="Nx">#REF!</definedName>
    <definedName name="Nx___0" localSheetId="5">#REF!</definedName>
    <definedName name="Nx___0">#REF!</definedName>
    <definedName name="Nx___13" localSheetId="5">#REF!</definedName>
    <definedName name="Nx___13">#REF!</definedName>
    <definedName name="nxs" localSheetId="5">#REF!</definedName>
    <definedName name="nxs">#REF!</definedName>
    <definedName name="Nxx" localSheetId="5">#REF!</definedName>
    <definedName name="Nxx">#REF!</definedName>
    <definedName name="Ny" localSheetId="5">#REF!</definedName>
    <definedName name="Ny">#REF!</definedName>
    <definedName name="Ny___0" localSheetId="5">#REF!</definedName>
    <definedName name="Ny___0">#REF!</definedName>
    <definedName name="Ny___13" localSheetId="5">#REF!</definedName>
    <definedName name="Ny___13">#REF!</definedName>
    <definedName name="nys" localSheetId="5">#REF!</definedName>
    <definedName name="nys">#REF!</definedName>
    <definedName name="Nyy" localSheetId="5">#REF!</definedName>
    <definedName name="Nyy">#REF!</definedName>
    <definedName name="O" localSheetId="5">#REF!</definedName>
    <definedName name="O">#REF!</definedName>
    <definedName name="oct">'[73]site fab&amp;ernstr'!$A$4:$R$4</definedName>
    <definedName name="OD" localSheetId="5">[14]Design!#REF!</definedName>
    <definedName name="OD">[14]Design!#REF!</definedName>
    <definedName name="Oilpit" localSheetId="5">#REF!</definedName>
    <definedName name="Oilpit">#REF!</definedName>
    <definedName name="oirr" localSheetId="5">#REF!</definedName>
    <definedName name="oirr">#REF!</definedName>
    <definedName name="ok" localSheetId="5">#REF!</definedName>
    <definedName name="ok">#REF!</definedName>
    <definedName name="optio_2" localSheetId="5">#REF!</definedName>
    <definedName name="optio_2">#REF!</definedName>
    <definedName name="option" localSheetId="5">#REF!</definedName>
    <definedName name="option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rd_musd" localSheetId="5">[41]orders!#REF!</definedName>
    <definedName name="ord_musd">[41]orders!#REF!</definedName>
    <definedName name="orderbacklog" localSheetId="5">#REF!</definedName>
    <definedName name="orderbacklog">#REF!</definedName>
    <definedName name="orderbooked98" localSheetId="5">'[80]ord-lost_98&amp;99'!#REF!</definedName>
    <definedName name="orderbooked98">'[80]ord-lost_98&amp;99'!#REF!</definedName>
    <definedName name="ORDERSTATUS" localSheetId="5">#REF!</definedName>
    <definedName name="ORDERSTATUS">#REF!</definedName>
    <definedName name="OrderTable" localSheetId="5" hidden="1">#REF!</definedName>
    <definedName name="OrderTable" hidden="1">#REF!</definedName>
    <definedName name="ORDREVCOLL" localSheetId="5">#REF!</definedName>
    <definedName name="ORDREVCOLL">#REF!</definedName>
    <definedName name="Origin" localSheetId="5">#REF!</definedName>
    <definedName name="Origin">#REF!</definedName>
    <definedName name="OT" localSheetId="5">#REF!</definedName>
    <definedName name="OT">#REF!</definedName>
    <definedName name="OTHR_CST_HD" localSheetId="5">#REF!</definedName>
    <definedName name="OTHR_CST_HD">#REF!</definedName>
    <definedName name="p" localSheetId="5">#REF!</definedName>
    <definedName name="p">#REF!</definedName>
    <definedName name="p____2___m____p___l_______ln__4___l___d____1___2___K1____l___SQRT_A_____SQRT_m__1__2">"ki1"</definedName>
    <definedName name="p___0" localSheetId="5">#REF!</definedName>
    <definedName name="p___0">#REF!</definedName>
    <definedName name="p___13" localSheetId="5">#REF!</definedName>
    <definedName name="p___13">#REF!</definedName>
    <definedName name="P_1" localSheetId="5">'[81]bs BP 04 SA'!#REF!</definedName>
    <definedName name="P_1">'[81]bs BP 04 SA'!#REF!</definedName>
    <definedName name="P_3" localSheetId="5">'[81]bs BP 04 SA'!#REF!</definedName>
    <definedName name="P_3">'[81]bs BP 04 SA'!#REF!</definedName>
    <definedName name="P_4" localSheetId="5">'[81]bs BP 04 SA'!#REF!</definedName>
    <definedName name="P_4">'[81]bs BP 04 SA'!#REF!</definedName>
    <definedName name="P_5" localSheetId="5">'[81]bs BP 04 SA'!#REF!</definedName>
    <definedName name="P_5">'[81]bs BP 04 SA'!#REF!</definedName>
    <definedName name="P_6DSO" localSheetId="5">#REF!</definedName>
    <definedName name="P_6DSO">#REF!</definedName>
    <definedName name="P_7DPO" localSheetId="5">'[82]REVENUES &amp; BS'!#REF!</definedName>
    <definedName name="P_7DPO">'[82]REVENUES &amp; BS'!#REF!</definedName>
    <definedName name="P_A" localSheetId="5">#REF!</definedName>
    <definedName name="P_A">#REF!</definedName>
    <definedName name="P_B" localSheetId="5">#REF!</definedName>
    <definedName name="P_B">#REF!</definedName>
    <definedName name="P_M">[77]REL!$W$172</definedName>
    <definedName name="pa" localSheetId="5">#REF!</definedName>
    <definedName name="pa">#REF!</definedName>
    <definedName name="pa___0" localSheetId="5">#REF!</definedName>
    <definedName name="pa___0">#REF!</definedName>
    <definedName name="pa___13" localSheetId="5">#REF!</definedName>
    <definedName name="pa___13">#REF!</definedName>
    <definedName name="pad_baywise" localSheetId="5">#REF!</definedName>
    <definedName name="pad_baywise">#REF!</definedName>
    <definedName name="PAGE1" localSheetId="5">#REF!</definedName>
    <definedName name="PAGE1">#REF!</definedName>
    <definedName name="PAGE2" localSheetId="5">#REF!</definedName>
    <definedName name="PAGE2">#REF!</definedName>
    <definedName name="PAGE5" localSheetId="5">#REF!</definedName>
    <definedName name="PAGE5">#REF!</definedName>
    <definedName name="PANDU" localSheetId="5">#REF!</definedName>
    <definedName name="PANDU">#REF!</definedName>
    <definedName name="pandu123" localSheetId="5">#REF!</definedName>
    <definedName name="pandu123">#REF!</definedName>
    <definedName name="Pane2" localSheetId="5">#REF!</definedName>
    <definedName name="Pane2">#REF!</definedName>
    <definedName name="Pane2___0" localSheetId="5">#REF!</definedName>
    <definedName name="Pane2___0">#REF!</definedName>
    <definedName name="Pane2___13" localSheetId="5">#REF!</definedName>
    <definedName name="Pane2___13">#REF!</definedName>
    <definedName name="PANE3" localSheetId="5">#REF!</definedName>
    <definedName name="PANE3">#REF!</definedName>
    <definedName name="PANEL" localSheetId="5">#REF!</definedName>
    <definedName name="PANEL">#REF!</definedName>
    <definedName name="PAT_A" localSheetId="5">#REF!</definedName>
    <definedName name="PAT_A">#REF!</definedName>
    <definedName name="PAT_B" localSheetId="5">#REF!</definedName>
    <definedName name="PAT_B">#REF!</definedName>
    <definedName name="Pay_Date" localSheetId="5">#REF!</definedName>
    <definedName name="Pay_Date">#REF!</definedName>
    <definedName name="Pay_Num" localSheetId="5">#REF!</definedName>
    <definedName name="Pay_Num">#REF!</definedName>
    <definedName name="Payment_Date">#N/A</definedName>
    <definedName name="pb" localSheetId="5">#REF!</definedName>
    <definedName name="pb">#REF!</definedName>
    <definedName name="pb___0" localSheetId="5">#REF!</definedName>
    <definedName name="pb___0">#REF!</definedName>
    <definedName name="pb___11" localSheetId="5">#REF!</definedName>
    <definedName name="pb___11">#REF!</definedName>
    <definedName name="pb___12" localSheetId="5">#REF!</definedName>
    <definedName name="pb___12">#REF!</definedName>
    <definedName name="Pbx" localSheetId="5">[71]Design!#REF!</definedName>
    <definedName name="Pbx">[71]Design!#REF!</definedName>
    <definedName name="Pby" localSheetId="5">[71]Design!#REF!</definedName>
    <definedName name="Pby">[71]Design!#REF!</definedName>
    <definedName name="pc" localSheetId="5">#REF!</definedName>
    <definedName name="pc">#REF!</definedName>
    <definedName name="PCC" localSheetId="5">#REF!</definedName>
    <definedName name="PCC">#REF!</definedName>
    <definedName name="PCC_Offset" localSheetId="5">#REF!</definedName>
    <definedName name="PCC_Offset">#REF!</definedName>
    <definedName name="PCD" localSheetId="5">#REF!</definedName>
    <definedName name="PCD">#REF!</definedName>
    <definedName name="Pd" localSheetId="5">'[44]220 11  BS '!#REF!</definedName>
    <definedName name="Pd">'[44]220 11  BS '!#REF!</definedName>
    <definedName name="Percent_Text" localSheetId="5">#REF!</definedName>
    <definedName name="Percent_Text">#REF!</definedName>
    <definedName name="Percent_Value" localSheetId="5">#REF!</definedName>
    <definedName name="Percent_Value">#REF!</definedName>
    <definedName name="PF" localSheetId="5">[14]Design!#REF!</definedName>
    <definedName name="PF">[14]Design!#REF!</definedName>
    <definedName name="pH" localSheetId="5">#REF!</definedName>
    <definedName name="pH">#REF!</definedName>
    <definedName name="pH___0" localSheetId="5">#REF!</definedName>
    <definedName name="pH___0">#REF!</definedName>
    <definedName name="pH___13" localSheetId="5">#REF!</definedName>
    <definedName name="pH___13">#REF!</definedName>
    <definedName name="phi" localSheetId="5">#REF!</definedName>
    <definedName name="phi">#REF!</definedName>
    <definedName name="phis" localSheetId="5">#REF!</definedName>
    <definedName name="phis">#REF!</definedName>
    <definedName name="phit" localSheetId="5">#REF!</definedName>
    <definedName name="phit">#REF!</definedName>
    <definedName name="PI" localSheetId="5">#REF!</definedName>
    <definedName name="PI">#REF!</definedName>
    <definedName name="PIYUSH" localSheetId="5">#REF!</definedName>
    <definedName name="PIYUSH">#REF!</definedName>
    <definedName name="PKG_NO" localSheetId="5">#REF!</definedName>
    <definedName name="PKG_NO">#REF!</definedName>
    <definedName name="place">[54]Codes!$C$7</definedName>
    <definedName name="PLASTER" localSheetId="5">#REF!</definedName>
    <definedName name="PLASTER">#REF!</definedName>
    <definedName name="PLCC" localSheetId="5">#REF!</definedName>
    <definedName name="PLCC">#REF!</definedName>
    <definedName name="plp">'[83]Sulphur (2)'!$I$3</definedName>
    <definedName name="PM" localSheetId="5">#REF!</definedName>
    <definedName name="PM">#REF!</definedName>
    <definedName name="pn">[84]REL!$W$172</definedName>
    <definedName name="PONDA" localSheetId="5">#REF!</definedName>
    <definedName name="PONDA">#REF!</definedName>
    <definedName name="POOJA" localSheetId="5">[85]CLAY!#REF!</definedName>
    <definedName name="POOJA">[85]CLAY!#REF!</definedName>
    <definedName name="pp" localSheetId="5">[20]Coalmine!#REF!</definedName>
    <definedName name="pp">[20]Coalmine!#REF!</definedName>
    <definedName name="ppa">'[83]Sulphur (2)'!$I$3</definedName>
    <definedName name="pppp2" localSheetId="5">#REF!</definedName>
    <definedName name="pppp2">#REF!</definedName>
    <definedName name="PPPP3" localSheetId="5">#REF!</definedName>
    <definedName name="PPPP3">#REF!</definedName>
    <definedName name="pppppppppere" localSheetId="5">#REF!</definedName>
    <definedName name="pppppppppere">#REF!</definedName>
    <definedName name="PPPT" localSheetId="5">#REF!</definedName>
    <definedName name="PPPT">#REF!</definedName>
    <definedName name="PR" localSheetId="5">#REF!</definedName>
    <definedName name="PR">#REF!</definedName>
    <definedName name="price" localSheetId="5">#REF!</definedName>
    <definedName name="price">#REF!</definedName>
    <definedName name="Princ" localSheetId="5">#REF!</definedName>
    <definedName name="Princ">#REF!</definedName>
    <definedName name="_xlnm.Print_Area" localSheetId="1">'Master Sheet'!$C$12:$Q$32</definedName>
    <definedName name="_xlnm.Print_Area" localSheetId="2">'ProGress Sheet '!$B$2:$O$5</definedName>
    <definedName name="_xlnm.Print_Area" localSheetId="9">'Stubs and Towers '!$C$1:$I$65</definedName>
    <definedName name="_xlnm.Print_Area" localSheetId="4">'SuPPLY '!$B$1:$J$65</definedName>
    <definedName name="_xlnm.Print_Area" localSheetId="5">'Visual Chart '!$B$1:$Y$198</definedName>
    <definedName name="_xlnm.Print_Area">#REF!</definedName>
    <definedName name="PRINT_AREA_MI" localSheetId="5">#REF!</definedName>
    <definedName name="PRINT_AREA_MI">#REF!</definedName>
    <definedName name="PRINT_AREA_MI___0" localSheetId="5">#REF!</definedName>
    <definedName name="PRINT_AREA_MI___0">#REF!</definedName>
    <definedName name="print_area_mi_1" localSheetId="5">#REF!</definedName>
    <definedName name="print_area_mi_1">#REF!</definedName>
    <definedName name="Print_Area_Reset">#N/A</definedName>
    <definedName name="Print_Area1">[8]grid!$A$1:$I$219</definedName>
    <definedName name="print_title">[86]Cul_detail!$A$2:$IV$5</definedName>
    <definedName name="_xlnm.Print_Titles" localSheetId="9">#REF!</definedName>
    <definedName name="_xlnm.Print_Titles">#REF!</definedName>
    <definedName name="PRINT_TITLES_MI" localSheetId="5">#REF!</definedName>
    <definedName name="PRINT_TITLES_MI">#REF!</definedName>
    <definedName name="Print_titles_mi_" localSheetId="5">#REF!</definedName>
    <definedName name="Print_titles_mi_">#REF!</definedName>
    <definedName name="print1" localSheetId="5">#REF!</definedName>
    <definedName name="print1">#REF!</definedName>
    <definedName name="printarea" localSheetId="5">#REF!</definedName>
    <definedName name="printarea">#REF!</definedName>
    <definedName name="printn" localSheetId="5">#REF!</definedName>
    <definedName name="printn">#REF!</definedName>
    <definedName name="ProdForm" localSheetId="5" hidden="1">#REF!</definedName>
    <definedName name="ProdForm" hidden="1">#REF!</definedName>
    <definedName name="Product" localSheetId="5" hidden="1">#REF!</definedName>
    <definedName name="Product" hidden="1">#REF!</definedName>
    <definedName name="Progress">'[77]Progress Sheet - OPTL'!$A$7:$AC$786</definedName>
    <definedName name="progress1" localSheetId="5">#REF!</definedName>
    <definedName name="progress1">#REF!</definedName>
    <definedName name="progress2" localSheetId="5">#REF!</definedName>
    <definedName name="progress2">#REF!</definedName>
    <definedName name="project" localSheetId="5">[35]CLAY!#REF!</definedName>
    <definedName name="project">[35]CLAY!#REF!</definedName>
    <definedName name="PS" localSheetId="5">#REF!</definedName>
    <definedName name="PS">#REF!</definedName>
    <definedName name="PS___0" localSheetId="5">#REF!</definedName>
    <definedName name="PS___0">#REF!</definedName>
    <definedName name="PS___13" localSheetId="5">#REF!</definedName>
    <definedName name="PS___13">#REF!</definedName>
    <definedName name="psi" localSheetId="5">#REF!</definedName>
    <definedName name="psi">#REF!</definedName>
    <definedName name="pt" localSheetId="5">#REF!</definedName>
    <definedName name="pt">#REF!</definedName>
    <definedName name="pti" localSheetId="5">#REF!</definedName>
    <definedName name="pti">#REF!</definedName>
    <definedName name="Puz" localSheetId="5">[71]Design!#REF!</definedName>
    <definedName name="Puz">[71]Design!#REF!</definedName>
    <definedName name="PW" localSheetId="5">'[44]220 11  BS '!#REF!</definedName>
    <definedName name="PW">'[44]220 11  BS '!#REF!</definedName>
    <definedName name="Pwl" localSheetId="5">'[44]220 11  BS '!#REF!</definedName>
    <definedName name="Pwl">'[44]220 11  BS '!#REF!</definedName>
    <definedName name="PWr" localSheetId="5">'[44]220 11  BS '!#REF!</definedName>
    <definedName name="PWr">'[44]220 11  BS '!#REF!</definedName>
    <definedName name="q" localSheetId="5">#REF!</definedName>
    <definedName name="q">#REF!</definedName>
    <definedName name="Qc" localSheetId="5">#REF!</definedName>
    <definedName name="Qc">#REF!</definedName>
    <definedName name="Qc___0" localSheetId="5">#REF!</definedName>
    <definedName name="Qc___0">#REF!</definedName>
    <definedName name="Qc___13" localSheetId="5">#REF!</definedName>
    <definedName name="Qc___13">#REF!</definedName>
    <definedName name="Qf" localSheetId="5">#REF!</definedName>
    <definedName name="Qf">#REF!</definedName>
    <definedName name="Qf___0" localSheetId="5">#REF!</definedName>
    <definedName name="Qf___0">#REF!</definedName>
    <definedName name="Qf___13" localSheetId="5">#REF!</definedName>
    <definedName name="Qf___13">#REF!</definedName>
    <definedName name="Qi" localSheetId="5">#REF!</definedName>
    <definedName name="Qi">#REF!</definedName>
    <definedName name="Qi___0" localSheetId="5">#REF!</definedName>
    <definedName name="Qi___0">#REF!</definedName>
    <definedName name="Qi___13" localSheetId="5">#REF!</definedName>
    <definedName name="Qi___13">#REF!</definedName>
    <definedName name="Ql" localSheetId="5">#REF!</definedName>
    <definedName name="Ql">#REF!</definedName>
    <definedName name="Ql___0" localSheetId="5">#REF!</definedName>
    <definedName name="Ql___0">#REF!</definedName>
    <definedName name="Ql___13" localSheetId="5">#REF!</definedName>
    <definedName name="Ql___13">#REF!</definedName>
    <definedName name="qqq" localSheetId="5">#REF!</definedName>
    <definedName name="qqq">#REF!</definedName>
    <definedName name="Qspan" localSheetId="5">#REF!</definedName>
    <definedName name="Qspan">#REF!</definedName>
    <definedName name="Qty" localSheetId="5">'[62]except wiring'!#REF!</definedName>
    <definedName name="Qty">'[62]except wiring'!#REF!</definedName>
    <definedName name="Qty_as_on_apr" localSheetId="5">#REF!</definedName>
    <definedName name="Qty_as_on_apr">#REF!</definedName>
    <definedName name="QTY_AS_ON_APR_1" localSheetId="5">#REF!</definedName>
    <definedName name="QTY_AS_ON_APR_1">#REF!</definedName>
    <definedName name="quadFdnWet" comment="400 D/C QUAD VSTL" localSheetId="5">#REF!</definedName>
    <definedName name="quadFdnWet" comment="400 D/C QUAD VSTL">#REF!</definedName>
    <definedName name="quadTowererection" localSheetId="5">#REF!</definedName>
    <definedName name="quadTowererection">#REF!</definedName>
    <definedName name="QUANTITY" localSheetId="5">#REF!</definedName>
    <definedName name="QUANTITY">#REF!</definedName>
    <definedName name="Qv" localSheetId="5">#REF!</definedName>
    <definedName name="Qv">#REF!</definedName>
    <definedName name="QV_A" localSheetId="5">#REF!</definedName>
    <definedName name="QV_A">#REF!</definedName>
    <definedName name="QV_K" localSheetId="5">#REF!</definedName>
    <definedName name="QV_K">#REF!</definedName>
    <definedName name="QV_M" localSheetId="5">#REF!</definedName>
    <definedName name="QV_M">#REF!</definedName>
    <definedName name="QV_P" localSheetId="5">#REF!</definedName>
    <definedName name="QV_P">#REF!</definedName>
    <definedName name="QV_PAT" localSheetId="5">#REF!</definedName>
    <definedName name="QV_PAT">#REF!</definedName>
    <definedName name="qwer" localSheetId="5">#REF!</definedName>
    <definedName name="qwer">#REF!</definedName>
    <definedName name="QWEWEQ" localSheetId="5">[26]NWC!#REF!</definedName>
    <definedName name="QWEWEQ">[26]NWC!#REF!</definedName>
    <definedName name="qwrqrqwrq" localSheetId="5">[26]GWC!#REF!</definedName>
    <definedName name="qwrqrqwrq">[26]GWC!#REF!</definedName>
    <definedName name="qwwwee" localSheetId="5">[26]GWC!#REF!</definedName>
    <definedName name="qwwwee">[26]GWC!#REF!</definedName>
    <definedName name="R_" localSheetId="5">#REF!</definedName>
    <definedName name="R_">#REF!</definedName>
    <definedName name="R___variation_factor_in_capacity_per_degree_Celcius" localSheetId="5">#REF!</definedName>
    <definedName name="R___variation_factor_in_capacity_per_degree_Celcius">#REF!</definedName>
    <definedName name="Ra" localSheetId="5">#REF!</definedName>
    <definedName name="Ra">#REF!</definedName>
    <definedName name="raaar" localSheetId="5">#REF!</definedName>
    <definedName name="raaar">#REF!</definedName>
    <definedName name="Rac" localSheetId="5">[14]Design!#REF!</definedName>
    <definedName name="Rac">[14]Design!#REF!</definedName>
    <definedName name="Rahul" localSheetId="5">#REF!</definedName>
    <definedName name="Rahul">#REF!</definedName>
    <definedName name="Rahul1" localSheetId="5">#REF!</definedName>
    <definedName name="Rahul1">#REF!</definedName>
    <definedName name="RAIL" localSheetId="5">#REF!</definedName>
    <definedName name="RAIL">#REF!</definedName>
    <definedName name="Raj" localSheetId="5" hidden="1">{"'Sheet1'!$A$4386:$N$4591"}</definedName>
    <definedName name="Raj" hidden="1">{"'Sheet1'!$A$4386:$N$4591"}</definedName>
    <definedName name="RAJEEV_ERECTORS" localSheetId="5">#REF!</definedName>
    <definedName name="RAJEEV_ERECTORS">#REF!</definedName>
    <definedName name="rajiv" localSheetId="5">'[65]PV FDN'!#REF!</definedName>
    <definedName name="rajiv">'[65]PV FDN'!#REF!</definedName>
    <definedName name="rani" localSheetId="5">[11]Sheet1!#REF!</definedName>
    <definedName name="rani">[11]Sheet1!#REF!</definedName>
    <definedName name="RARA" localSheetId="5">#REF!</definedName>
    <definedName name="RARA">#REF!</definedName>
    <definedName name="rarrar" localSheetId="5">#REF!</definedName>
    <definedName name="rarrar">#REF!</definedName>
    <definedName name="rate" localSheetId="5">#REF!</definedName>
    <definedName name="rate">#REF!</definedName>
    <definedName name="rate1" localSheetId="5">#REF!</definedName>
    <definedName name="rate1">#REF!</definedName>
    <definedName name="RAVI" localSheetId="5">#REF!</definedName>
    <definedName name="RAVI">#REF!</definedName>
    <definedName name="RAWRAR" localSheetId="5">#REF!</definedName>
    <definedName name="RAWRAR">#REF!</definedName>
    <definedName name="rb" localSheetId="5">#REF!</definedName>
    <definedName name="rb">#REF!</definedName>
    <definedName name="RCArea" localSheetId="5" hidden="1">#REF!</definedName>
    <definedName name="RCArea" hidden="1">#REF!</definedName>
    <definedName name="RCC" localSheetId="5">#REF!</definedName>
    <definedName name="RCC">#REF!</definedName>
    <definedName name="RCC_Offset" localSheetId="5">#REF!</definedName>
    <definedName name="RCC_Offset">#REF!</definedName>
    <definedName name="RCT" localSheetId="5">#REF!</definedName>
    <definedName name="RCT">#REF!</definedName>
    <definedName name="RDC" localSheetId="5">[14]Design!#REF!</definedName>
    <definedName name="RDC">[14]Design!#REF!</definedName>
    <definedName name="Re" localSheetId="5">#REF!</definedName>
    <definedName name="Re">#REF!</definedName>
    <definedName name="Re___0" localSheetId="5">#REF!</definedName>
    <definedName name="Re___0">#REF!</definedName>
    <definedName name="Re___13" localSheetId="5">#REF!</definedName>
    <definedName name="Re___13">#REF!</definedName>
    <definedName name="REACTOR" localSheetId="5">#REF!</definedName>
    <definedName name="REACTOR">#REF!</definedName>
    <definedName name="REBAR" localSheetId="5">#REF!</definedName>
    <definedName name="REBAR">#REF!</definedName>
    <definedName name="_xlnm.Recorder" localSheetId="5">#REF!</definedName>
    <definedName name="_xlnm.Recorder">#REF!</definedName>
    <definedName name="rect_4_415" localSheetId="5">#REF!</definedName>
    <definedName name="rect_4_415">#REF!</definedName>
    <definedName name="REE" localSheetId="5">#REF!</definedName>
    <definedName name="REE">#REF!</definedName>
    <definedName name="Ref__EUS_632_FDN_001" localSheetId="5">'[65]PV FDN'!#REF!</definedName>
    <definedName name="Ref__EUS_632_FDN_001">'[65]PV FDN'!#REF!</definedName>
    <definedName name="Ref__EUS_632_FDN_002" localSheetId="5">'[65]PV FDN'!#REF!</definedName>
    <definedName name="Ref__EUS_632_FDN_002">'[65]PV FDN'!#REF!</definedName>
    <definedName name="regionnames" localSheetId="5">#REF!</definedName>
    <definedName name="regionnames">#REF!</definedName>
    <definedName name="regions" localSheetId="5">#REF!</definedName>
    <definedName name="regions">#REF!</definedName>
    <definedName name="rel" localSheetId="5">#REF!</definedName>
    <definedName name="rel">#REF!</definedName>
    <definedName name="Rel.per" localSheetId="5">[14]Design!#REF!</definedName>
    <definedName name="Rel.per">[14]Design!#REF!</definedName>
    <definedName name="Rel.perm" localSheetId="5">[14]Design!#REF!</definedName>
    <definedName name="Rel.perm">[14]Design!#REF!</definedName>
    <definedName name="req" localSheetId="5">#REF!</definedName>
    <definedName name="req">#REF!</definedName>
    <definedName name="rer" localSheetId="5">[26]GWC!#REF!</definedName>
    <definedName name="rer">[26]GWC!#REF!</definedName>
    <definedName name="RERE" localSheetId="5">#REF!</definedName>
    <definedName name="RERE">#REF!</definedName>
    <definedName name="rerere" localSheetId="5">#REF!</definedName>
    <definedName name="rerere">#REF!</definedName>
    <definedName name="Result33" localSheetId="5">#REF!</definedName>
    <definedName name="Result33">#REF!</definedName>
    <definedName name="Result51" localSheetId="5">#REF!</definedName>
    <definedName name="Result51">#REF!</definedName>
    <definedName name="Result61" localSheetId="5">#REF!</definedName>
    <definedName name="Result61">#REF!</definedName>
    <definedName name="Rev" localSheetId="5">#REF!</definedName>
    <definedName name="Rev">#REF!</definedName>
    <definedName name="Revision" localSheetId="5">#REF!</definedName>
    <definedName name="Revision">#REF!</definedName>
    <definedName name="REVSTATUS" localSheetId="5">#REF!</definedName>
    <definedName name="REVSTATUS">#REF!</definedName>
    <definedName name="revstatuspage1" localSheetId="5">#REF!</definedName>
    <definedName name="revstatuspage1">#REF!</definedName>
    <definedName name="revstatuspage2" localSheetId="5">#REF!</definedName>
    <definedName name="revstatuspage2">#REF!</definedName>
    <definedName name="rewre" localSheetId="5" hidden="1">[24]BHANDUP!#REF!</definedName>
    <definedName name="rewre" hidden="1">[24]BHANDUP!#REF!</definedName>
    <definedName name="rewrewwre" localSheetId="5" hidden="1">#REF!</definedName>
    <definedName name="rewrewwre" hidden="1">#REF!</definedName>
    <definedName name="rewrwewe" localSheetId="5" hidden="1">#REF!</definedName>
    <definedName name="rewrwewe" hidden="1">#REF!</definedName>
    <definedName name="RFGF" localSheetId="5">#REF!</definedName>
    <definedName name="RFGF">#REF!</definedName>
    <definedName name="Rg" localSheetId="5">#REF!</definedName>
    <definedName name="Rg">#REF!</definedName>
    <definedName name="rgns" localSheetId="5">#REF!</definedName>
    <definedName name="rgns">#REF!</definedName>
    <definedName name="rgs" localSheetId="5">#REF!</definedName>
    <definedName name="rgs">#REF!</definedName>
    <definedName name="rho" localSheetId="5">#REF!</definedName>
    <definedName name="rho">#REF!</definedName>
    <definedName name="rig" localSheetId="5">#REF!</definedName>
    <definedName name="rig">#REF!</definedName>
    <definedName name="risk">'[87]Data sheet'!$B$2:$B$5</definedName>
    <definedName name="risk1">'[87]Data sheet'!$B$2:$B$6</definedName>
    <definedName name="risk3">'[87]Data sheet'!$B$16:$B$18</definedName>
    <definedName name="rkh" localSheetId="5">#REF!</definedName>
    <definedName name="rkh">#REF!</definedName>
    <definedName name="Rl" localSheetId="5">#REF!</definedName>
    <definedName name="Rl">#REF!</definedName>
    <definedName name="Rl___0" localSheetId="5">#REF!</definedName>
    <definedName name="Rl___0">#REF!</definedName>
    <definedName name="Rl___13" localSheetId="5">#REF!</definedName>
    <definedName name="Rl___13">#REF!</definedName>
    <definedName name="rldif" localSheetId="5">#REF!</definedName>
    <definedName name="rldif">#REF!</definedName>
    <definedName name="rldis" localSheetId="5">#REF!</definedName>
    <definedName name="rldis">#REF!</definedName>
    <definedName name="Rlead" localSheetId="5">#REF!</definedName>
    <definedName name="Rlead">#REF!</definedName>
    <definedName name="Rm" localSheetId="5">#REF!</definedName>
    <definedName name="Rm">#REF!</definedName>
    <definedName name="robot" localSheetId="5">#REF!</definedName>
    <definedName name="robot">#REF!</definedName>
    <definedName name="ROLLFCCASHFLOW" localSheetId="5">#REF!</definedName>
    <definedName name="ROLLFCCASHFLOW">#REF!</definedName>
    <definedName name="ROLLFCWKGS" localSheetId="5">#REF!</definedName>
    <definedName name="ROLLFCWKGS">#REF!</definedName>
    <definedName name="ROLLGFC" localSheetId="5">#REF!</definedName>
    <definedName name="ROLLGFC">#REF!</definedName>
    <definedName name="root1" localSheetId="5">#REF!</definedName>
    <definedName name="root1">#REF!</definedName>
    <definedName name="root2" localSheetId="5">#REF!</definedName>
    <definedName name="root2">#REF!</definedName>
    <definedName name="root3" localSheetId="5">#REF!</definedName>
    <definedName name="root3">#REF!</definedName>
    <definedName name="rosid" localSheetId="5">#REF!</definedName>
    <definedName name="rosid">#REF!</definedName>
    <definedName name="rr" localSheetId="5">#REF!</definedName>
    <definedName name="rr">#REF!</definedName>
    <definedName name="rrammv" localSheetId="5">#REF!</definedName>
    <definedName name="rrammv">#REF!</definedName>
    <definedName name="Rrelay" localSheetId="5">#REF!</definedName>
    <definedName name="Rrelay">#REF!</definedName>
    <definedName name="RRR" localSheetId="5" hidden="1">#REF!</definedName>
    <definedName name="RRR" hidden="1">#REF!</definedName>
    <definedName name="rrrrtrt" localSheetId="5">#REF!</definedName>
    <definedName name="rrrrtrt">#REF!</definedName>
    <definedName name="Rs" localSheetId="5">#REF!</definedName>
    <definedName name="Rs">#REF!</definedName>
    <definedName name="Rs___0" localSheetId="5">#REF!</definedName>
    <definedName name="Rs___0">#REF!</definedName>
    <definedName name="Rs___13" localSheetId="5">#REF!</definedName>
    <definedName name="Rs___13">#REF!</definedName>
    <definedName name="rsat" localSheetId="5">#REF!</definedName>
    <definedName name="rsat">#REF!</definedName>
    <definedName name="Rse" localSheetId="5">#REF!</definedName>
    <definedName name="Rse">#REF!</definedName>
    <definedName name="Rse___0" localSheetId="5">#REF!</definedName>
    <definedName name="Rse___0">#REF!</definedName>
    <definedName name="Rse___13" localSheetId="5">#REF!</definedName>
    <definedName name="Rse___13">#REF!</definedName>
    <definedName name="RSP" localSheetId="5">[25]Report!#REF!</definedName>
    <definedName name="RSP">[25]Report!#REF!</definedName>
    <definedName name="rt">[88]Cul_detail!$A$2:$IV$5</definedName>
    <definedName name="rtfr" localSheetId="5">#REF!</definedName>
    <definedName name="rtfr">#REF!</definedName>
    <definedName name="rwerewre" localSheetId="5" hidden="1">#REF!</definedName>
    <definedName name="rwerewre" hidden="1">#REF!</definedName>
    <definedName name="rwrqwr" localSheetId="5">[26]GWC!#REF!</definedName>
    <definedName name="rwrqwr">[26]GWC!#REF!</definedName>
    <definedName name="rzgymj" localSheetId="5">#REF!</definedName>
    <definedName name="rzgymj">#REF!</definedName>
    <definedName name="S">'[89]CFL-KIM'!$G$1</definedName>
    <definedName name="S.L._NO.1to136" localSheetId="5">#REF!</definedName>
    <definedName name="S.L._NO.1to136">#REF!</definedName>
    <definedName name="S_S_Name" localSheetId="5">#REF!</definedName>
    <definedName name="S_S_Name">#REF!</definedName>
    <definedName name="S_T_Q_E_MI" localSheetId="5">#REF!</definedName>
    <definedName name="S_T_Q_E_MI">#REF!</definedName>
    <definedName name="S0" localSheetId="5">#REF!</definedName>
    <definedName name="S0">#REF!</definedName>
    <definedName name="s0ne" localSheetId="5">#REF!</definedName>
    <definedName name="s0ne">#REF!</definedName>
    <definedName name="sa" localSheetId="5">[29]CLAY!#REF!</definedName>
    <definedName name="sa">[29]CLAY!#REF!</definedName>
    <definedName name="sad">#REF!</definedName>
    <definedName name="sadafas" localSheetId="5">#REF!</definedName>
    <definedName name="sadafas">#REF!</definedName>
    <definedName name="sak" localSheetId="5">#REF!</definedName>
    <definedName name="sak">#REF!</definedName>
    <definedName name="sales" localSheetId="5">#REF!</definedName>
    <definedName name="sales">#REF!</definedName>
    <definedName name="Sales_Per_Manday" localSheetId="5">#REF!</definedName>
    <definedName name="Sales_Per_Manday">#REF!</definedName>
    <definedName name="SAME" localSheetId="5">#REF!</definedName>
    <definedName name="SAME">#REF!</definedName>
    <definedName name="sarita" localSheetId="5">#REF!</definedName>
    <definedName name="sarita">#REF!</definedName>
    <definedName name="sasi" localSheetId="5">#REF!</definedName>
    <definedName name="sasi">#REF!</definedName>
    <definedName name="sastry" localSheetId="5">#REF!</definedName>
    <definedName name="sastry">#REF!</definedName>
    <definedName name="sb" localSheetId="5">#REF!</definedName>
    <definedName name="sb">#REF!</definedName>
    <definedName name="SCF" localSheetId="5">#REF!</definedName>
    <definedName name="SCF">#REF!</definedName>
    <definedName name="sch" localSheetId="5">'[79]purpose&amp;input'!#REF!</definedName>
    <definedName name="sch">'[79]purpose&amp;input'!#REF!</definedName>
    <definedName name="sCHE4" localSheetId="5">#REF!</definedName>
    <definedName name="sCHE4">#REF!</definedName>
    <definedName name="Sched_Pay" localSheetId="5">#REF!</definedName>
    <definedName name="Sched_Pay">#REF!</definedName>
    <definedName name="Scheduled_Extra_Payments" localSheetId="5">#REF!</definedName>
    <definedName name="Scheduled_Extra_Payments">#REF!</definedName>
    <definedName name="Scheduled_Interest_Rate" localSheetId="5">#REF!</definedName>
    <definedName name="Scheduled_Interest_Rate">#REF!</definedName>
    <definedName name="Scheduled_Monthly_Payment" localSheetId="5">#REF!</definedName>
    <definedName name="Scheduled_Monthly_Payment">#REF!</definedName>
    <definedName name="schools" localSheetId="5">#REF!</definedName>
    <definedName name="schools">#REF!</definedName>
    <definedName name="SCIENCE" localSheetId="5">#REF!</definedName>
    <definedName name="SCIENCE">#REF!</definedName>
    <definedName name="scrb" localSheetId="5">#REF!</definedName>
    <definedName name="scrb">#REF!</definedName>
    <definedName name="sd" localSheetId="5">#REF!</definedName>
    <definedName name="sd">#REF!</definedName>
    <definedName name="sdaa" localSheetId="5">[26]GWC!#REF!</definedName>
    <definedName name="sdaa">[26]GWC!#REF!</definedName>
    <definedName name="Sdate" localSheetId="5">#REF!</definedName>
    <definedName name="Sdate">#REF!</definedName>
    <definedName name="sdc" localSheetId="5">#REF!</definedName>
    <definedName name="sdc">#REF!</definedName>
    <definedName name="sdr" localSheetId="5">#REF!</definedName>
    <definedName name="sdr">#REF!</definedName>
    <definedName name="sds" localSheetId="5">#REF!</definedName>
    <definedName name="sds">#REF!</definedName>
    <definedName name="se" localSheetId="5">#REF!</definedName>
    <definedName name="se">#REF!</definedName>
    <definedName name="sect_table" localSheetId="5">#REF!:#REF!</definedName>
    <definedName name="sect_table">#REF!:#REF!</definedName>
    <definedName name="SECTAB" localSheetId="5">#REF!:#REF!</definedName>
    <definedName name="SECTAB">#REF!:#REF!</definedName>
    <definedName name="see" localSheetId="5">#REF!</definedName>
    <definedName name="see">#REF!</definedName>
    <definedName name="SEEP" localSheetId="5">#REF!</definedName>
    <definedName name="SEEP">#REF!</definedName>
    <definedName name="SEPT" localSheetId="5">#REF!</definedName>
    <definedName name="SEPT">#REF!</definedName>
    <definedName name="SESHA_SAI_CONSTRUCTION" localSheetId="5">#REF!</definedName>
    <definedName name="SESHA_SAI_CONSTRUCTION">#REF!</definedName>
    <definedName name="SF" localSheetId="5">[32]DSLP!#REF!</definedName>
    <definedName name="SF">[32]DSLP!#REF!</definedName>
    <definedName name="sfdf" localSheetId="5">#REF!</definedName>
    <definedName name="sfdf">#REF!</definedName>
    <definedName name="SFR" localSheetId="5">#REF!</definedName>
    <definedName name="SFR">#REF!</definedName>
    <definedName name="sfsf" localSheetId="5">#REF!</definedName>
    <definedName name="sfsf">#REF!</definedName>
    <definedName name="sheet" localSheetId="5">#REF!</definedName>
    <definedName name="sheet">#REF!</definedName>
    <definedName name="sheet1" localSheetId="5">#REF!</definedName>
    <definedName name="sheet1">#REF!</definedName>
    <definedName name="sheet1___0" localSheetId="5">#REF!</definedName>
    <definedName name="sheet1___0">#REF!</definedName>
    <definedName name="sheet1___13" localSheetId="5">#REF!</definedName>
    <definedName name="sheet1___13">#REF!</definedName>
    <definedName name="SHEET2" localSheetId="5">#REF!</definedName>
    <definedName name="SHEET2">#REF!</definedName>
    <definedName name="SHEET3" localSheetId="5">#REF!</definedName>
    <definedName name="SHEET3">#REF!</definedName>
    <definedName name="shit1" localSheetId="5">#REF!</definedName>
    <definedName name="shit1">#REF!</definedName>
    <definedName name="Shri1" localSheetId="5">#REF!</definedName>
    <definedName name="Shri1">#REF!</definedName>
    <definedName name="SHS" localSheetId="5">#REF!</definedName>
    <definedName name="SHS">#REF!</definedName>
    <definedName name="shygas" localSheetId="5">#REF!</definedName>
    <definedName name="shygas">#REF!</definedName>
    <definedName name="si" localSheetId="5">[32]DSLP!#REF!</definedName>
    <definedName name="si">[32]DSLP!#REF!</definedName>
    <definedName name="sigma0.2" localSheetId="5">#REF!</definedName>
    <definedName name="sigma0.2">#REF!</definedName>
    <definedName name="sigma0_2" localSheetId="5">#REF!</definedName>
    <definedName name="sigma0_2">#REF!</definedName>
    <definedName name="sigmab" localSheetId="5">#REF!</definedName>
    <definedName name="sigmab">#REF!</definedName>
    <definedName name="sigmah" localSheetId="5">#REF!</definedName>
    <definedName name="sigmah">#REF!</definedName>
    <definedName name="sigmat" localSheetId="5">#REF!</definedName>
    <definedName name="sigmat">#REF!</definedName>
    <definedName name="sii" localSheetId="5">#REF!</definedName>
    <definedName name="sii">#REF!</definedName>
    <definedName name="Sim1_FirstRow" localSheetId="5">#REF!</definedName>
    <definedName name="Sim1_FirstRow">#REF!</definedName>
    <definedName name="Sim1_LastRow" localSheetId="5">#REF!</definedName>
    <definedName name="Sim1_LastRow">#REF!</definedName>
    <definedName name="Sim1_Param" localSheetId="5">#REF!</definedName>
    <definedName name="Sim1_Param">#REF!</definedName>
    <definedName name="Sim1_Param2" localSheetId="5">#REF!</definedName>
    <definedName name="Sim1_Param2">#REF!</definedName>
    <definedName name="Sim1_RepCount" localSheetId="5">#REF!</definedName>
    <definedName name="Sim1_RepCount">#REF!</definedName>
    <definedName name="Sim1_Seeds" localSheetId="5">#REF!</definedName>
    <definedName name="Sim1_Seeds">#REF!</definedName>
    <definedName name="Sim1_SimData" localSheetId="5">#REF!</definedName>
    <definedName name="Sim1_SimData">#REF!</definedName>
    <definedName name="Sim1_TopRow" localSheetId="5">#REF!</definedName>
    <definedName name="Sim1_TopRow">#REF!</definedName>
    <definedName name="sinq" localSheetId="5">#REF!</definedName>
    <definedName name="sinq">#REF!</definedName>
    <definedName name="sis" localSheetId="5">#REF!</definedName>
    <definedName name="sis">#REF!</definedName>
    <definedName name="sit" localSheetId="5">#REF!</definedName>
    <definedName name="sit">#REF!</definedName>
    <definedName name="sit0" localSheetId="5">#REF!</definedName>
    <definedName name="sit0">#REF!</definedName>
    <definedName name="SITA" localSheetId="5">#REF!</definedName>
    <definedName name="SITA">#REF!</definedName>
    <definedName name="sm" localSheetId="5">#REF!</definedName>
    <definedName name="sm">#REF!</definedName>
    <definedName name="soh">1%</definedName>
    <definedName name="sone" localSheetId="5">[15]Report!#REF!</definedName>
    <definedName name="sone">[15]Report!#REF!</definedName>
    <definedName name="SOR" localSheetId="5">#REF!</definedName>
    <definedName name="SOR">#REF!</definedName>
    <definedName name="sort1" localSheetId="5" hidden="1">#REF!</definedName>
    <definedName name="sort1" hidden="1">#REF!</definedName>
    <definedName name="SP" localSheetId="5">[14]Design!#REF!</definedName>
    <definedName name="SP">[14]Design!#REF!</definedName>
    <definedName name="Spanner_Auto_File">"C:\Documents and Settings\pcsai\My Documents\DRAIN_De.x2a"</definedName>
    <definedName name="SpecialPrice" localSheetId="5" hidden="1">#REF!</definedName>
    <definedName name="SpecialPrice" hidden="1">#REF!</definedName>
    <definedName name="Spl" localSheetId="5">#REF!</definedName>
    <definedName name="Spl">#REF!</definedName>
    <definedName name="SPSS" localSheetId="5">#REF!</definedName>
    <definedName name="SPSS">#REF!</definedName>
    <definedName name="SPTNP">[6]TABLES!$E$4:$F$57</definedName>
    <definedName name="SQRT__1___0.6___1.0" localSheetId="5">#REF!</definedName>
    <definedName name="SQRT__1___0.6___1.0">#REF!</definedName>
    <definedName name="SQRT__1___0_6___1_0" localSheetId="5">#REF!</definedName>
    <definedName name="SQRT__1___0_6___1_0">#REF!</definedName>
    <definedName name="SQRT__1___0_6___1_0___0" localSheetId="5">#REF!</definedName>
    <definedName name="SQRT__1___0_6___1_0___0">#REF!</definedName>
    <definedName name="SQRT__1___0_6___1_0___13" localSheetId="5">#REF!</definedName>
    <definedName name="SQRT__1___0_6___1_0___13">#REF!</definedName>
    <definedName name="sr" localSheetId="5">#REF!</definedName>
    <definedName name="sr">#REF!</definedName>
    <definedName name="sraica" localSheetId="5">#REF!</definedName>
    <definedName name="sraica">#REF!</definedName>
    <definedName name="sri" localSheetId="5">#REF!</definedName>
    <definedName name="sri">#REF!</definedName>
    <definedName name="SS">'[89]CFL-KIM'!$AA$1</definedName>
    <definedName name="SS_Adv" localSheetId="5">'[55]SS 13-14'!#REF!</definedName>
    <definedName name="SS_Adv">'[55]SS 13-14'!#REF!</definedName>
    <definedName name="SS_AGWC" localSheetId="5">'[55]SS 13-14'!#REF!</definedName>
    <definedName name="SS_AGWC">'[55]SS 13-14'!#REF!</definedName>
    <definedName name="SS_AM" localSheetId="5">'[55]SS 13-14'!#REF!</definedName>
    <definedName name="SS_AM">'[55]SS 13-14'!#REF!</definedName>
    <definedName name="SS_ANFA" localSheetId="5">'[55]SS 13-14'!#REF!</definedName>
    <definedName name="SS_ANFA">'[55]SS 13-14'!#REF!</definedName>
    <definedName name="SS_ANFE" localSheetId="5">'[55]SS 13-14'!#REF!</definedName>
    <definedName name="SS_ANFE">'[55]SS 13-14'!#REF!</definedName>
    <definedName name="SS_ANFEBG" localSheetId="5">'[55]SS 13-14'!#REF!</definedName>
    <definedName name="SS_ANFEBG">'[55]SS 13-14'!#REF!</definedName>
    <definedName name="SS_ANWC" localSheetId="5">'[55]SS 13-14'!#REF!</definedName>
    <definedName name="SS_ANWC">'[55]SS 13-14'!#REF!</definedName>
    <definedName name="SS_Apr">'[55]SS 13-14'!$AN:$AN</definedName>
    <definedName name="SS_Aug">'[55]SS 13-14'!$AR:$AR</definedName>
    <definedName name="SS_Avg_Adv" localSheetId="5">'[55]SS 13-14'!#REF!</definedName>
    <definedName name="SS_Avg_Adv">'[55]SS 13-14'!#REF!</definedName>
    <definedName name="SS_Avg_COI" localSheetId="5">'[55]SS 13-14'!#REF!</definedName>
    <definedName name="SS_Avg_COI">'[55]SS 13-14'!#REF!</definedName>
    <definedName name="SS_Avg_OCA" localSheetId="5">'[55]SS 13-14'!#REF!</definedName>
    <definedName name="SS_Avg_OCA">'[55]SS 13-14'!#REF!</definedName>
    <definedName name="SS_Avg_OCL" localSheetId="5">'[55]SS 13-14'!#REF!</definedName>
    <definedName name="SS_Avg_OCL">'[55]SS 13-14'!#REF!</definedName>
    <definedName name="SS_Avg_OS" localSheetId="5">'[55]SS 13-14'!#REF!</definedName>
    <definedName name="SS_Avg_OS">'[55]SS 13-14'!#REF!</definedName>
    <definedName name="SS_Avg_Stk" localSheetId="5">'[55]SS 13-14'!#REF!</definedName>
    <definedName name="SS_Avg_Stk">'[55]SS 13-14'!#REF!</definedName>
    <definedName name="SS_Avg_VC" localSheetId="5">'[55]SS 13-14'!#REF!</definedName>
    <definedName name="SS_Avg_VC">'[55]SS 13-14'!#REF!</definedName>
    <definedName name="SS_Avg_WC_Key" localSheetId="5">#REF!</definedName>
    <definedName name="SS_Avg_WC_Key">#REF!</definedName>
    <definedName name="ss_coi" localSheetId="5">'[55]SS 13-14'!#REF!</definedName>
    <definedName name="ss_coi">'[55]SS 13-14'!#REF!</definedName>
    <definedName name="SS_COU" localSheetId="5">'[55]SS 13-14'!#REF!</definedName>
    <definedName name="SS_COU">'[55]SS 13-14'!#REF!</definedName>
    <definedName name="SS_Dec">'[55]SS 13-14'!$AV:$AV</definedName>
    <definedName name="SS_Deprn" localSheetId="5">'[55]SS 13-14'!#REF!</definedName>
    <definedName name="SS_Deprn">'[55]SS 13-14'!#REF!</definedName>
    <definedName name="SS_Feb">'[55]SS 13-14'!$AX:$AX</definedName>
    <definedName name="SS_GM" localSheetId="5">'[55]SS 13-14'!#REF!</definedName>
    <definedName name="SS_GM">'[55]SS 13-14'!#REF!</definedName>
    <definedName name="SS_Jan">'[55]SS 13-14'!$AW:$AW</definedName>
    <definedName name="SS_Jul">'[55]SS 13-14'!$AQ:$AQ</definedName>
    <definedName name="SS_Jun">'[55]SS 13-14'!$AP:$AP</definedName>
    <definedName name="SS_Key" localSheetId="5">'[55]SS 13-14'!#REF!</definedName>
    <definedName name="SS_Key">'[55]SS 13-14'!#REF!</definedName>
    <definedName name="SS_Mar">'[55]SS 13-14'!$AY:$AY</definedName>
    <definedName name="SS_MAT_Sales" localSheetId="5">'[55]SS 13-14'!#REF!</definedName>
    <definedName name="SS_MAT_Sales">'[55]SS 13-14'!#REF!</definedName>
    <definedName name="SS_May">'[55]SS 13-14'!$AO:$AO</definedName>
    <definedName name="SS_Nov">'[55]SS 13-14'!$AU:$AU</definedName>
    <definedName name="SS_NWC" localSheetId="5">'[55]SS 13-14'!#REF!</definedName>
    <definedName name="SS_NWC">'[55]SS 13-14'!#REF!</definedName>
    <definedName name="SS_OB_Cust" localSheetId="5">'[55]SS 13-14'!#REF!</definedName>
    <definedName name="SS_OB_Cust">'[55]SS 13-14'!#REF!</definedName>
    <definedName name="SS_OB_IU" localSheetId="5">'[55]SS 13-14'!#REF!</definedName>
    <definedName name="SS_OB_IU">'[55]SS 13-14'!#REF!</definedName>
    <definedName name="SS_OCA" localSheetId="5">'[55]SS 13-14'!#REF!</definedName>
    <definedName name="SS_OCA">'[55]SS 13-14'!#REF!</definedName>
    <definedName name="SS_OCL" localSheetId="5">'[55]SS 13-14'!#REF!</definedName>
    <definedName name="SS_OCL">'[55]SS 13-14'!#REF!</definedName>
    <definedName name="SS_Oct">'[55]SS 13-14'!$AT:$AT</definedName>
    <definedName name="SS_OD_Common" localSheetId="5">'[55]SS 13-14'!#REF!</definedName>
    <definedName name="SS_OD_Common">'[55]SS 13-14'!#REF!</definedName>
    <definedName name="SS_OI_Cust" localSheetId="5">'[55]SS 13-14'!#REF!</definedName>
    <definedName name="SS_OI_Cust">'[55]SS 13-14'!#REF!</definedName>
    <definedName name="SS_OI_IU" localSheetId="5">'[55]SS 13-14'!#REF!</definedName>
    <definedName name="SS_OI_IU">'[55]SS 13-14'!#REF!</definedName>
    <definedName name="SS_OS" localSheetId="5">'[55]SS 13-14'!#REF!</definedName>
    <definedName name="SS_OS">'[55]SS 13-14'!#REF!</definedName>
    <definedName name="SS_PBDIT" localSheetId="5">'[55]SS 13-14'!#REF!</definedName>
    <definedName name="SS_PBDIT">'[55]SS 13-14'!#REF!</definedName>
    <definedName name="SS_PBIT" localSheetId="5">'[55]SS 13-14'!#REF!</definedName>
    <definedName name="SS_PBIT">'[55]SS 13-14'!#REF!</definedName>
    <definedName name="SS_Per_Key" localSheetId="5">#REF!</definedName>
    <definedName name="SS_Per_Key">#REF!</definedName>
    <definedName name="SS_Res_Key" localSheetId="5">#REF!</definedName>
    <definedName name="SS_Res_Key">#REF!</definedName>
    <definedName name="SS_Sales_Cust" localSheetId="5">'[55]SS 13-14'!#REF!</definedName>
    <definedName name="SS_Sales_Cust">'[55]SS 13-14'!#REF!</definedName>
    <definedName name="SS_Sales_IU" localSheetId="5">'[55]SS 13-14'!#REF!</definedName>
    <definedName name="SS_Sales_IU">'[55]SS 13-14'!#REF!</definedName>
    <definedName name="SS_Sep">'[55]SS 13-14'!$AS:$AS</definedName>
    <definedName name="SS_Stk" localSheetId="5">'[55]SS 13-14'!#REF!</definedName>
    <definedName name="SS_Stk">'[55]SS 13-14'!#REF!</definedName>
    <definedName name="SS_Top_Key" localSheetId="5">#REF!</definedName>
    <definedName name="SS_Top_Key">#REF!</definedName>
    <definedName name="SS_VC" localSheetId="5">'[55]SS 13-14'!#REF!</definedName>
    <definedName name="SS_VC">'[55]SS 13-14'!#REF!</definedName>
    <definedName name="SS_WC_Key" localSheetId="5">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 localSheetId="5">#REF!</definedName>
    <definedName name="ss405_408">#REF!</definedName>
    <definedName name="SS421_422" localSheetId="5">#REF!</definedName>
    <definedName name="SS421_422">#REF!</definedName>
    <definedName name="ss421_424" localSheetId="5">#REF!</definedName>
    <definedName name="ss421_424">#REF!</definedName>
    <definedName name="ssa" localSheetId="5">[20]Coalmine!#REF!</definedName>
    <definedName name="ssa">[20]Coalmine!#REF!</definedName>
    <definedName name="ssb" localSheetId="5">[20]Coalmine!#REF!</definedName>
    <definedName name="ssb">[20]Coalmine!#REF!</definedName>
    <definedName name="ssl" localSheetId="5">#REF!</definedName>
    <definedName name="ssl">#REF!</definedName>
    <definedName name="SSP" localSheetId="5">#REF!</definedName>
    <definedName name="SSP">#REF!</definedName>
    <definedName name="SSPS" localSheetId="5">#REF!</definedName>
    <definedName name="SSPS">#REF!</definedName>
    <definedName name="SSS" localSheetId="5">#REF!</definedName>
    <definedName name="SSS">#REF!</definedName>
    <definedName name="ssss" localSheetId="5">#REF!</definedName>
    <definedName name="ssss">#REF!</definedName>
    <definedName name="st" localSheetId="5">#REF!</definedName>
    <definedName name="st">#REF!</definedName>
    <definedName name="state">[75]Sheet2!$A$1:$A$35</definedName>
    <definedName name="STD" localSheetId="5">#REF!</definedName>
    <definedName name="STD">#REF!</definedName>
    <definedName name="steam_props" localSheetId="5">#REF!</definedName>
    <definedName name="steam_props">#REF!</definedName>
    <definedName name="stfr" localSheetId="5">#REF!</definedName>
    <definedName name="stfr">#REF!</definedName>
    <definedName name="STR" localSheetId="5">#REF!</definedName>
    <definedName name="STR">#REF!</definedName>
    <definedName name="stretch" localSheetId="5">#REF!</definedName>
    <definedName name="stretch">#REF!</definedName>
    <definedName name="stretchd" localSheetId="5">#REF!</definedName>
    <definedName name="stretchd">#REF!</definedName>
    <definedName name="stretchr" localSheetId="5">#REF!</definedName>
    <definedName name="stretchr">#REF!</definedName>
    <definedName name="StrID" localSheetId="5">#REF!</definedName>
    <definedName name="StrID">#REF!</definedName>
    <definedName name="structure" localSheetId="5">[35]CLAY!#REF!</definedName>
    <definedName name="structure">[35]CLAY!#REF!</definedName>
    <definedName name="Subject" localSheetId="5">#REF!</definedName>
    <definedName name="Subject">#REF!</definedName>
    <definedName name="substation" localSheetId="5">#REF!</definedName>
    <definedName name="substation">#REF!</definedName>
    <definedName name="SUBSTN_LST" localSheetId="5">#REF!</definedName>
    <definedName name="SUBSTN_LST">#REF!</definedName>
    <definedName name="SUM" localSheetId="5">#REF!</definedName>
    <definedName name="SUM">#REF!</definedName>
    <definedName name="SUMAN" localSheetId="5">#REF!</definedName>
    <definedName name="SUMAN">#REF!</definedName>
    <definedName name="SUMMARY" localSheetId="5">#REF!</definedName>
    <definedName name="SUMMARY">#REF!</definedName>
    <definedName name="SUMMARY_OTHER_EXPS" localSheetId="5">#REF!</definedName>
    <definedName name="SUMMARY_OTHER_EXPS">#REF!</definedName>
    <definedName name="SUPPLY" localSheetId="5">#REF!</definedName>
    <definedName name="SUPPLY">#REF!</definedName>
    <definedName name="supplyl" localSheetId="5">#REF!</definedName>
    <definedName name="supplyl">#REF!</definedName>
    <definedName name="sususujss" localSheetId="5">'[1]B-Chart'!#REF!</definedName>
    <definedName name="sususujss">'[1]B-Chart'!#REF!</definedName>
    <definedName name="Sv" localSheetId="5">[25]Report!#REF!</definedName>
    <definedName name="Sv">[25]Report!#REF!</definedName>
    <definedName name="sw" localSheetId="5">'[44]220 11  BS '!#REF!</definedName>
    <definedName name="sw">'[44]220 11  BS '!#REF!</definedName>
    <definedName name="SWH" localSheetId="5">#REF!</definedName>
    <definedName name="SWH">#REF!</definedName>
    <definedName name="T" localSheetId="5">#REF!</definedName>
    <definedName name="T">#REF!</definedName>
    <definedName name="t___0" localSheetId="5">#REF!</definedName>
    <definedName name="t___0">#REF!</definedName>
    <definedName name="t___13" localSheetId="5">#REF!</definedName>
    <definedName name="t___13">#REF!</definedName>
    <definedName name="T0" localSheetId="5">#REF!</definedName>
    <definedName name="T0">#REF!</definedName>
    <definedName name="t1_" localSheetId="5">#REF!</definedName>
    <definedName name="t1_">#REF!</definedName>
    <definedName name="Ta" localSheetId="5">[14]Design!#REF!</definedName>
    <definedName name="Ta">[14]Design!#REF!</definedName>
    <definedName name="taa" localSheetId="5">[26]GWC!#REF!</definedName>
    <definedName name="taa">[26]GWC!#REF!</definedName>
    <definedName name="Table" localSheetId="5">#REF!</definedName>
    <definedName name="Table">#REF!</definedName>
    <definedName name="TABLE_4" localSheetId="5">#REF!</definedName>
    <definedName name="TABLE_4">#REF!</definedName>
    <definedName name="table1" localSheetId="5">#REF!</definedName>
    <definedName name="table1">#REF!</definedName>
    <definedName name="TABLE2" localSheetId="5">#REF!</definedName>
    <definedName name="TABLE2">#REF!</definedName>
    <definedName name="TableRange" localSheetId="5">#REF!</definedName>
    <definedName name="TableRange">#REF!</definedName>
    <definedName name="tables" localSheetId="5">#REF!</definedName>
    <definedName name="tables">#REF!</definedName>
    <definedName name="Taf" localSheetId="5">[14]Design!#REF!</definedName>
    <definedName name="Taf">[14]Design!#REF!</definedName>
    <definedName name="Tav" localSheetId="5">[14]Design!#REF!</definedName>
    <definedName name="Tav">[14]Design!#REF!</definedName>
    <definedName name="TAX" localSheetId="5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 localSheetId="5">[14]Design!#REF!</definedName>
    <definedName name="Tbf">[14]Design!#REF!</definedName>
    <definedName name="tbl_ProdInfo" localSheetId="5" hidden="1">#REF!</definedName>
    <definedName name="tbl_ProdInfo" hidden="1">#REF!</definedName>
    <definedName name="Tc" localSheetId="5">[14]Design!#REF!</definedName>
    <definedName name="Tc">[14]Design!#REF!</definedName>
    <definedName name="tcap" localSheetId="5">#REF!</definedName>
    <definedName name="tcap">#REF!</definedName>
    <definedName name="TD" localSheetId="5">#REF!</definedName>
    <definedName name="TD">#REF!</definedName>
    <definedName name="te" localSheetId="5">#REF!</definedName>
    <definedName name="te">#REF!</definedName>
    <definedName name="teesta" localSheetId="5">#REF!,#REF!,#REF!,#REF!,#REF!,#REF!,#REF!,#REF!,#REF!</definedName>
    <definedName name="teesta">#REF!,#REF!,#REF!,#REF!,#REF!,#REF!,#REF!,#REF!,#REF!</definedName>
    <definedName name="temp" localSheetId="5">'[27]UNP-NCW '!#REF!</definedName>
    <definedName name="temp">'[27]UNP-NCW '!#REF!</definedName>
    <definedName name="temp1" localSheetId="5">'[27]UNP-NCW '!#REF!</definedName>
    <definedName name="temp1">'[27]UNP-NCW '!#REF!</definedName>
    <definedName name="tempcoeff" localSheetId="5">[14]Design!#REF!</definedName>
    <definedName name="tempcoeff">[14]Design!#REF!</definedName>
    <definedName name="ter_vapi" localSheetId="5">#REF!</definedName>
    <definedName name="ter_vapi">#REF!</definedName>
    <definedName name="TERM" localSheetId="5">#REF!</definedName>
    <definedName name="TERM">#REF!</definedName>
    <definedName name="TEs" localSheetId="5">#REF!</definedName>
    <definedName name="TEs">#REF!</definedName>
    <definedName name="TEs___0" localSheetId="5">#REF!</definedName>
    <definedName name="TEs___0">#REF!</definedName>
    <definedName name="TEs___13" localSheetId="5">#REF!</definedName>
    <definedName name="TEs___13">#REF!</definedName>
    <definedName name="TEST" localSheetId="5">#REF!</definedName>
    <definedName name="TEST">#REF!</definedName>
    <definedName name="TEST0" localSheetId="5">#REF!</definedName>
    <definedName name="TEST0">#REF!</definedName>
    <definedName name="TEST1" localSheetId="5">#REF!</definedName>
    <definedName name="TEST1">#REF!</definedName>
    <definedName name="TEST2" localSheetId="5">#REF!</definedName>
    <definedName name="TEST2">#REF!</definedName>
    <definedName name="TEST3" localSheetId="5">#REF!</definedName>
    <definedName name="TEST3">#REF!</definedName>
    <definedName name="TEST4" localSheetId="5">#REF!</definedName>
    <definedName name="TEST4">#REF!</definedName>
    <definedName name="TESTHKEY" localSheetId="5">#REF!</definedName>
    <definedName name="TESTHKEY">#REF!</definedName>
    <definedName name="TESTKEYS" localSheetId="5">#REF!</definedName>
    <definedName name="TESTKEYS">#REF!</definedName>
    <definedName name="TESTT" localSheetId="5">#REF!</definedName>
    <definedName name="TESTT">#REF!</definedName>
    <definedName name="TESTVKEY" localSheetId="5">#REF!</definedName>
    <definedName name="TESTVKEY">#REF!</definedName>
    <definedName name="TEt" localSheetId="5">#REF!</definedName>
    <definedName name="TEt">#REF!</definedName>
    <definedName name="TEt___0" localSheetId="5">#REF!</definedName>
    <definedName name="TEt___0">#REF!</definedName>
    <definedName name="TEt___13" localSheetId="5">#REF!</definedName>
    <definedName name="TEt___13">#REF!</definedName>
    <definedName name="TF" localSheetId="5">[32]DSLP!#REF!</definedName>
    <definedName name="TF">[32]DSLP!#REF!</definedName>
    <definedName name="Tfc" localSheetId="5">#REF!</definedName>
    <definedName name="Tfc">#REF!</definedName>
    <definedName name="Tfd" localSheetId="5">[14]Design!#REF!</definedName>
    <definedName name="Tfd">[14]Design!#REF!</definedName>
    <definedName name="th" localSheetId="5">#REF!</definedName>
    <definedName name="th">#REF!</definedName>
    <definedName name="Thickness_of_base_slab" localSheetId="5">#REF!</definedName>
    <definedName name="Thickness_of_base_slab">#REF!</definedName>
    <definedName name="Thickness_of_cover_slab" localSheetId="5">#REF!</definedName>
    <definedName name="Thickness_of_cover_slab">#REF!</definedName>
    <definedName name="Thickness_of_cover_slab_end" localSheetId="5">#REF!</definedName>
    <definedName name="Thickness_of_cover_slab_end">#REF!</definedName>
    <definedName name="Thickness_of_PCC" localSheetId="5">#REF!</definedName>
    <definedName name="Thickness_of_PCC">#REF!</definedName>
    <definedName name="Thickness_of_side_wall" localSheetId="5">#REF!</definedName>
    <definedName name="Thickness_of_side_wall">#REF!</definedName>
    <definedName name="TITLE" localSheetId="5">#REF!</definedName>
    <definedName name="TITLE">#REF!</definedName>
    <definedName name="Title1" localSheetId="5">#REF!</definedName>
    <definedName name="Title1">#REF!</definedName>
    <definedName name="Title2" localSheetId="5">#REF!</definedName>
    <definedName name="Title2">#REF!</definedName>
    <definedName name="Tk" localSheetId="5">#REF!</definedName>
    <definedName name="Tk">#REF!</definedName>
    <definedName name="Tkl" localSheetId="5">#REF!</definedName>
    <definedName name="Tkl">#REF!</definedName>
    <definedName name="TL_Adv" localSheetId="5">'[55]TL 13-14'!#REF!</definedName>
    <definedName name="TL_Adv">'[55]TL 13-14'!#REF!</definedName>
    <definedName name="TL_AGWC" localSheetId="5">'[55]TL 13-14'!#REF!</definedName>
    <definedName name="TL_AGWC">'[55]TL 13-14'!#REF!</definedName>
    <definedName name="TL_AM" localSheetId="5">'[55]TL 13-14'!#REF!</definedName>
    <definedName name="TL_AM">'[55]TL 13-14'!#REF!</definedName>
    <definedName name="TL_ANFA" localSheetId="5">'[55]TL 13-14'!#REF!</definedName>
    <definedName name="TL_ANFA">'[55]TL 13-14'!#REF!</definedName>
    <definedName name="TL_ANFE" localSheetId="5">'[55]TL 13-14'!#REF!</definedName>
    <definedName name="TL_ANFE">'[55]TL 13-14'!#REF!</definedName>
    <definedName name="TL_ANFEBG" localSheetId="5">'[55]TL 13-14'!#REF!</definedName>
    <definedName name="TL_ANFEBG">'[55]TL 13-14'!#REF!</definedName>
    <definedName name="TL_ANWC" localSheetId="5">'[55]TL 13-14'!#REF!</definedName>
    <definedName name="TL_ANWC">'[55]TL 13-14'!#REF!</definedName>
    <definedName name="TL_APr">'[55]TL 13-14'!$AN:$AN</definedName>
    <definedName name="TL_Aug">'[55]TL 13-14'!$AR:$AR</definedName>
    <definedName name="TL_Avg_Adv" localSheetId="5">'[55]TL 13-14'!#REF!</definedName>
    <definedName name="TL_Avg_Adv">'[55]TL 13-14'!#REF!</definedName>
    <definedName name="TL_Avg_COI" localSheetId="5">'[55]TL 13-14'!#REF!</definedName>
    <definedName name="TL_Avg_COI">'[55]TL 13-14'!#REF!</definedName>
    <definedName name="TL_Avg_OCA" localSheetId="5">'[55]TL 13-14'!#REF!</definedName>
    <definedName name="TL_Avg_OCA">'[55]TL 13-14'!#REF!</definedName>
    <definedName name="TL_Avg_OCL" localSheetId="5">'[55]TL 13-14'!#REF!</definedName>
    <definedName name="TL_Avg_OCL">'[55]TL 13-14'!#REF!</definedName>
    <definedName name="TL_Avg_OS" localSheetId="5">'[55]TL 13-14'!#REF!</definedName>
    <definedName name="TL_Avg_OS">'[55]TL 13-14'!#REF!</definedName>
    <definedName name="TL_Avg_Stk" localSheetId="5">'[55]TL 13-14'!#REF!</definedName>
    <definedName name="TL_Avg_Stk">'[55]TL 13-14'!#REF!</definedName>
    <definedName name="TL_Avg_VC" localSheetId="5">'[55]TL 13-14'!#REF!</definedName>
    <definedName name="TL_Avg_VC">'[55]TL 13-14'!#REF!</definedName>
    <definedName name="TL_Avg_WC_Key" localSheetId="5">#REF!</definedName>
    <definedName name="TL_Avg_WC_Key">#REF!</definedName>
    <definedName name="TL_COI" localSheetId="5">'[55]TL 13-14'!#REF!</definedName>
    <definedName name="TL_COI">'[55]TL 13-14'!#REF!</definedName>
    <definedName name="TL_Dec">'[55]TL 13-14'!$AV:$AV</definedName>
    <definedName name="TL_Deprn" localSheetId="5">'[55]TL 13-14'!#REF!</definedName>
    <definedName name="TL_Deprn">'[55]TL 13-14'!#REF!</definedName>
    <definedName name="TL_Feb">'[55]TL 13-14'!$AX:$AX</definedName>
    <definedName name="TL_GM" localSheetId="5">'[55]TL 13-14'!#REF!</definedName>
    <definedName name="TL_GM">'[55]TL 13-14'!#REF!</definedName>
    <definedName name="TL_Jan">'[55]TL 13-14'!$AW:$AW</definedName>
    <definedName name="TL_Jul">'[55]TL 13-14'!$AQ:$AQ</definedName>
    <definedName name="TL_Jun">'[55]TL 13-14'!$AP:$AP</definedName>
    <definedName name="TL_Key" localSheetId="5">'[55]TL 13-14'!#REF!</definedName>
    <definedName name="TL_Key">'[55]TL 13-14'!#REF!</definedName>
    <definedName name="TL_Mar">'[55]TL 13-14'!$AY:$AY</definedName>
    <definedName name="TL_MAT_Sales" localSheetId="5">'[55]TL 13-14'!#REF!</definedName>
    <definedName name="TL_MAT_Sales">'[55]TL 13-14'!#REF!</definedName>
    <definedName name="TL_May">'[55]TL 13-14'!$AO:$AO</definedName>
    <definedName name="TL_Nov">'[55]TL 13-14'!$AU:$AU</definedName>
    <definedName name="TL_NWC" localSheetId="5">'[55]TL 13-14'!#REF!</definedName>
    <definedName name="TL_NWC">'[55]TL 13-14'!#REF!</definedName>
    <definedName name="TL_OB_Cust" localSheetId="5">'[55]TL 13-14'!#REF!</definedName>
    <definedName name="TL_OB_Cust">'[55]TL 13-14'!#REF!</definedName>
    <definedName name="TL_OB_IU" localSheetId="5">'[55]TL 13-14'!#REF!</definedName>
    <definedName name="TL_OB_IU">'[55]TL 13-14'!#REF!</definedName>
    <definedName name="TL_OCA" localSheetId="5">'[55]TL 13-14'!#REF!</definedName>
    <definedName name="TL_OCA">'[55]TL 13-14'!#REF!</definedName>
    <definedName name="TL_OCL" localSheetId="5">'[55]TL 13-14'!#REF!</definedName>
    <definedName name="TL_OCL">'[55]TL 13-14'!#REF!</definedName>
    <definedName name="TL_Oct">'[55]TL 13-14'!$AT:$AT</definedName>
    <definedName name="TL_OD_Common" localSheetId="5">'[55]TL 13-14'!#REF!</definedName>
    <definedName name="TL_OD_Common">'[55]TL 13-14'!#REF!</definedName>
    <definedName name="TL_OI_Cust" localSheetId="5">'[55]TL 13-14'!#REF!</definedName>
    <definedName name="TL_OI_Cust">'[55]TL 13-14'!#REF!</definedName>
    <definedName name="TL_OI_IU" localSheetId="5">'[55]TL 13-14'!#REF!</definedName>
    <definedName name="TL_OI_IU">'[55]TL 13-14'!#REF!</definedName>
    <definedName name="TL_OS" localSheetId="5">'[55]TL 13-14'!#REF!</definedName>
    <definedName name="TL_OS">'[55]TL 13-14'!#REF!</definedName>
    <definedName name="TL_PBDIT" localSheetId="5">'[55]TL 13-14'!#REF!</definedName>
    <definedName name="TL_PBDIT">'[55]TL 13-14'!#REF!</definedName>
    <definedName name="TL_PBIT" localSheetId="5">'[55]TL 13-14'!#REF!</definedName>
    <definedName name="TL_PBIT">'[55]TL 13-14'!#REF!</definedName>
    <definedName name="TL_Per_Key" localSheetId="5">#REF!</definedName>
    <definedName name="TL_Per_Key">#REF!</definedName>
    <definedName name="TL_Res_Key" localSheetId="5">#REF!</definedName>
    <definedName name="TL_Res_Key">#REF!</definedName>
    <definedName name="TL_Sales_Cust" localSheetId="5">'[55]TL 13-14'!#REF!</definedName>
    <definedName name="TL_Sales_Cust">'[55]TL 13-14'!#REF!</definedName>
    <definedName name="TL_Sales_IU" localSheetId="5">'[55]TL 13-14'!#REF!</definedName>
    <definedName name="TL_Sales_IU">'[55]TL 13-14'!#REF!</definedName>
    <definedName name="TL_Sep">'[55]TL 13-14'!$AS:$AS</definedName>
    <definedName name="TL_Stk" localSheetId="5">'[55]TL 13-14'!#REF!</definedName>
    <definedName name="TL_Stk">'[55]TL 13-14'!#REF!</definedName>
    <definedName name="TL_Top_Key" localSheetId="5">#REF!</definedName>
    <definedName name="TL_Top_Key">#REF!</definedName>
    <definedName name="TL_VC" localSheetId="5">'[55]TL 13-14'!#REF!</definedName>
    <definedName name="TL_VC">'[55]TL 13-14'!#REF!</definedName>
    <definedName name="TL_WC_Key" localSheetId="5">#REF!</definedName>
    <definedName name="TL_WC_Key">#REF!</definedName>
    <definedName name="Tm" localSheetId="5">#REF!</definedName>
    <definedName name="Tm">#REF!</definedName>
    <definedName name="TMD" localSheetId="5">'[62]except wiring'!#REF!</definedName>
    <definedName name="TMD">'[62]except wiring'!#REF!</definedName>
    <definedName name="ToE_MATRIX" localSheetId="5">#REF!</definedName>
    <definedName name="ToE_MATRIX">#REF!</definedName>
    <definedName name="tol" localSheetId="5">#REF!</definedName>
    <definedName name="tol">#REF!</definedName>
    <definedName name="topl" localSheetId="5">#REF!</definedName>
    <definedName name="topl">#REF!</definedName>
    <definedName name="topn" localSheetId="5">#REF!</definedName>
    <definedName name="topn">#REF!</definedName>
    <definedName name="total" localSheetId="5">#REF!</definedName>
    <definedName name="total">#REF!</definedName>
    <definedName name="Total_Interest" localSheetId="5">#REF!</definedName>
    <definedName name="Total_Interest">#REF!</definedName>
    <definedName name="Total_Mandays" localSheetId="5">#REF!</definedName>
    <definedName name="Total_Mandays">#REF!</definedName>
    <definedName name="Total_Pay" localSheetId="5">#REF!</definedName>
    <definedName name="Total_Pay">#REF!</definedName>
    <definedName name="tower" localSheetId="5">#REF!</definedName>
    <definedName name="tower">#REF!</definedName>
    <definedName name="Towererection">'[59]Tower Erection'!$C$5:$D$23</definedName>
    <definedName name="TPTL" localSheetId="5">#REF!</definedName>
    <definedName name="TPTL">#REF!</definedName>
    <definedName name="tr">#N/A</definedName>
    <definedName name="tr0" localSheetId="5">#REF!</definedName>
    <definedName name="tr0">#REF!</definedName>
    <definedName name="TRANS" localSheetId="5">#REF!</definedName>
    <definedName name="TRANS">#REF!</definedName>
    <definedName name="Tres" localSheetId="5">#REF!</definedName>
    <definedName name="Tres">#REF!</definedName>
    <definedName name="tres4" localSheetId="5">#REF!</definedName>
    <definedName name="tres4">#REF!</definedName>
    <definedName name="Trs" localSheetId="5">#REF!</definedName>
    <definedName name="Trs">#REF!</definedName>
    <definedName name="Trt" localSheetId="5">#REF!</definedName>
    <definedName name="Trt">#REF!</definedName>
    <definedName name="trt0" localSheetId="5">#REF!</definedName>
    <definedName name="trt0">#REF!</definedName>
    <definedName name="trttt">'[27]UNP-NCW '!$F$17</definedName>
    <definedName name="try">#N/A</definedName>
    <definedName name="tS" localSheetId="5">#REF!</definedName>
    <definedName name="tS">#REF!</definedName>
    <definedName name="tS___0" localSheetId="5">#REF!</definedName>
    <definedName name="tS___0">#REF!</definedName>
    <definedName name="tS___13" localSheetId="5">#REF!</definedName>
    <definedName name="tS___13">#REF!</definedName>
    <definedName name="TT" localSheetId="5">#REF!</definedName>
    <definedName name="TT">#REF!</definedName>
    <definedName name="ttrrr" localSheetId="5">'[27]UNP-NCW '!#REF!</definedName>
    <definedName name="ttrrr">'[27]UNP-NCW '!#REF!</definedName>
    <definedName name="ttttrrrrrrrr" localSheetId="5">'[27]UNP-NCW '!#REF!</definedName>
    <definedName name="ttttrrrrrrrr">'[27]UNP-NCW '!#REF!</definedName>
    <definedName name="TUES1" localSheetId="5">#REF!</definedName>
    <definedName name="TUES1">#REF!</definedName>
    <definedName name="tvtv" localSheetId="5">#REF!</definedName>
    <definedName name="tvtv">#REF!</definedName>
    <definedName name="tw">'[77]tower wt.'!$B$3:$C$52</definedName>
    <definedName name="ueber" localSheetId="5">#REF!</definedName>
    <definedName name="ueber">#REF!</definedName>
    <definedName name="UMD" localSheetId="5">'[62]except wiring'!#REF!</definedName>
    <definedName name="UMD">'[62]except wiring'!#REF!</definedName>
    <definedName name="un" localSheetId="5">#REF!</definedName>
    <definedName name="un">#REF!</definedName>
    <definedName name="unit" localSheetId="5">#REF!</definedName>
    <definedName name="unit">#REF!</definedName>
    <definedName name="UNITA" localSheetId="5">#REF!</definedName>
    <definedName name="UNITA">#REF!</definedName>
    <definedName name="UNITB" localSheetId="5">#REF!</definedName>
    <definedName name="UNITB">#REF!</definedName>
    <definedName name="UNITC" localSheetId="5">#REF!</definedName>
    <definedName name="UNITC">#REF!</definedName>
    <definedName name="unitD" localSheetId="5">#REF!</definedName>
    <definedName name="unitD">#REF!</definedName>
    <definedName name="UNITS" localSheetId="5">#REF!</definedName>
    <definedName name="UNITS">#REF!</definedName>
    <definedName name="Uo" localSheetId="5">#REF!</definedName>
    <definedName name="Uo">#REF!</definedName>
    <definedName name="update" localSheetId="5">#REF!</definedName>
    <definedName name="update">#REF!</definedName>
    <definedName name="Ut" localSheetId="5">#REF!</definedName>
    <definedName name="Ut">#REF!</definedName>
    <definedName name="V" localSheetId="5">#REF!</definedName>
    <definedName name="V">#REF!</definedName>
    <definedName name="va" localSheetId="5">#REF!</definedName>
    <definedName name="va">#REF!</definedName>
    <definedName name="va___0" localSheetId="5">#REF!</definedName>
    <definedName name="va___0">#REF!</definedName>
    <definedName name="va___13" localSheetId="5">#REF!</definedName>
    <definedName name="va___13">#REF!</definedName>
    <definedName name="vaa" localSheetId="5">#REF!</definedName>
    <definedName name="vaa">#REF!</definedName>
    <definedName name="Values_Entered">#N/A</definedName>
    <definedName name="VANDEMATARAM" localSheetId="5">#REF!</definedName>
    <definedName name="VANDEMATARAM">#REF!</definedName>
    <definedName name="vapi_baywise" localSheetId="5">#REF!</definedName>
    <definedName name="vapi_baywise">#REF!</definedName>
    <definedName name="Var._IGP_M_Dez_00" localSheetId="5">#REF!</definedName>
    <definedName name="Var._IGP_M_Dez_00">#REF!</definedName>
    <definedName name="VASA" localSheetId="5">#REF!</definedName>
    <definedName name="VASA">#REF!</definedName>
    <definedName name="VB" localSheetId="5">#REF!</definedName>
    <definedName name="VB">#REF!</definedName>
    <definedName name="vc" localSheetId="5">#REF!</definedName>
    <definedName name="vc">#REF!</definedName>
    <definedName name="Vc0" localSheetId="5">#REF!</definedName>
    <definedName name="Vc0">#REF!</definedName>
    <definedName name="VD" localSheetId="5">#REF!</definedName>
    <definedName name="VD">#REF!</definedName>
    <definedName name="VELOKAL" localSheetId="5">#REF!</definedName>
    <definedName name="VELOKAL">#REF!</definedName>
    <definedName name="Vend" localSheetId="5">#REF!</definedName>
    <definedName name="Vend">#REF!</definedName>
    <definedName name="vertical_col_and_corner_walls" localSheetId="5">#REF!</definedName>
    <definedName name="vertical_col_and_corner_walls">#REF!</definedName>
    <definedName name="VESWH" localSheetId="5">#REF!</definedName>
    <definedName name="VESWH">#REF!</definedName>
    <definedName name="Vf" localSheetId="5">#REF!</definedName>
    <definedName name="Vf">#REF!</definedName>
    <definedName name="Vfour" localSheetId="5">#REF!</definedName>
    <definedName name="Vfour">#REF!</definedName>
    <definedName name="vfourc" localSheetId="5">#REF!</definedName>
    <definedName name="vfourc">#REF!</definedName>
    <definedName name="vij" localSheetId="5">#REF!</definedName>
    <definedName name="vij">#REF!</definedName>
    <definedName name="VIJAY" localSheetId="5">#REF!</definedName>
    <definedName name="VIJAY">#REF!</definedName>
    <definedName name="VISUAL" localSheetId="5">#REF!</definedName>
    <definedName name="VISUAL">#REF!</definedName>
    <definedName name="Viual_chart" localSheetId="5">#REF!</definedName>
    <definedName name="Viual_chart">#REF!</definedName>
    <definedName name="VIVEKANANDA" localSheetId="5">#REF!</definedName>
    <definedName name="VIVEKANANDA">#REF!</definedName>
    <definedName name="vk">[55]FORM7!$R$3:$S$7</definedName>
    <definedName name="VKTLBoltNut" comment="Tackwelding B&amp;N for 765 KV D/C Tower">'[59]Tower Erection'!$K$6:$M$23</definedName>
    <definedName name="Vl" localSheetId="5">#REF!</definedName>
    <definedName name="Vl">#REF!</definedName>
    <definedName name="Vm" localSheetId="5">#REF!</definedName>
    <definedName name="Vm">#REF!</definedName>
    <definedName name="Vmax" localSheetId="5">[14]Design!#REF!</definedName>
    <definedName name="Vmax">[14]Design!#REF!</definedName>
    <definedName name="Vmin" localSheetId="5">[14]Design!#REF!</definedName>
    <definedName name="Vmin">[14]Design!#REF!</definedName>
    <definedName name="Vone" localSheetId="5">#REF!</definedName>
    <definedName name="Vone">#REF!</definedName>
    <definedName name="Vr" localSheetId="5">#REF!</definedName>
    <definedName name="Vr">#REF!</definedName>
    <definedName name="vrr" localSheetId="5">#REF!</definedName>
    <definedName name="vrr">#REF!</definedName>
    <definedName name="Vsigma" localSheetId="5">#REF!</definedName>
    <definedName name="Vsigma">#REF!</definedName>
    <definedName name="Vsigma1" localSheetId="5">#REF!</definedName>
    <definedName name="Vsigma1">#REF!</definedName>
    <definedName name="VSTLBoltNut" localSheetId="5">#REF!</definedName>
    <definedName name="VSTLBoltNut">#REF!</definedName>
    <definedName name="VSTLKARAMTARAWEIGHT" comment="KARAMTARA TOWER WEIGHT " localSheetId="5">#REF!</definedName>
    <definedName name="VSTLKARAMTARAWEIGHT" comment="KARAMTARA TOWER WEIGHT ">#REF!</definedName>
    <definedName name="vthree" localSheetId="5">#REF!</definedName>
    <definedName name="vthree">#REF!</definedName>
    <definedName name="vtw" localSheetId="5">#REF!</definedName>
    <definedName name="vtw">#REF!</definedName>
    <definedName name="Vtwo" localSheetId="5">#REF!</definedName>
    <definedName name="Vtwo">#REF!</definedName>
    <definedName name="Vtwo1" localSheetId="5">#REF!</definedName>
    <definedName name="Vtwo1">#REF!</definedName>
    <definedName name="vvk">'[83]Sulphur (2)'!$O$3</definedName>
    <definedName name="vvv" localSheetId="5">#REF!</definedName>
    <definedName name="vvv">#REF!</definedName>
    <definedName name="VVVV" localSheetId="5">[26]GWC!#REF!</definedName>
    <definedName name="VVVV">[26]GWC!#REF!</definedName>
    <definedName name="Vz" localSheetId="5">#REF!</definedName>
    <definedName name="Vz">#REF!</definedName>
    <definedName name="W" localSheetId="5">#REF!</definedName>
    <definedName name="W">#REF!</definedName>
    <definedName name="w1_w2" localSheetId="5">#REF!</definedName>
    <definedName name="w1_w2">#REF!</definedName>
    <definedName name="WAHAB_ALI" localSheetId="5">#REF!</definedName>
    <definedName name="WAHAB_ALI">#REF!</definedName>
    <definedName name="Waiting">"Picture 1"</definedName>
    <definedName name="Wc" localSheetId="5">[51]Report!#REF!</definedName>
    <definedName name="Wc">[51]Report!#REF!</definedName>
    <definedName name="wdwewe" localSheetId="5">#REF!</definedName>
    <definedName name="wdwewe">#REF!</definedName>
    <definedName name="WeightRange">[68]Tower!$A$1:$B$65536</definedName>
    <definedName name="well" localSheetId="5">#REF!</definedName>
    <definedName name="well">#REF!</definedName>
    <definedName name="weqweqw" localSheetId="5">#REF!</definedName>
    <definedName name="weqweqw">#REF!</definedName>
    <definedName name="weqwerw" localSheetId="5">#REF!</definedName>
    <definedName name="weqwerw">#REF!</definedName>
    <definedName name="werwere" localSheetId="5" hidden="1">#REF!</definedName>
    <definedName name="werwere" hidden="1">#REF!</definedName>
    <definedName name="Western" localSheetId="5">#REF!</definedName>
    <definedName name="Western">#REF!</definedName>
    <definedName name="westernb" localSheetId="5">#REF!</definedName>
    <definedName name="westernb">#REF!</definedName>
    <definedName name="westernhg" localSheetId="5">#REF!</definedName>
    <definedName name="westernhg">#REF!</definedName>
    <definedName name="wewe" localSheetId="5">[26]GWC!#REF!</definedName>
    <definedName name="wewe">[26]GWC!#REF!</definedName>
    <definedName name="WFR" localSheetId="5">#REF!</definedName>
    <definedName name="WFR">#REF!</definedName>
    <definedName name="Wg" localSheetId="5">#REF!</definedName>
    <definedName name="Wg">#REF!</definedName>
    <definedName name="wid" localSheetId="5">#REF!</definedName>
    <definedName name="wid">#REF!</definedName>
    <definedName name="width_of_cover_slab" localSheetId="5">#REF!</definedName>
    <definedName name="width_of_cover_slab">#REF!</definedName>
    <definedName name="Width_of_projection_of_cover_slab" localSheetId="5">#REF!</definedName>
    <definedName name="Width_of_projection_of_cover_slab">#REF!</definedName>
    <definedName name="wind.m" localSheetId="5">#REF!</definedName>
    <definedName name="wind.m">#REF!</definedName>
    <definedName name="Winform" localSheetId="5">#REF!</definedName>
    <definedName name="Winform">#REF!</definedName>
    <definedName name="WKS" localSheetId="5">#REF!</definedName>
    <definedName name="WKS">#REF!</definedName>
    <definedName name="WLP" localSheetId="5">[32]DSLP!#REF!</definedName>
    <definedName name="WLP">[32]DSLP!#REF!</definedName>
    <definedName name="women" localSheetId="5">#REF!</definedName>
    <definedName name="women">#REF!</definedName>
    <definedName name="work" localSheetId="5">#REF!</definedName>
    <definedName name="work">#REF!</definedName>
    <definedName name="WP" localSheetId="5">#REF!</definedName>
    <definedName name="WP">#REF!</definedName>
    <definedName name="WQEW" localSheetId="5">#REF!</definedName>
    <definedName name="WQEW">#REF!</definedName>
    <definedName name="wqewe" localSheetId="5">[26]GWC!#REF!</definedName>
    <definedName name="wqewe">[26]GWC!#REF!</definedName>
    <definedName name="wqwrwrqwrqr" localSheetId="5">[26]GWC!#REF!</definedName>
    <definedName name="wqwrwrqwrqr">[26]GWC!#REF!</definedName>
    <definedName name="wt.m" localSheetId="5">#REF!</definedName>
    <definedName name="wt.m">#REF!</definedName>
    <definedName name="wu" localSheetId="5">[25]Report!#REF!</definedName>
    <definedName name="wu">[25]Report!#REF!</definedName>
    <definedName name="ww" localSheetId="5">#REF!</definedName>
    <definedName name="ww">#REF!</definedName>
    <definedName name="www" localSheetId="5">#REF!</definedName>
    <definedName name="www">#REF!</definedName>
    <definedName name="wwww" localSheetId="5">#REF!</definedName>
    <definedName name="wwww">#REF!</definedName>
    <definedName name="X" localSheetId="5">#REF!</definedName>
    <definedName name="X">#REF!</definedName>
    <definedName name="x1byr1" localSheetId="5">#REF!</definedName>
    <definedName name="x1byr1">#REF!</definedName>
    <definedName name="x1x" localSheetId="5">[25]Report!#REF!</definedName>
    <definedName name="x1x">[25]Report!#REF!</definedName>
    <definedName name="x2x" localSheetId="5">[25]Report!#REF!</definedName>
    <definedName name="x2x">[25]Report!#REF!</definedName>
    <definedName name="x3x" localSheetId="5">[25]Report!#REF!</definedName>
    <definedName name="x3x">[25]Report!#REF!</definedName>
    <definedName name="xas" localSheetId="5">#REF!</definedName>
    <definedName name="xas">#REF!</definedName>
    <definedName name="xbyr" localSheetId="5">#REF!</definedName>
    <definedName name="xbyr">#REF!</definedName>
    <definedName name="Xl" localSheetId="5">#REF!</definedName>
    <definedName name="Xl">#REF!</definedName>
    <definedName name="Xl___0" localSheetId="5">#REF!</definedName>
    <definedName name="Xl___0">#REF!</definedName>
    <definedName name="Xl___13" localSheetId="5">#REF!</definedName>
    <definedName name="Xl___13">#REF!</definedName>
    <definedName name="Xm" localSheetId="5">#REF!</definedName>
    <definedName name="Xm">#REF!</definedName>
    <definedName name="xs" localSheetId="5">#REF!</definedName>
    <definedName name="xs">#REF!</definedName>
    <definedName name="Xso" localSheetId="5">#REF!</definedName>
    <definedName name="Xso">#REF!</definedName>
    <definedName name="xt" localSheetId="5">#REF!</definedName>
    <definedName name="xt">#REF!</definedName>
    <definedName name="xx" localSheetId="5">#REF!</definedName>
    <definedName name="xx">#REF!</definedName>
    <definedName name="xxh02" localSheetId="5">[19]CAL!#REF!</definedName>
    <definedName name="xxh02">[19]CAL!#REF!</definedName>
    <definedName name="xxh03" localSheetId="5">[19]CAL!#REF!</definedName>
    <definedName name="xxh03">[19]CAL!#REF!</definedName>
    <definedName name="Y" localSheetId="5">#REF!</definedName>
    <definedName name="Y">#REF!</definedName>
    <definedName name="Y0" localSheetId="5">#REF!</definedName>
    <definedName name="Y0">#REF!</definedName>
    <definedName name="ys" localSheetId="5">#REF!</definedName>
    <definedName name="ys">#REF!</definedName>
    <definedName name="Z" localSheetId="5">#REF!</definedName>
    <definedName name="Z">#REF!</definedName>
    <definedName name="za" localSheetId="5">[29]CLAY!#REF!</definedName>
    <definedName name="za">[29]CLAY!#REF!</definedName>
    <definedName name="zes" localSheetId="5">#REF!</definedName>
    <definedName name="zes">#REF!</definedName>
    <definedName name="zet0" localSheetId="5">#REF!</definedName>
    <definedName name="zet0">#REF!</definedName>
    <definedName name="zet75" localSheetId="5">#REF!</definedName>
    <definedName name="zet75">#REF!</definedName>
    <definedName name="zeta" localSheetId="5">#REF!</definedName>
    <definedName name="zeta">#REF!</definedName>
    <definedName name="zl" localSheetId="5">#REF!</definedName>
    <definedName name="zl">#REF!</definedName>
    <definedName name="zl___0" localSheetId="5">#REF!</definedName>
    <definedName name="zl___0">#REF!</definedName>
    <definedName name="zl___13" localSheetId="5">#REF!</definedName>
    <definedName name="zl___13">#REF!</definedName>
    <definedName name="zlpu" localSheetId="5">#REF!</definedName>
    <definedName name="zlpu">#REF!</definedName>
    <definedName name="zlpu___0" localSheetId="5">#REF!</definedName>
    <definedName name="zlpu___0">#REF!</definedName>
    <definedName name="zlpu___13" localSheetId="5">#REF!</definedName>
    <definedName name="zlpu___13">#REF!</definedName>
    <definedName name="ZM" localSheetId="5">'[44]220 11  BS '!#REF!</definedName>
    <definedName name="ZM">'[44]220 11  BS '!#REF!</definedName>
    <definedName name="zs" localSheetId="5">#REF!</definedName>
    <definedName name="zs">#REF!</definedName>
    <definedName name="zs___0" localSheetId="5">#REF!</definedName>
    <definedName name="zs___0">#REF!</definedName>
    <definedName name="zs___13" localSheetId="5">#REF!</definedName>
    <definedName name="zs___13">#REF!</definedName>
    <definedName name="zspu" localSheetId="5">#REF!</definedName>
    <definedName name="zspu">#REF!</definedName>
    <definedName name="zspu___0" localSheetId="5">#REF!</definedName>
    <definedName name="zspu___0">#REF!</definedName>
    <definedName name="zspu___13" localSheetId="5">#REF!</definedName>
    <definedName name="zspu___13">#REF!</definedName>
    <definedName name="ZSS" localSheetId="5">#REF!</definedName>
    <definedName name="ZSS">#REF!</definedName>
    <definedName name="ZSS___0" localSheetId="5">#REF!</definedName>
    <definedName name="ZSS___0">#REF!</definedName>
    <definedName name="ZSS___13" localSheetId="5">#REF!</definedName>
    <definedName name="ZSS___13">#REF!</definedName>
    <definedName name="zsxfdfg" localSheetId="5">#REF!</definedName>
    <definedName name="zsxfdfg">#REF!</definedName>
    <definedName name="ztpu" localSheetId="5">#REF!</definedName>
    <definedName name="ztpu">#REF!</definedName>
    <definedName name="ztpu___0" localSheetId="5">#REF!</definedName>
    <definedName name="ztpu___0">#REF!</definedName>
    <definedName name="ztpu___13" localSheetId="5">#REF!</definedName>
    <definedName name="ztpu___13">#REF!</definedName>
    <definedName name="zUI228" localSheetId="5">#REF!</definedName>
    <definedName name="zUI228">#REF!</definedName>
    <definedName name="ZY" localSheetId="5">#REF!</definedName>
    <definedName name="ZY">#REF!</definedName>
    <definedName name="ZY___0" localSheetId="5">#REF!</definedName>
    <definedName name="ZY___0">#REF!</definedName>
    <definedName name="ZY___13" localSheetId="5">#REF!</definedName>
    <definedName name="ZY___13">#REF!</definedName>
    <definedName name="ZZZZ" localSheetId="5">#REF!</definedName>
    <definedName name="ZZZZ">#REF!</definedName>
    <definedName name="전체" localSheetId="5">#REF!</definedName>
    <definedName name="전체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09" i="8" l="1"/>
  <c r="L26" i="2"/>
  <c r="M26" i="2" s="1"/>
  <c r="L25" i="2"/>
  <c r="M25" i="2" s="1"/>
  <c r="N24" i="2"/>
  <c r="L24" i="2"/>
  <c r="M24" i="2" s="1"/>
  <c r="L21" i="2"/>
  <c r="M21" i="2" s="1"/>
  <c r="L20" i="2"/>
  <c r="M20" i="2" s="1"/>
  <c r="L19" i="2"/>
  <c r="M19" i="2" s="1"/>
  <c r="G64" i="9" l="1"/>
  <c r="G54" i="9"/>
  <c r="G53" i="9"/>
  <c r="G52" i="9"/>
  <c r="G51" i="9"/>
  <c r="G50" i="9"/>
  <c r="G49" i="9"/>
  <c r="G48" i="9"/>
  <c r="G47" i="9"/>
  <c r="G46" i="9"/>
  <c r="G45" i="9"/>
  <c r="G44" i="9"/>
  <c r="G42" i="9"/>
  <c r="G36" i="9"/>
  <c r="G30" i="9"/>
  <c r="G28" i="9"/>
  <c r="G27" i="9"/>
  <c r="G26" i="9"/>
  <c r="G25" i="9"/>
  <c r="G24" i="9"/>
  <c r="G23" i="9"/>
  <c r="G22" i="9"/>
  <c r="G21" i="9"/>
  <c r="H20" i="9"/>
  <c r="G20" i="9"/>
  <c r="G19" i="9"/>
  <c r="G18" i="9"/>
  <c r="K82" i="9"/>
  <c r="I76" i="9" l="1"/>
  <c r="I77" i="9"/>
  <c r="I78" i="9"/>
  <c r="I79" i="9"/>
  <c r="I80" i="9"/>
  <c r="I81" i="9"/>
  <c r="I82" i="9"/>
  <c r="I83" i="9"/>
  <c r="I84" i="9"/>
  <c r="I85" i="9"/>
  <c r="I86" i="9"/>
  <c r="I87" i="9"/>
  <c r="G81" i="9"/>
  <c r="L85" i="9"/>
  <c r="M85" i="9" s="1"/>
  <c r="L80" i="9"/>
  <c r="M80" i="9" s="1"/>
  <c r="L76" i="9"/>
  <c r="M76" i="9" s="1"/>
  <c r="L77" i="9"/>
  <c r="M77" i="9" s="1"/>
  <c r="L79" i="9"/>
  <c r="M79" i="9"/>
  <c r="L82" i="9"/>
  <c r="M82" i="9" s="1"/>
  <c r="L83" i="9"/>
  <c r="M83" i="9" s="1"/>
  <c r="L86" i="9"/>
  <c r="M86" i="9" s="1"/>
  <c r="L87" i="9"/>
  <c r="M87" i="9" s="1"/>
  <c r="G70" i="9"/>
  <c r="G71" i="9"/>
  <c r="L32" i="2"/>
  <c r="M32" i="2" s="1"/>
  <c r="H65" i="20"/>
  <c r="H64" i="20"/>
  <c r="H63" i="20"/>
  <c r="H61" i="20"/>
  <c r="H60" i="20"/>
  <c r="H59" i="20"/>
  <c r="H58" i="20"/>
  <c r="H57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1" i="20"/>
  <c r="H40" i="20"/>
  <c r="H39" i="20"/>
  <c r="H38" i="20"/>
  <c r="H37" i="20"/>
  <c r="H35" i="20"/>
  <c r="H34" i="20"/>
  <c r="H33" i="20"/>
  <c r="H32" i="20"/>
  <c r="H31" i="20"/>
  <c r="H29" i="20"/>
  <c r="H28" i="20"/>
  <c r="H27" i="20"/>
  <c r="H26" i="20"/>
  <c r="H25" i="20"/>
  <c r="H24" i="20"/>
  <c r="H23" i="20"/>
  <c r="H22" i="20"/>
  <c r="H21" i="20"/>
  <c r="H20" i="20"/>
  <c r="H19" i="20"/>
  <c r="L71" i="9"/>
  <c r="K70" i="9"/>
  <c r="L70" i="9" s="1"/>
  <c r="I14" i="9"/>
  <c r="H14" i="9"/>
  <c r="F14" i="9"/>
  <c r="E14" i="9"/>
  <c r="G13" i="9"/>
  <c r="G12" i="9"/>
  <c r="G11" i="9"/>
  <c r="G10" i="9"/>
  <c r="G9" i="9"/>
  <c r="G8" i="9"/>
  <c r="G7" i="9"/>
  <c r="G6" i="9"/>
  <c r="G5" i="9"/>
  <c r="G4" i="9"/>
  <c r="L31" i="2"/>
  <c r="M31" i="2" s="1"/>
  <c r="G14" i="9" l="1"/>
  <c r="L78" i="9"/>
  <c r="M78" i="9" s="1"/>
  <c r="L84" i="9"/>
  <c r="M84" i="9" s="1"/>
  <c r="L81" i="9"/>
  <c r="M81" i="9" s="1"/>
  <c r="H92" i="19"/>
  <c r="H35" i="21"/>
  <c r="H34" i="21"/>
  <c r="H33" i="21"/>
  <c r="H32" i="21"/>
  <c r="H31" i="21"/>
  <c r="H30" i="21"/>
  <c r="H29" i="21"/>
  <c r="G28" i="21"/>
  <c r="H28" i="21" s="1"/>
  <c r="H27" i="21"/>
  <c r="G27" i="21"/>
  <c r="H26" i="21"/>
  <c r="H25" i="21"/>
  <c r="H24" i="21"/>
  <c r="G23" i="21"/>
  <c r="H23" i="21" s="1"/>
  <c r="H22" i="21"/>
  <c r="G21" i="21"/>
  <c r="H21" i="21" s="1"/>
  <c r="H20" i="21"/>
  <c r="G19" i="21"/>
  <c r="H19" i="21" s="1"/>
  <c r="G18" i="21"/>
  <c r="H18" i="21" s="1"/>
  <c r="H17" i="21"/>
  <c r="H16" i="21"/>
  <c r="H15" i="21"/>
  <c r="H14" i="21"/>
  <c r="H13" i="21"/>
  <c r="G13" i="21"/>
  <c r="H12" i="21"/>
  <c r="H11" i="21"/>
  <c r="H10" i="21"/>
  <c r="H9" i="21"/>
  <c r="H8" i="21"/>
  <c r="H7" i="21"/>
  <c r="H6" i="21"/>
  <c r="G5" i="21"/>
  <c r="H5" i="21" s="1"/>
  <c r="H4" i="21"/>
  <c r="G3" i="21"/>
  <c r="H3" i="21" s="1"/>
  <c r="H88" i="19"/>
  <c r="H87" i="19"/>
  <c r="H90" i="19"/>
  <c r="H91" i="19"/>
  <c r="H89" i="19"/>
  <c r="H84" i="19"/>
  <c r="H85" i="19"/>
  <c r="H86" i="19"/>
  <c r="H83" i="19"/>
  <c r="H105" i="19"/>
  <c r="H106" i="19"/>
  <c r="H107" i="19"/>
  <c r="H108" i="19"/>
  <c r="H109" i="19"/>
  <c r="G281" i="8" l="1"/>
  <c r="G222" i="8"/>
  <c r="G160" i="8"/>
  <c r="G153" i="8"/>
  <c r="G140" i="8"/>
  <c r="G99" i="8"/>
  <c r="G97" i="8"/>
  <c r="G86" i="8"/>
  <c r="B9" i="8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E605" i="8"/>
  <c r="E604" i="8"/>
  <c r="D605" i="8"/>
  <c r="K605" i="8"/>
  <c r="H104" i="19"/>
  <c r="H112" i="19"/>
  <c r="H116" i="19"/>
  <c r="H111" i="19"/>
  <c r="H115" i="19"/>
  <c r="H114" i="19"/>
  <c r="H113" i="19"/>
  <c r="H110" i="19"/>
  <c r="B315" i="8" l="1"/>
  <c r="B316" i="8" s="1"/>
  <c r="G15" i="20"/>
  <c r="F15" i="20"/>
  <c r="H14" i="20"/>
  <c r="H13" i="20"/>
  <c r="H12" i="20"/>
  <c r="H11" i="20"/>
  <c r="H10" i="20"/>
  <c r="H9" i="20"/>
  <c r="H8" i="20"/>
  <c r="H7" i="20"/>
  <c r="H6" i="20"/>
  <c r="H5" i="20"/>
  <c r="H126" i="19"/>
  <c r="H15" i="20" l="1"/>
  <c r="K604" i="8"/>
  <c r="D604" i="8"/>
  <c r="K603" i="8"/>
  <c r="D603" i="8"/>
  <c r="E603" i="8"/>
  <c r="K602" i="8"/>
  <c r="D602" i="8"/>
  <c r="E602" i="8"/>
  <c r="M23" i="2" l="1"/>
  <c r="M22" i="2"/>
  <c r="K601" i="8"/>
  <c r="E601" i="8"/>
  <c r="D601" i="8"/>
  <c r="K600" i="8"/>
  <c r="E600" i="8"/>
  <c r="D600" i="8"/>
  <c r="K599" i="8"/>
  <c r="E599" i="8"/>
  <c r="D599" i="8"/>
  <c r="K598" i="8"/>
  <c r="E598" i="8"/>
  <c r="D598" i="8"/>
  <c r="K597" i="8" l="1"/>
  <c r="D597" i="8"/>
  <c r="E597" i="8"/>
  <c r="E806" i="8" l="1"/>
  <c r="D806" i="8"/>
  <c r="E804" i="8"/>
  <c r="D804" i="8"/>
  <c r="E802" i="8"/>
  <c r="D802" i="8"/>
  <c r="E794" i="8"/>
  <c r="D794" i="8"/>
  <c r="E793" i="8"/>
  <c r="D793" i="8"/>
  <c r="E792" i="8"/>
  <c r="D792" i="8"/>
  <c r="E791" i="8"/>
  <c r="D791" i="8"/>
  <c r="E790" i="8"/>
  <c r="D790" i="8"/>
  <c r="E789" i="8"/>
  <c r="D789" i="8"/>
  <c r="E788" i="8"/>
  <c r="D788" i="8"/>
  <c r="E787" i="8"/>
  <c r="D787" i="8"/>
  <c r="E786" i="8"/>
  <c r="D786" i="8"/>
  <c r="E785" i="8"/>
  <c r="D785" i="8"/>
  <c r="E784" i="8"/>
  <c r="E783" i="8"/>
  <c r="D783" i="8"/>
  <c r="E782" i="8"/>
  <c r="D782" i="8"/>
  <c r="E781" i="8"/>
  <c r="D781" i="8"/>
  <c r="E780" i="8"/>
  <c r="D780" i="8"/>
  <c r="E779" i="8"/>
  <c r="D779" i="8"/>
  <c r="E778" i="8"/>
  <c r="D778" i="8"/>
  <c r="E777" i="8"/>
  <c r="D777" i="8"/>
  <c r="E776" i="8"/>
  <c r="D776" i="8"/>
  <c r="E775" i="8"/>
  <c r="D775" i="8"/>
  <c r="E774" i="8"/>
  <c r="D774" i="8"/>
  <c r="E773" i="8"/>
  <c r="D773" i="8"/>
  <c r="E772" i="8"/>
  <c r="D772" i="8"/>
  <c r="E771" i="8"/>
  <c r="D771" i="8"/>
  <c r="E770" i="8"/>
  <c r="D770" i="8"/>
  <c r="E769" i="8"/>
  <c r="D769" i="8"/>
  <c r="E768" i="8"/>
  <c r="D768" i="8"/>
  <c r="E767" i="8"/>
  <c r="D767" i="8"/>
  <c r="E766" i="8"/>
  <c r="D766" i="8"/>
  <c r="E765" i="8"/>
  <c r="D765" i="8"/>
  <c r="E764" i="8"/>
  <c r="D764" i="8"/>
  <c r="D763" i="8"/>
  <c r="E762" i="8"/>
  <c r="D762" i="8"/>
  <c r="E761" i="8"/>
  <c r="D761" i="8"/>
  <c r="E760" i="8"/>
  <c r="D760" i="8"/>
  <c r="E759" i="8"/>
  <c r="D759" i="8"/>
  <c r="E758" i="8"/>
  <c r="D758" i="8"/>
  <c r="D757" i="8"/>
  <c r="D756" i="8"/>
  <c r="D755" i="8"/>
  <c r="K596" i="8" l="1"/>
  <c r="K595" i="8"/>
  <c r="K594" i="8"/>
  <c r="K593" i="8"/>
  <c r="K592" i="8"/>
  <c r="D596" i="8"/>
  <c r="E596" i="8"/>
  <c r="D595" i="8"/>
  <c r="E595" i="8"/>
  <c r="D594" i="8"/>
  <c r="E594" i="8"/>
  <c r="D593" i="8"/>
  <c r="E593" i="8"/>
  <c r="D592" i="8"/>
  <c r="E592" i="8"/>
  <c r="D591" i="8" l="1"/>
  <c r="E591" i="8"/>
  <c r="D590" i="8"/>
  <c r="E590" i="8"/>
  <c r="D589" i="8"/>
  <c r="E589" i="8"/>
  <c r="K590" i="8"/>
  <c r="K591" i="8"/>
  <c r="K589" i="8"/>
  <c r="K588" i="8" l="1"/>
  <c r="K587" i="8"/>
  <c r="D588" i="8"/>
  <c r="E588" i="8"/>
  <c r="D587" i="8"/>
  <c r="E587" i="8"/>
  <c r="K586" i="8" l="1"/>
  <c r="D586" i="8"/>
  <c r="E586" i="8"/>
  <c r="K585" i="8" l="1"/>
  <c r="D585" i="8"/>
  <c r="E585" i="8"/>
  <c r="W3" i="13" l="1"/>
  <c r="K584" i="8"/>
  <c r="K583" i="8"/>
  <c r="D584" i="8"/>
  <c r="E584" i="8"/>
  <c r="D583" i="8"/>
  <c r="E583" i="8"/>
  <c r="K582" i="8" l="1"/>
  <c r="D582" i="8"/>
  <c r="E582" i="8"/>
  <c r="K579" i="8"/>
  <c r="D579" i="8"/>
  <c r="E579" i="8"/>
  <c r="K503" i="8"/>
  <c r="D503" i="8"/>
  <c r="E503" i="8"/>
  <c r="K565" i="8" l="1"/>
  <c r="K566" i="8"/>
  <c r="K567" i="8"/>
  <c r="D565" i="8"/>
  <c r="E565" i="8"/>
  <c r="D567" i="8"/>
  <c r="E567" i="8"/>
  <c r="K581" i="8"/>
  <c r="K580" i="8"/>
  <c r="D580" i="8"/>
  <c r="E580" i="8"/>
  <c r="D581" i="8"/>
  <c r="E581" i="8"/>
  <c r="K524" i="8"/>
  <c r="D524" i="8"/>
  <c r="E524" i="8"/>
  <c r="K571" i="8" l="1"/>
  <c r="K572" i="8"/>
  <c r="K573" i="8"/>
  <c r="K574" i="8"/>
  <c r="K575" i="8"/>
  <c r="K576" i="8"/>
  <c r="K577" i="8"/>
  <c r="K578" i="8"/>
  <c r="K570" i="8"/>
  <c r="D578" i="8"/>
  <c r="E578" i="8"/>
  <c r="D577" i="8"/>
  <c r="E577" i="8"/>
  <c r="D576" i="8"/>
  <c r="E576" i="8"/>
  <c r="D575" i="8"/>
  <c r="E575" i="8"/>
  <c r="D574" i="8"/>
  <c r="E574" i="8"/>
  <c r="D573" i="8"/>
  <c r="E573" i="8"/>
  <c r="D572" i="8"/>
  <c r="E572" i="8"/>
  <c r="D571" i="8"/>
  <c r="E571" i="8"/>
  <c r="D570" i="8"/>
  <c r="E570" i="8"/>
  <c r="K569" i="8" l="1"/>
  <c r="D569" i="8"/>
  <c r="E569" i="8"/>
  <c r="E568" i="8" l="1"/>
  <c r="D568" i="8"/>
  <c r="K568" i="8"/>
  <c r="K563" i="8"/>
  <c r="K564" i="8"/>
  <c r="D563" i="8"/>
  <c r="E563" i="8"/>
  <c r="D564" i="8"/>
  <c r="E564" i="8"/>
  <c r="E562" i="8"/>
  <c r="D562" i="8"/>
  <c r="K562" i="8"/>
  <c r="K561" i="8" l="1"/>
  <c r="D561" i="8"/>
  <c r="E561" i="8"/>
  <c r="D560" i="8" l="1"/>
  <c r="E560" i="8"/>
  <c r="K560" i="8"/>
  <c r="L4" i="8"/>
  <c r="D559" i="8" l="1"/>
  <c r="E559" i="8"/>
  <c r="D558" i="8"/>
  <c r="E558" i="8"/>
  <c r="D557" i="8"/>
  <c r="E557" i="8"/>
  <c r="D556" i="8"/>
  <c r="E556" i="8"/>
  <c r="K559" i="8"/>
  <c r="K558" i="8"/>
  <c r="K557" i="8"/>
  <c r="K556" i="8"/>
  <c r="D555" i="8"/>
  <c r="E555" i="8"/>
  <c r="K555" i="8"/>
  <c r="K554" i="8" l="1"/>
  <c r="K553" i="8"/>
  <c r="K552" i="8"/>
  <c r="D554" i="8"/>
  <c r="E554" i="8"/>
  <c r="D553" i="8"/>
  <c r="E553" i="8"/>
  <c r="D552" i="8"/>
  <c r="E552" i="8"/>
  <c r="K551" i="8"/>
  <c r="D551" i="8"/>
  <c r="E551" i="8"/>
  <c r="D550" i="8"/>
  <c r="E550" i="8"/>
  <c r="D549" i="8"/>
  <c r="E549" i="8"/>
  <c r="D548" i="8"/>
  <c r="E548" i="8"/>
  <c r="D547" i="8"/>
  <c r="E547" i="8"/>
  <c r="D546" i="8"/>
  <c r="E546" i="8"/>
  <c r="D545" i="8"/>
  <c r="E545" i="8"/>
  <c r="K546" i="8"/>
  <c r="K547" i="8"/>
  <c r="K548" i="8"/>
  <c r="K549" i="8"/>
  <c r="K550" i="8"/>
  <c r="K545" i="8"/>
  <c r="D522" i="8" l="1"/>
  <c r="E522" i="8"/>
  <c r="D544" i="8" l="1"/>
  <c r="E544" i="8"/>
  <c r="D543" i="8"/>
  <c r="E543" i="8"/>
  <c r="D542" i="8"/>
  <c r="E542" i="8"/>
  <c r="D541" i="8" l="1"/>
  <c r="E541" i="8"/>
  <c r="D540" i="8"/>
  <c r="E540" i="8"/>
  <c r="D539" i="8"/>
  <c r="E539" i="8"/>
  <c r="D538" i="8" l="1"/>
  <c r="E538" i="8"/>
  <c r="D536" i="8"/>
  <c r="E536" i="8"/>
  <c r="D537" i="8"/>
  <c r="E537" i="8"/>
  <c r="D526" i="8"/>
  <c r="E526" i="8"/>
  <c r="D535" i="8" l="1"/>
  <c r="E535" i="8"/>
  <c r="D534" i="8"/>
  <c r="E534" i="8"/>
  <c r="D533" i="8"/>
  <c r="E533" i="8"/>
  <c r="B15" i="14" l="1"/>
  <c r="B16" i="14" s="1"/>
  <c r="B17" i="14" s="1"/>
  <c r="B18" i="14" s="1"/>
  <c r="B19" i="14" s="1"/>
  <c r="B20" i="14" s="1"/>
  <c r="B21" i="14" s="1"/>
  <c r="B22" i="14" s="1"/>
  <c r="G10" i="14"/>
  <c r="F10" i="14"/>
  <c r="E10" i="14"/>
  <c r="J9" i="14"/>
  <c r="J8" i="14"/>
  <c r="J7" i="14"/>
  <c r="D532" i="8" l="1"/>
  <c r="E532" i="8"/>
  <c r="D531" i="8"/>
  <c r="E531" i="8"/>
  <c r="D530" i="8"/>
  <c r="E530" i="8"/>
  <c r="D529" i="8" l="1"/>
  <c r="E529" i="8"/>
  <c r="D528" i="8" l="1"/>
  <c r="E528" i="8"/>
  <c r="I15" i="13" l="1"/>
  <c r="H14" i="13"/>
  <c r="H13" i="13"/>
  <c r="H12" i="13"/>
  <c r="H11" i="13"/>
  <c r="H9" i="13"/>
  <c r="H8" i="13"/>
  <c r="H7" i="13"/>
  <c r="E527" i="8" l="1"/>
  <c r="D527" i="8"/>
  <c r="D525" i="8" l="1"/>
  <c r="E525" i="8"/>
  <c r="K525" i="8"/>
  <c r="D523" i="8" l="1"/>
  <c r="E523" i="8"/>
  <c r="D521" i="8" l="1"/>
  <c r="E521" i="8"/>
  <c r="D520" i="8"/>
  <c r="E520" i="8"/>
  <c r="D519" i="8"/>
  <c r="E519" i="8"/>
  <c r="D518" i="8"/>
  <c r="E518" i="8"/>
  <c r="D517" i="8"/>
  <c r="E517" i="8"/>
  <c r="D516" i="8"/>
  <c r="E516" i="8"/>
  <c r="D515" i="8" l="1"/>
  <c r="E515" i="8"/>
  <c r="E511" i="8" l="1"/>
  <c r="E512" i="8"/>
  <c r="E513" i="8"/>
  <c r="E514" i="8"/>
  <c r="D511" i="8"/>
  <c r="D512" i="8"/>
  <c r="D513" i="8"/>
  <c r="D514" i="8"/>
  <c r="E510" i="8"/>
  <c r="D510" i="8"/>
  <c r="M14" i="2" l="1"/>
  <c r="I2" i="2" l="1"/>
  <c r="L3" i="8" l="1"/>
  <c r="K3" i="8"/>
  <c r="D137" i="24" l="1"/>
  <c r="C147" i="24"/>
  <c r="C134" i="24"/>
  <c r="D147" i="24"/>
  <c r="C148" i="24"/>
  <c r="D159" i="24"/>
  <c r="D149" i="24"/>
  <c r="C120" i="24"/>
  <c r="C132" i="24"/>
  <c r="D119" i="24"/>
  <c r="C114" i="24"/>
  <c r="D123" i="24"/>
  <c r="C125" i="24"/>
  <c r="C142" i="24"/>
  <c r="D131" i="24"/>
  <c r="C131" i="24"/>
  <c r="D145" i="24"/>
  <c r="D146" i="24"/>
  <c r="C146" i="24"/>
  <c r="C143" i="24"/>
  <c r="C129" i="24"/>
  <c r="D132" i="24"/>
  <c r="C128" i="24"/>
  <c r="D141" i="24"/>
  <c r="D117" i="24"/>
  <c r="D135" i="24"/>
  <c r="C121" i="24"/>
  <c r="C150" i="24"/>
  <c r="C115" i="24"/>
  <c r="D150" i="24"/>
  <c r="C130" i="24"/>
  <c r="D121" i="24"/>
  <c r="D127" i="24"/>
  <c r="D139" i="24"/>
  <c r="D118" i="24"/>
  <c r="C138" i="24"/>
  <c r="C116" i="24"/>
  <c r="D161" i="24"/>
  <c r="C136" i="24"/>
  <c r="D144" i="24"/>
  <c r="C123" i="24"/>
  <c r="D115" i="24"/>
  <c r="D140" i="24"/>
  <c r="D163" i="24"/>
  <c r="C133" i="24"/>
  <c r="D134" i="24"/>
  <c r="D116" i="24"/>
  <c r="D143" i="24"/>
  <c r="D138" i="24"/>
  <c r="D148" i="24"/>
  <c r="D129" i="24"/>
  <c r="C135" i="24"/>
  <c r="D133" i="24"/>
  <c r="C161" i="24"/>
  <c r="C117" i="24"/>
  <c r="C127" i="24"/>
  <c r="D126" i="24"/>
  <c r="D128" i="24"/>
  <c r="C163" i="24"/>
  <c r="C118" i="24"/>
  <c r="C137" i="24"/>
  <c r="C140" i="24"/>
  <c r="D151" i="24"/>
  <c r="C139" i="24"/>
  <c r="D122" i="24"/>
  <c r="C124" i="24"/>
  <c r="C126" i="24"/>
  <c r="D124" i="24"/>
  <c r="C119" i="24"/>
  <c r="D136" i="24"/>
  <c r="C144" i="24"/>
  <c r="D130" i="24"/>
  <c r="D125" i="24"/>
  <c r="C159" i="24"/>
  <c r="C149" i="24"/>
  <c r="C151" i="24"/>
  <c r="C145" i="24"/>
  <c r="C113" i="24"/>
  <c r="D142" i="24"/>
  <c r="C112" i="24"/>
  <c r="C122" i="24"/>
</calcChain>
</file>

<file path=xl/sharedStrings.xml><?xml version="1.0" encoding="utf-8"?>
<sst xmlns="http://schemas.openxmlformats.org/spreadsheetml/2006/main" count="8638" uniqueCount="999">
  <si>
    <t>Activity</t>
  </si>
  <si>
    <t>Unit</t>
  </si>
  <si>
    <t>Final Est. Qty</t>
  </si>
  <si>
    <t>L2 till Last Month</t>
  </si>
  <si>
    <t>Remarks</t>
  </si>
  <si>
    <t>Survey Status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</si>
  <si>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</si>
  <si>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</si>
  <si>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</si>
  <si>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</si>
  <si>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</si>
  <si>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</si>
  <si>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Completed till Current Month</t>
  </si>
  <si>
    <t>Detailed Survey</t>
  </si>
  <si>
    <t>km</t>
  </si>
  <si>
    <t>Check Survey</t>
  </si>
  <si>
    <t>Foundation</t>
  </si>
  <si>
    <t>S.No</t>
  </si>
  <si>
    <t>Location No.</t>
  </si>
  <si>
    <t>Tower Type</t>
  </si>
  <si>
    <t>Classification</t>
  </si>
  <si>
    <t>Start Date</t>
  </si>
  <si>
    <t>Conc Volume</t>
  </si>
  <si>
    <t>Status</t>
  </si>
  <si>
    <t>End Date</t>
  </si>
  <si>
    <t>Gang Name</t>
  </si>
  <si>
    <t>Gang Strength</t>
  </si>
  <si>
    <t>Remark</t>
  </si>
  <si>
    <t>24/4</t>
  </si>
  <si>
    <t>3DA+0</t>
  </si>
  <si>
    <t>DFR</t>
  </si>
  <si>
    <t xml:space="preserve"> COMPLETED</t>
  </si>
  <si>
    <t>ATK CONSTRUCTIONS</t>
  </si>
  <si>
    <t>24/2</t>
  </si>
  <si>
    <t>3DA+3</t>
  </si>
  <si>
    <t>24/3</t>
  </si>
  <si>
    <t>24/5</t>
  </si>
  <si>
    <t>24/6</t>
  </si>
  <si>
    <t>24/7</t>
  </si>
  <si>
    <t>23/4</t>
  </si>
  <si>
    <t>AMMU ENG.</t>
  </si>
  <si>
    <t>25/4</t>
  </si>
  <si>
    <t>25/5</t>
  </si>
  <si>
    <t>3DA+6</t>
  </si>
  <si>
    <t>23/3</t>
  </si>
  <si>
    <t>25/1</t>
  </si>
  <si>
    <t>29/1</t>
  </si>
  <si>
    <t>3DA+9</t>
  </si>
  <si>
    <t>TSB</t>
  </si>
  <si>
    <t>24/8</t>
  </si>
  <si>
    <t>22/4</t>
  </si>
  <si>
    <t>12/3</t>
  </si>
  <si>
    <t>RR CONST</t>
  </si>
  <si>
    <t>23/2</t>
  </si>
  <si>
    <t>12/4</t>
  </si>
  <si>
    <t>12/2</t>
  </si>
  <si>
    <t>26/1</t>
  </si>
  <si>
    <t>27/7</t>
  </si>
  <si>
    <t>27/8</t>
  </si>
  <si>
    <t>22/5</t>
  </si>
  <si>
    <t>12/11</t>
  </si>
  <si>
    <t>ANJU Const.</t>
  </si>
  <si>
    <t>26/2</t>
  </si>
  <si>
    <t>23/1</t>
  </si>
  <si>
    <t>12/7</t>
  </si>
  <si>
    <t>22/3</t>
  </si>
  <si>
    <t>26/3</t>
  </si>
  <si>
    <t>Earthing</t>
  </si>
  <si>
    <t>SL No.</t>
  </si>
  <si>
    <t>MT</t>
  </si>
  <si>
    <t>Stringing</t>
  </si>
  <si>
    <t>Section</t>
  </si>
  <si>
    <t>Length</t>
  </si>
  <si>
    <t>OPGW Stringing</t>
  </si>
  <si>
    <t>Power Line Crossing</t>
  </si>
  <si>
    <t>OPGW</t>
  </si>
  <si>
    <t>Stringing -F/S</t>
  </si>
  <si>
    <t>Stringing -R/S</t>
  </si>
  <si>
    <t>Tower Erection</t>
  </si>
  <si>
    <t>Gangs at Present</t>
  </si>
  <si>
    <t>Under Progress</t>
  </si>
  <si>
    <t>Balance Work</t>
  </si>
  <si>
    <t>Completed till Date</t>
  </si>
  <si>
    <t>L2 till Current Month</t>
  </si>
  <si>
    <t>Progress till Date for the Month</t>
  </si>
  <si>
    <t>Today's Progress</t>
  </si>
  <si>
    <t>Plan for the Month</t>
  </si>
  <si>
    <t>L2 for present Month</t>
  </si>
  <si>
    <t>Cumulative Progress till Last Month</t>
  </si>
  <si>
    <t>Cumulative L2 till Last Month</t>
  </si>
  <si>
    <t>Final Estimated Quantity</t>
  </si>
  <si>
    <t>Progress Status</t>
  </si>
  <si>
    <t>kms</t>
  </si>
  <si>
    <t>No's</t>
  </si>
  <si>
    <t>Tower</t>
  </si>
  <si>
    <t>Stub</t>
  </si>
  <si>
    <t>Gap between Suppy &amp; Cumm.L2</t>
  </si>
  <si>
    <t>Progress for the Month</t>
  </si>
  <si>
    <t>Plan for Current Month</t>
  </si>
  <si>
    <t>L2 Plan for Current Month</t>
  </si>
  <si>
    <t>Balance</t>
  </si>
  <si>
    <t>Supply Status</t>
  </si>
  <si>
    <t>14.11.2025</t>
  </si>
  <si>
    <t>Revised End Date</t>
  </si>
  <si>
    <t>LOA End Date</t>
  </si>
  <si>
    <t>Power Grid Corporation of India Limited</t>
  </si>
  <si>
    <t>Client Name</t>
  </si>
  <si>
    <t>15.02.2024</t>
  </si>
  <si>
    <t>LOA Start Date</t>
  </si>
  <si>
    <t>765kV D/C Bidar - Maheshwaram TL</t>
  </si>
  <si>
    <t>Project Name</t>
  </si>
  <si>
    <t>Date</t>
  </si>
  <si>
    <t>12/8</t>
  </si>
  <si>
    <t>22/1</t>
  </si>
  <si>
    <t>22/2</t>
  </si>
  <si>
    <t>12/6</t>
  </si>
  <si>
    <t>26/4</t>
  </si>
  <si>
    <t>27/1</t>
  </si>
  <si>
    <t>24/1</t>
  </si>
  <si>
    <t>27/4</t>
  </si>
  <si>
    <t>27/6</t>
  </si>
  <si>
    <t>10-07-2024</t>
  </si>
  <si>
    <t>Khatan</t>
  </si>
  <si>
    <t>21/9</t>
  </si>
  <si>
    <t>Ammu Eng</t>
  </si>
  <si>
    <t>12/9</t>
  </si>
  <si>
    <t>12/5</t>
  </si>
  <si>
    <t>AMMU ENG.-2</t>
  </si>
  <si>
    <t>21/3</t>
  </si>
  <si>
    <t>21/6</t>
  </si>
  <si>
    <t>25/0</t>
  </si>
  <si>
    <t>3DB2+0</t>
  </si>
  <si>
    <t>18-07-2024</t>
  </si>
  <si>
    <t>21/7</t>
  </si>
  <si>
    <t>27/0</t>
  </si>
  <si>
    <t>3DB1+0</t>
  </si>
  <si>
    <t>27/2</t>
  </si>
  <si>
    <t>26/0</t>
  </si>
  <si>
    <t>21/8</t>
  </si>
  <si>
    <t>Approved till Current Month</t>
  </si>
  <si>
    <t>Received till Current Month</t>
  </si>
  <si>
    <t>Received till Last Month</t>
  </si>
  <si>
    <t>-3m BE</t>
  </si>
  <si>
    <t>+9m BE</t>
  </si>
  <si>
    <t>+6m BE</t>
  </si>
  <si>
    <t xml:space="preserve">+3m BE </t>
  </si>
  <si>
    <t>+0m BE</t>
  </si>
  <si>
    <t>Basic body</t>
  </si>
  <si>
    <t xml:space="preserve">3DA Type </t>
  </si>
  <si>
    <t>Received</t>
  </si>
  <si>
    <t>Description</t>
  </si>
  <si>
    <t xml:space="preserve">Tower Type </t>
  </si>
  <si>
    <t>SL No</t>
  </si>
  <si>
    <t>Set</t>
  </si>
  <si>
    <t>3DB Stub</t>
  </si>
  <si>
    <t>3DA Stub</t>
  </si>
  <si>
    <t xml:space="preserve">Stub Details </t>
  </si>
  <si>
    <t>27-07-2024</t>
  </si>
  <si>
    <t>24/0</t>
  </si>
  <si>
    <t xml:space="preserve">3DA+6 </t>
  </si>
  <si>
    <t>23/0</t>
  </si>
  <si>
    <t xml:space="preserve">2DA Stub </t>
  </si>
  <si>
    <t xml:space="preserve">Total </t>
  </si>
  <si>
    <t>02-08-2024</t>
  </si>
  <si>
    <t xml:space="preserve">27/5 </t>
  </si>
  <si>
    <t xml:space="preserve">3DA+0 </t>
  </si>
  <si>
    <t>21/4</t>
  </si>
  <si>
    <t xml:space="preserve">3DA+3 </t>
  </si>
  <si>
    <t xml:space="preserve">2DA Type </t>
  </si>
  <si>
    <t>11/5</t>
  </si>
  <si>
    <t>29/4</t>
  </si>
  <si>
    <t>21/2</t>
  </si>
  <si>
    <t xml:space="preserve">Completed </t>
  </si>
  <si>
    <t xml:space="preserve">Commenced on 10.07.2024 </t>
  </si>
  <si>
    <t>09-08-2024</t>
  </si>
  <si>
    <t xml:space="preserve">Company Gang </t>
  </si>
  <si>
    <t>27/9</t>
  </si>
  <si>
    <t>22/0</t>
  </si>
  <si>
    <t>12/0</t>
  </si>
  <si>
    <t>ANJU CONSTRUCTIONS</t>
  </si>
  <si>
    <t>27/5</t>
  </si>
  <si>
    <t>29/5</t>
  </si>
  <si>
    <t>11/11</t>
  </si>
  <si>
    <t xml:space="preserve">24/5 </t>
  </si>
  <si>
    <t>EARTHING</t>
  </si>
  <si>
    <t>Nos</t>
  </si>
  <si>
    <t>Erection</t>
  </si>
  <si>
    <t>2/0</t>
  </si>
  <si>
    <t>2/1</t>
  </si>
  <si>
    <t>2/2</t>
  </si>
  <si>
    <t>2/3</t>
  </si>
  <si>
    <t>3/0</t>
  </si>
  <si>
    <t>DD60+0</t>
  </si>
  <si>
    <t>DA+3</t>
  </si>
  <si>
    <t>DB2+3</t>
  </si>
  <si>
    <t>DA+0</t>
  </si>
  <si>
    <t>3/1</t>
  </si>
  <si>
    <t>3/2</t>
  </si>
  <si>
    <t>3/3</t>
  </si>
  <si>
    <t>4/0</t>
  </si>
  <si>
    <t>4/1</t>
  </si>
  <si>
    <t>4/2</t>
  </si>
  <si>
    <t>4/3</t>
  </si>
  <si>
    <t>4/4</t>
  </si>
  <si>
    <t>4/5</t>
  </si>
  <si>
    <t>2DA+3</t>
  </si>
  <si>
    <t>2DA+0</t>
  </si>
  <si>
    <t>4/6</t>
  </si>
  <si>
    <t>4/7</t>
  </si>
  <si>
    <t>4/8</t>
  </si>
  <si>
    <t>4/9</t>
  </si>
  <si>
    <t>4/10</t>
  </si>
  <si>
    <t>4/11</t>
  </si>
  <si>
    <t>4/12</t>
  </si>
  <si>
    <t>4/13</t>
  </si>
  <si>
    <t>4/14</t>
  </si>
  <si>
    <t>4/15</t>
  </si>
  <si>
    <t>4/16</t>
  </si>
  <si>
    <t>4/17</t>
  </si>
  <si>
    <t>4/18</t>
  </si>
  <si>
    <t>4/19</t>
  </si>
  <si>
    <t>4/20</t>
  </si>
  <si>
    <t>4/21</t>
  </si>
  <si>
    <t>4/22</t>
  </si>
  <si>
    <t>4/23</t>
  </si>
  <si>
    <t>5/0</t>
  </si>
  <si>
    <t>6/0</t>
  </si>
  <si>
    <t>6/1</t>
  </si>
  <si>
    <t>6/2</t>
  </si>
  <si>
    <t>6/3</t>
  </si>
  <si>
    <t>6/4</t>
  </si>
  <si>
    <t>6/5</t>
  </si>
  <si>
    <t>6/6</t>
  </si>
  <si>
    <t>6/7</t>
  </si>
  <si>
    <t>7/0</t>
  </si>
  <si>
    <t>8/0</t>
  </si>
  <si>
    <t>8/1</t>
  </si>
  <si>
    <t>8/2</t>
  </si>
  <si>
    <t>8/3</t>
  </si>
  <si>
    <t>8/4</t>
  </si>
  <si>
    <t>2DD60+0</t>
  </si>
  <si>
    <t>8/5</t>
  </si>
  <si>
    <t>8/6</t>
  </si>
  <si>
    <t>8/7</t>
  </si>
  <si>
    <t>8/8</t>
  </si>
  <si>
    <t>8/9</t>
  </si>
  <si>
    <t>8/10</t>
  </si>
  <si>
    <t>8/11</t>
  </si>
  <si>
    <t>8/12</t>
  </si>
  <si>
    <t>8/13</t>
  </si>
  <si>
    <t>8/14</t>
  </si>
  <si>
    <t>8/15</t>
  </si>
  <si>
    <t>9/0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</si>
  <si>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</si>
  <si>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</si>
  <si>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</si>
  <si>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</si>
  <si>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</si>
  <si>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</si>
  <si>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</si>
  <si>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</si>
  <si>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</si>
  <si>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>9/10</t>
  </si>
  <si>
    <t xml:space="preserve">WINDZONE -03 STARTS </t>
  </si>
  <si>
    <t>10/0</t>
  </si>
  <si>
    <t>10/1</t>
  </si>
  <si>
    <t>10/2</t>
  </si>
  <si>
    <t>10/3</t>
  </si>
  <si>
    <t>10/4</t>
  </si>
  <si>
    <t>10/5</t>
  </si>
  <si>
    <t>10/6</t>
  </si>
  <si>
    <t>10/7</t>
  </si>
  <si>
    <t>10/8</t>
  </si>
  <si>
    <t>10/9</t>
  </si>
  <si>
    <t>11/0</t>
  </si>
  <si>
    <t>3DC1+0</t>
  </si>
  <si>
    <t>11/1</t>
  </si>
  <si>
    <t>11/2</t>
  </si>
  <si>
    <t>11/3</t>
  </si>
  <si>
    <t>11/4</t>
  </si>
  <si>
    <t>11/6</t>
  </si>
  <si>
    <t>11/7</t>
  </si>
  <si>
    <t>11/8</t>
  </si>
  <si>
    <t>11/9</t>
  </si>
  <si>
    <t>11/10</t>
  </si>
  <si>
    <t>3DA-3</t>
  </si>
  <si>
    <t>12/1</t>
  </si>
  <si>
    <t>12/10</t>
  </si>
  <si>
    <t>13/0</t>
  </si>
  <si>
    <t>13/1</t>
  </si>
  <si>
    <t>13/2</t>
  </si>
  <si>
    <t>13/3</t>
  </si>
  <si>
    <t>13/4</t>
  </si>
  <si>
    <t>13/5</t>
  </si>
  <si>
    <t>13/6</t>
  </si>
  <si>
    <t>13/7</t>
  </si>
  <si>
    <t>13/8</t>
  </si>
  <si>
    <t>13/9</t>
  </si>
  <si>
    <t>13/10</t>
  </si>
  <si>
    <t>13/11</t>
  </si>
  <si>
    <t>14/0</t>
  </si>
  <si>
    <t>15/0</t>
  </si>
  <si>
    <t>15/1</t>
  </si>
  <si>
    <t>15/2</t>
  </si>
  <si>
    <t>15/3</t>
  </si>
  <si>
    <t>15/4</t>
  </si>
  <si>
    <t>16/0</t>
  </si>
  <si>
    <t>16/1</t>
  </si>
  <si>
    <t>16/2</t>
  </si>
  <si>
    <t>3DC2+6</t>
  </si>
  <si>
    <t>16/3</t>
  </si>
  <si>
    <t>16/4</t>
  </si>
  <si>
    <t>16/5</t>
  </si>
  <si>
    <t>16/6</t>
  </si>
  <si>
    <t>16/7</t>
  </si>
  <si>
    <t>16/8</t>
  </si>
  <si>
    <t>16/9</t>
  </si>
  <si>
    <t>16/10</t>
  </si>
  <si>
    <t>16/11</t>
  </si>
  <si>
    <t>17/0</t>
  </si>
  <si>
    <t>17/1</t>
  </si>
  <si>
    <t>17/2</t>
  </si>
  <si>
    <t>17/3</t>
  </si>
  <si>
    <t>18/0</t>
  </si>
  <si>
    <t>18/1</t>
  </si>
  <si>
    <t>18/2</t>
  </si>
  <si>
    <t>18/3</t>
  </si>
  <si>
    <t>19/0</t>
  </si>
  <si>
    <t>19/1</t>
  </si>
  <si>
    <t>19/2</t>
  </si>
  <si>
    <t>19/3</t>
  </si>
  <si>
    <t>20/0</t>
  </si>
  <si>
    <t>20A/0</t>
  </si>
  <si>
    <t>21/0</t>
  </si>
  <si>
    <t>21/1</t>
  </si>
  <si>
    <t>21/5</t>
  </si>
  <si>
    <t xml:space="preserve">WFR </t>
  </si>
  <si>
    <t xml:space="preserve">DFR </t>
  </si>
  <si>
    <t>25/2</t>
  </si>
  <si>
    <t>25/3</t>
  </si>
  <si>
    <t>27/3</t>
  </si>
  <si>
    <t>28/0</t>
  </si>
  <si>
    <t>28/1</t>
  </si>
  <si>
    <t>29/0</t>
  </si>
  <si>
    <t>29/2</t>
  </si>
  <si>
    <t>29/3</t>
  </si>
  <si>
    <t>29/6</t>
  </si>
  <si>
    <t>29/7</t>
  </si>
  <si>
    <t>29/8</t>
  </si>
  <si>
    <t>29/9</t>
  </si>
  <si>
    <t>30/0</t>
  </si>
  <si>
    <t>30/1</t>
  </si>
  <si>
    <t>3DB1+9</t>
  </si>
  <si>
    <t>3DC1+6</t>
  </si>
  <si>
    <t>30/2</t>
  </si>
  <si>
    <t>30/3</t>
  </si>
  <si>
    <t>30/4</t>
  </si>
  <si>
    <t>30/5</t>
  </si>
  <si>
    <t>31/0</t>
  </si>
  <si>
    <t>31/1</t>
  </si>
  <si>
    <t>31/2</t>
  </si>
  <si>
    <t>31/3</t>
  </si>
  <si>
    <t>31/4</t>
  </si>
  <si>
    <t>31/5</t>
  </si>
  <si>
    <t>31/6</t>
  </si>
  <si>
    <t>32/0</t>
  </si>
  <si>
    <t>32/1</t>
  </si>
  <si>
    <t>32/2</t>
  </si>
  <si>
    <t>32/3</t>
  </si>
  <si>
    <t>33/0</t>
  </si>
  <si>
    <t>33/1</t>
  </si>
  <si>
    <t>33/2</t>
  </si>
  <si>
    <t>34/0</t>
  </si>
  <si>
    <t>34/1</t>
  </si>
  <si>
    <t>34/2</t>
  </si>
  <si>
    <t>35/0</t>
  </si>
  <si>
    <t>35/1</t>
  </si>
  <si>
    <t>35/2</t>
  </si>
  <si>
    <t>35/3</t>
  </si>
  <si>
    <t>36/0</t>
  </si>
  <si>
    <t>36/1</t>
  </si>
  <si>
    <t>36/2</t>
  </si>
  <si>
    <t>36/3</t>
  </si>
  <si>
    <t>36/4</t>
  </si>
  <si>
    <t>36/5</t>
  </si>
  <si>
    <t>36/6</t>
  </si>
  <si>
    <t>36/7</t>
  </si>
  <si>
    <t>36/8</t>
  </si>
  <si>
    <t>37/0</t>
  </si>
  <si>
    <t>37/1</t>
  </si>
  <si>
    <t>37/2</t>
  </si>
  <si>
    <t>37/3</t>
  </si>
  <si>
    <t>37/4</t>
  </si>
  <si>
    <t>37/5</t>
  </si>
  <si>
    <t>37/6</t>
  </si>
  <si>
    <t>38/0</t>
  </si>
  <si>
    <t>38/1</t>
  </si>
  <si>
    <t>38/2</t>
  </si>
  <si>
    <t>38/3</t>
  </si>
  <si>
    <t>38/4</t>
  </si>
  <si>
    <t>38/5</t>
  </si>
  <si>
    <t>38/6</t>
  </si>
  <si>
    <t>39/0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</si>
  <si>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</si>
  <si>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</si>
  <si>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</si>
  <si>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</si>
  <si>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</si>
  <si>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</si>
  <si>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</si>
  <si>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</si>
  <si>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</si>
  <si>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40/0</t>
  </si>
  <si>
    <t>40/1</t>
  </si>
  <si>
    <t>41/0</t>
  </si>
  <si>
    <t>41/1</t>
  </si>
  <si>
    <t>42/0</t>
  </si>
  <si>
    <t>42/1</t>
  </si>
  <si>
    <t>42/2</t>
  </si>
  <si>
    <t>42/3</t>
  </si>
  <si>
    <t>42/4</t>
  </si>
  <si>
    <t>42/5</t>
  </si>
  <si>
    <t>42/6</t>
  </si>
  <si>
    <t>42/7</t>
  </si>
  <si>
    <t>42/8</t>
  </si>
  <si>
    <t>42/9</t>
  </si>
  <si>
    <t>43/0</t>
  </si>
  <si>
    <t>43/1</t>
  </si>
  <si>
    <t>43/2</t>
  </si>
  <si>
    <t>43/3</t>
  </si>
  <si>
    <t>43/4</t>
  </si>
  <si>
    <t>43/5</t>
  </si>
  <si>
    <t>WFR</t>
  </si>
  <si>
    <t>s.K.Janarul</t>
  </si>
  <si>
    <t xml:space="preserve">21/9 </t>
  </si>
  <si>
    <t>09.09.2024</t>
  </si>
  <si>
    <t>s.K.Janarul Sheikh</t>
  </si>
  <si>
    <t>Maa Const.</t>
  </si>
  <si>
    <t>Ashok kumar</t>
  </si>
  <si>
    <t>16.09.2024</t>
  </si>
  <si>
    <t>22.09.2024</t>
  </si>
  <si>
    <t>20.09.2024</t>
  </si>
  <si>
    <t xml:space="preserve">25/2 </t>
  </si>
  <si>
    <t xml:space="preserve">Praveen </t>
  </si>
  <si>
    <t xml:space="preserve">23/4 </t>
  </si>
  <si>
    <t xml:space="preserve">42/0 </t>
  </si>
  <si>
    <t xml:space="preserve">3DB1+9 </t>
  </si>
  <si>
    <t>3DC Stub</t>
  </si>
  <si>
    <t xml:space="preserve">ATK Constructions </t>
  </si>
  <si>
    <t xml:space="preserve">Ammu Eng </t>
  </si>
  <si>
    <t xml:space="preserve">3DB1+0 </t>
  </si>
  <si>
    <t>Ashok</t>
  </si>
  <si>
    <t>3DC1+0(TP)</t>
  </si>
  <si>
    <t xml:space="preserve">Subash </t>
  </si>
  <si>
    <t xml:space="preserve">Company Gang + ATK </t>
  </si>
  <si>
    <t xml:space="preserve">WET </t>
  </si>
  <si>
    <t xml:space="preserve">WBC </t>
  </si>
  <si>
    <t xml:space="preserve">Ammu Engineering </t>
  </si>
  <si>
    <t>khatun</t>
  </si>
  <si>
    <t>Ashokkumar</t>
  </si>
  <si>
    <t xml:space="preserve">3DB Type </t>
  </si>
  <si>
    <t xml:space="preserve">3D45 Type </t>
  </si>
  <si>
    <t>WET</t>
  </si>
  <si>
    <t>WBC</t>
  </si>
  <si>
    <t xml:space="preserve">Ashok kumar </t>
  </si>
  <si>
    <t>Visionary Co</t>
  </si>
  <si>
    <t xml:space="preserve">Amit Kumar </t>
  </si>
  <si>
    <t xml:space="preserve">Ashok Kumar </t>
  </si>
  <si>
    <t>PROGRESS - FDN &amp; EREC</t>
  </si>
  <si>
    <t>Foundation Status</t>
  </si>
  <si>
    <t xml:space="preserve">Erection Status </t>
  </si>
  <si>
    <t xml:space="preserve">Khatun </t>
  </si>
  <si>
    <t>Ashok-2</t>
  </si>
  <si>
    <t>Balraj</t>
  </si>
  <si>
    <t>venkateshwarlu</t>
  </si>
  <si>
    <t xml:space="preserve">Ashok </t>
  </si>
  <si>
    <t>Khatun</t>
  </si>
  <si>
    <t>Tagore</t>
  </si>
  <si>
    <t>Ashok-1</t>
  </si>
  <si>
    <t>S No</t>
  </si>
  <si>
    <t>Item</t>
  </si>
  <si>
    <t>Supply of Stubs</t>
  </si>
  <si>
    <t>Sets</t>
  </si>
  <si>
    <t>Supply of Towers</t>
  </si>
  <si>
    <t xml:space="preserve">Supply of Earthwire </t>
  </si>
  <si>
    <t>Km</t>
  </si>
  <si>
    <t>Supply of H/W Fittings</t>
  </si>
  <si>
    <t>%</t>
  </si>
  <si>
    <t>Supply of Conductor</t>
  </si>
  <si>
    <t xml:space="preserve">Supply of Insultor </t>
  </si>
  <si>
    <t xml:space="preserve">Supply of OPGW </t>
  </si>
  <si>
    <t>Supply of Earthing Materials</t>
  </si>
  <si>
    <t xml:space="preserve">Supply of Tower Accessories </t>
  </si>
  <si>
    <t>Venkateshwaralu</t>
  </si>
  <si>
    <t>WIP</t>
  </si>
  <si>
    <t xml:space="preserve">Tagore </t>
  </si>
  <si>
    <t>38/7</t>
  </si>
  <si>
    <t>RR  Const.</t>
  </si>
  <si>
    <t>16.11.2024</t>
  </si>
  <si>
    <t>3DD45+6</t>
  </si>
  <si>
    <t>35/4</t>
  </si>
  <si>
    <t>3DD60+3</t>
  </si>
  <si>
    <t xml:space="preserve">3DD45+0 </t>
  </si>
  <si>
    <t xml:space="preserve">Visionary &amp; Co </t>
  </si>
  <si>
    <t xml:space="preserve">Balraj </t>
  </si>
  <si>
    <t xml:space="preserve">Ashok-2 </t>
  </si>
  <si>
    <t xml:space="preserve">21/5  </t>
  </si>
  <si>
    <t xml:space="preserve">3DB2+0 </t>
  </si>
  <si>
    <t xml:space="preserve">Ashok-1 </t>
  </si>
  <si>
    <t xml:space="preserve">BalraJ </t>
  </si>
  <si>
    <t>Venkateshwarlu</t>
  </si>
  <si>
    <t xml:space="preserve">Supply of Conductor  Accessories </t>
  </si>
  <si>
    <t>Total QTY</t>
  </si>
  <si>
    <t>Ashok kumar (Thotta)</t>
  </si>
  <si>
    <t>Visionary &amp; Co</t>
  </si>
  <si>
    <t xml:space="preserve">Ashok-2 (Venkateshwarlu) </t>
  </si>
  <si>
    <t xml:space="preserve">TaGore </t>
  </si>
  <si>
    <t>Supply of OPGW Accessories</t>
  </si>
  <si>
    <t>Project Code</t>
  </si>
  <si>
    <t>TA-421</t>
  </si>
  <si>
    <t>SBU Head</t>
  </si>
  <si>
    <t>Mr. Rajinder Gupta</t>
  </si>
  <si>
    <t>PCH</t>
  </si>
  <si>
    <t>Mr. Sivaraman N</t>
  </si>
  <si>
    <t>Regional Manager</t>
  </si>
  <si>
    <t>Mr. Ajith Kumar MG</t>
  </si>
  <si>
    <t>Planning Engineer</t>
  </si>
  <si>
    <t>Mr. Bharath A D</t>
  </si>
  <si>
    <t>Project Manger</t>
  </si>
  <si>
    <t>Mr. Appala Naidu</t>
  </si>
  <si>
    <t>BaLraJ</t>
  </si>
  <si>
    <t xml:space="preserve">3DC1+0 </t>
  </si>
  <si>
    <t>TaGore</t>
  </si>
  <si>
    <t>Telangana</t>
  </si>
  <si>
    <t xml:space="preserve">Karnataka </t>
  </si>
  <si>
    <t xml:space="preserve">Tower Details </t>
  </si>
  <si>
    <t xml:space="preserve"> </t>
  </si>
  <si>
    <t xml:space="preserve">Line Qty </t>
  </si>
  <si>
    <t xml:space="preserve">2DC Stub </t>
  </si>
  <si>
    <t xml:space="preserve">2DB Stub </t>
  </si>
  <si>
    <t xml:space="preserve"> Balance</t>
  </si>
  <si>
    <t>3DB+0</t>
  </si>
  <si>
    <t xml:space="preserve">3DC Type </t>
  </si>
  <si>
    <t>+0  TP T0wer</t>
  </si>
  <si>
    <t>VISUAL PROGRESS CHART</t>
  </si>
  <si>
    <t>765 KV D/C Bidar - Maheshwaram Transmission Line TL-01</t>
  </si>
  <si>
    <t>COMPLETION CHART</t>
  </si>
  <si>
    <t>-3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</si>
  <si>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</si>
  <si>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</si>
  <si>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</si>
  <si>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</si>
  <si>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</si>
  <si>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</si>
  <si>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</si>
  <si>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</si>
  <si>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DA</t>
  </si>
  <si>
    <t>River</t>
  </si>
  <si>
    <t>Type</t>
  </si>
  <si>
    <t>Angle Tower</t>
  </si>
  <si>
    <t>Gas Pipeline</t>
  </si>
  <si>
    <t>DB1</t>
  </si>
  <si>
    <t>FOUNDATION</t>
  </si>
  <si>
    <t>DB2</t>
  </si>
  <si>
    <t>DC1</t>
  </si>
  <si>
    <t>DC2</t>
  </si>
  <si>
    <t>Final Sag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</si>
  <si>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</si>
  <si>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</si>
  <si>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</si>
  <si>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</si>
  <si>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</si>
  <si>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</si>
  <si>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</si>
  <si>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</si>
  <si>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</si>
  <si>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</si>
  <si>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</si>
  <si>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</si>
  <si>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Windzone -2[Gantry - 9/10]</t>
  </si>
  <si>
    <t>GANTRY</t>
  </si>
  <si>
    <t>1</t>
  </si>
  <si>
    <t>DB2+0</t>
  </si>
  <si>
    <t>DA+6</t>
  </si>
  <si>
    <t>DB1+0</t>
  </si>
  <si>
    <t>DA+9</t>
  </si>
  <si>
    <t>DD45+6</t>
  </si>
  <si>
    <t>110KV S/C OHTL</t>
  </si>
  <si>
    <t>NH-161A</t>
  </si>
  <si>
    <t>DD45+0</t>
  </si>
  <si>
    <t>DB1+6</t>
  </si>
  <si>
    <t>DB1+9</t>
  </si>
  <si>
    <t>DC1+0</t>
  </si>
  <si>
    <t>DA-3</t>
  </si>
  <si>
    <t xml:space="preserve">Manjira River </t>
  </si>
  <si>
    <t>DC2+6</t>
  </si>
  <si>
    <t>DD45+3</t>
  </si>
  <si>
    <t>NH-161B</t>
  </si>
  <si>
    <t>DC1+0(TP)</t>
  </si>
  <si>
    <t>DC1+6</t>
  </si>
  <si>
    <t>NH-65</t>
  </si>
  <si>
    <t xml:space="preserve">DC1+0 </t>
  </si>
  <si>
    <t>132 KV T/L</t>
  </si>
  <si>
    <t xml:space="preserve">Gas PipeLine </t>
  </si>
  <si>
    <t>DD60+3</t>
  </si>
  <si>
    <t>DC1+3</t>
  </si>
  <si>
    <t>DB2+9</t>
  </si>
  <si>
    <t>DA+9(2MRC)</t>
  </si>
  <si>
    <t>3DC1+3</t>
  </si>
  <si>
    <t>23/0-24/0</t>
  </si>
  <si>
    <t>12-02-2025 to 16-02-2025</t>
  </si>
  <si>
    <t>24/0-25/0</t>
  </si>
  <si>
    <t>3DD45+3</t>
  </si>
  <si>
    <t>3DB2+9</t>
  </si>
  <si>
    <t>J.$lnGH</t>
  </si>
  <si>
    <t>2DA+9</t>
  </si>
  <si>
    <t>AnJu Constructions</t>
  </si>
  <si>
    <t>2/5</t>
  </si>
  <si>
    <t>2DD45+0</t>
  </si>
  <si>
    <t>1A/0</t>
  </si>
  <si>
    <t>1B/0</t>
  </si>
  <si>
    <t>1B/1</t>
  </si>
  <si>
    <t>1B/2</t>
  </si>
  <si>
    <t>1B/3</t>
  </si>
  <si>
    <t>1C/0</t>
  </si>
  <si>
    <t>2/4</t>
  </si>
  <si>
    <t>DB2+6</t>
  </si>
  <si>
    <t>RouGH SaG</t>
  </si>
  <si>
    <t>F!n@L sAG</t>
  </si>
  <si>
    <t>25/0-26/0</t>
  </si>
  <si>
    <t xml:space="preserve">E@rthwire </t>
  </si>
  <si>
    <t>24-02-2025 to 04-03-2025</t>
  </si>
  <si>
    <t>27-02-2025 to 04-03-2025</t>
  </si>
  <si>
    <t>3DB1+6</t>
  </si>
  <si>
    <t>08-03-2025 to 13-03-2025</t>
  </si>
  <si>
    <t>BalraJ</t>
  </si>
  <si>
    <t>.</t>
  </si>
  <si>
    <t>3DA+9(2mRC)</t>
  </si>
  <si>
    <t>09-03-2025 to 16-03-2025</t>
  </si>
  <si>
    <t>04-03-2025 &amp; 16-03-2025</t>
  </si>
  <si>
    <t>17-02-2025 &amp; 04-03-2025</t>
  </si>
  <si>
    <t xml:space="preserve">Supply Status - Stubs &amp; Towers </t>
  </si>
  <si>
    <t>3D45  Stub</t>
  </si>
  <si>
    <t>3D6o Stub</t>
  </si>
  <si>
    <t xml:space="preserve">2D45 Stub </t>
  </si>
  <si>
    <t xml:space="preserve">2D6o Stub </t>
  </si>
  <si>
    <t xml:space="preserve">Remarks </t>
  </si>
  <si>
    <t>26/0-27/0</t>
  </si>
  <si>
    <t>Manirul (Islam)-Khatun</t>
  </si>
  <si>
    <t>2DB1+0</t>
  </si>
  <si>
    <t>23-03-2025 to 28-03-2025</t>
  </si>
  <si>
    <t xml:space="preserve">28-03-2025 &amp; </t>
  </si>
  <si>
    <t>110kv OHTL</t>
  </si>
  <si>
    <t>110 kv S/C D/C</t>
  </si>
  <si>
    <t>SH -122</t>
  </si>
  <si>
    <t>24-03-2025 to 29-03-2025</t>
  </si>
  <si>
    <t>&amp; 29-03-2025</t>
  </si>
  <si>
    <t>M.R. Const</t>
  </si>
  <si>
    <t>J.$lnGH - o1</t>
  </si>
  <si>
    <t>J.$lnGH - o2</t>
  </si>
  <si>
    <t>L2 Planned for Current Month
(Approved L2)</t>
  </si>
  <si>
    <t>22/0 - 23/0</t>
  </si>
  <si>
    <t>Completed</t>
  </si>
  <si>
    <t>18-04-2025 &amp; 20-04-2025</t>
  </si>
  <si>
    <t>11-04-2025 &amp; 25-04-2025</t>
  </si>
  <si>
    <t>22-04-2025 &amp; 24-04-2025</t>
  </si>
  <si>
    <t>07-04-2025  to 11-04-2025</t>
  </si>
  <si>
    <t xml:space="preserve">NH Crossing </t>
  </si>
  <si>
    <t>Supply of Earthwire Accessories</t>
  </si>
  <si>
    <t>SF</t>
  </si>
  <si>
    <t>Crossing Type</t>
  </si>
  <si>
    <t>110kV</t>
  </si>
  <si>
    <t>400kV</t>
  </si>
  <si>
    <t>765kV</t>
  </si>
  <si>
    <t>SH-Xing</t>
  </si>
  <si>
    <t>NH-Xing</t>
  </si>
  <si>
    <t>Total Nos</t>
  </si>
  <si>
    <t>Submitted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</si>
  <si>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</si>
  <si>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</si>
  <si>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</si>
  <si>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</si>
  <si>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</si>
  <si>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</si>
  <si>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</si>
  <si>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</si>
  <si>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</si>
  <si>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</si>
  <si>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Power line</t>
  </si>
  <si>
    <t>132 KV</t>
  </si>
  <si>
    <t>CROSSINGS PROPOSAL STATUS : 765 KV D/C Bidar PS - Maheshwaram (PG) TL01</t>
  </si>
  <si>
    <t>Approved Till Date</t>
  </si>
  <si>
    <t>110kV S/C  (D/C Towers)  Dongargoan SS to Kamalnagar SS  -  T/L</t>
  </si>
  <si>
    <t>110kV S/C  OHTL Santhpur - Solarplant</t>
  </si>
  <si>
    <t xml:space="preserve">132 KV OHTL Zaheerabad - sadashivpet </t>
  </si>
  <si>
    <t xml:space="preserve">110kV S/C  (D/C Towers) Santhpur - Dongargoan SS </t>
  </si>
  <si>
    <t>Gas Pipeline Xing</t>
  </si>
  <si>
    <t>NH - 161A(Bidar - Nanded)</t>
  </si>
  <si>
    <t>NH - 161B(Bidar - Nizampet)</t>
  </si>
  <si>
    <t>NH - 65 (Pune - Vijayawada)</t>
  </si>
  <si>
    <t>NH</t>
  </si>
  <si>
    <t>Pipeline Infrastructure Limited</t>
  </si>
  <si>
    <t>Gas Pipeline(Pipeline Infrastructure Limited)</t>
  </si>
  <si>
    <t>01--05-2025</t>
  </si>
  <si>
    <t xml:space="preserve">ATK Constructions  </t>
  </si>
  <si>
    <t>29/0 - 29/9</t>
  </si>
  <si>
    <t xml:space="preserve">Foundation (Nos.):- </t>
  </si>
  <si>
    <t>Hassan</t>
  </si>
  <si>
    <t xml:space="preserve">Jwala Singh -01 </t>
  </si>
  <si>
    <t>43A/0</t>
  </si>
  <si>
    <t>DD45+9</t>
  </si>
  <si>
    <t>43A/2</t>
  </si>
  <si>
    <t>43A/3</t>
  </si>
  <si>
    <t>43A/4</t>
  </si>
  <si>
    <t>43A/5</t>
  </si>
  <si>
    <t>43A/1</t>
  </si>
  <si>
    <t xml:space="preserve">43B/0  </t>
  </si>
  <si>
    <t>44/0</t>
  </si>
  <si>
    <t>/ 309</t>
  </si>
  <si>
    <t>05-05-2025 to 16-05-2025</t>
  </si>
  <si>
    <t xml:space="preserve">43A/2 </t>
  </si>
  <si>
    <t>2DA+6</t>
  </si>
  <si>
    <t>Ashok-2(Venkateshwarlu)</t>
  </si>
  <si>
    <t>32/0-33/0</t>
  </si>
  <si>
    <t>DB1+3</t>
  </si>
  <si>
    <t>2DB2+0</t>
  </si>
  <si>
    <t xml:space="preserve">SF </t>
  </si>
  <si>
    <t xml:space="preserve">Venkateshwarlu </t>
  </si>
  <si>
    <t>22-05-2025 to 25-05-2025</t>
  </si>
  <si>
    <t>28-05-2025 -30-05-2025</t>
  </si>
  <si>
    <t xml:space="preserve">Final Sag Completed </t>
  </si>
  <si>
    <t>2DB2+3</t>
  </si>
  <si>
    <t xml:space="preserve">3DA-3 </t>
  </si>
  <si>
    <t>25-05-2025 &amp; 31-05-2025</t>
  </si>
  <si>
    <t>31/0-32/0</t>
  </si>
  <si>
    <t>Cummulative progress till Previous Month</t>
  </si>
  <si>
    <t>Erection (Nos.):-</t>
  </si>
  <si>
    <t>Earthing (Nos.):-</t>
  </si>
  <si>
    <t xml:space="preserve">Rough Sag (Kms):- </t>
  </si>
  <si>
    <t>Date:-</t>
  </si>
  <si>
    <t>Final Sag (Kms):-</t>
  </si>
  <si>
    <t xml:space="preserve">Supply Status </t>
  </si>
  <si>
    <t xml:space="preserve">Cummulative Completed </t>
  </si>
  <si>
    <t xml:space="preserve">Balance </t>
  </si>
  <si>
    <t xml:space="preserve">1B/3 </t>
  </si>
  <si>
    <t xml:space="preserve">       </t>
  </si>
  <si>
    <t xml:space="preserve">Approval obtained on 22.05.25 </t>
  </si>
  <si>
    <t>Approval obtained</t>
  </si>
  <si>
    <t xml:space="preserve">12-06-2025 to 17-06-2025 </t>
  </si>
  <si>
    <t xml:space="preserve">13-06-2025 to 17-06-2025 </t>
  </si>
  <si>
    <t xml:space="preserve">30/0-31/0 </t>
  </si>
  <si>
    <t>2DB1+6</t>
  </si>
  <si>
    <t>2DB2+6</t>
  </si>
  <si>
    <t>2DB1+9</t>
  </si>
  <si>
    <t>Naziruddin</t>
  </si>
  <si>
    <t>Hassan-2</t>
  </si>
  <si>
    <t>FC Gang - Muthu</t>
  </si>
  <si>
    <t>WET(2mRC)</t>
  </si>
  <si>
    <t>22-06-2025 to  02-07-2025</t>
  </si>
  <si>
    <t>23-06-2025 to 02-07-2025</t>
  </si>
  <si>
    <t>02-07-2025 to 03-07-2025</t>
  </si>
  <si>
    <t>29/9-30/0</t>
  </si>
  <si>
    <t>2DD45+6</t>
  </si>
  <si>
    <t>21/0-22/0</t>
  </si>
  <si>
    <t>/121.342</t>
  </si>
  <si>
    <t xml:space="preserve">3DA+3(2mRC) </t>
  </si>
  <si>
    <t>05-07-205</t>
  </si>
  <si>
    <t>3DB1+3</t>
  </si>
  <si>
    <t xml:space="preserve">43A/1 </t>
  </si>
  <si>
    <t>08-07-20225</t>
  </si>
  <si>
    <t xml:space="preserve">2DA+6(3mRc ) </t>
  </si>
  <si>
    <t xml:space="preserve">Tackwelding </t>
  </si>
  <si>
    <t xml:space="preserve">Tower Tightening </t>
  </si>
  <si>
    <t>06-07-2025 to 11-07-2025</t>
  </si>
  <si>
    <t>07-07-2025 to 11-07-2025</t>
  </si>
  <si>
    <t>17-05-2025 &amp; 12-07-2025</t>
  </si>
  <si>
    <t>06- 07-2025 to 11-07-2025</t>
  </si>
  <si>
    <t xml:space="preserve">3DD60+3 </t>
  </si>
  <si>
    <t xml:space="preserve">D k Verma </t>
  </si>
  <si>
    <t xml:space="preserve">Hassan -2 </t>
  </si>
  <si>
    <t xml:space="preserve">Ammu Engineeering </t>
  </si>
  <si>
    <t>SL. NO.</t>
  </si>
  <si>
    <t>LOCATION NO.</t>
  </si>
  <si>
    <t>TYPE OF TOWER</t>
  </si>
  <si>
    <t>DATE OF TACKWELDING</t>
  </si>
  <si>
    <t>NUMBER OF BOLT &amp; NUT</t>
  </si>
  <si>
    <t>13/5/2025</t>
  </si>
  <si>
    <t>14/5/2025</t>
  </si>
  <si>
    <t>15/5/2025</t>
  </si>
  <si>
    <t>16/5/2025</t>
  </si>
  <si>
    <t>17/5/2025</t>
  </si>
  <si>
    <t>18/5/2025</t>
  </si>
  <si>
    <t>19/5/2025</t>
  </si>
  <si>
    <t>20/5/2025</t>
  </si>
  <si>
    <t>21/5/2025</t>
  </si>
  <si>
    <t>22/5/2025</t>
  </si>
  <si>
    <t>23/5/2025</t>
  </si>
  <si>
    <t>13/1/2025</t>
  </si>
  <si>
    <t>15/1/2025</t>
  </si>
  <si>
    <t>17/1/2025</t>
  </si>
  <si>
    <t>19/1/2025</t>
  </si>
  <si>
    <t>21/01/2025</t>
  </si>
  <si>
    <t>23/01/2025</t>
  </si>
  <si>
    <t>25/01/2025</t>
  </si>
  <si>
    <t>27/01/2025</t>
  </si>
  <si>
    <t>29/01/2025</t>
  </si>
  <si>
    <t>31/01/2025</t>
  </si>
  <si>
    <t>14/02/20225</t>
  </si>
  <si>
    <t>16/02/2025</t>
  </si>
  <si>
    <t>18/02/2025</t>
  </si>
  <si>
    <t>20/02/2025</t>
  </si>
  <si>
    <t>22/02/2025</t>
  </si>
  <si>
    <t>24/02/2025</t>
  </si>
  <si>
    <t>26/02/2025</t>
  </si>
  <si>
    <t>28/02/2025</t>
  </si>
  <si>
    <t xml:space="preserve">Gang Name </t>
  </si>
  <si>
    <t xml:space="preserve">Ram Reddy &amp; Sons </t>
  </si>
  <si>
    <t xml:space="preserve">Ali </t>
  </si>
  <si>
    <t xml:space="preserve">Amarendar Reddy </t>
  </si>
  <si>
    <t xml:space="preserve">Gang Strength </t>
  </si>
  <si>
    <t>TOWER NO.</t>
  </si>
  <si>
    <t>Bidar Gantry</t>
  </si>
  <si>
    <t>Gantry</t>
  </si>
  <si>
    <t>1/0</t>
  </si>
  <si>
    <t>3DD45+0</t>
  </si>
  <si>
    <t>3DC1+0 (TR)</t>
  </si>
  <si>
    <t>3DD45+9</t>
  </si>
  <si>
    <t>43B/0</t>
  </si>
  <si>
    <t xml:space="preserve">Tower Tightening  Status </t>
  </si>
  <si>
    <t xml:space="preserve">Manpower </t>
  </si>
  <si>
    <t xml:space="preserve">Dasharath </t>
  </si>
  <si>
    <t xml:space="preserve">2DD45 Type </t>
  </si>
  <si>
    <t xml:space="preserve">44/0 </t>
  </si>
  <si>
    <t>30/0-32/0</t>
  </si>
  <si>
    <t xml:space="preserve">BK Construct </t>
  </si>
  <si>
    <t xml:space="preserve">2DB1+6 </t>
  </si>
  <si>
    <t xml:space="preserve">D K Verma </t>
  </si>
  <si>
    <t>19/0-20/0</t>
  </si>
  <si>
    <t>29/0 - 30/0</t>
  </si>
  <si>
    <t>29-07-2025 to 30-07-2025</t>
  </si>
  <si>
    <t>22/0-24/0</t>
  </si>
  <si>
    <t>17-07-2025 to 24-07-2025</t>
  </si>
  <si>
    <t>25/0-27/0</t>
  </si>
  <si>
    <t>06-08-2025 to 09-08-2025</t>
  </si>
  <si>
    <t>Anil &amp; naresh</t>
  </si>
  <si>
    <t xml:space="preserve">Anil &amp; Naresh </t>
  </si>
  <si>
    <t>3DD60 Type</t>
  </si>
  <si>
    <t>+3m BE</t>
  </si>
  <si>
    <t xml:space="preserve">2DB Type </t>
  </si>
  <si>
    <t xml:space="preserve">2DD60 Type </t>
  </si>
  <si>
    <t>LOI Item No.</t>
  </si>
  <si>
    <t>Activity Description</t>
  </si>
  <si>
    <t>Description of Work</t>
  </si>
  <si>
    <t>UOM</t>
  </si>
  <si>
    <t xml:space="preserve">Line Quantity </t>
  </si>
  <si>
    <t>SUPPLY RECEIVED</t>
  </si>
  <si>
    <t xml:space="preserve">CONDUCTOR                               </t>
  </si>
  <si>
    <t>ACSR/AL59/AAAC ZEBRA CONDUCTOR</t>
  </si>
  <si>
    <t xml:space="preserve">KM </t>
  </si>
  <si>
    <t xml:space="preserve">HARDWARE FITTINGS                       </t>
  </si>
  <si>
    <t>Double ISuspension String</t>
  </si>
  <si>
    <t>SET</t>
  </si>
  <si>
    <t>Single ISuspension String (Pilot)</t>
  </si>
  <si>
    <t>Quadruple Tension String</t>
  </si>
  <si>
    <t>SingleTension String</t>
  </si>
  <si>
    <t xml:space="preserve">CONDUCTOR ACCESSORIES                   </t>
  </si>
  <si>
    <t>HEXAGONAL RIGID SPACER</t>
  </si>
  <si>
    <t xml:space="preserve">EA </t>
  </si>
  <si>
    <t xml:space="preserve">MID SPAN COMPRESSION JOINT </t>
  </si>
  <si>
    <t xml:space="preserve">REPAIR SLEEVE </t>
  </si>
  <si>
    <t xml:space="preserve"> ROD TYPE SPACER DAMPER </t>
  </si>
  <si>
    <t>T-CONNECTOR</t>
  </si>
  <si>
    <t xml:space="preserve">Earthwire Accessories                   </t>
  </si>
  <si>
    <t xml:space="preserve">Mid Span Compression Joint </t>
  </si>
  <si>
    <t>FLEXIBLE AL BOND</t>
  </si>
  <si>
    <t>Vibration damper</t>
  </si>
  <si>
    <t>Suspension clamp assembly</t>
  </si>
  <si>
    <t>Tension clamp assembly</t>
  </si>
  <si>
    <t xml:space="preserve">INSULATOR (CLR)                         </t>
  </si>
  <si>
    <t xml:space="preserve">160 KN </t>
  </si>
  <si>
    <t>210 KN</t>
  </si>
  <si>
    <t>Sleeves                                 H/F</t>
  </si>
  <si>
    <t>INSULATION SLEEVE FOR CONDUCTOR</t>
  </si>
  <si>
    <t xml:space="preserve">Earthwire                               </t>
  </si>
  <si>
    <t>7/3.66 G.S. EARTHWIRE</t>
  </si>
  <si>
    <t xml:space="preserve">OPGW Supply                             </t>
  </si>
  <si>
    <t xml:space="preserve">24 FIBRE (DWSM) OPGW </t>
  </si>
  <si>
    <t xml:space="preserve">Suspension clamp assembly </t>
  </si>
  <si>
    <t xml:space="preserve">TENSION ASSEMBLY - DEAD END </t>
  </si>
  <si>
    <t xml:space="preserve">TENSION  FITTINGS ASSEMBLY -JOINT BOX (SPLICING) </t>
  </si>
  <si>
    <t xml:space="preserve">TENSION ASSEMBLY - DOUBLE TENSION PASS THROUGH </t>
  </si>
  <si>
    <t xml:space="preserve">Vibration Damper </t>
  </si>
  <si>
    <t xml:space="preserve">Down Lead clamp Assembly </t>
  </si>
  <si>
    <t xml:space="preserve">Joint Box </t>
  </si>
  <si>
    <t xml:space="preserve">TOWER ACCESSORIES                       </t>
  </si>
  <si>
    <t>Phase Plate (Set of three)</t>
  </si>
  <si>
    <t>Circuit Plate  (Set of two)</t>
  </si>
  <si>
    <t>Supply of Anti-Climbing Devices of Barbed Wire Type</t>
  </si>
  <si>
    <t>Bird Guard (Set of Three)</t>
  </si>
  <si>
    <t>Danger  Plate for 765kV</t>
  </si>
  <si>
    <t>Number  Plate for 765kV</t>
  </si>
  <si>
    <t>18/0-19/0</t>
  </si>
  <si>
    <t>12/0-13/0</t>
  </si>
  <si>
    <t>Nasiruddin</t>
  </si>
  <si>
    <t>20/0- 20A/0</t>
  </si>
  <si>
    <t>20A/0 - 21/0</t>
  </si>
  <si>
    <t>23-08-2025 to 31-08-2025</t>
  </si>
  <si>
    <t>24--08-2025 to 31-08-2025</t>
  </si>
  <si>
    <t xml:space="preserve">Shakila Khatun </t>
  </si>
  <si>
    <t>22-08-2025 to 01-09-2025</t>
  </si>
  <si>
    <t>24--08-2025 to 01-09-2025</t>
  </si>
  <si>
    <t>01-09-2025 to 07-09-2025</t>
  </si>
  <si>
    <t>17/0 -18/0</t>
  </si>
  <si>
    <t>10/0-11/0</t>
  </si>
  <si>
    <t>15-09-2025 to 18-09-2025</t>
  </si>
  <si>
    <t xml:space="preserve">4/2 </t>
  </si>
  <si>
    <t xml:space="preserve">39/2 </t>
  </si>
  <si>
    <t xml:space="preserve">4/18 </t>
  </si>
  <si>
    <t xml:space="preserve">Yadhav  + D k Verma </t>
  </si>
  <si>
    <t xml:space="preserve">Rajiv Yadhav </t>
  </si>
  <si>
    <t>28-09-2025 to 05-10-2025</t>
  </si>
  <si>
    <t>9/10-10/0</t>
  </si>
  <si>
    <t>Section Incharge</t>
  </si>
  <si>
    <t xml:space="preserve">TA 421 </t>
  </si>
  <si>
    <t>(PKG 01)</t>
  </si>
  <si>
    <t xml:space="preserve">765KV D/C HEXA BIDAR PS - MAHESHWARAM (PG)  TL </t>
  </si>
  <si>
    <t xml:space="preserve">Mr. Bharath A D </t>
  </si>
  <si>
    <t xml:space="preserve">Mr. Ajith Kumar </t>
  </si>
  <si>
    <t xml:space="preserve">Mr.Arun Felbin </t>
  </si>
  <si>
    <t xml:space="preserve">Mr.Manikandan </t>
  </si>
  <si>
    <t xml:space="preserve">Mr. Satyam Tiwari </t>
  </si>
  <si>
    <t xml:space="preserve">Supervisor/Engineer </t>
  </si>
  <si>
    <t xml:space="preserve">Mr. Ramasish </t>
  </si>
  <si>
    <t>Mr. Godvin John</t>
  </si>
  <si>
    <t xml:space="preserve">Mr. Karunakar Nayak </t>
  </si>
  <si>
    <t xml:space="preserve">Mr. Sudalaimuthu </t>
  </si>
  <si>
    <t xml:space="preserve">Mr. Susanthpal </t>
  </si>
  <si>
    <t xml:space="preserve">Mr. Srinivasan </t>
  </si>
  <si>
    <t>Mr. Bhim Mahto</t>
  </si>
  <si>
    <t xml:space="preserve"> Mr. Ganesan</t>
  </si>
  <si>
    <t xml:space="preserve">Mr. Ballu Thakur </t>
  </si>
  <si>
    <t>Mr. Chandrasekar</t>
  </si>
  <si>
    <t xml:space="preserve">Mr.Chandrasekharan </t>
  </si>
  <si>
    <t xml:space="preserve">Mr. Anand </t>
  </si>
  <si>
    <t xml:space="preserve">WIP </t>
  </si>
  <si>
    <t xml:space="preserve">Naresh </t>
  </si>
  <si>
    <t xml:space="preserve">Material Shifting  Done </t>
  </si>
  <si>
    <t xml:space="preserve">08-09-2025 &amp; 19-09-2025 </t>
  </si>
  <si>
    <t>08-10-2025 to 10-10-2025</t>
  </si>
  <si>
    <t xml:space="preserve">05-10-2025 &amp; 10-10-2025 </t>
  </si>
  <si>
    <t xml:space="preserve">Further Plan in 0ct  '25   </t>
  </si>
  <si>
    <t>20/0-22/0</t>
  </si>
  <si>
    <t xml:space="preserve">Power Grid Bidar  </t>
  </si>
  <si>
    <t>Transmission Limited</t>
  </si>
  <si>
    <t xml:space="preserve">OPGW Final Sag Done </t>
  </si>
  <si>
    <t xml:space="preserve">10-10-2025 to 12-10-2025 </t>
  </si>
  <si>
    <t xml:space="preserve">3DA+9(2mRC) </t>
  </si>
  <si>
    <t>Starting  Date</t>
  </si>
  <si>
    <t xml:space="preserve">Tower Weight </t>
  </si>
  <si>
    <t xml:space="preserve">Completion Date </t>
  </si>
  <si>
    <t>08-07-2025</t>
  </si>
  <si>
    <t>05-07-2025</t>
  </si>
  <si>
    <t xml:space="preserve">4/4 </t>
  </si>
  <si>
    <t xml:space="preserve">42/2 </t>
  </si>
  <si>
    <t xml:space="preserve">15-10-2025 to  16-10-2025 </t>
  </si>
  <si>
    <t xml:space="preserve">4/19 </t>
  </si>
  <si>
    <t>10/0 - 11/0</t>
  </si>
  <si>
    <t xml:space="preserve"> AP 7/0 &amp; 8/0 - Court case </t>
  </si>
  <si>
    <t>1.5 m + 2.3 m +2.9 m +1.5 m Excavation Done (Courtcase)</t>
  </si>
  <si>
    <t xml:space="preserve">17-10-2025 to 19-10-2025 </t>
  </si>
  <si>
    <t>15-09-2025 to 20-10-2025</t>
  </si>
  <si>
    <t>21-09-2025 to  20-10-2025</t>
  </si>
  <si>
    <t xml:space="preserve">16-10-2025 to 23-10-2025 </t>
  </si>
  <si>
    <t xml:space="preserve">24-10-2025 to 26-10-2025 </t>
  </si>
  <si>
    <t>17/1,2,3 - Insulator Hosting Done  - Pilot Payingout u/p</t>
  </si>
  <si>
    <t>13/0- 14/0</t>
  </si>
  <si>
    <t xml:space="preserve">Hassan </t>
  </si>
  <si>
    <t xml:space="preserve">43/1 </t>
  </si>
  <si>
    <t>WIP -   16/5, 13/11, 14/0</t>
  </si>
  <si>
    <t xml:space="preserve">Tower :  1 No's </t>
  </si>
  <si>
    <t xml:space="preserve">3DC+0 (TP Tower )  - 01 No under Transit </t>
  </si>
  <si>
    <t xml:space="preserve">Material Shifting under Progress </t>
  </si>
  <si>
    <t xml:space="preserve">4/13 </t>
  </si>
  <si>
    <t xml:space="preserve">November Month Progress </t>
  </si>
  <si>
    <t>November '25 Month Plan</t>
  </si>
  <si>
    <t>Planned L2 till Previous Month
(0ctober'25)</t>
  </si>
  <si>
    <t>Completed till Previous month
(0ctober25)</t>
  </si>
  <si>
    <t>Balance after 0ctober'25</t>
  </si>
  <si>
    <t>01 no under Transit</t>
  </si>
  <si>
    <t xml:space="preserve">13/1,2,3,4,5,6,7,8,10 - Insulator Hosting Done + pilot Payingout work Stopped due to Row </t>
  </si>
  <si>
    <t>WIP  - 3/1, 8/4,  36/0, 39/8,43B/0</t>
  </si>
  <si>
    <t xml:space="preserve">17/0-18/0 (  1.539 km ) - Pilot Paying out  Done    ;  AP 13/0 to 14/0(4.900 km) -Insulator Hosting  Done </t>
  </si>
  <si>
    <t>2nd  under Progress</t>
  </si>
  <si>
    <t xml:space="preserve">1st Section under Progress </t>
  </si>
  <si>
    <t>3rd ection Done</t>
  </si>
  <si>
    <t>Cage Section under Progress</t>
  </si>
  <si>
    <t xml:space="preserve">Material Sshifting Done </t>
  </si>
  <si>
    <t>11/0-12/0</t>
  </si>
  <si>
    <t>11/0, 2, 5, 6, 10 -  Insulator Hosting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</si>
</sst>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00000000000"/>
    <numFmt numFmtId="167" formatCode="0.000"/>
    <numFmt numFmtId="168" formatCode="0.0"/>
    <numFmt numFmtId="169" formatCode="0.0%"/>
  </numFmts>
  <fonts count="7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mbria"/>
      <family val="1"/>
      <scheme val="maj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Times New Roman"/>
      <family val="1"/>
    </font>
    <font>
      <b/>
      <sz val="2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4E515E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indexed="59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color indexed="59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indexed="59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9"/>
      <color theme="10"/>
      <name val="Calibri"/>
      <family val="2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sz val="10"/>
      <color theme="2" tint="-0.89996032593768116"/>
      <name val="Calibri"/>
      <family val="2"/>
      <scheme val="minor"/>
    </font>
    <font>
      <sz val="1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mbria"/>
      <family val="1"/>
      <scheme val="major"/>
    </font>
    <font>
      <b/>
      <u/>
      <sz val="10"/>
      <color theme="2" tint="-0.74999237037263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indexed="8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82EC8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9" tint="0.39997558519241921"/>
        <bgColor indexed="64"/>
      </patternFill>
    </fill>
  </fills>
  <borders count="118">
    <border>
      <left/>
      <right/>
      <top/>
      <bottom/>
      <diagonal/>
    </border>
    <border>
      <left/>
      <right style="medium">
        <color rgb="FF8496B0"/>
      </right>
      <top/>
      <bottom style="medium">
        <color rgb="FF8496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8496B0"/>
      </bottom>
      <diagonal/>
    </border>
    <border>
      <left style="medium">
        <color rgb="FF8496B0"/>
      </left>
      <right style="medium">
        <color rgb="FF8496B0"/>
      </right>
      <top/>
      <bottom style="medium">
        <color rgb="FF8496B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8496B0"/>
      </left>
      <right/>
      <top style="medium">
        <color rgb="FF8496B0"/>
      </top>
      <bottom/>
      <diagonal/>
    </border>
    <border>
      <left style="medium">
        <color rgb="FF8496B0"/>
      </left>
      <right/>
      <top/>
      <bottom style="medium">
        <color rgb="FF8496B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auto="1"/>
      </left>
      <right style="medium">
        <color indexed="64"/>
      </right>
      <top/>
      <bottom/>
      <diagonal/>
    </border>
    <border>
      <left style="thick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77">
    <xf numFmtId="0" fontId="0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0" fillId="0" borderId="0"/>
    <xf numFmtId="9" fontId="3" fillId="0" borderId="0" applyFont="0" applyFill="0" applyBorder="0" applyAlignment="0" applyProtection="0"/>
    <xf numFmtId="0" fontId="3" fillId="0" borderId="0"/>
    <xf numFmtId="0" fontId="4" fillId="0" borderId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14" borderId="0" applyNumberFormat="0" applyBorder="0" applyAlignment="0" applyProtection="0"/>
    <xf numFmtId="0" fontId="35" fillId="17" borderId="0" applyNumberFormat="0" applyBorder="0" applyAlignment="0" applyProtection="0"/>
    <xf numFmtId="0" fontId="35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8" borderId="0" applyNumberFormat="0" applyBorder="0" applyAlignment="0" applyProtection="0"/>
    <xf numFmtId="0" fontId="37" fillId="12" borderId="0" applyNumberFormat="0" applyBorder="0" applyAlignment="0" applyProtection="0"/>
    <xf numFmtId="0" fontId="38" fillId="29" borderId="63" applyNumberFormat="0" applyAlignment="0" applyProtection="0"/>
    <xf numFmtId="0" fontId="39" fillId="30" borderId="64" applyNumberFormat="0" applyAlignment="0" applyProtection="0"/>
    <xf numFmtId="165" fontId="4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0" fontId="41" fillId="0" borderId="0" applyNumberFormat="0" applyFill="0" applyBorder="0" applyAlignment="0" applyProtection="0"/>
    <xf numFmtId="0" fontId="42" fillId="13" borderId="0" applyNumberFormat="0" applyBorder="0" applyAlignment="0" applyProtection="0"/>
    <xf numFmtId="0" fontId="43" fillId="0" borderId="65" applyNumberFormat="0" applyFill="0" applyAlignment="0" applyProtection="0"/>
    <xf numFmtId="0" fontId="44" fillId="0" borderId="66" applyNumberFormat="0" applyFill="0" applyAlignment="0" applyProtection="0"/>
    <xf numFmtId="0" fontId="45" fillId="0" borderId="67" applyNumberFormat="0" applyFill="0" applyAlignment="0" applyProtection="0"/>
    <xf numFmtId="0" fontId="45" fillId="0" borderId="0" applyNumberFormat="0" applyFill="0" applyBorder="0" applyAlignment="0" applyProtection="0"/>
    <xf numFmtId="0" fontId="46" fillId="16" borderId="63" applyNumberFormat="0" applyAlignment="0" applyProtection="0"/>
    <xf numFmtId="0" fontId="47" fillId="0" borderId="68" applyNumberFormat="0" applyFill="0" applyAlignment="0" applyProtection="0"/>
    <xf numFmtId="0" fontId="48" fillId="3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32" borderId="69" applyNumberFormat="0" applyFont="0" applyAlignment="0" applyProtection="0"/>
    <xf numFmtId="0" fontId="4" fillId="33" borderId="40" applyNumberFormat="0" applyFont="0" applyAlignment="0" applyProtection="0"/>
    <xf numFmtId="0" fontId="49" fillId="29" borderId="70" applyNumberFormat="0" applyAlignment="0" applyProtection="0"/>
    <xf numFmtId="9" fontId="4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71" applyNumberFormat="0" applyFill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5" fillId="0" borderId="0"/>
  </cellStyleXfs>
  <cellXfs count="893">
    <xf numFmtId="0" fontId="0" fillId="0" borderId="0" xfId="0"/>
    <xf numFmtId="0" fontId="3" fillId="0" borderId="0" xfId="5"/>
    <xf numFmtId="0" fontId="0" fillId="2" borderId="0" xfId="0" applyFill="1"/>
    <xf numFmtId="0" fontId="1" fillId="0" borderId="0" xfId="0" applyFont="1"/>
    <xf numFmtId="0" fontId="14" fillId="0" borderId="0" xfId="0" applyFont="1" applyAlignment="1">
      <alignment wrapText="1"/>
    </xf>
    <xf numFmtId="0" fontId="14" fillId="0" borderId="0" xfId="0" applyFont="1" applyAlignment="1">
      <alignment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wrapText="1"/>
    </xf>
    <xf numFmtId="0" fontId="16" fillId="2" borderId="0" xfId="8" applyFont="1" applyFill="1" applyAlignment="1">
      <alignment vertical="center"/>
    </xf>
    <xf numFmtId="0" fontId="16" fillId="2" borderId="32" xfId="8" applyFont="1" applyFill="1" applyBorder="1" applyAlignment="1">
      <alignment vertical="center"/>
    </xf>
    <xf numFmtId="0" fontId="17" fillId="2" borderId="0" xfId="8" applyFont="1" applyFill="1" applyAlignment="1">
      <alignment vertical="center"/>
    </xf>
    <xf numFmtId="0" fontId="17" fillId="2" borderId="32" xfId="8" applyFont="1" applyFill="1" applyBorder="1" applyAlignment="1">
      <alignment vertical="center"/>
    </xf>
    <xf numFmtId="0" fontId="19" fillId="2" borderId="32" xfId="8" applyFont="1" applyFill="1" applyBorder="1" applyAlignment="1">
      <alignment horizontal="center" vertical="center"/>
    </xf>
    <xf numFmtId="0" fontId="8" fillId="2" borderId="29" xfId="8" applyFont="1" applyFill="1" applyBorder="1" applyAlignment="1">
      <alignment vertical="center"/>
    </xf>
    <xf numFmtId="0" fontId="16" fillId="2" borderId="29" xfId="8" applyFont="1" applyFill="1" applyBorder="1" applyAlignment="1">
      <alignment vertical="center"/>
    </xf>
    <xf numFmtId="0" fontId="16" fillId="2" borderId="25" xfId="8" applyFont="1" applyFill="1" applyBorder="1" applyAlignment="1">
      <alignment vertical="center"/>
    </xf>
    <xf numFmtId="0" fontId="7" fillId="2" borderId="44" xfId="8" applyFont="1" applyFill="1" applyBorder="1" applyAlignment="1">
      <alignment horizontal="center"/>
    </xf>
    <xf numFmtId="0" fontId="16" fillId="2" borderId="38" xfId="8" applyFont="1" applyFill="1" applyBorder="1" applyAlignment="1">
      <alignment vertical="center"/>
    </xf>
    <xf numFmtId="0" fontId="18" fillId="2" borderId="29" xfId="8" applyFont="1" applyFill="1" applyBorder="1" applyAlignment="1">
      <alignment horizontal="center"/>
    </xf>
    <xf numFmtId="0" fontId="18" fillId="2" borderId="38" xfId="8" applyFont="1" applyFill="1" applyBorder="1" applyAlignment="1">
      <alignment horizontal="center"/>
    </xf>
    <xf numFmtId="0" fontId="8" fillId="2" borderId="25" xfId="8" applyFont="1" applyFill="1" applyBorder="1" applyAlignment="1">
      <alignment horizontal="center"/>
    </xf>
    <xf numFmtId="0" fontId="8" fillId="2" borderId="29" xfId="8" applyFont="1" applyFill="1" applyBorder="1" applyAlignment="1">
      <alignment horizontal="center"/>
    </xf>
    <xf numFmtId="0" fontId="16" fillId="2" borderId="30" xfId="8" applyFont="1" applyFill="1" applyBorder="1" applyAlignment="1">
      <alignment vertical="center"/>
    </xf>
    <xf numFmtId="0" fontId="8" fillId="2" borderId="0" xfId="8" applyFont="1" applyFill="1" applyAlignment="1">
      <alignment vertical="center"/>
    </xf>
    <xf numFmtId="0" fontId="16" fillId="2" borderId="0" xfId="8" applyFont="1" applyFill="1"/>
    <xf numFmtId="0" fontId="16" fillId="2" borderId="34" xfId="8" applyFont="1" applyFill="1" applyBorder="1"/>
    <xf numFmtId="0" fontId="16" fillId="2" borderId="35" xfId="8" applyFont="1" applyFill="1" applyBorder="1"/>
    <xf numFmtId="0" fontId="5" fillId="2" borderId="35" xfId="8" applyFont="1" applyFill="1" applyBorder="1" applyAlignment="1">
      <alignment horizontal="center"/>
    </xf>
    <xf numFmtId="0" fontId="8" fillId="2" borderId="34" xfId="8" applyFont="1" applyFill="1" applyBorder="1" applyAlignment="1">
      <alignment vertical="center"/>
    </xf>
    <xf numFmtId="0" fontId="8" fillId="2" borderId="0" xfId="8" applyFont="1" applyFill="1"/>
    <xf numFmtId="0" fontId="8" fillId="2" borderId="35" xfId="8" applyFont="1" applyFill="1" applyBorder="1" applyAlignment="1">
      <alignment horizontal="center"/>
    </xf>
    <xf numFmtId="0" fontId="8" fillId="2" borderId="32" xfId="8" applyFont="1" applyFill="1" applyBorder="1" applyAlignment="1">
      <alignment horizontal="center"/>
    </xf>
    <xf numFmtId="0" fontId="8" fillId="7" borderId="24" xfId="8" applyFont="1" applyFill="1" applyBorder="1" applyAlignment="1">
      <alignment horizontal="center" vertical="center"/>
    </xf>
    <xf numFmtId="0" fontId="7" fillId="2" borderId="0" xfId="8" applyFont="1" applyFill="1"/>
    <xf numFmtId="0" fontId="7" fillId="2" borderId="35" xfId="8" applyFont="1" applyFill="1" applyBorder="1"/>
    <xf numFmtId="0" fontId="7" fillId="2" borderId="34" xfId="8" applyFont="1" applyFill="1" applyBorder="1"/>
    <xf numFmtId="0" fontId="8" fillId="2" borderId="0" xfId="8" applyFont="1" applyFill="1" applyAlignment="1">
      <alignment wrapText="1"/>
    </xf>
    <xf numFmtId="0" fontId="7" fillId="2" borderId="29" xfId="8" applyFont="1" applyFill="1" applyBorder="1" applyAlignment="1">
      <alignment horizontal="center" vertical="center"/>
    </xf>
    <xf numFmtId="0" fontId="20" fillId="2" borderId="0" xfId="8" applyFont="1" applyFill="1" applyAlignment="1">
      <alignment horizontal="center" wrapText="1"/>
    </xf>
    <xf numFmtId="0" fontId="20" fillId="2" borderId="0" xfId="8" applyFont="1" applyFill="1" applyAlignment="1">
      <alignment horizontal="center"/>
    </xf>
    <xf numFmtId="0" fontId="20" fillId="2" borderId="34" xfId="8" applyFont="1" applyFill="1" applyBorder="1" applyAlignment="1">
      <alignment horizontal="center"/>
    </xf>
    <xf numFmtId="0" fontId="20" fillId="2" borderId="35" xfId="8" applyFont="1" applyFill="1" applyBorder="1" applyAlignment="1">
      <alignment horizontal="center"/>
    </xf>
    <xf numFmtId="0" fontId="18" fillId="2" borderId="35" xfId="8" applyFont="1" applyFill="1" applyBorder="1" applyAlignment="1">
      <alignment horizontal="center"/>
    </xf>
    <xf numFmtId="0" fontId="8" fillId="2" borderId="0" xfId="8" applyFont="1" applyFill="1" applyAlignment="1">
      <alignment vertical="center" wrapText="1"/>
    </xf>
    <xf numFmtId="0" fontId="21" fillId="2" borderId="0" xfId="8" applyFont="1" applyFill="1" applyAlignment="1">
      <alignment horizontal="center" vertical="center"/>
    </xf>
    <xf numFmtId="0" fontId="16" fillId="2" borderId="35" xfId="8" applyFont="1" applyFill="1" applyBorder="1" applyAlignment="1">
      <alignment vertical="center"/>
    </xf>
    <xf numFmtId="0" fontId="19" fillId="2" borderId="0" xfId="8" applyFont="1" applyFill="1" applyAlignment="1">
      <alignment wrapText="1"/>
    </xf>
    <xf numFmtId="0" fontId="20" fillId="2" borderId="0" xfId="8" applyFont="1" applyFill="1" applyAlignment="1">
      <alignment horizontal="center" vertical="center"/>
    </xf>
    <xf numFmtId="0" fontId="20" fillId="2" borderId="34" xfId="8" applyFont="1" applyFill="1" applyBorder="1"/>
    <xf numFmtId="0" fontId="20" fillId="2" borderId="0" xfId="8" applyFont="1" applyFill="1"/>
    <xf numFmtId="0" fontId="20" fillId="2" borderId="35" xfId="8" applyFont="1" applyFill="1" applyBorder="1"/>
    <xf numFmtId="0" fontId="7" fillId="2" borderId="0" xfId="8" applyFont="1" applyFill="1" applyAlignment="1">
      <alignment horizontal="center" vertical="top"/>
    </xf>
    <xf numFmtId="0" fontId="24" fillId="2" borderId="32" xfId="8" applyFont="1" applyFill="1" applyBorder="1"/>
    <xf numFmtId="49" fontId="7" fillId="2" borderId="0" xfId="8" applyNumberFormat="1" applyFont="1" applyFill="1" applyAlignment="1">
      <alignment horizontal="center" vertical="top"/>
    </xf>
    <xf numFmtId="1" fontId="8" fillId="2" borderId="0" xfId="8" applyNumberFormat="1" applyFont="1" applyFill="1" applyAlignment="1">
      <alignment horizontal="right"/>
    </xf>
    <xf numFmtId="0" fontId="19" fillId="2" borderId="32" xfId="8" applyFont="1" applyFill="1" applyBorder="1"/>
    <xf numFmtId="1" fontId="8" fillId="2" borderId="47" xfId="8" applyNumberFormat="1" applyFont="1" applyFill="1" applyBorder="1" applyAlignment="1">
      <alignment horizontal="center"/>
    </xf>
    <xf numFmtId="1" fontId="8" fillId="2" borderId="49" xfId="8" applyNumberFormat="1" applyFont="1" applyFill="1" applyBorder="1" applyAlignment="1">
      <alignment horizontal="center"/>
    </xf>
    <xf numFmtId="1" fontId="8" fillId="2" borderId="50" xfId="8" applyNumberFormat="1" applyFont="1" applyFill="1" applyBorder="1" applyAlignment="1">
      <alignment horizontal="center"/>
    </xf>
    <xf numFmtId="1" fontId="8" fillId="2" borderId="3" xfId="8" applyNumberFormat="1" applyFont="1" applyFill="1" applyBorder="1" applyAlignment="1">
      <alignment horizontal="center"/>
    </xf>
    <xf numFmtId="1" fontId="19" fillId="2" borderId="51" xfId="8" applyNumberFormat="1" applyFont="1" applyFill="1" applyBorder="1" applyAlignment="1">
      <alignment horizontal="right"/>
    </xf>
    <xf numFmtId="0" fontId="7" fillId="2" borderId="0" xfId="8" applyFont="1" applyFill="1" applyAlignment="1">
      <alignment horizontal="center"/>
    </xf>
    <xf numFmtId="49" fontId="19" fillId="2" borderId="32" xfId="8" applyNumberFormat="1" applyFont="1" applyFill="1" applyBorder="1" applyAlignment="1">
      <alignment horizontal="center" vertical="top"/>
    </xf>
    <xf numFmtId="0" fontId="25" fillId="2" borderId="0" xfId="8" applyFont="1" applyFill="1" applyAlignment="1">
      <alignment horizontal="center" vertical="center"/>
    </xf>
    <xf numFmtId="16" fontId="6" fillId="2" borderId="0" xfId="8" quotePrefix="1" applyNumberFormat="1" applyFont="1" applyFill="1" applyAlignment="1">
      <alignment horizontal="center"/>
    </xf>
    <xf numFmtId="16" fontId="5" fillId="2" borderId="0" xfId="8" applyNumberFormat="1" applyFont="1" applyFill="1" applyAlignment="1">
      <alignment horizontal="center"/>
    </xf>
    <xf numFmtId="16" fontId="5" fillId="2" borderId="0" xfId="8" quotePrefix="1" applyNumberFormat="1" applyFont="1" applyFill="1" applyAlignment="1">
      <alignment horizontal="center"/>
    </xf>
    <xf numFmtId="49" fontId="5" fillId="2" borderId="0" xfId="8" applyNumberFormat="1" applyFont="1" applyFill="1" applyAlignment="1">
      <alignment horizontal="center" vertical="top"/>
    </xf>
    <xf numFmtId="16" fontId="19" fillId="2" borderId="32" xfId="8" applyNumberFormat="1" applyFont="1" applyFill="1" applyBorder="1" applyAlignment="1">
      <alignment horizontal="center"/>
    </xf>
    <xf numFmtId="0" fontId="6" fillId="2" borderId="0" xfId="8" applyFont="1" applyFill="1" applyAlignment="1">
      <alignment horizontal="center" vertical="center"/>
    </xf>
    <xf numFmtId="0" fontId="5" fillId="2" borderId="0" xfId="8" applyFont="1" applyFill="1" applyAlignment="1">
      <alignment horizontal="center" vertical="center"/>
    </xf>
    <xf numFmtId="1" fontId="8" fillId="2" borderId="55" xfId="8" applyNumberFormat="1" applyFont="1" applyFill="1" applyBorder="1" applyAlignment="1">
      <alignment horizontal="center"/>
    </xf>
    <xf numFmtId="1" fontId="8" fillId="2" borderId="3" xfId="8" applyNumberFormat="1" applyFont="1" applyFill="1" applyBorder="1" applyAlignment="1">
      <alignment horizontal="center" vertical="center"/>
    </xf>
    <xf numFmtId="1" fontId="8" fillId="2" borderId="50" xfId="8" applyNumberFormat="1" applyFont="1" applyFill="1" applyBorder="1" applyAlignment="1">
      <alignment horizontal="center" vertical="center"/>
    </xf>
    <xf numFmtId="1" fontId="19" fillId="2" borderId="51" xfId="8" applyNumberFormat="1" applyFont="1" applyFill="1" applyBorder="1" applyAlignment="1">
      <alignment horizontal="right" vertical="center"/>
    </xf>
    <xf numFmtId="17" fontId="25" fillId="2" borderId="0" xfId="8" quotePrefix="1" applyNumberFormat="1" applyFont="1" applyFill="1" applyAlignment="1">
      <alignment horizontal="center" vertical="center"/>
    </xf>
    <xf numFmtId="0" fontId="5" fillId="2" borderId="0" xfId="8" applyFont="1" applyFill="1"/>
    <xf numFmtId="0" fontId="5" fillId="2" borderId="0" xfId="8" applyFont="1" applyFill="1" applyAlignment="1">
      <alignment horizontal="center"/>
    </xf>
    <xf numFmtId="0" fontId="5" fillId="2" borderId="0" xfId="8" quotePrefix="1" applyFont="1" applyFill="1" applyAlignment="1">
      <alignment horizontal="center"/>
    </xf>
    <xf numFmtId="0" fontId="25" fillId="2" borderId="0" xfId="8" quotePrefix="1" applyFont="1" applyFill="1" applyAlignment="1">
      <alignment horizontal="center"/>
    </xf>
    <xf numFmtId="0" fontId="19" fillId="2" borderId="32" xfId="8" applyFont="1" applyFill="1" applyBorder="1" applyAlignment="1">
      <alignment horizontal="center"/>
    </xf>
    <xf numFmtId="0" fontId="0" fillId="0" borderId="31" xfId="0" applyBorder="1"/>
    <xf numFmtId="0" fontId="25" fillId="0" borderId="0" xfId="8" applyFont="1" applyAlignment="1">
      <alignment horizontal="center" vertical="center"/>
    </xf>
    <xf numFmtId="0" fontId="7" fillId="0" borderId="0" xfId="8" applyFont="1"/>
    <xf numFmtId="49" fontId="5" fillId="0" borderId="0" xfId="8" applyNumberFormat="1" applyFont="1" applyAlignment="1">
      <alignment horizontal="center" vertical="top"/>
    </xf>
    <xf numFmtId="0" fontId="19" fillId="0" borderId="32" xfId="8" applyFont="1" applyBorder="1"/>
    <xf numFmtId="0" fontId="4" fillId="2" borderId="0" xfId="9" applyFill="1" applyAlignment="1">
      <alignment horizontal="center"/>
    </xf>
    <xf numFmtId="1" fontId="8" fillId="2" borderId="47" xfId="8" applyNumberFormat="1" applyFont="1" applyFill="1" applyBorder="1" applyAlignment="1">
      <alignment horizontal="center" vertical="center"/>
    </xf>
    <xf numFmtId="1" fontId="19" fillId="2" borderId="55" xfId="8" applyNumberFormat="1" applyFont="1" applyFill="1" applyBorder="1" applyAlignment="1">
      <alignment horizontal="center" vertical="center"/>
    </xf>
    <xf numFmtId="16" fontId="25" fillId="2" borderId="0" xfId="8" quotePrefix="1" applyNumberFormat="1" applyFont="1" applyFill="1" applyAlignment="1">
      <alignment horizontal="center"/>
    </xf>
    <xf numFmtId="0" fontId="25" fillId="2" borderId="0" xfId="8" quotePrefix="1" applyFont="1" applyFill="1" applyAlignment="1">
      <alignment horizontal="center" vertical="center"/>
    </xf>
    <xf numFmtId="0" fontId="25" fillId="0" borderId="0" xfId="8" applyFont="1" applyAlignment="1">
      <alignment horizontal="center"/>
    </xf>
    <xf numFmtId="49" fontId="7" fillId="0" borderId="0" xfId="8" applyNumberFormat="1" applyFont="1" applyAlignment="1">
      <alignment horizontal="center" vertical="top"/>
    </xf>
    <xf numFmtId="49" fontId="19" fillId="0" borderId="32" xfId="8" applyNumberFormat="1" applyFont="1" applyBorder="1" applyAlignment="1">
      <alignment horizontal="center" vertical="top"/>
    </xf>
    <xf numFmtId="1" fontId="7" fillId="0" borderId="0" xfId="8" applyNumberFormat="1" applyFont="1" applyAlignment="1">
      <alignment horizontal="center" vertical="top"/>
    </xf>
    <xf numFmtId="0" fontId="7" fillId="0" borderId="0" xfId="8" applyFont="1" applyAlignment="1">
      <alignment horizontal="center" vertical="top"/>
    </xf>
    <xf numFmtId="1" fontId="19" fillId="0" borderId="32" xfId="8" applyNumberFormat="1" applyFont="1" applyBorder="1" applyAlignment="1">
      <alignment horizontal="center" vertical="top"/>
    </xf>
    <xf numFmtId="0" fontId="8" fillId="2" borderId="50" xfId="8" applyFont="1" applyFill="1" applyBorder="1" applyAlignment="1">
      <alignment horizontal="center" vertical="center"/>
    </xf>
    <xf numFmtId="1" fontId="19" fillId="2" borderId="51" xfId="8" applyNumberFormat="1" applyFont="1" applyFill="1" applyBorder="1" applyAlignment="1">
      <alignment horizontal="center"/>
    </xf>
    <xf numFmtId="17" fontId="25" fillId="0" borderId="0" xfId="8" quotePrefix="1" applyNumberFormat="1" applyFont="1" applyAlignment="1">
      <alignment horizontal="center" vertical="center"/>
    </xf>
    <xf numFmtId="0" fontId="5" fillId="0" borderId="0" xfId="8" applyFont="1"/>
    <xf numFmtId="0" fontId="5" fillId="0" borderId="0" xfId="8" applyFont="1" applyAlignment="1">
      <alignment horizontal="center"/>
    </xf>
    <xf numFmtId="17" fontId="6" fillId="0" borderId="0" xfId="8" quotePrefix="1" applyNumberFormat="1" applyFont="1" applyAlignment="1">
      <alignment horizontal="center" vertical="center"/>
    </xf>
    <xf numFmtId="0" fontId="6" fillId="0" borderId="0" xfId="8" quotePrefix="1" applyFont="1" applyAlignment="1">
      <alignment horizontal="center"/>
    </xf>
    <xf numFmtId="0" fontId="25" fillId="0" borderId="0" xfId="8" quotePrefix="1" applyFont="1" applyAlignment="1">
      <alignment horizontal="center"/>
    </xf>
    <xf numFmtId="16" fontId="25" fillId="0" borderId="0" xfId="8" quotePrefix="1" applyNumberFormat="1" applyFont="1" applyAlignment="1">
      <alignment horizontal="center"/>
    </xf>
    <xf numFmtId="0" fontId="25" fillId="0" borderId="0" xfId="8" quotePrefix="1" applyFont="1" applyAlignment="1">
      <alignment horizontal="center" vertical="center"/>
    </xf>
    <xf numFmtId="0" fontId="6" fillId="0" borderId="0" xfId="8" applyFont="1" applyAlignment="1">
      <alignment horizontal="center" vertical="center"/>
    </xf>
    <xf numFmtId="0" fontId="6" fillId="0" borderId="0" xfId="8" applyFont="1" applyAlignment="1">
      <alignment horizontal="center"/>
    </xf>
    <xf numFmtId="0" fontId="26" fillId="2" borderId="0" xfId="8" applyFont="1" applyFill="1"/>
    <xf numFmtId="0" fontId="25" fillId="2" borderId="0" xfId="8" applyFont="1" applyFill="1" applyAlignment="1">
      <alignment horizontal="center"/>
    </xf>
    <xf numFmtId="1" fontId="8" fillId="2" borderId="49" xfId="8" applyNumberFormat="1" applyFont="1" applyFill="1" applyBorder="1" applyAlignment="1">
      <alignment horizontal="center" vertical="center"/>
    </xf>
    <xf numFmtId="1" fontId="8" fillId="2" borderId="47" xfId="8" applyNumberFormat="1" applyFont="1" applyFill="1" applyBorder="1" applyAlignment="1">
      <alignment horizontal="left" vertical="center"/>
    </xf>
    <xf numFmtId="1" fontId="8" fillId="2" borderId="0" xfId="8" applyNumberFormat="1" applyFont="1" applyFill="1" applyAlignment="1">
      <alignment horizontal="center" vertical="center"/>
    </xf>
    <xf numFmtId="49" fontId="1" fillId="2" borderId="0" xfId="8" applyNumberFormat="1" applyFont="1" applyFill="1" applyAlignment="1">
      <alignment horizontal="center" vertical="top"/>
    </xf>
    <xf numFmtId="0" fontId="1" fillId="2" borderId="0" xfId="8" quotePrefix="1" applyFont="1" applyFill="1" applyAlignment="1">
      <alignment horizontal="center"/>
    </xf>
    <xf numFmtId="0" fontId="6" fillId="2" borderId="0" xfId="8" quotePrefix="1" applyFont="1" applyFill="1" applyAlignment="1">
      <alignment horizontal="center" vertical="center"/>
    </xf>
    <xf numFmtId="17" fontId="1" fillId="2" borderId="0" xfId="8" quotePrefix="1" applyNumberFormat="1" applyFont="1" applyFill="1" applyAlignment="1">
      <alignment horizontal="center" vertical="center"/>
    </xf>
    <xf numFmtId="0" fontId="1" fillId="2" borderId="0" xfId="8" applyFont="1" applyFill="1" applyAlignment="1">
      <alignment horizontal="center" vertical="center"/>
    </xf>
    <xf numFmtId="0" fontId="27" fillId="2" borderId="0" xfId="8" applyFont="1" applyFill="1" applyAlignment="1">
      <alignment horizontal="center"/>
    </xf>
    <xf numFmtId="0" fontId="27" fillId="2" borderId="0" xfId="8" applyFont="1" applyFill="1" applyAlignment="1">
      <alignment horizontal="center" vertical="center"/>
    </xf>
    <xf numFmtId="49" fontId="7" fillId="2" borderId="0" xfId="8" applyNumberFormat="1" applyFont="1" applyFill="1" applyAlignment="1">
      <alignment horizontal="center" vertical="center"/>
    </xf>
    <xf numFmtId="0" fontId="6" fillId="2" borderId="0" xfId="8" quotePrefix="1" applyFont="1" applyFill="1" applyAlignment="1">
      <alignment horizontal="center"/>
    </xf>
    <xf numFmtId="1" fontId="7" fillId="2" borderId="0" xfId="8" applyNumberFormat="1" applyFont="1" applyFill="1" applyAlignment="1">
      <alignment horizontal="center" vertical="top"/>
    </xf>
    <xf numFmtId="1" fontId="7" fillId="7" borderId="0" xfId="8" applyNumberFormat="1" applyFont="1" applyFill="1" applyAlignment="1">
      <alignment horizontal="center" vertical="top"/>
    </xf>
    <xf numFmtId="0" fontId="7" fillId="7" borderId="0" xfId="8" applyFont="1" applyFill="1" applyAlignment="1">
      <alignment horizontal="center" vertical="top"/>
    </xf>
    <xf numFmtId="0" fontId="21" fillId="2" borderId="0" xfId="8" applyFont="1" applyFill="1" applyAlignment="1">
      <alignment horizontal="center" vertical="top"/>
    </xf>
    <xf numFmtId="1" fontId="19" fillId="2" borderId="32" xfId="8" applyNumberFormat="1" applyFont="1" applyFill="1" applyBorder="1" applyAlignment="1">
      <alignment horizontal="center" vertical="top"/>
    </xf>
    <xf numFmtId="0" fontId="8" fillId="2" borderId="47" xfId="8" applyFont="1" applyFill="1" applyBorder="1" applyAlignment="1">
      <alignment horizontal="center" vertical="center"/>
    </xf>
    <xf numFmtId="0" fontId="8" fillId="2" borderId="3" xfId="8" applyFont="1" applyFill="1" applyBorder="1" applyAlignment="1">
      <alignment horizontal="center" vertical="center"/>
    </xf>
    <xf numFmtId="0" fontId="8" fillId="2" borderId="50" xfId="8" applyFont="1" applyFill="1" applyBorder="1" applyAlignment="1">
      <alignment horizontal="center"/>
    </xf>
    <xf numFmtId="0" fontId="6" fillId="2" borderId="0" xfId="8" applyFont="1" applyFill="1" applyAlignment="1">
      <alignment horizontal="center"/>
    </xf>
    <xf numFmtId="1" fontId="19" fillId="2" borderId="51" xfId="8" applyNumberFormat="1" applyFont="1" applyFill="1" applyBorder="1" applyAlignment="1">
      <alignment horizontal="center" vertical="center"/>
    </xf>
    <xf numFmtId="17" fontId="6" fillId="2" borderId="0" xfId="8" quotePrefix="1" applyNumberFormat="1" applyFont="1" applyFill="1" applyAlignment="1">
      <alignment horizontal="center" vertical="center"/>
    </xf>
    <xf numFmtId="0" fontId="19" fillId="2" borderId="0" xfId="8" applyFont="1" applyFill="1"/>
    <xf numFmtId="16" fontId="25" fillId="2" borderId="0" xfId="8" quotePrefix="1" applyNumberFormat="1" applyFont="1" applyFill="1" applyAlignment="1">
      <alignment horizontal="center" vertical="center"/>
    </xf>
    <xf numFmtId="0" fontId="5" fillId="2" borderId="0" xfId="8" quotePrefix="1" applyFont="1" applyFill="1" applyAlignment="1">
      <alignment horizontal="center" vertical="center"/>
    </xf>
    <xf numFmtId="0" fontId="5" fillId="0" borderId="0" xfId="8" applyFont="1" applyAlignment="1">
      <alignment horizontal="center" vertical="center"/>
    </xf>
    <xf numFmtId="0" fontId="9" fillId="2" borderId="0" xfId="8" applyFont="1" applyFill="1" applyAlignment="1">
      <alignment horizontal="center" vertical="center"/>
    </xf>
    <xf numFmtId="1" fontId="21" fillId="2" borderId="0" xfId="8" applyNumberFormat="1" applyFont="1" applyFill="1" applyAlignment="1">
      <alignment horizontal="left" vertical="top"/>
    </xf>
    <xf numFmtId="0" fontId="5" fillId="0" borderId="0" xfId="8" quotePrefix="1" applyFont="1" applyAlignment="1">
      <alignment horizontal="center" vertical="center"/>
    </xf>
    <xf numFmtId="49" fontId="5" fillId="0" borderId="0" xfId="8" quotePrefix="1" applyNumberFormat="1" applyFont="1" applyAlignment="1">
      <alignment horizontal="center" vertical="top"/>
    </xf>
    <xf numFmtId="49" fontId="5" fillId="0" borderId="0" xfId="8" applyNumberFormat="1" applyFont="1" applyAlignment="1">
      <alignment horizontal="center"/>
    </xf>
    <xf numFmtId="49" fontId="29" fillId="0" borderId="0" xfId="8" applyNumberFormat="1" applyFont="1" applyAlignment="1">
      <alignment horizontal="center" vertical="top"/>
    </xf>
    <xf numFmtId="1" fontId="8" fillId="2" borderId="47" xfId="8" applyNumberFormat="1" applyFont="1" applyFill="1" applyBorder="1" applyAlignment="1">
      <alignment horizontal="right" vertical="center"/>
    </xf>
    <xf numFmtId="1" fontId="8" fillId="2" borderId="50" xfId="8" applyNumberFormat="1" applyFont="1" applyFill="1" applyBorder="1" applyAlignment="1">
      <alignment horizontal="right" vertical="center"/>
    </xf>
    <xf numFmtId="0" fontId="19" fillId="0" borderId="32" xfId="8" applyFont="1" applyBorder="1" applyAlignment="1">
      <alignment horizontal="center"/>
    </xf>
    <xf numFmtId="49" fontId="8" fillId="0" borderId="0" xfId="8" applyNumberFormat="1" applyFont="1" applyAlignment="1">
      <alignment horizontal="center" vertical="center"/>
    </xf>
    <xf numFmtId="49" fontId="7" fillId="0" borderId="0" xfId="8" applyNumberFormat="1" applyFont="1" applyAlignment="1">
      <alignment horizontal="center" vertical="center"/>
    </xf>
    <xf numFmtId="0" fontId="8" fillId="0" borderId="0" xfId="8" applyFont="1" applyAlignment="1">
      <alignment horizontal="center" vertical="center"/>
    </xf>
    <xf numFmtId="0" fontId="8" fillId="0" borderId="0" xfId="8" applyFont="1" applyAlignment="1">
      <alignment horizontal="center"/>
    </xf>
    <xf numFmtId="49" fontId="19" fillId="0" borderId="32" xfId="8" applyNumberFormat="1" applyFont="1" applyBorder="1" applyAlignment="1">
      <alignment horizontal="center" vertical="center"/>
    </xf>
    <xf numFmtId="0" fontId="7" fillId="0" borderId="0" xfId="8" applyFont="1" applyAlignment="1">
      <alignment horizontal="center" vertical="center"/>
    </xf>
    <xf numFmtId="1" fontId="8" fillId="0" borderId="47" xfId="8" applyNumberFormat="1" applyFont="1" applyBorder="1" applyAlignment="1">
      <alignment horizontal="center" vertical="center"/>
    </xf>
    <xf numFmtId="1" fontId="8" fillId="0" borderId="49" xfId="8" applyNumberFormat="1" applyFont="1" applyBorder="1" applyAlignment="1">
      <alignment horizontal="center" vertical="center"/>
    </xf>
    <xf numFmtId="1" fontId="8" fillId="0" borderId="50" xfId="8" applyNumberFormat="1" applyFont="1" applyBorder="1" applyAlignment="1">
      <alignment horizontal="center" vertical="center"/>
    </xf>
    <xf numFmtId="1" fontId="19" fillId="0" borderId="55" xfId="8" applyNumberFormat="1" applyFont="1" applyBorder="1" applyAlignment="1">
      <alignment horizontal="center" vertical="center"/>
    </xf>
    <xf numFmtId="0" fontId="7" fillId="0" borderId="0" xfId="8" applyFont="1" applyAlignment="1">
      <alignment horizontal="center"/>
    </xf>
    <xf numFmtId="0" fontId="30" fillId="0" borderId="32" xfId="0" applyFont="1" applyBorder="1"/>
    <xf numFmtId="0" fontId="31" fillId="0" borderId="0" xfId="8" applyFont="1"/>
    <xf numFmtId="0" fontId="32" fillId="0" borderId="32" xfId="0" applyFont="1" applyBorder="1"/>
    <xf numFmtId="0" fontId="30" fillId="0" borderId="0" xfId="0" applyFont="1"/>
    <xf numFmtId="0" fontId="4" fillId="2" borderId="0" xfId="9" applyFill="1"/>
    <xf numFmtId="0" fontId="27" fillId="0" borderId="0" xfId="8" applyFont="1" applyAlignment="1">
      <alignment horizontal="center"/>
    </xf>
    <xf numFmtId="0" fontId="9" fillId="0" borderId="0" xfId="8" applyFont="1" applyAlignment="1">
      <alignment horizontal="center" vertical="center"/>
    </xf>
    <xf numFmtId="0" fontId="27" fillId="0" borderId="0" xfId="8" applyFont="1" applyAlignment="1">
      <alignment horizontal="center" vertical="center"/>
    </xf>
    <xf numFmtId="1" fontId="19" fillId="0" borderId="51" xfId="8" applyNumberFormat="1" applyFont="1" applyBorder="1" applyAlignment="1">
      <alignment horizontal="center" vertical="center"/>
    </xf>
    <xf numFmtId="17" fontId="25" fillId="0" borderId="58" xfId="8" quotePrefix="1" applyNumberFormat="1" applyFont="1" applyBorder="1" applyAlignment="1">
      <alignment horizontal="center" vertical="center"/>
    </xf>
    <xf numFmtId="0" fontId="33" fillId="0" borderId="32" xfId="8" applyFont="1" applyBorder="1" applyAlignment="1">
      <alignment horizontal="center" vertical="center"/>
    </xf>
    <xf numFmtId="0" fontId="33" fillId="2" borderId="32" xfId="8" applyFont="1" applyFill="1" applyBorder="1" applyAlignment="1">
      <alignment horizontal="center" vertical="center"/>
    </xf>
    <xf numFmtId="0" fontId="6" fillId="0" borderId="0" xfId="8" quotePrefix="1" applyFont="1" applyAlignment="1">
      <alignment horizontal="center" vertical="center"/>
    </xf>
    <xf numFmtId="17" fontId="5" fillId="2" borderId="0" xfId="8" quotePrefix="1" applyNumberFormat="1" applyFont="1" applyFill="1" applyAlignment="1">
      <alignment horizontal="center" vertical="center"/>
    </xf>
    <xf numFmtId="16" fontId="25" fillId="0" borderId="0" xfId="8" quotePrefix="1" applyNumberFormat="1" applyFont="1" applyAlignment="1">
      <alignment horizontal="center" vertical="center"/>
    </xf>
    <xf numFmtId="0" fontId="1" fillId="0" borderId="0" xfId="8" quotePrefix="1" applyFont="1" applyAlignment="1">
      <alignment horizontal="center" vertical="center"/>
    </xf>
    <xf numFmtId="0" fontId="1" fillId="0" borderId="0" xfId="8" applyFont="1" applyAlignment="1">
      <alignment horizontal="center" vertical="center"/>
    </xf>
    <xf numFmtId="17" fontId="1" fillId="0" borderId="0" xfId="8" quotePrefix="1" applyNumberFormat="1" applyFont="1" applyAlignment="1">
      <alignment horizontal="center" vertical="center"/>
    </xf>
    <xf numFmtId="0" fontId="34" fillId="0" borderId="32" xfId="0" applyFont="1" applyBorder="1"/>
    <xf numFmtId="0" fontId="30" fillId="0" borderId="59" xfId="0" applyFont="1" applyBorder="1"/>
    <xf numFmtId="49" fontId="19" fillId="0" borderId="60" xfId="8" applyNumberFormat="1" applyFont="1" applyBorder="1" applyAlignment="1">
      <alignment horizontal="center" vertical="top"/>
    </xf>
    <xf numFmtId="0" fontId="4" fillId="0" borderId="0" xfId="0" applyFont="1"/>
    <xf numFmtId="0" fontId="30" fillId="0" borderId="61" xfId="0" applyFont="1" applyBorder="1"/>
    <xf numFmtId="16" fontId="6" fillId="2" borderId="0" xfId="8" applyNumberFormat="1" applyFont="1" applyFill="1" applyAlignment="1">
      <alignment horizontal="center"/>
    </xf>
    <xf numFmtId="17" fontId="25" fillId="2" borderId="0" xfId="8" applyNumberFormat="1" applyFont="1" applyFill="1" applyAlignment="1">
      <alignment horizontal="center" vertical="center"/>
    </xf>
    <xf numFmtId="16" fontId="25" fillId="2" borderId="0" xfId="8" applyNumberFormat="1" applyFont="1" applyFill="1" applyAlignment="1">
      <alignment horizontal="center"/>
    </xf>
    <xf numFmtId="0" fontId="30" fillId="0" borderId="62" xfId="0" applyFont="1" applyBorder="1"/>
    <xf numFmtId="167" fontId="14" fillId="0" borderId="0" xfId="0" applyNumberFormat="1" applyFont="1"/>
    <xf numFmtId="0" fontId="14" fillId="2" borderId="0" xfId="0" applyFont="1" applyFill="1"/>
    <xf numFmtId="0" fontId="8" fillId="2" borderId="34" xfId="8" applyFont="1" applyFill="1" applyBorder="1"/>
    <xf numFmtId="0" fontId="7" fillId="2" borderId="31" xfId="8" applyFont="1" applyFill="1" applyBorder="1" applyAlignment="1">
      <alignment vertical="center" shrinkToFit="1"/>
    </xf>
    <xf numFmtId="0" fontId="1" fillId="2" borderId="0" xfId="8" quotePrefix="1" applyFont="1" applyFill="1" applyAlignment="1">
      <alignment horizontal="center" vertical="center"/>
    </xf>
    <xf numFmtId="0" fontId="1" fillId="7" borderId="0" xfId="8" applyFont="1" applyFill="1" applyAlignment="1">
      <alignment vertical="center"/>
    </xf>
    <xf numFmtId="0" fontId="8" fillId="2" borderId="0" xfId="8" applyFont="1" applyFill="1" applyAlignment="1">
      <alignment horizontal="left" vertical="top"/>
    </xf>
    <xf numFmtId="0" fontId="23" fillId="2" borderId="3" xfId="8" applyFont="1" applyFill="1" applyBorder="1"/>
    <xf numFmtId="0" fontId="20" fillId="2" borderId="3" xfId="8" applyFont="1" applyFill="1" applyBorder="1" applyAlignment="1">
      <alignment horizontal="center" vertical="center"/>
    </xf>
    <xf numFmtId="0" fontId="20" fillId="2" borderId="9" xfId="8" applyFont="1" applyFill="1" applyBorder="1"/>
    <xf numFmtId="0" fontId="20" fillId="2" borderId="3" xfId="8" applyFont="1" applyFill="1" applyBorder="1"/>
    <xf numFmtId="0" fontId="20" fillId="2" borderId="8" xfId="8" applyFont="1" applyFill="1" applyBorder="1"/>
    <xf numFmtId="0" fontId="7" fillId="2" borderId="3" xfId="8" applyFont="1" applyFill="1" applyBorder="1"/>
    <xf numFmtId="0" fontId="8" fillId="2" borderId="9" xfId="8" applyFont="1" applyFill="1" applyBorder="1" applyAlignment="1">
      <alignment horizontal="center"/>
    </xf>
    <xf numFmtId="0" fontId="8" fillId="2" borderId="3" xfId="8" applyFont="1" applyFill="1" applyBorder="1" applyAlignment="1">
      <alignment horizontal="center"/>
    </xf>
    <xf numFmtId="0" fontId="8" fillId="2" borderId="8" xfId="8" applyFont="1" applyFill="1" applyBorder="1" applyAlignment="1">
      <alignment horizontal="center"/>
    </xf>
    <xf numFmtId="0" fontId="8" fillId="2" borderId="9" xfId="8" applyFont="1" applyFill="1" applyBorder="1" applyAlignment="1">
      <alignment horizontal="center" vertical="center"/>
    </xf>
    <xf numFmtId="0" fontId="8" fillId="2" borderId="55" xfId="8" applyFont="1" applyFill="1" applyBorder="1" applyAlignment="1">
      <alignment horizontal="center"/>
    </xf>
    <xf numFmtId="0" fontId="0" fillId="0" borderId="28" xfId="0" applyBorder="1"/>
    <xf numFmtId="0" fontId="19" fillId="2" borderId="55" xfId="8" applyFont="1" applyFill="1" applyBorder="1" applyAlignment="1">
      <alignment horizontal="center" vertical="center"/>
    </xf>
    <xf numFmtId="1" fontId="8" fillId="2" borderId="31" xfId="8" applyNumberFormat="1" applyFont="1" applyFill="1" applyBorder="1" applyAlignment="1">
      <alignment horizontal="center"/>
    </xf>
    <xf numFmtId="1" fontId="8" fillId="0" borderId="3" xfId="8" applyNumberFormat="1" applyFont="1" applyBorder="1" applyAlignment="1">
      <alignment horizontal="center" vertical="center"/>
    </xf>
    <xf numFmtId="1" fontId="8" fillId="2" borderId="0" xfId="8" applyNumberFormat="1" applyFont="1" applyFill="1" applyAlignment="1">
      <alignment horizontal="right" vertical="center"/>
    </xf>
    <xf numFmtId="0" fontId="31" fillId="2" borderId="0" xfId="8" applyFont="1" applyFill="1"/>
    <xf numFmtId="0" fontId="54" fillId="0" borderId="0" xfId="5" applyFont="1"/>
    <xf numFmtId="0" fontId="55" fillId="2" borderId="5" xfId="0" applyFont="1" applyFill="1" applyBorder="1" applyAlignment="1">
      <alignment horizontal="center" vertical="center"/>
    </xf>
    <xf numFmtId="14" fontId="55" fillId="2" borderId="0" xfId="0" applyNumberFormat="1" applyFont="1" applyFill="1" applyAlignment="1">
      <alignment horizontal="center" vertical="center"/>
    </xf>
    <xf numFmtId="0" fontId="55" fillId="2" borderId="6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55" fillId="2" borderId="2" xfId="0" applyFont="1" applyFill="1" applyBorder="1" applyAlignment="1">
      <alignment horizontal="center"/>
    </xf>
    <xf numFmtId="0" fontId="55" fillId="2" borderId="0" xfId="0" applyFont="1" applyFill="1" applyAlignment="1">
      <alignment horizontal="center" vertical="center"/>
    </xf>
    <xf numFmtId="0" fontId="55" fillId="2" borderId="0" xfId="0" applyFont="1" applyFill="1"/>
    <xf numFmtId="0" fontId="55" fillId="2" borderId="0" xfId="0" applyFont="1" applyFill="1" applyAlignment="1">
      <alignment horizontal="center"/>
    </xf>
    <xf numFmtId="0" fontId="56" fillId="2" borderId="2" xfId="0" applyFont="1" applyFill="1" applyBorder="1" applyAlignment="1">
      <alignment horizontal="center" vertical="center"/>
    </xf>
    <xf numFmtId="0" fontId="55" fillId="0" borderId="0" xfId="0" applyFont="1" applyAlignment="1">
      <alignment horizontal="center"/>
    </xf>
    <xf numFmtId="0" fontId="55" fillId="0" borderId="0" xfId="0" applyFont="1"/>
    <xf numFmtId="0" fontId="55" fillId="2" borderId="4" xfId="0" applyFont="1" applyFill="1" applyBorder="1" applyAlignment="1">
      <alignment horizontal="center" vertical="center"/>
    </xf>
    <xf numFmtId="0" fontId="55" fillId="0" borderId="4" xfId="0" applyFont="1" applyBorder="1" applyAlignment="1">
      <alignment horizontal="center"/>
    </xf>
    <xf numFmtId="0" fontId="55" fillId="0" borderId="75" xfId="0" applyFont="1" applyBorder="1" applyAlignment="1">
      <alignment horizontal="center" vertical="center"/>
    </xf>
    <xf numFmtId="0" fontId="58" fillId="0" borderId="75" xfId="108" applyFont="1" applyBorder="1" applyAlignment="1" applyProtection="1">
      <alignment horizontal="center" vertical="center"/>
      <protection hidden="1"/>
    </xf>
    <xf numFmtId="1" fontId="55" fillId="0" borderId="75" xfId="0" applyNumberFormat="1" applyFont="1" applyBorder="1" applyAlignment="1">
      <alignment horizontal="center" vertical="center"/>
    </xf>
    <xf numFmtId="2" fontId="55" fillId="0" borderId="75" xfId="0" applyNumberFormat="1" applyFont="1" applyBorder="1" applyAlignment="1">
      <alignment horizontal="center" vertical="center"/>
    </xf>
    <xf numFmtId="167" fontId="56" fillId="0" borderId="75" xfId="7" applyNumberFormat="1" applyFont="1" applyFill="1" applyBorder="1" applyAlignment="1">
      <alignment horizontal="center" vertical="center"/>
    </xf>
    <xf numFmtId="10" fontId="55" fillId="0" borderId="75" xfId="0" applyNumberFormat="1" applyFont="1" applyBorder="1" applyAlignment="1">
      <alignment horizontal="center" vertical="center"/>
    </xf>
    <xf numFmtId="2" fontId="56" fillId="0" borderId="75" xfId="7" applyNumberFormat="1" applyFont="1" applyFill="1" applyBorder="1" applyAlignment="1">
      <alignment horizontal="center" vertical="center"/>
    </xf>
    <xf numFmtId="0" fontId="56" fillId="0" borderId="0" xfId="5" applyFont="1" applyAlignment="1">
      <alignment horizontal="center" vertical="center"/>
    </xf>
    <xf numFmtId="0" fontId="8" fillId="0" borderId="21" xfId="5" applyFont="1" applyBorder="1" applyAlignment="1">
      <alignment horizontal="center" vertical="center"/>
    </xf>
    <xf numFmtId="0" fontId="8" fillId="0" borderId="19" xfId="5" applyFont="1" applyBorder="1" applyAlignment="1">
      <alignment horizontal="center" vertical="center"/>
    </xf>
    <xf numFmtId="0" fontId="8" fillId="0" borderId="17" xfId="5" applyFont="1" applyBorder="1" applyAlignment="1">
      <alignment horizontal="center" vertical="center"/>
    </xf>
    <xf numFmtId="0" fontId="8" fillId="0" borderId="42" xfId="5" applyFont="1" applyBorder="1" applyAlignment="1">
      <alignment horizontal="center" vertical="center"/>
    </xf>
    <xf numFmtId="0" fontId="8" fillId="0" borderId="75" xfId="5" applyFont="1" applyBorder="1" applyAlignment="1">
      <alignment horizontal="center" vertical="center"/>
    </xf>
    <xf numFmtId="1" fontId="8" fillId="0" borderId="75" xfId="5" applyNumberFormat="1" applyFont="1" applyBorder="1" applyAlignment="1">
      <alignment horizontal="center" vertical="center"/>
    </xf>
    <xf numFmtId="1" fontId="8" fillId="0" borderId="76" xfId="5" applyNumberFormat="1" applyFont="1" applyBorder="1" applyAlignment="1">
      <alignment horizontal="center" vertical="center"/>
    </xf>
    <xf numFmtId="1" fontId="8" fillId="0" borderId="77" xfId="5" applyNumberFormat="1" applyFont="1" applyBorder="1" applyAlignment="1">
      <alignment horizontal="center" vertical="center"/>
    </xf>
    <xf numFmtId="0" fontId="8" fillId="6" borderId="79" xfId="5" applyFont="1" applyFill="1" applyBorder="1" applyAlignment="1">
      <alignment horizontal="center" vertical="center"/>
    </xf>
    <xf numFmtId="1" fontId="8" fillId="6" borderId="79" xfId="5" applyNumberFormat="1" applyFont="1" applyFill="1" applyBorder="1" applyAlignment="1">
      <alignment horizontal="center" vertical="center"/>
    </xf>
    <xf numFmtId="0" fontId="56" fillId="0" borderId="7" xfId="5" applyFont="1" applyBorder="1" applyAlignment="1">
      <alignment horizontal="center" vertical="center"/>
    </xf>
    <xf numFmtId="0" fontId="14" fillId="0" borderId="17" xfId="5" applyFont="1" applyBorder="1" applyAlignment="1">
      <alignment horizontal="center" vertical="center"/>
    </xf>
    <xf numFmtId="0" fontId="56" fillId="0" borderId="42" xfId="5" applyFont="1" applyBorder="1" applyAlignment="1">
      <alignment horizontal="center" vertical="center"/>
    </xf>
    <xf numFmtId="0" fontId="14" fillId="0" borderId="75" xfId="5" quotePrefix="1" applyFont="1" applyBorder="1" applyAlignment="1">
      <alignment horizontal="center" vertical="center"/>
    </xf>
    <xf numFmtId="0" fontId="14" fillId="0" borderId="6" xfId="5" applyFont="1" applyBorder="1" applyAlignment="1">
      <alignment horizontal="center" vertical="center"/>
    </xf>
    <xf numFmtId="0" fontId="56" fillId="0" borderId="0" xfId="5" applyFont="1" applyAlignment="1">
      <alignment vertical="center"/>
    </xf>
    <xf numFmtId="0" fontId="56" fillId="0" borderId="0" xfId="5" applyFont="1"/>
    <xf numFmtId="0" fontId="55" fillId="2" borderId="81" xfId="0" applyFont="1" applyFill="1" applyBorder="1" applyAlignment="1">
      <alignment horizontal="center"/>
    </xf>
    <xf numFmtId="14" fontId="55" fillId="0" borderId="75" xfId="0" applyNumberFormat="1" applyFont="1" applyBorder="1" applyAlignment="1">
      <alignment horizontal="center"/>
    </xf>
    <xf numFmtId="49" fontId="55" fillId="0" borderId="75" xfId="0" quotePrefix="1" applyNumberFormat="1" applyFont="1" applyBorder="1" applyAlignment="1">
      <alignment horizontal="center"/>
    </xf>
    <xf numFmtId="167" fontId="55" fillId="0" borderId="75" xfId="0" applyNumberFormat="1" applyFont="1" applyBorder="1" applyAlignment="1">
      <alignment horizontal="center" vertical="center"/>
    </xf>
    <xf numFmtId="14" fontId="55" fillId="2" borderId="75" xfId="0" applyNumberFormat="1" applyFont="1" applyFill="1" applyBorder="1" applyAlignment="1">
      <alignment horizontal="center" vertical="center"/>
    </xf>
    <xf numFmtId="0" fontId="55" fillId="0" borderId="75" xfId="0" applyFont="1" applyBorder="1" applyAlignment="1">
      <alignment horizontal="center"/>
    </xf>
    <xf numFmtId="0" fontId="55" fillId="2" borderId="2" xfId="0" applyFont="1" applyFill="1" applyBorder="1" applyAlignment="1">
      <alignment horizontal="center" vertical="center"/>
    </xf>
    <xf numFmtId="16" fontId="55" fillId="2" borderId="75" xfId="0" quotePrefix="1" applyNumberFormat="1" applyFont="1" applyFill="1" applyBorder="1" applyAlignment="1">
      <alignment horizontal="center" vertical="center"/>
    </xf>
    <xf numFmtId="0" fontId="14" fillId="0" borderId="29" xfId="0" applyFont="1" applyBorder="1"/>
    <xf numFmtId="0" fontId="14" fillId="0" borderId="30" xfId="0" applyFont="1" applyBorder="1" applyAlignment="1">
      <alignment vertical="center" wrapText="1"/>
    </xf>
    <xf numFmtId="0" fontId="14" fillId="0" borderId="0" xfId="0" applyFont="1"/>
    <xf numFmtId="0" fontId="14" fillId="0" borderId="32" xfId="0" applyFont="1" applyBorder="1" applyAlignment="1">
      <alignment vertical="center" wrapText="1"/>
    </xf>
    <xf numFmtId="167" fontId="13" fillId="0" borderId="75" xfId="0" applyNumberFormat="1" applyFont="1" applyBorder="1" applyAlignment="1">
      <alignment horizontal="center" vertical="center" wrapText="1"/>
    </xf>
    <xf numFmtId="167" fontId="13" fillId="2" borderId="75" xfId="0" applyNumberFormat="1" applyFont="1" applyFill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0" fontId="14" fillId="0" borderId="32" xfId="0" applyFont="1" applyBorder="1"/>
    <xf numFmtId="0" fontId="13" fillId="0" borderId="16" xfId="0" applyFont="1" applyBorder="1" applyAlignment="1">
      <alignment horizontal="center" vertical="center" wrapText="1"/>
    </xf>
    <xf numFmtId="0" fontId="13" fillId="2" borderId="75" xfId="0" applyFont="1" applyFill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0" fontId="14" fillId="2" borderId="75" xfId="0" applyFont="1" applyFill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168" fontId="13" fillId="0" borderId="75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3" borderId="75" xfId="1" applyFont="1" applyFill="1" applyBorder="1" applyAlignment="1">
      <alignment horizontal="center" vertical="center" wrapText="1"/>
    </xf>
    <xf numFmtId="0" fontId="13" fillId="2" borderId="75" xfId="1" applyFont="1" applyFill="1" applyBorder="1" applyAlignment="1">
      <alignment horizontal="center" vertical="center" wrapText="1"/>
    </xf>
    <xf numFmtId="1" fontId="13" fillId="2" borderId="75" xfId="1" applyNumberFormat="1" applyFont="1" applyFill="1" applyBorder="1" applyAlignment="1">
      <alignment horizontal="center" vertical="center" wrapText="1"/>
    </xf>
    <xf numFmtId="0" fontId="55" fillId="9" borderId="75" xfId="0" applyFont="1" applyFill="1" applyBorder="1" applyAlignment="1">
      <alignment horizontal="center" vertical="center"/>
    </xf>
    <xf numFmtId="0" fontId="55" fillId="2" borderId="75" xfId="0" applyFont="1" applyFill="1" applyBorder="1" applyAlignment="1">
      <alignment horizontal="center"/>
    </xf>
    <xf numFmtId="1" fontId="8" fillId="2" borderId="47" xfId="8" applyNumberFormat="1" applyFont="1" applyFill="1" applyBorder="1" applyAlignment="1">
      <alignment horizontal="right"/>
    </xf>
    <xf numFmtId="1" fontId="8" fillId="2" borderId="50" xfId="8" applyNumberFormat="1" applyFont="1" applyFill="1" applyBorder="1" applyAlignment="1">
      <alignment horizontal="right"/>
    </xf>
    <xf numFmtId="0" fontId="56" fillId="2" borderId="75" xfId="0" applyFont="1" applyFill="1" applyBorder="1" applyAlignment="1">
      <alignment horizontal="center" vertical="center"/>
    </xf>
    <xf numFmtId="0" fontId="55" fillId="0" borderId="75" xfId="0" quotePrefix="1" applyFont="1" applyBorder="1" applyAlignment="1">
      <alignment horizontal="center"/>
    </xf>
    <xf numFmtId="16" fontId="55" fillId="0" borderId="75" xfId="0" quotePrefix="1" applyNumberFormat="1" applyFont="1" applyBorder="1" applyAlignment="1">
      <alignment horizontal="center"/>
    </xf>
    <xf numFmtId="14" fontId="55" fillId="2" borderId="75" xfId="0" applyNumberFormat="1" applyFont="1" applyFill="1" applyBorder="1" applyAlignment="1">
      <alignment horizontal="center" vertical="center" wrapText="1"/>
    </xf>
    <xf numFmtId="16" fontId="55" fillId="2" borderId="75" xfId="0" applyNumberFormat="1" applyFont="1" applyFill="1" applyBorder="1" applyAlignment="1">
      <alignment horizontal="center" vertical="center"/>
    </xf>
    <xf numFmtId="0" fontId="55" fillId="2" borderId="75" xfId="0" quotePrefix="1" applyFont="1" applyFill="1" applyBorder="1" applyAlignment="1">
      <alignment horizontal="center" vertical="center"/>
    </xf>
    <xf numFmtId="49" fontId="55" fillId="2" borderId="75" xfId="0" quotePrefix="1" applyNumberFormat="1" applyFont="1" applyFill="1" applyBorder="1" applyAlignment="1">
      <alignment horizontal="center"/>
    </xf>
    <xf numFmtId="14" fontId="55" fillId="2" borderId="75" xfId="0" applyNumberFormat="1" applyFont="1" applyFill="1" applyBorder="1" applyAlignment="1">
      <alignment horizontal="center"/>
    </xf>
    <xf numFmtId="0" fontId="55" fillId="2" borderId="75" xfId="0" quotePrefix="1" applyFont="1" applyFill="1" applyBorder="1" applyAlignment="1">
      <alignment horizontal="center"/>
    </xf>
    <xf numFmtId="49" fontId="55" fillId="2" borderId="75" xfId="0" applyNumberFormat="1" applyFont="1" applyFill="1" applyBorder="1" applyAlignment="1">
      <alignment horizontal="center"/>
    </xf>
    <xf numFmtId="0" fontId="56" fillId="0" borderId="75" xfId="0" applyFont="1" applyBorder="1" applyAlignment="1">
      <alignment horizontal="center" vertical="center"/>
    </xf>
    <xf numFmtId="0" fontId="55" fillId="6" borderId="75" xfId="0" quotePrefix="1" applyFont="1" applyFill="1" applyBorder="1" applyAlignment="1">
      <alignment horizontal="center"/>
    </xf>
    <xf numFmtId="0" fontId="55" fillId="6" borderId="75" xfId="0" applyFont="1" applyFill="1" applyBorder="1" applyAlignment="1">
      <alignment horizontal="center" vertical="center"/>
    </xf>
    <xf numFmtId="14" fontId="55" fillId="6" borderId="75" xfId="0" applyNumberFormat="1" applyFont="1" applyFill="1" applyBorder="1" applyAlignment="1">
      <alignment horizontal="center"/>
    </xf>
    <xf numFmtId="0" fontId="55" fillId="6" borderId="75" xfId="0" applyFont="1" applyFill="1" applyBorder="1" applyAlignment="1">
      <alignment horizontal="center"/>
    </xf>
    <xf numFmtId="3" fontId="55" fillId="2" borderId="75" xfId="0" applyNumberFormat="1" applyFont="1" applyFill="1" applyBorder="1" applyAlignment="1">
      <alignment horizontal="center"/>
    </xf>
    <xf numFmtId="49" fontId="55" fillId="6" borderId="75" xfId="0" applyNumberFormat="1" applyFont="1" applyFill="1" applyBorder="1" applyAlignment="1">
      <alignment horizontal="center"/>
    </xf>
    <xf numFmtId="49" fontId="55" fillId="6" borderId="75" xfId="0" quotePrefix="1" applyNumberFormat="1" applyFont="1" applyFill="1" applyBorder="1" applyAlignment="1">
      <alignment horizontal="center"/>
    </xf>
    <xf numFmtId="14" fontId="55" fillId="6" borderId="75" xfId="0" applyNumberFormat="1" applyFont="1" applyFill="1" applyBorder="1" applyAlignment="1">
      <alignment horizontal="center" vertical="center"/>
    </xf>
    <xf numFmtId="16" fontId="55" fillId="2" borderId="75" xfId="0" quotePrefix="1" applyNumberFormat="1" applyFont="1" applyFill="1" applyBorder="1" applyAlignment="1">
      <alignment horizontal="center"/>
    </xf>
    <xf numFmtId="16" fontId="1" fillId="2" borderId="0" xfId="8" quotePrefix="1" applyNumberFormat="1" applyFont="1" applyFill="1" applyAlignment="1">
      <alignment horizontal="center"/>
    </xf>
    <xf numFmtId="16" fontId="1" fillId="2" borderId="0" xfId="8" applyNumberFormat="1" applyFont="1" applyFill="1" applyAlignment="1">
      <alignment horizontal="center"/>
    </xf>
    <xf numFmtId="2" fontId="55" fillId="2" borderId="75" xfId="0" applyNumberFormat="1" applyFont="1" applyFill="1" applyBorder="1" applyAlignment="1">
      <alignment horizontal="center"/>
    </xf>
    <xf numFmtId="14" fontId="55" fillId="9" borderId="75" xfId="0" applyNumberFormat="1" applyFont="1" applyFill="1" applyBorder="1" applyAlignment="1">
      <alignment horizontal="center" vertical="center"/>
    </xf>
    <xf numFmtId="16" fontId="55" fillId="2" borderId="6" xfId="0" quotePrefix="1" applyNumberFormat="1" applyFont="1" applyFill="1" applyBorder="1" applyAlignment="1">
      <alignment horizontal="center" vertical="center"/>
    </xf>
    <xf numFmtId="0" fontId="55" fillId="2" borderId="90" xfId="0" applyFont="1" applyFill="1" applyBorder="1" applyAlignment="1">
      <alignment horizontal="center" vertical="center"/>
    </xf>
    <xf numFmtId="0" fontId="55" fillId="2" borderId="88" xfId="0" applyFont="1" applyFill="1" applyBorder="1" applyAlignment="1">
      <alignment horizontal="center" vertical="center"/>
    </xf>
    <xf numFmtId="14" fontId="55" fillId="0" borderId="90" xfId="0" applyNumberFormat="1" applyFont="1" applyBorder="1" applyAlignment="1">
      <alignment horizontal="center"/>
    </xf>
    <xf numFmtId="0" fontId="55" fillId="2" borderId="93" xfId="0" applyFont="1" applyFill="1" applyBorder="1" applyAlignment="1">
      <alignment horizontal="center" vertical="center"/>
    </xf>
    <xf numFmtId="14" fontId="55" fillId="2" borderId="94" xfId="0" applyNumberFormat="1" applyFont="1" applyFill="1" applyBorder="1" applyAlignment="1">
      <alignment horizontal="center" vertical="center"/>
    </xf>
    <xf numFmtId="14" fontId="55" fillId="2" borderId="91" xfId="0" applyNumberFormat="1" applyFont="1" applyFill="1" applyBorder="1" applyAlignment="1">
      <alignment horizontal="center" vertical="center"/>
    </xf>
    <xf numFmtId="14" fontId="55" fillId="2" borderId="90" xfId="0" applyNumberFormat="1" applyFont="1" applyFill="1" applyBorder="1" applyAlignment="1">
      <alignment horizontal="center" vertical="center"/>
    </xf>
    <xf numFmtId="0" fontId="55" fillId="2" borderId="92" xfId="0" applyFont="1" applyFill="1" applyBorder="1" applyAlignment="1">
      <alignment horizontal="center" vertical="center"/>
    </xf>
    <xf numFmtId="16" fontId="55" fillId="9" borderId="75" xfId="0" quotePrefix="1" applyNumberFormat="1" applyFont="1" applyFill="1" applyBorder="1" applyAlignment="1">
      <alignment horizontal="center" vertical="center"/>
    </xf>
    <xf numFmtId="0" fontId="55" fillId="2" borderId="75" xfId="0" applyFont="1" applyFill="1" applyBorder="1" applyAlignment="1">
      <alignment horizontal="center" vertical="center"/>
    </xf>
    <xf numFmtId="0" fontId="7" fillId="2" borderId="0" xfId="8" applyFont="1" applyFill="1" applyAlignment="1">
      <alignment horizontal="center" vertical="center"/>
    </xf>
    <xf numFmtId="0" fontId="8" fillId="2" borderId="34" xfId="8" applyFont="1" applyFill="1" applyBorder="1" applyAlignment="1">
      <alignment horizontal="center" vertical="top"/>
    </xf>
    <xf numFmtId="0" fontId="8" fillId="2" borderId="34" xfId="8" applyFont="1" applyFill="1" applyBorder="1" applyAlignment="1">
      <alignment horizontal="center"/>
    </xf>
    <xf numFmtId="0" fontId="8" fillId="2" borderId="0" xfId="8" applyFont="1" applyFill="1" applyAlignment="1">
      <alignment horizontal="center"/>
    </xf>
    <xf numFmtId="0" fontId="8" fillId="2" borderId="34" xfId="8" applyFont="1" applyFill="1" applyBorder="1" applyAlignment="1">
      <alignment horizontal="center" vertical="center"/>
    </xf>
    <xf numFmtId="0" fontId="55" fillId="2" borderId="75" xfId="0" applyFont="1" applyFill="1" applyBorder="1" applyAlignment="1">
      <alignment horizontal="center" vertical="center" wrapText="1"/>
    </xf>
    <xf numFmtId="0" fontId="55" fillId="2" borderId="2" xfId="0" applyFont="1" applyFill="1" applyBorder="1" applyAlignment="1">
      <alignment horizontal="center" vertical="center" wrapText="1"/>
    </xf>
    <xf numFmtId="0" fontId="7" fillId="2" borderId="98" xfId="8" applyFont="1" applyFill="1" applyBorder="1" applyAlignment="1">
      <alignment horizontal="center"/>
    </xf>
    <xf numFmtId="0" fontId="22" fillId="2" borderId="75" xfId="8" applyFont="1" applyFill="1" applyBorder="1" applyAlignment="1">
      <alignment horizontal="center" vertical="center"/>
    </xf>
    <xf numFmtId="0" fontId="7" fillId="2" borderId="96" xfId="8" applyFont="1" applyFill="1" applyBorder="1" applyAlignment="1">
      <alignment horizontal="center"/>
    </xf>
    <xf numFmtId="0" fontId="0" fillId="0" borderId="78" xfId="0" applyBorder="1"/>
    <xf numFmtId="0" fontId="0" fillId="0" borderId="85" xfId="0" applyBorder="1"/>
    <xf numFmtId="0" fontId="30" fillId="0" borderId="86" xfId="0" applyFont="1" applyBorder="1"/>
    <xf numFmtId="0" fontId="59" fillId="2" borderId="6" xfId="0" applyFont="1" applyFill="1" applyBorder="1" applyAlignment="1">
      <alignment horizontal="center" vertical="center"/>
    </xf>
    <xf numFmtId="16" fontId="55" fillId="0" borderId="75" xfId="0" quotePrefix="1" applyNumberFormat="1" applyFont="1" applyBorder="1" applyAlignment="1">
      <alignment horizontal="center" vertical="center"/>
    </xf>
    <xf numFmtId="14" fontId="55" fillId="0" borderId="75" xfId="0" applyNumberFormat="1" applyFont="1" applyBorder="1" applyAlignment="1">
      <alignment horizontal="center" vertical="center"/>
    </xf>
    <xf numFmtId="2" fontId="55" fillId="2" borderId="75" xfId="0" applyNumberFormat="1" applyFont="1" applyFill="1" applyBorder="1" applyAlignment="1">
      <alignment horizontal="center" vertical="center"/>
    </xf>
    <xf numFmtId="14" fontId="55" fillId="2" borderId="75" xfId="0" quotePrefix="1" applyNumberFormat="1" applyFont="1" applyFill="1" applyBorder="1" applyAlignment="1">
      <alignment horizontal="center" vertical="center"/>
    </xf>
    <xf numFmtId="166" fontId="55" fillId="0" borderId="0" xfId="0" applyNumberFormat="1" applyFont="1" applyAlignment="1">
      <alignment horizontal="center"/>
    </xf>
    <xf numFmtId="0" fontId="55" fillId="0" borderId="0" xfId="0" applyFont="1" applyAlignment="1">
      <alignment vertical="center"/>
    </xf>
    <xf numFmtId="0" fontId="55" fillId="0" borderId="0" xfId="0" applyFont="1" applyAlignment="1">
      <alignment horizontal="center" vertical="center"/>
    </xf>
    <xf numFmtId="0" fontId="55" fillId="2" borderId="0" xfId="0" applyFont="1" applyFill="1" applyAlignment="1">
      <alignment vertical="center"/>
    </xf>
    <xf numFmtId="0" fontId="55" fillId="2" borderId="76" xfId="0" applyFont="1" applyFill="1" applyBorder="1" applyAlignment="1">
      <alignment horizontal="center" vertical="center"/>
    </xf>
    <xf numFmtId="0" fontId="55" fillId="2" borderId="39" xfId="0" applyFont="1" applyFill="1" applyBorder="1" applyAlignment="1">
      <alignment horizontal="center" vertical="center"/>
    </xf>
    <xf numFmtId="0" fontId="59" fillId="0" borderId="75" xfId="0" applyFont="1" applyBorder="1" applyAlignment="1">
      <alignment horizontal="center" vertical="center"/>
    </xf>
    <xf numFmtId="14" fontId="55" fillId="2" borderId="89" xfId="0" applyNumberFormat="1" applyFont="1" applyFill="1" applyBorder="1" applyAlignment="1">
      <alignment horizontal="center" vertical="center"/>
    </xf>
    <xf numFmtId="0" fontId="14" fillId="0" borderId="75" xfId="0" applyFont="1" applyBorder="1" applyAlignment="1">
      <alignment horizontal="center"/>
    </xf>
    <xf numFmtId="0" fontId="14" fillId="0" borderId="31" xfId="0" applyFont="1" applyBorder="1"/>
    <xf numFmtId="168" fontId="55" fillId="0" borderId="75" xfId="0" applyNumberFormat="1" applyFont="1" applyBorder="1" applyAlignment="1">
      <alignment horizontal="center" vertical="center"/>
    </xf>
    <xf numFmtId="9" fontId="55" fillId="0" borderId="75" xfId="172" applyFont="1" applyBorder="1" applyAlignment="1">
      <alignment horizontal="center" vertical="center"/>
    </xf>
    <xf numFmtId="169" fontId="55" fillId="0" borderId="75" xfId="172" applyNumberFormat="1" applyFont="1" applyBorder="1" applyAlignment="1">
      <alignment horizontal="center" vertical="center"/>
    </xf>
    <xf numFmtId="49" fontId="55" fillId="0" borderId="90" xfId="0" quotePrefix="1" applyNumberFormat="1" applyFont="1" applyBorder="1" applyAlignment="1">
      <alignment horizontal="center"/>
    </xf>
    <xf numFmtId="0" fontId="55" fillId="2" borderId="35" xfId="0" applyFont="1" applyFill="1" applyBorder="1" applyAlignment="1">
      <alignment horizontal="center" vertical="center"/>
    </xf>
    <xf numFmtId="0" fontId="55" fillId="0" borderId="75" xfId="173" applyFont="1" applyBorder="1" applyAlignment="1">
      <alignment horizontal="center" vertical="center" wrapText="1"/>
    </xf>
    <xf numFmtId="14" fontId="55" fillId="0" borderId="13" xfId="173" applyNumberFormat="1" applyFont="1" applyBorder="1" applyAlignment="1">
      <alignment horizontal="center" vertical="center" wrapText="1"/>
    </xf>
    <xf numFmtId="0" fontId="8" fillId="0" borderId="84" xfId="173" applyFont="1" applyBorder="1" applyAlignment="1">
      <alignment horizontal="center" vertical="center"/>
    </xf>
    <xf numFmtId="0" fontId="8" fillId="2" borderId="84" xfId="173" applyFont="1" applyFill="1" applyBorder="1" applyAlignment="1">
      <alignment horizontal="center" vertical="center"/>
    </xf>
    <xf numFmtId="0" fontId="8" fillId="0" borderId="87" xfId="173" applyFont="1" applyBorder="1" applyAlignment="1">
      <alignment horizontal="center" vertical="center"/>
    </xf>
    <xf numFmtId="0" fontId="62" fillId="0" borderId="31" xfId="173" applyFont="1" applyBorder="1" applyAlignment="1">
      <alignment horizontal="center" vertical="center"/>
    </xf>
    <xf numFmtId="0" fontId="62" fillId="0" borderId="0" xfId="173" applyFont="1" applyAlignment="1">
      <alignment horizontal="center" vertical="center"/>
    </xf>
    <xf numFmtId="0" fontId="63" fillId="0" borderId="0" xfId="173" applyFont="1" applyAlignment="1">
      <alignment horizontal="center" vertical="center"/>
    </xf>
    <xf numFmtId="0" fontId="62" fillId="2" borderId="0" xfId="173" applyFont="1" applyFill="1" applyAlignment="1">
      <alignment horizontal="center" vertical="center"/>
    </xf>
    <xf numFmtId="0" fontId="62" fillId="0" borderId="32" xfId="173" applyFont="1" applyBorder="1" applyAlignment="1">
      <alignment horizontal="center" vertical="center"/>
    </xf>
    <xf numFmtId="0" fontId="8" fillId="35" borderId="43" xfId="0" applyFont="1" applyFill="1" applyBorder="1" applyAlignment="1">
      <alignment horizontal="center" vertical="center" wrapText="1"/>
    </xf>
    <xf numFmtId="0" fontId="8" fillId="35" borderId="17" xfId="0" applyFont="1" applyFill="1" applyBorder="1" applyAlignment="1">
      <alignment horizontal="center" vertical="center"/>
    </xf>
    <xf numFmtId="0" fontId="14" fillId="35" borderId="17" xfId="0" applyFont="1" applyFill="1" applyBorder="1" applyAlignment="1">
      <alignment horizontal="center" vertical="center"/>
    </xf>
    <xf numFmtId="0" fontId="8" fillId="35" borderId="17" xfId="0" applyFont="1" applyFill="1" applyBorder="1" applyAlignment="1">
      <alignment horizontal="center" vertical="center" wrapText="1"/>
    </xf>
    <xf numFmtId="0" fontId="8" fillId="35" borderId="42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56" fillId="0" borderId="15" xfId="0" applyFont="1" applyBorder="1" applyAlignment="1">
      <alignment vertical="center" wrapText="1"/>
    </xf>
    <xf numFmtId="0" fontId="56" fillId="0" borderId="15" xfId="0" applyFont="1" applyBorder="1" applyAlignment="1">
      <alignment vertical="center"/>
    </xf>
    <xf numFmtId="0" fontId="8" fillId="0" borderId="14" xfId="0" applyFont="1" applyBorder="1" applyAlignment="1">
      <alignment horizontal="center" vertical="center" wrapText="1"/>
    </xf>
    <xf numFmtId="0" fontId="56" fillId="0" borderId="13" xfId="0" applyFont="1" applyBorder="1" applyAlignment="1">
      <alignment horizontal="center" vertical="center"/>
    </xf>
    <xf numFmtId="0" fontId="56" fillId="2" borderId="13" xfId="0" applyFont="1" applyFill="1" applyBorder="1" applyAlignment="1">
      <alignment horizontal="center" vertical="center"/>
    </xf>
    <xf numFmtId="0" fontId="56" fillId="0" borderId="12" xfId="0" applyFont="1" applyBorder="1" applyAlignment="1">
      <alignment vertical="center"/>
    </xf>
    <xf numFmtId="0" fontId="8" fillId="0" borderId="7" xfId="0" applyFont="1" applyBorder="1" applyAlignment="1">
      <alignment horizontal="center" vertical="center" wrapText="1"/>
    </xf>
    <xf numFmtId="0" fontId="56" fillId="0" borderId="7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56" fillId="0" borderId="0" xfId="0" applyFont="1" applyAlignment="1">
      <alignment vertical="center"/>
    </xf>
    <xf numFmtId="0" fontId="64" fillId="0" borderId="0" xfId="90" applyFont="1" applyAlignment="1" applyProtection="1">
      <alignment vertical="center" wrapText="1"/>
      <protection locked="0"/>
    </xf>
    <xf numFmtId="0" fontId="14" fillId="10" borderId="16" xfId="90" applyFont="1" applyFill="1" applyBorder="1" applyAlignment="1">
      <alignment horizontal="center" vertical="center" wrapText="1"/>
    </xf>
    <xf numFmtId="0" fontId="14" fillId="10" borderId="75" xfId="90" applyFont="1" applyFill="1" applyBorder="1" applyAlignment="1">
      <alignment horizontal="center" vertical="center" wrapText="1"/>
    </xf>
    <xf numFmtId="0" fontId="14" fillId="10" borderId="15" xfId="90" applyFont="1" applyFill="1" applyBorder="1" applyAlignment="1">
      <alignment horizontal="center" vertical="center" wrapText="1"/>
    </xf>
    <xf numFmtId="0" fontId="14" fillId="2" borderId="0" xfId="90" applyFont="1" applyFill="1" applyAlignment="1">
      <alignment horizontal="center" vertical="center" wrapText="1"/>
    </xf>
    <xf numFmtId="0" fontId="14" fillId="0" borderId="0" xfId="90" applyFont="1" applyAlignment="1">
      <alignment horizontal="center" vertical="center" wrapText="1"/>
    </xf>
    <xf numFmtId="0" fontId="56" fillId="0" borderId="16" xfId="173" applyFont="1" applyBorder="1" applyAlignment="1">
      <alignment horizontal="center" vertical="center"/>
    </xf>
    <xf numFmtId="2" fontId="56" fillId="2" borderId="75" xfId="0" quotePrefix="1" applyNumberFormat="1" applyFont="1" applyFill="1" applyBorder="1" applyAlignment="1">
      <alignment horizontal="center" vertical="center" wrapText="1"/>
    </xf>
    <xf numFmtId="2" fontId="56" fillId="2" borderId="75" xfId="0" applyNumberFormat="1" applyFont="1" applyFill="1" applyBorder="1" applyAlignment="1">
      <alignment horizontal="center" vertical="center" wrapText="1"/>
    </xf>
    <xf numFmtId="14" fontId="56" fillId="0" borderId="75" xfId="173" applyNumberFormat="1" applyFont="1" applyBorder="1" applyAlignment="1">
      <alignment horizontal="center" vertical="center"/>
    </xf>
    <xf numFmtId="0" fontId="65" fillId="0" borderId="15" xfId="173" applyFont="1" applyBorder="1" applyAlignment="1">
      <alignment horizontal="center" vertical="center"/>
    </xf>
    <xf numFmtId="14" fontId="56" fillId="2" borderId="0" xfId="173" applyNumberFormat="1" applyFont="1" applyFill="1" applyAlignment="1">
      <alignment horizontal="center" vertical="center"/>
    </xf>
    <xf numFmtId="0" fontId="56" fillId="0" borderId="0" xfId="173" applyFont="1" applyAlignment="1">
      <alignment vertical="center" wrapText="1"/>
    </xf>
    <xf numFmtId="0" fontId="56" fillId="0" borderId="75" xfId="0" applyFont="1" applyBorder="1" applyAlignment="1">
      <alignment horizontal="left" vertical="center"/>
    </xf>
    <xf numFmtId="2" fontId="56" fillId="0" borderId="75" xfId="0" applyNumberFormat="1" applyFont="1" applyBorder="1" applyAlignment="1">
      <alignment horizontal="center" vertical="center" wrapText="1"/>
    </xf>
    <xf numFmtId="14" fontId="55" fillId="0" borderId="75" xfId="173" applyNumberFormat="1" applyFont="1" applyBorder="1" applyAlignment="1">
      <alignment horizontal="center" vertical="center"/>
    </xf>
    <xf numFmtId="0" fontId="56" fillId="2" borderId="75" xfId="0" applyFont="1" applyFill="1" applyBorder="1" applyAlignment="1">
      <alignment horizontal="left" vertical="center" wrapText="1"/>
    </xf>
    <xf numFmtId="0" fontId="56" fillId="0" borderId="14" xfId="173" applyFont="1" applyBorder="1" applyAlignment="1">
      <alignment horizontal="center" vertical="center"/>
    </xf>
    <xf numFmtId="2" fontId="56" fillId="0" borderId="13" xfId="0" applyNumberFormat="1" applyFont="1" applyBorder="1" applyAlignment="1">
      <alignment horizontal="center" vertical="center" wrapText="1"/>
    </xf>
    <xf numFmtId="0" fontId="56" fillId="0" borderId="13" xfId="0" applyFont="1" applyBorder="1" applyAlignment="1">
      <alignment horizontal="left" vertical="center"/>
    </xf>
    <xf numFmtId="14" fontId="56" fillId="0" borderId="13" xfId="173" applyNumberFormat="1" applyFont="1" applyBorder="1" applyAlignment="1">
      <alignment horizontal="center" vertical="center"/>
    </xf>
    <xf numFmtId="0" fontId="65" fillId="0" borderId="12" xfId="173" applyFont="1" applyBorder="1" applyAlignment="1">
      <alignment horizontal="center" vertical="center"/>
    </xf>
    <xf numFmtId="0" fontId="56" fillId="0" borderId="0" xfId="173" applyFont="1" applyAlignment="1">
      <alignment horizontal="center" vertical="center"/>
    </xf>
    <xf numFmtId="0" fontId="56" fillId="0" borderId="0" xfId="173" applyFont="1"/>
    <xf numFmtId="0" fontId="56" fillId="0" borderId="0" xfId="173" applyFont="1" applyAlignment="1">
      <alignment horizontal="center"/>
    </xf>
    <xf numFmtId="0" fontId="55" fillId="0" borderId="0" xfId="173" applyFont="1" applyAlignment="1">
      <alignment horizontal="center"/>
    </xf>
    <xf numFmtId="0" fontId="65" fillId="0" borderId="0" xfId="173" applyFont="1" applyAlignment="1">
      <alignment horizontal="center" vertical="center"/>
    </xf>
    <xf numFmtId="0" fontId="56" fillId="2" borderId="0" xfId="173" applyFont="1" applyFill="1" applyAlignment="1">
      <alignment horizontal="center"/>
    </xf>
    <xf numFmtId="0" fontId="66" fillId="36" borderId="75" xfId="0" applyFont="1" applyFill="1" applyBorder="1" applyAlignment="1">
      <alignment horizontal="center" vertical="center" wrapText="1"/>
    </xf>
    <xf numFmtId="0" fontId="56" fillId="0" borderId="75" xfId="0" applyFont="1" applyBorder="1" applyAlignment="1">
      <alignment horizontal="center" vertical="center" wrapText="1"/>
    </xf>
    <xf numFmtId="0" fontId="56" fillId="0" borderId="75" xfId="173" applyFont="1" applyBorder="1" applyAlignment="1">
      <alignment horizontal="center" vertical="center"/>
    </xf>
    <xf numFmtId="0" fontId="66" fillId="0" borderId="0" xfId="0" applyFont="1"/>
    <xf numFmtId="14" fontId="66" fillId="36" borderId="76" xfId="0" applyNumberFormat="1" applyFont="1" applyFill="1" applyBorder="1" applyAlignment="1">
      <alignment horizontal="center" vertical="center" wrapText="1"/>
    </xf>
    <xf numFmtId="0" fontId="58" fillId="0" borderId="75" xfId="173" applyFont="1" applyBorder="1" applyAlignment="1" applyProtection="1">
      <alignment horizontal="center" vertical="center"/>
      <protection hidden="1"/>
    </xf>
    <xf numFmtId="1" fontId="56" fillId="0" borderId="75" xfId="173" applyNumberFormat="1" applyFont="1" applyBorder="1" applyAlignment="1" applyProtection="1">
      <alignment horizontal="center" vertical="center"/>
      <protection hidden="1"/>
    </xf>
    <xf numFmtId="2" fontId="56" fillId="0" borderId="75" xfId="173" applyNumberFormat="1" applyFont="1" applyBorder="1" applyAlignment="1" applyProtection="1">
      <alignment horizontal="center" vertical="center"/>
      <protection hidden="1"/>
    </xf>
    <xf numFmtId="0" fontId="56" fillId="0" borderId="75" xfId="173" applyFont="1" applyBorder="1" applyAlignment="1" applyProtection="1">
      <alignment horizontal="center" vertical="center"/>
      <protection hidden="1"/>
    </xf>
    <xf numFmtId="0" fontId="55" fillId="2" borderId="95" xfId="0" applyFont="1" applyFill="1" applyBorder="1" applyAlignment="1">
      <alignment horizontal="center" vertical="center"/>
    </xf>
    <xf numFmtId="0" fontId="55" fillId="0" borderId="90" xfId="0" applyFont="1" applyBorder="1" applyAlignment="1">
      <alignment horizontal="center"/>
    </xf>
    <xf numFmtId="0" fontId="55" fillId="37" borderId="75" xfId="0" quotePrefix="1" applyFont="1" applyFill="1" applyBorder="1" applyAlignment="1">
      <alignment horizontal="center"/>
    </xf>
    <xf numFmtId="0" fontId="55" fillId="37" borderId="75" xfId="0" applyFont="1" applyFill="1" applyBorder="1" applyAlignment="1">
      <alignment horizontal="center"/>
    </xf>
    <xf numFmtId="14" fontId="55" fillId="37" borderId="75" xfId="0" applyNumberFormat="1" applyFont="1" applyFill="1" applyBorder="1" applyAlignment="1">
      <alignment horizontal="center"/>
    </xf>
    <xf numFmtId="0" fontId="55" fillId="0" borderId="75" xfId="0" quotePrefix="1" applyFont="1" applyBorder="1" applyAlignment="1">
      <alignment horizontal="center" vertical="center"/>
    </xf>
    <xf numFmtId="1" fontId="56" fillId="0" borderId="75" xfId="5" applyNumberFormat="1" applyFont="1" applyBorder="1" applyAlignment="1">
      <alignment horizontal="center"/>
    </xf>
    <xf numFmtId="0" fontId="56" fillId="0" borderId="75" xfId="5" applyFont="1" applyBorder="1" applyAlignment="1">
      <alignment horizontal="center"/>
    </xf>
    <xf numFmtId="14" fontId="55" fillId="2" borderId="3" xfId="0" applyNumberFormat="1" applyFont="1" applyFill="1" applyBorder="1" applyAlignment="1">
      <alignment horizontal="center" vertical="center"/>
    </xf>
    <xf numFmtId="49" fontId="55" fillId="6" borderId="90" xfId="0" quotePrefix="1" applyNumberFormat="1" applyFont="1" applyFill="1" applyBorder="1" applyAlignment="1">
      <alignment horizontal="center"/>
    </xf>
    <xf numFmtId="0" fontId="55" fillId="6" borderId="90" xfId="0" applyFont="1" applyFill="1" applyBorder="1" applyAlignment="1">
      <alignment horizontal="center" vertical="center"/>
    </xf>
    <xf numFmtId="14" fontId="55" fillId="6" borderId="90" xfId="0" applyNumberFormat="1" applyFont="1" applyFill="1" applyBorder="1" applyAlignment="1">
      <alignment horizontal="center"/>
    </xf>
    <xf numFmtId="16" fontId="55" fillId="37" borderId="75" xfId="0" quotePrefix="1" applyNumberFormat="1" applyFont="1" applyFill="1" applyBorder="1" applyAlignment="1">
      <alignment horizontal="center" vertical="center"/>
    </xf>
    <xf numFmtId="0" fontId="56" fillId="37" borderId="75" xfId="0" applyFont="1" applyFill="1" applyBorder="1" applyAlignment="1">
      <alignment horizontal="center" vertical="center"/>
    </xf>
    <xf numFmtId="14" fontId="55" fillId="37" borderId="75" xfId="0" applyNumberFormat="1" applyFont="1" applyFill="1" applyBorder="1" applyAlignment="1">
      <alignment horizontal="center" vertical="center"/>
    </xf>
    <xf numFmtId="0" fontId="55" fillId="37" borderId="75" xfId="0" applyFont="1" applyFill="1" applyBorder="1" applyAlignment="1">
      <alignment horizontal="center" vertical="center" wrapText="1"/>
    </xf>
    <xf numFmtId="0" fontId="55" fillId="38" borderId="75" xfId="0" quotePrefix="1" applyFont="1" applyFill="1" applyBorder="1" applyAlignment="1">
      <alignment horizontal="center"/>
    </xf>
    <xf numFmtId="0" fontId="55" fillId="38" borderId="2" xfId="0" applyFont="1" applyFill="1" applyBorder="1" applyAlignment="1">
      <alignment horizontal="center" vertical="center"/>
    </xf>
    <xf numFmtId="14" fontId="55" fillId="38" borderId="75" xfId="0" applyNumberFormat="1" applyFont="1" applyFill="1" applyBorder="1" applyAlignment="1">
      <alignment horizontal="center"/>
    </xf>
    <xf numFmtId="0" fontId="55" fillId="38" borderId="75" xfId="0" applyFont="1" applyFill="1" applyBorder="1" applyAlignment="1">
      <alignment horizontal="center" vertical="center"/>
    </xf>
    <xf numFmtId="49" fontId="55" fillId="38" borderId="75" xfId="0" quotePrefix="1" applyNumberFormat="1" applyFont="1" applyFill="1" applyBorder="1" applyAlignment="1">
      <alignment horizontal="center"/>
    </xf>
    <xf numFmtId="3" fontId="55" fillId="38" borderId="5" xfId="0" applyNumberFormat="1" applyFont="1" applyFill="1" applyBorder="1" applyAlignment="1">
      <alignment horizontal="center"/>
    </xf>
    <xf numFmtId="0" fontId="6" fillId="0" borderId="85" xfId="8" applyFont="1" applyBorder="1" applyAlignment="1">
      <alignment horizontal="center" vertical="center"/>
    </xf>
    <xf numFmtId="0" fontId="61" fillId="2" borderId="89" xfId="0" applyFont="1" applyFill="1" applyBorder="1" applyAlignment="1">
      <alignment horizontal="center" wrapText="1"/>
    </xf>
    <xf numFmtId="0" fontId="61" fillId="2" borderId="84" xfId="0" applyFont="1" applyFill="1" applyBorder="1" applyAlignment="1">
      <alignment horizontal="center" wrapText="1"/>
    </xf>
    <xf numFmtId="0" fontId="61" fillId="2" borderId="76" xfId="0" applyFont="1" applyFill="1" applyBorder="1" applyAlignment="1">
      <alignment horizontal="center" wrapText="1"/>
    </xf>
    <xf numFmtId="0" fontId="9" fillId="2" borderId="89" xfId="0" applyFont="1" applyFill="1" applyBorder="1" applyAlignment="1">
      <alignment horizontal="center" vertical="center" wrapText="1"/>
    </xf>
    <xf numFmtId="0" fontId="9" fillId="2" borderId="84" xfId="0" applyFont="1" applyFill="1" applyBorder="1" applyAlignment="1">
      <alignment horizontal="center" vertical="center" wrapText="1"/>
    </xf>
    <xf numFmtId="0" fontId="9" fillId="2" borderId="76" xfId="0" applyFont="1" applyFill="1" applyBorder="1" applyAlignment="1">
      <alignment horizontal="center" vertical="center" wrapText="1"/>
    </xf>
    <xf numFmtId="0" fontId="55" fillId="0" borderId="3" xfId="0" applyFont="1" applyBorder="1" applyAlignment="1">
      <alignment horizontal="center" vertical="center"/>
    </xf>
    <xf numFmtId="167" fontId="55" fillId="0" borderId="3" xfId="0" applyNumberFormat="1" applyFont="1" applyBorder="1" applyAlignment="1">
      <alignment horizontal="center" vertical="center"/>
    </xf>
    <xf numFmtId="14" fontId="55" fillId="2" borderId="8" xfId="0" applyNumberFormat="1" applyFont="1" applyFill="1" applyBorder="1" applyAlignment="1">
      <alignment horizontal="center" vertical="center"/>
    </xf>
    <xf numFmtId="49" fontId="55" fillId="0" borderId="75" xfId="0" applyNumberFormat="1" applyFont="1" applyBorder="1" applyAlignment="1">
      <alignment horizontal="center"/>
    </xf>
    <xf numFmtId="0" fontId="13" fillId="0" borderId="75" xfId="0" applyFont="1" applyBorder="1" applyAlignment="1">
      <alignment horizontal="center"/>
    </xf>
    <xf numFmtId="0" fontId="12" fillId="2" borderId="75" xfId="0" applyFont="1" applyFill="1" applyBorder="1" applyAlignment="1">
      <alignment horizontal="center" vertical="center" wrapText="1"/>
    </xf>
    <xf numFmtId="0" fontId="12" fillId="39" borderId="75" xfId="0" applyFont="1" applyFill="1" applyBorder="1" applyAlignment="1">
      <alignment horizontal="center" vertical="center" wrapText="1"/>
    </xf>
    <xf numFmtId="167" fontId="12" fillId="39" borderId="75" xfId="0" applyNumberFormat="1" applyFont="1" applyFill="1" applyBorder="1" applyAlignment="1">
      <alignment horizontal="center" vertical="center" wrapText="1"/>
    </xf>
    <xf numFmtId="0" fontId="14" fillId="41" borderId="6" xfId="0" applyFont="1" applyFill="1" applyBorder="1" applyAlignment="1">
      <alignment horizontal="center" vertical="center" wrapText="1"/>
    </xf>
    <xf numFmtId="0" fontId="14" fillId="41" borderId="9" xfId="0" applyFont="1" applyFill="1" applyBorder="1" applyAlignment="1">
      <alignment horizontal="center" vertical="center" wrapText="1"/>
    </xf>
    <xf numFmtId="0" fontId="14" fillId="41" borderId="75" xfId="0" applyFont="1" applyFill="1" applyBorder="1" applyAlignment="1">
      <alignment horizontal="center" vertical="center" wrapText="1"/>
    </xf>
    <xf numFmtId="0" fontId="55" fillId="41" borderId="6" xfId="0" applyFont="1" applyFill="1" applyBorder="1" applyAlignment="1">
      <alignment horizontal="center"/>
    </xf>
    <xf numFmtId="0" fontId="57" fillId="41" borderId="6" xfId="171" applyFont="1" applyFill="1" applyBorder="1" applyAlignment="1" applyProtection="1">
      <alignment horizontal="center"/>
    </xf>
    <xf numFmtId="0" fontId="2" fillId="0" borderId="7" xfId="0" applyFont="1" applyBorder="1" applyAlignment="1">
      <alignment horizontal="center" vertical="center" wrapText="1"/>
    </xf>
    <xf numFmtId="0" fontId="14" fillId="41" borderId="43" xfId="0" applyFont="1" applyFill="1" applyBorder="1" applyAlignment="1">
      <alignment horizontal="center" vertical="center" wrapText="1"/>
    </xf>
    <xf numFmtId="0" fontId="14" fillId="41" borderId="17" xfId="0" applyFont="1" applyFill="1" applyBorder="1" applyAlignment="1">
      <alignment horizontal="center" vertical="center" wrapText="1"/>
    </xf>
    <xf numFmtId="0" fontId="14" fillId="41" borderId="42" xfId="0" applyFont="1" applyFill="1" applyBorder="1" applyAlignment="1">
      <alignment horizontal="center" vertical="center" wrapText="1"/>
    </xf>
    <xf numFmtId="0" fontId="13" fillId="0" borderId="102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167" fontId="13" fillId="0" borderId="13" xfId="0" applyNumberFormat="1" applyFont="1" applyBorder="1" applyAlignment="1">
      <alignment horizontal="center" vertical="center" wrapText="1"/>
    </xf>
    <xf numFmtId="0" fontId="12" fillId="39" borderId="13" xfId="0" applyFont="1" applyFill="1" applyBorder="1" applyAlignment="1">
      <alignment horizontal="center" vertical="center" wrapText="1"/>
    </xf>
    <xf numFmtId="167" fontId="13" fillId="2" borderId="13" xfId="0" applyNumberFormat="1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167" fontId="12" fillId="39" borderId="13" xfId="0" applyNumberFormat="1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/>
    </xf>
    <xf numFmtId="0" fontId="67" fillId="2" borderId="32" xfId="8" applyFont="1" applyFill="1" applyBorder="1" applyAlignment="1">
      <alignment horizontal="center" vertical="center"/>
    </xf>
    <xf numFmtId="0" fontId="68" fillId="2" borderId="75" xfId="8" applyFont="1" applyFill="1" applyBorder="1" applyAlignment="1">
      <alignment horizontal="center" vertical="center"/>
    </xf>
    <xf numFmtId="0" fontId="22" fillId="2" borderId="89" xfId="8" applyFont="1" applyFill="1" applyBorder="1" applyAlignment="1">
      <alignment horizontal="center" vertical="center"/>
    </xf>
    <xf numFmtId="0" fontId="69" fillId="0" borderId="33" xfId="8" applyFont="1" applyBorder="1" applyAlignment="1">
      <alignment horizontal="center" vertical="center"/>
    </xf>
    <xf numFmtId="0" fontId="69" fillId="0" borderId="45" xfId="8" applyFont="1" applyBorder="1" applyAlignment="1">
      <alignment horizontal="center" vertical="center"/>
    </xf>
    <xf numFmtId="0" fontId="70" fillId="0" borderId="45" xfId="8" applyFont="1" applyBorder="1" applyAlignment="1">
      <alignment horizontal="center" vertical="center"/>
    </xf>
    <xf numFmtId="0" fontId="1" fillId="2" borderId="24" xfId="8" applyFont="1" applyFill="1" applyBorder="1" applyAlignment="1">
      <alignment vertical="center"/>
    </xf>
    <xf numFmtId="0" fontId="1" fillId="2" borderId="24" xfId="8" applyFont="1" applyFill="1" applyBorder="1" applyAlignment="1">
      <alignment horizontal="left" vertical="center"/>
    </xf>
    <xf numFmtId="14" fontId="28" fillId="0" borderId="2" xfId="0" applyNumberFormat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vertical="center" wrapText="1"/>
    </xf>
    <xf numFmtId="0" fontId="55" fillId="0" borderId="0" xfId="0" applyFont="1" applyAlignment="1">
      <alignment vertical="center" wrapText="1"/>
    </xf>
    <xf numFmtId="16" fontId="55" fillId="2" borderId="0" xfId="0" quotePrefix="1" applyNumberFormat="1" applyFont="1" applyFill="1" applyAlignment="1">
      <alignment horizontal="center" vertical="center"/>
    </xf>
    <xf numFmtId="0" fontId="55" fillId="0" borderId="0" xfId="0" applyFont="1" applyAlignment="1">
      <alignment wrapText="1"/>
    </xf>
    <xf numFmtId="1" fontId="13" fillId="2" borderId="102" xfId="1" applyNumberFormat="1" applyFont="1" applyFill="1" applyBorder="1" applyAlignment="1">
      <alignment horizontal="center" vertical="center" wrapText="1"/>
    </xf>
    <xf numFmtId="0" fontId="13" fillId="2" borderId="105" xfId="1" applyFont="1" applyFill="1" applyBorder="1" applyAlignment="1">
      <alignment horizontal="center" vertical="center" wrapText="1"/>
    </xf>
    <xf numFmtId="1" fontId="13" fillId="2" borderId="105" xfId="1" applyNumberFormat="1" applyFont="1" applyFill="1" applyBorder="1" applyAlignment="1">
      <alignment horizontal="center" vertical="center" wrapText="1"/>
    </xf>
    <xf numFmtId="1" fontId="13" fillId="2" borderId="106" xfId="1" applyNumberFormat="1" applyFont="1" applyFill="1" applyBorder="1" applyAlignment="1">
      <alignment horizontal="center" vertical="center" wrapText="1"/>
    </xf>
    <xf numFmtId="0" fontId="65" fillId="0" borderId="15" xfId="173" applyFont="1" applyBorder="1" applyAlignment="1">
      <alignment horizontal="center" vertical="center" wrapText="1"/>
    </xf>
    <xf numFmtId="0" fontId="59" fillId="2" borderId="75" xfId="0" applyFont="1" applyFill="1" applyBorder="1" applyAlignment="1">
      <alignment horizontal="center" vertical="center"/>
    </xf>
    <xf numFmtId="0" fontId="14" fillId="6" borderId="103" xfId="1" applyFont="1" applyFill="1" applyBorder="1" applyAlignment="1">
      <alignment horizontal="center" vertical="center" wrapText="1"/>
    </xf>
    <xf numFmtId="0" fontId="14" fillId="6" borderId="104" xfId="1" applyFont="1" applyFill="1" applyBorder="1" applyAlignment="1">
      <alignment horizontal="center" vertical="center" wrapText="1"/>
    </xf>
    <xf numFmtId="167" fontId="55" fillId="2" borderId="75" xfId="0" applyNumberFormat="1" applyFont="1" applyFill="1" applyBorder="1" applyAlignment="1">
      <alignment horizontal="center"/>
    </xf>
    <xf numFmtId="0" fontId="1" fillId="2" borderId="23" xfId="8" applyFont="1" applyFill="1" applyBorder="1" applyAlignment="1">
      <alignment horizontal="left" vertical="center"/>
    </xf>
    <xf numFmtId="0" fontId="55" fillId="42" borderId="75" xfId="0" applyFont="1" applyFill="1" applyBorder="1" applyAlignment="1">
      <alignment horizontal="center" vertical="center"/>
    </xf>
    <xf numFmtId="14" fontId="55" fillId="42" borderId="75" xfId="0" applyNumberFormat="1" applyFont="1" applyFill="1" applyBorder="1" applyAlignment="1">
      <alignment horizontal="center"/>
    </xf>
    <xf numFmtId="49" fontId="55" fillId="43" borderId="75" xfId="0" quotePrefix="1" applyNumberFormat="1" applyFont="1" applyFill="1" applyBorder="1" applyAlignment="1">
      <alignment horizontal="center"/>
    </xf>
    <xf numFmtId="0" fontId="55" fillId="43" borderId="75" xfId="0" applyFont="1" applyFill="1" applyBorder="1" applyAlignment="1">
      <alignment horizontal="center" vertical="center"/>
    </xf>
    <xf numFmtId="14" fontId="55" fillId="43" borderId="75" xfId="0" applyNumberFormat="1" applyFont="1" applyFill="1" applyBorder="1" applyAlignment="1">
      <alignment horizontal="center"/>
    </xf>
    <xf numFmtId="0" fontId="8" fillId="2" borderId="0" xfId="8" applyFont="1" applyFill="1" applyAlignment="1">
      <alignment horizontal="left" vertical="center"/>
    </xf>
    <xf numFmtId="0" fontId="55" fillId="42" borderId="75" xfId="0" quotePrefix="1" applyFont="1" applyFill="1" applyBorder="1" applyAlignment="1">
      <alignment horizontal="center"/>
    </xf>
    <xf numFmtId="0" fontId="55" fillId="42" borderId="75" xfId="0" applyFont="1" applyFill="1" applyBorder="1" applyAlignment="1">
      <alignment horizontal="center"/>
    </xf>
    <xf numFmtId="0" fontId="14" fillId="41" borderId="2" xfId="0" applyFont="1" applyFill="1" applyBorder="1" applyAlignment="1">
      <alignment horizontal="center" vertical="center"/>
    </xf>
    <xf numFmtId="0" fontId="1" fillId="2" borderId="23" xfId="8" applyFont="1" applyFill="1" applyBorder="1" applyAlignment="1">
      <alignment horizontal="right" vertical="center"/>
    </xf>
    <xf numFmtId="0" fontId="1" fillId="2" borderId="22" xfId="8" applyFont="1" applyFill="1" applyBorder="1" applyAlignment="1">
      <alignment horizontal="center" vertical="center"/>
    </xf>
    <xf numFmtId="167" fontId="1" fillId="2" borderId="24" xfId="8" applyNumberFormat="1" applyFont="1" applyFill="1" applyBorder="1" applyAlignment="1">
      <alignment horizontal="left" vertical="center"/>
    </xf>
    <xf numFmtId="0" fontId="55" fillId="2" borderId="9" xfId="0" applyFont="1" applyFill="1" applyBorder="1" applyAlignment="1">
      <alignment horizontal="center" vertical="center"/>
    </xf>
    <xf numFmtId="0" fontId="55" fillId="0" borderId="3" xfId="0" applyFont="1" applyBorder="1" applyAlignment="1">
      <alignment horizontal="center" vertical="center" wrapText="1"/>
    </xf>
    <xf numFmtId="167" fontId="55" fillId="9" borderId="75" xfId="0" applyNumberFormat="1" applyFont="1" applyFill="1" applyBorder="1" applyAlignment="1">
      <alignment horizontal="center" vertical="center"/>
    </xf>
    <xf numFmtId="0" fontId="55" fillId="9" borderId="75" xfId="0" applyFont="1" applyFill="1" applyBorder="1" applyAlignment="1">
      <alignment horizontal="center"/>
    </xf>
    <xf numFmtId="0" fontId="59" fillId="9" borderId="75" xfId="0" applyFont="1" applyFill="1" applyBorder="1" applyAlignment="1">
      <alignment horizontal="center" vertical="center"/>
    </xf>
    <xf numFmtId="0" fontId="55" fillId="41" borderId="75" xfId="0" applyFont="1" applyFill="1" applyBorder="1" applyAlignment="1">
      <alignment horizontal="center" vertical="center" wrapText="1"/>
    </xf>
    <xf numFmtId="0" fontId="55" fillId="2" borderId="76" xfId="0" applyFont="1" applyFill="1" applyBorder="1" applyAlignment="1">
      <alignment horizontal="center"/>
    </xf>
    <xf numFmtId="0" fontId="55" fillId="0" borderId="75" xfId="0" applyFont="1" applyBorder="1" applyAlignment="1">
      <alignment horizontal="center" vertical="center" wrapText="1"/>
    </xf>
    <xf numFmtId="0" fontId="55" fillId="41" borderId="2" xfId="0" applyFont="1" applyFill="1" applyBorder="1" applyAlignment="1">
      <alignment horizontal="center" vertical="center" wrapText="1"/>
    </xf>
    <xf numFmtId="167" fontId="55" fillId="2" borderId="75" xfId="0" applyNumberFormat="1" applyFont="1" applyFill="1" applyBorder="1" applyAlignment="1">
      <alignment horizontal="center" vertical="center"/>
    </xf>
    <xf numFmtId="0" fontId="56" fillId="0" borderId="102" xfId="5" applyFont="1" applyBorder="1" applyAlignment="1">
      <alignment horizontal="center" vertical="center"/>
    </xf>
    <xf numFmtId="0" fontId="14" fillId="0" borderId="105" xfId="5" quotePrefix="1" applyFont="1" applyBorder="1" applyAlignment="1">
      <alignment horizontal="center" vertical="center"/>
    </xf>
    <xf numFmtId="0" fontId="8" fillId="0" borderId="105" xfId="5" applyFont="1" applyBorder="1" applyAlignment="1">
      <alignment horizontal="center" vertical="center"/>
    </xf>
    <xf numFmtId="0" fontId="56" fillId="0" borderId="106" xfId="5" applyFont="1" applyBorder="1" applyAlignment="1">
      <alignment horizontal="center" vertical="center"/>
    </xf>
    <xf numFmtId="0" fontId="14" fillId="0" borderId="75" xfId="0" applyFont="1" applyBorder="1"/>
    <xf numFmtId="0" fontId="55" fillId="0" borderId="75" xfId="0" applyFont="1" applyBorder="1"/>
    <xf numFmtId="1" fontId="55" fillId="0" borderId="0" xfId="0" applyNumberFormat="1" applyFont="1"/>
    <xf numFmtId="1" fontId="14" fillId="0" borderId="75" xfId="0" applyNumberFormat="1" applyFont="1" applyBorder="1" applyAlignment="1">
      <alignment horizontal="center"/>
    </xf>
    <xf numFmtId="1" fontId="55" fillId="0" borderId="75" xfId="0" applyNumberFormat="1" applyFont="1" applyBorder="1" applyAlignment="1">
      <alignment horizontal="center"/>
    </xf>
    <xf numFmtId="0" fontId="73" fillId="0" borderId="17" xfId="0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/>
    </xf>
    <xf numFmtId="0" fontId="72" fillId="0" borderId="0" xfId="0" applyFont="1"/>
    <xf numFmtId="0" fontId="72" fillId="2" borderId="0" xfId="0" applyFont="1" applyFill="1"/>
    <xf numFmtId="0" fontId="73" fillId="2" borderId="17" xfId="0" applyFont="1" applyFill="1" applyBorder="1" applyAlignment="1">
      <alignment horizontal="center" vertical="center" wrapText="1"/>
    </xf>
    <xf numFmtId="0" fontId="59" fillId="2" borderId="75" xfId="0" applyFont="1" applyFill="1" applyBorder="1" applyAlignment="1">
      <alignment horizontal="center" vertical="center" wrapText="1"/>
    </xf>
    <xf numFmtId="14" fontId="55" fillId="40" borderId="75" xfId="0" applyNumberFormat="1" applyFont="1" applyFill="1" applyBorder="1" applyAlignment="1">
      <alignment horizontal="center"/>
    </xf>
    <xf numFmtId="0" fontId="55" fillId="40" borderId="75" xfId="0" applyFont="1" applyFill="1" applyBorder="1" applyAlignment="1">
      <alignment horizontal="center" vertical="center"/>
    </xf>
    <xf numFmtId="0" fontId="74" fillId="0" borderId="75" xfId="0" applyFont="1" applyBorder="1"/>
    <xf numFmtId="0" fontId="74" fillId="0" borderId="75" xfId="0" applyFont="1" applyBorder="1" applyAlignment="1">
      <alignment horizontal="center"/>
    </xf>
    <xf numFmtId="0" fontId="8" fillId="0" borderId="102" xfId="5" applyFont="1" applyBorder="1" applyAlignment="1">
      <alignment horizontal="center" vertical="center"/>
    </xf>
    <xf numFmtId="0" fontId="8" fillId="0" borderId="90" xfId="5" applyFont="1" applyBorder="1" applyAlignment="1">
      <alignment horizontal="center" vertical="center"/>
    </xf>
    <xf numFmtId="1" fontId="8" fillId="0" borderId="90" xfId="5" applyNumberFormat="1" applyFont="1" applyBorder="1" applyAlignment="1">
      <alignment horizontal="center" vertical="center"/>
    </xf>
    <xf numFmtId="1" fontId="8" fillId="0" borderId="105" xfId="5" applyNumberFormat="1" applyFont="1" applyBorder="1" applyAlignment="1">
      <alignment horizontal="center" vertical="center"/>
    </xf>
    <xf numFmtId="0" fontId="8" fillId="0" borderId="106" xfId="5" applyFont="1" applyBorder="1" applyAlignment="1">
      <alignment horizontal="center" vertical="center"/>
    </xf>
    <xf numFmtId="0" fontId="13" fillId="0" borderId="103" xfId="0" applyFont="1" applyBorder="1" applyAlignment="1">
      <alignment horizontal="center" vertical="center" wrapText="1"/>
    </xf>
    <xf numFmtId="0" fontId="55" fillId="2" borderId="75" xfId="0" applyFont="1" applyFill="1" applyBorder="1"/>
    <xf numFmtId="0" fontId="13" fillId="0" borderId="105" xfId="0" applyFont="1" applyBorder="1" applyAlignment="1">
      <alignment horizontal="center" vertical="center" wrapText="1"/>
    </xf>
    <xf numFmtId="1" fontId="13" fillId="0" borderId="105" xfId="0" applyNumberFormat="1" applyFont="1" applyBorder="1" applyAlignment="1">
      <alignment horizontal="center" vertical="center" wrapText="1"/>
    </xf>
    <xf numFmtId="0" fontId="8" fillId="0" borderId="105" xfId="0" applyFont="1" applyBorder="1" applyAlignment="1">
      <alignment horizontal="center" vertical="center" wrapText="1"/>
    </xf>
    <xf numFmtId="168" fontId="13" fillId="0" borderId="105" xfId="0" applyNumberFormat="1" applyFont="1" applyBorder="1" applyAlignment="1">
      <alignment horizontal="center" vertical="center" wrapText="1"/>
    </xf>
    <xf numFmtId="0" fontId="55" fillId="2" borderId="0" xfId="0" applyFont="1" applyFill="1" applyAlignment="1">
      <alignment horizontal="center" vertical="center" wrapText="1"/>
    </xf>
    <xf numFmtId="0" fontId="8" fillId="0" borderId="43" xfId="5" applyFont="1" applyBorder="1" applyAlignment="1">
      <alignment horizontal="center" vertical="center"/>
    </xf>
    <xf numFmtId="0" fontId="8" fillId="0" borderId="22" xfId="5" applyFont="1" applyBorder="1" applyAlignment="1">
      <alignment horizontal="center" vertical="center"/>
    </xf>
    <xf numFmtId="14" fontId="55" fillId="34" borderId="75" xfId="0" applyNumberFormat="1" applyFont="1" applyFill="1" applyBorder="1" applyAlignment="1">
      <alignment horizontal="center" vertical="center"/>
    </xf>
    <xf numFmtId="16" fontId="55" fillId="2" borderId="90" xfId="0" quotePrefix="1" applyNumberFormat="1" applyFont="1" applyFill="1" applyBorder="1" applyAlignment="1">
      <alignment horizontal="center" vertical="center"/>
    </xf>
    <xf numFmtId="3" fontId="55" fillId="0" borderId="75" xfId="0" applyNumberFormat="1" applyFont="1" applyBorder="1" applyAlignment="1">
      <alignment horizontal="center"/>
    </xf>
    <xf numFmtId="3" fontId="55" fillId="2" borderId="90" xfId="0" applyNumberFormat="1" applyFont="1" applyFill="1" applyBorder="1" applyAlignment="1">
      <alignment horizontal="center"/>
    </xf>
    <xf numFmtId="0" fontId="55" fillId="37" borderId="75" xfId="0" applyFont="1" applyFill="1" applyBorder="1" applyAlignment="1">
      <alignment horizontal="center" vertical="center"/>
    </xf>
    <xf numFmtId="0" fontId="56" fillId="0" borderId="75" xfId="5" applyFont="1" applyBorder="1" applyAlignment="1">
      <alignment horizontal="center" vertical="center"/>
    </xf>
    <xf numFmtId="0" fontId="56" fillId="0" borderId="103" xfId="5" applyFont="1" applyBorder="1" applyAlignment="1">
      <alignment horizontal="center" vertical="center"/>
    </xf>
    <xf numFmtId="1" fontId="56" fillId="0" borderId="75" xfId="5" applyNumberFormat="1" applyFont="1" applyBorder="1" applyAlignment="1">
      <alignment horizontal="center" vertical="center"/>
    </xf>
    <xf numFmtId="0" fontId="9" fillId="0" borderId="75" xfId="5" applyFont="1" applyBorder="1" applyAlignment="1">
      <alignment horizontal="center" vertical="center"/>
    </xf>
    <xf numFmtId="0" fontId="56" fillId="2" borderId="103" xfId="5" applyFont="1" applyFill="1" applyBorder="1" applyAlignment="1">
      <alignment horizontal="center" vertical="center"/>
    </xf>
    <xf numFmtId="0" fontId="56" fillId="2" borderId="75" xfId="5" applyFont="1" applyFill="1" applyBorder="1" applyAlignment="1">
      <alignment horizontal="center" vertical="center"/>
    </xf>
    <xf numFmtId="1" fontId="56" fillId="2" borderId="75" xfId="5" applyNumberFormat="1" applyFont="1" applyFill="1" applyBorder="1" applyAlignment="1">
      <alignment horizontal="center" vertical="center"/>
    </xf>
    <xf numFmtId="0" fontId="56" fillId="0" borderId="104" xfId="5" applyFont="1" applyBorder="1" applyAlignment="1">
      <alignment horizontal="center" vertical="center"/>
    </xf>
    <xf numFmtId="0" fontId="56" fillId="0" borderId="105" xfId="5" applyFont="1" applyBorder="1" applyAlignment="1">
      <alignment horizontal="center" vertical="center"/>
    </xf>
    <xf numFmtId="1" fontId="56" fillId="0" borderId="105" xfId="5" applyNumberFormat="1" applyFont="1" applyBorder="1" applyAlignment="1">
      <alignment horizontal="center" vertical="center"/>
    </xf>
    <xf numFmtId="0" fontId="8" fillId="37" borderId="26" xfId="5" applyFont="1" applyFill="1" applyBorder="1" applyAlignment="1">
      <alignment horizontal="center" vertical="center"/>
    </xf>
    <xf numFmtId="1" fontId="8" fillId="37" borderId="26" xfId="5" applyNumberFormat="1" applyFont="1" applyFill="1" applyBorder="1" applyAlignment="1">
      <alignment horizontal="center" vertical="center"/>
    </xf>
    <xf numFmtId="0" fontId="56" fillId="0" borderId="31" xfId="5" applyFont="1" applyBorder="1" applyAlignment="1">
      <alignment horizontal="center" vertical="center"/>
    </xf>
    <xf numFmtId="0" fontId="8" fillId="37" borderId="21" xfId="5" applyFont="1" applyFill="1" applyBorder="1" applyAlignment="1">
      <alignment horizontal="center" vertical="center"/>
    </xf>
    <xf numFmtId="0" fontId="8" fillId="37" borderId="27" xfId="5" applyFont="1" applyFill="1" applyBorder="1" applyAlignment="1">
      <alignment horizontal="center" vertical="center"/>
    </xf>
    <xf numFmtId="0" fontId="8" fillId="7" borderId="17" xfId="5" applyFont="1" applyFill="1" applyBorder="1" applyAlignment="1">
      <alignment horizontal="center" vertical="center"/>
    </xf>
    <xf numFmtId="0" fontId="8" fillId="44" borderId="17" xfId="5" applyFont="1" applyFill="1" applyBorder="1" applyAlignment="1">
      <alignment horizontal="center" vertical="center"/>
    </xf>
    <xf numFmtId="0" fontId="8" fillId="2" borderId="75" xfId="5" applyFont="1" applyFill="1" applyBorder="1" applyAlignment="1">
      <alignment horizontal="center" vertical="center"/>
    </xf>
    <xf numFmtId="0" fontId="14" fillId="0" borderId="90" xfId="5" quotePrefix="1" applyFont="1" applyBorder="1" applyAlignment="1">
      <alignment horizontal="center" vertical="center"/>
    </xf>
    <xf numFmtId="0" fontId="56" fillId="0" borderId="109" xfId="5" applyFont="1" applyBorder="1" applyAlignment="1">
      <alignment horizontal="center" vertical="center"/>
    </xf>
    <xf numFmtId="0" fontId="14" fillId="0" borderId="17" xfId="5" quotePrefix="1" applyFont="1" applyBorder="1" applyAlignment="1">
      <alignment horizontal="center" vertical="center"/>
    </xf>
    <xf numFmtId="0" fontId="56" fillId="0" borderId="113" xfId="5" applyFont="1" applyBorder="1" applyAlignment="1">
      <alignment horizontal="center" vertical="center"/>
    </xf>
    <xf numFmtId="0" fontId="56" fillId="0" borderId="78" xfId="5" applyFont="1" applyBorder="1"/>
    <xf numFmtId="0" fontId="56" fillId="0" borderId="85" xfId="5" applyFont="1" applyBorder="1"/>
    <xf numFmtId="0" fontId="14" fillId="45" borderId="79" xfId="5" applyFont="1" applyFill="1" applyBorder="1" applyAlignment="1">
      <alignment horizontal="center" vertical="center"/>
    </xf>
    <xf numFmtId="0" fontId="14" fillId="0" borderId="79" xfId="5" quotePrefix="1" applyFont="1" applyBorder="1" applyAlignment="1">
      <alignment horizontal="center" vertical="center"/>
    </xf>
    <xf numFmtId="0" fontId="14" fillId="41" borderId="79" xfId="5" applyFont="1" applyFill="1" applyBorder="1" applyAlignment="1">
      <alignment horizontal="center" vertical="center"/>
    </xf>
    <xf numFmtId="0" fontId="56" fillId="41" borderId="75" xfId="8" applyFont="1" applyFill="1" applyBorder="1" applyAlignment="1">
      <alignment horizontal="center" vertical="center" wrapText="1"/>
    </xf>
    <xf numFmtId="0" fontId="56" fillId="0" borderId="75" xfId="174" applyNumberFormat="1" applyFont="1" applyFill="1" applyBorder="1" applyAlignment="1">
      <alignment horizontal="center" vertical="center"/>
    </xf>
    <xf numFmtId="0" fontId="56" fillId="0" borderId="75" xfId="8" applyFont="1" applyBorder="1" applyAlignment="1">
      <alignment horizontal="center" vertical="center" wrapText="1"/>
    </xf>
    <xf numFmtId="0" fontId="56" fillId="0" borderId="75" xfId="174" applyNumberFormat="1" applyFont="1" applyFill="1" applyBorder="1" applyAlignment="1">
      <alignment horizontal="center" vertical="center" wrapText="1"/>
    </xf>
    <xf numFmtId="0" fontId="75" fillId="0" borderId="75" xfId="176" applyFont="1" applyBorder="1" applyAlignment="1">
      <alignment horizontal="center" vertical="center" wrapText="1"/>
    </xf>
    <xf numFmtId="2" fontId="75" fillId="0" borderId="75" xfId="176" applyNumberFormat="1" applyFont="1" applyBorder="1" applyAlignment="1">
      <alignment horizontal="center" vertical="center" wrapText="1"/>
    </xf>
    <xf numFmtId="2" fontId="55" fillId="0" borderId="75" xfId="0" applyNumberFormat="1" applyFont="1" applyBorder="1" applyAlignment="1">
      <alignment horizontal="center"/>
    </xf>
    <xf numFmtId="0" fontId="59" fillId="2" borderId="0" xfId="0" applyFont="1" applyFill="1" applyAlignment="1">
      <alignment horizontal="center" vertical="center"/>
    </xf>
    <xf numFmtId="0" fontId="55" fillId="2" borderId="90" xfId="0" applyFont="1" applyFill="1" applyBorder="1" applyAlignment="1">
      <alignment horizontal="center"/>
    </xf>
    <xf numFmtId="0" fontId="56" fillId="0" borderId="19" xfId="5" applyFont="1" applyBorder="1" applyAlignment="1">
      <alignment horizontal="center"/>
    </xf>
    <xf numFmtId="1" fontId="56" fillId="0" borderId="19" xfId="5" applyNumberFormat="1" applyFont="1" applyBorder="1" applyAlignment="1">
      <alignment horizontal="center"/>
    </xf>
    <xf numFmtId="1" fontId="56" fillId="0" borderId="18" xfId="5" applyNumberFormat="1" applyFont="1" applyBorder="1" applyAlignment="1">
      <alignment horizontal="center"/>
    </xf>
    <xf numFmtId="0" fontId="12" fillId="4" borderId="75" xfId="0" applyFont="1" applyFill="1" applyBorder="1" applyAlignment="1">
      <alignment horizontal="center" vertical="center" wrapText="1"/>
    </xf>
    <xf numFmtId="167" fontId="56" fillId="0" borderId="75" xfId="5" applyNumberFormat="1" applyFont="1" applyBorder="1" applyAlignment="1">
      <alignment horizontal="center"/>
    </xf>
    <xf numFmtId="9" fontId="55" fillId="0" borderId="75" xfId="0" applyNumberFormat="1" applyFont="1" applyBorder="1" applyAlignment="1">
      <alignment horizontal="center" vertical="center"/>
    </xf>
    <xf numFmtId="0" fontId="56" fillId="2" borderId="0" xfId="5" applyFont="1" applyFill="1"/>
    <xf numFmtId="0" fontId="54" fillId="2" borderId="0" xfId="5" applyFont="1" applyFill="1"/>
    <xf numFmtId="0" fontId="8" fillId="0" borderId="78" xfId="5" applyFont="1" applyBorder="1" applyAlignment="1">
      <alignment horizontal="center" vertical="center"/>
    </xf>
    <xf numFmtId="0" fontId="8" fillId="37" borderId="22" xfId="5" applyFont="1" applyFill="1" applyBorder="1" applyAlignment="1">
      <alignment horizontal="center" vertical="center"/>
    </xf>
    <xf numFmtId="0" fontId="14" fillId="0" borderId="75" xfId="5" applyFont="1" applyBorder="1" applyAlignment="1">
      <alignment horizontal="center" vertical="center"/>
    </xf>
    <xf numFmtId="0" fontId="8" fillId="46" borderId="79" xfId="5" applyFont="1" applyFill="1" applyBorder="1" applyAlignment="1">
      <alignment horizontal="center" vertical="center"/>
    </xf>
    <xf numFmtId="167" fontId="14" fillId="2" borderId="75" xfId="0" applyNumberFormat="1" applyFont="1" applyFill="1" applyBorder="1" applyAlignment="1">
      <alignment horizontal="center" vertical="center" wrapText="1"/>
    </xf>
    <xf numFmtId="0" fontId="55" fillId="0" borderId="114" xfId="0" applyFont="1" applyBorder="1" applyAlignment="1">
      <alignment horizontal="center"/>
    </xf>
    <xf numFmtId="0" fontId="8" fillId="0" borderId="29" xfId="5" applyFont="1" applyBorder="1" applyAlignment="1">
      <alignment horizontal="center" vertical="center"/>
    </xf>
    <xf numFmtId="0" fontId="8" fillId="0" borderId="103" xfId="5" applyFont="1" applyBorder="1" applyAlignment="1">
      <alignment horizontal="center" vertical="center"/>
    </xf>
    <xf numFmtId="0" fontId="8" fillId="0" borderId="104" xfId="5" applyFont="1" applyBorder="1" applyAlignment="1">
      <alignment horizontal="center" vertical="center"/>
    </xf>
    <xf numFmtId="0" fontId="55" fillId="2" borderId="94" xfId="0" quotePrefix="1" applyFont="1" applyFill="1" applyBorder="1" applyAlignment="1">
      <alignment horizontal="center" vertical="center"/>
    </xf>
    <xf numFmtId="0" fontId="55" fillId="2" borderId="94" xfId="0" applyFont="1" applyFill="1" applyBorder="1" applyAlignment="1">
      <alignment horizontal="center" vertical="center"/>
    </xf>
    <xf numFmtId="0" fontId="55" fillId="0" borderId="75" xfId="0" applyFont="1" applyBorder="1" applyAlignment="1">
      <alignment vertical="center"/>
    </xf>
    <xf numFmtId="0" fontId="55" fillId="34" borderId="75" xfId="0" applyFont="1" applyFill="1" applyBorder="1" applyAlignment="1">
      <alignment horizontal="center" vertical="center"/>
    </xf>
    <xf numFmtId="0" fontId="56" fillId="34" borderId="75" xfId="0" applyFont="1" applyFill="1" applyBorder="1" applyAlignment="1">
      <alignment horizontal="center" vertical="center"/>
    </xf>
    <xf numFmtId="0" fontId="8" fillId="0" borderId="103" xfId="0" applyFont="1" applyBorder="1" applyAlignment="1">
      <alignment horizontal="center" vertical="center" wrapText="1"/>
    </xf>
    <xf numFmtId="0" fontId="14" fillId="0" borderId="103" xfId="0" applyFont="1" applyBorder="1" applyAlignment="1">
      <alignment horizontal="center" vertical="center"/>
    </xf>
    <xf numFmtId="0" fontId="14" fillId="0" borderId="75" xfId="0" applyFont="1" applyBorder="1" applyAlignment="1">
      <alignment horizontal="center" vertical="center"/>
    </xf>
    <xf numFmtId="0" fontId="13" fillId="0" borderId="104" xfId="0" applyFont="1" applyBorder="1" applyAlignment="1">
      <alignment horizontal="center" vertical="center" wrapText="1"/>
    </xf>
    <xf numFmtId="0" fontId="55" fillId="2" borderId="75" xfId="0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 wrapText="1"/>
    </xf>
    <xf numFmtId="0" fontId="8" fillId="0" borderId="0" xfId="5" applyFont="1" applyAlignment="1">
      <alignment horizontal="center" vertical="center"/>
    </xf>
    <xf numFmtId="0" fontId="55" fillId="0" borderId="76" xfId="0" applyFont="1" applyBorder="1" applyAlignment="1">
      <alignment horizontal="center" vertical="center"/>
    </xf>
    <xf numFmtId="0" fontId="55" fillId="0" borderId="76" xfId="0" applyFont="1" applyBorder="1" applyAlignment="1">
      <alignment horizontal="center"/>
    </xf>
    <xf numFmtId="0" fontId="56" fillId="0" borderId="76" xfId="5" applyFont="1" applyBorder="1" applyAlignment="1">
      <alignment horizontal="center"/>
    </xf>
    <xf numFmtId="0" fontId="1" fillId="0" borderId="0" xfId="0" applyFont="1" applyAlignment="1">
      <alignment vertical="center" wrapText="1"/>
    </xf>
    <xf numFmtId="0" fontId="56" fillId="2" borderId="0" xfId="5" applyFont="1" applyFill="1" applyAlignment="1">
      <alignment horizontal="center"/>
    </xf>
    <xf numFmtId="0" fontId="66" fillId="0" borderId="75" xfId="0" applyFont="1" applyBorder="1" applyAlignment="1">
      <alignment horizontal="center"/>
    </xf>
    <xf numFmtId="14" fontId="66" fillId="0" borderId="75" xfId="0" applyNumberFormat="1" applyFont="1" applyBorder="1" applyAlignment="1">
      <alignment horizontal="center"/>
    </xf>
    <xf numFmtId="16" fontId="66" fillId="0" borderId="89" xfId="0" quotePrefix="1" applyNumberFormat="1" applyFont="1" applyBorder="1" applyAlignment="1">
      <alignment horizontal="center"/>
    </xf>
    <xf numFmtId="2" fontId="76" fillId="2" borderId="75" xfId="0" applyNumberFormat="1" applyFont="1" applyFill="1" applyBorder="1" applyAlignment="1">
      <alignment horizontal="center" vertical="center"/>
    </xf>
    <xf numFmtId="0" fontId="14" fillId="0" borderId="105" xfId="5" applyFont="1" applyBorder="1" applyAlignment="1">
      <alignment horizontal="center" vertical="center"/>
    </xf>
    <xf numFmtId="0" fontId="8" fillId="7" borderId="105" xfId="5" applyFont="1" applyFill="1" applyBorder="1" applyAlignment="1">
      <alignment horizontal="center" vertical="center"/>
    </xf>
    <xf numFmtId="0" fontId="14" fillId="7" borderId="17" xfId="5" applyFont="1" applyFill="1" applyBorder="1" applyAlignment="1">
      <alignment horizontal="center" vertical="center"/>
    </xf>
    <xf numFmtId="0" fontId="56" fillId="0" borderId="79" xfId="5" applyFont="1" applyBorder="1" applyAlignment="1">
      <alignment horizontal="center" vertical="center"/>
    </xf>
    <xf numFmtId="0" fontId="66" fillId="0" borderId="96" xfId="0" applyFont="1" applyBorder="1" applyAlignment="1">
      <alignment horizontal="left" vertical="top"/>
    </xf>
    <xf numFmtId="0" fontId="14" fillId="48" borderId="16" xfId="0" applyFont="1" applyFill="1" applyBorder="1" applyAlignment="1">
      <alignment horizontal="center" vertical="center" wrapText="1"/>
    </xf>
    <xf numFmtId="0" fontId="14" fillId="48" borderId="75" xfId="0" applyFont="1" applyFill="1" applyBorder="1" applyAlignment="1">
      <alignment horizontal="center" vertical="center" wrapText="1"/>
    </xf>
    <xf numFmtId="0" fontId="14" fillId="48" borderId="20" xfId="0" applyFont="1" applyFill="1" applyBorder="1" applyAlignment="1">
      <alignment horizontal="center" vertical="center" wrapText="1"/>
    </xf>
    <xf numFmtId="0" fontId="14" fillId="48" borderId="19" xfId="0" applyFont="1" applyFill="1" applyBorder="1" applyAlignment="1">
      <alignment horizontal="center" vertical="center" wrapText="1"/>
    </xf>
    <xf numFmtId="0" fontId="14" fillId="37" borderId="75" xfId="0" applyFont="1" applyFill="1" applyBorder="1" applyAlignment="1">
      <alignment horizontal="center" vertical="center" wrapText="1"/>
    </xf>
    <xf numFmtId="167" fontId="14" fillId="37" borderId="75" xfId="0" applyNumberFormat="1" applyFont="1" applyFill="1" applyBorder="1" applyAlignment="1">
      <alignment horizontal="center" vertical="center" wrapText="1"/>
    </xf>
    <xf numFmtId="0" fontId="14" fillId="37" borderId="103" xfId="1" applyFont="1" applyFill="1" applyBorder="1" applyAlignment="1">
      <alignment horizontal="center" vertical="center" wrapText="1"/>
    </xf>
    <xf numFmtId="0" fontId="14" fillId="37" borderId="104" xfId="1" applyFont="1" applyFill="1" applyBorder="1" applyAlignment="1">
      <alignment horizontal="center" vertical="center" wrapText="1"/>
    </xf>
    <xf numFmtId="1" fontId="14" fillId="37" borderId="75" xfId="0" applyNumberFormat="1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60" fillId="0" borderId="0" xfId="0" applyFont="1" applyAlignment="1">
      <alignment vertical="center"/>
    </xf>
    <xf numFmtId="0" fontId="66" fillId="0" borderId="0" xfId="0" applyFont="1" applyAlignment="1">
      <alignment horizontal="left" vertical="top"/>
    </xf>
    <xf numFmtId="0" fontId="66" fillId="0" borderId="115" xfId="0" applyFont="1" applyBorder="1" applyAlignment="1">
      <alignment horizontal="left" vertical="top"/>
    </xf>
    <xf numFmtId="0" fontId="66" fillId="0" borderId="34" xfId="0" applyFont="1" applyBorder="1" applyAlignment="1">
      <alignment horizontal="left" vertical="top"/>
    </xf>
    <xf numFmtId="0" fontId="66" fillId="0" borderId="35" xfId="0" applyFont="1" applyBorder="1" applyAlignment="1">
      <alignment horizontal="left" vertical="top"/>
    </xf>
    <xf numFmtId="0" fontId="55" fillId="0" borderId="34" xfId="0" applyFont="1" applyBorder="1"/>
    <xf numFmtId="0" fontId="55" fillId="0" borderId="9" xfId="0" applyFont="1" applyBorder="1"/>
    <xf numFmtId="0" fontId="55" fillId="0" borderId="3" xfId="0" applyFont="1" applyBorder="1"/>
    <xf numFmtId="0" fontId="66" fillId="0" borderId="8" xfId="0" applyFont="1" applyBorder="1" applyAlignment="1">
      <alignment horizontal="left" vertical="top"/>
    </xf>
    <xf numFmtId="0" fontId="66" fillId="47" borderId="75" xfId="0" applyFont="1" applyFill="1" applyBorder="1" applyAlignment="1">
      <alignment horizontal="center" vertical="center"/>
    </xf>
    <xf numFmtId="0" fontId="56" fillId="6" borderId="75" xfId="0" applyFont="1" applyFill="1" applyBorder="1" applyAlignment="1">
      <alignment horizontal="center" vertical="center"/>
    </xf>
    <xf numFmtId="0" fontId="12" fillId="39" borderId="89" xfId="8" applyFont="1" applyFill="1" applyBorder="1" applyAlignment="1">
      <alignment horizontal="center" vertical="center"/>
    </xf>
    <xf numFmtId="0" fontId="12" fillId="39" borderId="45" xfId="8" applyFont="1" applyFill="1" applyBorder="1" applyAlignment="1">
      <alignment horizontal="center" vertical="center"/>
    </xf>
    <xf numFmtId="0" fontId="56" fillId="2" borderId="89" xfId="0" applyFont="1" applyFill="1" applyBorder="1" applyAlignment="1">
      <alignment horizontal="center" vertical="center"/>
    </xf>
    <xf numFmtId="1" fontId="14" fillId="37" borderId="105" xfId="0" applyNumberFormat="1" applyFont="1" applyFill="1" applyBorder="1" applyAlignment="1">
      <alignment horizontal="center" vertical="center" wrapText="1"/>
    </xf>
    <xf numFmtId="168" fontId="14" fillId="37" borderId="75" xfId="0" applyNumberFormat="1" applyFont="1" applyFill="1" applyBorder="1" applyAlignment="1">
      <alignment horizontal="center" vertical="center" wrapText="1"/>
    </xf>
    <xf numFmtId="0" fontId="14" fillId="37" borderId="105" xfId="0" applyFont="1" applyFill="1" applyBorder="1" applyAlignment="1">
      <alignment horizontal="center" vertical="center" wrapText="1"/>
    </xf>
    <xf numFmtId="0" fontId="55" fillId="2" borderId="103" xfId="0" applyFont="1" applyFill="1" applyBorder="1" applyAlignment="1">
      <alignment horizontal="center" vertical="center"/>
    </xf>
    <xf numFmtId="14" fontId="55" fillId="0" borderId="102" xfId="0" applyNumberFormat="1" applyFont="1" applyBorder="1" applyAlignment="1">
      <alignment horizontal="center"/>
    </xf>
    <xf numFmtId="14" fontId="55" fillId="2" borderId="102" xfId="0" applyNumberFormat="1" applyFont="1" applyFill="1" applyBorder="1" applyAlignment="1">
      <alignment horizontal="center"/>
    </xf>
    <xf numFmtId="14" fontId="55" fillId="9" borderId="102" xfId="0" applyNumberFormat="1" applyFont="1" applyFill="1" applyBorder="1" applyAlignment="1">
      <alignment horizontal="center"/>
    </xf>
    <xf numFmtId="0" fontId="55" fillId="2" borderId="104" xfId="0" applyFont="1" applyFill="1" applyBorder="1" applyAlignment="1">
      <alignment horizontal="center" vertical="center"/>
    </xf>
    <xf numFmtId="0" fontId="55" fillId="9" borderId="105" xfId="0" applyFont="1" applyFill="1" applyBorder="1" applyAlignment="1">
      <alignment horizontal="center" vertical="center"/>
    </xf>
    <xf numFmtId="167" fontId="55" fillId="9" borderId="105" xfId="0" applyNumberFormat="1" applyFont="1" applyFill="1" applyBorder="1" applyAlignment="1">
      <alignment horizontal="center" vertical="center"/>
    </xf>
    <xf numFmtId="14" fontId="55" fillId="9" borderId="105" xfId="0" applyNumberFormat="1" applyFont="1" applyFill="1" applyBorder="1" applyAlignment="1">
      <alignment horizontal="center" vertical="center"/>
    </xf>
    <xf numFmtId="0" fontId="55" fillId="9" borderId="105" xfId="0" applyFont="1" applyFill="1" applyBorder="1" applyAlignment="1">
      <alignment horizontal="center"/>
    </xf>
    <xf numFmtId="14" fontId="55" fillId="9" borderId="106" xfId="0" applyNumberFormat="1" applyFont="1" applyFill="1" applyBorder="1" applyAlignment="1">
      <alignment horizontal="center"/>
    </xf>
    <xf numFmtId="0" fontId="55" fillId="34" borderId="75" xfId="0" quotePrefix="1" applyFont="1" applyFill="1" applyBorder="1" applyAlignment="1">
      <alignment horizontal="center" vertical="center"/>
    </xf>
    <xf numFmtId="1" fontId="14" fillId="2" borderId="75" xfId="0" applyNumberFormat="1" applyFont="1" applyFill="1" applyBorder="1" applyAlignment="1">
      <alignment horizontal="center" vertical="center" wrapText="1"/>
    </xf>
    <xf numFmtId="0" fontId="14" fillId="48" borderId="43" xfId="1" applyFont="1" applyFill="1" applyBorder="1" applyAlignment="1">
      <alignment horizontal="center" vertical="center" wrapText="1"/>
    </xf>
    <xf numFmtId="0" fontId="14" fillId="48" borderId="17" xfId="1" applyFont="1" applyFill="1" applyBorder="1" applyAlignment="1">
      <alignment horizontal="center" vertical="center" wrapText="1"/>
    </xf>
    <xf numFmtId="0" fontId="14" fillId="48" borderId="42" xfId="1" applyFont="1" applyFill="1" applyBorder="1" applyAlignment="1">
      <alignment horizontal="center" vertical="center" wrapText="1"/>
    </xf>
    <xf numFmtId="0" fontId="55" fillId="34" borderId="75" xfId="0" applyFont="1" applyFill="1" applyBorder="1" applyAlignment="1">
      <alignment horizontal="center"/>
    </xf>
    <xf numFmtId="2" fontId="55" fillId="34" borderId="75" xfId="0" applyNumberFormat="1" applyFont="1" applyFill="1" applyBorder="1" applyAlignment="1">
      <alignment horizontal="center"/>
    </xf>
    <xf numFmtId="0" fontId="66" fillId="0" borderId="95" xfId="0" applyFont="1" applyBorder="1" applyAlignment="1">
      <alignment horizontal="left" vertical="top"/>
    </xf>
    <xf numFmtId="0" fontId="66" fillId="0" borderId="34" xfId="0" applyFont="1" applyBorder="1" applyAlignment="1">
      <alignment horizontal="left" vertical="top"/>
    </xf>
    <xf numFmtId="14" fontId="66" fillId="0" borderId="96" xfId="0" applyNumberFormat="1" applyFont="1" applyBorder="1" applyAlignment="1">
      <alignment horizontal="left" vertical="top"/>
    </xf>
    <xf numFmtId="14" fontId="66" fillId="0" borderId="0" xfId="0" applyNumberFormat="1" applyFont="1" applyAlignment="1">
      <alignment horizontal="left" vertical="top"/>
    </xf>
    <xf numFmtId="0" fontId="9" fillId="0" borderId="75" xfId="0" applyFont="1" applyBorder="1" applyAlignment="1">
      <alignment horizontal="center" vertical="center" wrapText="1"/>
    </xf>
    <xf numFmtId="0" fontId="9" fillId="0" borderId="102" xfId="0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0" fontId="13" fillId="0" borderId="102" xfId="0" applyFont="1" applyBorder="1" applyAlignment="1">
      <alignment horizontal="center" vertical="center" wrapText="1"/>
    </xf>
    <xf numFmtId="0" fontId="14" fillId="0" borderId="89" xfId="0" applyFont="1" applyBorder="1" applyAlignment="1">
      <alignment horizontal="center" vertical="center" wrapText="1"/>
    </xf>
    <xf numFmtId="0" fontId="14" fillId="0" borderId="87" xfId="0" applyFont="1" applyBorder="1" applyAlignment="1">
      <alignment horizontal="center" vertical="center" wrapText="1"/>
    </xf>
    <xf numFmtId="1" fontId="13" fillId="0" borderId="36" xfId="0" applyNumberFormat="1" applyFont="1" applyBorder="1" applyAlignment="1">
      <alignment horizontal="center" vertical="center" wrapText="1"/>
    </xf>
    <xf numFmtId="1" fontId="13" fillId="0" borderId="37" xfId="0" applyNumberFormat="1" applyFont="1" applyBorder="1" applyAlignment="1">
      <alignment horizontal="center" vertical="center" wrapText="1"/>
    </xf>
    <xf numFmtId="0" fontId="15" fillId="5" borderId="37" xfId="0" applyFont="1" applyFill="1" applyBorder="1" applyAlignment="1">
      <alignment horizontal="center" wrapText="1"/>
    </xf>
    <xf numFmtId="0" fontId="15" fillId="5" borderId="10" xfId="0" applyFont="1" applyFill="1" applyBorder="1" applyAlignment="1">
      <alignment horizontal="center" wrapText="1"/>
    </xf>
    <xf numFmtId="0" fontId="28" fillId="0" borderId="89" xfId="0" quotePrefix="1" applyFont="1" applyBorder="1" applyAlignment="1">
      <alignment horizontal="left" vertical="center" wrapText="1"/>
    </xf>
    <xf numFmtId="0" fontId="28" fillId="0" borderId="84" xfId="0" quotePrefix="1" applyFont="1" applyBorder="1" applyAlignment="1">
      <alignment horizontal="left" vertical="center" wrapText="1"/>
    </xf>
    <xf numFmtId="0" fontId="28" fillId="0" borderId="76" xfId="0" quotePrefix="1" applyFont="1" applyBorder="1" applyAlignment="1">
      <alignment horizontal="left" vertical="center" wrapText="1"/>
    </xf>
    <xf numFmtId="0" fontId="13" fillId="0" borderId="89" xfId="0" applyFont="1" applyBorder="1" applyAlignment="1">
      <alignment horizontal="center" vertical="center" wrapText="1"/>
    </xf>
    <xf numFmtId="0" fontId="13" fillId="0" borderId="87" xfId="0" applyFont="1" applyBorder="1" applyAlignment="1">
      <alignment horizontal="center" vertical="center" wrapText="1"/>
    </xf>
    <xf numFmtId="0" fontId="14" fillId="0" borderId="0" xfId="0" quotePrefix="1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82" xfId="0" applyFont="1" applyBorder="1" applyAlignment="1">
      <alignment horizontal="center" vertical="center"/>
    </xf>
    <xf numFmtId="0" fontId="14" fillId="0" borderId="99" xfId="0" applyFont="1" applyBorder="1" applyAlignment="1">
      <alignment horizontal="center" vertical="center"/>
    </xf>
    <xf numFmtId="0" fontId="14" fillId="0" borderId="89" xfId="0" applyFont="1" applyBorder="1" applyAlignment="1">
      <alignment horizontal="center" vertical="center"/>
    </xf>
    <xf numFmtId="0" fontId="14" fillId="0" borderId="87" xfId="0" applyFont="1" applyBorder="1" applyAlignment="1">
      <alignment horizontal="center" vertical="center"/>
    </xf>
    <xf numFmtId="0" fontId="55" fillId="34" borderId="75" xfId="0" applyFont="1" applyFill="1" applyBorder="1" applyAlignment="1">
      <alignment horizontal="center" vertical="center"/>
    </xf>
    <xf numFmtId="0" fontId="55" fillId="2" borderId="75" xfId="0" applyFont="1" applyFill="1" applyBorder="1" applyAlignment="1">
      <alignment horizontal="center" vertical="center" wrapText="1"/>
    </xf>
    <xf numFmtId="0" fontId="55" fillId="2" borderId="89" xfId="0" applyFont="1" applyFill="1" applyBorder="1" applyAlignment="1">
      <alignment horizontal="center" vertical="center" wrapText="1"/>
    </xf>
    <xf numFmtId="0" fontId="55" fillId="2" borderId="84" xfId="0" applyFont="1" applyFill="1" applyBorder="1" applyAlignment="1">
      <alignment horizontal="center" vertical="center" wrapText="1"/>
    </xf>
    <xf numFmtId="0" fontId="55" fillId="2" borderId="76" xfId="0" applyFont="1" applyFill="1" applyBorder="1" applyAlignment="1">
      <alignment horizontal="center" vertical="center" wrapText="1"/>
    </xf>
    <xf numFmtId="0" fontId="55" fillId="0" borderId="75" xfId="0" applyFont="1" applyBorder="1" applyAlignment="1">
      <alignment horizontal="center" vertical="center" wrapText="1"/>
    </xf>
    <xf numFmtId="0" fontId="55" fillId="41" borderId="89" xfId="0" applyFont="1" applyFill="1" applyBorder="1" applyAlignment="1">
      <alignment horizontal="center"/>
    </xf>
    <xf numFmtId="0" fontId="55" fillId="41" borderId="84" xfId="0" applyFont="1" applyFill="1" applyBorder="1" applyAlignment="1">
      <alignment horizontal="center"/>
    </xf>
    <xf numFmtId="0" fontId="55" fillId="41" borderId="76" xfId="0" applyFont="1" applyFill="1" applyBorder="1" applyAlignment="1">
      <alignment horizontal="center"/>
    </xf>
    <xf numFmtId="0" fontId="55" fillId="41" borderId="2" xfId="0" applyFont="1" applyFill="1" applyBorder="1" applyAlignment="1">
      <alignment horizontal="center" vertical="center" wrapText="1"/>
    </xf>
    <xf numFmtId="0" fontId="55" fillId="0" borderId="89" xfId="0" applyFont="1" applyBorder="1" applyAlignment="1">
      <alignment horizontal="center" vertical="center" wrapText="1"/>
    </xf>
    <xf numFmtId="0" fontId="55" fillId="0" borderId="84" xfId="0" applyFont="1" applyBorder="1" applyAlignment="1">
      <alignment horizontal="center" vertical="center" wrapText="1"/>
    </xf>
    <xf numFmtId="0" fontId="55" fillId="0" borderId="76" xfId="0" applyFont="1" applyBorder="1" applyAlignment="1">
      <alignment horizontal="center" vertical="center" wrapText="1"/>
    </xf>
    <xf numFmtId="0" fontId="55" fillId="6" borderId="75" xfId="0" applyFont="1" applyFill="1" applyBorder="1" applyAlignment="1">
      <alignment horizontal="center" vertical="center" wrapText="1"/>
    </xf>
    <xf numFmtId="0" fontId="55" fillId="0" borderId="75" xfId="0" applyFont="1" applyBorder="1" applyAlignment="1">
      <alignment horizontal="center" vertical="center"/>
    </xf>
    <xf numFmtId="0" fontId="55" fillId="2" borderId="75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55" fillId="9" borderId="82" xfId="0" applyFont="1" applyFill="1" applyBorder="1" applyAlignment="1">
      <alignment horizontal="center" vertical="center" wrapText="1"/>
    </xf>
    <xf numFmtId="0" fontId="55" fillId="9" borderId="116" xfId="0" applyFont="1" applyFill="1" applyBorder="1" applyAlignment="1">
      <alignment horizontal="center" vertical="center" wrapText="1"/>
    </xf>
    <xf numFmtId="0" fontId="55" fillId="9" borderId="77" xfId="0" applyFont="1" applyFill="1" applyBorder="1" applyAlignment="1">
      <alignment horizontal="center" vertical="center" wrapText="1"/>
    </xf>
    <xf numFmtId="0" fontId="55" fillId="38" borderId="89" xfId="0" applyFont="1" applyFill="1" applyBorder="1" applyAlignment="1">
      <alignment horizontal="center" vertical="center" wrapText="1"/>
    </xf>
    <xf numFmtId="0" fontId="55" fillId="38" borderId="84" xfId="0" applyFont="1" applyFill="1" applyBorder="1" applyAlignment="1">
      <alignment horizontal="center" vertical="center" wrapText="1"/>
    </xf>
    <xf numFmtId="0" fontId="55" fillId="38" borderId="76" xfId="0" applyFont="1" applyFill="1" applyBorder="1" applyAlignment="1">
      <alignment horizontal="center" vertical="center" wrapText="1"/>
    </xf>
    <xf numFmtId="0" fontId="55" fillId="6" borderId="89" xfId="0" applyFont="1" applyFill="1" applyBorder="1" applyAlignment="1">
      <alignment horizontal="center" vertical="center" wrapText="1"/>
    </xf>
    <xf numFmtId="0" fontId="55" fillId="6" borderId="84" xfId="0" applyFont="1" applyFill="1" applyBorder="1" applyAlignment="1">
      <alignment horizontal="center" vertical="center" wrapText="1"/>
    </xf>
    <xf numFmtId="0" fontId="55" fillId="6" borderId="76" xfId="0" applyFont="1" applyFill="1" applyBorder="1" applyAlignment="1">
      <alignment horizontal="center" vertical="center" wrapText="1"/>
    </xf>
    <xf numFmtId="0" fontId="55" fillId="43" borderId="89" xfId="0" applyFont="1" applyFill="1" applyBorder="1" applyAlignment="1">
      <alignment horizontal="center" vertical="center" wrapText="1"/>
    </xf>
    <xf numFmtId="0" fontId="55" fillId="43" borderId="84" xfId="0" applyFont="1" applyFill="1" applyBorder="1" applyAlignment="1">
      <alignment horizontal="center" vertical="center" wrapText="1"/>
    </xf>
    <xf numFmtId="0" fontId="55" fillId="43" borderId="76" xfId="0" applyFont="1" applyFill="1" applyBorder="1" applyAlignment="1">
      <alignment horizontal="center" vertical="center" wrapText="1"/>
    </xf>
    <xf numFmtId="0" fontId="55" fillId="42" borderId="76" xfId="0" applyFont="1" applyFill="1" applyBorder="1" applyAlignment="1">
      <alignment horizontal="center" vertical="center" wrapText="1"/>
    </xf>
    <xf numFmtId="0" fontId="55" fillId="42" borderId="75" xfId="0" applyFont="1" applyFill="1" applyBorder="1" applyAlignment="1">
      <alignment horizontal="center" vertical="center" wrapText="1"/>
    </xf>
    <xf numFmtId="0" fontId="14" fillId="41" borderId="6" xfId="0" applyFont="1" applyFill="1" applyBorder="1" applyAlignment="1">
      <alignment horizontal="center" vertical="center" wrapText="1"/>
    </xf>
    <xf numFmtId="0" fontId="9" fillId="2" borderId="75" xfId="0" applyFont="1" applyFill="1" applyBorder="1" applyAlignment="1">
      <alignment horizontal="center" vertical="center"/>
    </xf>
    <xf numFmtId="0" fontId="55" fillId="9" borderId="89" xfId="0" applyFont="1" applyFill="1" applyBorder="1" applyAlignment="1">
      <alignment horizontal="center" vertical="center" wrapText="1"/>
    </xf>
    <xf numFmtId="0" fontId="55" fillId="9" borderId="84" xfId="0" applyFont="1" applyFill="1" applyBorder="1" applyAlignment="1">
      <alignment horizontal="center" vertical="center" wrapText="1"/>
    </xf>
    <xf numFmtId="0" fontId="55" fillId="9" borderId="76" xfId="0" applyFont="1" applyFill="1" applyBorder="1" applyAlignment="1">
      <alignment horizontal="center" vertical="center" wrapText="1"/>
    </xf>
    <xf numFmtId="0" fontId="55" fillId="2" borderId="90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55" fillId="41" borderId="6" xfId="0" applyFont="1" applyFill="1" applyBorder="1" applyAlignment="1">
      <alignment horizontal="center"/>
    </xf>
    <xf numFmtId="0" fontId="8" fillId="0" borderId="103" xfId="5" applyFont="1" applyBorder="1" applyAlignment="1">
      <alignment horizontal="center" vertical="center"/>
    </xf>
    <xf numFmtId="0" fontId="8" fillId="0" borderId="75" xfId="5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8" fillId="0" borderId="90" xfId="5" applyFont="1" applyBorder="1" applyAlignment="1">
      <alignment horizontal="center" vertical="center"/>
    </xf>
    <xf numFmtId="0" fontId="8" fillId="0" borderId="6" xfId="5" applyFont="1" applyBorder="1" applyAlignment="1">
      <alignment horizontal="center" vertical="center"/>
    </xf>
    <xf numFmtId="0" fontId="8" fillId="0" borderId="108" xfId="5" applyFont="1" applyBorder="1" applyAlignment="1">
      <alignment horizontal="center" vertical="center"/>
    </xf>
    <xf numFmtId="0" fontId="8" fillId="0" borderId="112" xfId="5" applyFont="1" applyBorder="1" applyAlignment="1">
      <alignment horizontal="center" vertical="center"/>
    </xf>
    <xf numFmtId="0" fontId="11" fillId="0" borderId="3" xfId="5" applyFont="1" applyBorder="1" applyAlignment="1">
      <alignment horizont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14" fillId="40" borderId="29" xfId="0" applyFont="1" applyFill="1" applyBorder="1" applyAlignment="1">
      <alignment horizontal="center" vertical="center"/>
    </xf>
    <xf numFmtId="0" fontId="14" fillId="40" borderId="3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86" xfId="0" applyFont="1" applyBorder="1" applyAlignment="1">
      <alignment horizontal="center" vertical="center" wrapText="1"/>
    </xf>
    <xf numFmtId="0" fontId="55" fillId="2" borderId="0" xfId="0" applyFont="1" applyFill="1" applyAlignment="1">
      <alignment horizontal="center" vertical="center"/>
    </xf>
    <xf numFmtId="0" fontId="8" fillId="7" borderId="22" xfId="5" applyFont="1" applyFill="1" applyBorder="1" applyAlignment="1">
      <alignment horizontal="center" vertical="center"/>
    </xf>
    <xf numFmtId="0" fontId="8" fillId="7" borderId="23" xfId="5" applyFont="1" applyFill="1" applyBorder="1" applyAlignment="1">
      <alignment horizontal="center" vertical="center"/>
    </xf>
    <xf numFmtId="0" fontId="8" fillId="7" borderId="24" xfId="5" applyFont="1" applyFill="1" applyBorder="1" applyAlignment="1">
      <alignment horizontal="center" vertical="center"/>
    </xf>
    <xf numFmtId="0" fontId="8" fillId="0" borderId="28" xfId="5" applyFont="1" applyBorder="1" applyAlignment="1">
      <alignment horizontal="center" vertical="center"/>
    </xf>
    <xf numFmtId="0" fontId="8" fillId="0" borderId="29" xfId="5" applyFont="1" applyBorder="1" applyAlignment="1">
      <alignment horizontal="center" vertical="center"/>
    </xf>
    <xf numFmtId="0" fontId="8" fillId="0" borderId="30" xfId="5" applyFont="1" applyBorder="1" applyAlignment="1">
      <alignment horizontal="center" vertical="center"/>
    </xf>
    <xf numFmtId="0" fontId="1" fillId="2" borderId="22" xfId="8" applyFont="1" applyFill="1" applyBorder="1" applyAlignment="1">
      <alignment horizontal="right" vertical="center"/>
    </xf>
    <xf numFmtId="0" fontId="1" fillId="2" borderId="23" xfId="8" applyFont="1" applyFill="1" applyBorder="1" applyAlignment="1">
      <alignment horizontal="right" vertical="center"/>
    </xf>
    <xf numFmtId="0" fontId="1" fillId="2" borderId="22" xfId="8" applyFont="1" applyFill="1" applyBorder="1" applyAlignment="1">
      <alignment vertical="center"/>
    </xf>
    <xf numFmtId="0" fontId="1" fillId="2" borderId="23" xfId="8" applyFont="1" applyFill="1" applyBorder="1" applyAlignment="1">
      <alignment vertical="center"/>
    </xf>
    <xf numFmtId="0" fontId="1" fillId="2" borderId="74" xfId="8" applyFont="1" applyFill="1" applyBorder="1" applyAlignment="1">
      <alignment horizontal="center" vertical="center"/>
    </xf>
    <xf numFmtId="0" fontId="1" fillId="2" borderId="23" xfId="8" applyFont="1" applyFill="1" applyBorder="1" applyAlignment="1">
      <alignment horizontal="center" vertical="center"/>
    </xf>
    <xf numFmtId="0" fontId="8" fillId="8" borderId="48" xfId="8" applyFont="1" applyFill="1" applyBorder="1" applyAlignment="1">
      <alignment horizontal="center" vertical="center"/>
    </xf>
    <xf numFmtId="0" fontId="8" fillId="8" borderId="53" xfId="8" applyFont="1" applyFill="1" applyBorder="1" applyAlignment="1">
      <alignment horizontal="center" vertical="center"/>
    </xf>
    <xf numFmtId="0" fontId="5" fillId="2" borderId="29" xfId="8" applyFont="1" applyFill="1" applyBorder="1" applyAlignment="1">
      <alignment horizontal="center" vertical="center"/>
    </xf>
    <xf numFmtId="0" fontId="5" fillId="2" borderId="30" xfId="8" applyFont="1" applyFill="1" applyBorder="1" applyAlignment="1">
      <alignment horizontal="center" vertical="center"/>
    </xf>
    <xf numFmtId="0" fontId="5" fillId="2" borderId="95" xfId="8" applyFont="1" applyFill="1" applyBorder="1" applyAlignment="1">
      <alignment horizontal="center" vertical="center"/>
    </xf>
    <xf numFmtId="0" fontId="5" fillId="2" borderId="96" xfId="8" applyFont="1" applyFill="1" applyBorder="1" applyAlignment="1">
      <alignment horizontal="center" vertical="center"/>
    </xf>
    <xf numFmtId="0" fontId="5" fillId="2" borderId="97" xfId="8" applyFont="1" applyFill="1" applyBorder="1" applyAlignment="1">
      <alignment horizontal="center" vertical="center"/>
    </xf>
    <xf numFmtId="14" fontId="1" fillId="2" borderId="23" xfId="8" applyNumberFormat="1" applyFont="1" applyFill="1" applyBorder="1" applyAlignment="1">
      <alignment horizontal="left" vertical="center"/>
    </xf>
    <xf numFmtId="14" fontId="1" fillId="2" borderId="24" xfId="8" applyNumberFormat="1" applyFont="1" applyFill="1" applyBorder="1" applyAlignment="1">
      <alignment horizontal="left" vertical="center"/>
    </xf>
    <xf numFmtId="0" fontId="68" fillId="2" borderId="9" xfId="8" applyFont="1" applyFill="1" applyBorder="1" applyAlignment="1">
      <alignment horizontal="center" vertical="center"/>
    </xf>
    <xf numFmtId="0" fontId="68" fillId="2" borderId="89" xfId="8" applyFont="1" applyFill="1" applyBorder="1" applyAlignment="1">
      <alignment horizontal="center" vertical="center"/>
    </xf>
    <xf numFmtId="0" fontId="68" fillId="2" borderId="6" xfId="8" applyFont="1" applyFill="1" applyBorder="1" applyAlignment="1">
      <alignment horizontal="center" vertical="center" wrapText="1"/>
    </xf>
    <xf numFmtId="0" fontId="68" fillId="2" borderId="75" xfId="8" applyFont="1" applyFill="1" applyBorder="1" applyAlignment="1">
      <alignment horizontal="center" vertical="center" wrapText="1"/>
    </xf>
    <xf numFmtId="0" fontId="68" fillId="2" borderId="90" xfId="8" applyFont="1" applyFill="1" applyBorder="1" applyAlignment="1">
      <alignment horizontal="center" vertical="center" wrapText="1"/>
    </xf>
    <xf numFmtId="0" fontId="8" fillId="2" borderId="34" xfId="8" applyFont="1" applyFill="1" applyBorder="1" applyAlignment="1">
      <alignment horizontal="center" vertical="center"/>
    </xf>
    <xf numFmtId="0" fontId="8" fillId="2" borderId="0" xfId="8" applyFont="1" applyFill="1" applyAlignment="1">
      <alignment horizontal="center" vertical="center"/>
    </xf>
    <xf numFmtId="0" fontId="7" fillId="8" borderId="44" xfId="8" applyFont="1" applyFill="1" applyBorder="1" applyAlignment="1">
      <alignment horizontal="center" vertical="center"/>
    </xf>
    <xf numFmtId="0" fontId="7" fillId="8" borderId="98" xfId="8" applyFont="1" applyFill="1" applyBorder="1" applyAlignment="1">
      <alignment horizontal="center" vertical="center"/>
    </xf>
    <xf numFmtId="0" fontId="8" fillId="2" borderId="34" xfId="8" applyFont="1" applyFill="1" applyBorder="1" applyAlignment="1">
      <alignment horizontal="center" vertical="top"/>
    </xf>
    <xf numFmtId="0" fontId="8" fillId="2" borderId="0" xfId="8" applyFont="1" applyFill="1" applyAlignment="1">
      <alignment horizontal="center" vertical="top"/>
    </xf>
    <xf numFmtId="0" fontId="8" fillId="2" borderId="34" xfId="8" applyFont="1" applyFill="1" applyBorder="1" applyAlignment="1">
      <alignment horizontal="center"/>
    </xf>
    <xf numFmtId="0" fontId="8" fillId="2" borderId="0" xfId="8" applyFont="1" applyFill="1" applyAlignment="1">
      <alignment horizontal="center"/>
    </xf>
    <xf numFmtId="0" fontId="68" fillId="2" borderId="17" xfId="8" applyFont="1" applyFill="1" applyBorder="1" applyAlignment="1">
      <alignment horizontal="center" vertical="center" wrapText="1"/>
    </xf>
    <xf numFmtId="0" fontId="68" fillId="2" borderId="17" xfId="8" quotePrefix="1" applyFont="1" applyFill="1" applyBorder="1" applyAlignment="1">
      <alignment horizontal="center" vertical="center"/>
    </xf>
    <xf numFmtId="0" fontId="68" fillId="2" borderId="75" xfId="8" applyFont="1" applyFill="1" applyBorder="1" applyAlignment="1">
      <alignment horizontal="center" vertical="center"/>
    </xf>
    <xf numFmtId="0" fontId="68" fillId="2" borderId="6" xfId="8" quotePrefix="1" applyFont="1" applyFill="1" applyBorder="1" applyAlignment="1">
      <alignment horizontal="center" vertical="center"/>
    </xf>
    <xf numFmtId="0" fontId="68" fillId="2" borderId="6" xfId="8" quotePrefix="1" applyFont="1" applyFill="1" applyBorder="1" applyAlignment="1">
      <alignment horizontal="center" vertical="center" wrapText="1"/>
    </xf>
    <xf numFmtId="2" fontId="8" fillId="8" borderId="44" xfId="8" applyNumberFormat="1" applyFont="1" applyFill="1" applyBorder="1" applyAlignment="1">
      <alignment horizontal="center" vertical="center"/>
    </xf>
    <xf numFmtId="2" fontId="8" fillId="8" borderId="98" xfId="8" applyNumberFormat="1" applyFont="1" applyFill="1" applyBorder="1" applyAlignment="1">
      <alignment horizontal="center" vertical="center"/>
    </xf>
    <xf numFmtId="2" fontId="8" fillId="8" borderId="48" xfId="8" applyNumberFormat="1" applyFont="1" applyFill="1" applyBorder="1" applyAlignment="1">
      <alignment horizontal="center" vertical="center"/>
    </xf>
    <xf numFmtId="2" fontId="8" fillId="8" borderId="53" xfId="8" applyNumberFormat="1" applyFont="1" applyFill="1" applyBorder="1" applyAlignment="1">
      <alignment horizontal="center" vertical="center"/>
    </xf>
    <xf numFmtId="0" fontId="7" fillId="2" borderId="0" xfId="8" applyFont="1" applyFill="1" applyAlignment="1">
      <alignment horizontal="center" vertical="center"/>
    </xf>
    <xf numFmtId="0" fontId="7" fillId="2" borderId="3" xfId="8" applyFont="1" applyFill="1" applyBorder="1" applyAlignment="1">
      <alignment horizontal="center" vertical="center"/>
    </xf>
    <xf numFmtId="0" fontId="14" fillId="10" borderId="75" xfId="8" applyFont="1" applyFill="1" applyBorder="1" applyAlignment="1">
      <alignment horizontal="center" vertical="center"/>
    </xf>
    <xf numFmtId="2" fontId="8" fillId="8" borderId="44" xfId="8" applyNumberFormat="1" applyFont="1" applyFill="1" applyBorder="1" applyAlignment="1">
      <alignment horizontal="center"/>
    </xf>
    <xf numFmtId="2" fontId="8" fillId="8" borderId="98" xfId="8" applyNumberFormat="1" applyFont="1" applyFill="1" applyBorder="1" applyAlignment="1">
      <alignment horizontal="center"/>
    </xf>
    <xf numFmtId="0" fontId="8" fillId="8" borderId="33" xfId="8" applyFont="1" applyFill="1" applyBorder="1" applyAlignment="1">
      <alignment horizontal="center" vertical="center"/>
    </xf>
    <xf numFmtId="0" fontId="8" fillId="8" borderId="46" xfId="8" applyFont="1" applyFill="1" applyBorder="1" applyAlignment="1">
      <alignment horizontal="center" vertical="center"/>
    </xf>
    <xf numFmtId="0" fontId="8" fillId="8" borderId="44" xfId="8" applyFont="1" applyFill="1" applyBorder="1" applyAlignment="1">
      <alignment horizontal="center" vertical="center"/>
    </xf>
    <xf numFmtId="0" fontId="8" fillId="8" borderId="98" xfId="8" applyFont="1" applyFill="1" applyBorder="1" applyAlignment="1">
      <alignment horizontal="center" vertical="center"/>
    </xf>
    <xf numFmtId="2" fontId="8" fillId="8" borderId="33" xfId="8" applyNumberFormat="1" applyFont="1" applyFill="1" applyBorder="1" applyAlignment="1">
      <alignment horizontal="center" vertical="center"/>
    </xf>
    <xf numFmtId="2" fontId="8" fillId="8" borderId="46" xfId="8" applyNumberFormat="1" applyFont="1" applyFill="1" applyBorder="1" applyAlignment="1">
      <alignment horizontal="center" vertical="center"/>
    </xf>
    <xf numFmtId="0" fontId="8" fillId="8" borderId="90" xfId="8" applyFont="1" applyFill="1" applyBorder="1" applyAlignment="1">
      <alignment horizontal="center" vertical="center"/>
    </xf>
    <xf numFmtId="0" fontId="8" fillId="8" borderId="6" xfId="8" applyFont="1" applyFill="1" applyBorder="1" applyAlignment="1">
      <alignment horizontal="center" vertical="center"/>
    </xf>
    <xf numFmtId="0" fontId="8" fillId="2" borderId="44" xfId="8" applyFont="1" applyFill="1" applyBorder="1" applyAlignment="1">
      <alignment horizontal="center" vertical="center"/>
    </xf>
    <xf numFmtId="0" fontId="8" fillId="2" borderId="98" xfId="8" applyFont="1" applyFill="1" applyBorder="1" applyAlignment="1">
      <alignment horizontal="center" vertical="center"/>
    </xf>
    <xf numFmtId="0" fontId="8" fillId="2" borderId="48" xfId="8" applyFont="1" applyFill="1" applyBorder="1" applyAlignment="1">
      <alignment horizontal="center" vertical="center"/>
    </xf>
    <xf numFmtId="0" fontId="8" fillId="2" borderId="53" xfId="8" applyFont="1" applyFill="1" applyBorder="1" applyAlignment="1">
      <alignment horizontal="center" vertical="center"/>
    </xf>
    <xf numFmtId="0" fontId="8" fillId="8" borderId="53" xfId="8" applyFont="1" applyFill="1" applyBorder="1" applyAlignment="1">
      <alignment horizontal="center"/>
    </xf>
    <xf numFmtId="0" fontId="8" fillId="8" borderId="98" xfId="8" applyFont="1" applyFill="1" applyBorder="1" applyAlignment="1">
      <alignment horizontal="center"/>
    </xf>
    <xf numFmtId="0" fontId="8" fillId="8" borderId="75" xfId="8" applyFont="1" applyFill="1" applyBorder="1" applyAlignment="1">
      <alignment horizontal="center" vertical="center"/>
    </xf>
    <xf numFmtId="0" fontId="8" fillId="8" borderId="33" xfId="8" applyFont="1" applyFill="1" applyBorder="1" applyAlignment="1">
      <alignment horizontal="center" wrapText="1"/>
    </xf>
    <xf numFmtId="0" fontId="8" fillId="8" borderId="46" xfId="8" applyFont="1" applyFill="1" applyBorder="1" applyAlignment="1">
      <alignment horizontal="center" wrapText="1"/>
    </xf>
    <xf numFmtId="2" fontId="28" fillId="8" borderId="33" xfId="8" applyNumberFormat="1" applyFont="1" applyFill="1" applyBorder="1" applyAlignment="1">
      <alignment horizontal="center" vertical="center"/>
    </xf>
    <xf numFmtId="2" fontId="28" fillId="8" borderId="46" xfId="8" applyNumberFormat="1" applyFont="1" applyFill="1" applyBorder="1" applyAlignment="1">
      <alignment horizontal="center" vertical="center"/>
    </xf>
    <xf numFmtId="0" fontId="8" fillId="8" borderId="48" xfId="8" applyFont="1" applyFill="1" applyBorder="1" applyAlignment="1">
      <alignment horizontal="center" vertical="center" wrapText="1"/>
    </xf>
    <xf numFmtId="0" fontId="8" fillId="8" borderId="53" xfId="8" applyFont="1" applyFill="1" applyBorder="1" applyAlignment="1">
      <alignment horizontal="center" vertical="center" wrapText="1"/>
    </xf>
    <xf numFmtId="0" fontId="8" fillId="8" borderId="44" xfId="8" applyFont="1" applyFill="1" applyBorder="1" applyAlignment="1">
      <alignment horizontal="center" wrapText="1"/>
    </xf>
    <xf numFmtId="0" fontId="8" fillId="8" borderId="98" xfId="8" applyFont="1" applyFill="1" applyBorder="1" applyAlignment="1">
      <alignment horizontal="center" wrapText="1"/>
    </xf>
    <xf numFmtId="0" fontId="8" fillId="8" borderId="54" xfId="8" applyFont="1" applyFill="1" applyBorder="1" applyAlignment="1">
      <alignment horizontal="center" vertical="center"/>
    </xf>
    <xf numFmtId="0" fontId="8" fillId="8" borderId="52" xfId="8" applyFont="1" applyFill="1" applyBorder="1" applyAlignment="1">
      <alignment horizontal="center"/>
    </xf>
    <xf numFmtId="0" fontId="8" fillId="8" borderId="52" xfId="8" applyFont="1" applyFill="1" applyBorder="1" applyAlignment="1">
      <alignment horizontal="center" vertical="center"/>
    </xf>
    <xf numFmtId="0" fontId="8" fillId="8" borderId="75" xfId="8" applyFont="1" applyFill="1" applyBorder="1" applyAlignment="1">
      <alignment horizontal="center"/>
    </xf>
    <xf numFmtId="0" fontId="8" fillId="8" borderId="44" xfId="8" applyFont="1" applyFill="1" applyBorder="1" applyAlignment="1">
      <alignment horizontal="right" vertical="center"/>
    </xf>
    <xf numFmtId="0" fontId="8" fillId="8" borderId="56" xfId="8" applyFont="1" applyFill="1" applyBorder="1" applyAlignment="1">
      <alignment horizontal="center" vertical="center"/>
    </xf>
    <xf numFmtId="0" fontId="8" fillId="8" borderId="57" xfId="8" applyFont="1" applyFill="1" applyBorder="1" applyAlignment="1">
      <alignment horizontal="center" vertical="center"/>
    </xf>
    <xf numFmtId="2" fontId="9" fillId="8" borderId="48" xfId="8" applyNumberFormat="1" applyFont="1" applyFill="1" applyBorder="1" applyAlignment="1">
      <alignment horizontal="center" vertical="center"/>
    </xf>
    <xf numFmtId="2" fontId="9" fillId="8" borderId="53" xfId="8" applyNumberFormat="1" applyFont="1" applyFill="1" applyBorder="1" applyAlignment="1">
      <alignment horizontal="center" vertical="center"/>
    </xf>
    <xf numFmtId="0" fontId="8" fillId="0" borderId="72" xfId="173" applyFont="1" applyBorder="1" applyAlignment="1">
      <alignment horizontal="left" vertical="center" wrapText="1"/>
    </xf>
    <xf numFmtId="0" fontId="8" fillId="0" borderId="84" xfId="173" applyFont="1" applyBorder="1" applyAlignment="1">
      <alignment horizontal="left" vertical="center" wrapText="1"/>
    </xf>
    <xf numFmtId="0" fontId="8" fillId="0" borderId="76" xfId="173" applyFont="1" applyBorder="1" applyAlignment="1">
      <alignment horizontal="left" vertical="center" wrapText="1"/>
    </xf>
    <xf numFmtId="0" fontId="64" fillId="35" borderId="80" xfId="90" applyFont="1" applyFill="1" applyBorder="1" applyAlignment="1" applyProtection="1">
      <alignment horizontal="center" vertical="center" wrapText="1"/>
      <protection locked="0"/>
    </xf>
    <xf numFmtId="0" fontId="64" fillId="35" borderId="100" xfId="90" applyFont="1" applyFill="1" applyBorder="1" applyAlignment="1" applyProtection="1">
      <alignment horizontal="center" vertical="center" wrapText="1"/>
      <protection locked="0"/>
    </xf>
    <xf numFmtId="0" fontId="64" fillId="35" borderId="101" xfId="90" applyFont="1" applyFill="1" applyBorder="1" applyAlignment="1" applyProtection="1">
      <alignment horizontal="center" vertical="center" wrapText="1"/>
      <protection locked="0"/>
    </xf>
    <xf numFmtId="0" fontId="8" fillId="0" borderId="80" xfId="173" applyFont="1" applyBorder="1" applyAlignment="1">
      <alignment horizontal="center" vertical="center"/>
    </xf>
    <xf numFmtId="0" fontId="8" fillId="0" borderId="100" xfId="173" applyFont="1" applyBorder="1" applyAlignment="1">
      <alignment horizontal="center" vertical="center"/>
    </xf>
    <xf numFmtId="0" fontId="8" fillId="0" borderId="101" xfId="173" applyFont="1" applyBorder="1" applyAlignment="1">
      <alignment horizontal="center" vertical="center"/>
    </xf>
    <xf numFmtId="0" fontId="56" fillId="0" borderId="80" xfId="5" applyFont="1" applyBorder="1" applyAlignment="1">
      <alignment horizontal="center" vertical="center"/>
    </xf>
    <xf numFmtId="0" fontId="56" fillId="0" borderId="107" xfId="5" applyFont="1" applyBorder="1" applyAlignment="1">
      <alignment horizontal="center" vertical="center"/>
    </xf>
    <xf numFmtId="0" fontId="8" fillId="0" borderId="43" xfId="5" applyFont="1" applyBorder="1" applyAlignment="1">
      <alignment horizontal="center" vertical="center"/>
    </xf>
    <xf numFmtId="0" fontId="56" fillId="0" borderId="111" xfId="5" applyFont="1" applyBorder="1" applyAlignment="1">
      <alignment horizontal="center" vertical="center"/>
    </xf>
    <xf numFmtId="0" fontId="56" fillId="0" borderId="73" xfId="5" applyFont="1" applyBorder="1" applyAlignment="1">
      <alignment horizontal="center" vertical="center"/>
    </xf>
    <xf numFmtId="0" fontId="8" fillId="0" borderId="104" xfId="5" applyFont="1" applyBorder="1" applyAlignment="1">
      <alignment horizontal="center" vertical="center"/>
    </xf>
    <xf numFmtId="0" fontId="56" fillId="0" borderId="28" xfId="5" applyFont="1" applyBorder="1" applyAlignment="1">
      <alignment horizontal="center" vertical="center"/>
    </xf>
    <xf numFmtId="0" fontId="56" fillId="0" borderId="31" xfId="5" applyFont="1" applyBorder="1" applyAlignment="1">
      <alignment horizontal="center" vertical="center"/>
    </xf>
    <xf numFmtId="0" fontId="56" fillId="0" borderId="78" xfId="5" applyFont="1" applyBorder="1" applyAlignment="1">
      <alignment horizontal="center" vertical="center"/>
    </xf>
    <xf numFmtId="0" fontId="8" fillId="0" borderId="20" xfId="5" applyFont="1" applyBorder="1" applyAlignment="1">
      <alignment horizontal="center" vertical="center"/>
    </xf>
    <xf numFmtId="0" fontId="8" fillId="0" borderId="41" xfId="5" applyFont="1" applyBorder="1" applyAlignment="1">
      <alignment horizontal="center" vertical="center"/>
    </xf>
    <xf numFmtId="0" fontId="8" fillId="0" borderId="83" xfId="5" applyFont="1" applyBorder="1" applyAlignment="1">
      <alignment horizontal="center" vertical="center"/>
    </xf>
    <xf numFmtId="0" fontId="56" fillId="0" borderId="44" xfId="5" applyFont="1" applyBorder="1" applyAlignment="1">
      <alignment horizontal="center" vertical="center"/>
    </xf>
    <xf numFmtId="0" fontId="56" fillId="0" borderId="98" xfId="5" applyFont="1" applyBorder="1" applyAlignment="1">
      <alignment horizontal="center" vertical="center"/>
    </xf>
    <xf numFmtId="0" fontId="56" fillId="0" borderId="110" xfId="5" applyFont="1" applyBorder="1" applyAlignment="1">
      <alignment horizontal="center" vertical="center"/>
    </xf>
    <xf numFmtId="0" fontId="8" fillId="37" borderId="22" xfId="5" applyFont="1" applyFill="1" applyBorder="1" applyAlignment="1">
      <alignment horizontal="center" vertical="center"/>
    </xf>
    <xf numFmtId="0" fontId="8" fillId="37" borderId="23" xfId="5" applyFont="1" applyFill="1" applyBorder="1" applyAlignment="1">
      <alignment horizontal="center" vertical="center"/>
    </xf>
    <xf numFmtId="0" fontId="8" fillId="37" borderId="24" xfId="5" applyFont="1" applyFill="1" applyBorder="1" applyAlignment="1">
      <alignment horizontal="center" vertical="center"/>
    </xf>
    <xf numFmtId="0" fontId="14" fillId="48" borderId="117" xfId="0" applyFont="1" applyFill="1" applyBorder="1" applyAlignment="1">
      <alignment horizontal="center" vertical="center" wrapText="1"/>
    </xf>
    <xf numFmtId="0" fontId="14" fillId="48" borderId="101" xfId="0" applyFont="1" applyFill="1" applyBorder="1" applyAlignment="1">
      <alignment horizontal="center" vertical="center" wrapText="1"/>
    </xf>
    <xf numFmtId="0" fontId="71" fillId="2" borderId="22" xfId="0" applyFont="1" applyFill="1" applyBorder="1" applyAlignment="1">
      <alignment horizontal="center" vertical="center" wrapText="1"/>
    </xf>
    <xf numFmtId="0" fontId="71" fillId="2" borderId="23" xfId="0" applyFont="1" applyFill="1" applyBorder="1" applyAlignment="1">
      <alignment horizontal="center" vertical="center" wrapText="1"/>
    </xf>
    <xf numFmtId="0" fontId="71" fillId="2" borderId="24" xfId="0" applyFont="1" applyFill="1" applyBorder="1" applyAlignment="1">
      <alignment horizontal="center" vertical="center" wrapText="1"/>
    </xf>
    <xf numFmtId="0" fontId="13" fillId="0" borderId="90" xfId="0" applyFont="1" applyBorder="1" applyAlignment="1">
      <alignment vertical="center" textRotation="90" wrapText="1"/>
    </xf>
    <xf numFmtId="0" fontId="13" fillId="0" borderId="7" xfId="0" applyFont="1" applyBorder="1" applyAlignment="1">
      <alignment vertical="center" textRotation="90" wrapText="1"/>
    </xf>
    <xf numFmtId="0" fontId="13" fillId="0" borderId="6" xfId="0" applyFont="1" applyBorder="1" applyAlignment="1">
      <alignment vertical="center" textRotation="90" wrapText="1"/>
    </xf>
    <xf numFmtId="0" fontId="28" fillId="0" borderId="89" xfId="0" applyFont="1" applyBorder="1" applyAlignment="1">
      <alignment horizontal="left" vertical="center" wrapText="1"/>
    </xf>
    <xf numFmtId="0" fontId="28" fillId="0" borderId="84" xfId="0" applyFont="1" applyBorder="1" applyAlignment="1">
      <alignment horizontal="left" vertical="center" wrapText="1"/>
    </xf>
    <xf numFmtId="0" fontId="28" fillId="0" borderId="76" xfId="0" applyFont="1" applyBorder="1" applyAlignment="1">
      <alignment horizontal="left" vertical="center" wrapText="1"/>
    </xf>
    <xf numFmtId="0" fontId="71" fillId="2" borderId="80" xfId="0" applyFont="1" applyFill="1" applyBorder="1" applyAlignment="1">
      <alignment horizontal="center" vertical="center" wrapText="1"/>
    </xf>
    <xf numFmtId="0" fontId="71" fillId="2" borderId="100" xfId="0" applyFont="1" applyFill="1" applyBorder="1" applyAlignment="1">
      <alignment horizontal="center" vertical="center" wrapText="1"/>
    </xf>
    <xf numFmtId="0" fontId="71" fillId="2" borderId="101" xfId="0" applyFont="1" applyFill="1" applyBorder="1" applyAlignment="1">
      <alignment horizontal="center" vertical="center" wrapText="1"/>
    </xf>
    <xf numFmtId="0" fontId="71" fillId="0" borderId="22" xfId="1" applyFont="1" applyBorder="1" applyAlignment="1">
      <alignment horizontal="center" vertical="center"/>
    </xf>
    <xf numFmtId="0" fontId="71" fillId="0" borderId="23" xfId="1" applyFont="1" applyBorder="1" applyAlignment="1">
      <alignment horizontal="center" vertical="center"/>
    </xf>
    <xf numFmtId="0" fontId="71" fillId="0" borderId="24" xfId="1" applyFont="1" applyBorder="1" applyAlignment="1">
      <alignment horizontal="center" vertical="center"/>
    </xf>
    <xf numFmtId="0" fontId="14" fillId="0" borderId="29" xfId="0" applyFont="1" applyBorder="1"/>
    <xf numFmtId="0" fontId="55" fillId="9" borderId="75" xfId="0" quotePrefix="1" applyFont="1" applyFill="1" applyBorder="1" applyAlignment="1">
      <alignment horizontal="center" vertical="center"/>
    </xf>
    <xf numFmtId="0" fontId="55" fillId="9" borderId="75" xfId="0" applyFont="1" applyFill="1" applyBorder="1" applyAlignment="1">
      <alignment horizontal="center" vertical="center" wrapText="1"/>
    </xf>
    <xf numFmtId="14" fontId="55" fillId="9" borderId="75" xfId="0" applyNumberFormat="1" applyFont="1" applyFill="1" applyBorder="1" applyAlignment="1">
      <alignment horizontal="center"/>
    </xf>
    <xf numFmtId="49" fontId="55" fillId="0" borderId="75" xfId="0" quotePrefix="1" applyNumberFormat="1" applyFont="1" applyBorder="1" applyAlignment="1">
      <alignment horizontal="center" vertical="center"/>
    </xf>
  </cellXfs>
  <cellStyles count="177">
    <cellStyle name="20% - Accent1 2" xfId="10" xr:uid="{00000000-0005-0000-0000-000000000000}"/>
    <cellStyle name="20% - Accent2 2" xfId="11" xr:uid="{00000000-0005-0000-0000-000001000000}"/>
    <cellStyle name="20% - Accent3 2" xfId="12" xr:uid="{00000000-0005-0000-0000-000002000000}"/>
    <cellStyle name="20% - Accent4 2" xfId="13" xr:uid="{00000000-0005-0000-0000-000003000000}"/>
    <cellStyle name="20% - Accent5 2" xfId="14" xr:uid="{00000000-0005-0000-0000-000004000000}"/>
    <cellStyle name="20% - Accent6 2" xfId="15" xr:uid="{00000000-0005-0000-0000-000005000000}"/>
    <cellStyle name="40% - Accent1 2" xfId="16" xr:uid="{00000000-0005-0000-0000-000006000000}"/>
    <cellStyle name="40% - Accent2 2" xfId="17" xr:uid="{00000000-0005-0000-0000-000007000000}"/>
    <cellStyle name="40% - Accent3 2" xfId="18" xr:uid="{00000000-0005-0000-0000-000008000000}"/>
    <cellStyle name="40% - Accent4 2" xfId="1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22" xr:uid="{00000000-0005-0000-0000-00000C000000}"/>
    <cellStyle name="60% - Accent2 2" xfId="23" xr:uid="{00000000-0005-0000-0000-00000D000000}"/>
    <cellStyle name="60% - Accent3 2" xfId="24" xr:uid="{00000000-0005-0000-0000-00000E000000}"/>
    <cellStyle name="60% - Accent4 2" xfId="25" xr:uid="{00000000-0005-0000-0000-00000F000000}"/>
    <cellStyle name="60% - Accent5 2" xfId="26" xr:uid="{00000000-0005-0000-0000-000010000000}"/>
    <cellStyle name="60% - Accent6 2" xfId="27" xr:uid="{00000000-0005-0000-0000-000011000000}"/>
    <cellStyle name="Accent1 2" xfId="28" xr:uid="{00000000-0005-0000-0000-000012000000}"/>
    <cellStyle name="Accent2 2" xfId="29" xr:uid="{00000000-0005-0000-0000-000013000000}"/>
    <cellStyle name="Accent3 2" xfId="30" xr:uid="{00000000-0005-0000-0000-000014000000}"/>
    <cellStyle name="Accent4 2" xfId="31" xr:uid="{00000000-0005-0000-0000-000015000000}"/>
    <cellStyle name="Accent5 2" xfId="32" xr:uid="{00000000-0005-0000-0000-000016000000}"/>
    <cellStyle name="Accent6 2" xfId="33" xr:uid="{00000000-0005-0000-0000-000017000000}"/>
    <cellStyle name="Bad 2" xfId="34" xr:uid="{00000000-0005-0000-0000-000018000000}"/>
    <cellStyle name="Calculation 2" xfId="35" xr:uid="{00000000-0005-0000-0000-000019000000}"/>
    <cellStyle name="Check Cell 2" xfId="36" xr:uid="{00000000-0005-0000-0000-00001A000000}"/>
    <cellStyle name="Comma 2" xfId="37" xr:uid="{00000000-0005-0000-0000-00001B000000}"/>
    <cellStyle name="Comma 2 2" xfId="174" xr:uid="{00000000-0005-0000-0000-00001C000000}"/>
    <cellStyle name="Comma 3" xfId="38" xr:uid="{00000000-0005-0000-0000-00001D000000}"/>
    <cellStyle name="Comma 4" xfId="39" xr:uid="{00000000-0005-0000-0000-00001E000000}"/>
    <cellStyle name="Comma 5" xfId="40" xr:uid="{00000000-0005-0000-0000-00001F000000}"/>
    <cellStyle name="Comma 6" xfId="41" xr:uid="{00000000-0005-0000-0000-000020000000}"/>
    <cellStyle name="Comma 7" xfId="42" xr:uid="{00000000-0005-0000-0000-000021000000}"/>
    <cellStyle name="Currency 2" xfId="43" xr:uid="{00000000-0005-0000-0000-000022000000}"/>
    <cellStyle name="Excel Built-in Normal" xfId="44" xr:uid="{00000000-0005-0000-0000-000023000000}"/>
    <cellStyle name="Explanatory Text 2" xfId="45" xr:uid="{00000000-0005-0000-0000-000024000000}"/>
    <cellStyle name="Good 2" xfId="46" xr:uid="{00000000-0005-0000-0000-000025000000}"/>
    <cellStyle name="Heading 1 2" xfId="47" xr:uid="{00000000-0005-0000-0000-000026000000}"/>
    <cellStyle name="Heading 2 2" xfId="48" xr:uid="{00000000-0005-0000-0000-000027000000}"/>
    <cellStyle name="Heading 3 2" xfId="49" xr:uid="{00000000-0005-0000-0000-000028000000}"/>
    <cellStyle name="Heading 4 2" xfId="50" xr:uid="{00000000-0005-0000-0000-000029000000}"/>
    <cellStyle name="Hyperlink" xfId="171" builtinId="8"/>
    <cellStyle name="Input 2" xfId="51" xr:uid="{00000000-0005-0000-0000-00002B000000}"/>
    <cellStyle name="Linked Cell 2" xfId="52" xr:uid="{00000000-0005-0000-0000-00002C000000}"/>
    <cellStyle name="Neutral 2" xfId="53" xr:uid="{00000000-0005-0000-0000-00002D000000}"/>
    <cellStyle name="Normal" xfId="0" builtinId="0"/>
    <cellStyle name="Normal 10" xfId="54" xr:uid="{00000000-0005-0000-0000-00002F000000}"/>
    <cellStyle name="Normal 10 2" xfId="55" xr:uid="{00000000-0005-0000-0000-000030000000}"/>
    <cellStyle name="Normal 10 20 3 2" xfId="56" xr:uid="{00000000-0005-0000-0000-000031000000}"/>
    <cellStyle name="Normal 11" xfId="57" xr:uid="{00000000-0005-0000-0000-000032000000}"/>
    <cellStyle name="Normal 12" xfId="58" xr:uid="{00000000-0005-0000-0000-000033000000}"/>
    <cellStyle name="Normal 13" xfId="59" xr:uid="{00000000-0005-0000-0000-000034000000}"/>
    <cellStyle name="Normal 14" xfId="60" xr:uid="{00000000-0005-0000-0000-000035000000}"/>
    <cellStyle name="Normal 14 2" xfId="61" xr:uid="{00000000-0005-0000-0000-000036000000}"/>
    <cellStyle name="Normal 15" xfId="62" xr:uid="{00000000-0005-0000-0000-000037000000}"/>
    <cellStyle name="Normal 16" xfId="63" xr:uid="{00000000-0005-0000-0000-000038000000}"/>
    <cellStyle name="Normal 17" xfId="64" xr:uid="{00000000-0005-0000-0000-000039000000}"/>
    <cellStyle name="Normal 18" xfId="65" xr:uid="{00000000-0005-0000-0000-00003A000000}"/>
    <cellStyle name="Normal 19" xfId="66" xr:uid="{00000000-0005-0000-0000-00003B000000}"/>
    <cellStyle name="Normal 198" xfId="67" xr:uid="{00000000-0005-0000-0000-00003C000000}"/>
    <cellStyle name="Normal 2" xfId="2" xr:uid="{00000000-0005-0000-0000-00003D000000}"/>
    <cellStyle name="Normal 2 10" xfId="68" xr:uid="{00000000-0005-0000-0000-00003E000000}"/>
    <cellStyle name="Normal 2 11" xfId="69" xr:uid="{00000000-0005-0000-0000-00003F000000}"/>
    <cellStyle name="Normal 2 12" xfId="70" xr:uid="{00000000-0005-0000-0000-000040000000}"/>
    <cellStyle name="Normal 2 13" xfId="71" xr:uid="{00000000-0005-0000-0000-000041000000}"/>
    <cellStyle name="Normal 2 14" xfId="72" xr:uid="{00000000-0005-0000-0000-000042000000}"/>
    <cellStyle name="Normal 2 15" xfId="73" xr:uid="{00000000-0005-0000-0000-000043000000}"/>
    <cellStyle name="Normal 2 16" xfId="8" xr:uid="{00000000-0005-0000-0000-000044000000}"/>
    <cellStyle name="Normal 2 2" xfId="74" xr:uid="{00000000-0005-0000-0000-000045000000}"/>
    <cellStyle name="Normal 2 2 2" xfId="3" xr:uid="{00000000-0005-0000-0000-000046000000}"/>
    <cellStyle name="Normal 2 2 2 2 2 2 2" xfId="75" xr:uid="{00000000-0005-0000-0000-000047000000}"/>
    <cellStyle name="Normal 2 2 2 2 2 2 2 2" xfId="76" xr:uid="{00000000-0005-0000-0000-000048000000}"/>
    <cellStyle name="Normal 2 2 2 2 2 2 2 2 2" xfId="77" xr:uid="{00000000-0005-0000-0000-000049000000}"/>
    <cellStyle name="Normal 2 2 2 2 2 2 2 2 2 2" xfId="78" xr:uid="{00000000-0005-0000-0000-00004A000000}"/>
    <cellStyle name="Normal 2 2 2 2 2 2 2 2 2 2 2" xfId="79" xr:uid="{00000000-0005-0000-0000-00004B000000}"/>
    <cellStyle name="Normal 2 2 2 2 2 2 2 2 2 2 2 2" xfId="80" xr:uid="{00000000-0005-0000-0000-00004C000000}"/>
    <cellStyle name="Normal 2 2 2 2 2 2 2 2 2 2 2 3" xfId="81" xr:uid="{00000000-0005-0000-0000-00004D000000}"/>
    <cellStyle name="Normal 2 2 2 2 2 2 2 2 2 2 2 4" xfId="82" xr:uid="{00000000-0005-0000-0000-00004E000000}"/>
    <cellStyle name="Normal 2 2 2 2 2 2 2 2 2 2 2 5" xfId="83" xr:uid="{00000000-0005-0000-0000-00004F000000}"/>
    <cellStyle name="Normal 2 2 2 2 2 2 2 2 2 2 3" xfId="84" xr:uid="{00000000-0005-0000-0000-000050000000}"/>
    <cellStyle name="Normal 2 2 2 2 2 2 2 2 2 2 4" xfId="85" xr:uid="{00000000-0005-0000-0000-000051000000}"/>
    <cellStyle name="Normal 2 2 2 2 2 2 2 2 2 2 5" xfId="86" xr:uid="{00000000-0005-0000-0000-000052000000}"/>
    <cellStyle name="Normal 2 2 2 2 2 2 2 2 2 2 6" xfId="87" xr:uid="{00000000-0005-0000-0000-000053000000}"/>
    <cellStyle name="Normal 2 2 2_JICA Substations estimate" xfId="175" xr:uid="{00000000-0005-0000-0000-000054000000}"/>
    <cellStyle name="Normal 2 2 3" xfId="88" xr:uid="{00000000-0005-0000-0000-000055000000}"/>
    <cellStyle name="Normal 2 2 3 2" xfId="89" xr:uid="{00000000-0005-0000-0000-000056000000}"/>
    <cellStyle name="Normal 2 3" xfId="90" xr:uid="{00000000-0005-0000-0000-000057000000}"/>
    <cellStyle name="Normal 2 4" xfId="91" xr:uid="{00000000-0005-0000-0000-000058000000}"/>
    <cellStyle name="Normal 2 5" xfId="92" xr:uid="{00000000-0005-0000-0000-000059000000}"/>
    <cellStyle name="Normal 2 6" xfId="93" xr:uid="{00000000-0005-0000-0000-00005A000000}"/>
    <cellStyle name="Normal 2 7" xfId="94" xr:uid="{00000000-0005-0000-0000-00005B000000}"/>
    <cellStyle name="Normal 2 8" xfId="95" xr:uid="{00000000-0005-0000-0000-00005C000000}"/>
    <cellStyle name="Normal 2 9" xfId="96" xr:uid="{00000000-0005-0000-0000-00005D000000}"/>
    <cellStyle name="Normal 2_KNL-RCR-LANCO-DPR-13-11-13" xfId="97" xr:uid="{00000000-0005-0000-0000-00005E000000}"/>
    <cellStyle name="Normal 20" xfId="98" xr:uid="{00000000-0005-0000-0000-00005F000000}"/>
    <cellStyle name="Normal 21" xfId="99" xr:uid="{00000000-0005-0000-0000-000060000000}"/>
    <cellStyle name="Normal 22" xfId="100" xr:uid="{00000000-0005-0000-0000-000061000000}"/>
    <cellStyle name="Normal 23" xfId="101" xr:uid="{00000000-0005-0000-0000-000062000000}"/>
    <cellStyle name="Normal 23 2" xfId="102" xr:uid="{00000000-0005-0000-0000-000063000000}"/>
    <cellStyle name="Normal 24" xfId="103" xr:uid="{00000000-0005-0000-0000-000064000000}"/>
    <cellStyle name="Normal 25" xfId="104" xr:uid="{00000000-0005-0000-0000-000065000000}"/>
    <cellStyle name="Normal 26" xfId="105" xr:uid="{00000000-0005-0000-0000-000066000000}"/>
    <cellStyle name="Normal 27" xfId="106" xr:uid="{00000000-0005-0000-0000-000067000000}"/>
    <cellStyle name="Normal 28" xfId="107" xr:uid="{00000000-0005-0000-0000-000068000000}"/>
    <cellStyle name="Normal 29" xfId="9" xr:uid="{00000000-0005-0000-0000-000069000000}"/>
    <cellStyle name="Normal 3" xfId="6" xr:uid="{00000000-0005-0000-0000-00006A000000}"/>
    <cellStyle name="Normal 3 10 3" xfId="173" xr:uid="{00000000-0005-0000-0000-00006B000000}"/>
    <cellStyle name="Normal 3 2" xfId="108" xr:uid="{00000000-0005-0000-0000-00006C000000}"/>
    <cellStyle name="Normal 3 3" xfId="109" xr:uid="{00000000-0005-0000-0000-00006D000000}"/>
    <cellStyle name="Normal 3_DPR 10.02.2012" xfId="110" xr:uid="{00000000-0005-0000-0000-00006E000000}"/>
    <cellStyle name="Normal 30" xfId="111" xr:uid="{00000000-0005-0000-0000-00006F000000}"/>
    <cellStyle name="Normal 31" xfId="112" xr:uid="{00000000-0005-0000-0000-000070000000}"/>
    <cellStyle name="Normal 32" xfId="113" xr:uid="{00000000-0005-0000-0000-000071000000}"/>
    <cellStyle name="Normal 33" xfId="114" xr:uid="{00000000-0005-0000-0000-000072000000}"/>
    <cellStyle name="Normal 34" xfId="115" xr:uid="{00000000-0005-0000-0000-000073000000}"/>
    <cellStyle name="Normal 35" xfId="116" xr:uid="{00000000-0005-0000-0000-000074000000}"/>
    <cellStyle name="Normal 36" xfId="117" xr:uid="{00000000-0005-0000-0000-000075000000}"/>
    <cellStyle name="Normal 37" xfId="118" xr:uid="{00000000-0005-0000-0000-000076000000}"/>
    <cellStyle name="Normal 38" xfId="119" xr:uid="{00000000-0005-0000-0000-000077000000}"/>
    <cellStyle name="Normal 39" xfId="120" xr:uid="{00000000-0005-0000-0000-000078000000}"/>
    <cellStyle name="Normal 4" xfId="121" xr:uid="{00000000-0005-0000-0000-000079000000}"/>
    <cellStyle name="Normal 4 2" xfId="122" xr:uid="{00000000-0005-0000-0000-00007A000000}"/>
    <cellStyle name="Normal 4 3" xfId="123" xr:uid="{00000000-0005-0000-0000-00007B000000}"/>
    <cellStyle name="Normal 40" xfId="124" xr:uid="{00000000-0005-0000-0000-00007C000000}"/>
    <cellStyle name="Normal 41" xfId="125" xr:uid="{00000000-0005-0000-0000-00007D000000}"/>
    <cellStyle name="Normal 42" xfId="126" xr:uid="{00000000-0005-0000-0000-00007E000000}"/>
    <cellStyle name="Normal 43" xfId="127" xr:uid="{00000000-0005-0000-0000-00007F000000}"/>
    <cellStyle name="Normal 43 2" xfId="128" xr:uid="{00000000-0005-0000-0000-000080000000}"/>
    <cellStyle name="Normal 44" xfId="129" xr:uid="{00000000-0005-0000-0000-000081000000}"/>
    <cellStyle name="Normal 45" xfId="130" xr:uid="{00000000-0005-0000-0000-000082000000}"/>
    <cellStyle name="Normal 46" xfId="131" xr:uid="{00000000-0005-0000-0000-000083000000}"/>
    <cellStyle name="Normal 47" xfId="132" xr:uid="{00000000-0005-0000-0000-000084000000}"/>
    <cellStyle name="Normal 48" xfId="133" xr:uid="{00000000-0005-0000-0000-000085000000}"/>
    <cellStyle name="Normal 49" xfId="134" xr:uid="{00000000-0005-0000-0000-000086000000}"/>
    <cellStyle name="Normal 5" xfId="1" xr:uid="{00000000-0005-0000-0000-000087000000}"/>
    <cellStyle name="Normal 5 2" xfId="5" xr:uid="{00000000-0005-0000-0000-000088000000}"/>
    <cellStyle name="Normal 50" xfId="135" xr:uid="{00000000-0005-0000-0000-000089000000}"/>
    <cellStyle name="Normal 51" xfId="136" xr:uid="{00000000-0005-0000-0000-00008A000000}"/>
    <cellStyle name="Normal 52" xfId="137" xr:uid="{00000000-0005-0000-0000-00008B000000}"/>
    <cellStyle name="Normal 56" xfId="138" xr:uid="{00000000-0005-0000-0000-00008C000000}"/>
    <cellStyle name="Normal 57 2" xfId="139" xr:uid="{00000000-0005-0000-0000-00008D000000}"/>
    <cellStyle name="Normal 58" xfId="140" xr:uid="{00000000-0005-0000-0000-00008E000000}"/>
    <cellStyle name="Normal 59" xfId="141" xr:uid="{00000000-0005-0000-0000-00008F000000}"/>
    <cellStyle name="Normal 6" xfId="142" xr:uid="{00000000-0005-0000-0000-000090000000}"/>
    <cellStyle name="Normal 6 2" xfId="143" xr:uid="{00000000-0005-0000-0000-000091000000}"/>
    <cellStyle name="Normal 60" xfId="144" xr:uid="{00000000-0005-0000-0000-000092000000}"/>
    <cellStyle name="Normal 61" xfId="145" xr:uid="{00000000-0005-0000-0000-000093000000}"/>
    <cellStyle name="Normal 62" xfId="146" xr:uid="{00000000-0005-0000-0000-000094000000}"/>
    <cellStyle name="Normal 63" xfId="147" xr:uid="{00000000-0005-0000-0000-000095000000}"/>
    <cellStyle name="Normal 64" xfId="148" xr:uid="{00000000-0005-0000-0000-000096000000}"/>
    <cellStyle name="Normal 65" xfId="149" xr:uid="{00000000-0005-0000-0000-000097000000}"/>
    <cellStyle name="Normal 66" xfId="150" xr:uid="{00000000-0005-0000-0000-000098000000}"/>
    <cellStyle name="Normal 67" xfId="151" xr:uid="{00000000-0005-0000-0000-000099000000}"/>
    <cellStyle name="Normal 68" xfId="152" xr:uid="{00000000-0005-0000-0000-00009A000000}"/>
    <cellStyle name="Normal 69" xfId="153" xr:uid="{00000000-0005-0000-0000-00009B000000}"/>
    <cellStyle name="Normal 7" xfId="154" xr:uid="{00000000-0005-0000-0000-00009C000000}"/>
    <cellStyle name="Normal 7 20 3 2" xfId="155" xr:uid="{00000000-0005-0000-0000-00009D000000}"/>
    <cellStyle name="Normal 70" xfId="156" xr:uid="{00000000-0005-0000-0000-00009E000000}"/>
    <cellStyle name="Normal 71" xfId="157" xr:uid="{00000000-0005-0000-0000-00009F000000}"/>
    <cellStyle name="Normal 71 2" xfId="158" xr:uid="{00000000-0005-0000-0000-0000A0000000}"/>
    <cellStyle name="Normal 72" xfId="159" xr:uid="{00000000-0005-0000-0000-0000A1000000}"/>
    <cellStyle name="Normal 73" xfId="160" xr:uid="{00000000-0005-0000-0000-0000A2000000}"/>
    <cellStyle name="Normal 74" xfId="161" xr:uid="{00000000-0005-0000-0000-0000A3000000}"/>
    <cellStyle name="Normal 75" xfId="162" xr:uid="{00000000-0005-0000-0000-0000A4000000}"/>
    <cellStyle name="Normal 8" xfId="4" xr:uid="{00000000-0005-0000-0000-0000A5000000}"/>
    <cellStyle name="Normal 9" xfId="163" xr:uid="{00000000-0005-0000-0000-0000A6000000}"/>
    <cellStyle name="Normal_400 -230-110 KV SS at Thervaikandikai" xfId="176" xr:uid="{00000000-0005-0000-0000-0000A7000000}"/>
    <cellStyle name="Note 2" xfId="164" xr:uid="{00000000-0005-0000-0000-0000A8000000}"/>
    <cellStyle name="Note 8" xfId="165" xr:uid="{00000000-0005-0000-0000-0000A9000000}"/>
    <cellStyle name="Output 2" xfId="166" xr:uid="{00000000-0005-0000-0000-0000AA000000}"/>
    <cellStyle name="Per cent 2" xfId="167" xr:uid="{00000000-0005-0000-0000-0000AB000000}"/>
    <cellStyle name="Percent" xfId="172" builtinId="5"/>
    <cellStyle name="Percent 2" xfId="7" xr:uid="{00000000-0005-0000-0000-0000AD000000}"/>
    <cellStyle name="Title 2" xfId="168" xr:uid="{00000000-0005-0000-0000-0000AE000000}"/>
    <cellStyle name="Total 2" xfId="169" xr:uid="{00000000-0005-0000-0000-0000AF000000}"/>
    <cellStyle name="Warning Text 2" xfId="170" xr:uid="{00000000-0005-0000-0000-0000B0000000}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FF66"/>
      <color rgb="FF66FF99"/>
      <color rgb="FFFF5050"/>
      <color rgb="FF864C3A"/>
      <color rgb="FFB2B2B2"/>
      <color rgb="FF2218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externalLink" Target="externalLinks/externalLink57.xml"/><Relationship Id="rId84" Type="http://schemas.openxmlformats.org/officeDocument/2006/relationships/externalLink" Target="externalLinks/externalLink73.xml"/><Relationship Id="rId89" Type="http://schemas.openxmlformats.org/officeDocument/2006/relationships/externalLink" Target="externalLinks/externalLink78.xml"/><Relationship Id="rId16" Type="http://schemas.openxmlformats.org/officeDocument/2006/relationships/externalLink" Target="externalLinks/externalLink5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74" Type="http://schemas.openxmlformats.org/officeDocument/2006/relationships/externalLink" Target="externalLinks/externalLink63.xml"/><Relationship Id="rId79" Type="http://schemas.openxmlformats.org/officeDocument/2006/relationships/externalLink" Target="externalLinks/externalLink68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9.xml"/><Relationship Id="rId95" Type="http://schemas.openxmlformats.org/officeDocument/2006/relationships/externalLink" Target="externalLinks/externalLink84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64" Type="http://schemas.openxmlformats.org/officeDocument/2006/relationships/externalLink" Target="externalLinks/externalLink53.xml"/><Relationship Id="rId69" Type="http://schemas.openxmlformats.org/officeDocument/2006/relationships/externalLink" Target="externalLinks/externalLink58.xml"/><Relationship Id="rId80" Type="http://schemas.openxmlformats.org/officeDocument/2006/relationships/externalLink" Target="externalLinks/externalLink69.xml"/><Relationship Id="rId85" Type="http://schemas.openxmlformats.org/officeDocument/2006/relationships/externalLink" Target="externalLinks/externalLink74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59" Type="http://schemas.openxmlformats.org/officeDocument/2006/relationships/externalLink" Target="externalLinks/externalLink48.xml"/><Relationship Id="rId103" Type="http://schemas.openxmlformats.org/officeDocument/2006/relationships/styles" Target="styles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70" Type="http://schemas.openxmlformats.org/officeDocument/2006/relationships/externalLink" Target="externalLinks/externalLink59.xml"/><Relationship Id="rId75" Type="http://schemas.openxmlformats.org/officeDocument/2006/relationships/externalLink" Target="externalLinks/externalLink64.xml"/><Relationship Id="rId83" Type="http://schemas.openxmlformats.org/officeDocument/2006/relationships/externalLink" Target="externalLinks/externalLink72.xml"/><Relationship Id="rId88" Type="http://schemas.openxmlformats.org/officeDocument/2006/relationships/externalLink" Target="externalLinks/externalLink77.xml"/><Relationship Id="rId91" Type="http://schemas.openxmlformats.org/officeDocument/2006/relationships/externalLink" Target="externalLinks/externalLink80.xml"/><Relationship Id="rId96" Type="http://schemas.openxmlformats.org/officeDocument/2006/relationships/externalLink" Target="externalLinks/externalLink8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73" Type="http://schemas.openxmlformats.org/officeDocument/2006/relationships/externalLink" Target="externalLinks/externalLink62.xml"/><Relationship Id="rId78" Type="http://schemas.openxmlformats.org/officeDocument/2006/relationships/externalLink" Target="externalLinks/externalLink67.xml"/><Relationship Id="rId81" Type="http://schemas.openxmlformats.org/officeDocument/2006/relationships/externalLink" Target="externalLinks/externalLink70.xml"/><Relationship Id="rId86" Type="http://schemas.openxmlformats.org/officeDocument/2006/relationships/externalLink" Target="externalLinks/externalLink75.xml"/><Relationship Id="rId94" Type="http://schemas.openxmlformats.org/officeDocument/2006/relationships/externalLink" Target="externalLinks/externalLink83.xml"/><Relationship Id="rId99" Type="http://schemas.openxmlformats.org/officeDocument/2006/relationships/externalLink" Target="externalLinks/externalLink88.xml"/><Relationship Id="rId101" Type="http://schemas.openxmlformats.org/officeDocument/2006/relationships/externalLink" Target="externalLinks/externalLink9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76" Type="http://schemas.openxmlformats.org/officeDocument/2006/relationships/externalLink" Target="externalLinks/externalLink65.xml"/><Relationship Id="rId97" Type="http://schemas.openxmlformats.org/officeDocument/2006/relationships/externalLink" Target="externalLinks/externalLink86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0.xml"/><Relationship Id="rId92" Type="http://schemas.openxmlformats.org/officeDocument/2006/relationships/externalLink" Target="externalLinks/externalLink8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66" Type="http://schemas.openxmlformats.org/officeDocument/2006/relationships/externalLink" Target="externalLinks/externalLink55.xml"/><Relationship Id="rId87" Type="http://schemas.openxmlformats.org/officeDocument/2006/relationships/externalLink" Target="externalLinks/externalLink76.xml"/><Relationship Id="rId61" Type="http://schemas.openxmlformats.org/officeDocument/2006/relationships/externalLink" Target="externalLinks/externalLink50.xml"/><Relationship Id="rId82" Type="http://schemas.openxmlformats.org/officeDocument/2006/relationships/externalLink" Target="externalLinks/externalLink71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56" Type="http://schemas.openxmlformats.org/officeDocument/2006/relationships/externalLink" Target="externalLinks/externalLink45.xml"/><Relationship Id="rId77" Type="http://schemas.openxmlformats.org/officeDocument/2006/relationships/externalLink" Target="externalLinks/externalLink66.xml"/><Relationship Id="rId100" Type="http://schemas.openxmlformats.org/officeDocument/2006/relationships/externalLink" Target="externalLinks/externalLink89.xml"/><Relationship Id="rId105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externalLink" Target="externalLinks/externalLink61.xml"/><Relationship Id="rId93" Type="http://schemas.openxmlformats.org/officeDocument/2006/relationships/externalLink" Target="externalLinks/externalLink82.xml"/><Relationship Id="rId98" Type="http://schemas.openxmlformats.org/officeDocument/2006/relationships/externalLink" Target="externalLinks/externalLink87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35.xml"/><Relationship Id="rId67" Type="http://schemas.openxmlformats.org/officeDocument/2006/relationships/externalLink" Target="externalLinks/externalLink5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44524</xdr:colOff>
      <xdr:row>1</xdr:row>
      <xdr:rowOff>122052</xdr:rowOff>
    </xdr:from>
    <xdr:to>
      <xdr:col>2</xdr:col>
      <xdr:colOff>1597099</xdr:colOff>
      <xdr:row>4</xdr:row>
      <xdr:rowOff>398277</xdr:rowOff>
    </xdr:to>
    <xdr:pic>
      <xdr:nvPicPr>
        <xdr:cNvPr id="5" name="Picture 1" descr="company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2838" y="509697"/>
          <a:ext cx="1552575" cy="14723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2" name="5-Point Sta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7221200" y="980122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3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7221200" y="980122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4" name="5-Point Star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021300" y="1793557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5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8021300" y="17935575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8" name="5-Point Star 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2116</xdr:colOff>
      <xdr:row>74</xdr:row>
      <xdr:rowOff>327026</xdr:rowOff>
    </xdr:to>
    <xdr:sp macro="" textlink="">
      <xdr:nvSpPr>
        <xdr:cNvPr id="9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0" name="5-Point Star 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1" name="5-Point Star 1">
          <a:extLst>
            <a:ext uri="{FF2B5EF4-FFF2-40B4-BE49-F238E27FC236}">
              <a16:creationId xmlns:a16="http://schemas.microsoft.com/office/drawing/2014/main" id="{72013B6B-58D3-4CC9-8AB5-B850AC0D4159}"/>
            </a:ext>
          </a:extLst>
        </xdr:cNvPr>
        <xdr:cNvSpPr/>
      </xdr:nvSpPr>
      <xdr:spPr>
        <a:xfrm>
          <a:off x="18259425" y="1929765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6" name="5-Point Star 1">
          <a:extLst>
            <a:ext uri="{FF2B5EF4-FFF2-40B4-BE49-F238E27FC236}">
              <a16:creationId xmlns:a16="http://schemas.microsoft.com/office/drawing/2014/main" id="{482F2C7B-3991-4275-AC93-236E3BCF039C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7" name="5-Point Star 1">
          <a:extLst>
            <a:ext uri="{FF2B5EF4-FFF2-40B4-BE49-F238E27FC236}">
              <a16:creationId xmlns:a16="http://schemas.microsoft.com/office/drawing/2014/main" id="{3B82F609-71F2-48C5-9C4F-ADAA68F23F28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2" name="5-Point Star 1">
          <a:extLst>
            <a:ext uri="{FF2B5EF4-FFF2-40B4-BE49-F238E27FC236}">
              <a16:creationId xmlns:a16="http://schemas.microsoft.com/office/drawing/2014/main" id="{B9221060-05B0-468A-9C88-B46A81258557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70</xdr:row>
      <xdr:rowOff>0</xdr:rowOff>
    </xdr:from>
    <xdr:to>
      <xdr:col>10</xdr:col>
      <xdr:colOff>2116</xdr:colOff>
      <xdr:row>70</xdr:row>
      <xdr:rowOff>327026</xdr:rowOff>
    </xdr:to>
    <xdr:sp macro="" textlink="">
      <xdr:nvSpPr>
        <xdr:cNvPr id="13" name="5-Point Star 1">
          <a:extLst>
            <a:ext uri="{FF2B5EF4-FFF2-40B4-BE49-F238E27FC236}">
              <a16:creationId xmlns:a16="http://schemas.microsoft.com/office/drawing/2014/main" id="{2FD652F5-ED92-4CB6-89B6-8E67414B941D}"/>
            </a:ext>
          </a:extLst>
        </xdr:cNvPr>
        <xdr:cNvSpPr/>
      </xdr:nvSpPr>
      <xdr:spPr>
        <a:xfrm>
          <a:off x="18259425" y="19773900"/>
          <a:ext cx="2116" cy="32702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666750</xdr:colOff>
      <xdr:row>15</xdr:row>
      <xdr:rowOff>200395</xdr:rowOff>
    </xdr:from>
    <xdr:to>
      <xdr:col>18</xdr:col>
      <xdr:colOff>11906</xdr:colOff>
      <xdr:row>18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>
        <a:xfrm>
          <a:off x="11443607" y="4677145"/>
          <a:ext cx="705870" cy="41192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1814</xdr:colOff>
      <xdr:row>16</xdr:row>
      <xdr:rowOff>65314</xdr:rowOff>
    </xdr:from>
    <xdr:to>
      <xdr:col>20</xdr:col>
      <xdr:colOff>27214</xdr:colOff>
      <xdr:row>17</xdr:row>
      <xdr:rowOff>195943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/>
        </xdr:cNvSpPr>
      </xdr:nvSpPr>
      <xdr:spPr>
        <a:xfrm>
          <a:off x="12812939" y="4742089"/>
          <a:ext cx="682625" cy="330654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698500</xdr:colOff>
      <xdr:row>16</xdr:row>
      <xdr:rowOff>19050</xdr:rowOff>
    </xdr:from>
    <xdr:to>
      <xdr:col>22</xdr:col>
      <xdr:colOff>28575</xdr:colOff>
      <xdr:row>17</xdr:row>
      <xdr:rowOff>184785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>
        <a:xfrm>
          <a:off x="14071600" y="4695825"/>
          <a:ext cx="682625" cy="3657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546</xdr:colOff>
      <xdr:row>16</xdr:row>
      <xdr:rowOff>10886</xdr:rowOff>
    </xdr:from>
    <xdr:to>
      <xdr:col>4</xdr:col>
      <xdr:colOff>0</xdr:colOff>
      <xdr:row>17</xdr:row>
      <xdr:rowOff>185058</xdr:rowOff>
    </xdr:to>
    <xdr:sp macro="" textlink="">
      <xdr:nvSpPr>
        <xdr:cNvPr id="5" name="AutoShape 6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>
        <a:xfrm>
          <a:off x="2153196" y="4687661"/>
          <a:ext cx="666204" cy="37419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676819</xdr:colOff>
      <xdr:row>16</xdr:row>
      <xdr:rowOff>10886</xdr:rowOff>
    </xdr:from>
    <xdr:to>
      <xdr:col>6</xdr:col>
      <xdr:colOff>14514</xdr:colOff>
      <xdr:row>17</xdr:row>
      <xdr:rowOff>201386</xdr:rowOff>
    </xdr:to>
    <xdr:sp macro="" textlink="">
      <xdr:nvSpPr>
        <xdr:cNvPr id="6" name="AutoShape 66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>
        <a:xfrm>
          <a:off x="3496219" y="4687661"/>
          <a:ext cx="7092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5397</xdr:colOff>
      <xdr:row>16</xdr:row>
      <xdr:rowOff>10795</xdr:rowOff>
    </xdr:from>
    <xdr:to>
      <xdr:col>12</xdr:col>
      <xdr:colOff>11906</xdr:colOff>
      <xdr:row>18</xdr:row>
      <xdr:rowOff>11907</xdr:rowOff>
    </xdr:to>
    <xdr:sp macro="" textlink="">
      <xdr:nvSpPr>
        <xdr:cNvPr id="7" name="AutoShape 68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>
        <a:xfrm>
          <a:off x="7549197" y="4687570"/>
          <a:ext cx="730409" cy="41068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5624</xdr:colOff>
      <xdr:row>16</xdr:row>
      <xdr:rowOff>19050</xdr:rowOff>
    </xdr:from>
    <xdr:to>
      <xdr:col>14</xdr:col>
      <xdr:colOff>11906</xdr:colOff>
      <xdr:row>17</xdr:row>
      <xdr:rowOff>214311</xdr:rowOff>
    </xdr:to>
    <xdr:sp macro="" textlink="">
      <xdr:nvSpPr>
        <xdr:cNvPr id="8" name="AutoShape 69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>
        <a:xfrm>
          <a:off x="8882924" y="4695825"/>
          <a:ext cx="768282" cy="39528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14</xdr:col>
      <xdr:colOff>585130</xdr:colOff>
      <xdr:row>16</xdr:row>
      <xdr:rowOff>44291</xdr:rowOff>
    </xdr:from>
    <xdr:to>
      <xdr:col>16</xdr:col>
      <xdr:colOff>1701</xdr:colOff>
      <xdr:row>17</xdr:row>
      <xdr:rowOff>192246</xdr:rowOff>
    </xdr:to>
    <xdr:sp macro="" textlink="">
      <xdr:nvSpPr>
        <xdr:cNvPr id="9" name="AutoShape 87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Arrowheads="1"/>
        </xdr:cNvSpPr>
      </xdr:nvSpPr>
      <xdr:spPr>
        <a:xfrm>
          <a:off x="10224430" y="4721066"/>
          <a:ext cx="702446" cy="34798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10" name="Line 25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585108</xdr:colOff>
      <xdr:row>18</xdr:row>
      <xdr:rowOff>35717</xdr:rowOff>
    </xdr:from>
    <xdr:to>
      <xdr:col>2</xdr:col>
      <xdr:colOff>44223</xdr:colOff>
      <xdr:row>20</xdr:row>
      <xdr:rowOff>0</xdr:rowOff>
    </xdr:to>
    <xdr:sp macro="" textlink="">
      <xdr:nvSpPr>
        <xdr:cNvPr id="11" name="Line 255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>
          <a:spLocks noChangeShapeType="1"/>
        </xdr:cNvSpPr>
      </xdr:nvSpPr>
      <xdr:spPr>
        <a:xfrm flipV="1">
          <a:off x="585108" y="5122067"/>
          <a:ext cx="1002165" cy="38338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12" name="Line 251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13" name="Line 255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922655</xdr:colOff>
      <xdr:row>16</xdr:row>
      <xdr:rowOff>0</xdr:rowOff>
    </xdr:from>
    <xdr:to>
      <xdr:col>8</xdr:col>
      <xdr:colOff>25400</xdr:colOff>
      <xdr:row>17</xdr:row>
      <xdr:rowOff>190500</xdr:rowOff>
    </xdr:to>
    <xdr:sp macro="" textlink="">
      <xdr:nvSpPr>
        <xdr:cNvPr id="14" name="AutoShape 66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>
          <a:spLocks noChangeArrowheads="1"/>
        </xdr:cNvSpPr>
      </xdr:nvSpPr>
      <xdr:spPr>
        <a:xfrm>
          <a:off x="4818380" y="4676775"/>
          <a:ext cx="7219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16" name="AutoShape 4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0</xdr:col>
      <xdr:colOff>587193</xdr:colOff>
      <xdr:row>22</xdr:row>
      <xdr:rowOff>17236</xdr:rowOff>
    </xdr:from>
    <xdr:to>
      <xdr:col>2</xdr:col>
      <xdr:colOff>16963</xdr:colOff>
      <xdr:row>23</xdr:row>
      <xdr:rowOff>184876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>
          <a:spLocks noChangeArrowheads="1"/>
        </xdr:cNvSpPr>
      </xdr:nvSpPr>
      <xdr:spPr>
        <a:xfrm>
          <a:off x="587193" y="5913211"/>
          <a:ext cx="972820" cy="3676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5080</xdr:colOff>
      <xdr:row>22</xdr:row>
      <xdr:rowOff>0</xdr:rowOff>
    </xdr:from>
    <xdr:to>
      <xdr:col>4</xdr:col>
      <xdr:colOff>6350</xdr:colOff>
      <xdr:row>23</xdr:row>
      <xdr:rowOff>195580</xdr:rowOff>
    </xdr:to>
    <xdr:sp macro="" textlink="">
      <xdr:nvSpPr>
        <xdr:cNvPr id="18" name="AutoShape 6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>
          <a:spLocks noChangeArrowheads="1"/>
        </xdr:cNvSpPr>
      </xdr:nvSpPr>
      <xdr:spPr>
        <a:xfrm>
          <a:off x="2157730" y="5895975"/>
          <a:ext cx="668020" cy="39560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23813</xdr:colOff>
      <xdr:row>21</xdr:row>
      <xdr:rowOff>154783</xdr:rowOff>
    </xdr:from>
    <xdr:to>
      <xdr:col>6</xdr:col>
      <xdr:colOff>11907</xdr:colOff>
      <xdr:row>23</xdr:row>
      <xdr:rowOff>202407</xdr:rowOff>
    </xdr:to>
    <xdr:sp macro="" textlink="">
      <xdr:nvSpPr>
        <xdr:cNvPr id="19" name="AutoShape 7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>
          <a:spLocks noChangeArrowheads="1"/>
        </xdr:cNvSpPr>
      </xdr:nvSpPr>
      <xdr:spPr>
        <a:xfrm>
          <a:off x="3519488" y="5850733"/>
          <a:ext cx="683419" cy="447674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1009650</xdr:colOff>
      <xdr:row>22</xdr:row>
      <xdr:rowOff>0</xdr:rowOff>
    </xdr:from>
    <xdr:to>
      <xdr:col>8</xdr:col>
      <xdr:colOff>21590</xdr:colOff>
      <xdr:row>24</xdr:row>
      <xdr:rowOff>0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SpPr>
          <a:spLocks noChangeArrowheads="1"/>
        </xdr:cNvSpPr>
      </xdr:nvSpPr>
      <xdr:spPr>
        <a:xfrm>
          <a:off x="4819650" y="5895975"/>
          <a:ext cx="71691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22</xdr:row>
      <xdr:rowOff>19050</xdr:rowOff>
    </xdr:from>
    <xdr:to>
      <xdr:col>10</xdr:col>
      <xdr:colOff>0</xdr:colOff>
      <xdr:row>24</xdr:row>
      <xdr:rowOff>0</xdr:rowOff>
    </xdr:to>
    <xdr:sp macro="" textlink="">
      <xdr:nvSpPr>
        <xdr:cNvPr id="21" name="AutoShape 7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SpPr>
          <a:spLocks noChangeArrowheads="1"/>
        </xdr:cNvSpPr>
      </xdr:nvSpPr>
      <xdr:spPr>
        <a:xfrm>
          <a:off x="6176645" y="5915025"/>
          <a:ext cx="76708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22</xdr:row>
      <xdr:rowOff>0</xdr:rowOff>
    </xdr:from>
    <xdr:to>
      <xdr:col>12</xdr:col>
      <xdr:colOff>8618</xdr:colOff>
      <xdr:row>24</xdr:row>
      <xdr:rowOff>0</xdr:rowOff>
    </xdr:to>
    <xdr:sp macro="" textlink="">
      <xdr:nvSpPr>
        <xdr:cNvPr id="22" name="AutoShape 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>
          <a:spLocks noChangeArrowheads="1"/>
        </xdr:cNvSpPr>
      </xdr:nvSpPr>
      <xdr:spPr>
        <a:xfrm>
          <a:off x="7518763" y="5895975"/>
          <a:ext cx="75755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29</xdr:row>
      <xdr:rowOff>1361</xdr:rowOff>
    </xdr:from>
    <xdr:to>
      <xdr:col>2</xdr:col>
      <xdr:colOff>13607</xdr:colOff>
      <xdr:row>30</xdr:row>
      <xdr:rowOff>191861</xdr:rowOff>
    </xdr:to>
    <xdr:sp macro="" textlink="">
      <xdr:nvSpPr>
        <xdr:cNvPr id="23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73260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24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25" name="AutoShape 151">
          <a:extLst>
            <a:ext uri="{FF2B5EF4-FFF2-40B4-BE49-F238E27FC236}">
              <a16:creationId xmlns:a16="http://schemas.microsoft.com/office/drawing/2014/main" id="{00000000-0008-0000-0E00-0000BE01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26" name="Line 155">
          <a:extLst>
            <a:ext uri="{FF2B5EF4-FFF2-40B4-BE49-F238E27FC236}">
              <a16:creationId xmlns:a16="http://schemas.microsoft.com/office/drawing/2014/main" id="{00000000-0008-0000-0E00-0000C001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27" name="Line 156">
          <a:extLst>
            <a:ext uri="{FF2B5EF4-FFF2-40B4-BE49-F238E27FC236}">
              <a16:creationId xmlns:a16="http://schemas.microsoft.com/office/drawing/2014/main" id="{00000000-0008-0000-0E00-0000C101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28" name="Line 157">
          <a:extLst>
            <a:ext uri="{FF2B5EF4-FFF2-40B4-BE49-F238E27FC236}">
              <a16:creationId xmlns:a16="http://schemas.microsoft.com/office/drawing/2014/main" id="{00000000-0008-0000-0E00-0000C201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29" name="Not Equal 28">
          <a:extLst>
            <a:ext uri="{FF2B5EF4-FFF2-40B4-BE49-F238E27FC236}">
              <a16:creationId xmlns:a16="http://schemas.microsoft.com/office/drawing/2014/main" id="{00000000-0008-0000-0E00-0000C401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30" name="Line 157">
          <a:extLst>
            <a:ext uri="{FF2B5EF4-FFF2-40B4-BE49-F238E27FC236}">
              <a16:creationId xmlns:a16="http://schemas.microsoft.com/office/drawing/2014/main" id="{00000000-0008-0000-0E00-0000C501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31" name="Equals 161">
          <a:extLst>
            <a:ext uri="{FF2B5EF4-FFF2-40B4-BE49-F238E27FC236}">
              <a16:creationId xmlns:a16="http://schemas.microsoft.com/office/drawing/2014/main" id="{00000000-0008-0000-0E00-0000C701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32" name="Line 157">
          <a:extLst>
            <a:ext uri="{FF2B5EF4-FFF2-40B4-BE49-F238E27FC236}">
              <a16:creationId xmlns:a16="http://schemas.microsoft.com/office/drawing/2014/main" id="{00000000-0008-0000-0E00-0000C801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33" name="Line 157">
          <a:extLst>
            <a:ext uri="{FF2B5EF4-FFF2-40B4-BE49-F238E27FC236}">
              <a16:creationId xmlns:a16="http://schemas.microsoft.com/office/drawing/2014/main" id="{00000000-0008-0000-0E00-0000C901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34" name="Line 157">
          <a:extLst>
            <a:ext uri="{FF2B5EF4-FFF2-40B4-BE49-F238E27FC236}">
              <a16:creationId xmlns:a16="http://schemas.microsoft.com/office/drawing/2014/main" id="{00000000-0008-0000-0E00-0000CA01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35" name="Freeform 152">
          <a:extLst>
            <a:ext uri="{FF2B5EF4-FFF2-40B4-BE49-F238E27FC236}">
              <a16:creationId xmlns:a16="http://schemas.microsoft.com/office/drawing/2014/main" id="{00000000-0008-0000-0E00-0000CB01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36" name="Line 157">
          <a:extLst>
            <a:ext uri="{FF2B5EF4-FFF2-40B4-BE49-F238E27FC236}">
              <a16:creationId xmlns:a16="http://schemas.microsoft.com/office/drawing/2014/main" id="{00000000-0008-0000-0E00-0000CD01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37" name="Freeform 152">
          <a:extLst>
            <a:ext uri="{FF2B5EF4-FFF2-40B4-BE49-F238E27FC236}">
              <a16:creationId xmlns:a16="http://schemas.microsoft.com/office/drawing/2014/main" id="{00000000-0008-0000-0E00-0000CE01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38" name="Line 157">
          <a:extLst>
            <a:ext uri="{FF2B5EF4-FFF2-40B4-BE49-F238E27FC236}">
              <a16:creationId xmlns:a16="http://schemas.microsoft.com/office/drawing/2014/main" id="{00000000-0008-0000-0E00-0000CF01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39" name="Line 157">
          <a:extLst>
            <a:ext uri="{FF2B5EF4-FFF2-40B4-BE49-F238E27FC236}">
              <a16:creationId xmlns:a16="http://schemas.microsoft.com/office/drawing/2014/main" id="{00000000-0008-0000-0E00-0000D101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40" name="Line 157">
          <a:extLst>
            <a:ext uri="{FF2B5EF4-FFF2-40B4-BE49-F238E27FC236}">
              <a16:creationId xmlns:a16="http://schemas.microsoft.com/office/drawing/2014/main" id="{00000000-0008-0000-0E00-0000D201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41" name="Up-Down Arrow 40">
          <a:extLst>
            <a:ext uri="{FF2B5EF4-FFF2-40B4-BE49-F238E27FC236}">
              <a16:creationId xmlns:a16="http://schemas.microsoft.com/office/drawing/2014/main" id="{00000000-0008-0000-0E00-0000D301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42" name="Line 157">
          <a:extLst>
            <a:ext uri="{FF2B5EF4-FFF2-40B4-BE49-F238E27FC236}">
              <a16:creationId xmlns:a16="http://schemas.microsoft.com/office/drawing/2014/main" id="{00000000-0008-0000-0E00-0000D401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583405</xdr:colOff>
      <xdr:row>22</xdr:row>
      <xdr:rowOff>0</xdr:rowOff>
    </xdr:from>
    <xdr:to>
      <xdr:col>14</xdr:col>
      <xdr:colOff>23811</xdr:colOff>
      <xdr:row>23</xdr:row>
      <xdr:rowOff>202406</xdr:rowOff>
    </xdr:to>
    <xdr:sp macro="" textlink="">
      <xdr:nvSpPr>
        <xdr:cNvPr id="43" name="AutoShape 9">
          <a:extLst>
            <a:ext uri="{FF2B5EF4-FFF2-40B4-BE49-F238E27FC236}">
              <a16:creationId xmlns:a16="http://schemas.microsoft.com/office/drawing/2014/main" id="{00000000-0008-0000-0E00-0000D5010000}"/>
            </a:ext>
          </a:extLst>
        </xdr:cNvPr>
        <xdr:cNvSpPr>
          <a:spLocks noChangeArrowheads="1"/>
        </xdr:cNvSpPr>
      </xdr:nvSpPr>
      <xdr:spPr>
        <a:xfrm>
          <a:off x="8851105" y="5895975"/>
          <a:ext cx="812006" cy="40243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765175</xdr:colOff>
      <xdr:row>22</xdr:row>
      <xdr:rowOff>0</xdr:rowOff>
    </xdr:from>
    <xdr:to>
      <xdr:col>16</xdr:col>
      <xdr:colOff>15240</xdr:colOff>
      <xdr:row>23</xdr:row>
      <xdr:rowOff>196215</xdr:rowOff>
    </xdr:to>
    <xdr:sp macro="" textlink="">
      <xdr:nvSpPr>
        <xdr:cNvPr id="44" name="AutoShape 10">
          <a:extLst>
            <a:ext uri="{FF2B5EF4-FFF2-40B4-BE49-F238E27FC236}">
              <a16:creationId xmlns:a16="http://schemas.microsoft.com/office/drawing/2014/main" id="{00000000-0008-0000-0E00-0000D6010000}"/>
            </a:ext>
          </a:extLst>
        </xdr:cNvPr>
        <xdr:cNvSpPr>
          <a:spLocks noChangeArrowheads="1"/>
        </xdr:cNvSpPr>
      </xdr:nvSpPr>
      <xdr:spPr>
        <a:xfrm>
          <a:off x="10242550" y="5895975"/>
          <a:ext cx="697865" cy="39624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598715</xdr:colOff>
      <xdr:row>22</xdr:row>
      <xdr:rowOff>32657</xdr:rowOff>
    </xdr:from>
    <xdr:to>
      <xdr:col>20</xdr:col>
      <xdr:colOff>4541</xdr:colOff>
      <xdr:row>24</xdr:row>
      <xdr:rowOff>3625</xdr:rowOff>
    </xdr:to>
    <xdr:sp macro="" textlink="">
      <xdr:nvSpPr>
        <xdr:cNvPr id="45" name="AutoShape 12">
          <a:extLst>
            <a:ext uri="{FF2B5EF4-FFF2-40B4-BE49-F238E27FC236}">
              <a16:creationId xmlns:a16="http://schemas.microsoft.com/office/drawing/2014/main" id="{00000000-0008-0000-0E00-0000D8010000}"/>
            </a:ext>
          </a:extLst>
        </xdr:cNvPr>
        <xdr:cNvSpPr>
          <a:spLocks noChangeArrowheads="1"/>
        </xdr:cNvSpPr>
      </xdr:nvSpPr>
      <xdr:spPr>
        <a:xfrm>
          <a:off x="12809765" y="5928632"/>
          <a:ext cx="663126" cy="380543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20</xdr:col>
      <xdr:colOff>577578</xdr:colOff>
      <xdr:row>22</xdr:row>
      <xdr:rowOff>10886</xdr:rowOff>
    </xdr:from>
    <xdr:to>
      <xdr:col>22</xdr:col>
      <xdr:colOff>24493</xdr:colOff>
      <xdr:row>24</xdr:row>
      <xdr:rowOff>272</xdr:rowOff>
    </xdr:to>
    <xdr:sp macro="" textlink="">
      <xdr:nvSpPr>
        <xdr:cNvPr id="46" name="AutoShape 13">
          <a:extLst>
            <a:ext uri="{FF2B5EF4-FFF2-40B4-BE49-F238E27FC236}">
              <a16:creationId xmlns:a16="http://schemas.microsoft.com/office/drawing/2014/main" id="{00000000-0008-0000-0E00-0000D9010000}"/>
            </a:ext>
          </a:extLst>
        </xdr:cNvPr>
        <xdr:cNvSpPr>
          <a:spLocks noChangeArrowheads="1"/>
        </xdr:cNvSpPr>
      </xdr:nvSpPr>
      <xdr:spPr>
        <a:xfrm>
          <a:off x="14045928" y="5906861"/>
          <a:ext cx="704215" cy="39896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47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29</xdr:row>
      <xdr:rowOff>0</xdr:rowOff>
    </xdr:from>
    <xdr:to>
      <xdr:col>16</xdr:col>
      <xdr:colOff>8890</xdr:colOff>
      <xdr:row>31</xdr:row>
      <xdr:rowOff>1905</xdr:rowOff>
    </xdr:to>
    <xdr:sp macro="" textlink="">
      <xdr:nvSpPr>
        <xdr:cNvPr id="48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7324725"/>
          <a:ext cx="723266" cy="41148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29</xdr:row>
      <xdr:rowOff>19050</xdr:rowOff>
    </xdr:from>
    <xdr:to>
      <xdr:col>20</xdr:col>
      <xdr:colOff>17780</xdr:colOff>
      <xdr:row>31</xdr:row>
      <xdr:rowOff>0</xdr:rowOff>
    </xdr:to>
    <xdr:sp macro="" textlink="">
      <xdr:nvSpPr>
        <xdr:cNvPr id="49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73437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29</xdr:row>
      <xdr:rowOff>0</xdr:rowOff>
    </xdr:from>
    <xdr:to>
      <xdr:col>22</xdr:col>
      <xdr:colOff>0</xdr:colOff>
      <xdr:row>31</xdr:row>
      <xdr:rowOff>0</xdr:rowOff>
    </xdr:to>
    <xdr:sp macro="" textlink="">
      <xdr:nvSpPr>
        <xdr:cNvPr id="50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73247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29</xdr:row>
      <xdr:rowOff>0</xdr:rowOff>
    </xdr:from>
    <xdr:to>
      <xdr:col>8</xdr:col>
      <xdr:colOff>24130</xdr:colOff>
      <xdr:row>31</xdr:row>
      <xdr:rowOff>0</xdr:rowOff>
    </xdr:to>
    <xdr:sp macro="" textlink="">
      <xdr:nvSpPr>
        <xdr:cNvPr id="51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73247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52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28</xdr:row>
      <xdr:rowOff>190501</xdr:rowOff>
    </xdr:from>
    <xdr:to>
      <xdr:col>12</xdr:col>
      <xdr:colOff>0</xdr:colOff>
      <xdr:row>30</xdr:row>
      <xdr:rowOff>202406</xdr:rowOff>
    </xdr:to>
    <xdr:sp macro="" textlink="">
      <xdr:nvSpPr>
        <xdr:cNvPr id="53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731520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54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55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56" name="AutoShape 25">
          <a:extLst>
            <a:ext uri="{FF2B5EF4-FFF2-40B4-BE49-F238E27FC236}">
              <a16:creationId xmlns:a16="http://schemas.microsoft.com/office/drawing/2014/main" id="{00000000-0008-0000-0E00-00002002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57" name="AutoShape 9">
          <a:extLst>
            <a:ext uri="{FF2B5EF4-FFF2-40B4-BE49-F238E27FC236}">
              <a16:creationId xmlns:a16="http://schemas.microsoft.com/office/drawing/2014/main" id="{00000000-0008-0000-0E00-00002102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35</xdr:row>
      <xdr:rowOff>185305</xdr:rowOff>
    </xdr:from>
    <xdr:to>
      <xdr:col>6</xdr:col>
      <xdr:colOff>0</xdr:colOff>
      <xdr:row>37</xdr:row>
      <xdr:rowOff>184727</xdr:rowOff>
    </xdr:to>
    <xdr:sp macro="" textlink="">
      <xdr:nvSpPr>
        <xdr:cNvPr id="58" name="AutoShape 10">
          <a:extLst>
            <a:ext uri="{FF2B5EF4-FFF2-40B4-BE49-F238E27FC236}">
              <a16:creationId xmlns:a16="http://schemas.microsoft.com/office/drawing/2014/main" id="{00000000-0008-0000-0E00-000022020000}"/>
            </a:ext>
          </a:extLst>
        </xdr:cNvPr>
        <xdr:cNvSpPr>
          <a:spLocks noChangeArrowheads="1"/>
        </xdr:cNvSpPr>
      </xdr:nvSpPr>
      <xdr:spPr>
        <a:xfrm>
          <a:off x="3495675" y="8738755"/>
          <a:ext cx="695325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544</xdr:colOff>
      <xdr:row>35</xdr:row>
      <xdr:rowOff>163286</xdr:rowOff>
    </xdr:from>
    <xdr:to>
      <xdr:col>8</xdr:col>
      <xdr:colOff>0</xdr:colOff>
      <xdr:row>37</xdr:row>
      <xdr:rowOff>197263</xdr:rowOff>
    </xdr:to>
    <xdr:sp macro="" textlink="">
      <xdr:nvSpPr>
        <xdr:cNvPr id="59" name="AutoShape 11">
          <a:extLst>
            <a:ext uri="{FF2B5EF4-FFF2-40B4-BE49-F238E27FC236}">
              <a16:creationId xmlns:a16="http://schemas.microsoft.com/office/drawing/2014/main" id="{00000000-0008-0000-0E00-000023020000}"/>
            </a:ext>
          </a:extLst>
        </xdr:cNvPr>
        <xdr:cNvSpPr>
          <a:spLocks noChangeArrowheads="1"/>
        </xdr:cNvSpPr>
      </xdr:nvSpPr>
      <xdr:spPr>
        <a:xfrm>
          <a:off x="4820194" y="8716736"/>
          <a:ext cx="694781" cy="43402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35</xdr:row>
      <xdr:rowOff>182995</xdr:rowOff>
    </xdr:from>
    <xdr:to>
      <xdr:col>10</xdr:col>
      <xdr:colOff>12700</xdr:colOff>
      <xdr:row>37</xdr:row>
      <xdr:rowOff>189345</xdr:rowOff>
    </xdr:to>
    <xdr:sp macro="" textlink="">
      <xdr:nvSpPr>
        <xdr:cNvPr id="60" name="AutoShape 12">
          <a:extLst>
            <a:ext uri="{FF2B5EF4-FFF2-40B4-BE49-F238E27FC236}">
              <a16:creationId xmlns:a16="http://schemas.microsoft.com/office/drawing/2014/main" id="{00000000-0008-0000-0E00-000024020000}"/>
            </a:ext>
          </a:extLst>
        </xdr:cNvPr>
        <xdr:cNvSpPr>
          <a:spLocks noChangeArrowheads="1"/>
        </xdr:cNvSpPr>
      </xdr:nvSpPr>
      <xdr:spPr>
        <a:xfrm>
          <a:off x="6172200" y="8736445"/>
          <a:ext cx="7842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544</xdr:colOff>
      <xdr:row>35</xdr:row>
      <xdr:rowOff>176893</xdr:rowOff>
    </xdr:from>
    <xdr:to>
      <xdr:col>12</xdr:col>
      <xdr:colOff>10886</xdr:colOff>
      <xdr:row>37</xdr:row>
      <xdr:rowOff>190500</xdr:rowOff>
    </xdr:to>
    <xdr:sp macro="" textlink="">
      <xdr:nvSpPr>
        <xdr:cNvPr id="61" name="AutoShape 13">
          <a:extLst>
            <a:ext uri="{FF2B5EF4-FFF2-40B4-BE49-F238E27FC236}">
              <a16:creationId xmlns:a16="http://schemas.microsoft.com/office/drawing/2014/main" id="{00000000-0008-0000-0E00-000025020000}"/>
            </a:ext>
          </a:extLst>
        </xdr:cNvPr>
        <xdr:cNvSpPr>
          <a:spLocks noChangeArrowheads="1"/>
        </xdr:cNvSpPr>
      </xdr:nvSpPr>
      <xdr:spPr>
        <a:xfrm>
          <a:off x="7544344" y="8730343"/>
          <a:ext cx="734242" cy="41365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62" name="AutoShape 14">
          <a:extLst>
            <a:ext uri="{FF2B5EF4-FFF2-40B4-BE49-F238E27FC236}">
              <a16:creationId xmlns:a16="http://schemas.microsoft.com/office/drawing/2014/main" id="{00000000-0008-0000-0E00-00002602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586012</xdr:colOff>
      <xdr:row>35</xdr:row>
      <xdr:rowOff>153079</xdr:rowOff>
    </xdr:from>
    <xdr:to>
      <xdr:col>15</xdr:col>
      <xdr:colOff>678656</xdr:colOff>
      <xdr:row>38</xdr:row>
      <xdr:rowOff>0</xdr:rowOff>
    </xdr:to>
    <xdr:sp macro="" textlink="">
      <xdr:nvSpPr>
        <xdr:cNvPr id="63" name="AutoShape 15">
          <a:extLst>
            <a:ext uri="{FF2B5EF4-FFF2-40B4-BE49-F238E27FC236}">
              <a16:creationId xmlns:a16="http://schemas.microsoft.com/office/drawing/2014/main" id="{00000000-0008-0000-0E00-000027020000}"/>
            </a:ext>
          </a:extLst>
        </xdr:cNvPr>
        <xdr:cNvSpPr>
          <a:spLocks noChangeArrowheads="1"/>
        </xdr:cNvSpPr>
      </xdr:nvSpPr>
      <xdr:spPr>
        <a:xfrm>
          <a:off x="10206262" y="8808923"/>
          <a:ext cx="687957" cy="46604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64" name="AutoShape 27">
          <a:extLst>
            <a:ext uri="{FF2B5EF4-FFF2-40B4-BE49-F238E27FC236}">
              <a16:creationId xmlns:a16="http://schemas.microsoft.com/office/drawing/2014/main" id="{00000000-0008-0000-0E00-00002802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36</xdr:row>
      <xdr:rowOff>19050</xdr:rowOff>
    </xdr:from>
    <xdr:to>
      <xdr:col>24</xdr:col>
      <xdr:colOff>12700</xdr:colOff>
      <xdr:row>38</xdr:row>
      <xdr:rowOff>0</xdr:rowOff>
    </xdr:to>
    <xdr:sp macro="" textlink="">
      <xdr:nvSpPr>
        <xdr:cNvPr id="65" name="AutoShape 205">
          <a:extLst>
            <a:ext uri="{FF2B5EF4-FFF2-40B4-BE49-F238E27FC236}">
              <a16:creationId xmlns:a16="http://schemas.microsoft.com/office/drawing/2014/main" id="{00000000-0008-0000-0E00-000029020000}"/>
            </a:ext>
          </a:extLst>
        </xdr:cNvPr>
        <xdr:cNvSpPr>
          <a:spLocks noChangeArrowheads="1"/>
        </xdr:cNvSpPr>
      </xdr:nvSpPr>
      <xdr:spPr>
        <a:xfrm>
          <a:off x="15401925" y="87725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66" name="AutoShape 217">
          <a:extLst>
            <a:ext uri="{FF2B5EF4-FFF2-40B4-BE49-F238E27FC236}">
              <a16:creationId xmlns:a16="http://schemas.microsoft.com/office/drawing/2014/main" id="{00000000-0008-0000-0E00-00002A02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673553</xdr:colOff>
      <xdr:row>35</xdr:row>
      <xdr:rowOff>115661</xdr:rowOff>
    </xdr:from>
    <xdr:to>
      <xdr:col>18</xdr:col>
      <xdr:colOff>59530</xdr:colOff>
      <xdr:row>38</xdr:row>
      <xdr:rowOff>1701</xdr:rowOff>
    </xdr:to>
    <xdr:sp macro="" textlink="">
      <xdr:nvSpPr>
        <xdr:cNvPr id="67" name="AutoShape 15">
          <a:extLst>
            <a:ext uri="{FF2B5EF4-FFF2-40B4-BE49-F238E27FC236}">
              <a16:creationId xmlns:a16="http://schemas.microsoft.com/office/drawing/2014/main" id="{00000000-0008-0000-0E00-00002B020000}"/>
            </a:ext>
          </a:extLst>
        </xdr:cNvPr>
        <xdr:cNvSpPr>
          <a:spLocks noChangeArrowheads="1"/>
        </xdr:cNvSpPr>
      </xdr:nvSpPr>
      <xdr:spPr>
        <a:xfrm>
          <a:off x="11448709" y="8771505"/>
          <a:ext cx="719477" cy="5051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68" name="AutoShape 21">
          <a:extLst>
            <a:ext uri="{FF2B5EF4-FFF2-40B4-BE49-F238E27FC236}">
              <a16:creationId xmlns:a16="http://schemas.microsoft.com/office/drawing/2014/main" id="{00000000-0008-0000-0E00-00002D02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0</xdr:colOff>
      <xdr:row>44</xdr:row>
      <xdr:rowOff>185057</xdr:rowOff>
    </xdr:to>
    <xdr:sp macro="" textlink="">
      <xdr:nvSpPr>
        <xdr:cNvPr id="69" name="AutoShape 22">
          <a:extLst>
            <a:ext uri="{FF2B5EF4-FFF2-40B4-BE49-F238E27FC236}">
              <a16:creationId xmlns:a16="http://schemas.microsoft.com/office/drawing/2014/main" id="{00000000-0008-0000-0E00-00003D020000}"/>
            </a:ext>
          </a:extLst>
        </xdr:cNvPr>
        <xdr:cNvSpPr>
          <a:spLocks noChangeArrowheads="1"/>
        </xdr:cNvSpPr>
      </xdr:nvSpPr>
      <xdr:spPr>
        <a:xfrm>
          <a:off x="2152650" y="10182225"/>
          <a:ext cx="666750" cy="38508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43</xdr:row>
      <xdr:rowOff>19050</xdr:rowOff>
    </xdr:from>
    <xdr:to>
      <xdr:col>6</xdr:col>
      <xdr:colOff>12700</xdr:colOff>
      <xdr:row>45</xdr:row>
      <xdr:rowOff>0</xdr:rowOff>
    </xdr:to>
    <xdr:sp macro="" textlink="">
      <xdr:nvSpPr>
        <xdr:cNvPr id="70" name="AutoShape 23">
          <a:extLst>
            <a:ext uri="{FF2B5EF4-FFF2-40B4-BE49-F238E27FC236}">
              <a16:creationId xmlns:a16="http://schemas.microsoft.com/office/drawing/2014/main" id="{00000000-0008-0000-0E00-00003E020000}"/>
            </a:ext>
          </a:extLst>
        </xdr:cNvPr>
        <xdr:cNvSpPr>
          <a:spLocks noChangeArrowheads="1"/>
        </xdr:cNvSpPr>
      </xdr:nvSpPr>
      <xdr:spPr>
        <a:xfrm>
          <a:off x="3495675" y="10201275"/>
          <a:ext cx="7080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687705</xdr:colOff>
      <xdr:row>43</xdr:row>
      <xdr:rowOff>51435</xdr:rowOff>
    </xdr:from>
    <xdr:to>
      <xdr:col>8</xdr:col>
      <xdr:colOff>10795</xdr:colOff>
      <xdr:row>44</xdr:row>
      <xdr:rowOff>184785</xdr:rowOff>
    </xdr:to>
    <xdr:sp macro="" textlink="">
      <xdr:nvSpPr>
        <xdr:cNvPr id="71" name="AutoShape 24">
          <a:extLst>
            <a:ext uri="{FF2B5EF4-FFF2-40B4-BE49-F238E27FC236}">
              <a16:creationId xmlns:a16="http://schemas.microsoft.com/office/drawing/2014/main" id="{00000000-0008-0000-0E00-00003F020000}"/>
            </a:ext>
          </a:extLst>
        </xdr:cNvPr>
        <xdr:cNvSpPr>
          <a:spLocks noChangeArrowheads="1"/>
        </xdr:cNvSpPr>
      </xdr:nvSpPr>
      <xdr:spPr>
        <a:xfrm>
          <a:off x="4821555" y="10233660"/>
          <a:ext cx="704215" cy="333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598805</xdr:colOff>
      <xdr:row>43</xdr:row>
      <xdr:rowOff>51435</xdr:rowOff>
    </xdr:from>
    <xdr:to>
      <xdr:col>12</xdr:col>
      <xdr:colOff>10795</xdr:colOff>
      <xdr:row>44</xdr:row>
      <xdr:rowOff>190500</xdr:rowOff>
    </xdr:to>
    <xdr:sp macro="" textlink="">
      <xdr:nvSpPr>
        <xdr:cNvPr id="72" name="AutoShape 24">
          <a:extLst>
            <a:ext uri="{FF2B5EF4-FFF2-40B4-BE49-F238E27FC236}">
              <a16:creationId xmlns:a16="http://schemas.microsoft.com/office/drawing/2014/main" id="{00000000-0008-0000-0E00-000041020000}"/>
            </a:ext>
          </a:extLst>
        </xdr:cNvPr>
        <xdr:cNvSpPr>
          <a:spLocks noChangeArrowheads="1"/>
        </xdr:cNvSpPr>
      </xdr:nvSpPr>
      <xdr:spPr>
        <a:xfrm>
          <a:off x="7542530" y="10233660"/>
          <a:ext cx="735965" cy="33909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595903</xdr:colOff>
      <xdr:row>43</xdr:row>
      <xdr:rowOff>15239</xdr:rowOff>
    </xdr:from>
    <xdr:to>
      <xdr:col>14</xdr:col>
      <xdr:colOff>5806</xdr:colOff>
      <xdr:row>44</xdr:row>
      <xdr:rowOff>201083</xdr:rowOff>
    </xdr:to>
    <xdr:sp macro="" textlink="">
      <xdr:nvSpPr>
        <xdr:cNvPr id="73" name="AutoShape 25">
          <a:extLst>
            <a:ext uri="{FF2B5EF4-FFF2-40B4-BE49-F238E27FC236}">
              <a16:creationId xmlns:a16="http://schemas.microsoft.com/office/drawing/2014/main" id="{00000000-0008-0000-0E00-000042020000}"/>
            </a:ext>
          </a:extLst>
        </xdr:cNvPr>
        <xdr:cNvSpPr>
          <a:spLocks noChangeArrowheads="1"/>
        </xdr:cNvSpPr>
      </xdr:nvSpPr>
      <xdr:spPr>
        <a:xfrm>
          <a:off x="8863603" y="10197464"/>
          <a:ext cx="781503" cy="38586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42</xdr:row>
      <xdr:rowOff>136072</xdr:rowOff>
    </xdr:from>
    <xdr:to>
      <xdr:col>16</xdr:col>
      <xdr:colOff>0</xdr:colOff>
      <xdr:row>44</xdr:row>
      <xdr:rowOff>197674</xdr:rowOff>
    </xdr:to>
    <xdr:sp macro="" textlink="">
      <xdr:nvSpPr>
        <xdr:cNvPr id="74" name="AutoShape 9">
          <a:extLst>
            <a:ext uri="{FF2B5EF4-FFF2-40B4-BE49-F238E27FC236}">
              <a16:creationId xmlns:a16="http://schemas.microsoft.com/office/drawing/2014/main" id="{00000000-0008-0000-0E00-000043020000}"/>
            </a:ext>
          </a:extLst>
        </xdr:cNvPr>
        <xdr:cNvSpPr>
          <a:spLocks noChangeArrowheads="1"/>
        </xdr:cNvSpPr>
      </xdr:nvSpPr>
      <xdr:spPr>
        <a:xfrm>
          <a:off x="10239375" y="10118272"/>
          <a:ext cx="685800" cy="461652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4002</xdr:colOff>
      <xdr:row>42</xdr:row>
      <xdr:rowOff>158749</xdr:rowOff>
    </xdr:from>
    <xdr:to>
      <xdr:col>18</xdr:col>
      <xdr:colOff>11339</xdr:colOff>
      <xdr:row>44</xdr:row>
      <xdr:rowOff>214311</xdr:rowOff>
    </xdr:to>
    <xdr:sp macro="" textlink="">
      <xdr:nvSpPr>
        <xdr:cNvPr id="75" name="AutoShape 10">
          <a:extLst>
            <a:ext uri="{FF2B5EF4-FFF2-40B4-BE49-F238E27FC236}">
              <a16:creationId xmlns:a16="http://schemas.microsoft.com/office/drawing/2014/main" id="{00000000-0008-0000-0E00-000044020000}"/>
            </a:ext>
          </a:extLst>
        </xdr:cNvPr>
        <xdr:cNvSpPr>
          <a:spLocks noChangeArrowheads="1"/>
        </xdr:cNvSpPr>
      </xdr:nvSpPr>
      <xdr:spPr>
        <a:xfrm>
          <a:off x="11505440" y="10267155"/>
          <a:ext cx="697899" cy="4603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0</xdr:colOff>
      <xdr:row>43</xdr:row>
      <xdr:rowOff>21771</xdr:rowOff>
    </xdr:from>
    <xdr:to>
      <xdr:col>20</xdr:col>
      <xdr:colOff>7256</xdr:colOff>
      <xdr:row>44</xdr:row>
      <xdr:rowOff>195943</xdr:rowOff>
    </xdr:to>
    <xdr:sp macro="" textlink="">
      <xdr:nvSpPr>
        <xdr:cNvPr id="76" name="AutoShape 11">
          <a:extLst>
            <a:ext uri="{FF2B5EF4-FFF2-40B4-BE49-F238E27FC236}">
              <a16:creationId xmlns:a16="http://schemas.microsoft.com/office/drawing/2014/main" id="{00000000-0008-0000-0E00-000045020000}"/>
            </a:ext>
          </a:extLst>
        </xdr:cNvPr>
        <xdr:cNvSpPr>
          <a:spLocks noChangeArrowheads="1"/>
        </xdr:cNvSpPr>
      </xdr:nvSpPr>
      <xdr:spPr>
        <a:xfrm>
          <a:off x="12811125" y="10203996"/>
          <a:ext cx="664481" cy="37419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545</xdr:colOff>
      <xdr:row>43</xdr:row>
      <xdr:rowOff>2358</xdr:rowOff>
    </xdr:from>
    <xdr:to>
      <xdr:col>22</xdr:col>
      <xdr:colOff>0</xdr:colOff>
      <xdr:row>44</xdr:row>
      <xdr:rowOff>195942</xdr:rowOff>
    </xdr:to>
    <xdr:sp macro="" textlink="">
      <xdr:nvSpPr>
        <xdr:cNvPr id="77" name="AutoShape 12">
          <a:extLst>
            <a:ext uri="{FF2B5EF4-FFF2-40B4-BE49-F238E27FC236}">
              <a16:creationId xmlns:a16="http://schemas.microsoft.com/office/drawing/2014/main" id="{00000000-0008-0000-0E00-000046020000}"/>
            </a:ext>
          </a:extLst>
        </xdr:cNvPr>
        <xdr:cNvSpPr>
          <a:spLocks noChangeArrowheads="1"/>
        </xdr:cNvSpPr>
      </xdr:nvSpPr>
      <xdr:spPr>
        <a:xfrm>
          <a:off x="14068970" y="10184583"/>
          <a:ext cx="656680" cy="39360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78" name="AutoShape 13">
          <a:extLst>
            <a:ext uri="{FF2B5EF4-FFF2-40B4-BE49-F238E27FC236}">
              <a16:creationId xmlns:a16="http://schemas.microsoft.com/office/drawing/2014/main" id="{00000000-0008-0000-0E00-00004702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43</xdr:row>
      <xdr:rowOff>1361</xdr:rowOff>
    </xdr:from>
    <xdr:to>
      <xdr:col>22</xdr:col>
      <xdr:colOff>25400</xdr:colOff>
      <xdr:row>44</xdr:row>
      <xdr:rowOff>191861</xdr:rowOff>
    </xdr:to>
    <xdr:sp macro="" textlink="">
      <xdr:nvSpPr>
        <xdr:cNvPr id="79" name="AutoShape 15">
          <a:extLst>
            <a:ext uri="{FF2B5EF4-FFF2-40B4-BE49-F238E27FC236}">
              <a16:creationId xmlns:a16="http://schemas.microsoft.com/office/drawing/2014/main" id="{00000000-0008-0000-0E00-000048020000}"/>
            </a:ext>
          </a:extLst>
        </xdr:cNvPr>
        <xdr:cNvSpPr>
          <a:spLocks noChangeArrowheads="1"/>
        </xdr:cNvSpPr>
      </xdr:nvSpPr>
      <xdr:spPr>
        <a:xfrm>
          <a:off x="14068425" y="10183586"/>
          <a:ext cx="6826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80" name="AutoShape 14">
          <a:extLst>
            <a:ext uri="{FF2B5EF4-FFF2-40B4-BE49-F238E27FC236}">
              <a16:creationId xmlns:a16="http://schemas.microsoft.com/office/drawing/2014/main" id="{00000000-0008-0000-0E00-00004B02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81" name="AutoShape 15">
          <a:extLst>
            <a:ext uri="{FF2B5EF4-FFF2-40B4-BE49-F238E27FC236}">
              <a16:creationId xmlns:a16="http://schemas.microsoft.com/office/drawing/2014/main" id="{00000000-0008-0000-0E00-00004C02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1746</xdr:colOff>
      <xdr:row>49</xdr:row>
      <xdr:rowOff>202405</xdr:rowOff>
    </xdr:from>
    <xdr:to>
      <xdr:col>4</xdr:col>
      <xdr:colOff>0</xdr:colOff>
      <xdr:row>51</xdr:row>
      <xdr:rowOff>214312</xdr:rowOff>
    </xdr:to>
    <xdr:sp macro="" textlink="">
      <xdr:nvSpPr>
        <xdr:cNvPr id="82" name="AutoShape 15">
          <a:extLst>
            <a:ext uri="{FF2B5EF4-FFF2-40B4-BE49-F238E27FC236}">
              <a16:creationId xmlns:a16="http://schemas.microsoft.com/office/drawing/2014/main" id="{00000000-0008-0000-0E00-00004D020000}"/>
            </a:ext>
          </a:extLst>
        </xdr:cNvPr>
        <xdr:cNvSpPr>
          <a:spLocks noChangeArrowheads="1"/>
        </xdr:cNvSpPr>
      </xdr:nvSpPr>
      <xdr:spPr>
        <a:xfrm>
          <a:off x="2144871" y="11763374"/>
          <a:ext cx="665004" cy="41671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50</xdr:row>
      <xdr:rowOff>50800</xdr:rowOff>
    </xdr:from>
    <xdr:to>
      <xdr:col>14</xdr:col>
      <xdr:colOff>12700</xdr:colOff>
      <xdr:row>51</xdr:row>
      <xdr:rowOff>196850</xdr:rowOff>
    </xdr:to>
    <xdr:sp macro="" textlink="">
      <xdr:nvSpPr>
        <xdr:cNvPr id="83" name="AutoShape 21">
          <a:extLst>
            <a:ext uri="{FF2B5EF4-FFF2-40B4-BE49-F238E27FC236}">
              <a16:creationId xmlns:a16="http://schemas.microsoft.com/office/drawing/2014/main" id="{00000000-0008-0000-0E00-00004E020000}"/>
            </a:ext>
          </a:extLst>
        </xdr:cNvPr>
        <xdr:cNvSpPr>
          <a:spLocks noChangeArrowheads="1"/>
        </xdr:cNvSpPr>
      </xdr:nvSpPr>
      <xdr:spPr>
        <a:xfrm>
          <a:off x="8877300" y="116617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84" name="AutoShape 22">
          <a:extLst>
            <a:ext uri="{FF2B5EF4-FFF2-40B4-BE49-F238E27FC236}">
              <a16:creationId xmlns:a16="http://schemas.microsoft.com/office/drawing/2014/main" id="{00000000-0008-0000-0E00-00004F02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679450</xdr:colOff>
      <xdr:row>50</xdr:row>
      <xdr:rowOff>19050</xdr:rowOff>
    </xdr:from>
    <xdr:to>
      <xdr:col>20</xdr:col>
      <xdr:colOff>25400</xdr:colOff>
      <xdr:row>52</xdr:row>
      <xdr:rowOff>0</xdr:rowOff>
    </xdr:to>
    <xdr:sp macro="" textlink="">
      <xdr:nvSpPr>
        <xdr:cNvPr id="85" name="AutoShape 24">
          <a:extLst>
            <a:ext uri="{FF2B5EF4-FFF2-40B4-BE49-F238E27FC236}">
              <a16:creationId xmlns:a16="http://schemas.microsoft.com/office/drawing/2014/main" id="{00000000-0008-0000-0E00-000051020000}"/>
            </a:ext>
          </a:extLst>
        </xdr:cNvPr>
        <xdr:cNvSpPr>
          <a:spLocks noChangeArrowheads="1"/>
        </xdr:cNvSpPr>
      </xdr:nvSpPr>
      <xdr:spPr>
        <a:xfrm>
          <a:off x="12814300" y="11630025"/>
          <a:ext cx="67945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23631</xdr:colOff>
      <xdr:row>50</xdr:row>
      <xdr:rowOff>73478</xdr:rowOff>
    </xdr:from>
    <xdr:to>
      <xdr:col>22</xdr:col>
      <xdr:colOff>1</xdr:colOff>
      <xdr:row>51</xdr:row>
      <xdr:rowOff>206828</xdr:rowOff>
    </xdr:to>
    <xdr:sp macro="" textlink="">
      <xdr:nvSpPr>
        <xdr:cNvPr id="86" name="AutoShape 25">
          <a:extLst>
            <a:ext uri="{FF2B5EF4-FFF2-40B4-BE49-F238E27FC236}">
              <a16:creationId xmlns:a16="http://schemas.microsoft.com/office/drawing/2014/main" id="{00000000-0008-0000-0E00-000052020000}"/>
            </a:ext>
          </a:extLst>
        </xdr:cNvPr>
        <xdr:cNvSpPr>
          <a:spLocks noChangeArrowheads="1"/>
        </xdr:cNvSpPr>
      </xdr:nvSpPr>
      <xdr:spPr>
        <a:xfrm>
          <a:off x="14092056" y="11684453"/>
          <a:ext cx="63359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710565</xdr:colOff>
      <xdr:row>50</xdr:row>
      <xdr:rowOff>0</xdr:rowOff>
    </xdr:from>
    <xdr:to>
      <xdr:col>8</xdr:col>
      <xdr:colOff>0</xdr:colOff>
      <xdr:row>52</xdr:row>
      <xdr:rowOff>0</xdr:rowOff>
    </xdr:to>
    <xdr:sp macro="" textlink="">
      <xdr:nvSpPr>
        <xdr:cNvPr id="87" name="AutoShape 27">
          <a:extLst>
            <a:ext uri="{FF2B5EF4-FFF2-40B4-BE49-F238E27FC236}">
              <a16:creationId xmlns:a16="http://schemas.microsoft.com/office/drawing/2014/main" id="{00000000-0008-0000-0E00-000053020000}"/>
            </a:ext>
          </a:extLst>
        </xdr:cNvPr>
        <xdr:cNvSpPr>
          <a:spLocks noChangeArrowheads="1"/>
        </xdr:cNvSpPr>
      </xdr:nvSpPr>
      <xdr:spPr>
        <a:xfrm>
          <a:off x="4815840" y="11610975"/>
          <a:ext cx="69913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88" name="AutoShape 28">
          <a:extLst>
            <a:ext uri="{FF2B5EF4-FFF2-40B4-BE49-F238E27FC236}">
              <a16:creationId xmlns:a16="http://schemas.microsoft.com/office/drawing/2014/main" id="{00000000-0008-0000-0E00-00005402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50</xdr:row>
      <xdr:rowOff>19050</xdr:rowOff>
    </xdr:from>
    <xdr:to>
      <xdr:col>12</xdr:col>
      <xdr:colOff>12700</xdr:colOff>
      <xdr:row>52</xdr:row>
      <xdr:rowOff>0</xdr:rowOff>
    </xdr:to>
    <xdr:sp macro="" textlink="">
      <xdr:nvSpPr>
        <xdr:cNvPr id="89" name="AutoShape 205">
          <a:extLst>
            <a:ext uri="{FF2B5EF4-FFF2-40B4-BE49-F238E27FC236}">
              <a16:creationId xmlns:a16="http://schemas.microsoft.com/office/drawing/2014/main" id="{00000000-0008-0000-0E00-000055020000}"/>
            </a:ext>
          </a:extLst>
        </xdr:cNvPr>
        <xdr:cNvSpPr>
          <a:spLocks noChangeArrowheads="1"/>
        </xdr:cNvSpPr>
      </xdr:nvSpPr>
      <xdr:spPr>
        <a:xfrm>
          <a:off x="7543800" y="1163002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90" name="AutoShape 24">
          <a:extLst>
            <a:ext uri="{FF2B5EF4-FFF2-40B4-BE49-F238E27FC236}">
              <a16:creationId xmlns:a16="http://schemas.microsoft.com/office/drawing/2014/main" id="{00000000-0008-0000-0E00-00005602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91" name="AutoShape 14">
          <a:extLst>
            <a:ext uri="{FF2B5EF4-FFF2-40B4-BE49-F238E27FC236}">
              <a16:creationId xmlns:a16="http://schemas.microsoft.com/office/drawing/2014/main" id="{00000000-0008-0000-0E00-00005B02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92" name="AutoShape 15">
          <a:extLst>
            <a:ext uri="{FF2B5EF4-FFF2-40B4-BE49-F238E27FC236}">
              <a16:creationId xmlns:a16="http://schemas.microsoft.com/office/drawing/2014/main" id="{00000000-0008-0000-0E00-00005C02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23631</xdr:colOff>
      <xdr:row>57</xdr:row>
      <xdr:rowOff>73478</xdr:rowOff>
    </xdr:from>
    <xdr:to>
      <xdr:col>2</xdr:col>
      <xdr:colOff>1</xdr:colOff>
      <xdr:row>58</xdr:row>
      <xdr:rowOff>206828</xdr:rowOff>
    </xdr:to>
    <xdr:sp macro="" textlink="">
      <xdr:nvSpPr>
        <xdr:cNvPr id="93" name="AutoShape 25">
          <a:extLst>
            <a:ext uri="{FF2B5EF4-FFF2-40B4-BE49-F238E27FC236}">
              <a16:creationId xmlns:a16="http://schemas.microsoft.com/office/drawing/2014/main" id="{00000000-0008-0000-0E00-00005D020000}"/>
            </a:ext>
          </a:extLst>
        </xdr:cNvPr>
        <xdr:cNvSpPr>
          <a:spLocks noChangeArrowheads="1"/>
        </xdr:cNvSpPr>
      </xdr:nvSpPr>
      <xdr:spPr>
        <a:xfrm>
          <a:off x="623706" y="13113203"/>
          <a:ext cx="91934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94" name="AutoShape 9">
          <a:extLst>
            <a:ext uri="{FF2B5EF4-FFF2-40B4-BE49-F238E27FC236}">
              <a16:creationId xmlns:a16="http://schemas.microsoft.com/office/drawing/2014/main" id="{00000000-0008-0000-0E00-00005E02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650420</xdr:colOff>
      <xdr:row>57</xdr:row>
      <xdr:rowOff>907</xdr:rowOff>
    </xdr:from>
    <xdr:to>
      <xdr:col>6</xdr:col>
      <xdr:colOff>32655</xdr:colOff>
      <xdr:row>58</xdr:row>
      <xdr:rowOff>206828</xdr:rowOff>
    </xdr:to>
    <xdr:sp macro="" textlink="">
      <xdr:nvSpPr>
        <xdr:cNvPr id="95" name="AutoShape 10">
          <a:extLst>
            <a:ext uri="{FF2B5EF4-FFF2-40B4-BE49-F238E27FC236}">
              <a16:creationId xmlns:a16="http://schemas.microsoft.com/office/drawing/2014/main" id="{00000000-0008-0000-0E00-00005F020000}"/>
            </a:ext>
          </a:extLst>
        </xdr:cNvPr>
        <xdr:cNvSpPr>
          <a:spLocks noChangeArrowheads="1"/>
        </xdr:cNvSpPr>
      </xdr:nvSpPr>
      <xdr:spPr>
        <a:xfrm>
          <a:off x="3469820" y="13040632"/>
          <a:ext cx="753835" cy="40594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2478</xdr:colOff>
      <xdr:row>56</xdr:row>
      <xdr:rowOff>182995</xdr:rowOff>
    </xdr:from>
    <xdr:to>
      <xdr:col>10</xdr:col>
      <xdr:colOff>8829</xdr:colOff>
      <xdr:row>58</xdr:row>
      <xdr:rowOff>189345</xdr:rowOff>
    </xdr:to>
    <xdr:sp macro="" textlink="">
      <xdr:nvSpPr>
        <xdr:cNvPr id="96" name="AutoShape 12">
          <a:extLst>
            <a:ext uri="{FF2B5EF4-FFF2-40B4-BE49-F238E27FC236}">
              <a16:creationId xmlns:a16="http://schemas.microsoft.com/office/drawing/2014/main" id="{00000000-0008-0000-0E00-000060020000}"/>
            </a:ext>
          </a:extLst>
        </xdr:cNvPr>
        <xdr:cNvSpPr>
          <a:spLocks noChangeArrowheads="1"/>
        </xdr:cNvSpPr>
      </xdr:nvSpPr>
      <xdr:spPr>
        <a:xfrm>
          <a:off x="6174678" y="13022695"/>
          <a:ext cx="777876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939165</xdr:colOff>
      <xdr:row>57</xdr:row>
      <xdr:rowOff>0</xdr:rowOff>
    </xdr:from>
    <xdr:to>
      <xdr:col>12</xdr:col>
      <xdr:colOff>45720</xdr:colOff>
      <xdr:row>58</xdr:row>
      <xdr:rowOff>190500</xdr:rowOff>
    </xdr:to>
    <xdr:sp macro="" textlink="">
      <xdr:nvSpPr>
        <xdr:cNvPr id="97" name="AutoShape 13">
          <a:extLst>
            <a:ext uri="{FF2B5EF4-FFF2-40B4-BE49-F238E27FC236}">
              <a16:creationId xmlns:a16="http://schemas.microsoft.com/office/drawing/2014/main" id="{00000000-0008-0000-0E00-000061020000}"/>
            </a:ext>
          </a:extLst>
        </xdr:cNvPr>
        <xdr:cNvSpPr>
          <a:spLocks noChangeArrowheads="1"/>
        </xdr:cNvSpPr>
      </xdr:nvSpPr>
      <xdr:spPr>
        <a:xfrm>
          <a:off x="7539990" y="13039725"/>
          <a:ext cx="77343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768985</xdr:colOff>
      <xdr:row>57</xdr:row>
      <xdr:rowOff>0</xdr:rowOff>
    </xdr:from>
    <xdr:to>
      <xdr:col>14</xdr:col>
      <xdr:colOff>43815</xdr:colOff>
      <xdr:row>58</xdr:row>
      <xdr:rowOff>190500</xdr:rowOff>
    </xdr:to>
    <xdr:sp macro="" textlink="">
      <xdr:nvSpPr>
        <xdr:cNvPr id="98" name="AutoShape 14">
          <a:extLst>
            <a:ext uri="{FF2B5EF4-FFF2-40B4-BE49-F238E27FC236}">
              <a16:creationId xmlns:a16="http://schemas.microsoft.com/office/drawing/2014/main" id="{00000000-0008-0000-0E00-000062020000}"/>
            </a:ext>
          </a:extLst>
        </xdr:cNvPr>
        <xdr:cNvSpPr>
          <a:spLocks noChangeArrowheads="1"/>
        </xdr:cNvSpPr>
      </xdr:nvSpPr>
      <xdr:spPr>
        <a:xfrm>
          <a:off x="8874760" y="13039725"/>
          <a:ext cx="80835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99" name="AutoShape 15">
          <a:extLst>
            <a:ext uri="{FF2B5EF4-FFF2-40B4-BE49-F238E27FC236}">
              <a16:creationId xmlns:a16="http://schemas.microsoft.com/office/drawing/2014/main" id="{00000000-0008-0000-0E00-00006302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10884</xdr:colOff>
      <xdr:row>57</xdr:row>
      <xdr:rowOff>40822</xdr:rowOff>
    </xdr:from>
    <xdr:to>
      <xdr:col>22</xdr:col>
      <xdr:colOff>27214</xdr:colOff>
      <xdr:row>58</xdr:row>
      <xdr:rowOff>185058</xdr:rowOff>
    </xdr:to>
    <xdr:sp macro="" textlink="">
      <xdr:nvSpPr>
        <xdr:cNvPr id="101" name="AutoShape 28">
          <a:extLst>
            <a:ext uri="{FF2B5EF4-FFF2-40B4-BE49-F238E27FC236}">
              <a16:creationId xmlns:a16="http://schemas.microsoft.com/office/drawing/2014/main" id="{00000000-0008-0000-0E00-000066020000}"/>
            </a:ext>
          </a:extLst>
        </xdr:cNvPr>
        <xdr:cNvSpPr>
          <a:spLocks noChangeArrowheads="1"/>
        </xdr:cNvSpPr>
      </xdr:nvSpPr>
      <xdr:spPr>
        <a:xfrm>
          <a:off x="14079309" y="13080547"/>
          <a:ext cx="67355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102" name="AutoShape 205">
          <a:extLst>
            <a:ext uri="{FF2B5EF4-FFF2-40B4-BE49-F238E27FC236}">
              <a16:creationId xmlns:a16="http://schemas.microsoft.com/office/drawing/2014/main" id="{00000000-0008-0000-0E00-00006702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619124</xdr:colOff>
      <xdr:row>56</xdr:row>
      <xdr:rowOff>163285</xdr:rowOff>
    </xdr:from>
    <xdr:to>
      <xdr:col>8</xdr:col>
      <xdr:colOff>2040</xdr:colOff>
      <xdr:row>58</xdr:row>
      <xdr:rowOff>186872</xdr:rowOff>
    </xdr:to>
    <xdr:sp macro="" textlink="">
      <xdr:nvSpPr>
        <xdr:cNvPr id="103" name="AutoShape 12">
          <a:extLst>
            <a:ext uri="{FF2B5EF4-FFF2-40B4-BE49-F238E27FC236}">
              <a16:creationId xmlns:a16="http://schemas.microsoft.com/office/drawing/2014/main" id="{00000000-0008-0000-0E00-000068020000}"/>
            </a:ext>
          </a:extLst>
        </xdr:cNvPr>
        <xdr:cNvSpPr>
          <a:spLocks noChangeArrowheads="1"/>
        </xdr:cNvSpPr>
      </xdr:nvSpPr>
      <xdr:spPr>
        <a:xfrm>
          <a:off x="4810124" y="13002985"/>
          <a:ext cx="706891" cy="423637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104" name="AutoShape 21">
          <a:extLst>
            <a:ext uri="{FF2B5EF4-FFF2-40B4-BE49-F238E27FC236}">
              <a16:creationId xmlns:a16="http://schemas.microsoft.com/office/drawing/2014/main" id="{00000000-0008-0000-0E00-00006E02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105" name="AutoShape 22">
          <a:extLst>
            <a:ext uri="{FF2B5EF4-FFF2-40B4-BE49-F238E27FC236}">
              <a16:creationId xmlns:a16="http://schemas.microsoft.com/office/drawing/2014/main" id="{00000000-0008-0000-0E00-0000A702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1858</xdr:colOff>
      <xdr:row>64</xdr:row>
      <xdr:rowOff>12262</xdr:rowOff>
    </xdr:from>
    <xdr:to>
      <xdr:col>6</xdr:col>
      <xdr:colOff>10886</xdr:colOff>
      <xdr:row>66</xdr:row>
      <xdr:rowOff>0</xdr:rowOff>
    </xdr:to>
    <xdr:sp macro="" textlink="">
      <xdr:nvSpPr>
        <xdr:cNvPr id="106" name="AutoShape 207">
          <a:extLst>
            <a:ext uri="{FF2B5EF4-FFF2-40B4-BE49-F238E27FC236}">
              <a16:creationId xmlns:a16="http://schemas.microsoft.com/office/drawing/2014/main" id="{00000000-0008-0000-0E00-0000AA020000}"/>
            </a:ext>
          </a:extLst>
        </xdr:cNvPr>
        <xdr:cNvSpPr>
          <a:spLocks noChangeArrowheads="1"/>
        </xdr:cNvSpPr>
      </xdr:nvSpPr>
      <xdr:spPr>
        <a:xfrm>
          <a:off x="3497533" y="14480737"/>
          <a:ext cx="704353" cy="3973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107" name="AutoShape 25">
          <a:extLst>
            <a:ext uri="{FF2B5EF4-FFF2-40B4-BE49-F238E27FC236}">
              <a16:creationId xmlns:a16="http://schemas.microsoft.com/office/drawing/2014/main" id="{00000000-0008-0000-0E00-0000AC02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64</xdr:row>
      <xdr:rowOff>0</xdr:rowOff>
    </xdr:from>
    <xdr:to>
      <xdr:col>16</xdr:col>
      <xdr:colOff>0</xdr:colOff>
      <xdr:row>65</xdr:row>
      <xdr:rowOff>202407</xdr:rowOff>
    </xdr:to>
    <xdr:sp macro="" textlink="">
      <xdr:nvSpPr>
        <xdr:cNvPr id="108" name="AutoShape 9">
          <a:extLst>
            <a:ext uri="{FF2B5EF4-FFF2-40B4-BE49-F238E27FC236}">
              <a16:creationId xmlns:a16="http://schemas.microsoft.com/office/drawing/2014/main" id="{00000000-0008-0000-0E00-0000AE020000}"/>
            </a:ext>
          </a:extLst>
        </xdr:cNvPr>
        <xdr:cNvSpPr>
          <a:spLocks noChangeArrowheads="1"/>
        </xdr:cNvSpPr>
      </xdr:nvSpPr>
      <xdr:spPr>
        <a:xfrm>
          <a:off x="10215563" y="14668500"/>
          <a:ext cx="690562" cy="4048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64</xdr:row>
      <xdr:rowOff>0</xdr:rowOff>
    </xdr:from>
    <xdr:to>
      <xdr:col>20</xdr:col>
      <xdr:colOff>27214</xdr:colOff>
      <xdr:row>65</xdr:row>
      <xdr:rowOff>189865</xdr:rowOff>
    </xdr:to>
    <xdr:sp macro="" textlink="">
      <xdr:nvSpPr>
        <xdr:cNvPr id="109" name="AutoShape 11">
          <a:extLst>
            <a:ext uri="{FF2B5EF4-FFF2-40B4-BE49-F238E27FC236}">
              <a16:creationId xmlns:a16="http://schemas.microsoft.com/office/drawing/2014/main" id="{00000000-0008-0000-0E00-0000B0020000}"/>
            </a:ext>
          </a:extLst>
        </xdr:cNvPr>
        <xdr:cNvSpPr>
          <a:spLocks noChangeArrowheads="1"/>
        </xdr:cNvSpPr>
      </xdr:nvSpPr>
      <xdr:spPr>
        <a:xfrm>
          <a:off x="12812849" y="14468475"/>
          <a:ext cx="682715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64</xdr:row>
      <xdr:rowOff>0</xdr:rowOff>
    </xdr:from>
    <xdr:to>
      <xdr:col>22</xdr:col>
      <xdr:colOff>12700</xdr:colOff>
      <xdr:row>65</xdr:row>
      <xdr:rowOff>189345</xdr:rowOff>
    </xdr:to>
    <xdr:sp macro="" textlink="">
      <xdr:nvSpPr>
        <xdr:cNvPr id="110" name="AutoShape 12">
          <a:extLst>
            <a:ext uri="{FF2B5EF4-FFF2-40B4-BE49-F238E27FC236}">
              <a16:creationId xmlns:a16="http://schemas.microsoft.com/office/drawing/2014/main" id="{00000000-0008-0000-0E00-0000B1020000}"/>
            </a:ext>
          </a:extLst>
        </xdr:cNvPr>
        <xdr:cNvSpPr>
          <a:spLocks noChangeArrowheads="1"/>
        </xdr:cNvSpPr>
      </xdr:nvSpPr>
      <xdr:spPr>
        <a:xfrm>
          <a:off x="14068425" y="14468475"/>
          <a:ext cx="669925" cy="38937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965200</xdr:colOff>
      <xdr:row>64</xdr:row>
      <xdr:rowOff>0</xdr:rowOff>
    </xdr:from>
    <xdr:to>
      <xdr:col>24</xdr:col>
      <xdr:colOff>7620</xdr:colOff>
      <xdr:row>65</xdr:row>
      <xdr:rowOff>190500</xdr:rowOff>
    </xdr:to>
    <xdr:sp macro="" textlink="">
      <xdr:nvSpPr>
        <xdr:cNvPr id="111" name="AutoShape 13">
          <a:extLst>
            <a:ext uri="{FF2B5EF4-FFF2-40B4-BE49-F238E27FC236}">
              <a16:creationId xmlns:a16="http://schemas.microsoft.com/office/drawing/2014/main" id="{00000000-0008-0000-0E00-0000B2020000}"/>
            </a:ext>
          </a:extLst>
        </xdr:cNvPr>
        <xdr:cNvSpPr>
          <a:spLocks noChangeArrowheads="1"/>
        </xdr:cNvSpPr>
      </xdr:nvSpPr>
      <xdr:spPr>
        <a:xfrm>
          <a:off x="15405100" y="14468475"/>
          <a:ext cx="6902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1209</xdr:colOff>
      <xdr:row>70</xdr:row>
      <xdr:rowOff>190501</xdr:rowOff>
    </xdr:from>
    <xdr:to>
      <xdr:col>4</xdr:col>
      <xdr:colOff>15874</xdr:colOff>
      <xdr:row>72</xdr:row>
      <xdr:rowOff>182563</xdr:rowOff>
    </xdr:to>
    <xdr:sp macro="" textlink="">
      <xdr:nvSpPr>
        <xdr:cNvPr id="112" name="AutoShape 15">
          <a:extLst>
            <a:ext uri="{FF2B5EF4-FFF2-40B4-BE49-F238E27FC236}">
              <a16:creationId xmlns:a16="http://schemas.microsoft.com/office/drawing/2014/main" id="{00000000-0008-0000-0E00-0000BB020000}"/>
            </a:ext>
          </a:extLst>
        </xdr:cNvPr>
        <xdr:cNvSpPr>
          <a:spLocks noChangeArrowheads="1"/>
        </xdr:cNvSpPr>
      </xdr:nvSpPr>
      <xdr:spPr>
        <a:xfrm>
          <a:off x="2153859" y="15887701"/>
          <a:ext cx="681415" cy="392112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71</xdr:row>
      <xdr:rowOff>50800</xdr:rowOff>
    </xdr:from>
    <xdr:to>
      <xdr:col>14</xdr:col>
      <xdr:colOff>12700</xdr:colOff>
      <xdr:row>72</xdr:row>
      <xdr:rowOff>196850</xdr:rowOff>
    </xdr:to>
    <xdr:sp macro="" textlink="">
      <xdr:nvSpPr>
        <xdr:cNvPr id="113" name="AutoShape 21">
          <a:extLst>
            <a:ext uri="{FF2B5EF4-FFF2-40B4-BE49-F238E27FC236}">
              <a16:creationId xmlns:a16="http://schemas.microsoft.com/office/drawing/2014/main" id="{00000000-0008-0000-0E00-0000BD020000}"/>
            </a:ext>
          </a:extLst>
        </xdr:cNvPr>
        <xdr:cNvSpPr>
          <a:spLocks noChangeArrowheads="1"/>
        </xdr:cNvSpPr>
      </xdr:nvSpPr>
      <xdr:spPr>
        <a:xfrm>
          <a:off x="8877300" y="15948025"/>
          <a:ext cx="774700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11906</xdr:colOff>
      <xdr:row>71</xdr:row>
      <xdr:rowOff>1</xdr:rowOff>
    </xdr:from>
    <xdr:to>
      <xdr:col>15</xdr:col>
      <xdr:colOff>690561</xdr:colOff>
      <xdr:row>73</xdr:row>
      <xdr:rowOff>1</xdr:rowOff>
    </xdr:to>
    <xdr:sp macro="" textlink="">
      <xdr:nvSpPr>
        <xdr:cNvPr id="114" name="AutoShape 22">
          <a:extLst>
            <a:ext uri="{FF2B5EF4-FFF2-40B4-BE49-F238E27FC236}">
              <a16:creationId xmlns:a16="http://schemas.microsoft.com/office/drawing/2014/main" id="{00000000-0008-0000-0E00-0000BE020000}"/>
            </a:ext>
          </a:extLst>
        </xdr:cNvPr>
        <xdr:cNvSpPr>
          <a:spLocks noChangeArrowheads="1"/>
        </xdr:cNvSpPr>
      </xdr:nvSpPr>
      <xdr:spPr>
        <a:xfrm>
          <a:off x="10227469" y="16121064"/>
          <a:ext cx="678655" cy="41671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71</xdr:row>
      <xdr:rowOff>19050</xdr:rowOff>
    </xdr:from>
    <xdr:to>
      <xdr:col>18</xdr:col>
      <xdr:colOff>12700</xdr:colOff>
      <xdr:row>73</xdr:row>
      <xdr:rowOff>0</xdr:rowOff>
    </xdr:to>
    <xdr:sp macro="" textlink="">
      <xdr:nvSpPr>
        <xdr:cNvPr id="115" name="AutoShape 23">
          <a:extLst>
            <a:ext uri="{FF2B5EF4-FFF2-40B4-BE49-F238E27FC236}">
              <a16:creationId xmlns:a16="http://schemas.microsoft.com/office/drawing/2014/main" id="{00000000-0008-0000-0E00-0000BF020000}"/>
            </a:ext>
          </a:extLst>
        </xdr:cNvPr>
        <xdr:cNvSpPr>
          <a:spLocks noChangeArrowheads="1"/>
        </xdr:cNvSpPr>
      </xdr:nvSpPr>
      <xdr:spPr>
        <a:xfrm>
          <a:off x="11525250" y="1591627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116" name="AutoShape 24">
          <a:extLst>
            <a:ext uri="{FF2B5EF4-FFF2-40B4-BE49-F238E27FC236}">
              <a16:creationId xmlns:a16="http://schemas.microsoft.com/office/drawing/2014/main" id="{00000000-0008-0000-0E00-0000C002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1016635</xdr:colOff>
      <xdr:row>71</xdr:row>
      <xdr:rowOff>19050</xdr:rowOff>
    </xdr:from>
    <xdr:to>
      <xdr:col>22</xdr:col>
      <xdr:colOff>39370</xdr:colOff>
      <xdr:row>72</xdr:row>
      <xdr:rowOff>199390</xdr:rowOff>
    </xdr:to>
    <xdr:sp macro="" textlink="">
      <xdr:nvSpPr>
        <xdr:cNvPr id="117" name="AutoShape 25">
          <a:extLst>
            <a:ext uri="{FF2B5EF4-FFF2-40B4-BE49-F238E27FC236}">
              <a16:creationId xmlns:a16="http://schemas.microsoft.com/office/drawing/2014/main" id="{00000000-0008-0000-0E00-0000C1020000}"/>
            </a:ext>
          </a:extLst>
        </xdr:cNvPr>
        <xdr:cNvSpPr>
          <a:spLocks noChangeArrowheads="1"/>
        </xdr:cNvSpPr>
      </xdr:nvSpPr>
      <xdr:spPr>
        <a:xfrm>
          <a:off x="14065885" y="15916275"/>
          <a:ext cx="699135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71</xdr:row>
      <xdr:rowOff>19050</xdr:rowOff>
    </xdr:from>
    <xdr:to>
      <xdr:col>12</xdr:col>
      <xdr:colOff>12700</xdr:colOff>
      <xdr:row>73</xdr:row>
      <xdr:rowOff>0</xdr:rowOff>
    </xdr:to>
    <xdr:sp macro="" textlink="">
      <xdr:nvSpPr>
        <xdr:cNvPr id="118" name="AutoShape 205">
          <a:extLst>
            <a:ext uri="{FF2B5EF4-FFF2-40B4-BE49-F238E27FC236}">
              <a16:creationId xmlns:a16="http://schemas.microsoft.com/office/drawing/2014/main" id="{00000000-0008-0000-0E00-0000C4020000}"/>
            </a:ext>
          </a:extLst>
        </xdr:cNvPr>
        <xdr:cNvSpPr>
          <a:spLocks noChangeArrowheads="1"/>
        </xdr:cNvSpPr>
      </xdr:nvSpPr>
      <xdr:spPr>
        <a:xfrm>
          <a:off x="7543800" y="15916275"/>
          <a:ext cx="7366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119" name="AutoShape 24">
          <a:extLst>
            <a:ext uri="{FF2B5EF4-FFF2-40B4-BE49-F238E27FC236}">
              <a16:creationId xmlns:a16="http://schemas.microsoft.com/office/drawing/2014/main" id="{00000000-0008-0000-0E00-0000C502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120" name="AutoShape 12">
          <a:extLst>
            <a:ext uri="{FF2B5EF4-FFF2-40B4-BE49-F238E27FC236}">
              <a16:creationId xmlns:a16="http://schemas.microsoft.com/office/drawing/2014/main" id="{00000000-0008-0000-0E00-0000EC02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121" name="AutoShape 14">
          <a:extLst>
            <a:ext uri="{FF2B5EF4-FFF2-40B4-BE49-F238E27FC236}">
              <a16:creationId xmlns:a16="http://schemas.microsoft.com/office/drawing/2014/main" id="{00000000-0008-0000-0E00-0000EE02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122" name="AutoShape 27">
          <a:extLst>
            <a:ext uri="{FF2B5EF4-FFF2-40B4-BE49-F238E27FC236}">
              <a16:creationId xmlns:a16="http://schemas.microsoft.com/office/drawing/2014/main" id="{00000000-0008-0000-0E00-0000F102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123" name="AutoShape 28">
          <a:extLst>
            <a:ext uri="{FF2B5EF4-FFF2-40B4-BE49-F238E27FC236}">
              <a16:creationId xmlns:a16="http://schemas.microsoft.com/office/drawing/2014/main" id="{00000000-0008-0000-0E00-0000F202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124" name="AutoShape 29">
          <a:extLst>
            <a:ext uri="{FF2B5EF4-FFF2-40B4-BE49-F238E27FC236}">
              <a16:creationId xmlns:a16="http://schemas.microsoft.com/office/drawing/2014/main" id="{00000000-0008-0000-0E00-0000F302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609600</xdr:colOff>
      <xdr:row>78</xdr:row>
      <xdr:rowOff>0</xdr:rowOff>
    </xdr:from>
    <xdr:to>
      <xdr:col>8</xdr:col>
      <xdr:colOff>0</xdr:colOff>
      <xdr:row>79</xdr:row>
      <xdr:rowOff>187325</xdr:rowOff>
    </xdr:to>
    <xdr:sp macro="" textlink="">
      <xdr:nvSpPr>
        <xdr:cNvPr id="125" name="AutoShape 12">
          <a:extLst>
            <a:ext uri="{FF2B5EF4-FFF2-40B4-BE49-F238E27FC236}">
              <a16:creationId xmlns:a16="http://schemas.microsoft.com/office/drawing/2014/main" id="{00000000-0008-0000-0E00-0000F6020000}"/>
            </a:ext>
          </a:extLst>
        </xdr:cNvPr>
        <xdr:cNvSpPr>
          <a:spLocks noChangeArrowheads="1"/>
        </xdr:cNvSpPr>
      </xdr:nvSpPr>
      <xdr:spPr>
        <a:xfrm>
          <a:off x="4800600" y="17325975"/>
          <a:ext cx="714375" cy="38735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126" name="AutoShape 21">
          <a:extLst>
            <a:ext uri="{FF2B5EF4-FFF2-40B4-BE49-F238E27FC236}">
              <a16:creationId xmlns:a16="http://schemas.microsoft.com/office/drawing/2014/main" id="{00000000-0008-0000-0E00-0000F702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601557</xdr:colOff>
      <xdr:row>85</xdr:row>
      <xdr:rowOff>8466</xdr:rowOff>
    </xdr:from>
    <xdr:to>
      <xdr:col>8</xdr:col>
      <xdr:colOff>28152</xdr:colOff>
      <xdr:row>86</xdr:row>
      <xdr:rowOff>188806</xdr:rowOff>
    </xdr:to>
    <xdr:sp macro="" textlink="">
      <xdr:nvSpPr>
        <xdr:cNvPr id="127" name="AutoShape 24">
          <a:extLst>
            <a:ext uri="{FF2B5EF4-FFF2-40B4-BE49-F238E27FC236}">
              <a16:creationId xmlns:a16="http://schemas.microsoft.com/office/drawing/2014/main" id="{00000000-0008-0000-0E00-0000F9020000}"/>
            </a:ext>
          </a:extLst>
        </xdr:cNvPr>
        <xdr:cNvSpPr>
          <a:spLocks noChangeArrowheads="1"/>
        </xdr:cNvSpPr>
      </xdr:nvSpPr>
      <xdr:spPr>
        <a:xfrm>
          <a:off x="4792557" y="18753666"/>
          <a:ext cx="7505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4287</xdr:colOff>
      <xdr:row>85</xdr:row>
      <xdr:rowOff>19049</xdr:rowOff>
    </xdr:from>
    <xdr:to>
      <xdr:col>12</xdr:col>
      <xdr:colOff>0</xdr:colOff>
      <xdr:row>86</xdr:row>
      <xdr:rowOff>202405</xdr:rowOff>
    </xdr:to>
    <xdr:sp macro="" textlink="">
      <xdr:nvSpPr>
        <xdr:cNvPr id="128" name="AutoShape 24">
          <a:extLst>
            <a:ext uri="{FF2B5EF4-FFF2-40B4-BE49-F238E27FC236}">
              <a16:creationId xmlns:a16="http://schemas.microsoft.com/office/drawing/2014/main" id="{00000000-0008-0000-0E00-0000FC020000}"/>
            </a:ext>
          </a:extLst>
        </xdr:cNvPr>
        <xdr:cNvSpPr>
          <a:spLocks noChangeArrowheads="1"/>
        </xdr:cNvSpPr>
      </xdr:nvSpPr>
      <xdr:spPr>
        <a:xfrm>
          <a:off x="7529037" y="19033330"/>
          <a:ext cx="721994" cy="38576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889635</xdr:colOff>
      <xdr:row>85</xdr:row>
      <xdr:rowOff>19050</xdr:rowOff>
    </xdr:from>
    <xdr:to>
      <xdr:col>14</xdr:col>
      <xdr:colOff>40005</xdr:colOff>
      <xdr:row>86</xdr:row>
      <xdr:rowOff>198755</xdr:rowOff>
    </xdr:to>
    <xdr:sp macro="" textlink="">
      <xdr:nvSpPr>
        <xdr:cNvPr id="129" name="AutoShape 25">
          <a:extLst>
            <a:ext uri="{FF2B5EF4-FFF2-40B4-BE49-F238E27FC236}">
              <a16:creationId xmlns:a16="http://schemas.microsoft.com/office/drawing/2014/main" id="{00000000-0008-0000-0E00-0000FD020000}"/>
            </a:ext>
          </a:extLst>
        </xdr:cNvPr>
        <xdr:cNvSpPr>
          <a:spLocks noChangeArrowheads="1"/>
        </xdr:cNvSpPr>
      </xdr:nvSpPr>
      <xdr:spPr>
        <a:xfrm>
          <a:off x="8881110" y="18764250"/>
          <a:ext cx="798195" cy="3797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6350</xdr:colOff>
      <xdr:row>84</xdr:row>
      <xdr:rowOff>195383</xdr:rowOff>
    </xdr:from>
    <xdr:to>
      <xdr:col>16</xdr:col>
      <xdr:colOff>17145</xdr:colOff>
      <xdr:row>87</xdr:row>
      <xdr:rowOff>12211</xdr:rowOff>
    </xdr:to>
    <xdr:sp macro="" textlink="">
      <xdr:nvSpPr>
        <xdr:cNvPr id="130" name="AutoShape 9">
          <a:extLst>
            <a:ext uri="{FF2B5EF4-FFF2-40B4-BE49-F238E27FC236}">
              <a16:creationId xmlns:a16="http://schemas.microsoft.com/office/drawing/2014/main" id="{00000000-0008-0000-0E00-0000FE020000}"/>
            </a:ext>
          </a:extLst>
        </xdr:cNvPr>
        <xdr:cNvSpPr>
          <a:spLocks noChangeArrowheads="1"/>
        </xdr:cNvSpPr>
      </xdr:nvSpPr>
      <xdr:spPr>
        <a:xfrm>
          <a:off x="10245725" y="18740558"/>
          <a:ext cx="696595" cy="42642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133" name="AutoShape 13">
          <a:extLst>
            <a:ext uri="{FF2B5EF4-FFF2-40B4-BE49-F238E27FC236}">
              <a16:creationId xmlns:a16="http://schemas.microsoft.com/office/drawing/2014/main" id="{00000000-0008-0000-0E00-00000203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12212</xdr:colOff>
      <xdr:row>86</xdr:row>
      <xdr:rowOff>207595</xdr:rowOff>
    </xdr:from>
    <xdr:to>
      <xdr:col>22</xdr:col>
      <xdr:colOff>42545</xdr:colOff>
      <xdr:row>88</xdr:row>
      <xdr:rowOff>195383</xdr:rowOff>
    </xdr:to>
    <xdr:sp macro="" textlink="">
      <xdr:nvSpPr>
        <xdr:cNvPr id="134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80637" y="19152820"/>
          <a:ext cx="687558" cy="406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48846</xdr:colOff>
      <xdr:row>87</xdr:row>
      <xdr:rowOff>36635</xdr:rowOff>
    </xdr:from>
    <xdr:to>
      <xdr:col>21</xdr:col>
      <xdr:colOff>637931</xdr:colOff>
      <xdr:row>89</xdr:row>
      <xdr:rowOff>5422</xdr:rowOff>
    </xdr:to>
    <xdr:sp macro="" textlink="">
      <xdr:nvSpPr>
        <xdr:cNvPr id="135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17271" y="19191410"/>
          <a:ext cx="589085" cy="38788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136" name="AutoShape 14">
          <a:extLst>
            <a:ext uri="{FF2B5EF4-FFF2-40B4-BE49-F238E27FC236}">
              <a16:creationId xmlns:a16="http://schemas.microsoft.com/office/drawing/2014/main" id="{00000000-0008-0000-0E00-00000503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137" name="AutoShape 15">
          <a:extLst>
            <a:ext uri="{FF2B5EF4-FFF2-40B4-BE49-F238E27FC236}">
              <a16:creationId xmlns:a16="http://schemas.microsoft.com/office/drawing/2014/main" id="{00000000-0008-0000-0E00-00000903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138" name="AutoShape 21">
          <a:extLst>
            <a:ext uri="{FF2B5EF4-FFF2-40B4-BE49-F238E27FC236}">
              <a16:creationId xmlns:a16="http://schemas.microsoft.com/office/drawing/2014/main" id="{00000000-0008-0000-0E00-00000B03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139" name="AutoShape 22">
          <a:extLst>
            <a:ext uri="{FF2B5EF4-FFF2-40B4-BE49-F238E27FC236}">
              <a16:creationId xmlns:a16="http://schemas.microsoft.com/office/drawing/2014/main" id="{00000000-0008-0000-0E00-00000C03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140" name="AutoShape 24">
          <a:extLst>
            <a:ext uri="{FF2B5EF4-FFF2-40B4-BE49-F238E27FC236}">
              <a16:creationId xmlns:a16="http://schemas.microsoft.com/office/drawing/2014/main" id="{00000000-0008-0000-0E00-00000E03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92</xdr:row>
      <xdr:rowOff>18415</xdr:rowOff>
    </xdr:from>
    <xdr:to>
      <xdr:col>22</xdr:col>
      <xdr:colOff>39370</xdr:colOff>
      <xdr:row>93</xdr:row>
      <xdr:rowOff>199390</xdr:rowOff>
    </xdr:to>
    <xdr:sp macro="" textlink="">
      <xdr:nvSpPr>
        <xdr:cNvPr id="141" name="AutoShape 25">
          <a:extLst>
            <a:ext uri="{FF2B5EF4-FFF2-40B4-BE49-F238E27FC236}">
              <a16:creationId xmlns:a16="http://schemas.microsoft.com/office/drawing/2014/main" id="{00000000-0008-0000-0E00-00000F030000}"/>
            </a:ext>
          </a:extLst>
        </xdr:cNvPr>
        <xdr:cNvSpPr>
          <a:spLocks noChangeArrowheads="1"/>
        </xdr:cNvSpPr>
      </xdr:nvSpPr>
      <xdr:spPr>
        <a:xfrm>
          <a:off x="14072235" y="20192365"/>
          <a:ext cx="69278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142" name="AutoShape 27">
          <a:extLst>
            <a:ext uri="{FF2B5EF4-FFF2-40B4-BE49-F238E27FC236}">
              <a16:creationId xmlns:a16="http://schemas.microsoft.com/office/drawing/2014/main" id="{00000000-0008-0000-0E00-00001003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143" name="AutoShape 28">
          <a:extLst>
            <a:ext uri="{FF2B5EF4-FFF2-40B4-BE49-F238E27FC236}">
              <a16:creationId xmlns:a16="http://schemas.microsoft.com/office/drawing/2014/main" id="{00000000-0008-0000-0E00-00001103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92</xdr:row>
      <xdr:rowOff>19050</xdr:rowOff>
    </xdr:from>
    <xdr:to>
      <xdr:col>12</xdr:col>
      <xdr:colOff>12700</xdr:colOff>
      <xdr:row>94</xdr:row>
      <xdr:rowOff>0</xdr:rowOff>
    </xdr:to>
    <xdr:sp macro="" textlink="">
      <xdr:nvSpPr>
        <xdr:cNvPr id="144" name="AutoShape 205">
          <a:extLst>
            <a:ext uri="{FF2B5EF4-FFF2-40B4-BE49-F238E27FC236}">
              <a16:creationId xmlns:a16="http://schemas.microsoft.com/office/drawing/2014/main" id="{00000000-0008-0000-0E00-000012030000}"/>
            </a:ext>
          </a:extLst>
        </xdr:cNvPr>
        <xdr:cNvSpPr>
          <a:spLocks noChangeArrowheads="1"/>
        </xdr:cNvSpPr>
      </xdr:nvSpPr>
      <xdr:spPr>
        <a:xfrm>
          <a:off x="7543800" y="20193000"/>
          <a:ext cx="7366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145" name="AutoShape 24">
          <a:extLst>
            <a:ext uri="{FF2B5EF4-FFF2-40B4-BE49-F238E27FC236}">
              <a16:creationId xmlns:a16="http://schemas.microsoft.com/office/drawing/2014/main" id="{00000000-0008-0000-0E00-00001303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146" name="AutoShape 25">
          <a:extLst>
            <a:ext uri="{FF2B5EF4-FFF2-40B4-BE49-F238E27FC236}">
              <a16:creationId xmlns:a16="http://schemas.microsoft.com/office/drawing/2014/main" id="{00000000-0008-0000-0E00-00002703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610576</xdr:colOff>
      <xdr:row>100</xdr:row>
      <xdr:rowOff>0</xdr:rowOff>
    </xdr:from>
    <xdr:to>
      <xdr:col>3</xdr:col>
      <xdr:colOff>659422</xdr:colOff>
      <xdr:row>101</xdr:row>
      <xdr:rowOff>195384</xdr:rowOff>
    </xdr:to>
    <xdr:sp macro="" textlink="">
      <xdr:nvSpPr>
        <xdr:cNvPr id="147" name="AutoShape 9">
          <a:extLst>
            <a:ext uri="{FF2B5EF4-FFF2-40B4-BE49-F238E27FC236}">
              <a16:creationId xmlns:a16="http://schemas.microsoft.com/office/drawing/2014/main" id="{00000000-0008-0000-0E00-000028030000}"/>
            </a:ext>
          </a:extLst>
        </xdr:cNvPr>
        <xdr:cNvSpPr>
          <a:spLocks noChangeArrowheads="1"/>
        </xdr:cNvSpPr>
      </xdr:nvSpPr>
      <xdr:spPr>
        <a:xfrm>
          <a:off x="2153626" y="21802725"/>
          <a:ext cx="658446" cy="3954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781050</xdr:colOff>
      <xdr:row>100</xdr:row>
      <xdr:rowOff>0</xdr:rowOff>
    </xdr:from>
    <xdr:to>
      <xdr:col>6</xdr:col>
      <xdr:colOff>15240</xdr:colOff>
      <xdr:row>101</xdr:row>
      <xdr:rowOff>196215</xdr:rowOff>
    </xdr:to>
    <xdr:sp macro="" textlink="">
      <xdr:nvSpPr>
        <xdr:cNvPr id="148" name="AutoShape 10">
          <a:extLst>
            <a:ext uri="{FF2B5EF4-FFF2-40B4-BE49-F238E27FC236}">
              <a16:creationId xmlns:a16="http://schemas.microsoft.com/office/drawing/2014/main" id="{00000000-0008-0000-0E00-000029030000}"/>
            </a:ext>
          </a:extLst>
        </xdr:cNvPr>
        <xdr:cNvSpPr>
          <a:spLocks noChangeArrowheads="1"/>
        </xdr:cNvSpPr>
      </xdr:nvSpPr>
      <xdr:spPr>
        <a:xfrm>
          <a:off x="3495675" y="21802725"/>
          <a:ext cx="710565" cy="39624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149" name="AutoShape 11">
          <a:extLst>
            <a:ext uri="{FF2B5EF4-FFF2-40B4-BE49-F238E27FC236}">
              <a16:creationId xmlns:a16="http://schemas.microsoft.com/office/drawing/2014/main" id="{00000000-0008-0000-0E00-00002A03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857885</xdr:colOff>
      <xdr:row>100</xdr:row>
      <xdr:rowOff>17780</xdr:rowOff>
    </xdr:from>
    <xdr:to>
      <xdr:col>10</xdr:col>
      <xdr:colOff>8890</xdr:colOff>
      <xdr:row>102</xdr:row>
      <xdr:rowOff>3175</xdr:rowOff>
    </xdr:to>
    <xdr:sp macro="" textlink="">
      <xdr:nvSpPr>
        <xdr:cNvPr id="150" name="AutoShape 12">
          <a:extLst>
            <a:ext uri="{FF2B5EF4-FFF2-40B4-BE49-F238E27FC236}">
              <a16:creationId xmlns:a16="http://schemas.microsoft.com/office/drawing/2014/main" id="{00000000-0008-0000-0E00-00002B030000}"/>
            </a:ext>
          </a:extLst>
        </xdr:cNvPr>
        <xdr:cNvSpPr>
          <a:spLocks noChangeArrowheads="1"/>
        </xdr:cNvSpPr>
      </xdr:nvSpPr>
      <xdr:spPr>
        <a:xfrm>
          <a:off x="6172835" y="21820505"/>
          <a:ext cx="779780" cy="394970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151" name="AutoShape 13">
          <a:extLst>
            <a:ext uri="{FF2B5EF4-FFF2-40B4-BE49-F238E27FC236}">
              <a16:creationId xmlns:a16="http://schemas.microsoft.com/office/drawing/2014/main" id="{00000000-0008-0000-0E00-00002C03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152" name="AutoShape 14">
          <a:extLst>
            <a:ext uri="{FF2B5EF4-FFF2-40B4-BE49-F238E27FC236}">
              <a16:creationId xmlns:a16="http://schemas.microsoft.com/office/drawing/2014/main" id="{00000000-0008-0000-0E00-00002D03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100</xdr:row>
      <xdr:rowOff>1361</xdr:rowOff>
    </xdr:from>
    <xdr:to>
      <xdr:col>16</xdr:col>
      <xdr:colOff>25400</xdr:colOff>
      <xdr:row>101</xdr:row>
      <xdr:rowOff>191861</xdr:rowOff>
    </xdr:to>
    <xdr:sp macro="" textlink="">
      <xdr:nvSpPr>
        <xdr:cNvPr id="153" name="AutoShape 15">
          <a:extLst>
            <a:ext uri="{FF2B5EF4-FFF2-40B4-BE49-F238E27FC236}">
              <a16:creationId xmlns:a16="http://schemas.microsoft.com/office/drawing/2014/main" id="{00000000-0008-0000-0E00-00002E030000}"/>
            </a:ext>
          </a:extLst>
        </xdr:cNvPr>
        <xdr:cNvSpPr>
          <a:spLocks noChangeArrowheads="1"/>
        </xdr:cNvSpPr>
      </xdr:nvSpPr>
      <xdr:spPr>
        <a:xfrm>
          <a:off x="10239375" y="21804086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100</xdr:row>
      <xdr:rowOff>0</xdr:rowOff>
    </xdr:from>
    <xdr:to>
      <xdr:col>20</xdr:col>
      <xdr:colOff>23495</xdr:colOff>
      <xdr:row>102</xdr:row>
      <xdr:rowOff>0</xdr:rowOff>
    </xdr:to>
    <xdr:sp macro="" textlink="">
      <xdr:nvSpPr>
        <xdr:cNvPr id="154" name="AutoShape 27">
          <a:extLst>
            <a:ext uri="{FF2B5EF4-FFF2-40B4-BE49-F238E27FC236}">
              <a16:creationId xmlns:a16="http://schemas.microsoft.com/office/drawing/2014/main" id="{00000000-0008-0000-0E00-000030030000}"/>
            </a:ext>
          </a:extLst>
        </xdr:cNvPr>
        <xdr:cNvSpPr>
          <a:spLocks noChangeArrowheads="1"/>
        </xdr:cNvSpPr>
      </xdr:nvSpPr>
      <xdr:spPr>
        <a:xfrm>
          <a:off x="12807950" y="21802725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100</xdr:row>
      <xdr:rowOff>0</xdr:rowOff>
    </xdr:from>
    <xdr:to>
      <xdr:col>24</xdr:col>
      <xdr:colOff>0</xdr:colOff>
      <xdr:row>102</xdr:row>
      <xdr:rowOff>0</xdr:rowOff>
    </xdr:to>
    <xdr:sp macro="" textlink="">
      <xdr:nvSpPr>
        <xdr:cNvPr id="155" name="AutoShape 29">
          <a:extLst>
            <a:ext uri="{FF2B5EF4-FFF2-40B4-BE49-F238E27FC236}">
              <a16:creationId xmlns:a16="http://schemas.microsoft.com/office/drawing/2014/main" id="{00000000-0008-0000-0E00-000032030000}"/>
            </a:ext>
          </a:extLst>
        </xdr:cNvPr>
        <xdr:cNvSpPr>
          <a:spLocks noChangeArrowheads="1"/>
        </xdr:cNvSpPr>
      </xdr:nvSpPr>
      <xdr:spPr>
        <a:xfrm>
          <a:off x="15408860" y="21802725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107</xdr:row>
      <xdr:rowOff>50800</xdr:rowOff>
    </xdr:from>
    <xdr:to>
      <xdr:col>2</xdr:col>
      <xdr:colOff>12700</xdr:colOff>
      <xdr:row>108</xdr:row>
      <xdr:rowOff>196850</xdr:rowOff>
    </xdr:to>
    <xdr:sp macro="" textlink="">
      <xdr:nvSpPr>
        <xdr:cNvPr id="156" name="AutoShape 21">
          <a:extLst>
            <a:ext uri="{FF2B5EF4-FFF2-40B4-BE49-F238E27FC236}">
              <a16:creationId xmlns:a16="http://schemas.microsoft.com/office/drawing/2014/main" id="{00000000-0008-0000-0E00-00003A030000}"/>
            </a:ext>
          </a:extLst>
        </xdr:cNvPr>
        <xdr:cNvSpPr>
          <a:spLocks noChangeArrowheads="1"/>
        </xdr:cNvSpPr>
      </xdr:nvSpPr>
      <xdr:spPr>
        <a:xfrm>
          <a:off x="600075" y="2328227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107</xdr:row>
      <xdr:rowOff>23812</xdr:rowOff>
    </xdr:from>
    <xdr:to>
      <xdr:col>4</xdr:col>
      <xdr:colOff>7303</xdr:colOff>
      <xdr:row>108</xdr:row>
      <xdr:rowOff>189955</xdr:rowOff>
    </xdr:to>
    <xdr:sp macro="" textlink="">
      <xdr:nvSpPr>
        <xdr:cNvPr id="157" name="AutoShape 22">
          <a:extLst>
            <a:ext uri="{FF2B5EF4-FFF2-40B4-BE49-F238E27FC236}">
              <a16:creationId xmlns:a16="http://schemas.microsoft.com/office/drawing/2014/main" id="{00000000-0008-0000-0E00-000058030000}"/>
            </a:ext>
          </a:extLst>
        </xdr:cNvPr>
        <xdr:cNvSpPr>
          <a:spLocks noChangeArrowheads="1"/>
        </xdr:cNvSpPr>
      </xdr:nvSpPr>
      <xdr:spPr>
        <a:xfrm>
          <a:off x="2159212" y="23255287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107</xdr:row>
      <xdr:rowOff>16510</xdr:rowOff>
    </xdr:from>
    <xdr:to>
      <xdr:col>8</xdr:col>
      <xdr:colOff>15875</xdr:colOff>
      <xdr:row>109</xdr:row>
      <xdr:rowOff>0</xdr:rowOff>
    </xdr:to>
    <xdr:sp macro="" textlink="">
      <xdr:nvSpPr>
        <xdr:cNvPr id="158" name="AutoShape 24">
          <a:extLst>
            <a:ext uri="{FF2B5EF4-FFF2-40B4-BE49-F238E27FC236}">
              <a16:creationId xmlns:a16="http://schemas.microsoft.com/office/drawing/2014/main" id="{00000000-0008-0000-0E00-000059030000}"/>
            </a:ext>
          </a:extLst>
        </xdr:cNvPr>
        <xdr:cNvSpPr>
          <a:spLocks noChangeArrowheads="1"/>
        </xdr:cNvSpPr>
      </xdr:nvSpPr>
      <xdr:spPr>
        <a:xfrm>
          <a:off x="4822190" y="23247985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159" name="AutoShape 25">
          <a:extLst>
            <a:ext uri="{FF2B5EF4-FFF2-40B4-BE49-F238E27FC236}">
              <a16:creationId xmlns:a16="http://schemas.microsoft.com/office/drawing/2014/main" id="{00000000-0008-0000-0E00-00005A03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106</xdr:row>
      <xdr:rowOff>129540</xdr:rowOff>
    </xdr:from>
    <xdr:to>
      <xdr:col>14</xdr:col>
      <xdr:colOff>35719</xdr:colOff>
      <xdr:row>109</xdr:row>
      <xdr:rowOff>0</xdr:rowOff>
    </xdr:to>
    <xdr:sp macro="" textlink="">
      <xdr:nvSpPr>
        <xdr:cNvPr id="160" name="AutoShape 25">
          <a:extLst>
            <a:ext uri="{FF2B5EF4-FFF2-40B4-BE49-F238E27FC236}">
              <a16:creationId xmlns:a16="http://schemas.microsoft.com/office/drawing/2014/main" id="{00000000-0008-0000-0E00-00005D030000}"/>
            </a:ext>
          </a:extLst>
        </xdr:cNvPr>
        <xdr:cNvSpPr>
          <a:spLocks noChangeArrowheads="1"/>
        </xdr:cNvSpPr>
      </xdr:nvSpPr>
      <xdr:spPr>
        <a:xfrm>
          <a:off x="8873975" y="23160990"/>
          <a:ext cx="801044" cy="4800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161" name="AutoShape 9">
          <a:extLst>
            <a:ext uri="{FF2B5EF4-FFF2-40B4-BE49-F238E27FC236}">
              <a16:creationId xmlns:a16="http://schemas.microsoft.com/office/drawing/2014/main" id="{00000000-0008-0000-0E00-00006003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106</xdr:row>
      <xdr:rowOff>185305</xdr:rowOff>
    </xdr:from>
    <xdr:to>
      <xdr:col>18</xdr:col>
      <xdr:colOff>0</xdr:colOff>
      <xdr:row>108</xdr:row>
      <xdr:rowOff>184727</xdr:rowOff>
    </xdr:to>
    <xdr:sp macro="" textlink="">
      <xdr:nvSpPr>
        <xdr:cNvPr id="162" name="AutoShape 10">
          <a:extLst>
            <a:ext uri="{FF2B5EF4-FFF2-40B4-BE49-F238E27FC236}">
              <a16:creationId xmlns:a16="http://schemas.microsoft.com/office/drawing/2014/main" id="{00000000-0008-0000-0E00-000061030000}"/>
            </a:ext>
          </a:extLst>
        </xdr:cNvPr>
        <xdr:cNvSpPr>
          <a:spLocks noChangeArrowheads="1"/>
        </xdr:cNvSpPr>
      </xdr:nvSpPr>
      <xdr:spPr>
        <a:xfrm>
          <a:off x="11525250" y="23216755"/>
          <a:ext cx="685800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163" name="AutoShape 11">
          <a:extLst>
            <a:ext uri="{FF2B5EF4-FFF2-40B4-BE49-F238E27FC236}">
              <a16:creationId xmlns:a16="http://schemas.microsoft.com/office/drawing/2014/main" id="{00000000-0008-0000-0E00-00006203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164" name="AutoShape 12">
          <a:extLst>
            <a:ext uri="{FF2B5EF4-FFF2-40B4-BE49-F238E27FC236}">
              <a16:creationId xmlns:a16="http://schemas.microsoft.com/office/drawing/2014/main" id="{00000000-0008-0000-0E00-00006303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165" name="AutoShape 13">
          <a:extLst>
            <a:ext uri="{FF2B5EF4-FFF2-40B4-BE49-F238E27FC236}">
              <a16:creationId xmlns:a16="http://schemas.microsoft.com/office/drawing/2014/main" id="{00000000-0008-0000-0E00-00006403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166" name="AutoShape 13">
          <a:extLst>
            <a:ext uri="{FF2B5EF4-FFF2-40B4-BE49-F238E27FC236}">
              <a16:creationId xmlns:a16="http://schemas.microsoft.com/office/drawing/2014/main" id="{00000000-0008-0000-0E00-00006603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114</xdr:row>
      <xdr:rowOff>0</xdr:rowOff>
    </xdr:from>
    <xdr:to>
      <xdr:col>4</xdr:col>
      <xdr:colOff>27214</xdr:colOff>
      <xdr:row>115</xdr:row>
      <xdr:rowOff>190500</xdr:rowOff>
    </xdr:to>
    <xdr:sp macro="" textlink="">
      <xdr:nvSpPr>
        <xdr:cNvPr id="167" name="AutoShape 15">
          <a:extLst>
            <a:ext uri="{FF2B5EF4-FFF2-40B4-BE49-F238E27FC236}">
              <a16:creationId xmlns:a16="http://schemas.microsoft.com/office/drawing/2014/main" id="{00000000-0008-0000-0E00-000067030000}"/>
            </a:ext>
          </a:extLst>
        </xdr:cNvPr>
        <xdr:cNvSpPr>
          <a:spLocks noChangeArrowheads="1"/>
        </xdr:cNvSpPr>
      </xdr:nvSpPr>
      <xdr:spPr>
        <a:xfrm>
          <a:off x="2166620" y="24669750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168" name="AutoShape 16">
          <a:extLst>
            <a:ext uri="{FF2B5EF4-FFF2-40B4-BE49-F238E27FC236}">
              <a16:creationId xmlns:a16="http://schemas.microsoft.com/office/drawing/2014/main" id="{00000000-0008-0000-0E00-00006803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169" name="AutoShape 21">
          <a:extLst>
            <a:ext uri="{FF2B5EF4-FFF2-40B4-BE49-F238E27FC236}">
              <a16:creationId xmlns:a16="http://schemas.microsoft.com/office/drawing/2014/main" id="{00000000-0008-0000-0E00-00006903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11430</xdr:colOff>
      <xdr:row>114</xdr:row>
      <xdr:rowOff>25399</xdr:rowOff>
    </xdr:from>
    <xdr:to>
      <xdr:col>16</xdr:col>
      <xdr:colOff>11430</xdr:colOff>
      <xdr:row>116</xdr:row>
      <xdr:rowOff>21166</xdr:rowOff>
    </xdr:to>
    <xdr:sp macro="" textlink="">
      <xdr:nvSpPr>
        <xdr:cNvPr id="170" name="AutoShape 22">
          <a:extLst>
            <a:ext uri="{FF2B5EF4-FFF2-40B4-BE49-F238E27FC236}">
              <a16:creationId xmlns:a16="http://schemas.microsoft.com/office/drawing/2014/main" id="{00000000-0008-0000-0E00-00006A030000}"/>
            </a:ext>
          </a:extLst>
        </xdr:cNvPr>
        <xdr:cNvSpPr>
          <a:spLocks noChangeArrowheads="1"/>
        </xdr:cNvSpPr>
      </xdr:nvSpPr>
      <xdr:spPr>
        <a:xfrm>
          <a:off x="10250805" y="24695149"/>
          <a:ext cx="685800" cy="40534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171" name="AutoShape 23">
          <a:extLst>
            <a:ext uri="{FF2B5EF4-FFF2-40B4-BE49-F238E27FC236}">
              <a16:creationId xmlns:a16="http://schemas.microsoft.com/office/drawing/2014/main" id="{00000000-0008-0000-0E00-00006B03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172" name="AutoShape 24">
          <a:extLst>
            <a:ext uri="{FF2B5EF4-FFF2-40B4-BE49-F238E27FC236}">
              <a16:creationId xmlns:a16="http://schemas.microsoft.com/office/drawing/2014/main" id="{00000000-0008-0000-0E00-00006C03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173" name="AutoShape 25">
          <a:extLst>
            <a:ext uri="{FF2B5EF4-FFF2-40B4-BE49-F238E27FC236}">
              <a16:creationId xmlns:a16="http://schemas.microsoft.com/office/drawing/2014/main" id="{00000000-0008-0000-0E00-00006D03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114</xdr:row>
      <xdr:rowOff>0</xdr:rowOff>
    </xdr:from>
    <xdr:to>
      <xdr:col>8</xdr:col>
      <xdr:colOff>24765</xdr:colOff>
      <xdr:row>116</xdr:row>
      <xdr:rowOff>0</xdr:rowOff>
    </xdr:to>
    <xdr:sp macro="" textlink="">
      <xdr:nvSpPr>
        <xdr:cNvPr id="174" name="AutoShape 27">
          <a:extLst>
            <a:ext uri="{FF2B5EF4-FFF2-40B4-BE49-F238E27FC236}">
              <a16:creationId xmlns:a16="http://schemas.microsoft.com/office/drawing/2014/main" id="{00000000-0008-0000-0E00-00006E030000}"/>
            </a:ext>
          </a:extLst>
        </xdr:cNvPr>
        <xdr:cNvSpPr>
          <a:spLocks noChangeArrowheads="1"/>
        </xdr:cNvSpPr>
      </xdr:nvSpPr>
      <xdr:spPr>
        <a:xfrm>
          <a:off x="4817745" y="24669750"/>
          <a:ext cx="721995" cy="40957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175" name="AutoShape 205">
          <a:extLst>
            <a:ext uri="{FF2B5EF4-FFF2-40B4-BE49-F238E27FC236}">
              <a16:creationId xmlns:a16="http://schemas.microsoft.com/office/drawing/2014/main" id="{00000000-0008-0000-0E00-00006F03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622788</xdr:colOff>
      <xdr:row>114</xdr:row>
      <xdr:rowOff>19050</xdr:rowOff>
    </xdr:from>
    <xdr:to>
      <xdr:col>10</xdr:col>
      <xdr:colOff>40822</xdr:colOff>
      <xdr:row>116</xdr:row>
      <xdr:rowOff>0</xdr:rowOff>
    </xdr:to>
    <xdr:sp macro="" textlink="">
      <xdr:nvSpPr>
        <xdr:cNvPr id="176" name="AutoShape 217">
          <a:extLst>
            <a:ext uri="{FF2B5EF4-FFF2-40B4-BE49-F238E27FC236}">
              <a16:creationId xmlns:a16="http://schemas.microsoft.com/office/drawing/2014/main" id="{00000000-0008-0000-0E00-000070030000}"/>
            </a:ext>
          </a:extLst>
        </xdr:cNvPr>
        <xdr:cNvSpPr>
          <a:spLocks noChangeArrowheads="1"/>
        </xdr:cNvSpPr>
      </xdr:nvSpPr>
      <xdr:spPr>
        <a:xfrm>
          <a:off x="6123476" y="25057894"/>
          <a:ext cx="846784" cy="39766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1007745</xdr:colOff>
      <xdr:row>114</xdr:row>
      <xdr:rowOff>51435</xdr:rowOff>
    </xdr:from>
    <xdr:to>
      <xdr:col>24</xdr:col>
      <xdr:colOff>10795</xdr:colOff>
      <xdr:row>115</xdr:row>
      <xdr:rowOff>184785</xdr:rowOff>
    </xdr:to>
    <xdr:sp macro="" textlink="">
      <xdr:nvSpPr>
        <xdr:cNvPr id="177" name="AutoShape 24">
          <a:extLst>
            <a:ext uri="{FF2B5EF4-FFF2-40B4-BE49-F238E27FC236}">
              <a16:creationId xmlns:a16="http://schemas.microsoft.com/office/drawing/2014/main" id="{00000000-0008-0000-0E00-000071030000}"/>
            </a:ext>
          </a:extLst>
        </xdr:cNvPr>
        <xdr:cNvSpPr>
          <a:spLocks noChangeArrowheads="1"/>
        </xdr:cNvSpPr>
      </xdr:nvSpPr>
      <xdr:spPr>
        <a:xfrm>
          <a:off x="15400020" y="24721185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178" name="AutoShape 22">
          <a:extLst>
            <a:ext uri="{FF2B5EF4-FFF2-40B4-BE49-F238E27FC236}">
              <a16:creationId xmlns:a16="http://schemas.microsoft.com/office/drawing/2014/main" id="{00000000-0008-0000-0E00-00007703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179" name="Line 251">
          <a:extLst>
            <a:ext uri="{FF2B5EF4-FFF2-40B4-BE49-F238E27FC236}">
              <a16:creationId xmlns:a16="http://schemas.microsoft.com/office/drawing/2014/main" id="{00000000-0008-0000-0E00-00003B02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180" name="Line 251">
          <a:extLst>
            <a:ext uri="{FF2B5EF4-FFF2-40B4-BE49-F238E27FC236}">
              <a16:creationId xmlns:a16="http://schemas.microsoft.com/office/drawing/2014/main" id="{00000000-0008-0000-0E00-00007102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181" name="Line 255">
          <a:extLst>
            <a:ext uri="{FF2B5EF4-FFF2-40B4-BE49-F238E27FC236}">
              <a16:creationId xmlns:a16="http://schemas.microsoft.com/office/drawing/2014/main" id="{00000000-0008-0000-0E00-00007202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E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183" name="AutoShape 4">
          <a:extLst>
            <a:ext uri="{FF2B5EF4-FFF2-40B4-BE49-F238E27FC236}">
              <a16:creationId xmlns:a16="http://schemas.microsoft.com/office/drawing/2014/main" id="{00000000-0008-0000-0E00-00008202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184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185" name="AutoShape 151">
          <a:extLst>
            <a:ext uri="{FF2B5EF4-FFF2-40B4-BE49-F238E27FC236}">
              <a16:creationId xmlns:a16="http://schemas.microsoft.com/office/drawing/2014/main" id="{00000000-0008-0000-0E00-00009302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186" name="Line 155">
          <a:extLst>
            <a:ext uri="{FF2B5EF4-FFF2-40B4-BE49-F238E27FC236}">
              <a16:creationId xmlns:a16="http://schemas.microsoft.com/office/drawing/2014/main" id="{00000000-0008-0000-0E00-00009502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187" name="Line 156">
          <a:extLst>
            <a:ext uri="{FF2B5EF4-FFF2-40B4-BE49-F238E27FC236}">
              <a16:creationId xmlns:a16="http://schemas.microsoft.com/office/drawing/2014/main" id="{00000000-0008-0000-0E00-00009602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188" name="Line 157">
          <a:extLst>
            <a:ext uri="{FF2B5EF4-FFF2-40B4-BE49-F238E27FC236}">
              <a16:creationId xmlns:a16="http://schemas.microsoft.com/office/drawing/2014/main" id="{00000000-0008-0000-0E00-00009702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189" name="Not Equal 188">
          <a:extLst>
            <a:ext uri="{FF2B5EF4-FFF2-40B4-BE49-F238E27FC236}">
              <a16:creationId xmlns:a16="http://schemas.microsoft.com/office/drawing/2014/main" id="{00000000-0008-0000-0E00-00009902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190" name="Line 157">
          <a:extLst>
            <a:ext uri="{FF2B5EF4-FFF2-40B4-BE49-F238E27FC236}">
              <a16:creationId xmlns:a16="http://schemas.microsoft.com/office/drawing/2014/main" id="{00000000-0008-0000-0E00-00009A02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191" name="Equals 161">
          <a:extLst>
            <a:ext uri="{FF2B5EF4-FFF2-40B4-BE49-F238E27FC236}">
              <a16:creationId xmlns:a16="http://schemas.microsoft.com/office/drawing/2014/main" id="{00000000-0008-0000-0E00-00009C02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192" name="Line 157">
          <a:extLst>
            <a:ext uri="{FF2B5EF4-FFF2-40B4-BE49-F238E27FC236}">
              <a16:creationId xmlns:a16="http://schemas.microsoft.com/office/drawing/2014/main" id="{00000000-0008-0000-0E00-00009D02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193" name="Line 157">
          <a:extLst>
            <a:ext uri="{FF2B5EF4-FFF2-40B4-BE49-F238E27FC236}">
              <a16:creationId xmlns:a16="http://schemas.microsoft.com/office/drawing/2014/main" id="{00000000-0008-0000-0E00-00009E02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194" name="Line 157">
          <a:extLst>
            <a:ext uri="{FF2B5EF4-FFF2-40B4-BE49-F238E27FC236}">
              <a16:creationId xmlns:a16="http://schemas.microsoft.com/office/drawing/2014/main" id="{00000000-0008-0000-0E00-00009F02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195" name="Freeform 152">
          <a:extLst>
            <a:ext uri="{FF2B5EF4-FFF2-40B4-BE49-F238E27FC236}">
              <a16:creationId xmlns:a16="http://schemas.microsoft.com/office/drawing/2014/main" id="{00000000-0008-0000-0E00-0000A002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196" name="Line 157">
          <a:extLst>
            <a:ext uri="{FF2B5EF4-FFF2-40B4-BE49-F238E27FC236}">
              <a16:creationId xmlns:a16="http://schemas.microsoft.com/office/drawing/2014/main" id="{00000000-0008-0000-0E00-0000A202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197" name="Freeform 152">
          <a:extLst>
            <a:ext uri="{FF2B5EF4-FFF2-40B4-BE49-F238E27FC236}">
              <a16:creationId xmlns:a16="http://schemas.microsoft.com/office/drawing/2014/main" id="{00000000-0008-0000-0E00-0000A302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198" name="Line 157">
          <a:extLst>
            <a:ext uri="{FF2B5EF4-FFF2-40B4-BE49-F238E27FC236}">
              <a16:creationId xmlns:a16="http://schemas.microsoft.com/office/drawing/2014/main" id="{00000000-0008-0000-0E00-0000A402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199" name="Line 157">
          <a:extLst>
            <a:ext uri="{FF2B5EF4-FFF2-40B4-BE49-F238E27FC236}">
              <a16:creationId xmlns:a16="http://schemas.microsoft.com/office/drawing/2014/main" id="{00000000-0008-0000-0E00-0000A602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200" name="Line 157">
          <a:extLst>
            <a:ext uri="{FF2B5EF4-FFF2-40B4-BE49-F238E27FC236}">
              <a16:creationId xmlns:a16="http://schemas.microsoft.com/office/drawing/2014/main" id="{00000000-0008-0000-0E00-0000D002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201" name="Up-Down Arrow 466">
          <a:extLst>
            <a:ext uri="{FF2B5EF4-FFF2-40B4-BE49-F238E27FC236}">
              <a16:creationId xmlns:a16="http://schemas.microsoft.com/office/drawing/2014/main" id="{00000000-0008-0000-0E00-0000D102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202" name="Line 157">
          <a:extLst>
            <a:ext uri="{FF2B5EF4-FFF2-40B4-BE49-F238E27FC236}">
              <a16:creationId xmlns:a16="http://schemas.microsoft.com/office/drawing/2014/main" id="{00000000-0008-0000-0E00-0000D202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203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204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205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206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207" name="AutoShape 25">
          <a:extLst>
            <a:ext uri="{FF2B5EF4-FFF2-40B4-BE49-F238E27FC236}">
              <a16:creationId xmlns:a16="http://schemas.microsoft.com/office/drawing/2014/main" id="{00000000-0008-0000-0E00-00002103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208" name="AutoShape 9">
          <a:extLst>
            <a:ext uri="{FF2B5EF4-FFF2-40B4-BE49-F238E27FC236}">
              <a16:creationId xmlns:a16="http://schemas.microsoft.com/office/drawing/2014/main" id="{00000000-0008-0000-0E00-00002303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209" name="AutoShape 14">
          <a:extLst>
            <a:ext uri="{FF2B5EF4-FFF2-40B4-BE49-F238E27FC236}">
              <a16:creationId xmlns:a16="http://schemas.microsoft.com/office/drawing/2014/main" id="{00000000-0008-0000-0E00-00004003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210" name="AutoShape 27">
          <a:extLst>
            <a:ext uri="{FF2B5EF4-FFF2-40B4-BE49-F238E27FC236}">
              <a16:creationId xmlns:a16="http://schemas.microsoft.com/office/drawing/2014/main" id="{00000000-0008-0000-0E00-00004203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211" name="AutoShape 217">
          <a:extLst>
            <a:ext uri="{FF2B5EF4-FFF2-40B4-BE49-F238E27FC236}">
              <a16:creationId xmlns:a16="http://schemas.microsoft.com/office/drawing/2014/main" id="{00000000-0008-0000-0E00-00004403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687705</xdr:colOff>
      <xdr:row>43</xdr:row>
      <xdr:rowOff>51435</xdr:rowOff>
    </xdr:from>
    <xdr:to>
      <xdr:col>8</xdr:col>
      <xdr:colOff>10795</xdr:colOff>
      <xdr:row>44</xdr:row>
      <xdr:rowOff>184785</xdr:rowOff>
    </xdr:to>
    <xdr:sp macro="" textlink="">
      <xdr:nvSpPr>
        <xdr:cNvPr id="212" name="AutoShape 24">
          <a:extLst>
            <a:ext uri="{FF2B5EF4-FFF2-40B4-BE49-F238E27FC236}">
              <a16:creationId xmlns:a16="http://schemas.microsoft.com/office/drawing/2014/main" id="{00000000-0008-0000-0E00-00004B030000}"/>
            </a:ext>
          </a:extLst>
        </xdr:cNvPr>
        <xdr:cNvSpPr>
          <a:spLocks noChangeArrowheads="1"/>
        </xdr:cNvSpPr>
      </xdr:nvSpPr>
      <xdr:spPr>
        <a:xfrm>
          <a:off x="4821555" y="10233660"/>
          <a:ext cx="704215" cy="333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0</xdr:colOff>
      <xdr:row>43</xdr:row>
      <xdr:rowOff>21771</xdr:rowOff>
    </xdr:from>
    <xdr:to>
      <xdr:col>20</xdr:col>
      <xdr:colOff>7256</xdr:colOff>
      <xdr:row>44</xdr:row>
      <xdr:rowOff>195943</xdr:rowOff>
    </xdr:to>
    <xdr:sp macro="" textlink="">
      <xdr:nvSpPr>
        <xdr:cNvPr id="213" name="AutoShape 11">
          <a:extLst>
            <a:ext uri="{FF2B5EF4-FFF2-40B4-BE49-F238E27FC236}">
              <a16:creationId xmlns:a16="http://schemas.microsoft.com/office/drawing/2014/main" id="{00000000-0008-0000-0E00-000051030000}"/>
            </a:ext>
          </a:extLst>
        </xdr:cNvPr>
        <xdr:cNvSpPr>
          <a:spLocks noChangeArrowheads="1"/>
        </xdr:cNvSpPr>
      </xdr:nvSpPr>
      <xdr:spPr>
        <a:xfrm>
          <a:off x="12811125" y="10203996"/>
          <a:ext cx="664481" cy="374197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545</xdr:colOff>
      <xdr:row>43</xdr:row>
      <xdr:rowOff>2358</xdr:rowOff>
    </xdr:from>
    <xdr:to>
      <xdr:col>22</xdr:col>
      <xdr:colOff>0</xdr:colOff>
      <xdr:row>44</xdr:row>
      <xdr:rowOff>195942</xdr:rowOff>
    </xdr:to>
    <xdr:sp macro="" textlink="">
      <xdr:nvSpPr>
        <xdr:cNvPr id="214" name="AutoShape 12">
          <a:extLst>
            <a:ext uri="{FF2B5EF4-FFF2-40B4-BE49-F238E27FC236}">
              <a16:creationId xmlns:a16="http://schemas.microsoft.com/office/drawing/2014/main" id="{00000000-0008-0000-0E00-000052030000}"/>
            </a:ext>
          </a:extLst>
        </xdr:cNvPr>
        <xdr:cNvSpPr>
          <a:spLocks noChangeArrowheads="1"/>
        </xdr:cNvSpPr>
      </xdr:nvSpPr>
      <xdr:spPr>
        <a:xfrm>
          <a:off x="14068970" y="10184583"/>
          <a:ext cx="656680" cy="39360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215" name="AutoShape 13">
          <a:extLst>
            <a:ext uri="{FF2B5EF4-FFF2-40B4-BE49-F238E27FC236}">
              <a16:creationId xmlns:a16="http://schemas.microsoft.com/office/drawing/2014/main" id="{00000000-0008-0000-0E00-00005303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43</xdr:row>
      <xdr:rowOff>1361</xdr:rowOff>
    </xdr:from>
    <xdr:to>
      <xdr:col>22</xdr:col>
      <xdr:colOff>25400</xdr:colOff>
      <xdr:row>44</xdr:row>
      <xdr:rowOff>191861</xdr:rowOff>
    </xdr:to>
    <xdr:sp macro="" textlink="">
      <xdr:nvSpPr>
        <xdr:cNvPr id="216" name="AutoShape 15">
          <a:extLst>
            <a:ext uri="{FF2B5EF4-FFF2-40B4-BE49-F238E27FC236}">
              <a16:creationId xmlns:a16="http://schemas.microsoft.com/office/drawing/2014/main" id="{00000000-0008-0000-0E00-000054030000}"/>
            </a:ext>
          </a:extLst>
        </xdr:cNvPr>
        <xdr:cNvSpPr>
          <a:spLocks noChangeArrowheads="1"/>
        </xdr:cNvSpPr>
      </xdr:nvSpPr>
      <xdr:spPr>
        <a:xfrm>
          <a:off x="14068425" y="10183586"/>
          <a:ext cx="6826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217" name="AutoShape 14">
          <a:extLst>
            <a:ext uri="{FF2B5EF4-FFF2-40B4-BE49-F238E27FC236}">
              <a16:creationId xmlns:a16="http://schemas.microsoft.com/office/drawing/2014/main" id="{00000000-0008-0000-0E00-00005703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218" name="AutoShape 15">
          <a:extLst>
            <a:ext uri="{FF2B5EF4-FFF2-40B4-BE49-F238E27FC236}">
              <a16:creationId xmlns:a16="http://schemas.microsoft.com/office/drawing/2014/main" id="{00000000-0008-0000-0E00-00006503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219" name="AutoShape 22">
          <a:extLst>
            <a:ext uri="{FF2B5EF4-FFF2-40B4-BE49-F238E27FC236}">
              <a16:creationId xmlns:a16="http://schemas.microsoft.com/office/drawing/2014/main" id="{00000000-0008-0000-0E00-00001504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0</xdr:colOff>
      <xdr:row>50</xdr:row>
      <xdr:rowOff>19050</xdr:rowOff>
    </xdr:from>
    <xdr:to>
      <xdr:col>18</xdr:col>
      <xdr:colOff>12700</xdr:colOff>
      <xdr:row>52</xdr:row>
      <xdr:rowOff>0</xdr:rowOff>
    </xdr:to>
    <xdr:sp macro="" textlink="">
      <xdr:nvSpPr>
        <xdr:cNvPr id="220" name="AutoShape 23">
          <a:extLst>
            <a:ext uri="{FF2B5EF4-FFF2-40B4-BE49-F238E27FC236}">
              <a16:creationId xmlns:a16="http://schemas.microsoft.com/office/drawing/2014/main" id="{00000000-0008-0000-0E00-000016040000}"/>
            </a:ext>
          </a:extLst>
        </xdr:cNvPr>
        <xdr:cNvSpPr>
          <a:spLocks noChangeArrowheads="1"/>
        </xdr:cNvSpPr>
      </xdr:nvSpPr>
      <xdr:spPr>
        <a:xfrm>
          <a:off x="11525250" y="116300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221" name="AutoShape 28">
          <a:extLst>
            <a:ext uri="{FF2B5EF4-FFF2-40B4-BE49-F238E27FC236}">
              <a16:creationId xmlns:a16="http://schemas.microsoft.com/office/drawing/2014/main" id="{00000000-0008-0000-0E00-00004904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222" name="AutoShape 24">
          <a:extLst>
            <a:ext uri="{FF2B5EF4-FFF2-40B4-BE49-F238E27FC236}">
              <a16:creationId xmlns:a16="http://schemas.microsoft.com/office/drawing/2014/main" id="{00000000-0008-0000-0E00-00004B04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223" name="AutoShape 14">
          <a:extLst>
            <a:ext uri="{FF2B5EF4-FFF2-40B4-BE49-F238E27FC236}">
              <a16:creationId xmlns:a16="http://schemas.microsoft.com/office/drawing/2014/main" id="{00000000-0008-0000-0E00-00005004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224" name="AutoShape 15">
          <a:extLst>
            <a:ext uri="{FF2B5EF4-FFF2-40B4-BE49-F238E27FC236}">
              <a16:creationId xmlns:a16="http://schemas.microsoft.com/office/drawing/2014/main" id="{00000000-0008-0000-0E00-00005104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225" name="AutoShape 9">
          <a:extLst>
            <a:ext uri="{FF2B5EF4-FFF2-40B4-BE49-F238E27FC236}">
              <a16:creationId xmlns:a16="http://schemas.microsoft.com/office/drawing/2014/main" id="{00000000-0008-0000-0E00-00005304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226" name="AutoShape 15">
          <a:extLst>
            <a:ext uri="{FF2B5EF4-FFF2-40B4-BE49-F238E27FC236}">
              <a16:creationId xmlns:a16="http://schemas.microsoft.com/office/drawing/2014/main" id="{00000000-0008-0000-0E00-00005804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227" name="AutoShape 205">
          <a:extLst>
            <a:ext uri="{FF2B5EF4-FFF2-40B4-BE49-F238E27FC236}">
              <a16:creationId xmlns:a16="http://schemas.microsoft.com/office/drawing/2014/main" id="{00000000-0008-0000-0E00-00005C04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228" name="AutoShape 21">
          <a:extLst>
            <a:ext uri="{FF2B5EF4-FFF2-40B4-BE49-F238E27FC236}">
              <a16:creationId xmlns:a16="http://schemas.microsoft.com/office/drawing/2014/main" id="{00000000-0008-0000-0E00-00006304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229" name="AutoShape 22">
          <a:extLst>
            <a:ext uri="{FF2B5EF4-FFF2-40B4-BE49-F238E27FC236}">
              <a16:creationId xmlns:a16="http://schemas.microsoft.com/office/drawing/2014/main" id="{00000000-0008-0000-0E00-00006604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1</xdr:colOff>
      <xdr:row>64</xdr:row>
      <xdr:rowOff>19050</xdr:rowOff>
    </xdr:from>
    <xdr:to>
      <xdr:col>7</xdr:col>
      <xdr:colOff>678657</xdr:colOff>
      <xdr:row>65</xdr:row>
      <xdr:rowOff>202407</xdr:rowOff>
    </xdr:to>
    <xdr:sp macro="" textlink="">
      <xdr:nvSpPr>
        <xdr:cNvPr id="230" name="AutoShape 24">
          <a:extLst>
            <a:ext uri="{FF2B5EF4-FFF2-40B4-BE49-F238E27FC236}">
              <a16:creationId xmlns:a16="http://schemas.microsoft.com/office/drawing/2014/main" id="{00000000-0008-0000-0E00-000067040000}"/>
            </a:ext>
          </a:extLst>
        </xdr:cNvPr>
        <xdr:cNvSpPr>
          <a:spLocks noChangeArrowheads="1"/>
        </xdr:cNvSpPr>
      </xdr:nvSpPr>
      <xdr:spPr>
        <a:xfrm>
          <a:off x="4810126" y="14687550"/>
          <a:ext cx="678656" cy="38576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231" name="AutoShape 25">
          <a:extLst>
            <a:ext uri="{FF2B5EF4-FFF2-40B4-BE49-F238E27FC236}">
              <a16:creationId xmlns:a16="http://schemas.microsoft.com/office/drawing/2014/main" id="{00000000-0008-0000-0E00-00006B04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232" name="AutoShape 24">
          <a:extLst>
            <a:ext uri="{FF2B5EF4-FFF2-40B4-BE49-F238E27FC236}">
              <a16:creationId xmlns:a16="http://schemas.microsoft.com/office/drawing/2014/main" id="{00000000-0008-0000-0E00-00007F04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1071880</xdr:colOff>
      <xdr:row>71</xdr:row>
      <xdr:rowOff>19050</xdr:rowOff>
    </xdr:from>
    <xdr:to>
      <xdr:col>10</xdr:col>
      <xdr:colOff>38100</xdr:colOff>
      <xdr:row>72</xdr:row>
      <xdr:rowOff>199390</xdr:rowOff>
    </xdr:to>
    <xdr:sp macro="" textlink="">
      <xdr:nvSpPr>
        <xdr:cNvPr id="233" name="AutoShape 28">
          <a:extLst>
            <a:ext uri="{FF2B5EF4-FFF2-40B4-BE49-F238E27FC236}">
              <a16:creationId xmlns:a16="http://schemas.microsoft.com/office/drawing/2014/main" id="{00000000-0008-0000-0E00-000082040000}"/>
            </a:ext>
          </a:extLst>
        </xdr:cNvPr>
        <xdr:cNvSpPr>
          <a:spLocks noChangeArrowheads="1"/>
        </xdr:cNvSpPr>
      </xdr:nvSpPr>
      <xdr:spPr>
        <a:xfrm>
          <a:off x="6167755" y="15916275"/>
          <a:ext cx="8140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234" name="AutoShape 24">
          <a:extLst>
            <a:ext uri="{FF2B5EF4-FFF2-40B4-BE49-F238E27FC236}">
              <a16:creationId xmlns:a16="http://schemas.microsoft.com/office/drawing/2014/main" id="{00000000-0008-0000-0E00-00008404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235" name="AutoShape 12">
          <a:extLst>
            <a:ext uri="{FF2B5EF4-FFF2-40B4-BE49-F238E27FC236}">
              <a16:creationId xmlns:a16="http://schemas.microsoft.com/office/drawing/2014/main" id="{00000000-0008-0000-0E00-00009104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236" name="AutoShape 14">
          <a:extLst>
            <a:ext uri="{FF2B5EF4-FFF2-40B4-BE49-F238E27FC236}">
              <a16:creationId xmlns:a16="http://schemas.microsoft.com/office/drawing/2014/main" id="{00000000-0008-0000-0E00-00009304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237" name="AutoShape 27">
          <a:extLst>
            <a:ext uri="{FF2B5EF4-FFF2-40B4-BE49-F238E27FC236}">
              <a16:creationId xmlns:a16="http://schemas.microsoft.com/office/drawing/2014/main" id="{00000000-0008-0000-0E00-00009604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238" name="AutoShape 28">
          <a:extLst>
            <a:ext uri="{FF2B5EF4-FFF2-40B4-BE49-F238E27FC236}">
              <a16:creationId xmlns:a16="http://schemas.microsoft.com/office/drawing/2014/main" id="{00000000-0008-0000-0E00-00009704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239" name="AutoShape 29">
          <a:extLst>
            <a:ext uri="{FF2B5EF4-FFF2-40B4-BE49-F238E27FC236}">
              <a16:creationId xmlns:a16="http://schemas.microsoft.com/office/drawing/2014/main" id="{00000000-0008-0000-0E00-00009804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240" name="AutoShape 21">
          <a:extLst>
            <a:ext uri="{FF2B5EF4-FFF2-40B4-BE49-F238E27FC236}">
              <a16:creationId xmlns:a16="http://schemas.microsoft.com/office/drawing/2014/main" id="{00000000-0008-0000-0E00-00009C04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243" name="AutoShape 13">
          <a:extLst>
            <a:ext uri="{FF2B5EF4-FFF2-40B4-BE49-F238E27FC236}">
              <a16:creationId xmlns:a16="http://schemas.microsoft.com/office/drawing/2014/main" id="{00000000-0008-0000-0E00-0000A704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244" name="AutoShape 14">
          <a:extLst>
            <a:ext uri="{FF2B5EF4-FFF2-40B4-BE49-F238E27FC236}">
              <a16:creationId xmlns:a16="http://schemas.microsoft.com/office/drawing/2014/main" id="{00000000-0008-0000-0E00-0000AA04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245" name="AutoShape 15">
          <a:extLst>
            <a:ext uri="{FF2B5EF4-FFF2-40B4-BE49-F238E27FC236}">
              <a16:creationId xmlns:a16="http://schemas.microsoft.com/office/drawing/2014/main" id="{00000000-0008-0000-0E00-0000AE04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246" name="AutoShape 21">
          <a:extLst>
            <a:ext uri="{FF2B5EF4-FFF2-40B4-BE49-F238E27FC236}">
              <a16:creationId xmlns:a16="http://schemas.microsoft.com/office/drawing/2014/main" id="{00000000-0008-0000-0E00-0000B004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247" name="AutoShape 22">
          <a:extLst>
            <a:ext uri="{FF2B5EF4-FFF2-40B4-BE49-F238E27FC236}">
              <a16:creationId xmlns:a16="http://schemas.microsoft.com/office/drawing/2014/main" id="{00000000-0008-0000-0E00-0000B104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248" name="AutoShape 24">
          <a:extLst>
            <a:ext uri="{FF2B5EF4-FFF2-40B4-BE49-F238E27FC236}">
              <a16:creationId xmlns:a16="http://schemas.microsoft.com/office/drawing/2014/main" id="{00000000-0008-0000-0E00-0000B304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92</xdr:row>
      <xdr:rowOff>18415</xdr:rowOff>
    </xdr:from>
    <xdr:to>
      <xdr:col>22</xdr:col>
      <xdr:colOff>39370</xdr:colOff>
      <xdr:row>93</xdr:row>
      <xdr:rowOff>199390</xdr:rowOff>
    </xdr:to>
    <xdr:sp macro="" textlink="">
      <xdr:nvSpPr>
        <xdr:cNvPr id="249" name="AutoShape 25">
          <a:extLst>
            <a:ext uri="{FF2B5EF4-FFF2-40B4-BE49-F238E27FC236}">
              <a16:creationId xmlns:a16="http://schemas.microsoft.com/office/drawing/2014/main" id="{00000000-0008-0000-0E00-0000B4040000}"/>
            </a:ext>
          </a:extLst>
        </xdr:cNvPr>
        <xdr:cNvSpPr>
          <a:spLocks noChangeArrowheads="1"/>
        </xdr:cNvSpPr>
      </xdr:nvSpPr>
      <xdr:spPr>
        <a:xfrm>
          <a:off x="14072235" y="20192365"/>
          <a:ext cx="69278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250" name="AutoShape 27">
          <a:extLst>
            <a:ext uri="{FF2B5EF4-FFF2-40B4-BE49-F238E27FC236}">
              <a16:creationId xmlns:a16="http://schemas.microsoft.com/office/drawing/2014/main" id="{00000000-0008-0000-0E00-0000B504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251" name="AutoShape 28">
          <a:extLst>
            <a:ext uri="{FF2B5EF4-FFF2-40B4-BE49-F238E27FC236}">
              <a16:creationId xmlns:a16="http://schemas.microsoft.com/office/drawing/2014/main" id="{00000000-0008-0000-0E00-0000B604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252" name="AutoShape 24">
          <a:extLst>
            <a:ext uri="{FF2B5EF4-FFF2-40B4-BE49-F238E27FC236}">
              <a16:creationId xmlns:a16="http://schemas.microsoft.com/office/drawing/2014/main" id="{00000000-0008-0000-0E00-0000B804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253" name="AutoShape 25">
          <a:extLst>
            <a:ext uri="{FF2B5EF4-FFF2-40B4-BE49-F238E27FC236}">
              <a16:creationId xmlns:a16="http://schemas.microsoft.com/office/drawing/2014/main" id="{00000000-0008-0000-0E00-0000C804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254" name="AutoShape 11">
          <a:extLst>
            <a:ext uri="{FF2B5EF4-FFF2-40B4-BE49-F238E27FC236}">
              <a16:creationId xmlns:a16="http://schemas.microsoft.com/office/drawing/2014/main" id="{00000000-0008-0000-0E00-0000CB04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255" name="AutoShape 13">
          <a:extLst>
            <a:ext uri="{FF2B5EF4-FFF2-40B4-BE49-F238E27FC236}">
              <a16:creationId xmlns:a16="http://schemas.microsoft.com/office/drawing/2014/main" id="{00000000-0008-0000-0E00-0000CD04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256" name="AutoShape 14">
          <a:extLst>
            <a:ext uri="{FF2B5EF4-FFF2-40B4-BE49-F238E27FC236}">
              <a16:creationId xmlns:a16="http://schemas.microsoft.com/office/drawing/2014/main" id="{00000000-0008-0000-0E00-0000CE04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100</xdr:row>
      <xdr:rowOff>19050</xdr:rowOff>
    </xdr:from>
    <xdr:to>
      <xdr:col>22</xdr:col>
      <xdr:colOff>0</xdr:colOff>
      <xdr:row>102</xdr:row>
      <xdr:rowOff>0</xdr:rowOff>
    </xdr:to>
    <xdr:sp macro="" textlink="">
      <xdr:nvSpPr>
        <xdr:cNvPr id="257" name="AutoShape 28">
          <a:extLst>
            <a:ext uri="{FF2B5EF4-FFF2-40B4-BE49-F238E27FC236}">
              <a16:creationId xmlns:a16="http://schemas.microsoft.com/office/drawing/2014/main" id="{00000000-0008-0000-0E00-0000D2040000}"/>
            </a:ext>
          </a:extLst>
        </xdr:cNvPr>
        <xdr:cNvSpPr>
          <a:spLocks noChangeArrowheads="1"/>
        </xdr:cNvSpPr>
      </xdr:nvSpPr>
      <xdr:spPr>
        <a:xfrm>
          <a:off x="14082032" y="21821775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258" name="AutoShape 25">
          <a:extLst>
            <a:ext uri="{FF2B5EF4-FFF2-40B4-BE49-F238E27FC236}">
              <a16:creationId xmlns:a16="http://schemas.microsoft.com/office/drawing/2014/main" id="{00000000-0008-0000-0E00-0000DF04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259" name="AutoShape 9">
          <a:extLst>
            <a:ext uri="{FF2B5EF4-FFF2-40B4-BE49-F238E27FC236}">
              <a16:creationId xmlns:a16="http://schemas.microsoft.com/office/drawing/2014/main" id="{00000000-0008-0000-0E00-0000E504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106</xdr:row>
      <xdr:rowOff>185304</xdr:rowOff>
    </xdr:from>
    <xdr:to>
      <xdr:col>18</xdr:col>
      <xdr:colOff>10584</xdr:colOff>
      <xdr:row>108</xdr:row>
      <xdr:rowOff>201083</xdr:rowOff>
    </xdr:to>
    <xdr:sp macro="" textlink="">
      <xdr:nvSpPr>
        <xdr:cNvPr id="260" name="AutoShape 10">
          <a:extLst>
            <a:ext uri="{FF2B5EF4-FFF2-40B4-BE49-F238E27FC236}">
              <a16:creationId xmlns:a16="http://schemas.microsoft.com/office/drawing/2014/main" id="{00000000-0008-0000-0E00-0000E6040000}"/>
            </a:ext>
          </a:extLst>
        </xdr:cNvPr>
        <xdr:cNvSpPr>
          <a:spLocks noChangeArrowheads="1"/>
        </xdr:cNvSpPr>
      </xdr:nvSpPr>
      <xdr:spPr>
        <a:xfrm>
          <a:off x="11525250" y="23216754"/>
          <a:ext cx="696384" cy="41582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261" name="AutoShape 11">
          <a:extLst>
            <a:ext uri="{FF2B5EF4-FFF2-40B4-BE49-F238E27FC236}">
              <a16:creationId xmlns:a16="http://schemas.microsoft.com/office/drawing/2014/main" id="{00000000-0008-0000-0E00-0000E704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262" name="AutoShape 12">
          <a:extLst>
            <a:ext uri="{FF2B5EF4-FFF2-40B4-BE49-F238E27FC236}">
              <a16:creationId xmlns:a16="http://schemas.microsoft.com/office/drawing/2014/main" id="{00000000-0008-0000-0E00-0000E804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263" name="AutoShape 13">
          <a:extLst>
            <a:ext uri="{FF2B5EF4-FFF2-40B4-BE49-F238E27FC236}">
              <a16:creationId xmlns:a16="http://schemas.microsoft.com/office/drawing/2014/main" id="{00000000-0008-0000-0E00-0000E904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264" name="AutoShape 13">
          <a:extLst>
            <a:ext uri="{FF2B5EF4-FFF2-40B4-BE49-F238E27FC236}">
              <a16:creationId xmlns:a16="http://schemas.microsoft.com/office/drawing/2014/main" id="{00000000-0008-0000-0E00-0000EA04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265" name="AutoShape 16">
          <a:extLst>
            <a:ext uri="{FF2B5EF4-FFF2-40B4-BE49-F238E27FC236}">
              <a16:creationId xmlns:a16="http://schemas.microsoft.com/office/drawing/2014/main" id="{00000000-0008-0000-0E00-0000EC04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266" name="AutoShape 21">
          <a:extLst>
            <a:ext uri="{FF2B5EF4-FFF2-40B4-BE49-F238E27FC236}">
              <a16:creationId xmlns:a16="http://schemas.microsoft.com/office/drawing/2014/main" id="{00000000-0008-0000-0E00-0000ED04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267" name="AutoShape 23">
          <a:extLst>
            <a:ext uri="{FF2B5EF4-FFF2-40B4-BE49-F238E27FC236}">
              <a16:creationId xmlns:a16="http://schemas.microsoft.com/office/drawing/2014/main" id="{00000000-0008-0000-0E00-0000EF04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268" name="AutoShape 24">
          <a:extLst>
            <a:ext uri="{FF2B5EF4-FFF2-40B4-BE49-F238E27FC236}">
              <a16:creationId xmlns:a16="http://schemas.microsoft.com/office/drawing/2014/main" id="{00000000-0008-0000-0E00-0000F004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269" name="AutoShape 25">
          <a:extLst>
            <a:ext uri="{FF2B5EF4-FFF2-40B4-BE49-F238E27FC236}">
              <a16:creationId xmlns:a16="http://schemas.microsoft.com/office/drawing/2014/main" id="{00000000-0008-0000-0E00-0000F104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270" name="AutoShape 205">
          <a:extLst>
            <a:ext uri="{FF2B5EF4-FFF2-40B4-BE49-F238E27FC236}">
              <a16:creationId xmlns:a16="http://schemas.microsoft.com/office/drawing/2014/main" id="{00000000-0008-0000-0E00-0000F304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271" name="AutoShape 22">
          <a:extLst>
            <a:ext uri="{FF2B5EF4-FFF2-40B4-BE49-F238E27FC236}">
              <a16:creationId xmlns:a16="http://schemas.microsoft.com/office/drawing/2014/main" id="{00000000-0008-0000-0E00-0000FB04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272" name="Line 251">
          <a:extLst>
            <a:ext uri="{FF2B5EF4-FFF2-40B4-BE49-F238E27FC236}">
              <a16:creationId xmlns:a16="http://schemas.microsoft.com/office/drawing/2014/main" id="{00000000-0008-0000-0E00-0000D805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273" name="Line 251">
          <a:extLst>
            <a:ext uri="{FF2B5EF4-FFF2-40B4-BE49-F238E27FC236}">
              <a16:creationId xmlns:a16="http://schemas.microsoft.com/office/drawing/2014/main" id="{00000000-0008-0000-0E00-0000DA05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274" name="Line 255">
          <a:extLst>
            <a:ext uri="{FF2B5EF4-FFF2-40B4-BE49-F238E27FC236}">
              <a16:creationId xmlns:a16="http://schemas.microsoft.com/office/drawing/2014/main" id="{00000000-0008-0000-0E00-0000DB05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E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276" name="AutoShape 4">
          <a:extLst>
            <a:ext uri="{FF2B5EF4-FFF2-40B4-BE49-F238E27FC236}">
              <a16:creationId xmlns:a16="http://schemas.microsoft.com/office/drawing/2014/main" id="{00000000-0008-0000-0E00-0000EB05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277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278" name="AutoShape 151">
          <a:extLst>
            <a:ext uri="{FF2B5EF4-FFF2-40B4-BE49-F238E27FC236}">
              <a16:creationId xmlns:a16="http://schemas.microsoft.com/office/drawing/2014/main" id="{00000000-0008-0000-0E00-0000FC05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279" name="Line 155">
          <a:extLst>
            <a:ext uri="{FF2B5EF4-FFF2-40B4-BE49-F238E27FC236}">
              <a16:creationId xmlns:a16="http://schemas.microsoft.com/office/drawing/2014/main" id="{00000000-0008-0000-0E00-0000FE05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280" name="Line 156">
          <a:extLst>
            <a:ext uri="{FF2B5EF4-FFF2-40B4-BE49-F238E27FC236}">
              <a16:creationId xmlns:a16="http://schemas.microsoft.com/office/drawing/2014/main" id="{00000000-0008-0000-0E00-0000FF05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281" name="Line 157">
          <a:extLst>
            <a:ext uri="{FF2B5EF4-FFF2-40B4-BE49-F238E27FC236}">
              <a16:creationId xmlns:a16="http://schemas.microsoft.com/office/drawing/2014/main" id="{00000000-0008-0000-0E00-00000006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282" name="Not Equal 281">
          <a:extLst>
            <a:ext uri="{FF2B5EF4-FFF2-40B4-BE49-F238E27FC236}">
              <a16:creationId xmlns:a16="http://schemas.microsoft.com/office/drawing/2014/main" id="{00000000-0008-0000-0E00-00000206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283" name="Line 157">
          <a:extLst>
            <a:ext uri="{FF2B5EF4-FFF2-40B4-BE49-F238E27FC236}">
              <a16:creationId xmlns:a16="http://schemas.microsoft.com/office/drawing/2014/main" id="{00000000-0008-0000-0E00-00000306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284" name="Equals 161">
          <a:extLst>
            <a:ext uri="{FF2B5EF4-FFF2-40B4-BE49-F238E27FC236}">
              <a16:creationId xmlns:a16="http://schemas.microsoft.com/office/drawing/2014/main" id="{00000000-0008-0000-0E00-00000506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285" name="Line 157">
          <a:extLst>
            <a:ext uri="{FF2B5EF4-FFF2-40B4-BE49-F238E27FC236}">
              <a16:creationId xmlns:a16="http://schemas.microsoft.com/office/drawing/2014/main" id="{00000000-0008-0000-0E00-00000606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286" name="Line 157">
          <a:extLst>
            <a:ext uri="{FF2B5EF4-FFF2-40B4-BE49-F238E27FC236}">
              <a16:creationId xmlns:a16="http://schemas.microsoft.com/office/drawing/2014/main" id="{00000000-0008-0000-0E00-00000706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287" name="Line 157">
          <a:extLst>
            <a:ext uri="{FF2B5EF4-FFF2-40B4-BE49-F238E27FC236}">
              <a16:creationId xmlns:a16="http://schemas.microsoft.com/office/drawing/2014/main" id="{00000000-0008-0000-0E00-00000806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288" name="Freeform 152">
          <a:extLst>
            <a:ext uri="{FF2B5EF4-FFF2-40B4-BE49-F238E27FC236}">
              <a16:creationId xmlns:a16="http://schemas.microsoft.com/office/drawing/2014/main" id="{00000000-0008-0000-0E00-00000906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289" name="Line 157">
          <a:extLst>
            <a:ext uri="{FF2B5EF4-FFF2-40B4-BE49-F238E27FC236}">
              <a16:creationId xmlns:a16="http://schemas.microsoft.com/office/drawing/2014/main" id="{00000000-0008-0000-0E00-00000B06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290" name="Freeform 152">
          <a:extLst>
            <a:ext uri="{FF2B5EF4-FFF2-40B4-BE49-F238E27FC236}">
              <a16:creationId xmlns:a16="http://schemas.microsoft.com/office/drawing/2014/main" id="{00000000-0008-0000-0E00-00000C06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291" name="Line 157">
          <a:extLst>
            <a:ext uri="{FF2B5EF4-FFF2-40B4-BE49-F238E27FC236}">
              <a16:creationId xmlns:a16="http://schemas.microsoft.com/office/drawing/2014/main" id="{00000000-0008-0000-0E00-00000D06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292" name="Line 157">
          <a:extLst>
            <a:ext uri="{FF2B5EF4-FFF2-40B4-BE49-F238E27FC236}">
              <a16:creationId xmlns:a16="http://schemas.microsoft.com/office/drawing/2014/main" id="{00000000-0008-0000-0E00-00000F06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293" name="Line 157">
          <a:extLst>
            <a:ext uri="{FF2B5EF4-FFF2-40B4-BE49-F238E27FC236}">
              <a16:creationId xmlns:a16="http://schemas.microsoft.com/office/drawing/2014/main" id="{00000000-0008-0000-0E00-00001006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294" name="Up-Down Arrow 466">
          <a:extLst>
            <a:ext uri="{FF2B5EF4-FFF2-40B4-BE49-F238E27FC236}">
              <a16:creationId xmlns:a16="http://schemas.microsoft.com/office/drawing/2014/main" id="{00000000-0008-0000-0E00-00001106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295" name="Line 157">
          <a:extLst>
            <a:ext uri="{FF2B5EF4-FFF2-40B4-BE49-F238E27FC236}">
              <a16:creationId xmlns:a16="http://schemas.microsoft.com/office/drawing/2014/main" id="{00000000-0008-0000-0E00-00001206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296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297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298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299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300" name="AutoShape 25">
          <a:extLst>
            <a:ext uri="{FF2B5EF4-FFF2-40B4-BE49-F238E27FC236}">
              <a16:creationId xmlns:a16="http://schemas.microsoft.com/office/drawing/2014/main" id="{00000000-0008-0000-0E00-00002C06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301" name="AutoShape 9">
          <a:extLst>
            <a:ext uri="{FF2B5EF4-FFF2-40B4-BE49-F238E27FC236}">
              <a16:creationId xmlns:a16="http://schemas.microsoft.com/office/drawing/2014/main" id="{00000000-0008-0000-0E00-00002D06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302" name="AutoShape 14">
          <a:extLst>
            <a:ext uri="{FF2B5EF4-FFF2-40B4-BE49-F238E27FC236}">
              <a16:creationId xmlns:a16="http://schemas.microsoft.com/office/drawing/2014/main" id="{00000000-0008-0000-0E00-00003206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303" name="AutoShape 27">
          <a:extLst>
            <a:ext uri="{FF2B5EF4-FFF2-40B4-BE49-F238E27FC236}">
              <a16:creationId xmlns:a16="http://schemas.microsoft.com/office/drawing/2014/main" id="{00000000-0008-0000-0E00-00003406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304" name="AutoShape 217">
          <a:extLst>
            <a:ext uri="{FF2B5EF4-FFF2-40B4-BE49-F238E27FC236}">
              <a16:creationId xmlns:a16="http://schemas.microsoft.com/office/drawing/2014/main" id="{00000000-0008-0000-0E00-00003606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0</xdr:colOff>
      <xdr:row>43</xdr:row>
      <xdr:rowOff>21770</xdr:rowOff>
    </xdr:from>
    <xdr:to>
      <xdr:col>20</xdr:col>
      <xdr:colOff>7256</xdr:colOff>
      <xdr:row>44</xdr:row>
      <xdr:rowOff>202405</xdr:rowOff>
    </xdr:to>
    <xdr:sp macro="" textlink="">
      <xdr:nvSpPr>
        <xdr:cNvPr id="305" name="AutoShape 11">
          <a:extLst>
            <a:ext uri="{FF2B5EF4-FFF2-40B4-BE49-F238E27FC236}">
              <a16:creationId xmlns:a16="http://schemas.microsoft.com/office/drawing/2014/main" id="{00000000-0008-0000-0E00-000043060000}"/>
            </a:ext>
          </a:extLst>
        </xdr:cNvPr>
        <xdr:cNvSpPr>
          <a:spLocks noChangeArrowheads="1"/>
        </xdr:cNvSpPr>
      </xdr:nvSpPr>
      <xdr:spPr>
        <a:xfrm>
          <a:off x="12703969" y="10332583"/>
          <a:ext cx="554943" cy="38304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545</xdr:colOff>
      <xdr:row>43</xdr:row>
      <xdr:rowOff>2358</xdr:rowOff>
    </xdr:from>
    <xdr:to>
      <xdr:col>22</xdr:col>
      <xdr:colOff>0</xdr:colOff>
      <xdr:row>44</xdr:row>
      <xdr:rowOff>195942</xdr:rowOff>
    </xdr:to>
    <xdr:sp macro="" textlink="">
      <xdr:nvSpPr>
        <xdr:cNvPr id="306" name="AutoShape 12">
          <a:extLst>
            <a:ext uri="{FF2B5EF4-FFF2-40B4-BE49-F238E27FC236}">
              <a16:creationId xmlns:a16="http://schemas.microsoft.com/office/drawing/2014/main" id="{00000000-0008-0000-0E00-000044060000}"/>
            </a:ext>
          </a:extLst>
        </xdr:cNvPr>
        <xdr:cNvSpPr>
          <a:spLocks noChangeArrowheads="1"/>
        </xdr:cNvSpPr>
      </xdr:nvSpPr>
      <xdr:spPr>
        <a:xfrm>
          <a:off x="14068970" y="10184583"/>
          <a:ext cx="656680" cy="39360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307" name="AutoShape 13">
          <a:extLst>
            <a:ext uri="{FF2B5EF4-FFF2-40B4-BE49-F238E27FC236}">
              <a16:creationId xmlns:a16="http://schemas.microsoft.com/office/drawing/2014/main" id="{00000000-0008-0000-0E00-00004506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43</xdr:row>
      <xdr:rowOff>1360</xdr:rowOff>
    </xdr:from>
    <xdr:to>
      <xdr:col>22</xdr:col>
      <xdr:colOff>25400</xdr:colOff>
      <xdr:row>44</xdr:row>
      <xdr:rowOff>202405</xdr:rowOff>
    </xdr:to>
    <xdr:sp macro="" textlink="">
      <xdr:nvSpPr>
        <xdr:cNvPr id="308" name="AutoShape 15">
          <a:extLst>
            <a:ext uri="{FF2B5EF4-FFF2-40B4-BE49-F238E27FC236}">
              <a16:creationId xmlns:a16="http://schemas.microsoft.com/office/drawing/2014/main" id="{00000000-0008-0000-0E00-000046060000}"/>
            </a:ext>
          </a:extLst>
        </xdr:cNvPr>
        <xdr:cNvSpPr>
          <a:spLocks noChangeArrowheads="1"/>
        </xdr:cNvSpPr>
      </xdr:nvSpPr>
      <xdr:spPr>
        <a:xfrm>
          <a:off x="14068425" y="10183585"/>
          <a:ext cx="682625" cy="40107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309" name="AutoShape 14">
          <a:extLst>
            <a:ext uri="{FF2B5EF4-FFF2-40B4-BE49-F238E27FC236}">
              <a16:creationId xmlns:a16="http://schemas.microsoft.com/office/drawing/2014/main" id="{00000000-0008-0000-0E00-00004906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310" name="AutoShape 15">
          <a:extLst>
            <a:ext uri="{FF2B5EF4-FFF2-40B4-BE49-F238E27FC236}">
              <a16:creationId xmlns:a16="http://schemas.microsoft.com/office/drawing/2014/main" id="{00000000-0008-0000-0E00-00004A06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311" name="AutoShape 22">
          <a:extLst>
            <a:ext uri="{FF2B5EF4-FFF2-40B4-BE49-F238E27FC236}">
              <a16:creationId xmlns:a16="http://schemas.microsoft.com/office/drawing/2014/main" id="{00000000-0008-0000-0E00-00004D06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312" name="AutoShape 28">
          <a:extLst>
            <a:ext uri="{FF2B5EF4-FFF2-40B4-BE49-F238E27FC236}">
              <a16:creationId xmlns:a16="http://schemas.microsoft.com/office/drawing/2014/main" id="{00000000-0008-0000-0E00-00005206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313" name="AutoShape 24">
          <a:extLst>
            <a:ext uri="{FF2B5EF4-FFF2-40B4-BE49-F238E27FC236}">
              <a16:creationId xmlns:a16="http://schemas.microsoft.com/office/drawing/2014/main" id="{00000000-0008-0000-0E00-00005406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314" name="AutoShape 14">
          <a:extLst>
            <a:ext uri="{FF2B5EF4-FFF2-40B4-BE49-F238E27FC236}">
              <a16:creationId xmlns:a16="http://schemas.microsoft.com/office/drawing/2014/main" id="{00000000-0008-0000-0E00-00005906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315" name="AutoShape 15">
          <a:extLst>
            <a:ext uri="{FF2B5EF4-FFF2-40B4-BE49-F238E27FC236}">
              <a16:creationId xmlns:a16="http://schemas.microsoft.com/office/drawing/2014/main" id="{00000000-0008-0000-0E00-00005A06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316" name="AutoShape 9">
          <a:extLst>
            <a:ext uri="{FF2B5EF4-FFF2-40B4-BE49-F238E27FC236}">
              <a16:creationId xmlns:a16="http://schemas.microsoft.com/office/drawing/2014/main" id="{00000000-0008-0000-0E00-00005C06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317" name="AutoShape 15">
          <a:extLst>
            <a:ext uri="{FF2B5EF4-FFF2-40B4-BE49-F238E27FC236}">
              <a16:creationId xmlns:a16="http://schemas.microsoft.com/office/drawing/2014/main" id="{00000000-0008-0000-0E00-00006106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318" name="AutoShape 205">
          <a:extLst>
            <a:ext uri="{FF2B5EF4-FFF2-40B4-BE49-F238E27FC236}">
              <a16:creationId xmlns:a16="http://schemas.microsoft.com/office/drawing/2014/main" id="{00000000-0008-0000-0E00-00006506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319" name="AutoShape 21">
          <a:extLst>
            <a:ext uri="{FF2B5EF4-FFF2-40B4-BE49-F238E27FC236}">
              <a16:creationId xmlns:a16="http://schemas.microsoft.com/office/drawing/2014/main" id="{00000000-0008-0000-0E00-00006C06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320" name="AutoShape 22">
          <a:extLst>
            <a:ext uri="{FF2B5EF4-FFF2-40B4-BE49-F238E27FC236}">
              <a16:creationId xmlns:a16="http://schemas.microsoft.com/office/drawing/2014/main" id="{00000000-0008-0000-0E00-00006F06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321" name="AutoShape 25">
          <a:extLst>
            <a:ext uri="{FF2B5EF4-FFF2-40B4-BE49-F238E27FC236}">
              <a16:creationId xmlns:a16="http://schemas.microsoft.com/office/drawing/2014/main" id="{00000000-0008-0000-0E00-00007406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608330</xdr:colOff>
      <xdr:row>70</xdr:row>
      <xdr:rowOff>190500</xdr:rowOff>
    </xdr:from>
    <xdr:to>
      <xdr:col>2</xdr:col>
      <xdr:colOff>6350</xdr:colOff>
      <xdr:row>72</xdr:row>
      <xdr:rowOff>179282</xdr:rowOff>
    </xdr:to>
    <xdr:sp macro="" textlink="">
      <xdr:nvSpPr>
        <xdr:cNvPr id="322" name="AutoShape 14">
          <a:extLst>
            <a:ext uri="{FF2B5EF4-FFF2-40B4-BE49-F238E27FC236}">
              <a16:creationId xmlns:a16="http://schemas.microsoft.com/office/drawing/2014/main" id="{00000000-0008-0000-0E00-000081060000}"/>
            </a:ext>
          </a:extLst>
        </xdr:cNvPr>
        <xdr:cNvSpPr>
          <a:spLocks noChangeArrowheads="1"/>
        </xdr:cNvSpPr>
      </xdr:nvSpPr>
      <xdr:spPr>
        <a:xfrm>
          <a:off x="598805" y="15887700"/>
          <a:ext cx="950595" cy="38883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323" name="AutoShape 24">
          <a:extLst>
            <a:ext uri="{FF2B5EF4-FFF2-40B4-BE49-F238E27FC236}">
              <a16:creationId xmlns:a16="http://schemas.microsoft.com/office/drawing/2014/main" id="{00000000-0008-0000-0E00-00008806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324" name="AutoShape 24">
          <a:extLst>
            <a:ext uri="{FF2B5EF4-FFF2-40B4-BE49-F238E27FC236}">
              <a16:creationId xmlns:a16="http://schemas.microsoft.com/office/drawing/2014/main" id="{00000000-0008-0000-0E00-00008D06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325" name="AutoShape 12">
          <a:extLst>
            <a:ext uri="{FF2B5EF4-FFF2-40B4-BE49-F238E27FC236}">
              <a16:creationId xmlns:a16="http://schemas.microsoft.com/office/drawing/2014/main" id="{00000000-0008-0000-0E00-00009A06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326" name="AutoShape 14">
          <a:extLst>
            <a:ext uri="{FF2B5EF4-FFF2-40B4-BE49-F238E27FC236}">
              <a16:creationId xmlns:a16="http://schemas.microsoft.com/office/drawing/2014/main" id="{00000000-0008-0000-0E00-00009C06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327" name="AutoShape 27">
          <a:extLst>
            <a:ext uri="{FF2B5EF4-FFF2-40B4-BE49-F238E27FC236}">
              <a16:creationId xmlns:a16="http://schemas.microsoft.com/office/drawing/2014/main" id="{00000000-0008-0000-0E00-00009F06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328" name="AutoShape 28">
          <a:extLst>
            <a:ext uri="{FF2B5EF4-FFF2-40B4-BE49-F238E27FC236}">
              <a16:creationId xmlns:a16="http://schemas.microsoft.com/office/drawing/2014/main" id="{00000000-0008-0000-0E00-0000A006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329" name="AutoShape 29">
          <a:extLst>
            <a:ext uri="{FF2B5EF4-FFF2-40B4-BE49-F238E27FC236}">
              <a16:creationId xmlns:a16="http://schemas.microsoft.com/office/drawing/2014/main" id="{00000000-0008-0000-0E00-0000A106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330" name="AutoShape 21">
          <a:extLst>
            <a:ext uri="{FF2B5EF4-FFF2-40B4-BE49-F238E27FC236}">
              <a16:creationId xmlns:a16="http://schemas.microsoft.com/office/drawing/2014/main" id="{00000000-0008-0000-0E00-0000A506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657345</xdr:colOff>
      <xdr:row>85</xdr:row>
      <xdr:rowOff>56304</xdr:rowOff>
    </xdr:from>
    <xdr:to>
      <xdr:col>6</xdr:col>
      <xdr:colOff>43845</xdr:colOff>
      <xdr:row>86</xdr:row>
      <xdr:rowOff>198544</xdr:rowOff>
    </xdr:to>
    <xdr:sp macro="" textlink="">
      <xdr:nvSpPr>
        <xdr:cNvPr id="331" name="AutoShape 22">
          <a:extLst>
            <a:ext uri="{FF2B5EF4-FFF2-40B4-BE49-F238E27FC236}">
              <a16:creationId xmlns:a16="http://schemas.microsoft.com/office/drawing/2014/main" id="{00000000-0008-0000-0E00-0000A9060000}"/>
            </a:ext>
          </a:extLst>
        </xdr:cNvPr>
        <xdr:cNvSpPr>
          <a:spLocks noChangeArrowheads="1"/>
        </xdr:cNvSpPr>
      </xdr:nvSpPr>
      <xdr:spPr>
        <a:xfrm>
          <a:off x="3476745" y="18801504"/>
          <a:ext cx="758100" cy="3422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334" name="AutoShape 13">
          <a:extLst>
            <a:ext uri="{FF2B5EF4-FFF2-40B4-BE49-F238E27FC236}">
              <a16:creationId xmlns:a16="http://schemas.microsoft.com/office/drawing/2014/main" id="{00000000-0008-0000-0E00-0000B006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335" name="AutoShape 14">
          <a:extLst>
            <a:ext uri="{FF2B5EF4-FFF2-40B4-BE49-F238E27FC236}">
              <a16:creationId xmlns:a16="http://schemas.microsoft.com/office/drawing/2014/main" id="{00000000-0008-0000-0E00-0000B306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336" name="AutoShape 15">
          <a:extLst>
            <a:ext uri="{FF2B5EF4-FFF2-40B4-BE49-F238E27FC236}">
              <a16:creationId xmlns:a16="http://schemas.microsoft.com/office/drawing/2014/main" id="{00000000-0008-0000-0E00-0000B706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337" name="AutoShape 21">
          <a:extLst>
            <a:ext uri="{FF2B5EF4-FFF2-40B4-BE49-F238E27FC236}">
              <a16:creationId xmlns:a16="http://schemas.microsoft.com/office/drawing/2014/main" id="{00000000-0008-0000-0E00-0000B906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338" name="AutoShape 22">
          <a:extLst>
            <a:ext uri="{FF2B5EF4-FFF2-40B4-BE49-F238E27FC236}">
              <a16:creationId xmlns:a16="http://schemas.microsoft.com/office/drawing/2014/main" id="{00000000-0008-0000-0E00-0000BA06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339" name="AutoShape 24">
          <a:extLst>
            <a:ext uri="{FF2B5EF4-FFF2-40B4-BE49-F238E27FC236}">
              <a16:creationId xmlns:a16="http://schemas.microsoft.com/office/drawing/2014/main" id="{00000000-0008-0000-0E00-0000BC06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340" name="AutoShape 27">
          <a:extLst>
            <a:ext uri="{FF2B5EF4-FFF2-40B4-BE49-F238E27FC236}">
              <a16:creationId xmlns:a16="http://schemas.microsoft.com/office/drawing/2014/main" id="{00000000-0008-0000-0E00-0000BE06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341" name="AutoShape 28">
          <a:extLst>
            <a:ext uri="{FF2B5EF4-FFF2-40B4-BE49-F238E27FC236}">
              <a16:creationId xmlns:a16="http://schemas.microsoft.com/office/drawing/2014/main" id="{00000000-0008-0000-0E00-0000BF06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342" name="AutoShape 24">
          <a:extLst>
            <a:ext uri="{FF2B5EF4-FFF2-40B4-BE49-F238E27FC236}">
              <a16:creationId xmlns:a16="http://schemas.microsoft.com/office/drawing/2014/main" id="{00000000-0008-0000-0E00-0000C106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343" name="AutoShape 25">
          <a:extLst>
            <a:ext uri="{FF2B5EF4-FFF2-40B4-BE49-F238E27FC236}">
              <a16:creationId xmlns:a16="http://schemas.microsoft.com/office/drawing/2014/main" id="{00000000-0008-0000-0E00-0000D106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344" name="AutoShape 11">
          <a:extLst>
            <a:ext uri="{FF2B5EF4-FFF2-40B4-BE49-F238E27FC236}">
              <a16:creationId xmlns:a16="http://schemas.microsoft.com/office/drawing/2014/main" id="{00000000-0008-0000-0E00-0000D406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345" name="AutoShape 13">
          <a:extLst>
            <a:ext uri="{FF2B5EF4-FFF2-40B4-BE49-F238E27FC236}">
              <a16:creationId xmlns:a16="http://schemas.microsoft.com/office/drawing/2014/main" id="{00000000-0008-0000-0E00-0000D606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346" name="AutoShape 14">
          <a:extLst>
            <a:ext uri="{FF2B5EF4-FFF2-40B4-BE49-F238E27FC236}">
              <a16:creationId xmlns:a16="http://schemas.microsoft.com/office/drawing/2014/main" id="{00000000-0008-0000-0E00-0000D706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17</xdr:col>
      <xdr:colOff>1270</xdr:colOff>
      <xdr:row>100</xdr:row>
      <xdr:rowOff>0</xdr:rowOff>
    </xdr:from>
    <xdr:to>
      <xdr:col>18</xdr:col>
      <xdr:colOff>36830</xdr:colOff>
      <xdr:row>102</xdr:row>
      <xdr:rowOff>0</xdr:rowOff>
    </xdr:to>
    <xdr:sp macro="" textlink="">
      <xdr:nvSpPr>
        <xdr:cNvPr id="347" name="AutoShape 16">
          <a:extLst>
            <a:ext uri="{FF2B5EF4-FFF2-40B4-BE49-F238E27FC236}">
              <a16:creationId xmlns:a16="http://schemas.microsoft.com/office/drawing/2014/main" id="{00000000-0008-0000-0E00-0000D9060000}"/>
            </a:ext>
          </a:extLst>
        </xdr:cNvPr>
        <xdr:cNvSpPr>
          <a:spLocks noChangeArrowheads="1"/>
        </xdr:cNvSpPr>
      </xdr:nvSpPr>
      <xdr:spPr>
        <a:xfrm>
          <a:off x="11526520" y="21802725"/>
          <a:ext cx="72136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348" name="AutoShape 25">
          <a:extLst>
            <a:ext uri="{FF2B5EF4-FFF2-40B4-BE49-F238E27FC236}">
              <a16:creationId xmlns:a16="http://schemas.microsoft.com/office/drawing/2014/main" id="{00000000-0008-0000-0E00-0000E806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349" name="AutoShape 9">
          <a:extLst>
            <a:ext uri="{FF2B5EF4-FFF2-40B4-BE49-F238E27FC236}">
              <a16:creationId xmlns:a16="http://schemas.microsoft.com/office/drawing/2014/main" id="{00000000-0008-0000-0E00-0000EE06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350" name="AutoShape 11">
          <a:extLst>
            <a:ext uri="{FF2B5EF4-FFF2-40B4-BE49-F238E27FC236}">
              <a16:creationId xmlns:a16="http://schemas.microsoft.com/office/drawing/2014/main" id="{00000000-0008-0000-0E00-0000F006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351" name="AutoShape 12">
          <a:extLst>
            <a:ext uri="{FF2B5EF4-FFF2-40B4-BE49-F238E27FC236}">
              <a16:creationId xmlns:a16="http://schemas.microsoft.com/office/drawing/2014/main" id="{00000000-0008-0000-0E00-0000F106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352" name="AutoShape 13">
          <a:extLst>
            <a:ext uri="{FF2B5EF4-FFF2-40B4-BE49-F238E27FC236}">
              <a16:creationId xmlns:a16="http://schemas.microsoft.com/office/drawing/2014/main" id="{00000000-0008-0000-0E00-0000F206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353" name="AutoShape 13">
          <a:extLst>
            <a:ext uri="{FF2B5EF4-FFF2-40B4-BE49-F238E27FC236}">
              <a16:creationId xmlns:a16="http://schemas.microsoft.com/office/drawing/2014/main" id="{00000000-0008-0000-0E00-0000F306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354" name="AutoShape 16">
          <a:extLst>
            <a:ext uri="{FF2B5EF4-FFF2-40B4-BE49-F238E27FC236}">
              <a16:creationId xmlns:a16="http://schemas.microsoft.com/office/drawing/2014/main" id="{00000000-0008-0000-0E00-0000F506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355" name="AutoShape 21">
          <a:extLst>
            <a:ext uri="{FF2B5EF4-FFF2-40B4-BE49-F238E27FC236}">
              <a16:creationId xmlns:a16="http://schemas.microsoft.com/office/drawing/2014/main" id="{00000000-0008-0000-0E00-0000F606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356" name="AutoShape 23">
          <a:extLst>
            <a:ext uri="{FF2B5EF4-FFF2-40B4-BE49-F238E27FC236}">
              <a16:creationId xmlns:a16="http://schemas.microsoft.com/office/drawing/2014/main" id="{00000000-0008-0000-0E00-0000F806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357" name="AutoShape 24">
          <a:extLst>
            <a:ext uri="{FF2B5EF4-FFF2-40B4-BE49-F238E27FC236}">
              <a16:creationId xmlns:a16="http://schemas.microsoft.com/office/drawing/2014/main" id="{00000000-0008-0000-0E00-0000F906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358" name="AutoShape 25">
          <a:extLst>
            <a:ext uri="{FF2B5EF4-FFF2-40B4-BE49-F238E27FC236}">
              <a16:creationId xmlns:a16="http://schemas.microsoft.com/office/drawing/2014/main" id="{00000000-0008-0000-0E00-0000FA06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359" name="AutoShape 205">
          <a:extLst>
            <a:ext uri="{FF2B5EF4-FFF2-40B4-BE49-F238E27FC236}">
              <a16:creationId xmlns:a16="http://schemas.microsoft.com/office/drawing/2014/main" id="{00000000-0008-0000-0E00-0000FC06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360" name="AutoShape 22">
          <a:extLst>
            <a:ext uri="{FF2B5EF4-FFF2-40B4-BE49-F238E27FC236}">
              <a16:creationId xmlns:a16="http://schemas.microsoft.com/office/drawing/2014/main" id="{00000000-0008-0000-0E00-00000407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106</xdr:row>
      <xdr:rowOff>119063</xdr:rowOff>
    </xdr:from>
    <xdr:to>
      <xdr:col>12</xdr:col>
      <xdr:colOff>22375</xdr:colOff>
      <xdr:row>108</xdr:row>
      <xdr:rowOff>191929</xdr:rowOff>
    </xdr:to>
    <xdr:sp macro="" textlink="">
      <xdr:nvSpPr>
        <xdr:cNvPr id="361" name="AutoShape 25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>
          <a:spLocks noChangeArrowheads="1"/>
        </xdr:cNvSpPr>
      </xdr:nvSpPr>
      <xdr:spPr>
        <a:xfrm>
          <a:off x="7527131" y="23150513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29</xdr:row>
      <xdr:rowOff>0</xdr:rowOff>
    </xdr:from>
    <xdr:to>
      <xdr:col>6</xdr:col>
      <xdr:colOff>17462</xdr:colOff>
      <xdr:row>31</xdr:row>
      <xdr:rowOff>0</xdr:rowOff>
    </xdr:to>
    <xdr:sp macro="" textlink="">
      <xdr:nvSpPr>
        <xdr:cNvPr id="362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73247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1814</xdr:colOff>
      <xdr:row>16</xdr:row>
      <xdr:rowOff>65314</xdr:rowOff>
    </xdr:from>
    <xdr:to>
      <xdr:col>20</xdr:col>
      <xdr:colOff>27214</xdr:colOff>
      <xdr:row>17</xdr:row>
      <xdr:rowOff>195943</xdr:rowOff>
    </xdr:to>
    <xdr:sp macro="" textlink="">
      <xdr:nvSpPr>
        <xdr:cNvPr id="363" name="AutoShape 2">
          <a:extLst>
            <a:ext uri="{FF2B5EF4-FFF2-40B4-BE49-F238E27FC236}">
              <a16:creationId xmlns:a16="http://schemas.microsoft.com/office/drawing/2014/main" id="{00000000-0008-0000-0E00-0000F2040000}"/>
            </a:ext>
          </a:extLst>
        </xdr:cNvPr>
        <xdr:cNvSpPr>
          <a:spLocks noChangeArrowheads="1"/>
        </xdr:cNvSpPr>
      </xdr:nvSpPr>
      <xdr:spPr>
        <a:xfrm>
          <a:off x="12812939" y="4742089"/>
          <a:ext cx="682625" cy="33065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653415</xdr:colOff>
      <xdr:row>15</xdr:row>
      <xdr:rowOff>122464</xdr:rowOff>
    </xdr:from>
    <xdr:to>
      <xdr:col>10</xdr:col>
      <xdr:colOff>23812</xdr:colOff>
      <xdr:row>17</xdr:row>
      <xdr:rowOff>202406</xdr:rowOff>
    </xdr:to>
    <xdr:sp macro="" textlink="">
      <xdr:nvSpPr>
        <xdr:cNvPr id="364" name="AutoShape 67">
          <a:extLst>
            <a:ext uri="{FF2B5EF4-FFF2-40B4-BE49-F238E27FC236}">
              <a16:creationId xmlns:a16="http://schemas.microsoft.com/office/drawing/2014/main" id="{00000000-0008-0000-0E00-000019050000}"/>
            </a:ext>
          </a:extLst>
        </xdr:cNvPr>
        <xdr:cNvSpPr>
          <a:spLocks noChangeArrowheads="1"/>
        </xdr:cNvSpPr>
      </xdr:nvSpPr>
      <xdr:spPr>
        <a:xfrm>
          <a:off x="6168390" y="4599214"/>
          <a:ext cx="799147" cy="47999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365" name="Line 251">
          <a:extLst>
            <a:ext uri="{FF2B5EF4-FFF2-40B4-BE49-F238E27FC236}">
              <a16:creationId xmlns:a16="http://schemas.microsoft.com/office/drawing/2014/main" id="{00000000-0008-0000-0E00-00004005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366" name="Line 251">
          <a:extLst>
            <a:ext uri="{FF2B5EF4-FFF2-40B4-BE49-F238E27FC236}">
              <a16:creationId xmlns:a16="http://schemas.microsoft.com/office/drawing/2014/main" id="{00000000-0008-0000-0E00-00005805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367" name="Line 255">
          <a:extLst>
            <a:ext uri="{FF2B5EF4-FFF2-40B4-BE49-F238E27FC236}">
              <a16:creationId xmlns:a16="http://schemas.microsoft.com/office/drawing/2014/main" id="{00000000-0008-0000-0E00-00006205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627380</xdr:colOff>
      <xdr:row>15</xdr:row>
      <xdr:rowOff>154781</xdr:rowOff>
    </xdr:from>
    <xdr:to>
      <xdr:col>8</xdr:col>
      <xdr:colOff>25400</xdr:colOff>
      <xdr:row>17</xdr:row>
      <xdr:rowOff>190500</xdr:rowOff>
    </xdr:to>
    <xdr:sp macro="" textlink="">
      <xdr:nvSpPr>
        <xdr:cNvPr id="368" name="AutoShape 66">
          <a:extLst>
            <a:ext uri="{FF2B5EF4-FFF2-40B4-BE49-F238E27FC236}">
              <a16:creationId xmlns:a16="http://schemas.microsoft.com/office/drawing/2014/main" id="{00000000-0008-0000-0E00-000063050000}"/>
            </a:ext>
          </a:extLst>
        </xdr:cNvPr>
        <xdr:cNvSpPr>
          <a:spLocks noChangeArrowheads="1"/>
        </xdr:cNvSpPr>
      </xdr:nvSpPr>
      <xdr:spPr>
        <a:xfrm>
          <a:off x="4818380" y="4631531"/>
          <a:ext cx="721995" cy="43576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369" name="Picture 368">
          <a:extLst>
            <a:ext uri="{FF2B5EF4-FFF2-40B4-BE49-F238E27FC236}">
              <a16:creationId xmlns:a16="http://schemas.microsoft.com/office/drawing/2014/main" id="{00000000-0008-0000-0E00-00006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23</xdr:col>
      <xdr:colOff>13971</xdr:colOff>
      <xdr:row>15</xdr:row>
      <xdr:rowOff>163285</xdr:rowOff>
    </xdr:from>
    <xdr:to>
      <xdr:col>24</xdr:col>
      <xdr:colOff>2</xdr:colOff>
      <xdr:row>17</xdr:row>
      <xdr:rowOff>185057</xdr:rowOff>
    </xdr:to>
    <xdr:sp macro="" textlink="">
      <xdr:nvSpPr>
        <xdr:cNvPr id="370" name="AutoShape 4">
          <a:extLst>
            <a:ext uri="{FF2B5EF4-FFF2-40B4-BE49-F238E27FC236}">
              <a16:creationId xmlns:a16="http://schemas.microsoft.com/office/drawing/2014/main" id="{00000000-0008-0000-0E00-00007D050000}"/>
            </a:ext>
          </a:extLst>
        </xdr:cNvPr>
        <xdr:cNvSpPr>
          <a:spLocks noChangeArrowheads="1"/>
        </xdr:cNvSpPr>
      </xdr:nvSpPr>
      <xdr:spPr>
        <a:xfrm>
          <a:off x="15415896" y="4640035"/>
          <a:ext cx="671831" cy="42182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IN"/>
        </a:p>
        <a:p>
          <a:endParaRPr lang="en-IN"/>
        </a:p>
        <a:p>
          <a:endParaRPr lang="en-IN"/>
        </a:p>
      </xdr:txBody>
    </xdr:sp>
    <xdr:clientData/>
  </xdr:twoCellAnchor>
  <xdr:twoCellAnchor>
    <xdr:from>
      <xdr:col>0</xdr:col>
      <xdr:colOff>587193</xdr:colOff>
      <xdr:row>22</xdr:row>
      <xdr:rowOff>17236</xdr:rowOff>
    </xdr:from>
    <xdr:to>
      <xdr:col>2</xdr:col>
      <xdr:colOff>16963</xdr:colOff>
      <xdr:row>23</xdr:row>
      <xdr:rowOff>184876</xdr:rowOff>
    </xdr:to>
    <xdr:sp macro="" textlink="">
      <xdr:nvSpPr>
        <xdr:cNvPr id="371" name="AutoShape 5">
          <a:extLst>
            <a:ext uri="{FF2B5EF4-FFF2-40B4-BE49-F238E27FC236}">
              <a16:creationId xmlns:a16="http://schemas.microsoft.com/office/drawing/2014/main" id="{00000000-0008-0000-0E00-000086050000}"/>
            </a:ext>
          </a:extLst>
        </xdr:cNvPr>
        <xdr:cNvSpPr>
          <a:spLocks noChangeArrowheads="1"/>
        </xdr:cNvSpPr>
      </xdr:nvSpPr>
      <xdr:spPr>
        <a:xfrm>
          <a:off x="587193" y="5913211"/>
          <a:ext cx="972820" cy="3676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1009650</xdr:colOff>
      <xdr:row>22</xdr:row>
      <xdr:rowOff>0</xdr:rowOff>
    </xdr:from>
    <xdr:to>
      <xdr:col>8</xdr:col>
      <xdr:colOff>21590</xdr:colOff>
      <xdr:row>24</xdr:row>
      <xdr:rowOff>0</xdr:rowOff>
    </xdr:to>
    <xdr:sp macro="" textlink="">
      <xdr:nvSpPr>
        <xdr:cNvPr id="372" name="AutoShape 8">
          <a:extLst>
            <a:ext uri="{FF2B5EF4-FFF2-40B4-BE49-F238E27FC236}">
              <a16:creationId xmlns:a16="http://schemas.microsoft.com/office/drawing/2014/main" id="{00000000-0008-0000-0E00-00008A050000}"/>
            </a:ext>
          </a:extLst>
        </xdr:cNvPr>
        <xdr:cNvSpPr>
          <a:spLocks noChangeArrowheads="1"/>
        </xdr:cNvSpPr>
      </xdr:nvSpPr>
      <xdr:spPr>
        <a:xfrm>
          <a:off x="4819650" y="5895975"/>
          <a:ext cx="71691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22</xdr:row>
      <xdr:rowOff>19050</xdr:rowOff>
    </xdr:from>
    <xdr:to>
      <xdr:col>10</xdr:col>
      <xdr:colOff>0</xdr:colOff>
      <xdr:row>24</xdr:row>
      <xdr:rowOff>0</xdr:rowOff>
    </xdr:to>
    <xdr:sp macro="" textlink="">
      <xdr:nvSpPr>
        <xdr:cNvPr id="373" name="AutoShape 7">
          <a:extLst>
            <a:ext uri="{FF2B5EF4-FFF2-40B4-BE49-F238E27FC236}">
              <a16:creationId xmlns:a16="http://schemas.microsoft.com/office/drawing/2014/main" id="{00000000-0008-0000-0E00-00008B050000}"/>
            </a:ext>
          </a:extLst>
        </xdr:cNvPr>
        <xdr:cNvSpPr>
          <a:spLocks noChangeArrowheads="1"/>
        </xdr:cNvSpPr>
      </xdr:nvSpPr>
      <xdr:spPr>
        <a:xfrm>
          <a:off x="6176645" y="5915025"/>
          <a:ext cx="76708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22</xdr:row>
      <xdr:rowOff>0</xdr:rowOff>
    </xdr:from>
    <xdr:to>
      <xdr:col>12</xdr:col>
      <xdr:colOff>8618</xdr:colOff>
      <xdr:row>24</xdr:row>
      <xdr:rowOff>0</xdr:rowOff>
    </xdr:to>
    <xdr:sp macro="" textlink="">
      <xdr:nvSpPr>
        <xdr:cNvPr id="374" name="AutoShape 8">
          <a:extLst>
            <a:ext uri="{FF2B5EF4-FFF2-40B4-BE49-F238E27FC236}">
              <a16:creationId xmlns:a16="http://schemas.microsoft.com/office/drawing/2014/main" id="{00000000-0008-0000-0E00-00008C050000}"/>
            </a:ext>
          </a:extLst>
        </xdr:cNvPr>
        <xdr:cNvSpPr>
          <a:spLocks noChangeArrowheads="1"/>
        </xdr:cNvSpPr>
      </xdr:nvSpPr>
      <xdr:spPr>
        <a:xfrm>
          <a:off x="7518763" y="5895975"/>
          <a:ext cx="75755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29</xdr:row>
      <xdr:rowOff>1361</xdr:rowOff>
    </xdr:from>
    <xdr:to>
      <xdr:col>2</xdr:col>
      <xdr:colOff>13607</xdr:colOff>
      <xdr:row>30</xdr:row>
      <xdr:rowOff>191861</xdr:rowOff>
    </xdr:to>
    <xdr:sp macro="" textlink="">
      <xdr:nvSpPr>
        <xdr:cNvPr id="375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73260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376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29</xdr:row>
      <xdr:rowOff>0</xdr:rowOff>
    </xdr:from>
    <xdr:to>
      <xdr:col>6</xdr:col>
      <xdr:colOff>24130</xdr:colOff>
      <xdr:row>31</xdr:row>
      <xdr:rowOff>0</xdr:rowOff>
    </xdr:to>
    <xdr:sp macro="" textlink="">
      <xdr:nvSpPr>
        <xdr:cNvPr id="377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73247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378" name="AutoShape 151">
          <a:extLst>
            <a:ext uri="{FF2B5EF4-FFF2-40B4-BE49-F238E27FC236}">
              <a16:creationId xmlns:a16="http://schemas.microsoft.com/office/drawing/2014/main" id="{00000000-0008-0000-0E00-00009805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379" name="Line 155">
          <a:extLst>
            <a:ext uri="{FF2B5EF4-FFF2-40B4-BE49-F238E27FC236}">
              <a16:creationId xmlns:a16="http://schemas.microsoft.com/office/drawing/2014/main" id="{00000000-0008-0000-0E00-00009B05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380" name="Line 156">
          <a:extLst>
            <a:ext uri="{FF2B5EF4-FFF2-40B4-BE49-F238E27FC236}">
              <a16:creationId xmlns:a16="http://schemas.microsoft.com/office/drawing/2014/main" id="{00000000-0008-0000-0E00-00009C05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381" name="Line 157">
          <a:extLst>
            <a:ext uri="{FF2B5EF4-FFF2-40B4-BE49-F238E27FC236}">
              <a16:creationId xmlns:a16="http://schemas.microsoft.com/office/drawing/2014/main" id="{00000000-0008-0000-0E00-0000A205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382" name="Not Equal 381">
          <a:extLst>
            <a:ext uri="{FF2B5EF4-FFF2-40B4-BE49-F238E27FC236}">
              <a16:creationId xmlns:a16="http://schemas.microsoft.com/office/drawing/2014/main" id="{00000000-0008-0000-0E00-0000A405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383" name="Line 157">
          <a:extLst>
            <a:ext uri="{FF2B5EF4-FFF2-40B4-BE49-F238E27FC236}">
              <a16:creationId xmlns:a16="http://schemas.microsoft.com/office/drawing/2014/main" id="{00000000-0008-0000-0E00-0000AC05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384" name="Equals 161">
          <a:extLst>
            <a:ext uri="{FF2B5EF4-FFF2-40B4-BE49-F238E27FC236}">
              <a16:creationId xmlns:a16="http://schemas.microsoft.com/office/drawing/2014/main" id="{00000000-0008-0000-0E00-0000AE05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385" name="Line 157">
          <a:extLst>
            <a:ext uri="{FF2B5EF4-FFF2-40B4-BE49-F238E27FC236}">
              <a16:creationId xmlns:a16="http://schemas.microsoft.com/office/drawing/2014/main" id="{00000000-0008-0000-0E00-0000B005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386" name="Line 157">
          <a:extLst>
            <a:ext uri="{FF2B5EF4-FFF2-40B4-BE49-F238E27FC236}">
              <a16:creationId xmlns:a16="http://schemas.microsoft.com/office/drawing/2014/main" id="{00000000-0008-0000-0E00-0000B105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387" name="Line 157">
          <a:extLst>
            <a:ext uri="{FF2B5EF4-FFF2-40B4-BE49-F238E27FC236}">
              <a16:creationId xmlns:a16="http://schemas.microsoft.com/office/drawing/2014/main" id="{00000000-0008-0000-0E00-0000B205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388" name="Freeform 152">
          <a:extLst>
            <a:ext uri="{FF2B5EF4-FFF2-40B4-BE49-F238E27FC236}">
              <a16:creationId xmlns:a16="http://schemas.microsoft.com/office/drawing/2014/main" id="{00000000-0008-0000-0E00-0000B305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389" name="Line 157">
          <a:extLst>
            <a:ext uri="{FF2B5EF4-FFF2-40B4-BE49-F238E27FC236}">
              <a16:creationId xmlns:a16="http://schemas.microsoft.com/office/drawing/2014/main" id="{00000000-0008-0000-0E00-0000B705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390" name="Freeform 152">
          <a:extLst>
            <a:ext uri="{FF2B5EF4-FFF2-40B4-BE49-F238E27FC236}">
              <a16:creationId xmlns:a16="http://schemas.microsoft.com/office/drawing/2014/main" id="{00000000-0008-0000-0E00-0000B805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391" name="Line 157">
          <a:extLst>
            <a:ext uri="{FF2B5EF4-FFF2-40B4-BE49-F238E27FC236}">
              <a16:creationId xmlns:a16="http://schemas.microsoft.com/office/drawing/2014/main" id="{00000000-0008-0000-0E00-0000B905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392" name="Line 157">
          <a:extLst>
            <a:ext uri="{FF2B5EF4-FFF2-40B4-BE49-F238E27FC236}">
              <a16:creationId xmlns:a16="http://schemas.microsoft.com/office/drawing/2014/main" id="{00000000-0008-0000-0E00-0000BB05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393" name="Line 157">
          <a:extLst>
            <a:ext uri="{FF2B5EF4-FFF2-40B4-BE49-F238E27FC236}">
              <a16:creationId xmlns:a16="http://schemas.microsoft.com/office/drawing/2014/main" id="{00000000-0008-0000-0E00-0000BD05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394" name="Up-Down Arrow 393">
          <a:extLst>
            <a:ext uri="{FF2B5EF4-FFF2-40B4-BE49-F238E27FC236}">
              <a16:creationId xmlns:a16="http://schemas.microsoft.com/office/drawing/2014/main" id="{00000000-0008-0000-0E00-0000BE05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395" name="Line 157">
          <a:extLst>
            <a:ext uri="{FF2B5EF4-FFF2-40B4-BE49-F238E27FC236}">
              <a16:creationId xmlns:a16="http://schemas.microsoft.com/office/drawing/2014/main" id="{00000000-0008-0000-0E00-0000BF05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765175</xdr:colOff>
      <xdr:row>22</xdr:row>
      <xdr:rowOff>0</xdr:rowOff>
    </xdr:from>
    <xdr:to>
      <xdr:col>16</xdr:col>
      <xdr:colOff>15240</xdr:colOff>
      <xdr:row>23</xdr:row>
      <xdr:rowOff>196215</xdr:rowOff>
    </xdr:to>
    <xdr:sp macro="" textlink="">
      <xdr:nvSpPr>
        <xdr:cNvPr id="396" name="AutoShape 10">
          <a:extLst>
            <a:ext uri="{FF2B5EF4-FFF2-40B4-BE49-F238E27FC236}">
              <a16:creationId xmlns:a16="http://schemas.microsoft.com/office/drawing/2014/main" id="{00000000-0008-0000-0E00-0000CF050000}"/>
            </a:ext>
          </a:extLst>
        </xdr:cNvPr>
        <xdr:cNvSpPr>
          <a:spLocks noChangeArrowheads="1"/>
        </xdr:cNvSpPr>
      </xdr:nvSpPr>
      <xdr:spPr>
        <a:xfrm>
          <a:off x="10242550" y="5895975"/>
          <a:ext cx="6978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6668</xdr:colOff>
      <xdr:row>22</xdr:row>
      <xdr:rowOff>0</xdr:rowOff>
    </xdr:from>
    <xdr:to>
      <xdr:col>18</xdr:col>
      <xdr:colOff>17780</xdr:colOff>
      <xdr:row>23</xdr:row>
      <xdr:rowOff>187960</xdr:rowOff>
    </xdr:to>
    <xdr:sp macro="" textlink="">
      <xdr:nvSpPr>
        <xdr:cNvPr id="397" name="AutoShape 11">
          <a:extLst>
            <a:ext uri="{FF2B5EF4-FFF2-40B4-BE49-F238E27FC236}">
              <a16:creationId xmlns:a16="http://schemas.microsoft.com/office/drawing/2014/main" id="{00000000-0008-0000-0E00-0000D0050000}"/>
            </a:ext>
          </a:extLst>
        </xdr:cNvPr>
        <xdr:cNvSpPr>
          <a:spLocks noChangeArrowheads="1"/>
        </xdr:cNvSpPr>
      </xdr:nvSpPr>
      <xdr:spPr>
        <a:xfrm>
          <a:off x="11531918" y="5895975"/>
          <a:ext cx="696912" cy="3879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577578</xdr:colOff>
      <xdr:row>22</xdr:row>
      <xdr:rowOff>10886</xdr:rowOff>
    </xdr:from>
    <xdr:to>
      <xdr:col>22</xdr:col>
      <xdr:colOff>24493</xdr:colOff>
      <xdr:row>24</xdr:row>
      <xdr:rowOff>272</xdr:rowOff>
    </xdr:to>
    <xdr:sp macro="" textlink="">
      <xdr:nvSpPr>
        <xdr:cNvPr id="398" name="AutoShape 13">
          <a:extLst>
            <a:ext uri="{FF2B5EF4-FFF2-40B4-BE49-F238E27FC236}">
              <a16:creationId xmlns:a16="http://schemas.microsoft.com/office/drawing/2014/main" id="{00000000-0008-0000-0E00-0000D2050000}"/>
            </a:ext>
          </a:extLst>
        </xdr:cNvPr>
        <xdr:cNvSpPr>
          <a:spLocks noChangeArrowheads="1"/>
        </xdr:cNvSpPr>
      </xdr:nvSpPr>
      <xdr:spPr>
        <a:xfrm>
          <a:off x="13829234" y="5964011"/>
          <a:ext cx="768509" cy="40610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399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29</xdr:row>
      <xdr:rowOff>19050</xdr:rowOff>
    </xdr:from>
    <xdr:to>
      <xdr:col>20</xdr:col>
      <xdr:colOff>17780</xdr:colOff>
      <xdr:row>31</xdr:row>
      <xdr:rowOff>0</xdr:rowOff>
    </xdr:to>
    <xdr:sp macro="" textlink="">
      <xdr:nvSpPr>
        <xdr:cNvPr id="400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7343775"/>
          <a:ext cx="675640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29</xdr:row>
      <xdr:rowOff>0</xdr:rowOff>
    </xdr:from>
    <xdr:to>
      <xdr:col>22</xdr:col>
      <xdr:colOff>0</xdr:colOff>
      <xdr:row>31</xdr:row>
      <xdr:rowOff>0</xdr:rowOff>
    </xdr:to>
    <xdr:sp macro="" textlink="">
      <xdr:nvSpPr>
        <xdr:cNvPr id="401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73247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29</xdr:row>
      <xdr:rowOff>0</xdr:rowOff>
    </xdr:from>
    <xdr:to>
      <xdr:col>8</xdr:col>
      <xdr:colOff>24130</xdr:colOff>
      <xdr:row>31</xdr:row>
      <xdr:rowOff>0</xdr:rowOff>
    </xdr:to>
    <xdr:sp macro="" textlink="">
      <xdr:nvSpPr>
        <xdr:cNvPr id="402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73247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403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404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405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406" name="AutoShape 25">
          <a:extLst>
            <a:ext uri="{FF2B5EF4-FFF2-40B4-BE49-F238E27FC236}">
              <a16:creationId xmlns:a16="http://schemas.microsoft.com/office/drawing/2014/main" id="{00000000-0008-0000-0E00-00001606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407" name="AutoShape 9">
          <a:extLst>
            <a:ext uri="{FF2B5EF4-FFF2-40B4-BE49-F238E27FC236}">
              <a16:creationId xmlns:a16="http://schemas.microsoft.com/office/drawing/2014/main" id="{00000000-0008-0000-0E00-00001706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35</xdr:row>
      <xdr:rowOff>185305</xdr:rowOff>
    </xdr:from>
    <xdr:to>
      <xdr:col>6</xdr:col>
      <xdr:colOff>0</xdr:colOff>
      <xdr:row>37</xdr:row>
      <xdr:rowOff>184727</xdr:rowOff>
    </xdr:to>
    <xdr:sp macro="" textlink="">
      <xdr:nvSpPr>
        <xdr:cNvPr id="408" name="AutoShape 10">
          <a:extLst>
            <a:ext uri="{FF2B5EF4-FFF2-40B4-BE49-F238E27FC236}">
              <a16:creationId xmlns:a16="http://schemas.microsoft.com/office/drawing/2014/main" id="{00000000-0008-0000-0E00-000020060000}"/>
            </a:ext>
          </a:extLst>
        </xdr:cNvPr>
        <xdr:cNvSpPr>
          <a:spLocks noChangeArrowheads="1"/>
        </xdr:cNvSpPr>
      </xdr:nvSpPr>
      <xdr:spPr>
        <a:xfrm>
          <a:off x="3495675" y="8738755"/>
          <a:ext cx="695325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409" name="AutoShape 14">
          <a:extLst>
            <a:ext uri="{FF2B5EF4-FFF2-40B4-BE49-F238E27FC236}">
              <a16:creationId xmlns:a16="http://schemas.microsoft.com/office/drawing/2014/main" id="{00000000-0008-0000-0E00-00003006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410" name="AutoShape 27">
          <a:extLst>
            <a:ext uri="{FF2B5EF4-FFF2-40B4-BE49-F238E27FC236}">
              <a16:creationId xmlns:a16="http://schemas.microsoft.com/office/drawing/2014/main" id="{00000000-0008-0000-0E00-00003906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36</xdr:row>
      <xdr:rowOff>19050</xdr:rowOff>
    </xdr:from>
    <xdr:to>
      <xdr:col>24</xdr:col>
      <xdr:colOff>12700</xdr:colOff>
      <xdr:row>38</xdr:row>
      <xdr:rowOff>0</xdr:rowOff>
    </xdr:to>
    <xdr:sp macro="" textlink="">
      <xdr:nvSpPr>
        <xdr:cNvPr id="411" name="AutoShape 205">
          <a:extLst>
            <a:ext uri="{FF2B5EF4-FFF2-40B4-BE49-F238E27FC236}">
              <a16:creationId xmlns:a16="http://schemas.microsoft.com/office/drawing/2014/main" id="{00000000-0008-0000-0E00-00003B060000}"/>
            </a:ext>
          </a:extLst>
        </xdr:cNvPr>
        <xdr:cNvSpPr>
          <a:spLocks noChangeArrowheads="1"/>
        </xdr:cNvSpPr>
      </xdr:nvSpPr>
      <xdr:spPr>
        <a:xfrm>
          <a:off x="15401925" y="87725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412" name="AutoShape 217">
          <a:extLst>
            <a:ext uri="{FF2B5EF4-FFF2-40B4-BE49-F238E27FC236}">
              <a16:creationId xmlns:a16="http://schemas.microsoft.com/office/drawing/2014/main" id="{00000000-0008-0000-0E00-00003C06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413" name="AutoShape 21">
          <a:extLst>
            <a:ext uri="{FF2B5EF4-FFF2-40B4-BE49-F238E27FC236}">
              <a16:creationId xmlns:a16="http://schemas.microsoft.com/office/drawing/2014/main" id="{00000000-0008-0000-0E00-00004106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0</xdr:colOff>
      <xdr:row>44</xdr:row>
      <xdr:rowOff>185057</xdr:rowOff>
    </xdr:to>
    <xdr:sp macro="" textlink="">
      <xdr:nvSpPr>
        <xdr:cNvPr id="414" name="AutoShape 22">
          <a:extLst>
            <a:ext uri="{FF2B5EF4-FFF2-40B4-BE49-F238E27FC236}">
              <a16:creationId xmlns:a16="http://schemas.microsoft.com/office/drawing/2014/main" id="{00000000-0008-0000-0E00-00004C060000}"/>
            </a:ext>
          </a:extLst>
        </xdr:cNvPr>
        <xdr:cNvSpPr>
          <a:spLocks noChangeArrowheads="1"/>
        </xdr:cNvSpPr>
      </xdr:nvSpPr>
      <xdr:spPr>
        <a:xfrm>
          <a:off x="2152650" y="10182225"/>
          <a:ext cx="666750" cy="38508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43</xdr:row>
      <xdr:rowOff>19050</xdr:rowOff>
    </xdr:from>
    <xdr:to>
      <xdr:col>6</xdr:col>
      <xdr:colOff>12700</xdr:colOff>
      <xdr:row>45</xdr:row>
      <xdr:rowOff>0</xdr:rowOff>
    </xdr:to>
    <xdr:sp macro="" textlink="">
      <xdr:nvSpPr>
        <xdr:cNvPr id="415" name="AutoShape 23">
          <a:extLst>
            <a:ext uri="{FF2B5EF4-FFF2-40B4-BE49-F238E27FC236}">
              <a16:creationId xmlns:a16="http://schemas.microsoft.com/office/drawing/2014/main" id="{00000000-0008-0000-0E00-00004E060000}"/>
            </a:ext>
          </a:extLst>
        </xdr:cNvPr>
        <xdr:cNvSpPr>
          <a:spLocks noChangeArrowheads="1"/>
        </xdr:cNvSpPr>
      </xdr:nvSpPr>
      <xdr:spPr>
        <a:xfrm>
          <a:off x="3495675" y="10201275"/>
          <a:ext cx="70802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6138</xdr:colOff>
      <xdr:row>43</xdr:row>
      <xdr:rowOff>51435</xdr:rowOff>
    </xdr:from>
    <xdr:to>
      <xdr:col>8</xdr:col>
      <xdr:colOff>10795</xdr:colOff>
      <xdr:row>44</xdr:row>
      <xdr:rowOff>184785</xdr:rowOff>
    </xdr:to>
    <xdr:sp macro="" textlink="">
      <xdr:nvSpPr>
        <xdr:cNvPr id="416" name="AutoShape 24">
          <a:extLst>
            <a:ext uri="{FF2B5EF4-FFF2-40B4-BE49-F238E27FC236}">
              <a16:creationId xmlns:a16="http://schemas.microsoft.com/office/drawing/2014/main" id="{00000000-0008-0000-0E00-000051060000}"/>
            </a:ext>
          </a:extLst>
        </xdr:cNvPr>
        <xdr:cNvSpPr>
          <a:spLocks noChangeArrowheads="1"/>
        </xdr:cNvSpPr>
      </xdr:nvSpPr>
      <xdr:spPr>
        <a:xfrm>
          <a:off x="4825788" y="10233660"/>
          <a:ext cx="699982" cy="3333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-1</xdr:colOff>
      <xdr:row>43</xdr:row>
      <xdr:rowOff>39733</xdr:rowOff>
    </xdr:from>
    <xdr:to>
      <xdr:col>10</xdr:col>
      <xdr:colOff>6802</xdr:colOff>
      <xdr:row>44</xdr:row>
      <xdr:rowOff>190501</xdr:rowOff>
    </xdr:to>
    <xdr:sp macro="" textlink="">
      <xdr:nvSpPr>
        <xdr:cNvPr id="417" name="AutoShape 25">
          <a:extLst>
            <a:ext uri="{FF2B5EF4-FFF2-40B4-BE49-F238E27FC236}">
              <a16:creationId xmlns:a16="http://schemas.microsoft.com/office/drawing/2014/main" id="{00000000-0008-0000-0E00-000053060000}"/>
            </a:ext>
          </a:extLst>
        </xdr:cNvPr>
        <xdr:cNvSpPr>
          <a:spLocks noChangeArrowheads="1"/>
        </xdr:cNvSpPr>
      </xdr:nvSpPr>
      <xdr:spPr>
        <a:xfrm>
          <a:off x="6172199" y="10221958"/>
          <a:ext cx="778328" cy="35079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195580</xdr:rowOff>
    </xdr:to>
    <xdr:sp macro="" textlink="">
      <xdr:nvSpPr>
        <xdr:cNvPr id="419" name="AutoShape 13">
          <a:extLst>
            <a:ext uri="{FF2B5EF4-FFF2-40B4-BE49-F238E27FC236}">
              <a16:creationId xmlns:a16="http://schemas.microsoft.com/office/drawing/2014/main" id="{00000000-0008-0000-0E00-00007806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4595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420" name="AutoShape 14">
          <a:extLst>
            <a:ext uri="{FF2B5EF4-FFF2-40B4-BE49-F238E27FC236}">
              <a16:creationId xmlns:a16="http://schemas.microsoft.com/office/drawing/2014/main" id="{00000000-0008-0000-0E00-00008A06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421" name="AutoShape 15">
          <a:extLst>
            <a:ext uri="{FF2B5EF4-FFF2-40B4-BE49-F238E27FC236}">
              <a16:creationId xmlns:a16="http://schemas.microsoft.com/office/drawing/2014/main" id="{00000000-0008-0000-0E00-00008B06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422" name="AutoShape 22">
          <a:extLst>
            <a:ext uri="{FF2B5EF4-FFF2-40B4-BE49-F238E27FC236}">
              <a16:creationId xmlns:a16="http://schemas.microsoft.com/office/drawing/2014/main" id="{00000000-0008-0000-0E00-00008F06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710565</xdr:colOff>
      <xdr:row>50</xdr:row>
      <xdr:rowOff>0</xdr:rowOff>
    </xdr:from>
    <xdr:to>
      <xdr:col>8</xdr:col>
      <xdr:colOff>0</xdr:colOff>
      <xdr:row>52</xdr:row>
      <xdr:rowOff>0</xdr:rowOff>
    </xdr:to>
    <xdr:sp macro="" textlink="">
      <xdr:nvSpPr>
        <xdr:cNvPr id="423" name="AutoShape 27">
          <a:extLst>
            <a:ext uri="{FF2B5EF4-FFF2-40B4-BE49-F238E27FC236}">
              <a16:creationId xmlns:a16="http://schemas.microsoft.com/office/drawing/2014/main" id="{00000000-0008-0000-0E00-000099060000}"/>
            </a:ext>
          </a:extLst>
        </xdr:cNvPr>
        <xdr:cNvSpPr>
          <a:spLocks noChangeArrowheads="1"/>
        </xdr:cNvSpPr>
      </xdr:nvSpPr>
      <xdr:spPr>
        <a:xfrm>
          <a:off x="4815840" y="11610975"/>
          <a:ext cx="69913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424" name="AutoShape 28">
          <a:extLst>
            <a:ext uri="{FF2B5EF4-FFF2-40B4-BE49-F238E27FC236}">
              <a16:creationId xmlns:a16="http://schemas.microsoft.com/office/drawing/2014/main" id="{00000000-0008-0000-0E00-00009B06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50</xdr:row>
      <xdr:rowOff>19050</xdr:rowOff>
    </xdr:from>
    <xdr:to>
      <xdr:col>12</xdr:col>
      <xdr:colOff>12700</xdr:colOff>
      <xdr:row>52</xdr:row>
      <xdr:rowOff>0</xdr:rowOff>
    </xdr:to>
    <xdr:sp macro="" textlink="">
      <xdr:nvSpPr>
        <xdr:cNvPr id="425" name="AutoShape 205">
          <a:extLst>
            <a:ext uri="{FF2B5EF4-FFF2-40B4-BE49-F238E27FC236}">
              <a16:creationId xmlns:a16="http://schemas.microsoft.com/office/drawing/2014/main" id="{00000000-0008-0000-0E00-0000A2060000}"/>
            </a:ext>
          </a:extLst>
        </xdr:cNvPr>
        <xdr:cNvSpPr>
          <a:spLocks noChangeArrowheads="1"/>
        </xdr:cNvSpPr>
      </xdr:nvSpPr>
      <xdr:spPr>
        <a:xfrm>
          <a:off x="7543800" y="1163002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426" name="AutoShape 24">
          <a:extLst>
            <a:ext uri="{FF2B5EF4-FFF2-40B4-BE49-F238E27FC236}">
              <a16:creationId xmlns:a16="http://schemas.microsoft.com/office/drawing/2014/main" id="{00000000-0008-0000-0E00-0000A306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427" name="AutoShape 14">
          <a:extLst>
            <a:ext uri="{FF2B5EF4-FFF2-40B4-BE49-F238E27FC236}">
              <a16:creationId xmlns:a16="http://schemas.microsoft.com/office/drawing/2014/main" id="{00000000-0008-0000-0E00-0000A806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428" name="AutoShape 15">
          <a:extLst>
            <a:ext uri="{FF2B5EF4-FFF2-40B4-BE49-F238E27FC236}">
              <a16:creationId xmlns:a16="http://schemas.microsoft.com/office/drawing/2014/main" id="{00000000-0008-0000-0E00-0000AA06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23631</xdr:colOff>
      <xdr:row>57</xdr:row>
      <xdr:rowOff>73478</xdr:rowOff>
    </xdr:from>
    <xdr:to>
      <xdr:col>2</xdr:col>
      <xdr:colOff>1</xdr:colOff>
      <xdr:row>58</xdr:row>
      <xdr:rowOff>206828</xdr:rowOff>
    </xdr:to>
    <xdr:sp macro="" textlink="">
      <xdr:nvSpPr>
        <xdr:cNvPr id="429" name="AutoShape 25">
          <a:extLst>
            <a:ext uri="{FF2B5EF4-FFF2-40B4-BE49-F238E27FC236}">
              <a16:creationId xmlns:a16="http://schemas.microsoft.com/office/drawing/2014/main" id="{00000000-0008-0000-0E00-0000AB060000}"/>
            </a:ext>
          </a:extLst>
        </xdr:cNvPr>
        <xdr:cNvSpPr>
          <a:spLocks noChangeArrowheads="1"/>
        </xdr:cNvSpPr>
      </xdr:nvSpPr>
      <xdr:spPr>
        <a:xfrm>
          <a:off x="623706" y="13113203"/>
          <a:ext cx="91934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430" name="AutoShape 9">
          <a:extLst>
            <a:ext uri="{FF2B5EF4-FFF2-40B4-BE49-F238E27FC236}">
              <a16:creationId xmlns:a16="http://schemas.microsoft.com/office/drawing/2014/main" id="{00000000-0008-0000-0E00-0000AC06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650420</xdr:colOff>
      <xdr:row>57</xdr:row>
      <xdr:rowOff>907</xdr:rowOff>
    </xdr:from>
    <xdr:to>
      <xdr:col>6</xdr:col>
      <xdr:colOff>32655</xdr:colOff>
      <xdr:row>58</xdr:row>
      <xdr:rowOff>206828</xdr:rowOff>
    </xdr:to>
    <xdr:sp macro="" textlink="">
      <xdr:nvSpPr>
        <xdr:cNvPr id="431" name="AutoShape 10">
          <a:extLst>
            <a:ext uri="{FF2B5EF4-FFF2-40B4-BE49-F238E27FC236}">
              <a16:creationId xmlns:a16="http://schemas.microsoft.com/office/drawing/2014/main" id="{00000000-0008-0000-0E00-0000AE060000}"/>
            </a:ext>
          </a:extLst>
        </xdr:cNvPr>
        <xdr:cNvSpPr>
          <a:spLocks noChangeArrowheads="1"/>
        </xdr:cNvSpPr>
      </xdr:nvSpPr>
      <xdr:spPr>
        <a:xfrm>
          <a:off x="3469820" y="13040632"/>
          <a:ext cx="753835" cy="40594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2478</xdr:colOff>
      <xdr:row>56</xdr:row>
      <xdr:rowOff>182995</xdr:rowOff>
    </xdr:from>
    <xdr:to>
      <xdr:col>10</xdr:col>
      <xdr:colOff>8829</xdr:colOff>
      <xdr:row>58</xdr:row>
      <xdr:rowOff>189345</xdr:rowOff>
    </xdr:to>
    <xdr:sp macro="" textlink="">
      <xdr:nvSpPr>
        <xdr:cNvPr id="432" name="AutoShape 12">
          <a:extLst>
            <a:ext uri="{FF2B5EF4-FFF2-40B4-BE49-F238E27FC236}">
              <a16:creationId xmlns:a16="http://schemas.microsoft.com/office/drawing/2014/main" id="{00000000-0008-0000-0E00-0000C0060000}"/>
            </a:ext>
          </a:extLst>
        </xdr:cNvPr>
        <xdr:cNvSpPr>
          <a:spLocks noChangeArrowheads="1"/>
        </xdr:cNvSpPr>
      </xdr:nvSpPr>
      <xdr:spPr>
        <a:xfrm>
          <a:off x="6174678" y="13022695"/>
          <a:ext cx="777876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12</xdr:col>
      <xdr:colOff>768985</xdr:colOff>
      <xdr:row>57</xdr:row>
      <xdr:rowOff>0</xdr:rowOff>
    </xdr:from>
    <xdr:to>
      <xdr:col>14</xdr:col>
      <xdr:colOff>43815</xdr:colOff>
      <xdr:row>58</xdr:row>
      <xdr:rowOff>190500</xdr:rowOff>
    </xdr:to>
    <xdr:sp macro="" textlink="">
      <xdr:nvSpPr>
        <xdr:cNvPr id="433" name="AutoShape 14">
          <a:extLst>
            <a:ext uri="{FF2B5EF4-FFF2-40B4-BE49-F238E27FC236}">
              <a16:creationId xmlns:a16="http://schemas.microsoft.com/office/drawing/2014/main" id="{00000000-0008-0000-0E00-0000D8060000}"/>
            </a:ext>
          </a:extLst>
        </xdr:cNvPr>
        <xdr:cNvSpPr>
          <a:spLocks noChangeArrowheads="1"/>
        </xdr:cNvSpPr>
      </xdr:nvSpPr>
      <xdr:spPr>
        <a:xfrm>
          <a:off x="8874760" y="13039725"/>
          <a:ext cx="80835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434" name="AutoShape 15">
          <a:extLst>
            <a:ext uri="{FF2B5EF4-FFF2-40B4-BE49-F238E27FC236}">
              <a16:creationId xmlns:a16="http://schemas.microsoft.com/office/drawing/2014/main" id="{00000000-0008-0000-0E00-0000DA06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1587</xdr:colOff>
      <xdr:row>57</xdr:row>
      <xdr:rowOff>0</xdr:rowOff>
    </xdr:from>
    <xdr:to>
      <xdr:col>18</xdr:col>
      <xdr:colOff>13607</xdr:colOff>
      <xdr:row>59</xdr:row>
      <xdr:rowOff>0</xdr:rowOff>
    </xdr:to>
    <xdr:sp macro="" textlink="">
      <xdr:nvSpPr>
        <xdr:cNvPr id="435" name="AutoShape 16">
          <a:extLst>
            <a:ext uri="{FF2B5EF4-FFF2-40B4-BE49-F238E27FC236}">
              <a16:creationId xmlns:a16="http://schemas.microsoft.com/office/drawing/2014/main" id="{00000000-0008-0000-0E00-0000DB060000}"/>
            </a:ext>
          </a:extLst>
        </xdr:cNvPr>
        <xdr:cNvSpPr>
          <a:spLocks noChangeArrowheads="1"/>
        </xdr:cNvSpPr>
      </xdr:nvSpPr>
      <xdr:spPr>
        <a:xfrm>
          <a:off x="11503025" y="13215938"/>
          <a:ext cx="702582" cy="41671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436" name="AutoShape 205">
          <a:extLst>
            <a:ext uri="{FF2B5EF4-FFF2-40B4-BE49-F238E27FC236}">
              <a16:creationId xmlns:a16="http://schemas.microsoft.com/office/drawing/2014/main" id="{00000000-0008-0000-0E00-0000E506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437" name="AutoShape 21">
          <a:extLst>
            <a:ext uri="{FF2B5EF4-FFF2-40B4-BE49-F238E27FC236}">
              <a16:creationId xmlns:a16="http://schemas.microsoft.com/office/drawing/2014/main" id="{00000000-0008-0000-0E00-0000F406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438" name="AutoShape 22">
          <a:extLst>
            <a:ext uri="{FF2B5EF4-FFF2-40B4-BE49-F238E27FC236}">
              <a16:creationId xmlns:a16="http://schemas.microsoft.com/office/drawing/2014/main" id="{00000000-0008-0000-0E00-0000FE06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1858</xdr:colOff>
      <xdr:row>64</xdr:row>
      <xdr:rowOff>12262</xdr:rowOff>
    </xdr:from>
    <xdr:to>
      <xdr:col>6</xdr:col>
      <xdr:colOff>10886</xdr:colOff>
      <xdr:row>66</xdr:row>
      <xdr:rowOff>0</xdr:rowOff>
    </xdr:to>
    <xdr:sp macro="" textlink="">
      <xdr:nvSpPr>
        <xdr:cNvPr id="439" name="AutoShape 207">
          <a:extLst>
            <a:ext uri="{FF2B5EF4-FFF2-40B4-BE49-F238E27FC236}">
              <a16:creationId xmlns:a16="http://schemas.microsoft.com/office/drawing/2014/main" id="{00000000-0008-0000-0E00-000000070000}"/>
            </a:ext>
          </a:extLst>
        </xdr:cNvPr>
        <xdr:cNvSpPr>
          <a:spLocks noChangeArrowheads="1"/>
        </xdr:cNvSpPr>
      </xdr:nvSpPr>
      <xdr:spPr>
        <a:xfrm>
          <a:off x="3497533" y="14480737"/>
          <a:ext cx="704353" cy="3973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440" name="AutoShape 25">
          <a:extLst>
            <a:ext uri="{FF2B5EF4-FFF2-40B4-BE49-F238E27FC236}">
              <a16:creationId xmlns:a16="http://schemas.microsoft.com/office/drawing/2014/main" id="{00000000-0008-0000-0E00-00000207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1724</xdr:colOff>
      <xdr:row>64</xdr:row>
      <xdr:rowOff>0</xdr:rowOff>
    </xdr:from>
    <xdr:to>
      <xdr:col>20</xdr:col>
      <xdr:colOff>27214</xdr:colOff>
      <xdr:row>65</xdr:row>
      <xdr:rowOff>189865</xdr:rowOff>
    </xdr:to>
    <xdr:sp macro="" textlink="">
      <xdr:nvSpPr>
        <xdr:cNvPr id="441" name="AutoShape 11">
          <a:extLst>
            <a:ext uri="{FF2B5EF4-FFF2-40B4-BE49-F238E27FC236}">
              <a16:creationId xmlns:a16="http://schemas.microsoft.com/office/drawing/2014/main" id="{00000000-0008-0000-0E00-000013070000}"/>
            </a:ext>
          </a:extLst>
        </xdr:cNvPr>
        <xdr:cNvSpPr>
          <a:spLocks noChangeArrowheads="1"/>
        </xdr:cNvSpPr>
      </xdr:nvSpPr>
      <xdr:spPr>
        <a:xfrm>
          <a:off x="12812849" y="14468475"/>
          <a:ext cx="682715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64</xdr:row>
      <xdr:rowOff>0</xdr:rowOff>
    </xdr:from>
    <xdr:to>
      <xdr:col>22</xdr:col>
      <xdr:colOff>12700</xdr:colOff>
      <xdr:row>65</xdr:row>
      <xdr:rowOff>189345</xdr:rowOff>
    </xdr:to>
    <xdr:sp macro="" textlink="">
      <xdr:nvSpPr>
        <xdr:cNvPr id="442" name="AutoShape 12">
          <a:extLst>
            <a:ext uri="{FF2B5EF4-FFF2-40B4-BE49-F238E27FC236}">
              <a16:creationId xmlns:a16="http://schemas.microsoft.com/office/drawing/2014/main" id="{00000000-0008-0000-0E00-000014070000}"/>
            </a:ext>
          </a:extLst>
        </xdr:cNvPr>
        <xdr:cNvSpPr>
          <a:spLocks noChangeArrowheads="1"/>
        </xdr:cNvSpPr>
      </xdr:nvSpPr>
      <xdr:spPr>
        <a:xfrm>
          <a:off x="14068425" y="14468475"/>
          <a:ext cx="669925" cy="38937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22</xdr:col>
      <xdr:colOff>965200</xdr:colOff>
      <xdr:row>64</xdr:row>
      <xdr:rowOff>0</xdr:rowOff>
    </xdr:from>
    <xdr:to>
      <xdr:col>24</xdr:col>
      <xdr:colOff>7620</xdr:colOff>
      <xdr:row>65</xdr:row>
      <xdr:rowOff>190500</xdr:rowOff>
    </xdr:to>
    <xdr:sp macro="" textlink="">
      <xdr:nvSpPr>
        <xdr:cNvPr id="443" name="AutoShape 13">
          <a:extLst>
            <a:ext uri="{FF2B5EF4-FFF2-40B4-BE49-F238E27FC236}">
              <a16:creationId xmlns:a16="http://schemas.microsoft.com/office/drawing/2014/main" id="{00000000-0008-0000-0E00-000015070000}"/>
            </a:ext>
          </a:extLst>
        </xdr:cNvPr>
        <xdr:cNvSpPr>
          <a:spLocks noChangeArrowheads="1"/>
        </xdr:cNvSpPr>
      </xdr:nvSpPr>
      <xdr:spPr>
        <a:xfrm>
          <a:off x="15405100" y="14468475"/>
          <a:ext cx="6902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1209</xdr:colOff>
      <xdr:row>70</xdr:row>
      <xdr:rowOff>190501</xdr:rowOff>
    </xdr:from>
    <xdr:to>
      <xdr:col>4</xdr:col>
      <xdr:colOff>15874</xdr:colOff>
      <xdr:row>72</xdr:row>
      <xdr:rowOff>182563</xdr:rowOff>
    </xdr:to>
    <xdr:sp macro="" textlink="">
      <xdr:nvSpPr>
        <xdr:cNvPr id="444" name="AutoShape 15">
          <a:extLst>
            <a:ext uri="{FF2B5EF4-FFF2-40B4-BE49-F238E27FC236}">
              <a16:creationId xmlns:a16="http://schemas.microsoft.com/office/drawing/2014/main" id="{00000000-0008-0000-0E00-000049070000}"/>
            </a:ext>
          </a:extLst>
        </xdr:cNvPr>
        <xdr:cNvSpPr>
          <a:spLocks noChangeArrowheads="1"/>
        </xdr:cNvSpPr>
      </xdr:nvSpPr>
      <xdr:spPr>
        <a:xfrm>
          <a:off x="2144334" y="16109157"/>
          <a:ext cx="681415" cy="3968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71</xdr:row>
      <xdr:rowOff>50800</xdr:rowOff>
    </xdr:from>
    <xdr:to>
      <xdr:col>14</xdr:col>
      <xdr:colOff>12700</xdr:colOff>
      <xdr:row>72</xdr:row>
      <xdr:rowOff>196850</xdr:rowOff>
    </xdr:to>
    <xdr:sp macro="" textlink="">
      <xdr:nvSpPr>
        <xdr:cNvPr id="445" name="AutoShape 21">
          <a:extLst>
            <a:ext uri="{FF2B5EF4-FFF2-40B4-BE49-F238E27FC236}">
              <a16:creationId xmlns:a16="http://schemas.microsoft.com/office/drawing/2014/main" id="{00000000-0008-0000-0E00-000061070000}"/>
            </a:ext>
          </a:extLst>
        </xdr:cNvPr>
        <xdr:cNvSpPr>
          <a:spLocks noChangeArrowheads="1"/>
        </xdr:cNvSpPr>
      </xdr:nvSpPr>
      <xdr:spPr>
        <a:xfrm>
          <a:off x="8877300" y="159480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446" name="AutoShape 24">
          <a:extLst>
            <a:ext uri="{FF2B5EF4-FFF2-40B4-BE49-F238E27FC236}">
              <a16:creationId xmlns:a16="http://schemas.microsoft.com/office/drawing/2014/main" id="{00000000-0008-0000-0E00-00007207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12212</xdr:colOff>
      <xdr:row>70</xdr:row>
      <xdr:rowOff>179917</xdr:rowOff>
    </xdr:from>
    <xdr:to>
      <xdr:col>8</xdr:col>
      <xdr:colOff>19654</xdr:colOff>
      <xdr:row>72</xdr:row>
      <xdr:rowOff>195385</xdr:rowOff>
    </xdr:to>
    <xdr:sp macro="" textlink="">
      <xdr:nvSpPr>
        <xdr:cNvPr id="447" name="AutoShape 27">
          <a:extLst>
            <a:ext uri="{FF2B5EF4-FFF2-40B4-BE49-F238E27FC236}">
              <a16:creationId xmlns:a16="http://schemas.microsoft.com/office/drawing/2014/main" id="{00000000-0008-0000-0E00-000074070000}"/>
            </a:ext>
          </a:extLst>
        </xdr:cNvPr>
        <xdr:cNvSpPr>
          <a:spLocks noChangeArrowheads="1"/>
        </xdr:cNvSpPr>
      </xdr:nvSpPr>
      <xdr:spPr>
        <a:xfrm>
          <a:off x="4831862" y="15877117"/>
          <a:ext cx="702767" cy="41551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71</xdr:row>
      <xdr:rowOff>19050</xdr:rowOff>
    </xdr:from>
    <xdr:to>
      <xdr:col>12</xdr:col>
      <xdr:colOff>12700</xdr:colOff>
      <xdr:row>73</xdr:row>
      <xdr:rowOff>0</xdr:rowOff>
    </xdr:to>
    <xdr:sp macro="" textlink="">
      <xdr:nvSpPr>
        <xdr:cNvPr id="448" name="AutoShape 205">
          <a:extLst>
            <a:ext uri="{FF2B5EF4-FFF2-40B4-BE49-F238E27FC236}">
              <a16:creationId xmlns:a16="http://schemas.microsoft.com/office/drawing/2014/main" id="{00000000-0008-0000-0E00-000079070000}"/>
            </a:ext>
          </a:extLst>
        </xdr:cNvPr>
        <xdr:cNvSpPr>
          <a:spLocks noChangeArrowheads="1"/>
        </xdr:cNvSpPr>
      </xdr:nvSpPr>
      <xdr:spPr>
        <a:xfrm>
          <a:off x="7543800" y="159162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986155</xdr:colOff>
      <xdr:row>71</xdr:row>
      <xdr:rowOff>19050</xdr:rowOff>
    </xdr:from>
    <xdr:to>
      <xdr:col>24</xdr:col>
      <xdr:colOff>13970</xdr:colOff>
      <xdr:row>73</xdr:row>
      <xdr:rowOff>0</xdr:rowOff>
    </xdr:to>
    <xdr:sp macro="" textlink="">
      <xdr:nvSpPr>
        <xdr:cNvPr id="449" name="AutoShape 24">
          <a:extLst>
            <a:ext uri="{FF2B5EF4-FFF2-40B4-BE49-F238E27FC236}">
              <a16:creationId xmlns:a16="http://schemas.microsoft.com/office/drawing/2014/main" id="{00000000-0008-0000-0E00-00007D070000}"/>
            </a:ext>
          </a:extLst>
        </xdr:cNvPr>
        <xdr:cNvSpPr>
          <a:spLocks noChangeArrowheads="1"/>
        </xdr:cNvSpPr>
      </xdr:nvSpPr>
      <xdr:spPr>
        <a:xfrm>
          <a:off x="15397480" y="15916275"/>
          <a:ext cx="70421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450" name="AutoShape 12">
          <a:extLst>
            <a:ext uri="{FF2B5EF4-FFF2-40B4-BE49-F238E27FC236}">
              <a16:creationId xmlns:a16="http://schemas.microsoft.com/office/drawing/2014/main" id="{00000000-0008-0000-0E00-00008E07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12065</xdr:colOff>
      <xdr:row>78</xdr:row>
      <xdr:rowOff>13607</xdr:rowOff>
    </xdr:from>
    <xdr:to>
      <xdr:col>12</xdr:col>
      <xdr:colOff>12211</xdr:colOff>
      <xdr:row>79</xdr:row>
      <xdr:rowOff>195385</xdr:rowOff>
    </xdr:to>
    <xdr:sp macro="" textlink="">
      <xdr:nvSpPr>
        <xdr:cNvPr id="451" name="AutoShape 13">
          <a:extLst>
            <a:ext uri="{FF2B5EF4-FFF2-40B4-BE49-F238E27FC236}">
              <a16:creationId xmlns:a16="http://schemas.microsoft.com/office/drawing/2014/main" id="{00000000-0008-0000-0E00-00008F070000}"/>
            </a:ext>
          </a:extLst>
        </xdr:cNvPr>
        <xdr:cNvSpPr>
          <a:spLocks noChangeArrowheads="1"/>
        </xdr:cNvSpPr>
      </xdr:nvSpPr>
      <xdr:spPr>
        <a:xfrm>
          <a:off x="7555865" y="17339582"/>
          <a:ext cx="724046" cy="381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452" name="AutoShape 14">
          <a:extLst>
            <a:ext uri="{FF2B5EF4-FFF2-40B4-BE49-F238E27FC236}">
              <a16:creationId xmlns:a16="http://schemas.microsoft.com/office/drawing/2014/main" id="{00000000-0008-0000-0E00-00009107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453" name="AutoShape 27">
          <a:extLst>
            <a:ext uri="{FF2B5EF4-FFF2-40B4-BE49-F238E27FC236}">
              <a16:creationId xmlns:a16="http://schemas.microsoft.com/office/drawing/2014/main" id="{00000000-0008-0000-0E00-00009307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454" name="AutoShape 28">
          <a:extLst>
            <a:ext uri="{FF2B5EF4-FFF2-40B4-BE49-F238E27FC236}">
              <a16:creationId xmlns:a16="http://schemas.microsoft.com/office/drawing/2014/main" id="{00000000-0008-0000-0E00-00009407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455" name="AutoShape 29">
          <a:extLst>
            <a:ext uri="{FF2B5EF4-FFF2-40B4-BE49-F238E27FC236}">
              <a16:creationId xmlns:a16="http://schemas.microsoft.com/office/drawing/2014/main" id="{00000000-0008-0000-0E00-00009507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609600</xdr:colOff>
      <xdr:row>78</xdr:row>
      <xdr:rowOff>0</xdr:rowOff>
    </xdr:from>
    <xdr:to>
      <xdr:col>8</xdr:col>
      <xdr:colOff>0</xdr:colOff>
      <xdr:row>79</xdr:row>
      <xdr:rowOff>187325</xdr:rowOff>
    </xdr:to>
    <xdr:sp macro="" textlink="">
      <xdr:nvSpPr>
        <xdr:cNvPr id="456" name="AutoShape 12">
          <a:extLst>
            <a:ext uri="{FF2B5EF4-FFF2-40B4-BE49-F238E27FC236}">
              <a16:creationId xmlns:a16="http://schemas.microsoft.com/office/drawing/2014/main" id="{00000000-0008-0000-0E00-000096070000}"/>
            </a:ext>
          </a:extLst>
        </xdr:cNvPr>
        <xdr:cNvSpPr>
          <a:spLocks noChangeArrowheads="1"/>
        </xdr:cNvSpPr>
      </xdr:nvSpPr>
      <xdr:spPr>
        <a:xfrm>
          <a:off x="4800600" y="17325975"/>
          <a:ext cx="714375" cy="3873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457" name="AutoShape 21">
          <a:extLst>
            <a:ext uri="{FF2B5EF4-FFF2-40B4-BE49-F238E27FC236}">
              <a16:creationId xmlns:a16="http://schemas.microsoft.com/office/drawing/2014/main" id="{00000000-0008-0000-0E00-00009B07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598714</xdr:colOff>
      <xdr:row>84</xdr:row>
      <xdr:rowOff>174172</xdr:rowOff>
    </xdr:from>
    <xdr:to>
      <xdr:col>4</xdr:col>
      <xdr:colOff>0</xdr:colOff>
      <xdr:row>87</xdr:row>
      <xdr:rowOff>0</xdr:rowOff>
    </xdr:to>
    <xdr:sp macro="" textlink="">
      <xdr:nvSpPr>
        <xdr:cNvPr id="458" name="AutoShape 22">
          <a:extLst>
            <a:ext uri="{FF2B5EF4-FFF2-40B4-BE49-F238E27FC236}">
              <a16:creationId xmlns:a16="http://schemas.microsoft.com/office/drawing/2014/main" id="{00000000-0008-0000-0E00-00009E070000}"/>
            </a:ext>
          </a:extLst>
        </xdr:cNvPr>
        <xdr:cNvSpPr>
          <a:spLocks noChangeArrowheads="1"/>
        </xdr:cNvSpPr>
      </xdr:nvSpPr>
      <xdr:spPr>
        <a:xfrm>
          <a:off x="2141764" y="18719347"/>
          <a:ext cx="677636" cy="43542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601557</xdr:colOff>
      <xdr:row>85</xdr:row>
      <xdr:rowOff>8466</xdr:rowOff>
    </xdr:from>
    <xdr:to>
      <xdr:col>8</xdr:col>
      <xdr:colOff>28152</xdr:colOff>
      <xdr:row>86</xdr:row>
      <xdr:rowOff>188806</xdr:rowOff>
    </xdr:to>
    <xdr:sp macro="" textlink="">
      <xdr:nvSpPr>
        <xdr:cNvPr id="459" name="AutoShape 24">
          <a:extLst>
            <a:ext uri="{FF2B5EF4-FFF2-40B4-BE49-F238E27FC236}">
              <a16:creationId xmlns:a16="http://schemas.microsoft.com/office/drawing/2014/main" id="{00000000-0008-0000-0E00-00009F070000}"/>
            </a:ext>
          </a:extLst>
        </xdr:cNvPr>
        <xdr:cNvSpPr>
          <a:spLocks noChangeArrowheads="1"/>
        </xdr:cNvSpPr>
      </xdr:nvSpPr>
      <xdr:spPr>
        <a:xfrm>
          <a:off x="4792557" y="18753666"/>
          <a:ext cx="7505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645599</xdr:colOff>
      <xdr:row>85</xdr:row>
      <xdr:rowOff>24424</xdr:rowOff>
    </xdr:from>
    <xdr:to>
      <xdr:col>10</xdr:col>
      <xdr:colOff>50242</xdr:colOff>
      <xdr:row>86</xdr:row>
      <xdr:rowOff>191282</xdr:rowOff>
    </xdr:to>
    <xdr:sp macro="" textlink="">
      <xdr:nvSpPr>
        <xdr:cNvPr id="460" name="AutoShape 25">
          <a:extLst>
            <a:ext uri="{FF2B5EF4-FFF2-40B4-BE49-F238E27FC236}">
              <a16:creationId xmlns:a16="http://schemas.microsoft.com/office/drawing/2014/main" id="{00000000-0008-0000-0E00-0000A0070000}"/>
            </a:ext>
          </a:extLst>
        </xdr:cNvPr>
        <xdr:cNvSpPr>
          <a:spLocks noChangeArrowheads="1"/>
        </xdr:cNvSpPr>
      </xdr:nvSpPr>
      <xdr:spPr>
        <a:xfrm>
          <a:off x="6160574" y="18769624"/>
          <a:ext cx="833393" cy="36688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889635</xdr:colOff>
      <xdr:row>85</xdr:row>
      <xdr:rowOff>19050</xdr:rowOff>
    </xdr:from>
    <xdr:to>
      <xdr:col>14</xdr:col>
      <xdr:colOff>40005</xdr:colOff>
      <xdr:row>86</xdr:row>
      <xdr:rowOff>198755</xdr:rowOff>
    </xdr:to>
    <xdr:sp macro="" textlink="">
      <xdr:nvSpPr>
        <xdr:cNvPr id="461" name="AutoShape 25">
          <a:extLst>
            <a:ext uri="{FF2B5EF4-FFF2-40B4-BE49-F238E27FC236}">
              <a16:creationId xmlns:a16="http://schemas.microsoft.com/office/drawing/2014/main" id="{00000000-0008-0000-0E00-0000A3070000}"/>
            </a:ext>
          </a:extLst>
        </xdr:cNvPr>
        <xdr:cNvSpPr>
          <a:spLocks noChangeArrowheads="1"/>
        </xdr:cNvSpPr>
      </xdr:nvSpPr>
      <xdr:spPr>
        <a:xfrm>
          <a:off x="8881110" y="18764250"/>
          <a:ext cx="798195" cy="3797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439</xdr:colOff>
      <xdr:row>85</xdr:row>
      <xdr:rowOff>0</xdr:rowOff>
    </xdr:from>
    <xdr:to>
      <xdr:col>19</xdr:col>
      <xdr:colOff>659422</xdr:colOff>
      <xdr:row>87</xdr:row>
      <xdr:rowOff>24423</xdr:rowOff>
    </xdr:to>
    <xdr:sp macro="" textlink="">
      <xdr:nvSpPr>
        <xdr:cNvPr id="463" name="AutoShape 11">
          <a:extLst>
            <a:ext uri="{FF2B5EF4-FFF2-40B4-BE49-F238E27FC236}">
              <a16:creationId xmlns:a16="http://schemas.microsoft.com/office/drawing/2014/main" id="{00000000-0008-0000-0E00-0000A7070000}"/>
            </a:ext>
          </a:extLst>
        </xdr:cNvPr>
        <xdr:cNvSpPr>
          <a:spLocks noChangeArrowheads="1"/>
        </xdr:cNvSpPr>
      </xdr:nvSpPr>
      <xdr:spPr>
        <a:xfrm>
          <a:off x="12811564" y="18745200"/>
          <a:ext cx="658983" cy="43399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465" name="AutoShape 13">
          <a:extLst>
            <a:ext uri="{FF2B5EF4-FFF2-40B4-BE49-F238E27FC236}">
              <a16:creationId xmlns:a16="http://schemas.microsoft.com/office/drawing/2014/main" id="{00000000-0008-0000-0E00-0000AC07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466" name="AutoShape 14">
          <a:extLst>
            <a:ext uri="{FF2B5EF4-FFF2-40B4-BE49-F238E27FC236}">
              <a16:creationId xmlns:a16="http://schemas.microsoft.com/office/drawing/2014/main" id="{00000000-0008-0000-0E00-0000B607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467" name="AutoShape 15">
          <a:extLst>
            <a:ext uri="{FF2B5EF4-FFF2-40B4-BE49-F238E27FC236}">
              <a16:creationId xmlns:a16="http://schemas.microsoft.com/office/drawing/2014/main" id="{00000000-0008-0000-0E00-0000BB07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468" name="AutoShape 21">
          <a:extLst>
            <a:ext uri="{FF2B5EF4-FFF2-40B4-BE49-F238E27FC236}">
              <a16:creationId xmlns:a16="http://schemas.microsoft.com/office/drawing/2014/main" id="{00000000-0008-0000-0E00-0000BD07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469" name="AutoShape 22">
          <a:extLst>
            <a:ext uri="{FF2B5EF4-FFF2-40B4-BE49-F238E27FC236}">
              <a16:creationId xmlns:a16="http://schemas.microsoft.com/office/drawing/2014/main" id="{00000000-0008-0000-0E00-0000BE07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470" name="AutoShape 24">
          <a:extLst>
            <a:ext uri="{FF2B5EF4-FFF2-40B4-BE49-F238E27FC236}">
              <a16:creationId xmlns:a16="http://schemas.microsoft.com/office/drawing/2014/main" id="{00000000-0008-0000-0E00-0000C007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471" name="AutoShape 27">
          <a:extLst>
            <a:ext uri="{FF2B5EF4-FFF2-40B4-BE49-F238E27FC236}">
              <a16:creationId xmlns:a16="http://schemas.microsoft.com/office/drawing/2014/main" id="{00000000-0008-0000-0E00-0000C207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472" name="AutoShape 28">
          <a:extLst>
            <a:ext uri="{FF2B5EF4-FFF2-40B4-BE49-F238E27FC236}">
              <a16:creationId xmlns:a16="http://schemas.microsoft.com/office/drawing/2014/main" id="{00000000-0008-0000-0E00-0000C307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92</xdr:row>
      <xdr:rowOff>19050</xdr:rowOff>
    </xdr:from>
    <xdr:to>
      <xdr:col>12</xdr:col>
      <xdr:colOff>12700</xdr:colOff>
      <xdr:row>94</xdr:row>
      <xdr:rowOff>0</xdr:rowOff>
    </xdr:to>
    <xdr:sp macro="" textlink="">
      <xdr:nvSpPr>
        <xdr:cNvPr id="473" name="AutoShape 205">
          <a:extLst>
            <a:ext uri="{FF2B5EF4-FFF2-40B4-BE49-F238E27FC236}">
              <a16:creationId xmlns:a16="http://schemas.microsoft.com/office/drawing/2014/main" id="{00000000-0008-0000-0E00-0000C4070000}"/>
            </a:ext>
          </a:extLst>
        </xdr:cNvPr>
        <xdr:cNvSpPr>
          <a:spLocks noChangeArrowheads="1"/>
        </xdr:cNvSpPr>
      </xdr:nvSpPr>
      <xdr:spPr>
        <a:xfrm>
          <a:off x="7543800" y="201930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474" name="AutoShape 24">
          <a:extLst>
            <a:ext uri="{FF2B5EF4-FFF2-40B4-BE49-F238E27FC236}">
              <a16:creationId xmlns:a16="http://schemas.microsoft.com/office/drawing/2014/main" id="{00000000-0008-0000-0E00-0000C607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475" name="AutoShape 25">
          <a:extLst>
            <a:ext uri="{FF2B5EF4-FFF2-40B4-BE49-F238E27FC236}">
              <a16:creationId xmlns:a16="http://schemas.microsoft.com/office/drawing/2014/main" id="{00000000-0008-0000-0E00-0000E207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781050</xdr:colOff>
      <xdr:row>100</xdr:row>
      <xdr:rowOff>0</xdr:rowOff>
    </xdr:from>
    <xdr:to>
      <xdr:col>6</xdr:col>
      <xdr:colOff>15240</xdr:colOff>
      <xdr:row>101</xdr:row>
      <xdr:rowOff>196215</xdr:rowOff>
    </xdr:to>
    <xdr:sp macro="" textlink="">
      <xdr:nvSpPr>
        <xdr:cNvPr id="476" name="AutoShape 10">
          <a:extLst>
            <a:ext uri="{FF2B5EF4-FFF2-40B4-BE49-F238E27FC236}">
              <a16:creationId xmlns:a16="http://schemas.microsoft.com/office/drawing/2014/main" id="{00000000-0008-0000-0E00-0000E4070000}"/>
            </a:ext>
          </a:extLst>
        </xdr:cNvPr>
        <xdr:cNvSpPr>
          <a:spLocks noChangeArrowheads="1"/>
        </xdr:cNvSpPr>
      </xdr:nvSpPr>
      <xdr:spPr>
        <a:xfrm>
          <a:off x="3495675" y="21802725"/>
          <a:ext cx="7105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477" name="AutoShape 11">
          <a:extLst>
            <a:ext uri="{FF2B5EF4-FFF2-40B4-BE49-F238E27FC236}">
              <a16:creationId xmlns:a16="http://schemas.microsoft.com/office/drawing/2014/main" id="{00000000-0008-0000-0E00-0000E507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478" name="AutoShape 13">
          <a:extLst>
            <a:ext uri="{FF2B5EF4-FFF2-40B4-BE49-F238E27FC236}">
              <a16:creationId xmlns:a16="http://schemas.microsoft.com/office/drawing/2014/main" id="{00000000-0008-0000-0E00-0000E707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479" name="AutoShape 14">
          <a:extLst>
            <a:ext uri="{FF2B5EF4-FFF2-40B4-BE49-F238E27FC236}">
              <a16:creationId xmlns:a16="http://schemas.microsoft.com/office/drawing/2014/main" id="{00000000-0008-0000-0E00-0000E807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100</xdr:row>
      <xdr:rowOff>1361</xdr:rowOff>
    </xdr:from>
    <xdr:to>
      <xdr:col>16</xdr:col>
      <xdr:colOff>25400</xdr:colOff>
      <xdr:row>101</xdr:row>
      <xdr:rowOff>191861</xdr:rowOff>
    </xdr:to>
    <xdr:sp macro="" textlink="">
      <xdr:nvSpPr>
        <xdr:cNvPr id="480" name="AutoShape 15">
          <a:extLst>
            <a:ext uri="{FF2B5EF4-FFF2-40B4-BE49-F238E27FC236}">
              <a16:creationId xmlns:a16="http://schemas.microsoft.com/office/drawing/2014/main" id="{00000000-0008-0000-0E00-0000E9070000}"/>
            </a:ext>
          </a:extLst>
        </xdr:cNvPr>
        <xdr:cNvSpPr>
          <a:spLocks noChangeArrowheads="1"/>
        </xdr:cNvSpPr>
      </xdr:nvSpPr>
      <xdr:spPr>
        <a:xfrm>
          <a:off x="10239375" y="21804086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100</xdr:row>
      <xdr:rowOff>0</xdr:rowOff>
    </xdr:from>
    <xdr:to>
      <xdr:col>20</xdr:col>
      <xdr:colOff>23495</xdr:colOff>
      <xdr:row>102</xdr:row>
      <xdr:rowOff>0</xdr:rowOff>
    </xdr:to>
    <xdr:sp macro="" textlink="">
      <xdr:nvSpPr>
        <xdr:cNvPr id="481" name="AutoShape 27">
          <a:extLst>
            <a:ext uri="{FF2B5EF4-FFF2-40B4-BE49-F238E27FC236}">
              <a16:creationId xmlns:a16="http://schemas.microsoft.com/office/drawing/2014/main" id="{00000000-0008-0000-0E00-0000EB070000}"/>
            </a:ext>
          </a:extLst>
        </xdr:cNvPr>
        <xdr:cNvSpPr>
          <a:spLocks noChangeArrowheads="1"/>
        </xdr:cNvSpPr>
      </xdr:nvSpPr>
      <xdr:spPr>
        <a:xfrm>
          <a:off x="12807950" y="21802725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100</xdr:row>
      <xdr:rowOff>0</xdr:rowOff>
    </xdr:from>
    <xdr:to>
      <xdr:col>24</xdr:col>
      <xdr:colOff>0</xdr:colOff>
      <xdr:row>102</xdr:row>
      <xdr:rowOff>0</xdr:rowOff>
    </xdr:to>
    <xdr:sp macro="" textlink="">
      <xdr:nvSpPr>
        <xdr:cNvPr id="482" name="AutoShape 29">
          <a:extLst>
            <a:ext uri="{FF2B5EF4-FFF2-40B4-BE49-F238E27FC236}">
              <a16:creationId xmlns:a16="http://schemas.microsoft.com/office/drawing/2014/main" id="{00000000-0008-0000-0E00-0000EC070000}"/>
            </a:ext>
          </a:extLst>
        </xdr:cNvPr>
        <xdr:cNvSpPr>
          <a:spLocks noChangeArrowheads="1"/>
        </xdr:cNvSpPr>
      </xdr:nvSpPr>
      <xdr:spPr>
        <a:xfrm>
          <a:off x="15408860" y="21802725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107</xdr:row>
      <xdr:rowOff>50800</xdr:rowOff>
    </xdr:from>
    <xdr:to>
      <xdr:col>2</xdr:col>
      <xdr:colOff>12700</xdr:colOff>
      <xdr:row>108</xdr:row>
      <xdr:rowOff>196850</xdr:rowOff>
    </xdr:to>
    <xdr:sp macro="" textlink="">
      <xdr:nvSpPr>
        <xdr:cNvPr id="483" name="AutoShape 21">
          <a:extLst>
            <a:ext uri="{FF2B5EF4-FFF2-40B4-BE49-F238E27FC236}">
              <a16:creationId xmlns:a16="http://schemas.microsoft.com/office/drawing/2014/main" id="{00000000-0008-0000-0E00-0000F2070000}"/>
            </a:ext>
          </a:extLst>
        </xdr:cNvPr>
        <xdr:cNvSpPr>
          <a:spLocks noChangeArrowheads="1"/>
        </xdr:cNvSpPr>
      </xdr:nvSpPr>
      <xdr:spPr>
        <a:xfrm>
          <a:off x="600075" y="2328227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107</xdr:row>
      <xdr:rowOff>23812</xdr:rowOff>
    </xdr:from>
    <xdr:to>
      <xdr:col>4</xdr:col>
      <xdr:colOff>7303</xdr:colOff>
      <xdr:row>108</xdr:row>
      <xdr:rowOff>189955</xdr:rowOff>
    </xdr:to>
    <xdr:sp macro="" textlink="">
      <xdr:nvSpPr>
        <xdr:cNvPr id="484" name="AutoShape 22">
          <a:extLst>
            <a:ext uri="{FF2B5EF4-FFF2-40B4-BE49-F238E27FC236}">
              <a16:creationId xmlns:a16="http://schemas.microsoft.com/office/drawing/2014/main" id="{00000000-0008-0000-0E00-0000F4070000}"/>
            </a:ext>
          </a:extLst>
        </xdr:cNvPr>
        <xdr:cNvSpPr>
          <a:spLocks noChangeArrowheads="1"/>
        </xdr:cNvSpPr>
      </xdr:nvSpPr>
      <xdr:spPr>
        <a:xfrm>
          <a:off x="2159212" y="23255287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107</xdr:row>
      <xdr:rowOff>16510</xdr:rowOff>
    </xdr:from>
    <xdr:to>
      <xdr:col>8</xdr:col>
      <xdr:colOff>15875</xdr:colOff>
      <xdr:row>109</xdr:row>
      <xdr:rowOff>0</xdr:rowOff>
    </xdr:to>
    <xdr:sp macro="" textlink="">
      <xdr:nvSpPr>
        <xdr:cNvPr id="485" name="AutoShape 24">
          <a:extLst>
            <a:ext uri="{FF2B5EF4-FFF2-40B4-BE49-F238E27FC236}">
              <a16:creationId xmlns:a16="http://schemas.microsoft.com/office/drawing/2014/main" id="{00000000-0008-0000-0E00-0000F5070000}"/>
            </a:ext>
          </a:extLst>
        </xdr:cNvPr>
        <xdr:cNvSpPr>
          <a:spLocks noChangeArrowheads="1"/>
        </xdr:cNvSpPr>
      </xdr:nvSpPr>
      <xdr:spPr>
        <a:xfrm>
          <a:off x="4822190" y="23247985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486" name="AutoShape 25">
          <a:extLst>
            <a:ext uri="{FF2B5EF4-FFF2-40B4-BE49-F238E27FC236}">
              <a16:creationId xmlns:a16="http://schemas.microsoft.com/office/drawing/2014/main" id="{00000000-0008-0000-0E00-0000F607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1723</xdr:colOff>
      <xdr:row>106</xdr:row>
      <xdr:rowOff>193145</xdr:rowOff>
    </xdr:from>
    <xdr:to>
      <xdr:col>5</xdr:col>
      <xdr:colOff>698499</xdr:colOff>
      <xdr:row>108</xdr:row>
      <xdr:rowOff>190500</xdr:rowOff>
    </xdr:to>
    <xdr:sp macro="" textlink="">
      <xdr:nvSpPr>
        <xdr:cNvPr id="487" name="AutoShape 207">
          <a:extLst>
            <a:ext uri="{FF2B5EF4-FFF2-40B4-BE49-F238E27FC236}">
              <a16:creationId xmlns:a16="http://schemas.microsoft.com/office/drawing/2014/main" id="{00000000-0008-0000-0E00-0000F7070000}"/>
            </a:ext>
          </a:extLst>
        </xdr:cNvPr>
        <xdr:cNvSpPr>
          <a:spLocks noChangeArrowheads="1"/>
        </xdr:cNvSpPr>
      </xdr:nvSpPr>
      <xdr:spPr>
        <a:xfrm>
          <a:off x="3497398" y="23224595"/>
          <a:ext cx="696776" cy="39740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106</xdr:row>
      <xdr:rowOff>129540</xdr:rowOff>
    </xdr:from>
    <xdr:to>
      <xdr:col>14</xdr:col>
      <xdr:colOff>35719</xdr:colOff>
      <xdr:row>109</xdr:row>
      <xdr:rowOff>0</xdr:rowOff>
    </xdr:to>
    <xdr:sp macro="" textlink="">
      <xdr:nvSpPr>
        <xdr:cNvPr id="488" name="AutoShape 25">
          <a:extLst>
            <a:ext uri="{FF2B5EF4-FFF2-40B4-BE49-F238E27FC236}">
              <a16:creationId xmlns:a16="http://schemas.microsoft.com/office/drawing/2014/main" id="{00000000-0008-0000-0E00-0000F8070000}"/>
            </a:ext>
          </a:extLst>
        </xdr:cNvPr>
        <xdr:cNvSpPr>
          <a:spLocks noChangeArrowheads="1"/>
        </xdr:cNvSpPr>
      </xdr:nvSpPr>
      <xdr:spPr>
        <a:xfrm>
          <a:off x="8873975" y="23160990"/>
          <a:ext cx="801044" cy="4800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489" name="AutoShape 9">
          <a:extLst>
            <a:ext uri="{FF2B5EF4-FFF2-40B4-BE49-F238E27FC236}">
              <a16:creationId xmlns:a16="http://schemas.microsoft.com/office/drawing/2014/main" id="{00000000-0008-0000-0E00-0000F907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490" name="AutoShape 11">
          <a:extLst>
            <a:ext uri="{FF2B5EF4-FFF2-40B4-BE49-F238E27FC236}">
              <a16:creationId xmlns:a16="http://schemas.microsoft.com/office/drawing/2014/main" id="{00000000-0008-0000-0E00-0000FB07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491" name="AutoShape 12">
          <a:extLst>
            <a:ext uri="{FF2B5EF4-FFF2-40B4-BE49-F238E27FC236}">
              <a16:creationId xmlns:a16="http://schemas.microsoft.com/office/drawing/2014/main" id="{00000000-0008-0000-0E00-0000FC07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492" name="AutoShape 13">
          <a:extLst>
            <a:ext uri="{FF2B5EF4-FFF2-40B4-BE49-F238E27FC236}">
              <a16:creationId xmlns:a16="http://schemas.microsoft.com/office/drawing/2014/main" id="{00000000-0008-0000-0E00-0000FD07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493" name="AutoShape 13">
          <a:extLst>
            <a:ext uri="{FF2B5EF4-FFF2-40B4-BE49-F238E27FC236}">
              <a16:creationId xmlns:a16="http://schemas.microsoft.com/office/drawing/2014/main" id="{00000000-0008-0000-0E00-0000FE07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114</xdr:row>
      <xdr:rowOff>0</xdr:rowOff>
    </xdr:from>
    <xdr:to>
      <xdr:col>4</xdr:col>
      <xdr:colOff>27214</xdr:colOff>
      <xdr:row>115</xdr:row>
      <xdr:rowOff>190500</xdr:rowOff>
    </xdr:to>
    <xdr:sp macro="" textlink="">
      <xdr:nvSpPr>
        <xdr:cNvPr id="494" name="AutoShape 15">
          <a:extLst>
            <a:ext uri="{FF2B5EF4-FFF2-40B4-BE49-F238E27FC236}">
              <a16:creationId xmlns:a16="http://schemas.microsoft.com/office/drawing/2014/main" id="{00000000-0008-0000-0E00-0000FF070000}"/>
            </a:ext>
          </a:extLst>
        </xdr:cNvPr>
        <xdr:cNvSpPr>
          <a:spLocks noChangeArrowheads="1"/>
        </xdr:cNvSpPr>
      </xdr:nvSpPr>
      <xdr:spPr>
        <a:xfrm>
          <a:off x="2166620" y="24669750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495" name="AutoShape 16">
          <a:extLst>
            <a:ext uri="{FF2B5EF4-FFF2-40B4-BE49-F238E27FC236}">
              <a16:creationId xmlns:a16="http://schemas.microsoft.com/office/drawing/2014/main" id="{00000000-0008-0000-0E00-00000008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496" name="AutoShape 21">
          <a:extLst>
            <a:ext uri="{FF2B5EF4-FFF2-40B4-BE49-F238E27FC236}">
              <a16:creationId xmlns:a16="http://schemas.microsoft.com/office/drawing/2014/main" id="{00000000-0008-0000-0E00-00000108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497" name="AutoShape 23">
          <a:extLst>
            <a:ext uri="{FF2B5EF4-FFF2-40B4-BE49-F238E27FC236}">
              <a16:creationId xmlns:a16="http://schemas.microsoft.com/office/drawing/2014/main" id="{00000000-0008-0000-0E00-00000308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498" name="AutoShape 24">
          <a:extLst>
            <a:ext uri="{FF2B5EF4-FFF2-40B4-BE49-F238E27FC236}">
              <a16:creationId xmlns:a16="http://schemas.microsoft.com/office/drawing/2014/main" id="{00000000-0008-0000-0E00-00000408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499" name="AutoShape 25">
          <a:extLst>
            <a:ext uri="{FF2B5EF4-FFF2-40B4-BE49-F238E27FC236}">
              <a16:creationId xmlns:a16="http://schemas.microsoft.com/office/drawing/2014/main" id="{00000000-0008-0000-0E00-00000508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114</xdr:row>
      <xdr:rowOff>0</xdr:rowOff>
    </xdr:from>
    <xdr:to>
      <xdr:col>8</xdr:col>
      <xdr:colOff>24765</xdr:colOff>
      <xdr:row>116</xdr:row>
      <xdr:rowOff>0</xdr:rowOff>
    </xdr:to>
    <xdr:sp macro="" textlink="">
      <xdr:nvSpPr>
        <xdr:cNvPr id="500" name="AutoShape 27">
          <a:extLst>
            <a:ext uri="{FF2B5EF4-FFF2-40B4-BE49-F238E27FC236}">
              <a16:creationId xmlns:a16="http://schemas.microsoft.com/office/drawing/2014/main" id="{00000000-0008-0000-0E00-000006080000}"/>
            </a:ext>
          </a:extLst>
        </xdr:cNvPr>
        <xdr:cNvSpPr>
          <a:spLocks noChangeArrowheads="1"/>
        </xdr:cNvSpPr>
      </xdr:nvSpPr>
      <xdr:spPr>
        <a:xfrm>
          <a:off x="4817745" y="24669750"/>
          <a:ext cx="7219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501" name="AutoShape 205">
          <a:extLst>
            <a:ext uri="{FF2B5EF4-FFF2-40B4-BE49-F238E27FC236}">
              <a16:creationId xmlns:a16="http://schemas.microsoft.com/office/drawing/2014/main" id="{00000000-0008-0000-0E00-00000708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22</xdr:col>
      <xdr:colOff>1007745</xdr:colOff>
      <xdr:row>114</xdr:row>
      <xdr:rowOff>51435</xdr:rowOff>
    </xdr:from>
    <xdr:to>
      <xdr:col>24</xdr:col>
      <xdr:colOff>10795</xdr:colOff>
      <xdr:row>115</xdr:row>
      <xdr:rowOff>184785</xdr:rowOff>
    </xdr:to>
    <xdr:sp macro="" textlink="">
      <xdr:nvSpPr>
        <xdr:cNvPr id="502" name="AutoShape 24">
          <a:extLst>
            <a:ext uri="{FF2B5EF4-FFF2-40B4-BE49-F238E27FC236}">
              <a16:creationId xmlns:a16="http://schemas.microsoft.com/office/drawing/2014/main" id="{00000000-0008-0000-0E00-000009080000}"/>
            </a:ext>
          </a:extLst>
        </xdr:cNvPr>
        <xdr:cNvSpPr>
          <a:spLocks noChangeArrowheads="1"/>
        </xdr:cNvSpPr>
      </xdr:nvSpPr>
      <xdr:spPr>
        <a:xfrm>
          <a:off x="15400020" y="24721185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503" name="AutoShape 22">
          <a:extLst>
            <a:ext uri="{FF2B5EF4-FFF2-40B4-BE49-F238E27FC236}">
              <a16:creationId xmlns:a16="http://schemas.microsoft.com/office/drawing/2014/main" id="{00000000-0008-0000-0E00-00000B08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504" name="Line 251">
          <a:extLst>
            <a:ext uri="{FF2B5EF4-FFF2-40B4-BE49-F238E27FC236}">
              <a16:creationId xmlns:a16="http://schemas.microsoft.com/office/drawing/2014/main" id="{00000000-0008-0000-0E00-0000BA08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505" name="Line 251">
          <a:extLst>
            <a:ext uri="{FF2B5EF4-FFF2-40B4-BE49-F238E27FC236}">
              <a16:creationId xmlns:a16="http://schemas.microsoft.com/office/drawing/2014/main" id="{00000000-0008-0000-0E00-0000BC08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506" name="Line 255">
          <a:extLst>
            <a:ext uri="{FF2B5EF4-FFF2-40B4-BE49-F238E27FC236}">
              <a16:creationId xmlns:a16="http://schemas.microsoft.com/office/drawing/2014/main" id="{00000000-0008-0000-0E00-0000BD08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507" name="Picture 506">
          <a:extLst>
            <a:ext uri="{FF2B5EF4-FFF2-40B4-BE49-F238E27FC236}">
              <a16:creationId xmlns:a16="http://schemas.microsoft.com/office/drawing/2014/main" id="{00000000-0008-0000-0E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508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509" name="AutoShape 151">
          <a:extLst>
            <a:ext uri="{FF2B5EF4-FFF2-40B4-BE49-F238E27FC236}">
              <a16:creationId xmlns:a16="http://schemas.microsoft.com/office/drawing/2014/main" id="{00000000-0008-0000-0E00-0000CF08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510" name="Line 155">
          <a:extLst>
            <a:ext uri="{FF2B5EF4-FFF2-40B4-BE49-F238E27FC236}">
              <a16:creationId xmlns:a16="http://schemas.microsoft.com/office/drawing/2014/main" id="{00000000-0008-0000-0E00-0000D008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511" name="Line 156">
          <a:extLst>
            <a:ext uri="{FF2B5EF4-FFF2-40B4-BE49-F238E27FC236}">
              <a16:creationId xmlns:a16="http://schemas.microsoft.com/office/drawing/2014/main" id="{00000000-0008-0000-0E00-0000D108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512" name="Line 157">
          <a:extLst>
            <a:ext uri="{FF2B5EF4-FFF2-40B4-BE49-F238E27FC236}">
              <a16:creationId xmlns:a16="http://schemas.microsoft.com/office/drawing/2014/main" id="{00000000-0008-0000-0E00-0000D208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513" name="Not Equal 512">
          <a:extLst>
            <a:ext uri="{FF2B5EF4-FFF2-40B4-BE49-F238E27FC236}">
              <a16:creationId xmlns:a16="http://schemas.microsoft.com/office/drawing/2014/main" id="{00000000-0008-0000-0E00-0000D408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514" name="Line 157">
          <a:extLst>
            <a:ext uri="{FF2B5EF4-FFF2-40B4-BE49-F238E27FC236}">
              <a16:creationId xmlns:a16="http://schemas.microsoft.com/office/drawing/2014/main" id="{00000000-0008-0000-0E00-0000D508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515" name="Equals 161">
          <a:extLst>
            <a:ext uri="{FF2B5EF4-FFF2-40B4-BE49-F238E27FC236}">
              <a16:creationId xmlns:a16="http://schemas.microsoft.com/office/drawing/2014/main" id="{00000000-0008-0000-0E00-0000D708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516" name="Line 157">
          <a:extLst>
            <a:ext uri="{FF2B5EF4-FFF2-40B4-BE49-F238E27FC236}">
              <a16:creationId xmlns:a16="http://schemas.microsoft.com/office/drawing/2014/main" id="{00000000-0008-0000-0E00-0000D808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517" name="Line 157">
          <a:extLst>
            <a:ext uri="{FF2B5EF4-FFF2-40B4-BE49-F238E27FC236}">
              <a16:creationId xmlns:a16="http://schemas.microsoft.com/office/drawing/2014/main" id="{00000000-0008-0000-0E00-0000D908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518" name="Line 157">
          <a:extLst>
            <a:ext uri="{FF2B5EF4-FFF2-40B4-BE49-F238E27FC236}">
              <a16:creationId xmlns:a16="http://schemas.microsoft.com/office/drawing/2014/main" id="{00000000-0008-0000-0E00-0000DA08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519" name="Freeform 152">
          <a:extLst>
            <a:ext uri="{FF2B5EF4-FFF2-40B4-BE49-F238E27FC236}">
              <a16:creationId xmlns:a16="http://schemas.microsoft.com/office/drawing/2014/main" id="{00000000-0008-0000-0E00-0000DB08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520" name="Line 157">
          <a:extLst>
            <a:ext uri="{FF2B5EF4-FFF2-40B4-BE49-F238E27FC236}">
              <a16:creationId xmlns:a16="http://schemas.microsoft.com/office/drawing/2014/main" id="{00000000-0008-0000-0E00-0000DD08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521" name="Freeform 152">
          <a:extLst>
            <a:ext uri="{FF2B5EF4-FFF2-40B4-BE49-F238E27FC236}">
              <a16:creationId xmlns:a16="http://schemas.microsoft.com/office/drawing/2014/main" id="{00000000-0008-0000-0E00-0000DE08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522" name="Line 157">
          <a:extLst>
            <a:ext uri="{FF2B5EF4-FFF2-40B4-BE49-F238E27FC236}">
              <a16:creationId xmlns:a16="http://schemas.microsoft.com/office/drawing/2014/main" id="{00000000-0008-0000-0E00-0000DF08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523" name="Line 157">
          <a:extLst>
            <a:ext uri="{FF2B5EF4-FFF2-40B4-BE49-F238E27FC236}">
              <a16:creationId xmlns:a16="http://schemas.microsoft.com/office/drawing/2014/main" id="{00000000-0008-0000-0E00-0000E108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524" name="Line 157">
          <a:extLst>
            <a:ext uri="{FF2B5EF4-FFF2-40B4-BE49-F238E27FC236}">
              <a16:creationId xmlns:a16="http://schemas.microsoft.com/office/drawing/2014/main" id="{00000000-0008-0000-0E00-0000E208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525" name="Up-Down Arrow 466">
          <a:extLst>
            <a:ext uri="{FF2B5EF4-FFF2-40B4-BE49-F238E27FC236}">
              <a16:creationId xmlns:a16="http://schemas.microsoft.com/office/drawing/2014/main" id="{00000000-0008-0000-0E00-0000E308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526" name="Line 157">
          <a:extLst>
            <a:ext uri="{FF2B5EF4-FFF2-40B4-BE49-F238E27FC236}">
              <a16:creationId xmlns:a16="http://schemas.microsoft.com/office/drawing/2014/main" id="{00000000-0008-0000-0E00-0000E408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673552</xdr:colOff>
      <xdr:row>22</xdr:row>
      <xdr:rowOff>40822</xdr:rowOff>
    </xdr:from>
    <xdr:to>
      <xdr:col>24</xdr:col>
      <xdr:colOff>19684</xdr:colOff>
      <xdr:row>23</xdr:row>
      <xdr:rowOff>190500</xdr:rowOff>
    </xdr:to>
    <xdr:sp macro="" textlink="">
      <xdr:nvSpPr>
        <xdr:cNvPr id="527" name="AutoShape 14">
          <a:extLst>
            <a:ext uri="{FF2B5EF4-FFF2-40B4-BE49-F238E27FC236}">
              <a16:creationId xmlns:a16="http://schemas.microsoft.com/office/drawing/2014/main" id="{00000000-0008-0000-0E00-0000E5080000}"/>
            </a:ext>
          </a:extLst>
        </xdr:cNvPr>
        <xdr:cNvSpPr>
          <a:spLocks noChangeArrowheads="1"/>
        </xdr:cNvSpPr>
      </xdr:nvSpPr>
      <xdr:spPr>
        <a:xfrm>
          <a:off x="15274016" y="5932715"/>
          <a:ext cx="706847" cy="3537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528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29</xdr:row>
      <xdr:rowOff>19050</xdr:rowOff>
    </xdr:from>
    <xdr:to>
      <xdr:col>10</xdr:col>
      <xdr:colOff>0</xdr:colOff>
      <xdr:row>31</xdr:row>
      <xdr:rowOff>0</xdr:rowOff>
    </xdr:to>
    <xdr:sp macro="" textlink="">
      <xdr:nvSpPr>
        <xdr:cNvPr id="529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73437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530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531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532" name="AutoShape 25">
          <a:extLst>
            <a:ext uri="{FF2B5EF4-FFF2-40B4-BE49-F238E27FC236}">
              <a16:creationId xmlns:a16="http://schemas.microsoft.com/office/drawing/2014/main" id="{00000000-0008-0000-0E00-0000F608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533" name="AutoShape 9">
          <a:extLst>
            <a:ext uri="{FF2B5EF4-FFF2-40B4-BE49-F238E27FC236}">
              <a16:creationId xmlns:a16="http://schemas.microsoft.com/office/drawing/2014/main" id="{00000000-0008-0000-0E00-0000F708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534" name="AutoShape 14">
          <a:extLst>
            <a:ext uri="{FF2B5EF4-FFF2-40B4-BE49-F238E27FC236}">
              <a16:creationId xmlns:a16="http://schemas.microsoft.com/office/drawing/2014/main" id="{00000000-0008-0000-0E00-0000F908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535" name="AutoShape 27">
          <a:extLst>
            <a:ext uri="{FF2B5EF4-FFF2-40B4-BE49-F238E27FC236}">
              <a16:creationId xmlns:a16="http://schemas.microsoft.com/office/drawing/2014/main" id="{00000000-0008-0000-0E00-0000FA08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536" name="AutoShape 217">
          <a:extLst>
            <a:ext uri="{FF2B5EF4-FFF2-40B4-BE49-F238E27FC236}">
              <a16:creationId xmlns:a16="http://schemas.microsoft.com/office/drawing/2014/main" id="{00000000-0008-0000-0E00-0000FB08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1724</xdr:colOff>
      <xdr:row>42</xdr:row>
      <xdr:rowOff>149679</xdr:rowOff>
    </xdr:from>
    <xdr:to>
      <xdr:col>24</xdr:col>
      <xdr:colOff>10795</xdr:colOff>
      <xdr:row>44</xdr:row>
      <xdr:rowOff>202406</xdr:rowOff>
    </xdr:to>
    <xdr:sp macro="" textlink="">
      <xdr:nvSpPr>
        <xdr:cNvPr id="538" name="AutoShape 13">
          <a:extLst>
            <a:ext uri="{FF2B5EF4-FFF2-40B4-BE49-F238E27FC236}">
              <a16:creationId xmlns:a16="http://schemas.microsoft.com/office/drawing/2014/main" id="{00000000-0008-0000-0E00-000002090000}"/>
            </a:ext>
          </a:extLst>
        </xdr:cNvPr>
        <xdr:cNvSpPr>
          <a:spLocks noChangeArrowheads="1"/>
        </xdr:cNvSpPr>
      </xdr:nvSpPr>
      <xdr:spPr>
        <a:xfrm>
          <a:off x="15403649" y="10131879"/>
          <a:ext cx="694871" cy="45277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539" name="AutoShape 14">
          <a:extLst>
            <a:ext uri="{FF2B5EF4-FFF2-40B4-BE49-F238E27FC236}">
              <a16:creationId xmlns:a16="http://schemas.microsoft.com/office/drawing/2014/main" id="{00000000-0008-0000-0E00-00000609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540" name="AutoShape 15">
          <a:extLst>
            <a:ext uri="{FF2B5EF4-FFF2-40B4-BE49-F238E27FC236}">
              <a16:creationId xmlns:a16="http://schemas.microsoft.com/office/drawing/2014/main" id="{00000000-0008-0000-0E00-000007090000}"/>
            </a:ext>
          </a:extLst>
        </xdr:cNvPr>
        <xdr:cNvSpPr>
          <a:spLocks noChangeArrowheads="1"/>
        </xdr:cNvSpPr>
      </xdr:nvSpPr>
      <xdr:spPr>
        <a:xfrm>
          <a:off x="600075" y="11612336"/>
          <a:ext cx="96837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541" name="AutoShape 22">
          <a:extLst>
            <a:ext uri="{FF2B5EF4-FFF2-40B4-BE49-F238E27FC236}">
              <a16:creationId xmlns:a16="http://schemas.microsoft.com/office/drawing/2014/main" id="{00000000-0008-0000-0E00-00000909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0</xdr:colOff>
      <xdr:row>50</xdr:row>
      <xdr:rowOff>19050</xdr:rowOff>
    </xdr:from>
    <xdr:to>
      <xdr:col>18</xdr:col>
      <xdr:colOff>12700</xdr:colOff>
      <xdr:row>52</xdr:row>
      <xdr:rowOff>0</xdr:rowOff>
    </xdr:to>
    <xdr:sp macro="" textlink="">
      <xdr:nvSpPr>
        <xdr:cNvPr id="542" name="AutoShape 23">
          <a:extLst>
            <a:ext uri="{FF2B5EF4-FFF2-40B4-BE49-F238E27FC236}">
              <a16:creationId xmlns:a16="http://schemas.microsoft.com/office/drawing/2014/main" id="{00000000-0008-0000-0E00-00000A090000}"/>
            </a:ext>
          </a:extLst>
        </xdr:cNvPr>
        <xdr:cNvSpPr>
          <a:spLocks noChangeArrowheads="1"/>
        </xdr:cNvSpPr>
      </xdr:nvSpPr>
      <xdr:spPr>
        <a:xfrm>
          <a:off x="11525250" y="1163002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543" name="AutoShape 28">
          <a:extLst>
            <a:ext uri="{FF2B5EF4-FFF2-40B4-BE49-F238E27FC236}">
              <a16:creationId xmlns:a16="http://schemas.microsoft.com/office/drawing/2014/main" id="{00000000-0008-0000-0E00-00000D09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544" name="AutoShape 24">
          <a:extLst>
            <a:ext uri="{FF2B5EF4-FFF2-40B4-BE49-F238E27FC236}">
              <a16:creationId xmlns:a16="http://schemas.microsoft.com/office/drawing/2014/main" id="{00000000-0008-0000-0E00-00000E09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545" name="AutoShape 14">
          <a:extLst>
            <a:ext uri="{FF2B5EF4-FFF2-40B4-BE49-F238E27FC236}">
              <a16:creationId xmlns:a16="http://schemas.microsoft.com/office/drawing/2014/main" id="{00000000-0008-0000-0E00-00001109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546" name="AutoShape 15">
          <a:extLst>
            <a:ext uri="{FF2B5EF4-FFF2-40B4-BE49-F238E27FC236}">
              <a16:creationId xmlns:a16="http://schemas.microsoft.com/office/drawing/2014/main" id="{00000000-0008-0000-0E00-00001209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547" name="AutoShape 9">
          <a:extLst>
            <a:ext uri="{FF2B5EF4-FFF2-40B4-BE49-F238E27FC236}">
              <a16:creationId xmlns:a16="http://schemas.microsoft.com/office/drawing/2014/main" id="{00000000-0008-0000-0E00-000013090000}"/>
            </a:ext>
          </a:extLst>
        </xdr:cNvPr>
        <xdr:cNvSpPr>
          <a:spLocks noChangeArrowheads="1"/>
        </xdr:cNvSpPr>
      </xdr:nvSpPr>
      <xdr:spPr>
        <a:xfrm>
          <a:off x="2159000" y="13039725"/>
          <a:ext cx="673100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548" name="AutoShape 15">
          <a:extLst>
            <a:ext uri="{FF2B5EF4-FFF2-40B4-BE49-F238E27FC236}">
              <a16:creationId xmlns:a16="http://schemas.microsoft.com/office/drawing/2014/main" id="{00000000-0008-0000-0E00-00001409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549" name="AutoShape 205">
          <a:extLst>
            <a:ext uri="{FF2B5EF4-FFF2-40B4-BE49-F238E27FC236}">
              <a16:creationId xmlns:a16="http://schemas.microsoft.com/office/drawing/2014/main" id="{00000000-0008-0000-0E00-00001709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550" name="AutoShape 21">
          <a:extLst>
            <a:ext uri="{FF2B5EF4-FFF2-40B4-BE49-F238E27FC236}">
              <a16:creationId xmlns:a16="http://schemas.microsoft.com/office/drawing/2014/main" id="{00000000-0008-0000-0E00-00001909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551" name="AutoShape 22">
          <a:extLst>
            <a:ext uri="{FF2B5EF4-FFF2-40B4-BE49-F238E27FC236}">
              <a16:creationId xmlns:a16="http://schemas.microsoft.com/office/drawing/2014/main" id="{00000000-0008-0000-0E00-00001C09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24422</xdr:colOff>
      <xdr:row>63</xdr:row>
      <xdr:rowOff>127000</xdr:rowOff>
    </xdr:from>
    <xdr:to>
      <xdr:col>10</xdr:col>
      <xdr:colOff>15874</xdr:colOff>
      <xdr:row>66</xdr:row>
      <xdr:rowOff>0</xdr:rowOff>
    </xdr:to>
    <xdr:sp macro="" textlink="">
      <xdr:nvSpPr>
        <xdr:cNvPr id="552" name="AutoShape 25">
          <a:extLst>
            <a:ext uri="{FF2B5EF4-FFF2-40B4-BE49-F238E27FC236}">
              <a16:creationId xmlns:a16="http://schemas.microsoft.com/office/drawing/2014/main" id="{00000000-0008-0000-0E00-00001E090000}"/>
            </a:ext>
          </a:extLst>
        </xdr:cNvPr>
        <xdr:cNvSpPr>
          <a:spLocks noChangeArrowheads="1"/>
        </xdr:cNvSpPr>
      </xdr:nvSpPr>
      <xdr:spPr>
        <a:xfrm>
          <a:off x="6196622" y="14395450"/>
          <a:ext cx="762977" cy="4826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553" name="AutoShape 25">
          <a:extLst>
            <a:ext uri="{FF2B5EF4-FFF2-40B4-BE49-F238E27FC236}">
              <a16:creationId xmlns:a16="http://schemas.microsoft.com/office/drawing/2014/main" id="{00000000-0008-0000-0E00-00002009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666749</xdr:colOff>
      <xdr:row>64</xdr:row>
      <xdr:rowOff>2337</xdr:rowOff>
    </xdr:from>
    <xdr:to>
      <xdr:col>18</xdr:col>
      <xdr:colOff>24422</xdr:colOff>
      <xdr:row>66</xdr:row>
      <xdr:rowOff>23812</xdr:rowOff>
    </xdr:to>
    <xdr:sp macro="" textlink="">
      <xdr:nvSpPr>
        <xdr:cNvPr id="554" name="AutoShape 10">
          <a:extLst>
            <a:ext uri="{FF2B5EF4-FFF2-40B4-BE49-F238E27FC236}">
              <a16:creationId xmlns:a16="http://schemas.microsoft.com/office/drawing/2014/main" id="{00000000-0008-0000-0E00-000023090000}"/>
            </a:ext>
          </a:extLst>
        </xdr:cNvPr>
        <xdr:cNvSpPr>
          <a:spLocks noChangeArrowheads="1"/>
        </xdr:cNvSpPr>
      </xdr:nvSpPr>
      <xdr:spPr>
        <a:xfrm>
          <a:off x="11441905" y="14670837"/>
          <a:ext cx="691173" cy="43819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555" name="AutoShape 24">
          <a:extLst>
            <a:ext uri="{FF2B5EF4-FFF2-40B4-BE49-F238E27FC236}">
              <a16:creationId xmlns:a16="http://schemas.microsoft.com/office/drawing/2014/main" id="{00000000-0008-0000-0E00-00002E09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1071880</xdr:colOff>
      <xdr:row>71</xdr:row>
      <xdr:rowOff>19050</xdr:rowOff>
    </xdr:from>
    <xdr:to>
      <xdr:col>10</xdr:col>
      <xdr:colOff>38100</xdr:colOff>
      <xdr:row>72</xdr:row>
      <xdr:rowOff>199390</xdr:rowOff>
    </xdr:to>
    <xdr:sp macro="" textlink="">
      <xdr:nvSpPr>
        <xdr:cNvPr id="556" name="AutoShape 28">
          <a:extLst>
            <a:ext uri="{FF2B5EF4-FFF2-40B4-BE49-F238E27FC236}">
              <a16:creationId xmlns:a16="http://schemas.microsoft.com/office/drawing/2014/main" id="{00000000-0008-0000-0E00-000030090000}"/>
            </a:ext>
          </a:extLst>
        </xdr:cNvPr>
        <xdr:cNvSpPr>
          <a:spLocks noChangeArrowheads="1"/>
        </xdr:cNvSpPr>
      </xdr:nvSpPr>
      <xdr:spPr>
        <a:xfrm>
          <a:off x="6167755" y="15916275"/>
          <a:ext cx="81407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595504</xdr:colOff>
      <xdr:row>77</xdr:row>
      <xdr:rowOff>176890</xdr:rowOff>
    </xdr:from>
    <xdr:to>
      <xdr:col>4</xdr:col>
      <xdr:colOff>12211</xdr:colOff>
      <xdr:row>79</xdr:row>
      <xdr:rowOff>195384</xdr:rowOff>
    </xdr:to>
    <xdr:sp macro="" textlink="">
      <xdr:nvSpPr>
        <xdr:cNvPr id="557" name="AutoShape 9">
          <a:extLst>
            <a:ext uri="{FF2B5EF4-FFF2-40B4-BE49-F238E27FC236}">
              <a16:creationId xmlns:a16="http://schemas.microsoft.com/office/drawing/2014/main" id="{00000000-0008-0000-0E00-000037090000}"/>
            </a:ext>
          </a:extLst>
        </xdr:cNvPr>
        <xdr:cNvSpPr>
          <a:spLocks noChangeArrowheads="1"/>
        </xdr:cNvSpPr>
      </xdr:nvSpPr>
      <xdr:spPr>
        <a:xfrm>
          <a:off x="2138554" y="17302840"/>
          <a:ext cx="693057" cy="41854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0</xdr:colOff>
      <xdr:row>77</xdr:row>
      <xdr:rowOff>182995</xdr:rowOff>
    </xdr:from>
    <xdr:to>
      <xdr:col>10</xdr:col>
      <xdr:colOff>12700</xdr:colOff>
      <xdr:row>79</xdr:row>
      <xdr:rowOff>189345</xdr:rowOff>
    </xdr:to>
    <xdr:sp macro="" textlink="">
      <xdr:nvSpPr>
        <xdr:cNvPr id="558" name="AutoShape 12">
          <a:extLst>
            <a:ext uri="{FF2B5EF4-FFF2-40B4-BE49-F238E27FC236}">
              <a16:creationId xmlns:a16="http://schemas.microsoft.com/office/drawing/2014/main" id="{00000000-0008-0000-0E00-000038090000}"/>
            </a:ext>
          </a:extLst>
        </xdr:cNvPr>
        <xdr:cNvSpPr>
          <a:spLocks noChangeArrowheads="1"/>
        </xdr:cNvSpPr>
      </xdr:nvSpPr>
      <xdr:spPr>
        <a:xfrm>
          <a:off x="6172200" y="17308945"/>
          <a:ext cx="7842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77</xdr:row>
      <xdr:rowOff>171450</xdr:rowOff>
    </xdr:from>
    <xdr:to>
      <xdr:col>14</xdr:col>
      <xdr:colOff>19050</xdr:colOff>
      <xdr:row>79</xdr:row>
      <xdr:rowOff>190500</xdr:rowOff>
    </xdr:to>
    <xdr:sp macro="" textlink="">
      <xdr:nvSpPr>
        <xdr:cNvPr id="559" name="AutoShape 14">
          <a:extLst>
            <a:ext uri="{FF2B5EF4-FFF2-40B4-BE49-F238E27FC236}">
              <a16:creationId xmlns:a16="http://schemas.microsoft.com/office/drawing/2014/main" id="{00000000-0008-0000-0E00-000039090000}"/>
            </a:ext>
          </a:extLst>
        </xdr:cNvPr>
        <xdr:cNvSpPr>
          <a:spLocks noChangeArrowheads="1"/>
        </xdr:cNvSpPr>
      </xdr:nvSpPr>
      <xdr:spPr>
        <a:xfrm>
          <a:off x="8877300" y="17297400"/>
          <a:ext cx="781050" cy="4191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560" name="AutoShape 27">
          <a:extLst>
            <a:ext uri="{FF2B5EF4-FFF2-40B4-BE49-F238E27FC236}">
              <a16:creationId xmlns:a16="http://schemas.microsoft.com/office/drawing/2014/main" id="{00000000-0008-0000-0E00-00003B09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561" name="AutoShape 28">
          <a:extLst>
            <a:ext uri="{FF2B5EF4-FFF2-40B4-BE49-F238E27FC236}">
              <a16:creationId xmlns:a16="http://schemas.microsoft.com/office/drawing/2014/main" id="{00000000-0008-0000-0E00-00003C09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562" name="AutoShape 29">
          <a:extLst>
            <a:ext uri="{FF2B5EF4-FFF2-40B4-BE49-F238E27FC236}">
              <a16:creationId xmlns:a16="http://schemas.microsoft.com/office/drawing/2014/main" id="{00000000-0008-0000-0E00-00003D09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563" name="AutoShape 21">
          <a:extLst>
            <a:ext uri="{FF2B5EF4-FFF2-40B4-BE49-F238E27FC236}">
              <a16:creationId xmlns:a16="http://schemas.microsoft.com/office/drawing/2014/main" id="{00000000-0008-0000-0E00-00003E09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566" name="AutoShape 13">
          <a:extLst>
            <a:ext uri="{FF2B5EF4-FFF2-40B4-BE49-F238E27FC236}">
              <a16:creationId xmlns:a16="http://schemas.microsoft.com/office/drawing/2014/main" id="{00000000-0008-0000-0E00-00004209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567" name="AutoShape 14">
          <a:extLst>
            <a:ext uri="{FF2B5EF4-FFF2-40B4-BE49-F238E27FC236}">
              <a16:creationId xmlns:a16="http://schemas.microsoft.com/office/drawing/2014/main" id="{00000000-0008-0000-0E00-00004509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568" name="AutoShape 15">
          <a:extLst>
            <a:ext uri="{FF2B5EF4-FFF2-40B4-BE49-F238E27FC236}">
              <a16:creationId xmlns:a16="http://schemas.microsoft.com/office/drawing/2014/main" id="{00000000-0008-0000-0E00-00004909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569" name="AutoShape 21">
          <a:extLst>
            <a:ext uri="{FF2B5EF4-FFF2-40B4-BE49-F238E27FC236}">
              <a16:creationId xmlns:a16="http://schemas.microsoft.com/office/drawing/2014/main" id="{00000000-0008-0000-0E00-00004B09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570" name="AutoShape 22">
          <a:extLst>
            <a:ext uri="{FF2B5EF4-FFF2-40B4-BE49-F238E27FC236}">
              <a16:creationId xmlns:a16="http://schemas.microsoft.com/office/drawing/2014/main" id="{00000000-0008-0000-0E00-00004C09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571" name="AutoShape 24">
          <a:extLst>
            <a:ext uri="{FF2B5EF4-FFF2-40B4-BE49-F238E27FC236}">
              <a16:creationId xmlns:a16="http://schemas.microsoft.com/office/drawing/2014/main" id="{00000000-0008-0000-0E00-00004E09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572" name="AutoShape 27">
          <a:extLst>
            <a:ext uri="{FF2B5EF4-FFF2-40B4-BE49-F238E27FC236}">
              <a16:creationId xmlns:a16="http://schemas.microsoft.com/office/drawing/2014/main" id="{00000000-0008-0000-0E00-00005009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573" name="AutoShape 28">
          <a:extLst>
            <a:ext uri="{FF2B5EF4-FFF2-40B4-BE49-F238E27FC236}">
              <a16:creationId xmlns:a16="http://schemas.microsoft.com/office/drawing/2014/main" id="{00000000-0008-0000-0E00-00005109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574" name="AutoShape 24">
          <a:extLst>
            <a:ext uri="{FF2B5EF4-FFF2-40B4-BE49-F238E27FC236}">
              <a16:creationId xmlns:a16="http://schemas.microsoft.com/office/drawing/2014/main" id="{00000000-0008-0000-0E00-00005209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904875</xdr:colOff>
      <xdr:row>100</xdr:row>
      <xdr:rowOff>17780</xdr:rowOff>
    </xdr:from>
    <xdr:to>
      <xdr:col>2</xdr:col>
      <xdr:colOff>38100</xdr:colOff>
      <xdr:row>101</xdr:row>
      <xdr:rowOff>198755</xdr:rowOff>
    </xdr:to>
    <xdr:sp macro="" textlink="">
      <xdr:nvSpPr>
        <xdr:cNvPr id="575" name="AutoShape 25">
          <a:extLst>
            <a:ext uri="{FF2B5EF4-FFF2-40B4-BE49-F238E27FC236}">
              <a16:creationId xmlns:a16="http://schemas.microsoft.com/office/drawing/2014/main" id="{00000000-0008-0000-0E00-000060090000}"/>
            </a:ext>
          </a:extLst>
        </xdr:cNvPr>
        <xdr:cNvSpPr>
          <a:spLocks noChangeArrowheads="1"/>
        </xdr:cNvSpPr>
      </xdr:nvSpPr>
      <xdr:spPr>
        <a:xfrm>
          <a:off x="600075" y="21820505"/>
          <a:ext cx="98107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576" name="AutoShape 11">
          <a:extLst>
            <a:ext uri="{FF2B5EF4-FFF2-40B4-BE49-F238E27FC236}">
              <a16:creationId xmlns:a16="http://schemas.microsoft.com/office/drawing/2014/main" id="{00000000-0008-0000-0E00-00006209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577" name="AutoShape 13">
          <a:extLst>
            <a:ext uri="{FF2B5EF4-FFF2-40B4-BE49-F238E27FC236}">
              <a16:creationId xmlns:a16="http://schemas.microsoft.com/office/drawing/2014/main" id="{00000000-0008-0000-0E00-00006409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578" name="AutoShape 14">
          <a:extLst>
            <a:ext uri="{FF2B5EF4-FFF2-40B4-BE49-F238E27FC236}">
              <a16:creationId xmlns:a16="http://schemas.microsoft.com/office/drawing/2014/main" id="{00000000-0008-0000-0E00-00006509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100</xdr:row>
      <xdr:rowOff>19050</xdr:rowOff>
    </xdr:from>
    <xdr:to>
      <xdr:col>22</xdr:col>
      <xdr:colOff>0</xdr:colOff>
      <xdr:row>102</xdr:row>
      <xdr:rowOff>0</xdr:rowOff>
    </xdr:to>
    <xdr:sp macro="" textlink="">
      <xdr:nvSpPr>
        <xdr:cNvPr id="579" name="AutoShape 28">
          <a:extLst>
            <a:ext uri="{FF2B5EF4-FFF2-40B4-BE49-F238E27FC236}">
              <a16:creationId xmlns:a16="http://schemas.microsoft.com/office/drawing/2014/main" id="{00000000-0008-0000-0E00-000067090000}"/>
            </a:ext>
          </a:extLst>
        </xdr:cNvPr>
        <xdr:cNvSpPr>
          <a:spLocks noChangeArrowheads="1"/>
        </xdr:cNvSpPr>
      </xdr:nvSpPr>
      <xdr:spPr>
        <a:xfrm>
          <a:off x="14082032" y="21821775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580" name="AutoShape 25">
          <a:extLst>
            <a:ext uri="{FF2B5EF4-FFF2-40B4-BE49-F238E27FC236}">
              <a16:creationId xmlns:a16="http://schemas.microsoft.com/office/drawing/2014/main" id="{00000000-0008-0000-0E00-00006D09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107</xdr:row>
      <xdr:rowOff>43542</xdr:rowOff>
    </xdr:from>
    <xdr:to>
      <xdr:col>15</xdr:col>
      <xdr:colOff>609600</xdr:colOff>
      <xdr:row>108</xdr:row>
      <xdr:rowOff>200230</xdr:rowOff>
    </xdr:to>
    <xdr:sp macro="" textlink="">
      <xdr:nvSpPr>
        <xdr:cNvPr id="581" name="AutoShape 9">
          <a:extLst>
            <a:ext uri="{FF2B5EF4-FFF2-40B4-BE49-F238E27FC236}">
              <a16:creationId xmlns:a16="http://schemas.microsoft.com/office/drawing/2014/main" id="{00000000-0008-0000-0E00-00006E090000}"/>
            </a:ext>
          </a:extLst>
        </xdr:cNvPr>
        <xdr:cNvSpPr>
          <a:spLocks noChangeArrowheads="1"/>
        </xdr:cNvSpPr>
      </xdr:nvSpPr>
      <xdr:spPr>
        <a:xfrm>
          <a:off x="10239375" y="23275017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107</xdr:row>
      <xdr:rowOff>13606</xdr:rowOff>
    </xdr:from>
    <xdr:to>
      <xdr:col>19</xdr:col>
      <xdr:colOff>598714</xdr:colOff>
      <xdr:row>108</xdr:row>
      <xdr:rowOff>197262</xdr:rowOff>
    </xdr:to>
    <xdr:sp macro="" textlink="">
      <xdr:nvSpPr>
        <xdr:cNvPr id="582" name="AutoShape 11">
          <a:extLst>
            <a:ext uri="{FF2B5EF4-FFF2-40B4-BE49-F238E27FC236}">
              <a16:creationId xmlns:a16="http://schemas.microsoft.com/office/drawing/2014/main" id="{00000000-0008-0000-0E00-000070090000}"/>
            </a:ext>
          </a:extLst>
        </xdr:cNvPr>
        <xdr:cNvSpPr>
          <a:spLocks noChangeArrowheads="1"/>
        </xdr:cNvSpPr>
      </xdr:nvSpPr>
      <xdr:spPr>
        <a:xfrm>
          <a:off x="12811668" y="23245081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583" name="AutoShape 12">
          <a:extLst>
            <a:ext uri="{FF2B5EF4-FFF2-40B4-BE49-F238E27FC236}">
              <a16:creationId xmlns:a16="http://schemas.microsoft.com/office/drawing/2014/main" id="{00000000-0008-0000-0E00-00007109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584" name="AutoShape 13">
          <a:extLst>
            <a:ext uri="{FF2B5EF4-FFF2-40B4-BE49-F238E27FC236}">
              <a16:creationId xmlns:a16="http://schemas.microsoft.com/office/drawing/2014/main" id="{00000000-0008-0000-0E00-00007209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585" name="AutoShape 13">
          <a:extLst>
            <a:ext uri="{FF2B5EF4-FFF2-40B4-BE49-F238E27FC236}">
              <a16:creationId xmlns:a16="http://schemas.microsoft.com/office/drawing/2014/main" id="{00000000-0008-0000-0E00-00007309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586" name="AutoShape 16">
          <a:extLst>
            <a:ext uri="{FF2B5EF4-FFF2-40B4-BE49-F238E27FC236}">
              <a16:creationId xmlns:a16="http://schemas.microsoft.com/office/drawing/2014/main" id="{00000000-0008-0000-0E00-00007409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587" name="AutoShape 21">
          <a:extLst>
            <a:ext uri="{FF2B5EF4-FFF2-40B4-BE49-F238E27FC236}">
              <a16:creationId xmlns:a16="http://schemas.microsoft.com/office/drawing/2014/main" id="{00000000-0008-0000-0E00-00007509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588" name="AutoShape 23">
          <a:extLst>
            <a:ext uri="{FF2B5EF4-FFF2-40B4-BE49-F238E27FC236}">
              <a16:creationId xmlns:a16="http://schemas.microsoft.com/office/drawing/2014/main" id="{00000000-0008-0000-0E00-00007609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589" name="AutoShape 24">
          <a:extLst>
            <a:ext uri="{FF2B5EF4-FFF2-40B4-BE49-F238E27FC236}">
              <a16:creationId xmlns:a16="http://schemas.microsoft.com/office/drawing/2014/main" id="{00000000-0008-0000-0E00-00007709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590" name="AutoShape 25">
          <a:extLst>
            <a:ext uri="{FF2B5EF4-FFF2-40B4-BE49-F238E27FC236}">
              <a16:creationId xmlns:a16="http://schemas.microsoft.com/office/drawing/2014/main" id="{00000000-0008-0000-0E00-00007809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591" name="AutoShape 205">
          <a:extLst>
            <a:ext uri="{FF2B5EF4-FFF2-40B4-BE49-F238E27FC236}">
              <a16:creationId xmlns:a16="http://schemas.microsoft.com/office/drawing/2014/main" id="{00000000-0008-0000-0E00-00007909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592" name="AutoShape 22">
          <a:extLst>
            <a:ext uri="{FF2B5EF4-FFF2-40B4-BE49-F238E27FC236}">
              <a16:creationId xmlns:a16="http://schemas.microsoft.com/office/drawing/2014/main" id="{00000000-0008-0000-0E00-00007C09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18</xdr:row>
      <xdr:rowOff>6350</xdr:rowOff>
    </xdr:from>
    <xdr:to>
      <xdr:col>2</xdr:col>
      <xdr:colOff>19050</xdr:colOff>
      <xdr:row>20</xdr:row>
      <xdr:rowOff>6350</xdr:rowOff>
    </xdr:to>
    <xdr:sp macro="" textlink="">
      <xdr:nvSpPr>
        <xdr:cNvPr id="593" name="Line 251">
          <a:extLst>
            <a:ext uri="{FF2B5EF4-FFF2-40B4-BE49-F238E27FC236}">
              <a16:creationId xmlns:a16="http://schemas.microsoft.com/office/drawing/2014/main" id="{00000000-0008-0000-0E00-00000A0A0000}"/>
            </a:ext>
          </a:extLst>
        </xdr:cNvPr>
        <xdr:cNvSpPr>
          <a:spLocks noChangeShapeType="1"/>
        </xdr:cNvSpPr>
      </xdr:nvSpPr>
      <xdr:spPr>
        <a:xfrm>
          <a:off x="600075" y="5092700"/>
          <a:ext cx="962025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6350</xdr:rowOff>
    </xdr:from>
    <xdr:to>
      <xdr:col>26</xdr:col>
      <xdr:colOff>19050</xdr:colOff>
      <xdr:row>15</xdr:row>
      <xdr:rowOff>6350</xdr:rowOff>
    </xdr:to>
    <xdr:sp macro="" textlink="">
      <xdr:nvSpPr>
        <xdr:cNvPr id="59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7335500" y="3892550"/>
          <a:ext cx="19050" cy="5905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0</xdr:colOff>
      <xdr:row>13</xdr:row>
      <xdr:rowOff>22225</xdr:rowOff>
    </xdr:from>
    <xdr:to>
      <xdr:col>26</xdr:col>
      <xdr:colOff>5080</xdr:colOff>
      <xdr:row>14</xdr:row>
      <xdr:rowOff>180975</xdr:rowOff>
    </xdr:to>
    <xdr:sp macro="" textlink="">
      <xdr:nvSpPr>
        <xdr:cNvPr id="595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7335500" y="3908425"/>
          <a:ext cx="5080" cy="454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0</xdr:colOff>
      <xdr:row>20</xdr:row>
      <xdr:rowOff>0</xdr:rowOff>
    </xdr:from>
    <xdr:ext cx="517878" cy="204188"/>
    <xdr:pic>
      <xdr:nvPicPr>
        <xdr:cNvPr id="596" name="Picture 595">
          <a:extLst>
            <a:ext uri="{FF2B5EF4-FFF2-40B4-BE49-F238E27FC236}">
              <a16:creationId xmlns:a16="http://schemas.microsoft.com/office/drawing/2014/main" id="{00000000-0008-0000-0E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43725" y="5505450"/>
          <a:ext cx="517878" cy="20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963295</xdr:colOff>
      <xdr:row>29</xdr:row>
      <xdr:rowOff>0</xdr:rowOff>
    </xdr:from>
    <xdr:to>
      <xdr:col>4</xdr:col>
      <xdr:colOff>37465</xdr:colOff>
      <xdr:row>30</xdr:row>
      <xdr:rowOff>190500</xdr:rowOff>
    </xdr:to>
    <xdr:sp macro="" textlink="">
      <xdr:nvSpPr>
        <xdr:cNvPr id="597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7324725"/>
          <a:ext cx="70294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57150</xdr:colOff>
      <xdr:row>3</xdr:row>
      <xdr:rowOff>31750</xdr:rowOff>
    </xdr:from>
    <xdr:to>
      <xdr:col>10</xdr:col>
      <xdr:colOff>641350</xdr:colOff>
      <xdr:row>4</xdr:row>
      <xdr:rowOff>203200</xdr:rowOff>
    </xdr:to>
    <xdr:sp macro="" textlink="">
      <xdr:nvSpPr>
        <xdr:cNvPr id="598" name="AutoShape 151">
          <a:extLst>
            <a:ext uri="{FF2B5EF4-FFF2-40B4-BE49-F238E27FC236}">
              <a16:creationId xmlns:a16="http://schemas.microsoft.com/office/drawing/2014/main" id="{00000000-0008-0000-0E00-00001F0A0000}"/>
            </a:ext>
          </a:extLst>
        </xdr:cNvPr>
        <xdr:cNvSpPr>
          <a:spLocks noChangeArrowheads="1"/>
        </xdr:cNvSpPr>
      </xdr:nvSpPr>
      <xdr:spPr>
        <a:xfrm>
          <a:off x="7000875" y="860425"/>
          <a:ext cx="546100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19050</xdr:colOff>
      <xdr:row>3</xdr:row>
      <xdr:rowOff>31750</xdr:rowOff>
    </xdr:from>
    <xdr:to>
      <xdr:col>12</xdr:col>
      <xdr:colOff>647700</xdr:colOff>
      <xdr:row>4</xdr:row>
      <xdr:rowOff>203200</xdr:rowOff>
    </xdr:to>
    <xdr:sp macro="" textlink="">
      <xdr:nvSpPr>
        <xdr:cNvPr id="599" name="Line 155">
          <a:extLst>
            <a:ext uri="{FF2B5EF4-FFF2-40B4-BE49-F238E27FC236}">
              <a16:creationId xmlns:a16="http://schemas.microsoft.com/office/drawing/2014/main" id="{00000000-0008-0000-0E00-0000200A0000}"/>
            </a:ext>
          </a:extLst>
        </xdr:cNvPr>
        <xdr:cNvSpPr>
          <a:spLocks noChangeShapeType="1"/>
        </xdr:cNvSpPr>
      </xdr:nvSpPr>
      <xdr:spPr>
        <a:xfrm flipV="1">
          <a:off x="8286750" y="860425"/>
          <a:ext cx="590550" cy="4667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</xdr:row>
      <xdr:rowOff>19050</xdr:rowOff>
    </xdr:from>
    <xdr:to>
      <xdr:col>12</xdr:col>
      <xdr:colOff>660400</xdr:colOff>
      <xdr:row>5</xdr:row>
      <xdr:rowOff>0</xdr:rowOff>
    </xdr:to>
    <xdr:sp macro="" textlink="">
      <xdr:nvSpPr>
        <xdr:cNvPr id="600" name="Line 156">
          <a:extLst>
            <a:ext uri="{FF2B5EF4-FFF2-40B4-BE49-F238E27FC236}">
              <a16:creationId xmlns:a16="http://schemas.microsoft.com/office/drawing/2014/main" id="{00000000-0008-0000-0E00-0000210A0000}"/>
            </a:ext>
          </a:extLst>
        </xdr:cNvPr>
        <xdr:cNvSpPr>
          <a:spLocks noChangeShapeType="1"/>
        </xdr:cNvSpPr>
      </xdr:nvSpPr>
      <xdr:spPr>
        <a:xfrm>
          <a:off x="8267700" y="847725"/>
          <a:ext cx="612775" cy="5810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317500</xdr:colOff>
      <xdr:row>5</xdr:row>
      <xdr:rowOff>0</xdr:rowOff>
    </xdr:from>
    <xdr:to>
      <xdr:col>12</xdr:col>
      <xdr:colOff>400050</xdr:colOff>
      <xdr:row>6</xdr:row>
      <xdr:rowOff>44450</xdr:rowOff>
    </xdr:to>
    <xdr:sp macro="" textlink="">
      <xdr:nvSpPr>
        <xdr:cNvPr id="601" name="Line 157">
          <a:extLst>
            <a:ext uri="{FF2B5EF4-FFF2-40B4-BE49-F238E27FC236}">
              <a16:creationId xmlns:a16="http://schemas.microsoft.com/office/drawing/2014/main" id="{00000000-0008-0000-0E00-0000220A0000}"/>
            </a:ext>
          </a:extLst>
        </xdr:cNvPr>
        <xdr:cNvSpPr>
          <a:spLocks noChangeShapeType="1"/>
        </xdr:cNvSpPr>
      </xdr:nvSpPr>
      <xdr:spPr>
        <a:xfrm flipH="1" flipV="1">
          <a:off x="8585200" y="1428750"/>
          <a:ext cx="82550" cy="349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377332</xdr:colOff>
      <xdr:row>6</xdr:row>
      <xdr:rowOff>161698</xdr:rowOff>
    </xdr:from>
    <xdr:to>
      <xdr:col>20</xdr:col>
      <xdr:colOff>222506</xdr:colOff>
      <xdr:row>15</xdr:row>
      <xdr:rowOff>0</xdr:rowOff>
    </xdr:to>
    <xdr:sp macro="" textlink="">
      <xdr:nvSpPr>
        <xdr:cNvPr id="602" name="Not Equal 601">
          <a:extLst>
            <a:ext uri="{FF2B5EF4-FFF2-40B4-BE49-F238E27FC236}">
              <a16:creationId xmlns:a16="http://schemas.microsoft.com/office/drawing/2014/main" id="{00000000-0008-0000-0E00-0000240A0000}"/>
            </a:ext>
          </a:extLst>
        </xdr:cNvPr>
        <xdr:cNvSpPr/>
      </xdr:nvSpPr>
      <xdr:spPr>
        <a:xfrm rot="5234537">
          <a:off x="12148906" y="2934799"/>
          <a:ext cx="2581502" cy="502399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230909</xdr:colOff>
      <xdr:row>7</xdr:row>
      <xdr:rowOff>199737</xdr:rowOff>
    </xdr:from>
    <xdr:to>
      <xdr:col>15</xdr:col>
      <xdr:colOff>254000</xdr:colOff>
      <xdr:row>10</xdr:row>
      <xdr:rowOff>161637</xdr:rowOff>
    </xdr:to>
    <xdr:sp macro="" textlink="">
      <xdr:nvSpPr>
        <xdr:cNvPr id="603" name="Line 157">
          <a:extLst>
            <a:ext uri="{FF2B5EF4-FFF2-40B4-BE49-F238E27FC236}">
              <a16:creationId xmlns:a16="http://schemas.microsoft.com/office/drawing/2014/main" id="{00000000-0008-0000-0E00-0000250A0000}"/>
            </a:ext>
          </a:extLst>
        </xdr:cNvPr>
        <xdr:cNvSpPr>
          <a:spLocks noChangeShapeType="1"/>
        </xdr:cNvSpPr>
      </xdr:nvSpPr>
      <xdr:spPr>
        <a:xfrm flipH="1" flipV="1">
          <a:off x="10470284" y="2228562"/>
          <a:ext cx="23091" cy="85725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136070</xdr:colOff>
      <xdr:row>2</xdr:row>
      <xdr:rowOff>191940</xdr:rowOff>
    </xdr:from>
    <xdr:to>
      <xdr:col>20</xdr:col>
      <xdr:colOff>405294</xdr:colOff>
      <xdr:row>6</xdr:row>
      <xdr:rowOff>179870</xdr:rowOff>
    </xdr:to>
    <xdr:sp macro="" textlink="">
      <xdr:nvSpPr>
        <xdr:cNvPr id="604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13140229" y="1180006"/>
          <a:ext cx="119760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18</xdr:col>
      <xdr:colOff>508000</xdr:colOff>
      <xdr:row>5</xdr:row>
      <xdr:rowOff>63500</xdr:rowOff>
    </xdr:from>
    <xdr:to>
      <xdr:col>19</xdr:col>
      <xdr:colOff>266700</xdr:colOff>
      <xdr:row>5</xdr:row>
      <xdr:rowOff>88900</xdr:rowOff>
    </xdr:to>
    <xdr:sp macro="" textlink="">
      <xdr:nvSpPr>
        <xdr:cNvPr id="605" name="Line 157">
          <a:extLst>
            <a:ext uri="{FF2B5EF4-FFF2-40B4-BE49-F238E27FC236}">
              <a16:creationId xmlns:a16="http://schemas.microsoft.com/office/drawing/2014/main" id="{00000000-0008-0000-0E00-0000280A0000}"/>
            </a:ext>
          </a:extLst>
        </xdr:cNvPr>
        <xdr:cNvSpPr>
          <a:spLocks noChangeShapeType="1"/>
        </xdr:cNvSpPr>
      </xdr:nvSpPr>
      <xdr:spPr>
        <a:xfrm>
          <a:off x="12719050" y="1492250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565150</xdr:colOff>
      <xdr:row>12</xdr:row>
      <xdr:rowOff>6350</xdr:rowOff>
    </xdr:from>
    <xdr:to>
      <xdr:col>19</xdr:col>
      <xdr:colOff>298450</xdr:colOff>
      <xdr:row>12</xdr:row>
      <xdr:rowOff>31750</xdr:rowOff>
    </xdr:to>
    <xdr:sp macro="" textlink="">
      <xdr:nvSpPr>
        <xdr:cNvPr id="606" name="Line 157">
          <a:extLst>
            <a:ext uri="{FF2B5EF4-FFF2-40B4-BE49-F238E27FC236}">
              <a16:creationId xmlns:a16="http://schemas.microsoft.com/office/drawing/2014/main" id="{00000000-0008-0000-0E00-0000290A0000}"/>
            </a:ext>
          </a:extLst>
        </xdr:cNvPr>
        <xdr:cNvSpPr>
          <a:spLocks noChangeShapeType="1"/>
        </xdr:cNvSpPr>
      </xdr:nvSpPr>
      <xdr:spPr>
        <a:xfrm flipV="1">
          <a:off x="12776200" y="3521075"/>
          <a:ext cx="3333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148771</xdr:colOff>
      <xdr:row>5</xdr:row>
      <xdr:rowOff>97971</xdr:rowOff>
    </xdr:from>
    <xdr:to>
      <xdr:col>22</xdr:col>
      <xdr:colOff>637721</xdr:colOff>
      <xdr:row>5</xdr:row>
      <xdr:rowOff>97971</xdr:rowOff>
    </xdr:to>
    <xdr:sp macro="" textlink="">
      <xdr:nvSpPr>
        <xdr:cNvPr id="607" name="Line 157">
          <a:extLst>
            <a:ext uri="{FF2B5EF4-FFF2-40B4-BE49-F238E27FC236}">
              <a16:creationId xmlns:a16="http://schemas.microsoft.com/office/drawing/2014/main" id="{00000000-0008-0000-0E00-00002A0A0000}"/>
            </a:ext>
          </a:extLst>
        </xdr:cNvPr>
        <xdr:cNvSpPr>
          <a:spLocks noChangeShapeType="1"/>
        </xdr:cNvSpPr>
      </xdr:nvSpPr>
      <xdr:spPr>
        <a:xfrm>
          <a:off x="14874421" y="1526721"/>
          <a:ext cx="4889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57150</xdr:colOff>
      <xdr:row>7</xdr:row>
      <xdr:rowOff>12699</xdr:rowOff>
    </xdr:from>
    <xdr:to>
      <xdr:col>16</xdr:col>
      <xdr:colOff>80818</xdr:colOff>
      <xdr:row>7</xdr:row>
      <xdr:rowOff>196272</xdr:rowOff>
    </xdr:to>
    <xdr:sp macro="" textlink="">
      <xdr:nvSpPr>
        <xdr:cNvPr id="6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696450" y="2041524"/>
          <a:ext cx="1309543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128732</xdr:colOff>
      <xdr:row>10</xdr:row>
      <xdr:rowOff>103910</xdr:rowOff>
    </xdr:from>
    <xdr:to>
      <xdr:col>12</xdr:col>
      <xdr:colOff>381000</xdr:colOff>
      <xdr:row>13</xdr:row>
      <xdr:rowOff>21359</xdr:rowOff>
    </xdr:to>
    <xdr:sp macro="" textlink="">
      <xdr:nvSpPr>
        <xdr:cNvPr id="609" name="Line 157">
          <a:extLst>
            <a:ext uri="{FF2B5EF4-FFF2-40B4-BE49-F238E27FC236}">
              <a16:creationId xmlns:a16="http://schemas.microsoft.com/office/drawing/2014/main" id="{00000000-0008-0000-0E00-00002D0A0000}"/>
            </a:ext>
          </a:extLst>
        </xdr:cNvPr>
        <xdr:cNvSpPr>
          <a:spLocks noChangeShapeType="1"/>
        </xdr:cNvSpPr>
      </xdr:nvSpPr>
      <xdr:spPr>
        <a:xfrm flipV="1">
          <a:off x="8396432" y="3028085"/>
          <a:ext cx="252268" cy="879474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184727</xdr:colOff>
      <xdr:row>13</xdr:row>
      <xdr:rowOff>11547</xdr:rowOff>
    </xdr:from>
    <xdr:to>
      <xdr:col>16</xdr:col>
      <xdr:colOff>208395</xdr:colOff>
      <xdr:row>13</xdr:row>
      <xdr:rowOff>57729</xdr:rowOff>
    </xdr:to>
    <xdr:sp macro="" textlink="">
      <xdr:nvSpPr>
        <xdr:cNvPr id="610" name="Freeform 152">
          <a:extLst>
            <a:ext uri="{FF2B5EF4-FFF2-40B4-BE49-F238E27FC236}">
              <a16:creationId xmlns:a16="http://schemas.microsoft.com/office/drawing/2014/main" id="{00000000-0008-0000-0E00-00002E0A0000}"/>
            </a:ext>
          </a:extLst>
        </xdr:cNvPr>
        <xdr:cNvSpPr/>
      </xdr:nvSpPr>
      <xdr:spPr>
        <a:xfrm>
          <a:off x="9824027" y="3897747"/>
          <a:ext cx="1309543" cy="4618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16</xdr:col>
      <xdr:colOff>69273</xdr:colOff>
      <xdr:row>13</xdr:row>
      <xdr:rowOff>69273</xdr:rowOff>
    </xdr:from>
    <xdr:to>
      <xdr:col>16</xdr:col>
      <xdr:colOff>92364</xdr:colOff>
      <xdr:row>15</xdr:row>
      <xdr:rowOff>0</xdr:rowOff>
    </xdr:to>
    <xdr:sp macro="" textlink="">
      <xdr:nvSpPr>
        <xdr:cNvPr id="611" name="Line 157">
          <a:extLst>
            <a:ext uri="{FF2B5EF4-FFF2-40B4-BE49-F238E27FC236}">
              <a16:creationId xmlns:a16="http://schemas.microsoft.com/office/drawing/2014/main" id="{00000000-0008-0000-0E00-00002F0A0000}"/>
            </a:ext>
          </a:extLst>
        </xdr:cNvPr>
        <xdr:cNvSpPr>
          <a:spLocks noChangeShapeType="1"/>
        </xdr:cNvSpPr>
      </xdr:nvSpPr>
      <xdr:spPr>
        <a:xfrm flipH="1" flipV="1">
          <a:off x="10994448" y="3955473"/>
          <a:ext cx="23091" cy="521277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5443</xdr:colOff>
      <xdr:row>13</xdr:row>
      <xdr:rowOff>156936</xdr:rowOff>
    </xdr:from>
    <xdr:to>
      <xdr:col>22</xdr:col>
      <xdr:colOff>752022</xdr:colOff>
      <xdr:row>13</xdr:row>
      <xdr:rowOff>156936</xdr:rowOff>
    </xdr:to>
    <xdr:sp macro="" textlink="">
      <xdr:nvSpPr>
        <xdr:cNvPr id="612" name="Line 157">
          <a:extLst>
            <a:ext uri="{FF2B5EF4-FFF2-40B4-BE49-F238E27FC236}">
              <a16:creationId xmlns:a16="http://schemas.microsoft.com/office/drawing/2014/main" id="{00000000-0008-0000-0E00-0000310A0000}"/>
            </a:ext>
          </a:extLst>
        </xdr:cNvPr>
        <xdr:cNvSpPr>
          <a:spLocks noChangeShapeType="1"/>
        </xdr:cNvSpPr>
      </xdr:nvSpPr>
      <xdr:spPr>
        <a:xfrm>
          <a:off x="14731093" y="4043136"/>
          <a:ext cx="670379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431800</xdr:colOff>
      <xdr:row>12</xdr:row>
      <xdr:rowOff>146050</xdr:rowOff>
    </xdr:from>
    <xdr:to>
      <xdr:col>10</xdr:col>
      <xdr:colOff>82550</xdr:colOff>
      <xdr:row>12</xdr:row>
      <xdr:rowOff>146050</xdr:rowOff>
    </xdr:to>
    <xdr:sp macro="" textlink="">
      <xdr:nvSpPr>
        <xdr:cNvPr id="613" name="Line 157">
          <a:extLst>
            <a:ext uri="{FF2B5EF4-FFF2-40B4-BE49-F238E27FC236}">
              <a16:creationId xmlns:a16="http://schemas.microsoft.com/office/drawing/2014/main" id="{00000000-0008-0000-0E00-0000320A0000}"/>
            </a:ext>
          </a:extLst>
        </xdr:cNvPr>
        <xdr:cNvSpPr>
          <a:spLocks noChangeShapeType="1"/>
        </xdr:cNvSpPr>
      </xdr:nvSpPr>
      <xdr:spPr>
        <a:xfrm>
          <a:off x="6604000" y="3660775"/>
          <a:ext cx="42227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267335</xdr:colOff>
      <xdr:row>3</xdr:row>
      <xdr:rowOff>99695</xdr:rowOff>
    </xdr:from>
    <xdr:to>
      <xdr:col>23</xdr:col>
      <xdr:colOff>523240</xdr:colOff>
      <xdr:row>10</xdr:row>
      <xdr:rowOff>99695</xdr:rowOff>
    </xdr:to>
    <xdr:sp macro="" textlink="">
      <xdr:nvSpPr>
        <xdr:cNvPr id="614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15669260" y="928370"/>
          <a:ext cx="255905" cy="20955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881380</xdr:colOff>
      <xdr:row>13</xdr:row>
      <xdr:rowOff>147320</xdr:rowOff>
    </xdr:from>
    <xdr:to>
      <xdr:col>10</xdr:col>
      <xdr:colOff>189230</xdr:colOff>
      <xdr:row>13</xdr:row>
      <xdr:rowOff>168275</xdr:rowOff>
    </xdr:to>
    <xdr:sp macro="" textlink="">
      <xdr:nvSpPr>
        <xdr:cNvPr id="615" name="Line 157">
          <a:extLst>
            <a:ext uri="{FF2B5EF4-FFF2-40B4-BE49-F238E27FC236}">
              <a16:creationId xmlns:a16="http://schemas.microsoft.com/office/drawing/2014/main" id="{00000000-0008-0000-0E00-0000340A0000}"/>
            </a:ext>
          </a:extLst>
        </xdr:cNvPr>
        <xdr:cNvSpPr>
          <a:spLocks noChangeShapeType="1"/>
        </xdr:cNvSpPr>
      </xdr:nvSpPr>
      <xdr:spPr>
        <a:xfrm flipV="1">
          <a:off x="6939280" y="4033520"/>
          <a:ext cx="193675" cy="2095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29</xdr:row>
      <xdr:rowOff>50800</xdr:rowOff>
    </xdr:from>
    <xdr:to>
      <xdr:col>14</xdr:col>
      <xdr:colOff>12700</xdr:colOff>
      <xdr:row>30</xdr:row>
      <xdr:rowOff>196850</xdr:rowOff>
    </xdr:to>
    <xdr:sp macro="" textlink="">
      <xdr:nvSpPr>
        <xdr:cNvPr id="616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73755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29</xdr:row>
      <xdr:rowOff>63500</xdr:rowOff>
    </xdr:from>
    <xdr:to>
      <xdr:col>18</xdr:col>
      <xdr:colOff>0</xdr:colOff>
      <xdr:row>30</xdr:row>
      <xdr:rowOff>190500</xdr:rowOff>
    </xdr:to>
    <xdr:sp macro="" textlink="">
      <xdr:nvSpPr>
        <xdr:cNvPr id="617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7388225"/>
          <a:ext cx="685800" cy="3270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29</xdr:row>
      <xdr:rowOff>19050</xdr:rowOff>
    </xdr:from>
    <xdr:to>
      <xdr:col>24</xdr:col>
      <xdr:colOff>17780</xdr:colOff>
      <xdr:row>31</xdr:row>
      <xdr:rowOff>0</xdr:rowOff>
    </xdr:to>
    <xdr:sp macro="" textlink="">
      <xdr:nvSpPr>
        <xdr:cNvPr id="618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73437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2</xdr:col>
      <xdr:colOff>13608</xdr:colOff>
      <xdr:row>38</xdr:row>
      <xdr:rowOff>0</xdr:rowOff>
    </xdr:to>
    <xdr:sp macro="" textlink="">
      <xdr:nvSpPr>
        <xdr:cNvPr id="619" name="AutoShape 25">
          <a:extLst>
            <a:ext uri="{FF2B5EF4-FFF2-40B4-BE49-F238E27FC236}">
              <a16:creationId xmlns:a16="http://schemas.microsoft.com/office/drawing/2014/main" id="{00000000-0008-0000-0E00-0000460A0000}"/>
            </a:ext>
          </a:extLst>
        </xdr:cNvPr>
        <xdr:cNvSpPr>
          <a:spLocks noChangeArrowheads="1"/>
        </xdr:cNvSpPr>
      </xdr:nvSpPr>
      <xdr:spPr>
        <a:xfrm>
          <a:off x="600075" y="8753475"/>
          <a:ext cx="956583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36</xdr:row>
      <xdr:rowOff>43180</xdr:rowOff>
    </xdr:from>
    <xdr:to>
      <xdr:col>4</xdr:col>
      <xdr:colOff>25400</xdr:colOff>
      <xdr:row>38</xdr:row>
      <xdr:rowOff>0</xdr:rowOff>
    </xdr:to>
    <xdr:sp macro="" textlink="">
      <xdr:nvSpPr>
        <xdr:cNvPr id="620" name="AutoShape 9">
          <a:extLst>
            <a:ext uri="{FF2B5EF4-FFF2-40B4-BE49-F238E27FC236}">
              <a16:creationId xmlns:a16="http://schemas.microsoft.com/office/drawing/2014/main" id="{00000000-0008-0000-0E00-0000470A0000}"/>
            </a:ext>
          </a:extLst>
        </xdr:cNvPr>
        <xdr:cNvSpPr>
          <a:spLocks noChangeArrowheads="1"/>
        </xdr:cNvSpPr>
      </xdr:nvSpPr>
      <xdr:spPr>
        <a:xfrm>
          <a:off x="2159000" y="8796655"/>
          <a:ext cx="685800" cy="36639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544</xdr:colOff>
      <xdr:row>36</xdr:row>
      <xdr:rowOff>13608</xdr:rowOff>
    </xdr:from>
    <xdr:to>
      <xdr:col>14</xdr:col>
      <xdr:colOff>0</xdr:colOff>
      <xdr:row>37</xdr:row>
      <xdr:rowOff>190500</xdr:rowOff>
    </xdr:to>
    <xdr:sp macro="" textlink="">
      <xdr:nvSpPr>
        <xdr:cNvPr id="621" name="AutoShape 14">
          <a:extLst>
            <a:ext uri="{FF2B5EF4-FFF2-40B4-BE49-F238E27FC236}">
              <a16:creationId xmlns:a16="http://schemas.microsoft.com/office/drawing/2014/main" id="{00000000-0008-0000-0E00-0000490A0000}"/>
            </a:ext>
          </a:extLst>
        </xdr:cNvPr>
        <xdr:cNvSpPr>
          <a:spLocks noChangeArrowheads="1"/>
        </xdr:cNvSpPr>
      </xdr:nvSpPr>
      <xdr:spPr>
        <a:xfrm>
          <a:off x="8877844" y="8767083"/>
          <a:ext cx="761456" cy="37691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699770</xdr:colOff>
      <xdr:row>36</xdr:row>
      <xdr:rowOff>0</xdr:rowOff>
    </xdr:from>
    <xdr:to>
      <xdr:col>20</xdr:col>
      <xdr:colOff>25400</xdr:colOff>
      <xdr:row>38</xdr:row>
      <xdr:rowOff>0</xdr:rowOff>
    </xdr:to>
    <xdr:sp macro="" textlink="">
      <xdr:nvSpPr>
        <xdr:cNvPr id="622" name="AutoShape 27">
          <a:extLst>
            <a:ext uri="{FF2B5EF4-FFF2-40B4-BE49-F238E27FC236}">
              <a16:creationId xmlns:a16="http://schemas.microsoft.com/office/drawing/2014/main" id="{00000000-0008-0000-0E00-00004A0A0000}"/>
            </a:ext>
          </a:extLst>
        </xdr:cNvPr>
        <xdr:cNvSpPr>
          <a:spLocks noChangeArrowheads="1"/>
        </xdr:cNvSpPr>
      </xdr:nvSpPr>
      <xdr:spPr>
        <a:xfrm>
          <a:off x="12815570" y="8753475"/>
          <a:ext cx="678180" cy="409575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23495</xdr:colOff>
      <xdr:row>36</xdr:row>
      <xdr:rowOff>19050</xdr:rowOff>
    </xdr:from>
    <xdr:to>
      <xdr:col>22</xdr:col>
      <xdr:colOff>0</xdr:colOff>
      <xdr:row>38</xdr:row>
      <xdr:rowOff>0</xdr:rowOff>
    </xdr:to>
    <xdr:sp macro="" textlink="">
      <xdr:nvSpPr>
        <xdr:cNvPr id="623" name="AutoShape 217">
          <a:extLst>
            <a:ext uri="{FF2B5EF4-FFF2-40B4-BE49-F238E27FC236}">
              <a16:creationId xmlns:a16="http://schemas.microsoft.com/office/drawing/2014/main" id="{00000000-0008-0000-0E00-00004B0A0000}"/>
            </a:ext>
          </a:extLst>
        </xdr:cNvPr>
        <xdr:cNvSpPr>
          <a:spLocks noChangeArrowheads="1"/>
        </xdr:cNvSpPr>
      </xdr:nvSpPr>
      <xdr:spPr>
        <a:xfrm>
          <a:off x="14091920" y="8772525"/>
          <a:ext cx="633730" cy="390525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6350</xdr:colOff>
      <xdr:row>50</xdr:row>
      <xdr:rowOff>40822</xdr:rowOff>
    </xdr:from>
    <xdr:to>
      <xdr:col>2</xdr:col>
      <xdr:colOff>10886</xdr:colOff>
      <xdr:row>51</xdr:row>
      <xdr:rowOff>195943</xdr:rowOff>
    </xdr:to>
    <xdr:sp macro="" textlink="">
      <xdr:nvSpPr>
        <xdr:cNvPr id="624" name="AutoShape 14">
          <a:extLst>
            <a:ext uri="{FF2B5EF4-FFF2-40B4-BE49-F238E27FC236}">
              <a16:creationId xmlns:a16="http://schemas.microsoft.com/office/drawing/2014/main" id="{00000000-0008-0000-0E00-0000560A0000}"/>
            </a:ext>
          </a:extLst>
        </xdr:cNvPr>
        <xdr:cNvSpPr>
          <a:spLocks noChangeArrowheads="1"/>
        </xdr:cNvSpPr>
      </xdr:nvSpPr>
      <xdr:spPr>
        <a:xfrm>
          <a:off x="606425" y="11651797"/>
          <a:ext cx="94751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50</xdr:row>
      <xdr:rowOff>1361</xdr:rowOff>
    </xdr:from>
    <xdr:to>
      <xdr:col>2</xdr:col>
      <xdr:colOff>25400</xdr:colOff>
      <xdr:row>51</xdr:row>
      <xdr:rowOff>191861</xdr:rowOff>
    </xdr:to>
    <xdr:sp macro="" textlink="">
      <xdr:nvSpPr>
        <xdr:cNvPr id="625" name="AutoShape 15">
          <a:extLst>
            <a:ext uri="{FF2B5EF4-FFF2-40B4-BE49-F238E27FC236}">
              <a16:creationId xmlns:a16="http://schemas.microsoft.com/office/drawing/2014/main" id="{00000000-0008-0000-0E00-0000570A0000}"/>
            </a:ext>
          </a:extLst>
        </xdr:cNvPr>
        <xdr:cNvSpPr>
          <a:spLocks noChangeArrowheads="1"/>
        </xdr:cNvSpPr>
      </xdr:nvSpPr>
      <xdr:spPr>
        <a:xfrm>
          <a:off x="598714" y="11608254"/>
          <a:ext cx="964293" cy="39460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578575</xdr:colOff>
      <xdr:row>50</xdr:row>
      <xdr:rowOff>13607</xdr:rowOff>
    </xdr:from>
    <xdr:to>
      <xdr:col>16</xdr:col>
      <xdr:colOff>40821</xdr:colOff>
      <xdr:row>51</xdr:row>
      <xdr:rowOff>200297</xdr:rowOff>
    </xdr:to>
    <xdr:sp macro="" textlink="">
      <xdr:nvSpPr>
        <xdr:cNvPr id="626" name="AutoShape 22">
          <a:extLst>
            <a:ext uri="{FF2B5EF4-FFF2-40B4-BE49-F238E27FC236}">
              <a16:creationId xmlns:a16="http://schemas.microsoft.com/office/drawing/2014/main" id="{00000000-0008-0000-0E00-0000590A0000}"/>
            </a:ext>
          </a:extLst>
        </xdr:cNvPr>
        <xdr:cNvSpPr>
          <a:spLocks noChangeArrowheads="1"/>
        </xdr:cNvSpPr>
      </xdr:nvSpPr>
      <xdr:spPr>
        <a:xfrm>
          <a:off x="10217875" y="11624582"/>
          <a:ext cx="748121" cy="3867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1065530</xdr:colOff>
      <xdr:row>50</xdr:row>
      <xdr:rowOff>17145</xdr:rowOff>
    </xdr:from>
    <xdr:to>
      <xdr:col>10</xdr:col>
      <xdr:colOff>10160</xdr:colOff>
      <xdr:row>52</xdr:row>
      <xdr:rowOff>0</xdr:rowOff>
    </xdr:to>
    <xdr:sp macro="" textlink="">
      <xdr:nvSpPr>
        <xdr:cNvPr id="627" name="AutoShape 28">
          <a:extLst>
            <a:ext uri="{FF2B5EF4-FFF2-40B4-BE49-F238E27FC236}">
              <a16:creationId xmlns:a16="http://schemas.microsoft.com/office/drawing/2014/main" id="{00000000-0008-0000-0E00-00005C0A0000}"/>
            </a:ext>
          </a:extLst>
        </xdr:cNvPr>
        <xdr:cNvSpPr>
          <a:spLocks noChangeArrowheads="1"/>
        </xdr:cNvSpPr>
      </xdr:nvSpPr>
      <xdr:spPr>
        <a:xfrm>
          <a:off x="6170930" y="11628120"/>
          <a:ext cx="782955" cy="39243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970915</xdr:colOff>
      <xdr:row>50</xdr:row>
      <xdr:rowOff>19050</xdr:rowOff>
    </xdr:from>
    <xdr:to>
      <xdr:col>24</xdr:col>
      <xdr:colOff>25400</xdr:colOff>
      <xdr:row>52</xdr:row>
      <xdr:rowOff>0</xdr:rowOff>
    </xdr:to>
    <xdr:sp macro="" textlink="">
      <xdr:nvSpPr>
        <xdr:cNvPr id="628" name="AutoShape 24">
          <a:extLst>
            <a:ext uri="{FF2B5EF4-FFF2-40B4-BE49-F238E27FC236}">
              <a16:creationId xmlns:a16="http://schemas.microsoft.com/office/drawing/2014/main" id="{00000000-0008-0000-0E00-00005D0A0000}"/>
            </a:ext>
          </a:extLst>
        </xdr:cNvPr>
        <xdr:cNvSpPr>
          <a:spLocks noChangeArrowheads="1"/>
        </xdr:cNvSpPr>
      </xdr:nvSpPr>
      <xdr:spPr>
        <a:xfrm>
          <a:off x="15401290" y="11630025"/>
          <a:ext cx="71183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6350</xdr:colOff>
      <xdr:row>50</xdr:row>
      <xdr:rowOff>40822</xdr:rowOff>
    </xdr:from>
    <xdr:to>
      <xdr:col>6</xdr:col>
      <xdr:colOff>10886</xdr:colOff>
      <xdr:row>51</xdr:row>
      <xdr:rowOff>195943</xdr:rowOff>
    </xdr:to>
    <xdr:sp macro="" textlink="">
      <xdr:nvSpPr>
        <xdr:cNvPr id="629" name="AutoShape 14">
          <a:extLst>
            <a:ext uri="{FF2B5EF4-FFF2-40B4-BE49-F238E27FC236}">
              <a16:creationId xmlns:a16="http://schemas.microsoft.com/office/drawing/2014/main" id="{00000000-0008-0000-0E00-0000600A0000}"/>
            </a:ext>
          </a:extLst>
        </xdr:cNvPr>
        <xdr:cNvSpPr>
          <a:spLocks noChangeArrowheads="1"/>
        </xdr:cNvSpPr>
      </xdr:nvSpPr>
      <xdr:spPr>
        <a:xfrm>
          <a:off x="3502025" y="11651797"/>
          <a:ext cx="699861" cy="35514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50</xdr:row>
      <xdr:rowOff>1361</xdr:rowOff>
    </xdr:from>
    <xdr:to>
      <xdr:col>6</xdr:col>
      <xdr:colOff>25400</xdr:colOff>
      <xdr:row>51</xdr:row>
      <xdr:rowOff>191861</xdr:rowOff>
    </xdr:to>
    <xdr:sp macro="" textlink="">
      <xdr:nvSpPr>
        <xdr:cNvPr id="630" name="AutoShape 15">
          <a:extLst>
            <a:ext uri="{FF2B5EF4-FFF2-40B4-BE49-F238E27FC236}">
              <a16:creationId xmlns:a16="http://schemas.microsoft.com/office/drawing/2014/main" id="{00000000-0008-0000-0E00-0000610A0000}"/>
            </a:ext>
          </a:extLst>
        </xdr:cNvPr>
        <xdr:cNvSpPr>
          <a:spLocks noChangeArrowheads="1"/>
        </xdr:cNvSpPr>
      </xdr:nvSpPr>
      <xdr:spPr>
        <a:xfrm>
          <a:off x="3495675" y="11612336"/>
          <a:ext cx="72072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6350</xdr:colOff>
      <xdr:row>57</xdr:row>
      <xdr:rowOff>0</xdr:rowOff>
    </xdr:from>
    <xdr:to>
      <xdr:col>4</xdr:col>
      <xdr:colOff>12700</xdr:colOff>
      <xdr:row>58</xdr:row>
      <xdr:rowOff>189230</xdr:rowOff>
    </xdr:to>
    <xdr:sp macro="" textlink="">
      <xdr:nvSpPr>
        <xdr:cNvPr id="631" name="AutoShape 9">
          <a:extLst>
            <a:ext uri="{FF2B5EF4-FFF2-40B4-BE49-F238E27FC236}">
              <a16:creationId xmlns:a16="http://schemas.microsoft.com/office/drawing/2014/main" id="{00000000-0008-0000-0E00-0000620A0000}"/>
            </a:ext>
          </a:extLst>
        </xdr:cNvPr>
        <xdr:cNvSpPr>
          <a:spLocks noChangeArrowheads="1"/>
        </xdr:cNvSpPr>
      </xdr:nvSpPr>
      <xdr:spPr>
        <a:xfrm>
          <a:off x="2156279" y="13035643"/>
          <a:ext cx="673100" cy="39333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605790</xdr:colOff>
      <xdr:row>57</xdr:row>
      <xdr:rowOff>0</xdr:rowOff>
    </xdr:from>
    <xdr:to>
      <xdr:col>16</xdr:col>
      <xdr:colOff>0</xdr:colOff>
      <xdr:row>58</xdr:row>
      <xdr:rowOff>190500</xdr:rowOff>
    </xdr:to>
    <xdr:sp macro="" textlink="">
      <xdr:nvSpPr>
        <xdr:cNvPr id="632" name="AutoShape 15">
          <a:extLst>
            <a:ext uri="{FF2B5EF4-FFF2-40B4-BE49-F238E27FC236}">
              <a16:creationId xmlns:a16="http://schemas.microsoft.com/office/drawing/2014/main" id="{00000000-0008-0000-0E00-0000630A0000}"/>
            </a:ext>
          </a:extLst>
        </xdr:cNvPr>
        <xdr:cNvSpPr>
          <a:spLocks noChangeArrowheads="1"/>
        </xdr:cNvSpPr>
      </xdr:nvSpPr>
      <xdr:spPr>
        <a:xfrm>
          <a:off x="10235565" y="13039725"/>
          <a:ext cx="68961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605790</xdr:colOff>
      <xdr:row>57</xdr:row>
      <xdr:rowOff>48895</xdr:rowOff>
    </xdr:from>
    <xdr:to>
      <xdr:col>20</xdr:col>
      <xdr:colOff>0</xdr:colOff>
      <xdr:row>58</xdr:row>
      <xdr:rowOff>184785</xdr:rowOff>
    </xdr:to>
    <xdr:sp macro="" textlink="">
      <xdr:nvSpPr>
        <xdr:cNvPr id="633" name="AutoShape 27">
          <a:extLst>
            <a:ext uri="{FF2B5EF4-FFF2-40B4-BE49-F238E27FC236}">
              <a16:creationId xmlns:a16="http://schemas.microsoft.com/office/drawing/2014/main" id="{00000000-0008-0000-0E00-0000640A0000}"/>
            </a:ext>
          </a:extLst>
        </xdr:cNvPr>
        <xdr:cNvSpPr>
          <a:spLocks noChangeArrowheads="1"/>
        </xdr:cNvSpPr>
      </xdr:nvSpPr>
      <xdr:spPr>
        <a:xfrm>
          <a:off x="12807315" y="13088620"/>
          <a:ext cx="661035" cy="3359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0</xdr:colOff>
      <xdr:row>57</xdr:row>
      <xdr:rowOff>19050</xdr:rowOff>
    </xdr:from>
    <xdr:to>
      <xdr:col>24</xdr:col>
      <xdr:colOff>12700</xdr:colOff>
      <xdr:row>59</xdr:row>
      <xdr:rowOff>0</xdr:rowOff>
    </xdr:to>
    <xdr:sp macro="" textlink="">
      <xdr:nvSpPr>
        <xdr:cNvPr id="634" name="AutoShape 205">
          <a:extLst>
            <a:ext uri="{FF2B5EF4-FFF2-40B4-BE49-F238E27FC236}">
              <a16:creationId xmlns:a16="http://schemas.microsoft.com/office/drawing/2014/main" id="{00000000-0008-0000-0E00-0000660A0000}"/>
            </a:ext>
          </a:extLst>
        </xdr:cNvPr>
        <xdr:cNvSpPr>
          <a:spLocks noChangeArrowheads="1"/>
        </xdr:cNvSpPr>
      </xdr:nvSpPr>
      <xdr:spPr>
        <a:xfrm>
          <a:off x="15401925" y="13058775"/>
          <a:ext cx="6985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64</xdr:row>
      <xdr:rowOff>50800</xdr:rowOff>
    </xdr:from>
    <xdr:to>
      <xdr:col>2</xdr:col>
      <xdr:colOff>12700</xdr:colOff>
      <xdr:row>65</xdr:row>
      <xdr:rowOff>196850</xdr:rowOff>
    </xdr:to>
    <xdr:sp macro="" textlink="">
      <xdr:nvSpPr>
        <xdr:cNvPr id="635" name="AutoShape 21">
          <a:extLst>
            <a:ext uri="{FF2B5EF4-FFF2-40B4-BE49-F238E27FC236}">
              <a16:creationId xmlns:a16="http://schemas.microsoft.com/office/drawing/2014/main" id="{00000000-0008-0000-0E00-0000680A0000}"/>
            </a:ext>
          </a:extLst>
        </xdr:cNvPr>
        <xdr:cNvSpPr>
          <a:spLocks noChangeArrowheads="1"/>
        </xdr:cNvSpPr>
      </xdr:nvSpPr>
      <xdr:spPr>
        <a:xfrm>
          <a:off x="600075" y="1451927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605790</xdr:colOff>
      <xdr:row>64</xdr:row>
      <xdr:rowOff>0</xdr:rowOff>
    </xdr:from>
    <xdr:to>
      <xdr:col>4</xdr:col>
      <xdr:colOff>0</xdr:colOff>
      <xdr:row>65</xdr:row>
      <xdr:rowOff>184785</xdr:rowOff>
    </xdr:to>
    <xdr:sp macro="" textlink="">
      <xdr:nvSpPr>
        <xdr:cNvPr id="636" name="AutoShape 22">
          <a:extLst>
            <a:ext uri="{FF2B5EF4-FFF2-40B4-BE49-F238E27FC236}">
              <a16:creationId xmlns:a16="http://schemas.microsoft.com/office/drawing/2014/main" id="{00000000-0008-0000-0E00-00006B0A0000}"/>
            </a:ext>
          </a:extLst>
        </xdr:cNvPr>
        <xdr:cNvSpPr>
          <a:spLocks noChangeArrowheads="1"/>
        </xdr:cNvSpPr>
      </xdr:nvSpPr>
      <xdr:spPr>
        <a:xfrm>
          <a:off x="2148840" y="14468475"/>
          <a:ext cx="670560" cy="38481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858520</xdr:colOff>
      <xdr:row>64</xdr:row>
      <xdr:rowOff>19050</xdr:rowOff>
    </xdr:from>
    <xdr:to>
      <xdr:col>14</xdr:col>
      <xdr:colOff>12065</xdr:colOff>
      <xdr:row>66</xdr:row>
      <xdr:rowOff>0</xdr:rowOff>
    </xdr:to>
    <xdr:sp macro="" textlink="">
      <xdr:nvSpPr>
        <xdr:cNvPr id="637" name="AutoShape 25">
          <a:extLst>
            <a:ext uri="{FF2B5EF4-FFF2-40B4-BE49-F238E27FC236}">
              <a16:creationId xmlns:a16="http://schemas.microsoft.com/office/drawing/2014/main" id="{00000000-0008-0000-0E00-00006E0A0000}"/>
            </a:ext>
          </a:extLst>
        </xdr:cNvPr>
        <xdr:cNvSpPr>
          <a:spLocks noChangeArrowheads="1"/>
        </xdr:cNvSpPr>
      </xdr:nvSpPr>
      <xdr:spPr>
        <a:xfrm>
          <a:off x="8878570" y="14487525"/>
          <a:ext cx="77279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608330</xdr:colOff>
      <xdr:row>70</xdr:row>
      <xdr:rowOff>190500</xdr:rowOff>
    </xdr:from>
    <xdr:to>
      <xdr:col>2</xdr:col>
      <xdr:colOff>6350</xdr:colOff>
      <xdr:row>72</xdr:row>
      <xdr:rowOff>179282</xdr:rowOff>
    </xdr:to>
    <xdr:sp macro="" textlink="">
      <xdr:nvSpPr>
        <xdr:cNvPr id="638" name="AutoShape 14">
          <a:extLst>
            <a:ext uri="{FF2B5EF4-FFF2-40B4-BE49-F238E27FC236}">
              <a16:creationId xmlns:a16="http://schemas.microsoft.com/office/drawing/2014/main" id="{00000000-0008-0000-0E00-0000780A0000}"/>
            </a:ext>
          </a:extLst>
        </xdr:cNvPr>
        <xdr:cNvSpPr>
          <a:spLocks noChangeArrowheads="1"/>
        </xdr:cNvSpPr>
      </xdr:nvSpPr>
      <xdr:spPr>
        <a:xfrm>
          <a:off x="598805" y="15887700"/>
          <a:ext cx="950595" cy="388832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4640</xdr:colOff>
      <xdr:row>71</xdr:row>
      <xdr:rowOff>21590</xdr:rowOff>
    </xdr:from>
    <xdr:to>
      <xdr:col>6</xdr:col>
      <xdr:colOff>0</xdr:colOff>
      <xdr:row>73</xdr:row>
      <xdr:rowOff>0</xdr:rowOff>
    </xdr:to>
    <xdr:sp macro="" textlink="">
      <xdr:nvSpPr>
        <xdr:cNvPr id="639" name="AutoShape 16">
          <a:extLst>
            <a:ext uri="{FF2B5EF4-FFF2-40B4-BE49-F238E27FC236}">
              <a16:creationId xmlns:a16="http://schemas.microsoft.com/office/drawing/2014/main" id="{00000000-0008-0000-0E00-00007A0A0000}"/>
            </a:ext>
          </a:extLst>
        </xdr:cNvPr>
        <xdr:cNvSpPr>
          <a:spLocks noChangeArrowheads="1"/>
        </xdr:cNvSpPr>
      </xdr:nvSpPr>
      <xdr:spPr>
        <a:xfrm>
          <a:off x="3500315" y="15918815"/>
          <a:ext cx="690685" cy="3879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680720</xdr:colOff>
      <xdr:row>71</xdr:row>
      <xdr:rowOff>19050</xdr:rowOff>
    </xdr:from>
    <xdr:to>
      <xdr:col>20</xdr:col>
      <xdr:colOff>39370</xdr:colOff>
      <xdr:row>73</xdr:row>
      <xdr:rowOff>0</xdr:rowOff>
    </xdr:to>
    <xdr:sp macro="" textlink="">
      <xdr:nvSpPr>
        <xdr:cNvPr id="640" name="AutoShape 24">
          <a:extLst>
            <a:ext uri="{FF2B5EF4-FFF2-40B4-BE49-F238E27FC236}">
              <a16:creationId xmlns:a16="http://schemas.microsoft.com/office/drawing/2014/main" id="{00000000-0008-0000-0E00-00007D0A0000}"/>
            </a:ext>
          </a:extLst>
        </xdr:cNvPr>
        <xdr:cNvSpPr>
          <a:spLocks noChangeArrowheads="1"/>
        </xdr:cNvSpPr>
      </xdr:nvSpPr>
      <xdr:spPr>
        <a:xfrm>
          <a:off x="12815570" y="15916275"/>
          <a:ext cx="69215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608330</xdr:colOff>
      <xdr:row>78</xdr:row>
      <xdr:rowOff>54428</xdr:rowOff>
    </xdr:from>
    <xdr:to>
      <xdr:col>16</xdr:col>
      <xdr:colOff>27214</xdr:colOff>
      <xdr:row>79</xdr:row>
      <xdr:rowOff>187324</xdr:rowOff>
    </xdr:to>
    <xdr:sp macro="" textlink="">
      <xdr:nvSpPr>
        <xdr:cNvPr id="641" name="AutoShape 15">
          <a:extLst>
            <a:ext uri="{FF2B5EF4-FFF2-40B4-BE49-F238E27FC236}">
              <a16:creationId xmlns:a16="http://schemas.microsoft.com/office/drawing/2014/main" id="{00000000-0008-0000-0E00-0000880A0000}"/>
            </a:ext>
          </a:extLst>
        </xdr:cNvPr>
        <xdr:cNvSpPr>
          <a:spLocks noChangeArrowheads="1"/>
        </xdr:cNvSpPr>
      </xdr:nvSpPr>
      <xdr:spPr>
        <a:xfrm>
          <a:off x="10238105" y="17380403"/>
          <a:ext cx="714284" cy="33292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612140</xdr:colOff>
      <xdr:row>78</xdr:row>
      <xdr:rowOff>13607</xdr:rowOff>
    </xdr:from>
    <xdr:to>
      <xdr:col>20</xdr:col>
      <xdr:colOff>36195</xdr:colOff>
      <xdr:row>79</xdr:row>
      <xdr:rowOff>198755</xdr:rowOff>
    </xdr:to>
    <xdr:sp macro="" textlink="">
      <xdr:nvSpPr>
        <xdr:cNvPr id="642" name="AutoShape 27">
          <a:extLst>
            <a:ext uri="{FF2B5EF4-FFF2-40B4-BE49-F238E27FC236}">
              <a16:creationId xmlns:a16="http://schemas.microsoft.com/office/drawing/2014/main" id="{00000000-0008-0000-0E00-00008A0A0000}"/>
            </a:ext>
          </a:extLst>
        </xdr:cNvPr>
        <xdr:cNvSpPr>
          <a:spLocks noChangeArrowheads="1"/>
        </xdr:cNvSpPr>
      </xdr:nvSpPr>
      <xdr:spPr>
        <a:xfrm>
          <a:off x="12813665" y="17339582"/>
          <a:ext cx="690880" cy="38517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1005205</xdr:colOff>
      <xdr:row>78</xdr:row>
      <xdr:rowOff>19050</xdr:rowOff>
    </xdr:from>
    <xdr:to>
      <xdr:col>22</xdr:col>
      <xdr:colOff>39370</xdr:colOff>
      <xdr:row>79</xdr:row>
      <xdr:rowOff>199390</xdr:rowOff>
    </xdr:to>
    <xdr:sp macro="" textlink="">
      <xdr:nvSpPr>
        <xdr:cNvPr id="643" name="AutoShape 28">
          <a:extLst>
            <a:ext uri="{FF2B5EF4-FFF2-40B4-BE49-F238E27FC236}">
              <a16:creationId xmlns:a16="http://schemas.microsoft.com/office/drawing/2014/main" id="{00000000-0008-0000-0E00-00008B0A0000}"/>
            </a:ext>
          </a:extLst>
        </xdr:cNvPr>
        <xdr:cNvSpPr>
          <a:spLocks noChangeArrowheads="1"/>
        </xdr:cNvSpPr>
      </xdr:nvSpPr>
      <xdr:spPr>
        <a:xfrm>
          <a:off x="14063980" y="17345025"/>
          <a:ext cx="701040" cy="3803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674914</xdr:colOff>
      <xdr:row>78</xdr:row>
      <xdr:rowOff>8164</xdr:rowOff>
    </xdr:from>
    <xdr:to>
      <xdr:col>24</xdr:col>
      <xdr:colOff>10886</xdr:colOff>
      <xdr:row>79</xdr:row>
      <xdr:rowOff>195943</xdr:rowOff>
    </xdr:to>
    <xdr:sp macro="" textlink="">
      <xdr:nvSpPr>
        <xdr:cNvPr id="644" name="AutoShape 29">
          <a:extLst>
            <a:ext uri="{FF2B5EF4-FFF2-40B4-BE49-F238E27FC236}">
              <a16:creationId xmlns:a16="http://schemas.microsoft.com/office/drawing/2014/main" id="{00000000-0008-0000-0E00-00008C0A0000}"/>
            </a:ext>
          </a:extLst>
        </xdr:cNvPr>
        <xdr:cNvSpPr>
          <a:spLocks noChangeArrowheads="1"/>
        </xdr:cNvSpPr>
      </xdr:nvSpPr>
      <xdr:spPr>
        <a:xfrm>
          <a:off x="15400564" y="17334139"/>
          <a:ext cx="698047" cy="38780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85</xdr:row>
      <xdr:rowOff>50800</xdr:rowOff>
    </xdr:from>
    <xdr:to>
      <xdr:col>2</xdr:col>
      <xdr:colOff>12700</xdr:colOff>
      <xdr:row>86</xdr:row>
      <xdr:rowOff>196850</xdr:rowOff>
    </xdr:to>
    <xdr:sp macro="" textlink="">
      <xdr:nvSpPr>
        <xdr:cNvPr id="645" name="AutoShape 21">
          <a:extLst>
            <a:ext uri="{FF2B5EF4-FFF2-40B4-BE49-F238E27FC236}">
              <a16:creationId xmlns:a16="http://schemas.microsoft.com/office/drawing/2014/main" id="{00000000-0008-0000-0E00-00008D0A0000}"/>
            </a:ext>
          </a:extLst>
        </xdr:cNvPr>
        <xdr:cNvSpPr>
          <a:spLocks noChangeArrowheads="1"/>
        </xdr:cNvSpPr>
      </xdr:nvSpPr>
      <xdr:spPr>
        <a:xfrm>
          <a:off x="600075" y="18796000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657345</xdr:colOff>
      <xdr:row>85</xdr:row>
      <xdr:rowOff>56304</xdr:rowOff>
    </xdr:from>
    <xdr:to>
      <xdr:col>6</xdr:col>
      <xdr:colOff>43845</xdr:colOff>
      <xdr:row>86</xdr:row>
      <xdr:rowOff>198544</xdr:rowOff>
    </xdr:to>
    <xdr:sp macro="" textlink="">
      <xdr:nvSpPr>
        <xdr:cNvPr id="646" name="AutoShape 22">
          <a:extLst>
            <a:ext uri="{FF2B5EF4-FFF2-40B4-BE49-F238E27FC236}">
              <a16:creationId xmlns:a16="http://schemas.microsoft.com/office/drawing/2014/main" id="{00000000-0008-0000-0E00-00008F0A0000}"/>
            </a:ext>
          </a:extLst>
        </xdr:cNvPr>
        <xdr:cNvSpPr>
          <a:spLocks noChangeArrowheads="1"/>
        </xdr:cNvSpPr>
      </xdr:nvSpPr>
      <xdr:spPr>
        <a:xfrm>
          <a:off x="3476745" y="18801504"/>
          <a:ext cx="758100" cy="3422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674913</xdr:colOff>
      <xdr:row>85</xdr:row>
      <xdr:rowOff>0</xdr:rowOff>
    </xdr:from>
    <xdr:to>
      <xdr:col>24</xdr:col>
      <xdr:colOff>33654</xdr:colOff>
      <xdr:row>86</xdr:row>
      <xdr:rowOff>189230</xdr:rowOff>
    </xdr:to>
    <xdr:sp macro="" textlink="">
      <xdr:nvSpPr>
        <xdr:cNvPr id="649" name="AutoShape 13">
          <a:extLst>
            <a:ext uri="{FF2B5EF4-FFF2-40B4-BE49-F238E27FC236}">
              <a16:creationId xmlns:a16="http://schemas.microsoft.com/office/drawing/2014/main" id="{00000000-0008-0000-0E00-0000920A0000}"/>
            </a:ext>
          </a:extLst>
        </xdr:cNvPr>
        <xdr:cNvSpPr>
          <a:spLocks noChangeArrowheads="1"/>
        </xdr:cNvSpPr>
      </xdr:nvSpPr>
      <xdr:spPr>
        <a:xfrm>
          <a:off x="15400563" y="18745200"/>
          <a:ext cx="720816" cy="3892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789215</xdr:colOff>
      <xdr:row>92</xdr:row>
      <xdr:rowOff>0</xdr:rowOff>
    </xdr:from>
    <xdr:to>
      <xdr:col>2</xdr:col>
      <xdr:colOff>13607</xdr:colOff>
      <xdr:row>93</xdr:row>
      <xdr:rowOff>189865</xdr:rowOff>
    </xdr:to>
    <xdr:sp macro="" textlink="">
      <xdr:nvSpPr>
        <xdr:cNvPr id="650" name="AutoShape 14">
          <a:extLst>
            <a:ext uri="{FF2B5EF4-FFF2-40B4-BE49-F238E27FC236}">
              <a16:creationId xmlns:a16="http://schemas.microsoft.com/office/drawing/2014/main" id="{00000000-0008-0000-0E00-0000950A0000}"/>
            </a:ext>
          </a:extLst>
        </xdr:cNvPr>
        <xdr:cNvSpPr>
          <a:spLocks noChangeArrowheads="1"/>
        </xdr:cNvSpPr>
      </xdr:nvSpPr>
      <xdr:spPr>
        <a:xfrm>
          <a:off x="598715" y="20173950"/>
          <a:ext cx="957942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92</xdr:row>
      <xdr:rowOff>13606</xdr:rowOff>
    </xdr:from>
    <xdr:to>
      <xdr:col>4</xdr:col>
      <xdr:colOff>40821</xdr:colOff>
      <xdr:row>93</xdr:row>
      <xdr:rowOff>189864</xdr:rowOff>
    </xdr:to>
    <xdr:sp macro="" textlink="">
      <xdr:nvSpPr>
        <xdr:cNvPr id="651" name="AutoShape 15">
          <a:extLst>
            <a:ext uri="{FF2B5EF4-FFF2-40B4-BE49-F238E27FC236}">
              <a16:creationId xmlns:a16="http://schemas.microsoft.com/office/drawing/2014/main" id="{00000000-0008-0000-0E00-0000990A0000}"/>
            </a:ext>
          </a:extLst>
        </xdr:cNvPr>
        <xdr:cNvSpPr>
          <a:spLocks noChangeArrowheads="1"/>
        </xdr:cNvSpPr>
      </xdr:nvSpPr>
      <xdr:spPr>
        <a:xfrm>
          <a:off x="2141583" y="20187556"/>
          <a:ext cx="718638" cy="37628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4</xdr:col>
      <xdr:colOff>659423</xdr:colOff>
      <xdr:row>92</xdr:row>
      <xdr:rowOff>25820</xdr:rowOff>
    </xdr:from>
    <xdr:to>
      <xdr:col>6</xdr:col>
      <xdr:colOff>0</xdr:colOff>
      <xdr:row>93</xdr:row>
      <xdr:rowOff>190501</xdr:rowOff>
    </xdr:to>
    <xdr:sp macro="" textlink="">
      <xdr:nvSpPr>
        <xdr:cNvPr id="652" name="AutoShape 16">
          <a:extLst>
            <a:ext uri="{FF2B5EF4-FFF2-40B4-BE49-F238E27FC236}">
              <a16:creationId xmlns:a16="http://schemas.microsoft.com/office/drawing/2014/main" id="{00000000-0008-0000-0E00-00009A0A0000}"/>
            </a:ext>
          </a:extLst>
        </xdr:cNvPr>
        <xdr:cNvSpPr>
          <a:spLocks noChangeArrowheads="1"/>
        </xdr:cNvSpPr>
      </xdr:nvSpPr>
      <xdr:spPr>
        <a:xfrm>
          <a:off x="3478823" y="20199770"/>
          <a:ext cx="712177" cy="36470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452</xdr:colOff>
      <xdr:row>92</xdr:row>
      <xdr:rowOff>37465</xdr:rowOff>
    </xdr:from>
    <xdr:to>
      <xdr:col>14</xdr:col>
      <xdr:colOff>13606</xdr:colOff>
      <xdr:row>93</xdr:row>
      <xdr:rowOff>189865</xdr:rowOff>
    </xdr:to>
    <xdr:sp macro="" textlink="">
      <xdr:nvSpPr>
        <xdr:cNvPr id="653" name="AutoShape 21">
          <a:extLst>
            <a:ext uri="{FF2B5EF4-FFF2-40B4-BE49-F238E27FC236}">
              <a16:creationId xmlns:a16="http://schemas.microsoft.com/office/drawing/2014/main" id="{00000000-0008-0000-0E00-00009B0A0000}"/>
            </a:ext>
          </a:extLst>
        </xdr:cNvPr>
        <xdr:cNvSpPr>
          <a:spLocks noChangeArrowheads="1"/>
        </xdr:cNvSpPr>
      </xdr:nvSpPr>
      <xdr:spPr>
        <a:xfrm>
          <a:off x="8877752" y="20211415"/>
          <a:ext cx="775154" cy="3524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92</xdr:row>
      <xdr:rowOff>13607</xdr:rowOff>
    </xdr:from>
    <xdr:to>
      <xdr:col>16</xdr:col>
      <xdr:colOff>0</xdr:colOff>
      <xdr:row>94</xdr:row>
      <xdr:rowOff>3810</xdr:rowOff>
    </xdr:to>
    <xdr:sp macro="" textlink="">
      <xdr:nvSpPr>
        <xdr:cNvPr id="654" name="AutoShape 22">
          <a:extLst>
            <a:ext uri="{FF2B5EF4-FFF2-40B4-BE49-F238E27FC236}">
              <a16:creationId xmlns:a16="http://schemas.microsoft.com/office/drawing/2014/main" id="{00000000-0008-0000-0E00-00009C0A0000}"/>
            </a:ext>
          </a:extLst>
        </xdr:cNvPr>
        <xdr:cNvSpPr>
          <a:spLocks noChangeArrowheads="1"/>
        </xdr:cNvSpPr>
      </xdr:nvSpPr>
      <xdr:spPr>
        <a:xfrm>
          <a:off x="10239828" y="20187557"/>
          <a:ext cx="685347" cy="39977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92</xdr:row>
      <xdr:rowOff>18415</xdr:rowOff>
    </xdr:from>
    <xdr:to>
      <xdr:col>20</xdr:col>
      <xdr:colOff>13608</xdr:colOff>
      <xdr:row>93</xdr:row>
      <xdr:rowOff>199390</xdr:rowOff>
    </xdr:to>
    <xdr:sp macro="" textlink="">
      <xdr:nvSpPr>
        <xdr:cNvPr id="655" name="AutoShape 24">
          <a:extLst>
            <a:ext uri="{FF2B5EF4-FFF2-40B4-BE49-F238E27FC236}">
              <a16:creationId xmlns:a16="http://schemas.microsoft.com/office/drawing/2014/main" id="{00000000-0008-0000-0E00-00009E0A0000}"/>
            </a:ext>
          </a:extLst>
        </xdr:cNvPr>
        <xdr:cNvSpPr>
          <a:spLocks noChangeArrowheads="1"/>
        </xdr:cNvSpPr>
      </xdr:nvSpPr>
      <xdr:spPr>
        <a:xfrm>
          <a:off x="12812849" y="20192365"/>
          <a:ext cx="669109" cy="38100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92</xdr:row>
      <xdr:rowOff>24765</xdr:rowOff>
    </xdr:from>
    <xdr:to>
      <xdr:col>8</xdr:col>
      <xdr:colOff>13607</xdr:colOff>
      <xdr:row>93</xdr:row>
      <xdr:rowOff>189865</xdr:rowOff>
    </xdr:to>
    <xdr:sp macro="" textlink="">
      <xdr:nvSpPr>
        <xdr:cNvPr id="656" name="AutoShape 27">
          <a:extLst>
            <a:ext uri="{FF2B5EF4-FFF2-40B4-BE49-F238E27FC236}">
              <a16:creationId xmlns:a16="http://schemas.microsoft.com/office/drawing/2014/main" id="{00000000-0008-0000-0E00-0000A00A0000}"/>
            </a:ext>
          </a:extLst>
        </xdr:cNvPr>
        <xdr:cNvSpPr>
          <a:spLocks noChangeArrowheads="1"/>
        </xdr:cNvSpPr>
      </xdr:nvSpPr>
      <xdr:spPr>
        <a:xfrm>
          <a:off x="4802505" y="20198715"/>
          <a:ext cx="726077" cy="3651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92</xdr:row>
      <xdr:rowOff>18415</xdr:rowOff>
    </xdr:from>
    <xdr:to>
      <xdr:col>10</xdr:col>
      <xdr:colOff>37465</xdr:colOff>
      <xdr:row>93</xdr:row>
      <xdr:rowOff>199390</xdr:rowOff>
    </xdr:to>
    <xdr:sp macro="" textlink="">
      <xdr:nvSpPr>
        <xdr:cNvPr id="657" name="AutoShape 28">
          <a:extLst>
            <a:ext uri="{FF2B5EF4-FFF2-40B4-BE49-F238E27FC236}">
              <a16:creationId xmlns:a16="http://schemas.microsoft.com/office/drawing/2014/main" id="{00000000-0008-0000-0E00-0000A10A0000}"/>
            </a:ext>
          </a:extLst>
        </xdr:cNvPr>
        <xdr:cNvSpPr>
          <a:spLocks noChangeArrowheads="1"/>
        </xdr:cNvSpPr>
      </xdr:nvSpPr>
      <xdr:spPr>
        <a:xfrm>
          <a:off x="6169660" y="20192365"/>
          <a:ext cx="811530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92</xdr:row>
      <xdr:rowOff>18415</xdr:rowOff>
    </xdr:from>
    <xdr:to>
      <xdr:col>24</xdr:col>
      <xdr:colOff>13607</xdr:colOff>
      <xdr:row>93</xdr:row>
      <xdr:rowOff>199390</xdr:rowOff>
    </xdr:to>
    <xdr:sp macro="" textlink="">
      <xdr:nvSpPr>
        <xdr:cNvPr id="658" name="AutoShape 24">
          <a:extLst>
            <a:ext uri="{FF2B5EF4-FFF2-40B4-BE49-F238E27FC236}">
              <a16:creationId xmlns:a16="http://schemas.microsoft.com/office/drawing/2014/main" id="{00000000-0008-0000-0E00-0000A20A0000}"/>
            </a:ext>
          </a:extLst>
        </xdr:cNvPr>
        <xdr:cNvSpPr>
          <a:spLocks noChangeArrowheads="1"/>
        </xdr:cNvSpPr>
      </xdr:nvSpPr>
      <xdr:spPr>
        <a:xfrm>
          <a:off x="15405735" y="20192365"/>
          <a:ext cx="695597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100</xdr:row>
      <xdr:rowOff>10160</xdr:rowOff>
    </xdr:from>
    <xdr:to>
      <xdr:col>8</xdr:col>
      <xdr:colOff>17780</xdr:colOff>
      <xdr:row>102</xdr:row>
      <xdr:rowOff>0</xdr:rowOff>
    </xdr:to>
    <xdr:sp macro="" textlink="">
      <xdr:nvSpPr>
        <xdr:cNvPr id="659" name="AutoShape 11">
          <a:extLst>
            <a:ext uri="{FF2B5EF4-FFF2-40B4-BE49-F238E27FC236}">
              <a16:creationId xmlns:a16="http://schemas.microsoft.com/office/drawing/2014/main" id="{00000000-0008-0000-0E00-0000B20A0000}"/>
            </a:ext>
          </a:extLst>
        </xdr:cNvPr>
        <xdr:cNvSpPr>
          <a:spLocks noChangeArrowheads="1"/>
        </xdr:cNvSpPr>
      </xdr:nvSpPr>
      <xdr:spPr>
        <a:xfrm>
          <a:off x="4821555" y="21812885"/>
          <a:ext cx="711200" cy="3994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100</xdr:row>
      <xdr:rowOff>0</xdr:rowOff>
    </xdr:from>
    <xdr:to>
      <xdr:col>12</xdr:col>
      <xdr:colOff>43815</xdr:colOff>
      <xdr:row>101</xdr:row>
      <xdr:rowOff>196215</xdr:rowOff>
    </xdr:to>
    <xdr:sp macro="" textlink="">
      <xdr:nvSpPr>
        <xdr:cNvPr id="660" name="AutoShape 13">
          <a:extLst>
            <a:ext uri="{FF2B5EF4-FFF2-40B4-BE49-F238E27FC236}">
              <a16:creationId xmlns:a16="http://schemas.microsoft.com/office/drawing/2014/main" id="{00000000-0008-0000-0E00-0000B40A0000}"/>
            </a:ext>
          </a:extLst>
        </xdr:cNvPr>
        <xdr:cNvSpPr>
          <a:spLocks noChangeArrowheads="1"/>
        </xdr:cNvSpPr>
      </xdr:nvSpPr>
      <xdr:spPr>
        <a:xfrm>
          <a:off x="7541895" y="21802725"/>
          <a:ext cx="769620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100</xdr:row>
      <xdr:rowOff>0</xdr:rowOff>
    </xdr:from>
    <xdr:to>
      <xdr:col>14</xdr:col>
      <xdr:colOff>19685</xdr:colOff>
      <xdr:row>101</xdr:row>
      <xdr:rowOff>190500</xdr:rowOff>
    </xdr:to>
    <xdr:sp macro="" textlink="">
      <xdr:nvSpPr>
        <xdr:cNvPr id="661" name="AutoShape 14">
          <a:extLst>
            <a:ext uri="{FF2B5EF4-FFF2-40B4-BE49-F238E27FC236}">
              <a16:creationId xmlns:a16="http://schemas.microsoft.com/office/drawing/2014/main" id="{00000000-0008-0000-0E00-0000B50A0000}"/>
            </a:ext>
          </a:extLst>
        </xdr:cNvPr>
        <xdr:cNvSpPr>
          <a:spLocks noChangeArrowheads="1"/>
        </xdr:cNvSpPr>
      </xdr:nvSpPr>
      <xdr:spPr>
        <a:xfrm>
          <a:off x="8873490" y="21802725"/>
          <a:ext cx="78549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9</xdr:col>
      <xdr:colOff>546</xdr:colOff>
      <xdr:row>106</xdr:row>
      <xdr:rowOff>130628</xdr:rowOff>
    </xdr:from>
    <xdr:to>
      <xdr:col>10</xdr:col>
      <xdr:colOff>27215</xdr:colOff>
      <xdr:row>109</xdr:row>
      <xdr:rowOff>0</xdr:rowOff>
    </xdr:to>
    <xdr:sp macro="" textlink="">
      <xdr:nvSpPr>
        <xdr:cNvPr id="662" name="AutoShape 25">
          <a:extLst>
            <a:ext uri="{FF2B5EF4-FFF2-40B4-BE49-F238E27FC236}">
              <a16:creationId xmlns:a16="http://schemas.microsoft.com/office/drawing/2014/main" id="{00000000-0008-0000-0E00-0000BC0A0000}"/>
            </a:ext>
          </a:extLst>
        </xdr:cNvPr>
        <xdr:cNvSpPr>
          <a:spLocks noChangeArrowheads="1"/>
        </xdr:cNvSpPr>
      </xdr:nvSpPr>
      <xdr:spPr>
        <a:xfrm>
          <a:off x="6172746" y="23162078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106</xdr:row>
      <xdr:rowOff>154781</xdr:rowOff>
    </xdr:from>
    <xdr:to>
      <xdr:col>16</xdr:col>
      <xdr:colOff>4762</xdr:colOff>
      <xdr:row>108</xdr:row>
      <xdr:rowOff>200230</xdr:rowOff>
    </xdr:to>
    <xdr:sp macro="" textlink="">
      <xdr:nvSpPr>
        <xdr:cNvPr id="663" name="AutoShape 9">
          <a:extLst>
            <a:ext uri="{FF2B5EF4-FFF2-40B4-BE49-F238E27FC236}">
              <a16:creationId xmlns:a16="http://schemas.microsoft.com/office/drawing/2014/main" id="{00000000-0008-0000-0E00-0000BD0A0000}"/>
            </a:ext>
          </a:extLst>
        </xdr:cNvPr>
        <xdr:cNvSpPr>
          <a:spLocks noChangeArrowheads="1"/>
        </xdr:cNvSpPr>
      </xdr:nvSpPr>
      <xdr:spPr>
        <a:xfrm>
          <a:off x="10239375" y="23186231"/>
          <a:ext cx="690562" cy="44549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106</xdr:row>
      <xdr:rowOff>182995</xdr:rowOff>
    </xdr:from>
    <xdr:to>
      <xdr:col>22</xdr:col>
      <xdr:colOff>12700</xdr:colOff>
      <xdr:row>108</xdr:row>
      <xdr:rowOff>189345</xdr:rowOff>
    </xdr:to>
    <xdr:sp macro="" textlink="">
      <xdr:nvSpPr>
        <xdr:cNvPr id="665" name="AutoShape 12">
          <a:extLst>
            <a:ext uri="{FF2B5EF4-FFF2-40B4-BE49-F238E27FC236}">
              <a16:creationId xmlns:a16="http://schemas.microsoft.com/office/drawing/2014/main" id="{00000000-0008-0000-0E00-0000C00A0000}"/>
            </a:ext>
          </a:extLst>
        </xdr:cNvPr>
        <xdr:cNvSpPr>
          <a:spLocks noChangeArrowheads="1"/>
        </xdr:cNvSpPr>
      </xdr:nvSpPr>
      <xdr:spPr>
        <a:xfrm>
          <a:off x="14068425" y="23214445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106</xdr:row>
      <xdr:rowOff>122465</xdr:rowOff>
    </xdr:from>
    <xdr:to>
      <xdr:col>24</xdr:col>
      <xdr:colOff>10886</xdr:colOff>
      <xdr:row>108</xdr:row>
      <xdr:rowOff>190500</xdr:rowOff>
    </xdr:to>
    <xdr:sp macro="" textlink="">
      <xdr:nvSpPr>
        <xdr:cNvPr id="666" name="AutoShape 13">
          <a:extLst>
            <a:ext uri="{FF2B5EF4-FFF2-40B4-BE49-F238E27FC236}">
              <a16:creationId xmlns:a16="http://schemas.microsoft.com/office/drawing/2014/main" id="{00000000-0008-0000-0E00-0000C10A0000}"/>
            </a:ext>
          </a:extLst>
        </xdr:cNvPr>
        <xdr:cNvSpPr>
          <a:spLocks noChangeArrowheads="1"/>
        </xdr:cNvSpPr>
      </xdr:nvSpPr>
      <xdr:spPr>
        <a:xfrm>
          <a:off x="15402469" y="23153915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114</xdr:row>
      <xdr:rowOff>0</xdr:rowOff>
    </xdr:from>
    <xdr:to>
      <xdr:col>2</xdr:col>
      <xdr:colOff>10886</xdr:colOff>
      <xdr:row>115</xdr:row>
      <xdr:rowOff>187778</xdr:rowOff>
    </xdr:to>
    <xdr:sp macro="" textlink="">
      <xdr:nvSpPr>
        <xdr:cNvPr id="667" name="AutoShape 13">
          <a:extLst>
            <a:ext uri="{FF2B5EF4-FFF2-40B4-BE49-F238E27FC236}">
              <a16:creationId xmlns:a16="http://schemas.microsoft.com/office/drawing/2014/main" id="{00000000-0008-0000-0E00-0000C20A0000}"/>
            </a:ext>
          </a:extLst>
        </xdr:cNvPr>
        <xdr:cNvSpPr>
          <a:spLocks noChangeArrowheads="1"/>
        </xdr:cNvSpPr>
      </xdr:nvSpPr>
      <xdr:spPr>
        <a:xfrm>
          <a:off x="587829" y="24669750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114</xdr:row>
      <xdr:rowOff>0</xdr:rowOff>
    </xdr:from>
    <xdr:to>
      <xdr:col>6</xdr:col>
      <xdr:colOff>13607</xdr:colOff>
      <xdr:row>115</xdr:row>
      <xdr:rowOff>190500</xdr:rowOff>
    </xdr:to>
    <xdr:sp macro="" textlink="">
      <xdr:nvSpPr>
        <xdr:cNvPr id="668" name="AutoShape 16">
          <a:extLst>
            <a:ext uri="{FF2B5EF4-FFF2-40B4-BE49-F238E27FC236}">
              <a16:creationId xmlns:a16="http://schemas.microsoft.com/office/drawing/2014/main" id="{00000000-0008-0000-0E00-0000C30A0000}"/>
            </a:ext>
          </a:extLst>
        </xdr:cNvPr>
        <xdr:cNvSpPr>
          <a:spLocks noChangeArrowheads="1"/>
        </xdr:cNvSpPr>
      </xdr:nvSpPr>
      <xdr:spPr>
        <a:xfrm>
          <a:off x="3495675" y="24669750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114</xdr:row>
      <xdr:rowOff>50800</xdr:rowOff>
    </xdr:from>
    <xdr:to>
      <xdr:col>14</xdr:col>
      <xdr:colOff>12700</xdr:colOff>
      <xdr:row>115</xdr:row>
      <xdr:rowOff>196850</xdr:rowOff>
    </xdr:to>
    <xdr:sp macro="" textlink="">
      <xdr:nvSpPr>
        <xdr:cNvPr id="669" name="AutoShape 21">
          <a:extLst>
            <a:ext uri="{FF2B5EF4-FFF2-40B4-BE49-F238E27FC236}">
              <a16:creationId xmlns:a16="http://schemas.microsoft.com/office/drawing/2014/main" id="{00000000-0008-0000-0E00-0000C40A0000}"/>
            </a:ext>
          </a:extLst>
        </xdr:cNvPr>
        <xdr:cNvSpPr>
          <a:spLocks noChangeArrowheads="1"/>
        </xdr:cNvSpPr>
      </xdr:nvSpPr>
      <xdr:spPr>
        <a:xfrm>
          <a:off x="8877300" y="24720550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114</xdr:row>
      <xdr:rowOff>19050</xdr:rowOff>
    </xdr:from>
    <xdr:to>
      <xdr:col>18</xdr:col>
      <xdr:colOff>12700</xdr:colOff>
      <xdr:row>116</xdr:row>
      <xdr:rowOff>0</xdr:rowOff>
    </xdr:to>
    <xdr:sp macro="" textlink="">
      <xdr:nvSpPr>
        <xdr:cNvPr id="670" name="AutoShape 23">
          <a:extLst>
            <a:ext uri="{FF2B5EF4-FFF2-40B4-BE49-F238E27FC236}">
              <a16:creationId xmlns:a16="http://schemas.microsoft.com/office/drawing/2014/main" id="{00000000-0008-0000-0E00-0000C50A0000}"/>
            </a:ext>
          </a:extLst>
        </xdr:cNvPr>
        <xdr:cNvSpPr>
          <a:spLocks noChangeArrowheads="1"/>
        </xdr:cNvSpPr>
      </xdr:nvSpPr>
      <xdr:spPr>
        <a:xfrm>
          <a:off x="11525250" y="24688800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114</xdr:row>
      <xdr:rowOff>65405</xdr:rowOff>
    </xdr:from>
    <xdr:to>
      <xdr:col>20</xdr:col>
      <xdr:colOff>9525</xdr:colOff>
      <xdr:row>115</xdr:row>
      <xdr:rowOff>198755</xdr:rowOff>
    </xdr:to>
    <xdr:sp macro="" textlink="">
      <xdr:nvSpPr>
        <xdr:cNvPr id="671" name="AutoShape 24">
          <a:extLst>
            <a:ext uri="{FF2B5EF4-FFF2-40B4-BE49-F238E27FC236}">
              <a16:creationId xmlns:a16="http://schemas.microsoft.com/office/drawing/2014/main" id="{00000000-0008-0000-0E00-0000C60A0000}"/>
            </a:ext>
          </a:extLst>
        </xdr:cNvPr>
        <xdr:cNvSpPr>
          <a:spLocks noChangeArrowheads="1"/>
        </xdr:cNvSpPr>
      </xdr:nvSpPr>
      <xdr:spPr>
        <a:xfrm>
          <a:off x="12807950" y="24735155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114</xdr:row>
      <xdr:rowOff>40823</xdr:rowOff>
    </xdr:from>
    <xdr:to>
      <xdr:col>22</xdr:col>
      <xdr:colOff>13607</xdr:colOff>
      <xdr:row>115</xdr:row>
      <xdr:rowOff>185059</xdr:rowOff>
    </xdr:to>
    <xdr:sp macro="" textlink="">
      <xdr:nvSpPr>
        <xdr:cNvPr id="672" name="AutoShape 25">
          <a:extLst>
            <a:ext uri="{FF2B5EF4-FFF2-40B4-BE49-F238E27FC236}">
              <a16:creationId xmlns:a16="http://schemas.microsoft.com/office/drawing/2014/main" id="{00000000-0008-0000-0E00-0000C70A0000}"/>
            </a:ext>
          </a:extLst>
        </xdr:cNvPr>
        <xdr:cNvSpPr>
          <a:spLocks noChangeArrowheads="1"/>
        </xdr:cNvSpPr>
      </xdr:nvSpPr>
      <xdr:spPr>
        <a:xfrm>
          <a:off x="14079312" y="24710573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114</xdr:row>
      <xdr:rowOff>19050</xdr:rowOff>
    </xdr:from>
    <xdr:to>
      <xdr:col>12</xdr:col>
      <xdr:colOff>12700</xdr:colOff>
      <xdr:row>116</xdr:row>
      <xdr:rowOff>0</xdr:rowOff>
    </xdr:to>
    <xdr:sp macro="" textlink="">
      <xdr:nvSpPr>
        <xdr:cNvPr id="673" name="AutoShape 205">
          <a:extLst>
            <a:ext uri="{FF2B5EF4-FFF2-40B4-BE49-F238E27FC236}">
              <a16:creationId xmlns:a16="http://schemas.microsoft.com/office/drawing/2014/main" id="{00000000-0008-0000-0E00-0000C80A0000}"/>
            </a:ext>
          </a:extLst>
        </xdr:cNvPr>
        <xdr:cNvSpPr>
          <a:spLocks noChangeArrowheads="1"/>
        </xdr:cNvSpPr>
      </xdr:nvSpPr>
      <xdr:spPr>
        <a:xfrm>
          <a:off x="7543800" y="24688800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114</xdr:row>
      <xdr:rowOff>25400</xdr:rowOff>
    </xdr:from>
    <xdr:to>
      <xdr:col>18</xdr:col>
      <xdr:colOff>11430</xdr:colOff>
      <xdr:row>115</xdr:row>
      <xdr:rowOff>184150</xdr:rowOff>
    </xdr:to>
    <xdr:sp macro="" textlink="">
      <xdr:nvSpPr>
        <xdr:cNvPr id="674" name="AutoShape 22">
          <a:extLst>
            <a:ext uri="{FF2B5EF4-FFF2-40B4-BE49-F238E27FC236}">
              <a16:creationId xmlns:a16="http://schemas.microsoft.com/office/drawing/2014/main" id="{00000000-0008-0000-0E00-0000CB0A0000}"/>
            </a:ext>
          </a:extLst>
        </xdr:cNvPr>
        <xdr:cNvSpPr>
          <a:spLocks noChangeArrowheads="1"/>
        </xdr:cNvSpPr>
      </xdr:nvSpPr>
      <xdr:spPr>
        <a:xfrm>
          <a:off x="11536680" y="24695150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106</xdr:row>
      <xdr:rowOff>119063</xdr:rowOff>
    </xdr:from>
    <xdr:to>
      <xdr:col>12</xdr:col>
      <xdr:colOff>22375</xdr:colOff>
      <xdr:row>108</xdr:row>
      <xdr:rowOff>191929</xdr:rowOff>
    </xdr:to>
    <xdr:sp macro="" textlink="">
      <xdr:nvSpPr>
        <xdr:cNvPr id="675" name="AutoShape 25">
          <a:extLst>
            <a:ext uri="{FF2B5EF4-FFF2-40B4-BE49-F238E27FC236}">
              <a16:creationId xmlns:a16="http://schemas.microsoft.com/office/drawing/2014/main" id="{00000000-0008-0000-0E00-00009D0B0000}"/>
            </a:ext>
          </a:extLst>
        </xdr:cNvPr>
        <xdr:cNvSpPr>
          <a:spLocks noChangeArrowheads="1"/>
        </xdr:cNvSpPr>
      </xdr:nvSpPr>
      <xdr:spPr>
        <a:xfrm>
          <a:off x="7527131" y="23150513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0</xdr:colOff>
      <xdr:row>11</xdr:row>
      <xdr:rowOff>0</xdr:rowOff>
    </xdr:from>
    <xdr:to>
      <xdr:col>16</xdr:col>
      <xdr:colOff>6349</xdr:colOff>
      <xdr:row>11</xdr:row>
      <xdr:rowOff>226220</xdr:rowOff>
    </xdr:to>
    <xdr:sp macro="" textlink="">
      <xdr:nvSpPr>
        <xdr:cNvPr id="676" name="Freeform 152">
          <a:extLst>
            <a:ext uri="{FF2B5EF4-FFF2-40B4-BE49-F238E27FC236}">
              <a16:creationId xmlns:a16="http://schemas.microsoft.com/office/drawing/2014/main" id="{00000000-0008-0000-0E00-0000F2080000}"/>
            </a:ext>
          </a:extLst>
        </xdr:cNvPr>
        <xdr:cNvSpPr/>
      </xdr:nvSpPr>
      <xdr:spPr>
        <a:xfrm>
          <a:off x="9639300" y="3219450"/>
          <a:ext cx="1292224" cy="2262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14</xdr:col>
      <xdr:colOff>47625</xdr:colOff>
      <xdr:row>4</xdr:row>
      <xdr:rowOff>273844</xdr:rowOff>
    </xdr:from>
    <xdr:to>
      <xdr:col>16</xdr:col>
      <xdr:colOff>53974</xdr:colOff>
      <xdr:row>5</xdr:row>
      <xdr:rowOff>190501</xdr:rowOff>
    </xdr:to>
    <xdr:sp macro="" textlink="">
      <xdr:nvSpPr>
        <xdr:cNvPr id="677" name="Freeform 152">
          <a:extLst>
            <a:ext uri="{FF2B5EF4-FFF2-40B4-BE49-F238E27FC236}">
              <a16:creationId xmlns:a16="http://schemas.microsoft.com/office/drawing/2014/main" id="{00000000-0008-0000-0E00-0000F0080000}"/>
            </a:ext>
          </a:extLst>
        </xdr:cNvPr>
        <xdr:cNvSpPr/>
      </xdr:nvSpPr>
      <xdr:spPr>
        <a:xfrm>
          <a:off x="9667875" y="1404938"/>
          <a:ext cx="1292224" cy="22621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rgbClr val="FF0000"/>
          </a:solidFill>
          <a:prstDash val="lgDashDot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678" name="AutoShape 21">
          <a:extLst>
            <a:ext uri="{FF2B5EF4-FFF2-40B4-BE49-F238E27FC236}">
              <a16:creationId xmlns:a16="http://schemas.microsoft.com/office/drawing/2014/main" id="{00000000-0008-0000-0E00-00002D02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43</xdr:row>
      <xdr:rowOff>50800</xdr:rowOff>
    </xdr:from>
    <xdr:to>
      <xdr:col>2</xdr:col>
      <xdr:colOff>12700</xdr:colOff>
      <xdr:row>44</xdr:row>
      <xdr:rowOff>196850</xdr:rowOff>
    </xdr:to>
    <xdr:sp macro="" textlink="">
      <xdr:nvSpPr>
        <xdr:cNvPr id="679" name="AutoShape 21">
          <a:extLst>
            <a:ext uri="{FF2B5EF4-FFF2-40B4-BE49-F238E27FC236}">
              <a16:creationId xmlns:a16="http://schemas.microsoft.com/office/drawing/2014/main" id="{00000000-0008-0000-0E00-000041060000}"/>
            </a:ext>
          </a:extLst>
        </xdr:cNvPr>
        <xdr:cNvSpPr>
          <a:spLocks noChangeArrowheads="1"/>
        </xdr:cNvSpPr>
      </xdr:nvSpPr>
      <xdr:spPr>
        <a:xfrm>
          <a:off x="600075" y="10233025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23813</xdr:colOff>
      <xdr:row>18</xdr:row>
      <xdr:rowOff>11907</xdr:rowOff>
    </xdr:from>
    <xdr:to>
      <xdr:col>3</xdr:col>
      <xdr:colOff>654845</xdr:colOff>
      <xdr:row>19</xdr:row>
      <xdr:rowOff>178595</xdr:rowOff>
    </xdr:to>
    <xdr:sp macro="" textlink="">
      <xdr:nvSpPr>
        <xdr:cNvPr id="680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76463" y="5098257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</xdr:colOff>
      <xdr:row>18</xdr:row>
      <xdr:rowOff>23812</xdr:rowOff>
    </xdr:from>
    <xdr:to>
      <xdr:col>4</xdr:col>
      <xdr:colOff>11907</xdr:colOff>
      <xdr:row>19</xdr:row>
      <xdr:rowOff>158750</xdr:rowOff>
    </xdr:to>
    <xdr:sp macro="" textlink="">
      <xdr:nvSpPr>
        <xdr:cNvPr id="681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52651" y="5110162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18</xdr:row>
      <xdr:rowOff>0</xdr:rowOff>
    </xdr:from>
    <xdr:to>
      <xdr:col>15</xdr:col>
      <xdr:colOff>678656</xdr:colOff>
      <xdr:row>19</xdr:row>
      <xdr:rowOff>134938</xdr:rowOff>
    </xdr:to>
    <xdr:sp macro="" textlink="">
      <xdr:nvSpPr>
        <xdr:cNvPr id="68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5086350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595311</xdr:colOff>
      <xdr:row>18</xdr:row>
      <xdr:rowOff>0</xdr:rowOff>
    </xdr:from>
    <xdr:to>
      <xdr:col>15</xdr:col>
      <xdr:colOff>690562</xdr:colOff>
      <xdr:row>19</xdr:row>
      <xdr:rowOff>190500</xdr:rowOff>
    </xdr:to>
    <xdr:sp macro="" textlink="">
      <xdr:nvSpPr>
        <xdr:cNvPr id="68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34611" y="5086350"/>
          <a:ext cx="695326" cy="4000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23812</xdr:colOff>
      <xdr:row>24</xdr:row>
      <xdr:rowOff>11906</xdr:rowOff>
    </xdr:from>
    <xdr:to>
      <xdr:col>12</xdr:col>
      <xdr:colOff>0</xdr:colOff>
      <xdr:row>25</xdr:row>
      <xdr:rowOff>190499</xdr:rowOff>
    </xdr:to>
    <xdr:sp macro="" textlink="">
      <xdr:nvSpPr>
        <xdr:cNvPr id="68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2" y="6317456"/>
          <a:ext cx="700088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24</xdr:row>
      <xdr:rowOff>23812</xdr:rowOff>
    </xdr:from>
    <xdr:to>
      <xdr:col>12</xdr:col>
      <xdr:colOff>11907</xdr:colOff>
      <xdr:row>25</xdr:row>
      <xdr:rowOff>158750</xdr:rowOff>
    </xdr:to>
    <xdr:sp macro="" textlink="">
      <xdr:nvSpPr>
        <xdr:cNvPr id="685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1" y="6329362"/>
          <a:ext cx="73580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136072</xdr:colOff>
      <xdr:row>43</xdr:row>
      <xdr:rowOff>27216</xdr:rowOff>
    </xdr:from>
    <xdr:to>
      <xdr:col>6</xdr:col>
      <xdr:colOff>405296</xdr:colOff>
      <xdr:row>48</xdr:row>
      <xdr:rowOff>192039</xdr:rowOff>
    </xdr:to>
    <xdr:sp macro="" textlink="">
      <xdr:nvSpPr>
        <xdr:cNvPr id="686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3864922" y="10671591"/>
          <a:ext cx="1193523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 editAs="oneCell">
    <xdr:from>
      <xdr:col>23</xdr:col>
      <xdr:colOff>54429</xdr:colOff>
      <xdr:row>12</xdr:row>
      <xdr:rowOff>95250</xdr:rowOff>
    </xdr:from>
    <xdr:to>
      <xdr:col>23</xdr:col>
      <xdr:colOff>290788</xdr:colOff>
      <xdr:row>14</xdr:row>
      <xdr:rowOff>204108</xdr:rowOff>
    </xdr:to>
    <xdr:pic>
      <xdr:nvPicPr>
        <xdr:cNvPr id="687" name="Picture 11595">
          <a:extLst>
            <a:ext uri="{FF2B5EF4-FFF2-40B4-BE49-F238E27FC236}">
              <a16:creationId xmlns:a16="http://schemas.microsoft.com/office/drawing/2014/main" id="{00000000-0008-0000-03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456354" y="3609975"/>
          <a:ext cx="236359" cy="7756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326571</xdr:colOff>
      <xdr:row>43</xdr:row>
      <xdr:rowOff>81644</xdr:rowOff>
    </xdr:from>
    <xdr:to>
      <xdr:col>10</xdr:col>
      <xdr:colOff>522108</xdr:colOff>
      <xdr:row>47</xdr:row>
      <xdr:rowOff>28613</xdr:rowOff>
    </xdr:to>
    <xdr:pic>
      <xdr:nvPicPr>
        <xdr:cNvPr id="688" name="Picture 11595">
          <a:extLst>
            <a:ext uri="{FF2B5EF4-FFF2-40B4-BE49-F238E27FC236}">
              <a16:creationId xmlns:a16="http://schemas.microsoft.com/office/drawing/2014/main" id="{00000000-0008-0000-03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70296" y="10263869"/>
          <a:ext cx="195537" cy="775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23812</xdr:colOff>
      <xdr:row>38</xdr:row>
      <xdr:rowOff>0</xdr:rowOff>
    </xdr:from>
    <xdr:to>
      <xdr:col>11</xdr:col>
      <xdr:colOff>654844</xdr:colOff>
      <xdr:row>39</xdr:row>
      <xdr:rowOff>166688</xdr:rowOff>
    </xdr:to>
    <xdr:sp macro="" textlink="">
      <xdr:nvSpPr>
        <xdr:cNvPr id="68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2" y="9163050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38</xdr:row>
      <xdr:rowOff>11905</xdr:rowOff>
    </xdr:from>
    <xdr:to>
      <xdr:col>11</xdr:col>
      <xdr:colOff>678656</xdr:colOff>
      <xdr:row>39</xdr:row>
      <xdr:rowOff>146843</xdr:rowOff>
    </xdr:to>
    <xdr:sp macro="" textlink="">
      <xdr:nvSpPr>
        <xdr:cNvPr id="69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0" y="917495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23811</xdr:colOff>
      <xdr:row>37</xdr:row>
      <xdr:rowOff>214312</xdr:rowOff>
    </xdr:from>
    <xdr:to>
      <xdr:col>14</xdr:col>
      <xdr:colOff>11906</xdr:colOff>
      <xdr:row>40</xdr:row>
      <xdr:rowOff>11905</xdr:rowOff>
    </xdr:to>
    <xdr:sp macro="" textlink="">
      <xdr:nvSpPr>
        <xdr:cNvPr id="69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8751092" y="9274968"/>
          <a:ext cx="750095" cy="44053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38</xdr:row>
      <xdr:rowOff>11905</xdr:rowOff>
    </xdr:from>
    <xdr:to>
      <xdr:col>13</xdr:col>
      <xdr:colOff>678656</xdr:colOff>
      <xdr:row>39</xdr:row>
      <xdr:rowOff>146843</xdr:rowOff>
    </xdr:to>
    <xdr:sp macro="" textlink="">
      <xdr:nvSpPr>
        <xdr:cNvPr id="69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8877300" y="917495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23812</xdr:colOff>
      <xdr:row>45</xdr:row>
      <xdr:rowOff>0</xdr:rowOff>
    </xdr:from>
    <xdr:to>
      <xdr:col>5</xdr:col>
      <xdr:colOff>654844</xdr:colOff>
      <xdr:row>46</xdr:row>
      <xdr:rowOff>166688</xdr:rowOff>
    </xdr:to>
    <xdr:sp macro="" textlink="">
      <xdr:nvSpPr>
        <xdr:cNvPr id="69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3519487" y="10591800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11905</xdr:rowOff>
    </xdr:from>
    <xdr:to>
      <xdr:col>5</xdr:col>
      <xdr:colOff>678656</xdr:colOff>
      <xdr:row>46</xdr:row>
      <xdr:rowOff>146843</xdr:rowOff>
    </xdr:to>
    <xdr:sp macro="" textlink="">
      <xdr:nvSpPr>
        <xdr:cNvPr id="69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3495675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23812</xdr:colOff>
      <xdr:row>45</xdr:row>
      <xdr:rowOff>0</xdr:rowOff>
    </xdr:from>
    <xdr:to>
      <xdr:col>7</xdr:col>
      <xdr:colOff>654844</xdr:colOff>
      <xdr:row>46</xdr:row>
      <xdr:rowOff>166688</xdr:rowOff>
    </xdr:to>
    <xdr:sp macro="" textlink="">
      <xdr:nvSpPr>
        <xdr:cNvPr id="69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4843462" y="10591800"/>
          <a:ext cx="631032" cy="3762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45</xdr:row>
      <xdr:rowOff>11905</xdr:rowOff>
    </xdr:from>
    <xdr:to>
      <xdr:col>7</xdr:col>
      <xdr:colOff>678656</xdr:colOff>
      <xdr:row>46</xdr:row>
      <xdr:rowOff>146843</xdr:rowOff>
    </xdr:to>
    <xdr:sp macro="" textlink="">
      <xdr:nvSpPr>
        <xdr:cNvPr id="69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4819650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23812</xdr:colOff>
      <xdr:row>45</xdr:row>
      <xdr:rowOff>0</xdr:rowOff>
    </xdr:from>
    <xdr:to>
      <xdr:col>9</xdr:col>
      <xdr:colOff>789214</xdr:colOff>
      <xdr:row>46</xdr:row>
      <xdr:rowOff>163286</xdr:rowOff>
    </xdr:to>
    <xdr:sp macro="" textlink="">
      <xdr:nvSpPr>
        <xdr:cNvPr id="69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2" y="10591800"/>
          <a:ext cx="746352" cy="37283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11905</xdr:rowOff>
    </xdr:from>
    <xdr:to>
      <xdr:col>9</xdr:col>
      <xdr:colOff>678656</xdr:colOff>
      <xdr:row>46</xdr:row>
      <xdr:rowOff>146843</xdr:rowOff>
    </xdr:to>
    <xdr:sp macro="" textlink="">
      <xdr:nvSpPr>
        <xdr:cNvPr id="69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23812</xdr:colOff>
      <xdr:row>45</xdr:row>
      <xdr:rowOff>0</xdr:rowOff>
    </xdr:from>
    <xdr:to>
      <xdr:col>12</xdr:col>
      <xdr:colOff>0</xdr:colOff>
      <xdr:row>46</xdr:row>
      <xdr:rowOff>176893</xdr:rowOff>
    </xdr:to>
    <xdr:sp macro="" textlink="">
      <xdr:nvSpPr>
        <xdr:cNvPr id="69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2" y="10591800"/>
          <a:ext cx="700088" cy="3864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45</xdr:row>
      <xdr:rowOff>11905</xdr:rowOff>
    </xdr:from>
    <xdr:to>
      <xdr:col>11</xdr:col>
      <xdr:colOff>678656</xdr:colOff>
      <xdr:row>46</xdr:row>
      <xdr:rowOff>146843</xdr:rowOff>
    </xdr:to>
    <xdr:sp macro="" textlink="">
      <xdr:nvSpPr>
        <xdr:cNvPr id="70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0" y="1060370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13</xdr:col>
      <xdr:colOff>697366</xdr:colOff>
      <xdr:row>46</xdr:row>
      <xdr:rowOff>176893</xdr:rowOff>
    </xdr:to>
    <xdr:sp macro="" textlink="">
      <xdr:nvSpPr>
        <xdr:cNvPr id="70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8877300" y="10591800"/>
          <a:ext cx="697366" cy="3864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45</xdr:row>
      <xdr:rowOff>0</xdr:rowOff>
    </xdr:from>
    <xdr:to>
      <xdr:col>16</xdr:col>
      <xdr:colOff>17009</xdr:colOff>
      <xdr:row>46</xdr:row>
      <xdr:rowOff>176893</xdr:rowOff>
    </xdr:to>
    <xdr:sp macro="" textlink="">
      <xdr:nvSpPr>
        <xdr:cNvPr id="702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39375" y="10591800"/>
          <a:ext cx="702809" cy="3864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13</xdr:col>
      <xdr:colOff>678656</xdr:colOff>
      <xdr:row>46</xdr:row>
      <xdr:rowOff>134938</xdr:rowOff>
    </xdr:to>
    <xdr:sp macro="" textlink="">
      <xdr:nvSpPr>
        <xdr:cNvPr id="703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8877300" y="10591800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45</xdr:row>
      <xdr:rowOff>0</xdr:rowOff>
    </xdr:from>
    <xdr:to>
      <xdr:col>15</xdr:col>
      <xdr:colOff>678656</xdr:colOff>
      <xdr:row>46</xdr:row>
      <xdr:rowOff>134938</xdr:rowOff>
    </xdr:to>
    <xdr:sp macro="" textlink="">
      <xdr:nvSpPr>
        <xdr:cNvPr id="70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10591800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23813</xdr:colOff>
      <xdr:row>52</xdr:row>
      <xdr:rowOff>1</xdr:rowOff>
    </xdr:from>
    <xdr:to>
      <xdr:col>15</xdr:col>
      <xdr:colOff>671635</xdr:colOff>
      <xdr:row>53</xdr:row>
      <xdr:rowOff>183174</xdr:rowOff>
    </xdr:to>
    <xdr:sp macro="" textlink="">
      <xdr:nvSpPr>
        <xdr:cNvPr id="70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8" y="12020551"/>
          <a:ext cx="647822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52</xdr:row>
      <xdr:rowOff>11905</xdr:rowOff>
    </xdr:from>
    <xdr:to>
      <xdr:col>15</xdr:col>
      <xdr:colOff>678656</xdr:colOff>
      <xdr:row>53</xdr:row>
      <xdr:rowOff>146843</xdr:rowOff>
    </xdr:to>
    <xdr:sp macro="" textlink="">
      <xdr:nvSpPr>
        <xdr:cNvPr id="70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12032455"/>
          <a:ext cx="678656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574248</xdr:colOff>
      <xdr:row>63</xdr:row>
      <xdr:rowOff>167296</xdr:rowOff>
    </xdr:from>
    <xdr:to>
      <xdr:col>12</xdr:col>
      <xdr:colOff>35719</xdr:colOff>
      <xdr:row>65</xdr:row>
      <xdr:rowOff>214312</xdr:rowOff>
    </xdr:to>
    <xdr:sp macro="" textlink="">
      <xdr:nvSpPr>
        <xdr:cNvPr id="707" name="AutoShape 25">
          <a:extLst>
            <a:ext uri="{FF2B5EF4-FFF2-40B4-BE49-F238E27FC236}">
              <a16:creationId xmlns:a16="http://schemas.microsoft.com/office/drawing/2014/main" id="{00000000-0008-0000-0E00-00006E0A0000}"/>
            </a:ext>
          </a:extLst>
        </xdr:cNvPr>
        <xdr:cNvSpPr>
          <a:spLocks noChangeArrowheads="1"/>
        </xdr:cNvSpPr>
      </xdr:nvSpPr>
      <xdr:spPr>
        <a:xfrm>
          <a:off x="7503686" y="14633390"/>
          <a:ext cx="783064" cy="45182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78</xdr:row>
      <xdr:rowOff>12210</xdr:rowOff>
    </xdr:from>
    <xdr:to>
      <xdr:col>2</xdr:col>
      <xdr:colOff>5910</xdr:colOff>
      <xdr:row>79</xdr:row>
      <xdr:rowOff>196377</xdr:rowOff>
    </xdr:to>
    <xdr:sp macro="" textlink="">
      <xdr:nvSpPr>
        <xdr:cNvPr id="708" name="AutoShape 14">
          <a:extLst>
            <a:ext uri="{FF2B5EF4-FFF2-40B4-BE49-F238E27FC236}">
              <a16:creationId xmlns:a16="http://schemas.microsoft.com/office/drawing/2014/main" id="{00000000-0008-0000-0E00-0000780A0000}"/>
            </a:ext>
          </a:extLst>
        </xdr:cNvPr>
        <xdr:cNvSpPr>
          <a:spLocks noChangeArrowheads="1"/>
        </xdr:cNvSpPr>
      </xdr:nvSpPr>
      <xdr:spPr>
        <a:xfrm>
          <a:off x="600075" y="17338185"/>
          <a:ext cx="948885" cy="38419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675787</xdr:colOff>
      <xdr:row>77</xdr:row>
      <xdr:rowOff>168275</xdr:rowOff>
    </xdr:from>
    <xdr:to>
      <xdr:col>6</xdr:col>
      <xdr:colOff>7745</xdr:colOff>
      <xdr:row>79</xdr:row>
      <xdr:rowOff>186769</xdr:rowOff>
    </xdr:to>
    <xdr:sp macro="" textlink="">
      <xdr:nvSpPr>
        <xdr:cNvPr id="709" name="AutoShape 9">
          <a:extLst>
            <a:ext uri="{FF2B5EF4-FFF2-40B4-BE49-F238E27FC236}">
              <a16:creationId xmlns:a16="http://schemas.microsoft.com/office/drawing/2014/main" id="{00000000-0008-0000-0E00-000037090000}"/>
            </a:ext>
          </a:extLst>
        </xdr:cNvPr>
        <xdr:cNvSpPr>
          <a:spLocks noChangeArrowheads="1"/>
        </xdr:cNvSpPr>
      </xdr:nvSpPr>
      <xdr:spPr>
        <a:xfrm>
          <a:off x="3495187" y="17294225"/>
          <a:ext cx="703558" cy="41854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14652</xdr:colOff>
      <xdr:row>78</xdr:row>
      <xdr:rowOff>36939</xdr:rowOff>
    </xdr:from>
    <xdr:to>
      <xdr:col>18</xdr:col>
      <xdr:colOff>11907</xdr:colOff>
      <xdr:row>79</xdr:row>
      <xdr:rowOff>190500</xdr:rowOff>
    </xdr:to>
    <xdr:sp macro="" textlink="">
      <xdr:nvSpPr>
        <xdr:cNvPr id="710" name="AutoShape 15">
          <a:extLst>
            <a:ext uri="{FF2B5EF4-FFF2-40B4-BE49-F238E27FC236}">
              <a16:creationId xmlns:a16="http://schemas.microsoft.com/office/drawing/2014/main" id="{00000000-0008-0000-0E00-0000880A0000}"/>
            </a:ext>
          </a:extLst>
        </xdr:cNvPr>
        <xdr:cNvSpPr>
          <a:spLocks noChangeArrowheads="1"/>
        </xdr:cNvSpPr>
      </xdr:nvSpPr>
      <xdr:spPr>
        <a:xfrm>
          <a:off x="11480371" y="17610564"/>
          <a:ext cx="687817" cy="35596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23813</xdr:colOff>
      <xdr:row>66</xdr:row>
      <xdr:rowOff>0</xdr:rowOff>
    </xdr:from>
    <xdr:to>
      <xdr:col>9</xdr:col>
      <xdr:colOff>757115</xdr:colOff>
      <xdr:row>67</xdr:row>
      <xdr:rowOff>183173</xdr:rowOff>
    </xdr:to>
    <xdr:sp macro="" textlink="">
      <xdr:nvSpPr>
        <xdr:cNvPr id="71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3" y="14878050"/>
          <a:ext cx="733302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36634</xdr:rowOff>
    </xdr:from>
    <xdr:to>
      <xdr:col>9</xdr:col>
      <xdr:colOff>744904</xdr:colOff>
      <xdr:row>67</xdr:row>
      <xdr:rowOff>170961</xdr:rowOff>
    </xdr:to>
    <xdr:sp macro="" textlink="">
      <xdr:nvSpPr>
        <xdr:cNvPr id="71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4914684"/>
          <a:ext cx="744904" cy="34387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23813</xdr:colOff>
      <xdr:row>73</xdr:row>
      <xdr:rowOff>0</xdr:rowOff>
    </xdr:from>
    <xdr:to>
      <xdr:col>9</xdr:col>
      <xdr:colOff>757115</xdr:colOff>
      <xdr:row>74</xdr:row>
      <xdr:rowOff>183173</xdr:rowOff>
    </xdr:to>
    <xdr:sp macro="" textlink="">
      <xdr:nvSpPr>
        <xdr:cNvPr id="71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3" y="16306800"/>
          <a:ext cx="733302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73</xdr:row>
      <xdr:rowOff>36634</xdr:rowOff>
    </xdr:from>
    <xdr:to>
      <xdr:col>9</xdr:col>
      <xdr:colOff>744904</xdr:colOff>
      <xdr:row>74</xdr:row>
      <xdr:rowOff>170961</xdr:rowOff>
    </xdr:to>
    <xdr:sp macro="" textlink="">
      <xdr:nvSpPr>
        <xdr:cNvPr id="71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6343434"/>
          <a:ext cx="744904" cy="34387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23813</xdr:colOff>
      <xdr:row>80</xdr:row>
      <xdr:rowOff>0</xdr:rowOff>
    </xdr:from>
    <xdr:to>
      <xdr:col>9</xdr:col>
      <xdr:colOff>757115</xdr:colOff>
      <xdr:row>81</xdr:row>
      <xdr:rowOff>183173</xdr:rowOff>
    </xdr:to>
    <xdr:sp macro="" textlink="">
      <xdr:nvSpPr>
        <xdr:cNvPr id="71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3" y="17735550"/>
          <a:ext cx="733302" cy="38319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80</xdr:row>
      <xdr:rowOff>36634</xdr:rowOff>
    </xdr:from>
    <xdr:to>
      <xdr:col>9</xdr:col>
      <xdr:colOff>744904</xdr:colOff>
      <xdr:row>81</xdr:row>
      <xdr:rowOff>170961</xdr:rowOff>
    </xdr:to>
    <xdr:sp macro="" textlink="">
      <xdr:nvSpPr>
        <xdr:cNvPr id="71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17772184"/>
          <a:ext cx="744904" cy="334352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146539</xdr:colOff>
      <xdr:row>85</xdr:row>
      <xdr:rowOff>122116</xdr:rowOff>
    </xdr:from>
    <xdr:to>
      <xdr:col>10</xdr:col>
      <xdr:colOff>256442</xdr:colOff>
      <xdr:row>89</xdr:row>
      <xdr:rowOff>85481</xdr:rowOff>
    </xdr:to>
    <xdr:sp macro="" textlink="">
      <xdr:nvSpPr>
        <xdr:cNvPr id="717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7090264" y="18867316"/>
          <a:ext cx="109903" cy="79204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20</xdr:col>
      <xdr:colOff>134326</xdr:colOff>
      <xdr:row>86</xdr:row>
      <xdr:rowOff>48846</xdr:rowOff>
    </xdr:from>
    <xdr:to>
      <xdr:col>20</xdr:col>
      <xdr:colOff>244229</xdr:colOff>
      <xdr:row>90</xdr:row>
      <xdr:rowOff>0</xdr:rowOff>
    </xdr:to>
    <xdr:sp macro="" textlink="">
      <xdr:nvSpPr>
        <xdr:cNvPr id="718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13602676" y="18994071"/>
          <a:ext cx="109903" cy="779829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94</xdr:row>
      <xdr:rowOff>0</xdr:rowOff>
    </xdr:from>
    <xdr:to>
      <xdr:col>22</xdr:col>
      <xdr:colOff>30333</xdr:colOff>
      <xdr:row>95</xdr:row>
      <xdr:rowOff>195384</xdr:rowOff>
    </xdr:to>
    <xdr:sp macro="" textlink="">
      <xdr:nvSpPr>
        <xdr:cNvPr id="719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0583525"/>
          <a:ext cx="687558" cy="40493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94</xdr:row>
      <xdr:rowOff>36636</xdr:rowOff>
    </xdr:from>
    <xdr:to>
      <xdr:col>21</xdr:col>
      <xdr:colOff>625719</xdr:colOff>
      <xdr:row>96</xdr:row>
      <xdr:rowOff>5423</xdr:rowOff>
    </xdr:to>
    <xdr:sp macro="" textlink="">
      <xdr:nvSpPr>
        <xdr:cNvPr id="720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0620161"/>
          <a:ext cx="589085" cy="38788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176544</xdr:colOff>
      <xdr:row>101</xdr:row>
      <xdr:rowOff>59661</xdr:rowOff>
    </xdr:from>
    <xdr:to>
      <xdr:col>14</xdr:col>
      <xdr:colOff>286447</xdr:colOff>
      <xdr:row>105</xdr:row>
      <xdr:rowOff>10815</xdr:rowOff>
    </xdr:to>
    <xdr:sp macro="" textlink="">
      <xdr:nvSpPr>
        <xdr:cNvPr id="721" name="Up-Down Arrow 466">
          <a:extLst>
            <a:ext uri="{FF2B5EF4-FFF2-40B4-BE49-F238E27FC236}">
              <a16:creationId xmlns:a16="http://schemas.microsoft.com/office/drawing/2014/main" id="{00000000-0008-0000-0E00-0000330A0000}"/>
            </a:ext>
          </a:extLst>
        </xdr:cNvPr>
        <xdr:cNvSpPr/>
      </xdr:nvSpPr>
      <xdr:spPr>
        <a:xfrm>
          <a:off x="9815844" y="22062411"/>
          <a:ext cx="109903" cy="779829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22</xdr:col>
      <xdr:colOff>73271</xdr:colOff>
      <xdr:row>99</xdr:row>
      <xdr:rowOff>183174</xdr:rowOff>
    </xdr:from>
    <xdr:to>
      <xdr:col>22</xdr:col>
      <xdr:colOff>342495</xdr:colOff>
      <xdr:row>105</xdr:row>
      <xdr:rowOff>171103</xdr:rowOff>
    </xdr:to>
    <xdr:sp macro="" textlink="">
      <xdr:nvSpPr>
        <xdr:cNvPr id="722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14325206" y="22259589"/>
          <a:ext cx="1216654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13</xdr:col>
      <xdr:colOff>0</xdr:colOff>
      <xdr:row>102</xdr:row>
      <xdr:rowOff>0</xdr:rowOff>
    </xdr:from>
    <xdr:to>
      <xdr:col>13</xdr:col>
      <xdr:colOff>689756</xdr:colOff>
      <xdr:row>103</xdr:row>
      <xdr:rowOff>195385</xdr:rowOff>
    </xdr:to>
    <xdr:sp macro="" textlink="">
      <xdr:nvSpPr>
        <xdr:cNvPr id="723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8877300" y="22212300"/>
          <a:ext cx="689756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36634</xdr:colOff>
      <xdr:row>102</xdr:row>
      <xdr:rowOff>36636</xdr:rowOff>
    </xdr:from>
    <xdr:to>
      <xdr:col>13</xdr:col>
      <xdr:colOff>696058</xdr:colOff>
      <xdr:row>103</xdr:row>
      <xdr:rowOff>195385</xdr:rowOff>
    </xdr:to>
    <xdr:sp macro="" textlink="">
      <xdr:nvSpPr>
        <xdr:cNvPr id="724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8913934" y="22248936"/>
          <a:ext cx="659424" cy="36829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102</xdr:row>
      <xdr:rowOff>0</xdr:rowOff>
    </xdr:from>
    <xdr:to>
      <xdr:col>22</xdr:col>
      <xdr:colOff>30333</xdr:colOff>
      <xdr:row>103</xdr:row>
      <xdr:rowOff>195385</xdr:rowOff>
    </xdr:to>
    <xdr:sp macro="" textlink="">
      <xdr:nvSpPr>
        <xdr:cNvPr id="725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2212300"/>
          <a:ext cx="687558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102</xdr:row>
      <xdr:rowOff>36636</xdr:rowOff>
    </xdr:from>
    <xdr:to>
      <xdr:col>21</xdr:col>
      <xdr:colOff>625719</xdr:colOff>
      <xdr:row>104</xdr:row>
      <xdr:rowOff>5424</xdr:rowOff>
    </xdr:to>
    <xdr:sp macro="" textlink="">
      <xdr:nvSpPr>
        <xdr:cNvPr id="726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2248936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102</xdr:row>
      <xdr:rowOff>0</xdr:rowOff>
    </xdr:from>
    <xdr:to>
      <xdr:col>24</xdr:col>
      <xdr:colOff>5910</xdr:colOff>
      <xdr:row>103</xdr:row>
      <xdr:rowOff>195385</xdr:rowOff>
    </xdr:to>
    <xdr:sp macro="" textlink="">
      <xdr:nvSpPr>
        <xdr:cNvPr id="727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5401925" y="22212300"/>
          <a:ext cx="691710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23</xdr:col>
      <xdr:colOff>36634</xdr:colOff>
      <xdr:row>102</xdr:row>
      <xdr:rowOff>36636</xdr:rowOff>
    </xdr:from>
    <xdr:to>
      <xdr:col>23</xdr:col>
      <xdr:colOff>625719</xdr:colOff>
      <xdr:row>104</xdr:row>
      <xdr:rowOff>5424</xdr:rowOff>
    </xdr:to>
    <xdr:sp macro="" textlink="">
      <xdr:nvSpPr>
        <xdr:cNvPr id="728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5438559" y="22248936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109</xdr:row>
      <xdr:rowOff>0</xdr:rowOff>
    </xdr:from>
    <xdr:to>
      <xdr:col>22</xdr:col>
      <xdr:colOff>30333</xdr:colOff>
      <xdr:row>110</xdr:row>
      <xdr:rowOff>195385</xdr:rowOff>
    </xdr:to>
    <xdr:sp macro="" textlink="">
      <xdr:nvSpPr>
        <xdr:cNvPr id="729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3641050"/>
          <a:ext cx="687558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109</xdr:row>
      <xdr:rowOff>36636</xdr:rowOff>
    </xdr:from>
    <xdr:to>
      <xdr:col>21</xdr:col>
      <xdr:colOff>625719</xdr:colOff>
      <xdr:row>111</xdr:row>
      <xdr:rowOff>5424</xdr:rowOff>
    </xdr:to>
    <xdr:sp macro="" textlink="">
      <xdr:nvSpPr>
        <xdr:cNvPr id="730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3677686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108</xdr:row>
      <xdr:rowOff>195384</xdr:rowOff>
    </xdr:from>
    <xdr:to>
      <xdr:col>2</xdr:col>
      <xdr:colOff>12211</xdr:colOff>
      <xdr:row>110</xdr:row>
      <xdr:rowOff>195384</xdr:rowOff>
    </xdr:to>
    <xdr:sp macro="" textlink="">
      <xdr:nvSpPr>
        <xdr:cNvPr id="731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600075" y="23626884"/>
          <a:ext cx="955186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36634</xdr:colOff>
      <xdr:row>109</xdr:row>
      <xdr:rowOff>36636</xdr:rowOff>
    </xdr:from>
    <xdr:to>
      <xdr:col>2</xdr:col>
      <xdr:colOff>0</xdr:colOff>
      <xdr:row>110</xdr:row>
      <xdr:rowOff>170962</xdr:rowOff>
    </xdr:to>
    <xdr:sp macro="" textlink="">
      <xdr:nvSpPr>
        <xdr:cNvPr id="732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636709" y="23677686"/>
          <a:ext cx="906341" cy="34387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116</xdr:row>
      <xdr:rowOff>24422</xdr:rowOff>
    </xdr:from>
    <xdr:to>
      <xdr:col>9</xdr:col>
      <xdr:colOff>744904</xdr:colOff>
      <xdr:row>117</xdr:row>
      <xdr:rowOff>195384</xdr:rowOff>
    </xdr:to>
    <xdr:sp macro="" textlink="">
      <xdr:nvSpPr>
        <xdr:cNvPr id="733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6172200" y="25103747"/>
          <a:ext cx="744904" cy="380512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9</xdr:col>
      <xdr:colOff>36633</xdr:colOff>
      <xdr:row>116</xdr:row>
      <xdr:rowOff>36635</xdr:rowOff>
    </xdr:from>
    <xdr:to>
      <xdr:col>10</xdr:col>
      <xdr:colOff>48845</xdr:colOff>
      <xdr:row>118</xdr:row>
      <xdr:rowOff>12212</xdr:rowOff>
    </xdr:to>
    <xdr:sp macro="" textlink="">
      <xdr:nvSpPr>
        <xdr:cNvPr id="734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6208833" y="25115960"/>
          <a:ext cx="783737" cy="394677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116</xdr:row>
      <xdr:rowOff>24422</xdr:rowOff>
    </xdr:from>
    <xdr:to>
      <xdr:col>19</xdr:col>
      <xdr:colOff>647211</xdr:colOff>
      <xdr:row>117</xdr:row>
      <xdr:rowOff>170961</xdr:rowOff>
    </xdr:to>
    <xdr:sp macro="" textlink="">
      <xdr:nvSpPr>
        <xdr:cNvPr id="735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2811125" y="25103747"/>
          <a:ext cx="647211" cy="3560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36633</xdr:colOff>
      <xdr:row>116</xdr:row>
      <xdr:rowOff>12213</xdr:rowOff>
    </xdr:from>
    <xdr:to>
      <xdr:col>19</xdr:col>
      <xdr:colOff>622788</xdr:colOff>
      <xdr:row>117</xdr:row>
      <xdr:rowOff>170962</xdr:rowOff>
    </xdr:to>
    <xdr:sp macro="" textlink="">
      <xdr:nvSpPr>
        <xdr:cNvPr id="736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2847758" y="25091538"/>
          <a:ext cx="586155" cy="36829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737" name="AutoShape 25">
          <a:extLst>
            <a:ext uri="{FF2B5EF4-FFF2-40B4-BE49-F238E27FC236}">
              <a16:creationId xmlns:a16="http://schemas.microsoft.com/office/drawing/2014/main" id="{00000000-0008-0000-0E00-00002703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610576</xdr:colOff>
      <xdr:row>121</xdr:row>
      <xdr:rowOff>0</xdr:rowOff>
    </xdr:from>
    <xdr:to>
      <xdr:col>3</xdr:col>
      <xdr:colOff>659422</xdr:colOff>
      <xdr:row>122</xdr:row>
      <xdr:rowOff>195384</xdr:rowOff>
    </xdr:to>
    <xdr:sp macro="" textlink="">
      <xdr:nvSpPr>
        <xdr:cNvPr id="738" name="AutoShape 9">
          <a:extLst>
            <a:ext uri="{FF2B5EF4-FFF2-40B4-BE49-F238E27FC236}">
              <a16:creationId xmlns:a16="http://schemas.microsoft.com/office/drawing/2014/main" id="{00000000-0008-0000-0E00-000028030000}"/>
            </a:ext>
          </a:extLst>
        </xdr:cNvPr>
        <xdr:cNvSpPr>
          <a:spLocks noChangeArrowheads="1"/>
        </xdr:cNvSpPr>
      </xdr:nvSpPr>
      <xdr:spPr>
        <a:xfrm>
          <a:off x="2153626" y="26098500"/>
          <a:ext cx="658446" cy="3954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781050</xdr:colOff>
      <xdr:row>121</xdr:row>
      <xdr:rowOff>0</xdr:rowOff>
    </xdr:from>
    <xdr:to>
      <xdr:col>6</xdr:col>
      <xdr:colOff>15240</xdr:colOff>
      <xdr:row>122</xdr:row>
      <xdr:rowOff>196215</xdr:rowOff>
    </xdr:to>
    <xdr:sp macro="" textlink="">
      <xdr:nvSpPr>
        <xdr:cNvPr id="739" name="AutoShape 10">
          <a:extLst>
            <a:ext uri="{FF2B5EF4-FFF2-40B4-BE49-F238E27FC236}">
              <a16:creationId xmlns:a16="http://schemas.microsoft.com/office/drawing/2014/main" id="{00000000-0008-0000-0E00-000029030000}"/>
            </a:ext>
          </a:extLst>
        </xdr:cNvPr>
        <xdr:cNvSpPr>
          <a:spLocks noChangeArrowheads="1"/>
        </xdr:cNvSpPr>
      </xdr:nvSpPr>
      <xdr:spPr>
        <a:xfrm>
          <a:off x="3495675" y="26098500"/>
          <a:ext cx="710565" cy="39624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740" name="AutoShape 11">
          <a:extLst>
            <a:ext uri="{FF2B5EF4-FFF2-40B4-BE49-F238E27FC236}">
              <a16:creationId xmlns:a16="http://schemas.microsoft.com/office/drawing/2014/main" id="{00000000-0008-0000-0E00-00002A03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857885</xdr:colOff>
      <xdr:row>121</xdr:row>
      <xdr:rowOff>17780</xdr:rowOff>
    </xdr:from>
    <xdr:to>
      <xdr:col>10</xdr:col>
      <xdr:colOff>8890</xdr:colOff>
      <xdr:row>123</xdr:row>
      <xdr:rowOff>3175</xdr:rowOff>
    </xdr:to>
    <xdr:sp macro="" textlink="">
      <xdr:nvSpPr>
        <xdr:cNvPr id="741" name="AutoShape 12">
          <a:extLst>
            <a:ext uri="{FF2B5EF4-FFF2-40B4-BE49-F238E27FC236}">
              <a16:creationId xmlns:a16="http://schemas.microsoft.com/office/drawing/2014/main" id="{00000000-0008-0000-0E00-00002B030000}"/>
            </a:ext>
          </a:extLst>
        </xdr:cNvPr>
        <xdr:cNvSpPr>
          <a:spLocks noChangeArrowheads="1"/>
        </xdr:cNvSpPr>
      </xdr:nvSpPr>
      <xdr:spPr>
        <a:xfrm>
          <a:off x="6172835" y="26116280"/>
          <a:ext cx="779780" cy="394970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742" name="AutoShape 13">
          <a:extLst>
            <a:ext uri="{FF2B5EF4-FFF2-40B4-BE49-F238E27FC236}">
              <a16:creationId xmlns:a16="http://schemas.microsoft.com/office/drawing/2014/main" id="{00000000-0008-0000-0E00-00002C03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743" name="AutoShape 14">
          <a:extLst>
            <a:ext uri="{FF2B5EF4-FFF2-40B4-BE49-F238E27FC236}">
              <a16:creationId xmlns:a16="http://schemas.microsoft.com/office/drawing/2014/main" id="{00000000-0008-0000-0E00-00002D03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121</xdr:row>
      <xdr:rowOff>1361</xdr:rowOff>
    </xdr:from>
    <xdr:to>
      <xdr:col>16</xdr:col>
      <xdr:colOff>25400</xdr:colOff>
      <xdr:row>122</xdr:row>
      <xdr:rowOff>191861</xdr:rowOff>
    </xdr:to>
    <xdr:sp macro="" textlink="">
      <xdr:nvSpPr>
        <xdr:cNvPr id="744" name="AutoShape 15">
          <a:extLst>
            <a:ext uri="{FF2B5EF4-FFF2-40B4-BE49-F238E27FC236}">
              <a16:creationId xmlns:a16="http://schemas.microsoft.com/office/drawing/2014/main" id="{00000000-0008-0000-0E00-00002E030000}"/>
            </a:ext>
          </a:extLst>
        </xdr:cNvPr>
        <xdr:cNvSpPr>
          <a:spLocks noChangeArrowheads="1"/>
        </xdr:cNvSpPr>
      </xdr:nvSpPr>
      <xdr:spPr>
        <a:xfrm>
          <a:off x="10239375" y="26099861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121</xdr:row>
      <xdr:rowOff>0</xdr:rowOff>
    </xdr:from>
    <xdr:to>
      <xdr:col>20</xdr:col>
      <xdr:colOff>23495</xdr:colOff>
      <xdr:row>123</xdr:row>
      <xdr:rowOff>0</xdr:rowOff>
    </xdr:to>
    <xdr:sp macro="" textlink="">
      <xdr:nvSpPr>
        <xdr:cNvPr id="745" name="AutoShape 27">
          <a:extLst>
            <a:ext uri="{FF2B5EF4-FFF2-40B4-BE49-F238E27FC236}">
              <a16:creationId xmlns:a16="http://schemas.microsoft.com/office/drawing/2014/main" id="{00000000-0008-0000-0E00-000030030000}"/>
            </a:ext>
          </a:extLst>
        </xdr:cNvPr>
        <xdr:cNvSpPr>
          <a:spLocks noChangeArrowheads="1"/>
        </xdr:cNvSpPr>
      </xdr:nvSpPr>
      <xdr:spPr>
        <a:xfrm>
          <a:off x="12807950" y="26098500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121</xdr:row>
      <xdr:rowOff>0</xdr:rowOff>
    </xdr:from>
    <xdr:to>
      <xdr:col>24</xdr:col>
      <xdr:colOff>0</xdr:colOff>
      <xdr:row>123</xdr:row>
      <xdr:rowOff>0</xdr:rowOff>
    </xdr:to>
    <xdr:sp macro="" textlink="">
      <xdr:nvSpPr>
        <xdr:cNvPr id="746" name="AutoShape 29">
          <a:extLst>
            <a:ext uri="{FF2B5EF4-FFF2-40B4-BE49-F238E27FC236}">
              <a16:creationId xmlns:a16="http://schemas.microsoft.com/office/drawing/2014/main" id="{00000000-0008-0000-0E00-000032030000}"/>
            </a:ext>
          </a:extLst>
        </xdr:cNvPr>
        <xdr:cNvSpPr>
          <a:spLocks noChangeArrowheads="1"/>
        </xdr:cNvSpPr>
      </xdr:nvSpPr>
      <xdr:spPr>
        <a:xfrm>
          <a:off x="15408860" y="26098500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128</xdr:row>
      <xdr:rowOff>50800</xdr:rowOff>
    </xdr:from>
    <xdr:to>
      <xdr:col>2</xdr:col>
      <xdr:colOff>12700</xdr:colOff>
      <xdr:row>129</xdr:row>
      <xdr:rowOff>196850</xdr:rowOff>
    </xdr:to>
    <xdr:sp macro="" textlink="">
      <xdr:nvSpPr>
        <xdr:cNvPr id="747" name="AutoShape 21">
          <a:extLst>
            <a:ext uri="{FF2B5EF4-FFF2-40B4-BE49-F238E27FC236}">
              <a16:creationId xmlns:a16="http://schemas.microsoft.com/office/drawing/2014/main" id="{00000000-0008-0000-0E00-00003A030000}"/>
            </a:ext>
          </a:extLst>
        </xdr:cNvPr>
        <xdr:cNvSpPr>
          <a:spLocks noChangeArrowheads="1"/>
        </xdr:cNvSpPr>
      </xdr:nvSpPr>
      <xdr:spPr>
        <a:xfrm>
          <a:off x="600075" y="27578050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128</xdr:row>
      <xdr:rowOff>23812</xdr:rowOff>
    </xdr:from>
    <xdr:to>
      <xdr:col>4</xdr:col>
      <xdr:colOff>7303</xdr:colOff>
      <xdr:row>129</xdr:row>
      <xdr:rowOff>189955</xdr:rowOff>
    </xdr:to>
    <xdr:sp macro="" textlink="">
      <xdr:nvSpPr>
        <xdr:cNvPr id="748" name="AutoShape 22">
          <a:extLst>
            <a:ext uri="{FF2B5EF4-FFF2-40B4-BE49-F238E27FC236}">
              <a16:creationId xmlns:a16="http://schemas.microsoft.com/office/drawing/2014/main" id="{00000000-0008-0000-0E00-000058030000}"/>
            </a:ext>
          </a:extLst>
        </xdr:cNvPr>
        <xdr:cNvSpPr>
          <a:spLocks noChangeArrowheads="1"/>
        </xdr:cNvSpPr>
      </xdr:nvSpPr>
      <xdr:spPr>
        <a:xfrm>
          <a:off x="2159212" y="27551062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128</xdr:row>
      <xdr:rowOff>16510</xdr:rowOff>
    </xdr:from>
    <xdr:to>
      <xdr:col>8</xdr:col>
      <xdr:colOff>15875</xdr:colOff>
      <xdr:row>130</xdr:row>
      <xdr:rowOff>0</xdr:rowOff>
    </xdr:to>
    <xdr:sp macro="" textlink="">
      <xdr:nvSpPr>
        <xdr:cNvPr id="749" name="AutoShape 24">
          <a:extLst>
            <a:ext uri="{FF2B5EF4-FFF2-40B4-BE49-F238E27FC236}">
              <a16:creationId xmlns:a16="http://schemas.microsoft.com/office/drawing/2014/main" id="{00000000-0008-0000-0E00-000059030000}"/>
            </a:ext>
          </a:extLst>
        </xdr:cNvPr>
        <xdr:cNvSpPr>
          <a:spLocks noChangeArrowheads="1"/>
        </xdr:cNvSpPr>
      </xdr:nvSpPr>
      <xdr:spPr>
        <a:xfrm>
          <a:off x="4822190" y="27543760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750" name="AutoShape 25">
          <a:extLst>
            <a:ext uri="{FF2B5EF4-FFF2-40B4-BE49-F238E27FC236}">
              <a16:creationId xmlns:a16="http://schemas.microsoft.com/office/drawing/2014/main" id="{00000000-0008-0000-0E00-00005A03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127</xdr:row>
      <xdr:rowOff>129540</xdr:rowOff>
    </xdr:from>
    <xdr:to>
      <xdr:col>14</xdr:col>
      <xdr:colOff>35719</xdr:colOff>
      <xdr:row>130</xdr:row>
      <xdr:rowOff>0</xdr:rowOff>
    </xdr:to>
    <xdr:sp macro="" textlink="">
      <xdr:nvSpPr>
        <xdr:cNvPr id="751" name="AutoShape 25">
          <a:extLst>
            <a:ext uri="{FF2B5EF4-FFF2-40B4-BE49-F238E27FC236}">
              <a16:creationId xmlns:a16="http://schemas.microsoft.com/office/drawing/2014/main" id="{00000000-0008-0000-0E00-00005D030000}"/>
            </a:ext>
          </a:extLst>
        </xdr:cNvPr>
        <xdr:cNvSpPr>
          <a:spLocks noChangeArrowheads="1"/>
        </xdr:cNvSpPr>
      </xdr:nvSpPr>
      <xdr:spPr>
        <a:xfrm>
          <a:off x="8873975" y="27456765"/>
          <a:ext cx="801044" cy="48006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752" name="AutoShape 9">
          <a:extLst>
            <a:ext uri="{FF2B5EF4-FFF2-40B4-BE49-F238E27FC236}">
              <a16:creationId xmlns:a16="http://schemas.microsoft.com/office/drawing/2014/main" id="{00000000-0008-0000-0E00-00006003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127</xdr:row>
      <xdr:rowOff>185305</xdr:rowOff>
    </xdr:from>
    <xdr:to>
      <xdr:col>18</xdr:col>
      <xdr:colOff>0</xdr:colOff>
      <xdr:row>129</xdr:row>
      <xdr:rowOff>184727</xdr:rowOff>
    </xdr:to>
    <xdr:sp macro="" textlink="">
      <xdr:nvSpPr>
        <xdr:cNvPr id="753" name="AutoShape 10">
          <a:extLst>
            <a:ext uri="{FF2B5EF4-FFF2-40B4-BE49-F238E27FC236}">
              <a16:creationId xmlns:a16="http://schemas.microsoft.com/office/drawing/2014/main" id="{00000000-0008-0000-0E00-000061030000}"/>
            </a:ext>
          </a:extLst>
        </xdr:cNvPr>
        <xdr:cNvSpPr>
          <a:spLocks noChangeArrowheads="1"/>
        </xdr:cNvSpPr>
      </xdr:nvSpPr>
      <xdr:spPr>
        <a:xfrm>
          <a:off x="11525250" y="27512530"/>
          <a:ext cx="685800" cy="3994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754" name="AutoShape 11">
          <a:extLst>
            <a:ext uri="{FF2B5EF4-FFF2-40B4-BE49-F238E27FC236}">
              <a16:creationId xmlns:a16="http://schemas.microsoft.com/office/drawing/2014/main" id="{00000000-0008-0000-0E00-00006203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755" name="AutoShape 12">
          <a:extLst>
            <a:ext uri="{FF2B5EF4-FFF2-40B4-BE49-F238E27FC236}">
              <a16:creationId xmlns:a16="http://schemas.microsoft.com/office/drawing/2014/main" id="{00000000-0008-0000-0E00-00006303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756" name="AutoShape 13">
          <a:extLst>
            <a:ext uri="{FF2B5EF4-FFF2-40B4-BE49-F238E27FC236}">
              <a16:creationId xmlns:a16="http://schemas.microsoft.com/office/drawing/2014/main" id="{00000000-0008-0000-0E00-00006403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757" name="AutoShape 13">
          <a:extLst>
            <a:ext uri="{FF2B5EF4-FFF2-40B4-BE49-F238E27FC236}">
              <a16:creationId xmlns:a16="http://schemas.microsoft.com/office/drawing/2014/main" id="{00000000-0008-0000-0E00-00006603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135</xdr:row>
      <xdr:rowOff>0</xdr:rowOff>
    </xdr:from>
    <xdr:to>
      <xdr:col>4</xdr:col>
      <xdr:colOff>27214</xdr:colOff>
      <xdr:row>136</xdr:row>
      <xdr:rowOff>190500</xdr:rowOff>
    </xdr:to>
    <xdr:sp macro="" textlink="">
      <xdr:nvSpPr>
        <xdr:cNvPr id="758" name="AutoShape 15">
          <a:extLst>
            <a:ext uri="{FF2B5EF4-FFF2-40B4-BE49-F238E27FC236}">
              <a16:creationId xmlns:a16="http://schemas.microsoft.com/office/drawing/2014/main" id="{00000000-0008-0000-0E00-000067030000}"/>
            </a:ext>
          </a:extLst>
        </xdr:cNvPr>
        <xdr:cNvSpPr>
          <a:spLocks noChangeArrowheads="1"/>
        </xdr:cNvSpPr>
      </xdr:nvSpPr>
      <xdr:spPr>
        <a:xfrm>
          <a:off x="2166620" y="28965525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759" name="AutoShape 16">
          <a:extLst>
            <a:ext uri="{FF2B5EF4-FFF2-40B4-BE49-F238E27FC236}">
              <a16:creationId xmlns:a16="http://schemas.microsoft.com/office/drawing/2014/main" id="{00000000-0008-0000-0E00-00006803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760" name="AutoShape 21">
          <a:extLst>
            <a:ext uri="{FF2B5EF4-FFF2-40B4-BE49-F238E27FC236}">
              <a16:creationId xmlns:a16="http://schemas.microsoft.com/office/drawing/2014/main" id="{00000000-0008-0000-0E00-00006903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11430</xdr:colOff>
      <xdr:row>135</xdr:row>
      <xdr:rowOff>25399</xdr:rowOff>
    </xdr:from>
    <xdr:to>
      <xdr:col>16</xdr:col>
      <xdr:colOff>11430</xdr:colOff>
      <xdr:row>137</xdr:row>
      <xdr:rowOff>21166</xdr:rowOff>
    </xdr:to>
    <xdr:sp macro="" textlink="">
      <xdr:nvSpPr>
        <xdr:cNvPr id="761" name="AutoShape 22">
          <a:extLst>
            <a:ext uri="{FF2B5EF4-FFF2-40B4-BE49-F238E27FC236}">
              <a16:creationId xmlns:a16="http://schemas.microsoft.com/office/drawing/2014/main" id="{00000000-0008-0000-0E00-00006A030000}"/>
            </a:ext>
          </a:extLst>
        </xdr:cNvPr>
        <xdr:cNvSpPr>
          <a:spLocks noChangeArrowheads="1"/>
        </xdr:cNvSpPr>
      </xdr:nvSpPr>
      <xdr:spPr>
        <a:xfrm>
          <a:off x="10250805" y="28990924"/>
          <a:ext cx="685800" cy="40534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762" name="AutoShape 23">
          <a:extLst>
            <a:ext uri="{FF2B5EF4-FFF2-40B4-BE49-F238E27FC236}">
              <a16:creationId xmlns:a16="http://schemas.microsoft.com/office/drawing/2014/main" id="{00000000-0008-0000-0E00-00006B03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763" name="AutoShape 24">
          <a:extLst>
            <a:ext uri="{FF2B5EF4-FFF2-40B4-BE49-F238E27FC236}">
              <a16:creationId xmlns:a16="http://schemas.microsoft.com/office/drawing/2014/main" id="{00000000-0008-0000-0E00-00006C03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764" name="AutoShape 25">
          <a:extLst>
            <a:ext uri="{FF2B5EF4-FFF2-40B4-BE49-F238E27FC236}">
              <a16:creationId xmlns:a16="http://schemas.microsoft.com/office/drawing/2014/main" id="{00000000-0008-0000-0E00-00006D03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135</xdr:row>
      <xdr:rowOff>0</xdr:rowOff>
    </xdr:from>
    <xdr:to>
      <xdr:col>8</xdr:col>
      <xdr:colOff>24765</xdr:colOff>
      <xdr:row>137</xdr:row>
      <xdr:rowOff>0</xdr:rowOff>
    </xdr:to>
    <xdr:sp macro="" textlink="">
      <xdr:nvSpPr>
        <xdr:cNvPr id="765" name="AutoShape 27">
          <a:extLst>
            <a:ext uri="{FF2B5EF4-FFF2-40B4-BE49-F238E27FC236}">
              <a16:creationId xmlns:a16="http://schemas.microsoft.com/office/drawing/2014/main" id="{00000000-0008-0000-0E00-00006E030000}"/>
            </a:ext>
          </a:extLst>
        </xdr:cNvPr>
        <xdr:cNvSpPr>
          <a:spLocks noChangeArrowheads="1"/>
        </xdr:cNvSpPr>
      </xdr:nvSpPr>
      <xdr:spPr>
        <a:xfrm>
          <a:off x="4817745" y="28965525"/>
          <a:ext cx="721995" cy="40957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766" name="AutoShape 205">
          <a:extLst>
            <a:ext uri="{FF2B5EF4-FFF2-40B4-BE49-F238E27FC236}">
              <a16:creationId xmlns:a16="http://schemas.microsoft.com/office/drawing/2014/main" id="{00000000-0008-0000-0E00-00006F03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8</xdr:col>
      <xdr:colOff>622788</xdr:colOff>
      <xdr:row>135</xdr:row>
      <xdr:rowOff>19050</xdr:rowOff>
    </xdr:from>
    <xdr:to>
      <xdr:col>10</xdr:col>
      <xdr:colOff>40822</xdr:colOff>
      <xdr:row>136</xdr:row>
      <xdr:rowOff>190500</xdr:rowOff>
    </xdr:to>
    <xdr:sp macro="" textlink="">
      <xdr:nvSpPr>
        <xdr:cNvPr id="767" name="AutoShape 217">
          <a:extLst>
            <a:ext uri="{FF2B5EF4-FFF2-40B4-BE49-F238E27FC236}">
              <a16:creationId xmlns:a16="http://schemas.microsoft.com/office/drawing/2014/main" id="{00000000-0008-0000-0E00-000070030000}"/>
            </a:ext>
          </a:extLst>
        </xdr:cNvPr>
        <xdr:cNvSpPr>
          <a:spLocks noChangeArrowheads="1"/>
        </xdr:cNvSpPr>
      </xdr:nvSpPr>
      <xdr:spPr>
        <a:xfrm>
          <a:off x="6123476" y="29427488"/>
          <a:ext cx="846784" cy="373856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1007745</xdr:colOff>
      <xdr:row>135</xdr:row>
      <xdr:rowOff>51435</xdr:rowOff>
    </xdr:from>
    <xdr:to>
      <xdr:col>24</xdr:col>
      <xdr:colOff>10795</xdr:colOff>
      <xdr:row>136</xdr:row>
      <xdr:rowOff>184785</xdr:rowOff>
    </xdr:to>
    <xdr:sp macro="" textlink="">
      <xdr:nvSpPr>
        <xdr:cNvPr id="768" name="AutoShape 24">
          <a:extLst>
            <a:ext uri="{FF2B5EF4-FFF2-40B4-BE49-F238E27FC236}">
              <a16:creationId xmlns:a16="http://schemas.microsoft.com/office/drawing/2014/main" id="{00000000-0008-0000-0E00-000071030000}"/>
            </a:ext>
          </a:extLst>
        </xdr:cNvPr>
        <xdr:cNvSpPr>
          <a:spLocks noChangeArrowheads="1"/>
        </xdr:cNvSpPr>
      </xdr:nvSpPr>
      <xdr:spPr>
        <a:xfrm>
          <a:off x="15400020" y="29016960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769" name="AutoShape 22">
          <a:extLst>
            <a:ext uri="{FF2B5EF4-FFF2-40B4-BE49-F238E27FC236}">
              <a16:creationId xmlns:a16="http://schemas.microsoft.com/office/drawing/2014/main" id="{00000000-0008-0000-0E00-00007703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770" name="AutoShape 25">
          <a:extLst>
            <a:ext uri="{FF2B5EF4-FFF2-40B4-BE49-F238E27FC236}">
              <a16:creationId xmlns:a16="http://schemas.microsoft.com/office/drawing/2014/main" id="{00000000-0008-0000-0E00-0000C804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771" name="AutoShape 11">
          <a:extLst>
            <a:ext uri="{FF2B5EF4-FFF2-40B4-BE49-F238E27FC236}">
              <a16:creationId xmlns:a16="http://schemas.microsoft.com/office/drawing/2014/main" id="{00000000-0008-0000-0E00-0000CB04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772" name="AutoShape 13">
          <a:extLst>
            <a:ext uri="{FF2B5EF4-FFF2-40B4-BE49-F238E27FC236}">
              <a16:creationId xmlns:a16="http://schemas.microsoft.com/office/drawing/2014/main" id="{00000000-0008-0000-0E00-0000CD04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773" name="AutoShape 14">
          <a:extLst>
            <a:ext uri="{FF2B5EF4-FFF2-40B4-BE49-F238E27FC236}">
              <a16:creationId xmlns:a16="http://schemas.microsoft.com/office/drawing/2014/main" id="{00000000-0008-0000-0E00-0000CE04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121</xdr:row>
      <xdr:rowOff>19050</xdr:rowOff>
    </xdr:from>
    <xdr:to>
      <xdr:col>22</xdr:col>
      <xdr:colOff>0</xdr:colOff>
      <xdr:row>123</xdr:row>
      <xdr:rowOff>0</xdr:rowOff>
    </xdr:to>
    <xdr:sp macro="" textlink="">
      <xdr:nvSpPr>
        <xdr:cNvPr id="774" name="AutoShape 28">
          <a:extLst>
            <a:ext uri="{FF2B5EF4-FFF2-40B4-BE49-F238E27FC236}">
              <a16:creationId xmlns:a16="http://schemas.microsoft.com/office/drawing/2014/main" id="{00000000-0008-0000-0E00-0000D2040000}"/>
            </a:ext>
          </a:extLst>
        </xdr:cNvPr>
        <xdr:cNvSpPr>
          <a:spLocks noChangeArrowheads="1"/>
        </xdr:cNvSpPr>
      </xdr:nvSpPr>
      <xdr:spPr>
        <a:xfrm>
          <a:off x="14082032" y="26117550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775" name="AutoShape 25">
          <a:extLst>
            <a:ext uri="{FF2B5EF4-FFF2-40B4-BE49-F238E27FC236}">
              <a16:creationId xmlns:a16="http://schemas.microsoft.com/office/drawing/2014/main" id="{00000000-0008-0000-0E00-0000DF04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776" name="AutoShape 9">
          <a:extLst>
            <a:ext uri="{FF2B5EF4-FFF2-40B4-BE49-F238E27FC236}">
              <a16:creationId xmlns:a16="http://schemas.microsoft.com/office/drawing/2014/main" id="{00000000-0008-0000-0E00-0000E504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127</xdr:row>
      <xdr:rowOff>185304</xdr:rowOff>
    </xdr:from>
    <xdr:to>
      <xdr:col>18</xdr:col>
      <xdr:colOff>10584</xdr:colOff>
      <xdr:row>129</xdr:row>
      <xdr:rowOff>201083</xdr:rowOff>
    </xdr:to>
    <xdr:sp macro="" textlink="">
      <xdr:nvSpPr>
        <xdr:cNvPr id="777" name="AutoShape 10">
          <a:extLst>
            <a:ext uri="{FF2B5EF4-FFF2-40B4-BE49-F238E27FC236}">
              <a16:creationId xmlns:a16="http://schemas.microsoft.com/office/drawing/2014/main" id="{00000000-0008-0000-0E00-0000E6040000}"/>
            </a:ext>
          </a:extLst>
        </xdr:cNvPr>
        <xdr:cNvSpPr>
          <a:spLocks noChangeArrowheads="1"/>
        </xdr:cNvSpPr>
      </xdr:nvSpPr>
      <xdr:spPr>
        <a:xfrm>
          <a:off x="11525250" y="27512529"/>
          <a:ext cx="696384" cy="415829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778" name="AutoShape 11">
          <a:extLst>
            <a:ext uri="{FF2B5EF4-FFF2-40B4-BE49-F238E27FC236}">
              <a16:creationId xmlns:a16="http://schemas.microsoft.com/office/drawing/2014/main" id="{00000000-0008-0000-0E00-0000E704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779" name="AutoShape 12">
          <a:extLst>
            <a:ext uri="{FF2B5EF4-FFF2-40B4-BE49-F238E27FC236}">
              <a16:creationId xmlns:a16="http://schemas.microsoft.com/office/drawing/2014/main" id="{00000000-0008-0000-0E00-0000E804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780" name="AutoShape 13">
          <a:extLst>
            <a:ext uri="{FF2B5EF4-FFF2-40B4-BE49-F238E27FC236}">
              <a16:creationId xmlns:a16="http://schemas.microsoft.com/office/drawing/2014/main" id="{00000000-0008-0000-0E00-0000E904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781" name="AutoShape 13">
          <a:extLst>
            <a:ext uri="{FF2B5EF4-FFF2-40B4-BE49-F238E27FC236}">
              <a16:creationId xmlns:a16="http://schemas.microsoft.com/office/drawing/2014/main" id="{00000000-0008-0000-0E00-0000EA04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782" name="AutoShape 16">
          <a:extLst>
            <a:ext uri="{FF2B5EF4-FFF2-40B4-BE49-F238E27FC236}">
              <a16:creationId xmlns:a16="http://schemas.microsoft.com/office/drawing/2014/main" id="{00000000-0008-0000-0E00-0000EC04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783" name="AutoShape 21">
          <a:extLst>
            <a:ext uri="{FF2B5EF4-FFF2-40B4-BE49-F238E27FC236}">
              <a16:creationId xmlns:a16="http://schemas.microsoft.com/office/drawing/2014/main" id="{00000000-0008-0000-0E00-0000ED04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784" name="AutoShape 23">
          <a:extLst>
            <a:ext uri="{FF2B5EF4-FFF2-40B4-BE49-F238E27FC236}">
              <a16:creationId xmlns:a16="http://schemas.microsoft.com/office/drawing/2014/main" id="{00000000-0008-0000-0E00-0000EF04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785" name="AutoShape 24">
          <a:extLst>
            <a:ext uri="{FF2B5EF4-FFF2-40B4-BE49-F238E27FC236}">
              <a16:creationId xmlns:a16="http://schemas.microsoft.com/office/drawing/2014/main" id="{00000000-0008-0000-0E00-0000F004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786" name="AutoShape 25">
          <a:extLst>
            <a:ext uri="{FF2B5EF4-FFF2-40B4-BE49-F238E27FC236}">
              <a16:creationId xmlns:a16="http://schemas.microsoft.com/office/drawing/2014/main" id="{00000000-0008-0000-0E00-0000F104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787" name="AutoShape 205">
          <a:extLst>
            <a:ext uri="{FF2B5EF4-FFF2-40B4-BE49-F238E27FC236}">
              <a16:creationId xmlns:a16="http://schemas.microsoft.com/office/drawing/2014/main" id="{00000000-0008-0000-0E00-0000F304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788" name="AutoShape 22">
          <a:extLst>
            <a:ext uri="{FF2B5EF4-FFF2-40B4-BE49-F238E27FC236}">
              <a16:creationId xmlns:a16="http://schemas.microsoft.com/office/drawing/2014/main" id="{00000000-0008-0000-0E00-0000FB04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789" name="AutoShape 25">
          <a:extLst>
            <a:ext uri="{FF2B5EF4-FFF2-40B4-BE49-F238E27FC236}">
              <a16:creationId xmlns:a16="http://schemas.microsoft.com/office/drawing/2014/main" id="{00000000-0008-0000-0E00-0000D106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790" name="AutoShape 11">
          <a:extLst>
            <a:ext uri="{FF2B5EF4-FFF2-40B4-BE49-F238E27FC236}">
              <a16:creationId xmlns:a16="http://schemas.microsoft.com/office/drawing/2014/main" id="{00000000-0008-0000-0E00-0000D406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791" name="AutoShape 13">
          <a:extLst>
            <a:ext uri="{FF2B5EF4-FFF2-40B4-BE49-F238E27FC236}">
              <a16:creationId xmlns:a16="http://schemas.microsoft.com/office/drawing/2014/main" id="{00000000-0008-0000-0E00-0000D606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792" name="AutoShape 14">
          <a:extLst>
            <a:ext uri="{FF2B5EF4-FFF2-40B4-BE49-F238E27FC236}">
              <a16:creationId xmlns:a16="http://schemas.microsoft.com/office/drawing/2014/main" id="{00000000-0008-0000-0E00-0000D706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17</xdr:col>
      <xdr:colOff>1270</xdr:colOff>
      <xdr:row>121</xdr:row>
      <xdr:rowOff>0</xdr:rowOff>
    </xdr:from>
    <xdr:to>
      <xdr:col>18</xdr:col>
      <xdr:colOff>36830</xdr:colOff>
      <xdr:row>123</xdr:row>
      <xdr:rowOff>0</xdr:rowOff>
    </xdr:to>
    <xdr:sp macro="" textlink="">
      <xdr:nvSpPr>
        <xdr:cNvPr id="793" name="AutoShape 16">
          <a:extLst>
            <a:ext uri="{FF2B5EF4-FFF2-40B4-BE49-F238E27FC236}">
              <a16:creationId xmlns:a16="http://schemas.microsoft.com/office/drawing/2014/main" id="{00000000-0008-0000-0E00-0000D9060000}"/>
            </a:ext>
          </a:extLst>
        </xdr:cNvPr>
        <xdr:cNvSpPr>
          <a:spLocks noChangeArrowheads="1"/>
        </xdr:cNvSpPr>
      </xdr:nvSpPr>
      <xdr:spPr>
        <a:xfrm>
          <a:off x="11526520" y="26098500"/>
          <a:ext cx="72136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794" name="AutoShape 25">
          <a:extLst>
            <a:ext uri="{FF2B5EF4-FFF2-40B4-BE49-F238E27FC236}">
              <a16:creationId xmlns:a16="http://schemas.microsoft.com/office/drawing/2014/main" id="{00000000-0008-0000-0E00-0000E806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795" name="AutoShape 9">
          <a:extLst>
            <a:ext uri="{FF2B5EF4-FFF2-40B4-BE49-F238E27FC236}">
              <a16:creationId xmlns:a16="http://schemas.microsoft.com/office/drawing/2014/main" id="{00000000-0008-0000-0E00-0000EE06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796" name="AutoShape 11">
          <a:extLst>
            <a:ext uri="{FF2B5EF4-FFF2-40B4-BE49-F238E27FC236}">
              <a16:creationId xmlns:a16="http://schemas.microsoft.com/office/drawing/2014/main" id="{00000000-0008-0000-0E00-0000F006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797" name="AutoShape 12">
          <a:extLst>
            <a:ext uri="{FF2B5EF4-FFF2-40B4-BE49-F238E27FC236}">
              <a16:creationId xmlns:a16="http://schemas.microsoft.com/office/drawing/2014/main" id="{00000000-0008-0000-0E00-0000F106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798" name="AutoShape 13">
          <a:extLst>
            <a:ext uri="{FF2B5EF4-FFF2-40B4-BE49-F238E27FC236}">
              <a16:creationId xmlns:a16="http://schemas.microsoft.com/office/drawing/2014/main" id="{00000000-0008-0000-0E00-0000F206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799" name="AutoShape 13">
          <a:extLst>
            <a:ext uri="{FF2B5EF4-FFF2-40B4-BE49-F238E27FC236}">
              <a16:creationId xmlns:a16="http://schemas.microsoft.com/office/drawing/2014/main" id="{00000000-0008-0000-0E00-0000F306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00" name="AutoShape 16">
          <a:extLst>
            <a:ext uri="{FF2B5EF4-FFF2-40B4-BE49-F238E27FC236}">
              <a16:creationId xmlns:a16="http://schemas.microsoft.com/office/drawing/2014/main" id="{00000000-0008-0000-0E00-0000F506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01" name="AutoShape 21">
          <a:extLst>
            <a:ext uri="{FF2B5EF4-FFF2-40B4-BE49-F238E27FC236}">
              <a16:creationId xmlns:a16="http://schemas.microsoft.com/office/drawing/2014/main" id="{00000000-0008-0000-0E00-0000F606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02" name="AutoShape 23">
          <a:extLst>
            <a:ext uri="{FF2B5EF4-FFF2-40B4-BE49-F238E27FC236}">
              <a16:creationId xmlns:a16="http://schemas.microsoft.com/office/drawing/2014/main" id="{00000000-0008-0000-0E00-0000F806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03" name="AutoShape 24">
          <a:extLst>
            <a:ext uri="{FF2B5EF4-FFF2-40B4-BE49-F238E27FC236}">
              <a16:creationId xmlns:a16="http://schemas.microsoft.com/office/drawing/2014/main" id="{00000000-0008-0000-0E00-0000F906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04" name="AutoShape 25">
          <a:extLst>
            <a:ext uri="{FF2B5EF4-FFF2-40B4-BE49-F238E27FC236}">
              <a16:creationId xmlns:a16="http://schemas.microsoft.com/office/drawing/2014/main" id="{00000000-0008-0000-0E00-0000FA06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05" name="AutoShape 205">
          <a:extLst>
            <a:ext uri="{FF2B5EF4-FFF2-40B4-BE49-F238E27FC236}">
              <a16:creationId xmlns:a16="http://schemas.microsoft.com/office/drawing/2014/main" id="{00000000-0008-0000-0E00-0000FC06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06" name="AutoShape 22">
          <a:extLst>
            <a:ext uri="{FF2B5EF4-FFF2-40B4-BE49-F238E27FC236}">
              <a16:creationId xmlns:a16="http://schemas.microsoft.com/office/drawing/2014/main" id="{00000000-0008-0000-0E00-00000407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127</xdr:row>
      <xdr:rowOff>119063</xdr:rowOff>
    </xdr:from>
    <xdr:to>
      <xdr:col>12</xdr:col>
      <xdr:colOff>22375</xdr:colOff>
      <xdr:row>129</xdr:row>
      <xdr:rowOff>191929</xdr:rowOff>
    </xdr:to>
    <xdr:sp macro="" textlink="">
      <xdr:nvSpPr>
        <xdr:cNvPr id="807" name="AutoShape 25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>
          <a:spLocks noChangeArrowheads="1"/>
        </xdr:cNvSpPr>
      </xdr:nvSpPr>
      <xdr:spPr>
        <a:xfrm>
          <a:off x="7527131" y="27446288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808" name="AutoShape 25">
          <a:extLst>
            <a:ext uri="{FF2B5EF4-FFF2-40B4-BE49-F238E27FC236}">
              <a16:creationId xmlns:a16="http://schemas.microsoft.com/office/drawing/2014/main" id="{00000000-0008-0000-0E00-0000E207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781050</xdr:colOff>
      <xdr:row>121</xdr:row>
      <xdr:rowOff>0</xdr:rowOff>
    </xdr:from>
    <xdr:to>
      <xdr:col>6</xdr:col>
      <xdr:colOff>15240</xdr:colOff>
      <xdr:row>122</xdr:row>
      <xdr:rowOff>196215</xdr:rowOff>
    </xdr:to>
    <xdr:sp macro="" textlink="">
      <xdr:nvSpPr>
        <xdr:cNvPr id="809" name="AutoShape 10">
          <a:extLst>
            <a:ext uri="{FF2B5EF4-FFF2-40B4-BE49-F238E27FC236}">
              <a16:creationId xmlns:a16="http://schemas.microsoft.com/office/drawing/2014/main" id="{00000000-0008-0000-0E00-0000E4070000}"/>
            </a:ext>
          </a:extLst>
        </xdr:cNvPr>
        <xdr:cNvSpPr>
          <a:spLocks noChangeArrowheads="1"/>
        </xdr:cNvSpPr>
      </xdr:nvSpPr>
      <xdr:spPr>
        <a:xfrm>
          <a:off x="3495675" y="26098500"/>
          <a:ext cx="7105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810" name="AutoShape 11">
          <a:extLst>
            <a:ext uri="{FF2B5EF4-FFF2-40B4-BE49-F238E27FC236}">
              <a16:creationId xmlns:a16="http://schemas.microsoft.com/office/drawing/2014/main" id="{00000000-0008-0000-0E00-0000E507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811" name="AutoShape 13">
          <a:extLst>
            <a:ext uri="{FF2B5EF4-FFF2-40B4-BE49-F238E27FC236}">
              <a16:creationId xmlns:a16="http://schemas.microsoft.com/office/drawing/2014/main" id="{00000000-0008-0000-0E00-0000E707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812" name="AutoShape 14">
          <a:extLst>
            <a:ext uri="{FF2B5EF4-FFF2-40B4-BE49-F238E27FC236}">
              <a16:creationId xmlns:a16="http://schemas.microsoft.com/office/drawing/2014/main" id="{00000000-0008-0000-0E00-0000E807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15</xdr:col>
      <xdr:colOff>0</xdr:colOff>
      <xdr:row>121</xdr:row>
      <xdr:rowOff>1361</xdr:rowOff>
    </xdr:from>
    <xdr:to>
      <xdr:col>16</xdr:col>
      <xdr:colOff>25400</xdr:colOff>
      <xdr:row>122</xdr:row>
      <xdr:rowOff>191861</xdr:rowOff>
    </xdr:to>
    <xdr:sp macro="" textlink="">
      <xdr:nvSpPr>
        <xdr:cNvPr id="813" name="AutoShape 15">
          <a:extLst>
            <a:ext uri="{FF2B5EF4-FFF2-40B4-BE49-F238E27FC236}">
              <a16:creationId xmlns:a16="http://schemas.microsoft.com/office/drawing/2014/main" id="{00000000-0008-0000-0E00-0000E9070000}"/>
            </a:ext>
          </a:extLst>
        </xdr:cNvPr>
        <xdr:cNvSpPr>
          <a:spLocks noChangeArrowheads="1"/>
        </xdr:cNvSpPr>
      </xdr:nvSpPr>
      <xdr:spPr>
        <a:xfrm>
          <a:off x="10239375" y="26099861"/>
          <a:ext cx="7112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692150</xdr:colOff>
      <xdr:row>121</xdr:row>
      <xdr:rowOff>0</xdr:rowOff>
    </xdr:from>
    <xdr:to>
      <xdr:col>20</xdr:col>
      <xdr:colOff>23495</xdr:colOff>
      <xdr:row>123</xdr:row>
      <xdr:rowOff>0</xdr:rowOff>
    </xdr:to>
    <xdr:sp macro="" textlink="">
      <xdr:nvSpPr>
        <xdr:cNvPr id="814" name="AutoShape 27">
          <a:extLst>
            <a:ext uri="{FF2B5EF4-FFF2-40B4-BE49-F238E27FC236}">
              <a16:creationId xmlns:a16="http://schemas.microsoft.com/office/drawing/2014/main" id="{00000000-0008-0000-0E00-0000EB070000}"/>
            </a:ext>
          </a:extLst>
        </xdr:cNvPr>
        <xdr:cNvSpPr>
          <a:spLocks noChangeArrowheads="1"/>
        </xdr:cNvSpPr>
      </xdr:nvSpPr>
      <xdr:spPr>
        <a:xfrm>
          <a:off x="12807950" y="26098500"/>
          <a:ext cx="6838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6935</xdr:colOff>
      <xdr:row>121</xdr:row>
      <xdr:rowOff>0</xdr:rowOff>
    </xdr:from>
    <xdr:to>
      <xdr:col>24</xdr:col>
      <xdr:colOff>0</xdr:colOff>
      <xdr:row>123</xdr:row>
      <xdr:rowOff>0</xdr:rowOff>
    </xdr:to>
    <xdr:sp macro="" textlink="">
      <xdr:nvSpPr>
        <xdr:cNvPr id="815" name="AutoShape 29">
          <a:extLst>
            <a:ext uri="{FF2B5EF4-FFF2-40B4-BE49-F238E27FC236}">
              <a16:creationId xmlns:a16="http://schemas.microsoft.com/office/drawing/2014/main" id="{00000000-0008-0000-0E00-0000EC070000}"/>
            </a:ext>
          </a:extLst>
        </xdr:cNvPr>
        <xdr:cNvSpPr>
          <a:spLocks noChangeArrowheads="1"/>
        </xdr:cNvSpPr>
      </xdr:nvSpPr>
      <xdr:spPr>
        <a:xfrm>
          <a:off x="15408860" y="26098500"/>
          <a:ext cx="67886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0</xdr:colOff>
      <xdr:row>128</xdr:row>
      <xdr:rowOff>50800</xdr:rowOff>
    </xdr:from>
    <xdr:to>
      <xdr:col>2</xdr:col>
      <xdr:colOff>12700</xdr:colOff>
      <xdr:row>129</xdr:row>
      <xdr:rowOff>196850</xdr:rowOff>
    </xdr:to>
    <xdr:sp macro="" textlink="">
      <xdr:nvSpPr>
        <xdr:cNvPr id="816" name="AutoShape 21">
          <a:extLst>
            <a:ext uri="{FF2B5EF4-FFF2-40B4-BE49-F238E27FC236}">
              <a16:creationId xmlns:a16="http://schemas.microsoft.com/office/drawing/2014/main" id="{00000000-0008-0000-0E00-0000F2070000}"/>
            </a:ext>
          </a:extLst>
        </xdr:cNvPr>
        <xdr:cNvSpPr>
          <a:spLocks noChangeArrowheads="1"/>
        </xdr:cNvSpPr>
      </xdr:nvSpPr>
      <xdr:spPr>
        <a:xfrm>
          <a:off x="600075" y="27578050"/>
          <a:ext cx="955675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6562</xdr:colOff>
      <xdr:row>128</xdr:row>
      <xdr:rowOff>23812</xdr:rowOff>
    </xdr:from>
    <xdr:to>
      <xdr:col>4</xdr:col>
      <xdr:colOff>7303</xdr:colOff>
      <xdr:row>129</xdr:row>
      <xdr:rowOff>189955</xdr:rowOff>
    </xdr:to>
    <xdr:sp macro="" textlink="">
      <xdr:nvSpPr>
        <xdr:cNvPr id="817" name="AutoShape 22">
          <a:extLst>
            <a:ext uri="{FF2B5EF4-FFF2-40B4-BE49-F238E27FC236}">
              <a16:creationId xmlns:a16="http://schemas.microsoft.com/office/drawing/2014/main" id="{00000000-0008-0000-0E00-0000F4070000}"/>
            </a:ext>
          </a:extLst>
        </xdr:cNvPr>
        <xdr:cNvSpPr>
          <a:spLocks noChangeArrowheads="1"/>
        </xdr:cNvSpPr>
      </xdr:nvSpPr>
      <xdr:spPr>
        <a:xfrm>
          <a:off x="2159212" y="27551062"/>
          <a:ext cx="667491" cy="36616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678815</xdr:colOff>
      <xdr:row>128</xdr:row>
      <xdr:rowOff>16510</xdr:rowOff>
    </xdr:from>
    <xdr:to>
      <xdr:col>8</xdr:col>
      <xdr:colOff>15875</xdr:colOff>
      <xdr:row>130</xdr:row>
      <xdr:rowOff>0</xdr:rowOff>
    </xdr:to>
    <xdr:sp macro="" textlink="">
      <xdr:nvSpPr>
        <xdr:cNvPr id="818" name="AutoShape 24">
          <a:extLst>
            <a:ext uri="{FF2B5EF4-FFF2-40B4-BE49-F238E27FC236}">
              <a16:creationId xmlns:a16="http://schemas.microsoft.com/office/drawing/2014/main" id="{00000000-0008-0000-0E00-0000F5070000}"/>
            </a:ext>
          </a:extLst>
        </xdr:cNvPr>
        <xdr:cNvSpPr>
          <a:spLocks noChangeArrowheads="1"/>
        </xdr:cNvSpPr>
      </xdr:nvSpPr>
      <xdr:spPr>
        <a:xfrm>
          <a:off x="4822190" y="27543760"/>
          <a:ext cx="708660" cy="3930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819" name="AutoShape 25">
          <a:extLst>
            <a:ext uri="{FF2B5EF4-FFF2-40B4-BE49-F238E27FC236}">
              <a16:creationId xmlns:a16="http://schemas.microsoft.com/office/drawing/2014/main" id="{00000000-0008-0000-0E00-0000F607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1723</xdr:colOff>
      <xdr:row>127</xdr:row>
      <xdr:rowOff>193145</xdr:rowOff>
    </xdr:from>
    <xdr:to>
      <xdr:col>5</xdr:col>
      <xdr:colOff>698499</xdr:colOff>
      <xdr:row>129</xdr:row>
      <xdr:rowOff>190500</xdr:rowOff>
    </xdr:to>
    <xdr:sp macro="" textlink="">
      <xdr:nvSpPr>
        <xdr:cNvPr id="820" name="AutoShape 207">
          <a:extLst>
            <a:ext uri="{FF2B5EF4-FFF2-40B4-BE49-F238E27FC236}">
              <a16:creationId xmlns:a16="http://schemas.microsoft.com/office/drawing/2014/main" id="{00000000-0008-0000-0E00-0000F7070000}"/>
            </a:ext>
          </a:extLst>
        </xdr:cNvPr>
        <xdr:cNvSpPr>
          <a:spLocks noChangeArrowheads="1"/>
        </xdr:cNvSpPr>
      </xdr:nvSpPr>
      <xdr:spPr>
        <a:xfrm>
          <a:off x="3497398" y="27520370"/>
          <a:ext cx="696776" cy="39740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606275</xdr:colOff>
      <xdr:row>127</xdr:row>
      <xdr:rowOff>129540</xdr:rowOff>
    </xdr:from>
    <xdr:to>
      <xdr:col>14</xdr:col>
      <xdr:colOff>35719</xdr:colOff>
      <xdr:row>130</xdr:row>
      <xdr:rowOff>0</xdr:rowOff>
    </xdr:to>
    <xdr:sp macro="" textlink="">
      <xdr:nvSpPr>
        <xdr:cNvPr id="821" name="AutoShape 25">
          <a:extLst>
            <a:ext uri="{FF2B5EF4-FFF2-40B4-BE49-F238E27FC236}">
              <a16:creationId xmlns:a16="http://schemas.microsoft.com/office/drawing/2014/main" id="{00000000-0008-0000-0E00-0000F8070000}"/>
            </a:ext>
          </a:extLst>
        </xdr:cNvPr>
        <xdr:cNvSpPr>
          <a:spLocks noChangeArrowheads="1"/>
        </xdr:cNvSpPr>
      </xdr:nvSpPr>
      <xdr:spPr>
        <a:xfrm>
          <a:off x="8857306" y="27871103"/>
          <a:ext cx="798663" cy="4895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822" name="AutoShape 9">
          <a:extLst>
            <a:ext uri="{FF2B5EF4-FFF2-40B4-BE49-F238E27FC236}">
              <a16:creationId xmlns:a16="http://schemas.microsoft.com/office/drawing/2014/main" id="{00000000-0008-0000-0E00-0000F907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823" name="AutoShape 11">
          <a:extLst>
            <a:ext uri="{FF2B5EF4-FFF2-40B4-BE49-F238E27FC236}">
              <a16:creationId xmlns:a16="http://schemas.microsoft.com/office/drawing/2014/main" id="{00000000-0008-0000-0E00-0000FB07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824" name="AutoShape 12">
          <a:extLst>
            <a:ext uri="{FF2B5EF4-FFF2-40B4-BE49-F238E27FC236}">
              <a16:creationId xmlns:a16="http://schemas.microsoft.com/office/drawing/2014/main" id="{00000000-0008-0000-0E00-0000FC07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825" name="AutoShape 13">
          <a:extLst>
            <a:ext uri="{FF2B5EF4-FFF2-40B4-BE49-F238E27FC236}">
              <a16:creationId xmlns:a16="http://schemas.microsoft.com/office/drawing/2014/main" id="{00000000-0008-0000-0E00-0000FD07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826" name="AutoShape 13">
          <a:extLst>
            <a:ext uri="{FF2B5EF4-FFF2-40B4-BE49-F238E27FC236}">
              <a16:creationId xmlns:a16="http://schemas.microsoft.com/office/drawing/2014/main" id="{00000000-0008-0000-0E00-0000FE07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13970</xdr:colOff>
      <xdr:row>135</xdr:row>
      <xdr:rowOff>0</xdr:rowOff>
    </xdr:from>
    <xdr:to>
      <xdr:col>4</xdr:col>
      <xdr:colOff>27214</xdr:colOff>
      <xdr:row>136</xdr:row>
      <xdr:rowOff>190500</xdr:rowOff>
    </xdr:to>
    <xdr:sp macro="" textlink="">
      <xdr:nvSpPr>
        <xdr:cNvPr id="827" name="AutoShape 15">
          <a:extLst>
            <a:ext uri="{FF2B5EF4-FFF2-40B4-BE49-F238E27FC236}">
              <a16:creationId xmlns:a16="http://schemas.microsoft.com/office/drawing/2014/main" id="{00000000-0008-0000-0E00-0000FF070000}"/>
            </a:ext>
          </a:extLst>
        </xdr:cNvPr>
        <xdr:cNvSpPr>
          <a:spLocks noChangeArrowheads="1"/>
        </xdr:cNvSpPr>
      </xdr:nvSpPr>
      <xdr:spPr>
        <a:xfrm>
          <a:off x="2166620" y="28965525"/>
          <a:ext cx="679994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28" name="AutoShape 16">
          <a:extLst>
            <a:ext uri="{FF2B5EF4-FFF2-40B4-BE49-F238E27FC236}">
              <a16:creationId xmlns:a16="http://schemas.microsoft.com/office/drawing/2014/main" id="{00000000-0008-0000-0E00-00000008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29" name="AutoShape 21">
          <a:extLst>
            <a:ext uri="{FF2B5EF4-FFF2-40B4-BE49-F238E27FC236}">
              <a16:creationId xmlns:a16="http://schemas.microsoft.com/office/drawing/2014/main" id="{00000000-0008-0000-0E00-00000108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30" name="AutoShape 23">
          <a:extLst>
            <a:ext uri="{FF2B5EF4-FFF2-40B4-BE49-F238E27FC236}">
              <a16:creationId xmlns:a16="http://schemas.microsoft.com/office/drawing/2014/main" id="{00000000-0008-0000-0E00-00000308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31" name="AutoShape 24">
          <a:extLst>
            <a:ext uri="{FF2B5EF4-FFF2-40B4-BE49-F238E27FC236}">
              <a16:creationId xmlns:a16="http://schemas.microsoft.com/office/drawing/2014/main" id="{00000000-0008-0000-0E00-00000408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32" name="AutoShape 25">
          <a:extLst>
            <a:ext uri="{FF2B5EF4-FFF2-40B4-BE49-F238E27FC236}">
              <a16:creationId xmlns:a16="http://schemas.microsoft.com/office/drawing/2014/main" id="{00000000-0008-0000-0E00-00000508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693420</xdr:colOff>
      <xdr:row>135</xdr:row>
      <xdr:rowOff>0</xdr:rowOff>
    </xdr:from>
    <xdr:to>
      <xdr:col>8</xdr:col>
      <xdr:colOff>24765</xdr:colOff>
      <xdr:row>137</xdr:row>
      <xdr:rowOff>0</xdr:rowOff>
    </xdr:to>
    <xdr:sp macro="" textlink="">
      <xdr:nvSpPr>
        <xdr:cNvPr id="833" name="AutoShape 27">
          <a:extLst>
            <a:ext uri="{FF2B5EF4-FFF2-40B4-BE49-F238E27FC236}">
              <a16:creationId xmlns:a16="http://schemas.microsoft.com/office/drawing/2014/main" id="{00000000-0008-0000-0E00-000006080000}"/>
            </a:ext>
          </a:extLst>
        </xdr:cNvPr>
        <xdr:cNvSpPr>
          <a:spLocks noChangeArrowheads="1"/>
        </xdr:cNvSpPr>
      </xdr:nvSpPr>
      <xdr:spPr>
        <a:xfrm>
          <a:off x="4817745" y="28965525"/>
          <a:ext cx="72199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34" name="AutoShape 205">
          <a:extLst>
            <a:ext uri="{FF2B5EF4-FFF2-40B4-BE49-F238E27FC236}">
              <a16:creationId xmlns:a16="http://schemas.microsoft.com/office/drawing/2014/main" id="{00000000-0008-0000-0E00-00000708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22</xdr:col>
      <xdr:colOff>1007745</xdr:colOff>
      <xdr:row>135</xdr:row>
      <xdr:rowOff>51435</xdr:rowOff>
    </xdr:from>
    <xdr:to>
      <xdr:col>24</xdr:col>
      <xdr:colOff>10795</xdr:colOff>
      <xdr:row>136</xdr:row>
      <xdr:rowOff>184785</xdr:rowOff>
    </xdr:to>
    <xdr:sp macro="" textlink="">
      <xdr:nvSpPr>
        <xdr:cNvPr id="835" name="AutoShape 24">
          <a:extLst>
            <a:ext uri="{FF2B5EF4-FFF2-40B4-BE49-F238E27FC236}">
              <a16:creationId xmlns:a16="http://schemas.microsoft.com/office/drawing/2014/main" id="{00000000-0008-0000-0E00-000009080000}"/>
            </a:ext>
          </a:extLst>
        </xdr:cNvPr>
        <xdr:cNvSpPr>
          <a:spLocks noChangeArrowheads="1"/>
        </xdr:cNvSpPr>
      </xdr:nvSpPr>
      <xdr:spPr>
        <a:xfrm>
          <a:off x="15400020" y="29016960"/>
          <a:ext cx="698500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36" name="AutoShape 22">
          <a:extLst>
            <a:ext uri="{FF2B5EF4-FFF2-40B4-BE49-F238E27FC236}">
              <a16:creationId xmlns:a16="http://schemas.microsoft.com/office/drawing/2014/main" id="{00000000-0008-0000-0E00-00000B08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904875</xdr:colOff>
      <xdr:row>121</xdr:row>
      <xdr:rowOff>17780</xdr:rowOff>
    </xdr:from>
    <xdr:to>
      <xdr:col>2</xdr:col>
      <xdr:colOff>38100</xdr:colOff>
      <xdr:row>122</xdr:row>
      <xdr:rowOff>198755</xdr:rowOff>
    </xdr:to>
    <xdr:sp macro="" textlink="">
      <xdr:nvSpPr>
        <xdr:cNvPr id="837" name="AutoShape 25">
          <a:extLst>
            <a:ext uri="{FF2B5EF4-FFF2-40B4-BE49-F238E27FC236}">
              <a16:creationId xmlns:a16="http://schemas.microsoft.com/office/drawing/2014/main" id="{00000000-0008-0000-0E00-000060090000}"/>
            </a:ext>
          </a:extLst>
        </xdr:cNvPr>
        <xdr:cNvSpPr>
          <a:spLocks noChangeArrowheads="1"/>
        </xdr:cNvSpPr>
      </xdr:nvSpPr>
      <xdr:spPr>
        <a:xfrm>
          <a:off x="600075" y="26116280"/>
          <a:ext cx="98107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838" name="AutoShape 11">
          <a:extLst>
            <a:ext uri="{FF2B5EF4-FFF2-40B4-BE49-F238E27FC236}">
              <a16:creationId xmlns:a16="http://schemas.microsoft.com/office/drawing/2014/main" id="{00000000-0008-0000-0E00-00006209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839" name="AutoShape 13">
          <a:extLst>
            <a:ext uri="{FF2B5EF4-FFF2-40B4-BE49-F238E27FC236}">
              <a16:creationId xmlns:a16="http://schemas.microsoft.com/office/drawing/2014/main" id="{00000000-0008-0000-0E00-00006409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840" name="AutoShape 14">
          <a:extLst>
            <a:ext uri="{FF2B5EF4-FFF2-40B4-BE49-F238E27FC236}">
              <a16:creationId xmlns:a16="http://schemas.microsoft.com/office/drawing/2014/main" id="{00000000-0008-0000-0E00-00006509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21</xdr:col>
      <xdr:colOff>13607</xdr:colOff>
      <xdr:row>121</xdr:row>
      <xdr:rowOff>19050</xdr:rowOff>
    </xdr:from>
    <xdr:to>
      <xdr:col>22</xdr:col>
      <xdr:colOff>0</xdr:colOff>
      <xdr:row>123</xdr:row>
      <xdr:rowOff>0</xdr:rowOff>
    </xdr:to>
    <xdr:sp macro="" textlink="">
      <xdr:nvSpPr>
        <xdr:cNvPr id="841" name="AutoShape 28">
          <a:extLst>
            <a:ext uri="{FF2B5EF4-FFF2-40B4-BE49-F238E27FC236}">
              <a16:creationId xmlns:a16="http://schemas.microsoft.com/office/drawing/2014/main" id="{00000000-0008-0000-0E00-000067090000}"/>
            </a:ext>
          </a:extLst>
        </xdr:cNvPr>
        <xdr:cNvSpPr>
          <a:spLocks noChangeArrowheads="1"/>
        </xdr:cNvSpPr>
      </xdr:nvSpPr>
      <xdr:spPr>
        <a:xfrm>
          <a:off x="14082032" y="26117550"/>
          <a:ext cx="6436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842" name="AutoShape 25">
          <a:extLst>
            <a:ext uri="{FF2B5EF4-FFF2-40B4-BE49-F238E27FC236}">
              <a16:creationId xmlns:a16="http://schemas.microsoft.com/office/drawing/2014/main" id="{00000000-0008-0000-0E00-00006D09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128</xdr:row>
      <xdr:rowOff>43542</xdr:rowOff>
    </xdr:from>
    <xdr:to>
      <xdr:col>15</xdr:col>
      <xdr:colOff>609600</xdr:colOff>
      <xdr:row>129</xdr:row>
      <xdr:rowOff>200230</xdr:rowOff>
    </xdr:to>
    <xdr:sp macro="" textlink="">
      <xdr:nvSpPr>
        <xdr:cNvPr id="843" name="AutoShape 9">
          <a:extLst>
            <a:ext uri="{FF2B5EF4-FFF2-40B4-BE49-F238E27FC236}">
              <a16:creationId xmlns:a16="http://schemas.microsoft.com/office/drawing/2014/main" id="{00000000-0008-0000-0E00-00006E090000}"/>
            </a:ext>
          </a:extLst>
        </xdr:cNvPr>
        <xdr:cNvSpPr>
          <a:spLocks noChangeArrowheads="1"/>
        </xdr:cNvSpPr>
      </xdr:nvSpPr>
      <xdr:spPr>
        <a:xfrm>
          <a:off x="10239375" y="27570792"/>
          <a:ext cx="609600" cy="356713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844" name="AutoShape 11">
          <a:extLst>
            <a:ext uri="{FF2B5EF4-FFF2-40B4-BE49-F238E27FC236}">
              <a16:creationId xmlns:a16="http://schemas.microsoft.com/office/drawing/2014/main" id="{00000000-0008-0000-0E00-00007009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845" name="AutoShape 12">
          <a:extLst>
            <a:ext uri="{FF2B5EF4-FFF2-40B4-BE49-F238E27FC236}">
              <a16:creationId xmlns:a16="http://schemas.microsoft.com/office/drawing/2014/main" id="{00000000-0008-0000-0E00-00007109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846" name="AutoShape 13">
          <a:extLst>
            <a:ext uri="{FF2B5EF4-FFF2-40B4-BE49-F238E27FC236}">
              <a16:creationId xmlns:a16="http://schemas.microsoft.com/office/drawing/2014/main" id="{00000000-0008-0000-0E00-00007209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847" name="AutoShape 13">
          <a:extLst>
            <a:ext uri="{FF2B5EF4-FFF2-40B4-BE49-F238E27FC236}">
              <a16:creationId xmlns:a16="http://schemas.microsoft.com/office/drawing/2014/main" id="{00000000-0008-0000-0E00-000073090000}"/>
            </a:ext>
          </a:extLst>
        </xdr:cNvPr>
        <xdr:cNvSpPr>
          <a:spLocks noChangeArrowheads="1"/>
        </xdr:cNvSpPr>
      </xdr:nvSpPr>
      <xdr:spPr>
        <a:xfrm>
          <a:off x="587829" y="28965525"/>
          <a:ext cx="966107" cy="3878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48" name="AutoShape 16">
          <a:extLst>
            <a:ext uri="{FF2B5EF4-FFF2-40B4-BE49-F238E27FC236}">
              <a16:creationId xmlns:a16="http://schemas.microsoft.com/office/drawing/2014/main" id="{00000000-0008-0000-0E00-00007409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49" name="AutoShape 21">
          <a:extLst>
            <a:ext uri="{FF2B5EF4-FFF2-40B4-BE49-F238E27FC236}">
              <a16:creationId xmlns:a16="http://schemas.microsoft.com/office/drawing/2014/main" id="{00000000-0008-0000-0E00-00007509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50" name="AutoShape 23">
          <a:extLst>
            <a:ext uri="{FF2B5EF4-FFF2-40B4-BE49-F238E27FC236}">
              <a16:creationId xmlns:a16="http://schemas.microsoft.com/office/drawing/2014/main" id="{00000000-0008-0000-0E00-00007609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51" name="AutoShape 24">
          <a:extLst>
            <a:ext uri="{FF2B5EF4-FFF2-40B4-BE49-F238E27FC236}">
              <a16:creationId xmlns:a16="http://schemas.microsoft.com/office/drawing/2014/main" id="{00000000-0008-0000-0E00-00007709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52" name="AutoShape 25">
          <a:extLst>
            <a:ext uri="{FF2B5EF4-FFF2-40B4-BE49-F238E27FC236}">
              <a16:creationId xmlns:a16="http://schemas.microsoft.com/office/drawing/2014/main" id="{00000000-0008-0000-0E00-00007809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53" name="AutoShape 205">
          <a:extLst>
            <a:ext uri="{FF2B5EF4-FFF2-40B4-BE49-F238E27FC236}">
              <a16:creationId xmlns:a16="http://schemas.microsoft.com/office/drawing/2014/main" id="{00000000-0008-0000-0E00-00007909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54" name="AutoShape 22">
          <a:extLst>
            <a:ext uri="{FF2B5EF4-FFF2-40B4-BE49-F238E27FC236}">
              <a16:creationId xmlns:a16="http://schemas.microsoft.com/office/drawing/2014/main" id="{00000000-0008-0000-0E00-00007C09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849630</xdr:colOff>
      <xdr:row>121</xdr:row>
      <xdr:rowOff>10160</xdr:rowOff>
    </xdr:from>
    <xdr:to>
      <xdr:col>8</xdr:col>
      <xdr:colOff>17780</xdr:colOff>
      <xdr:row>123</xdr:row>
      <xdr:rowOff>0</xdr:rowOff>
    </xdr:to>
    <xdr:sp macro="" textlink="">
      <xdr:nvSpPr>
        <xdr:cNvPr id="855" name="AutoShape 11">
          <a:extLst>
            <a:ext uri="{FF2B5EF4-FFF2-40B4-BE49-F238E27FC236}">
              <a16:creationId xmlns:a16="http://schemas.microsoft.com/office/drawing/2014/main" id="{00000000-0008-0000-0E00-0000B20A0000}"/>
            </a:ext>
          </a:extLst>
        </xdr:cNvPr>
        <xdr:cNvSpPr>
          <a:spLocks noChangeArrowheads="1"/>
        </xdr:cNvSpPr>
      </xdr:nvSpPr>
      <xdr:spPr>
        <a:xfrm>
          <a:off x="4821555" y="26108660"/>
          <a:ext cx="711200" cy="39941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912495</xdr:colOff>
      <xdr:row>121</xdr:row>
      <xdr:rowOff>0</xdr:rowOff>
    </xdr:from>
    <xdr:to>
      <xdr:col>12</xdr:col>
      <xdr:colOff>43815</xdr:colOff>
      <xdr:row>122</xdr:row>
      <xdr:rowOff>196215</xdr:rowOff>
    </xdr:to>
    <xdr:sp macro="" textlink="">
      <xdr:nvSpPr>
        <xdr:cNvPr id="856" name="AutoShape 13">
          <a:extLst>
            <a:ext uri="{FF2B5EF4-FFF2-40B4-BE49-F238E27FC236}">
              <a16:creationId xmlns:a16="http://schemas.microsoft.com/office/drawing/2014/main" id="{00000000-0008-0000-0E00-0000B40A0000}"/>
            </a:ext>
          </a:extLst>
        </xdr:cNvPr>
        <xdr:cNvSpPr>
          <a:spLocks noChangeArrowheads="1"/>
        </xdr:cNvSpPr>
      </xdr:nvSpPr>
      <xdr:spPr>
        <a:xfrm>
          <a:off x="7541895" y="26098500"/>
          <a:ext cx="769620" cy="39624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758190</xdr:colOff>
      <xdr:row>121</xdr:row>
      <xdr:rowOff>0</xdr:rowOff>
    </xdr:from>
    <xdr:to>
      <xdr:col>14</xdr:col>
      <xdr:colOff>19685</xdr:colOff>
      <xdr:row>122</xdr:row>
      <xdr:rowOff>190500</xdr:rowOff>
    </xdr:to>
    <xdr:sp macro="" textlink="">
      <xdr:nvSpPr>
        <xdr:cNvPr id="857" name="AutoShape 14">
          <a:extLst>
            <a:ext uri="{FF2B5EF4-FFF2-40B4-BE49-F238E27FC236}">
              <a16:creationId xmlns:a16="http://schemas.microsoft.com/office/drawing/2014/main" id="{00000000-0008-0000-0E00-0000B50A0000}"/>
            </a:ext>
          </a:extLst>
        </xdr:cNvPr>
        <xdr:cNvSpPr>
          <a:spLocks noChangeArrowheads="1"/>
        </xdr:cNvSpPr>
      </xdr:nvSpPr>
      <xdr:spPr>
        <a:xfrm>
          <a:off x="8873490" y="26098500"/>
          <a:ext cx="78549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9</xdr:col>
      <xdr:colOff>546</xdr:colOff>
      <xdr:row>127</xdr:row>
      <xdr:rowOff>130628</xdr:rowOff>
    </xdr:from>
    <xdr:to>
      <xdr:col>10</xdr:col>
      <xdr:colOff>27215</xdr:colOff>
      <xdr:row>130</xdr:row>
      <xdr:rowOff>0</xdr:rowOff>
    </xdr:to>
    <xdr:sp macro="" textlink="">
      <xdr:nvSpPr>
        <xdr:cNvPr id="858" name="AutoShape 25">
          <a:extLst>
            <a:ext uri="{FF2B5EF4-FFF2-40B4-BE49-F238E27FC236}">
              <a16:creationId xmlns:a16="http://schemas.microsoft.com/office/drawing/2014/main" id="{00000000-0008-0000-0E00-0000BC0A0000}"/>
            </a:ext>
          </a:extLst>
        </xdr:cNvPr>
        <xdr:cNvSpPr>
          <a:spLocks noChangeArrowheads="1"/>
        </xdr:cNvSpPr>
      </xdr:nvSpPr>
      <xdr:spPr>
        <a:xfrm>
          <a:off x="6172746" y="27457853"/>
          <a:ext cx="798194" cy="47897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127</xdr:row>
      <xdr:rowOff>154781</xdr:rowOff>
    </xdr:from>
    <xdr:to>
      <xdr:col>16</xdr:col>
      <xdr:colOff>4762</xdr:colOff>
      <xdr:row>129</xdr:row>
      <xdr:rowOff>200230</xdr:rowOff>
    </xdr:to>
    <xdr:sp macro="" textlink="">
      <xdr:nvSpPr>
        <xdr:cNvPr id="859" name="AutoShape 9">
          <a:extLst>
            <a:ext uri="{FF2B5EF4-FFF2-40B4-BE49-F238E27FC236}">
              <a16:creationId xmlns:a16="http://schemas.microsoft.com/office/drawing/2014/main" id="{00000000-0008-0000-0E00-0000BD0A0000}"/>
            </a:ext>
          </a:extLst>
        </xdr:cNvPr>
        <xdr:cNvSpPr>
          <a:spLocks noChangeArrowheads="1"/>
        </xdr:cNvSpPr>
      </xdr:nvSpPr>
      <xdr:spPr>
        <a:xfrm>
          <a:off x="10239375" y="27482006"/>
          <a:ext cx="690562" cy="44549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543</xdr:colOff>
      <xdr:row>128</xdr:row>
      <xdr:rowOff>13606</xdr:rowOff>
    </xdr:from>
    <xdr:to>
      <xdr:col>19</xdr:col>
      <xdr:colOff>598714</xdr:colOff>
      <xdr:row>129</xdr:row>
      <xdr:rowOff>197262</xdr:rowOff>
    </xdr:to>
    <xdr:sp macro="" textlink="">
      <xdr:nvSpPr>
        <xdr:cNvPr id="860" name="AutoShape 11">
          <a:extLst>
            <a:ext uri="{FF2B5EF4-FFF2-40B4-BE49-F238E27FC236}">
              <a16:creationId xmlns:a16="http://schemas.microsoft.com/office/drawing/2014/main" id="{00000000-0008-0000-0E00-0000BF0A0000}"/>
            </a:ext>
          </a:extLst>
        </xdr:cNvPr>
        <xdr:cNvSpPr>
          <a:spLocks noChangeArrowheads="1"/>
        </xdr:cNvSpPr>
      </xdr:nvSpPr>
      <xdr:spPr>
        <a:xfrm>
          <a:off x="12811668" y="27540856"/>
          <a:ext cx="598171" cy="38368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127</xdr:row>
      <xdr:rowOff>182995</xdr:rowOff>
    </xdr:from>
    <xdr:to>
      <xdr:col>22</xdr:col>
      <xdr:colOff>12700</xdr:colOff>
      <xdr:row>129</xdr:row>
      <xdr:rowOff>189345</xdr:rowOff>
    </xdr:to>
    <xdr:sp macro="" textlink="">
      <xdr:nvSpPr>
        <xdr:cNvPr id="861" name="AutoShape 12">
          <a:extLst>
            <a:ext uri="{FF2B5EF4-FFF2-40B4-BE49-F238E27FC236}">
              <a16:creationId xmlns:a16="http://schemas.microsoft.com/office/drawing/2014/main" id="{00000000-0008-0000-0E00-0000C00A0000}"/>
            </a:ext>
          </a:extLst>
        </xdr:cNvPr>
        <xdr:cNvSpPr>
          <a:spLocks noChangeArrowheads="1"/>
        </xdr:cNvSpPr>
      </xdr:nvSpPr>
      <xdr:spPr>
        <a:xfrm>
          <a:off x="14068425" y="27510220"/>
          <a:ext cx="669925" cy="4064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23</xdr:col>
      <xdr:colOff>544</xdr:colOff>
      <xdr:row>127</xdr:row>
      <xdr:rowOff>122465</xdr:rowOff>
    </xdr:from>
    <xdr:to>
      <xdr:col>24</xdr:col>
      <xdr:colOff>10886</xdr:colOff>
      <xdr:row>129</xdr:row>
      <xdr:rowOff>190500</xdr:rowOff>
    </xdr:to>
    <xdr:sp macro="" textlink="">
      <xdr:nvSpPr>
        <xdr:cNvPr id="862" name="AutoShape 13">
          <a:extLst>
            <a:ext uri="{FF2B5EF4-FFF2-40B4-BE49-F238E27FC236}">
              <a16:creationId xmlns:a16="http://schemas.microsoft.com/office/drawing/2014/main" id="{00000000-0008-0000-0E00-0000C10A0000}"/>
            </a:ext>
          </a:extLst>
        </xdr:cNvPr>
        <xdr:cNvSpPr>
          <a:spLocks noChangeArrowheads="1"/>
        </xdr:cNvSpPr>
      </xdr:nvSpPr>
      <xdr:spPr>
        <a:xfrm>
          <a:off x="15402469" y="27449690"/>
          <a:ext cx="696142" cy="4680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587829</xdr:colOff>
      <xdr:row>135</xdr:row>
      <xdr:rowOff>0</xdr:rowOff>
    </xdr:from>
    <xdr:to>
      <xdr:col>2</xdr:col>
      <xdr:colOff>10886</xdr:colOff>
      <xdr:row>136</xdr:row>
      <xdr:rowOff>187778</xdr:rowOff>
    </xdr:to>
    <xdr:sp macro="" textlink="">
      <xdr:nvSpPr>
        <xdr:cNvPr id="863" name="AutoShape 13">
          <a:extLst>
            <a:ext uri="{FF2B5EF4-FFF2-40B4-BE49-F238E27FC236}">
              <a16:creationId xmlns:a16="http://schemas.microsoft.com/office/drawing/2014/main" id="{00000000-0008-0000-0E00-0000C20A0000}"/>
            </a:ext>
          </a:extLst>
        </xdr:cNvPr>
        <xdr:cNvSpPr>
          <a:spLocks noChangeArrowheads="1"/>
        </xdr:cNvSpPr>
      </xdr:nvSpPr>
      <xdr:spPr>
        <a:xfrm>
          <a:off x="587829" y="29408438"/>
          <a:ext cx="958963" cy="39018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135</xdr:row>
      <xdr:rowOff>0</xdr:rowOff>
    </xdr:from>
    <xdr:to>
      <xdr:col>6</xdr:col>
      <xdr:colOff>13607</xdr:colOff>
      <xdr:row>136</xdr:row>
      <xdr:rowOff>190500</xdr:rowOff>
    </xdr:to>
    <xdr:sp macro="" textlink="">
      <xdr:nvSpPr>
        <xdr:cNvPr id="864" name="AutoShape 16">
          <a:extLst>
            <a:ext uri="{FF2B5EF4-FFF2-40B4-BE49-F238E27FC236}">
              <a16:creationId xmlns:a16="http://schemas.microsoft.com/office/drawing/2014/main" id="{00000000-0008-0000-0E00-0000C30A0000}"/>
            </a:ext>
          </a:extLst>
        </xdr:cNvPr>
        <xdr:cNvSpPr>
          <a:spLocks noChangeArrowheads="1"/>
        </xdr:cNvSpPr>
      </xdr:nvSpPr>
      <xdr:spPr>
        <a:xfrm>
          <a:off x="3495675" y="28965525"/>
          <a:ext cx="708932" cy="390525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sp>
    <xdr:clientData/>
  </xdr:twoCellAnchor>
  <xdr:twoCellAnchor>
    <xdr:from>
      <xdr:col>13</xdr:col>
      <xdr:colOff>0</xdr:colOff>
      <xdr:row>135</xdr:row>
      <xdr:rowOff>50800</xdr:rowOff>
    </xdr:from>
    <xdr:to>
      <xdr:col>14</xdr:col>
      <xdr:colOff>12700</xdr:colOff>
      <xdr:row>136</xdr:row>
      <xdr:rowOff>196850</xdr:rowOff>
    </xdr:to>
    <xdr:sp macro="" textlink="">
      <xdr:nvSpPr>
        <xdr:cNvPr id="865" name="AutoShape 21">
          <a:extLst>
            <a:ext uri="{FF2B5EF4-FFF2-40B4-BE49-F238E27FC236}">
              <a16:creationId xmlns:a16="http://schemas.microsoft.com/office/drawing/2014/main" id="{00000000-0008-0000-0E00-0000C40A0000}"/>
            </a:ext>
          </a:extLst>
        </xdr:cNvPr>
        <xdr:cNvSpPr>
          <a:spLocks noChangeArrowheads="1"/>
        </xdr:cNvSpPr>
      </xdr:nvSpPr>
      <xdr:spPr>
        <a:xfrm>
          <a:off x="8877300" y="29016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135</xdr:row>
      <xdr:rowOff>19050</xdr:rowOff>
    </xdr:from>
    <xdr:to>
      <xdr:col>18</xdr:col>
      <xdr:colOff>12700</xdr:colOff>
      <xdr:row>137</xdr:row>
      <xdr:rowOff>0</xdr:rowOff>
    </xdr:to>
    <xdr:sp macro="" textlink="">
      <xdr:nvSpPr>
        <xdr:cNvPr id="866" name="AutoShape 23">
          <a:extLst>
            <a:ext uri="{FF2B5EF4-FFF2-40B4-BE49-F238E27FC236}">
              <a16:creationId xmlns:a16="http://schemas.microsoft.com/office/drawing/2014/main" id="{00000000-0008-0000-0E00-0000C50A0000}"/>
            </a:ext>
          </a:extLst>
        </xdr:cNvPr>
        <xdr:cNvSpPr>
          <a:spLocks noChangeArrowheads="1"/>
        </xdr:cNvSpPr>
      </xdr:nvSpPr>
      <xdr:spPr>
        <a:xfrm>
          <a:off x="11525250" y="28984575"/>
          <a:ext cx="6985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711200</xdr:colOff>
      <xdr:row>135</xdr:row>
      <xdr:rowOff>65405</xdr:rowOff>
    </xdr:from>
    <xdr:to>
      <xdr:col>20</xdr:col>
      <xdr:colOff>9525</xdr:colOff>
      <xdr:row>136</xdr:row>
      <xdr:rowOff>198755</xdr:rowOff>
    </xdr:to>
    <xdr:sp macro="" textlink="">
      <xdr:nvSpPr>
        <xdr:cNvPr id="867" name="AutoShape 24">
          <a:extLst>
            <a:ext uri="{FF2B5EF4-FFF2-40B4-BE49-F238E27FC236}">
              <a16:creationId xmlns:a16="http://schemas.microsoft.com/office/drawing/2014/main" id="{00000000-0008-0000-0E00-0000C60A0000}"/>
            </a:ext>
          </a:extLst>
        </xdr:cNvPr>
        <xdr:cNvSpPr>
          <a:spLocks noChangeArrowheads="1"/>
        </xdr:cNvSpPr>
      </xdr:nvSpPr>
      <xdr:spPr>
        <a:xfrm>
          <a:off x="12807950" y="29030930"/>
          <a:ext cx="669925" cy="3333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10887</xdr:colOff>
      <xdr:row>135</xdr:row>
      <xdr:rowOff>40823</xdr:rowOff>
    </xdr:from>
    <xdr:to>
      <xdr:col>22</xdr:col>
      <xdr:colOff>13607</xdr:colOff>
      <xdr:row>136</xdr:row>
      <xdr:rowOff>185059</xdr:rowOff>
    </xdr:to>
    <xdr:sp macro="" textlink="">
      <xdr:nvSpPr>
        <xdr:cNvPr id="868" name="AutoShape 25">
          <a:extLst>
            <a:ext uri="{FF2B5EF4-FFF2-40B4-BE49-F238E27FC236}">
              <a16:creationId xmlns:a16="http://schemas.microsoft.com/office/drawing/2014/main" id="{00000000-0008-0000-0E00-0000C70A0000}"/>
            </a:ext>
          </a:extLst>
        </xdr:cNvPr>
        <xdr:cNvSpPr>
          <a:spLocks noChangeArrowheads="1"/>
        </xdr:cNvSpPr>
      </xdr:nvSpPr>
      <xdr:spPr>
        <a:xfrm>
          <a:off x="14079312" y="29006348"/>
          <a:ext cx="659945" cy="3442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11</xdr:col>
      <xdr:colOff>0</xdr:colOff>
      <xdr:row>135</xdr:row>
      <xdr:rowOff>19050</xdr:rowOff>
    </xdr:from>
    <xdr:to>
      <xdr:col>12</xdr:col>
      <xdr:colOff>12700</xdr:colOff>
      <xdr:row>137</xdr:row>
      <xdr:rowOff>0</xdr:rowOff>
    </xdr:to>
    <xdr:sp macro="" textlink="">
      <xdr:nvSpPr>
        <xdr:cNvPr id="869" name="AutoShape 205">
          <a:extLst>
            <a:ext uri="{FF2B5EF4-FFF2-40B4-BE49-F238E27FC236}">
              <a16:creationId xmlns:a16="http://schemas.microsoft.com/office/drawing/2014/main" id="{00000000-0008-0000-0E00-0000C80A0000}"/>
            </a:ext>
          </a:extLst>
        </xdr:cNvPr>
        <xdr:cNvSpPr>
          <a:spLocks noChangeArrowheads="1"/>
        </xdr:cNvSpPr>
      </xdr:nvSpPr>
      <xdr:spPr>
        <a:xfrm>
          <a:off x="7543800" y="2898457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11430</xdr:colOff>
      <xdr:row>135</xdr:row>
      <xdr:rowOff>25400</xdr:rowOff>
    </xdr:from>
    <xdr:to>
      <xdr:col>18</xdr:col>
      <xdr:colOff>11430</xdr:colOff>
      <xdr:row>136</xdr:row>
      <xdr:rowOff>184150</xdr:rowOff>
    </xdr:to>
    <xdr:sp macro="" textlink="">
      <xdr:nvSpPr>
        <xdr:cNvPr id="870" name="AutoShape 22">
          <a:extLst>
            <a:ext uri="{FF2B5EF4-FFF2-40B4-BE49-F238E27FC236}">
              <a16:creationId xmlns:a16="http://schemas.microsoft.com/office/drawing/2014/main" id="{00000000-0008-0000-0E00-0000CB0A0000}"/>
            </a:ext>
          </a:extLst>
        </xdr:cNvPr>
        <xdr:cNvSpPr>
          <a:spLocks noChangeArrowheads="1"/>
        </xdr:cNvSpPr>
      </xdr:nvSpPr>
      <xdr:spPr>
        <a:xfrm>
          <a:off x="11536680" y="28990925"/>
          <a:ext cx="685800" cy="3587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583406</xdr:colOff>
      <xdr:row>127</xdr:row>
      <xdr:rowOff>119063</xdr:rowOff>
    </xdr:from>
    <xdr:to>
      <xdr:col>12</xdr:col>
      <xdr:colOff>22375</xdr:colOff>
      <xdr:row>129</xdr:row>
      <xdr:rowOff>191929</xdr:rowOff>
    </xdr:to>
    <xdr:sp macro="" textlink="">
      <xdr:nvSpPr>
        <xdr:cNvPr id="871" name="AutoShape 25">
          <a:extLst>
            <a:ext uri="{FF2B5EF4-FFF2-40B4-BE49-F238E27FC236}">
              <a16:creationId xmlns:a16="http://schemas.microsoft.com/office/drawing/2014/main" id="{00000000-0008-0000-0E00-00009D0B0000}"/>
            </a:ext>
          </a:extLst>
        </xdr:cNvPr>
        <xdr:cNvSpPr>
          <a:spLocks noChangeArrowheads="1"/>
        </xdr:cNvSpPr>
      </xdr:nvSpPr>
      <xdr:spPr>
        <a:xfrm>
          <a:off x="7527131" y="27446288"/>
          <a:ext cx="762944" cy="472916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123</xdr:row>
      <xdr:rowOff>0</xdr:rowOff>
    </xdr:from>
    <xdr:to>
      <xdr:col>13</xdr:col>
      <xdr:colOff>689756</xdr:colOff>
      <xdr:row>124</xdr:row>
      <xdr:rowOff>195385</xdr:rowOff>
    </xdr:to>
    <xdr:sp macro="" textlink="">
      <xdr:nvSpPr>
        <xdr:cNvPr id="872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8877300" y="26508075"/>
          <a:ext cx="689756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13</xdr:col>
      <xdr:colOff>36634</xdr:colOff>
      <xdr:row>123</xdr:row>
      <xdr:rowOff>36636</xdr:rowOff>
    </xdr:from>
    <xdr:to>
      <xdr:col>13</xdr:col>
      <xdr:colOff>696058</xdr:colOff>
      <xdr:row>124</xdr:row>
      <xdr:rowOff>195385</xdr:rowOff>
    </xdr:to>
    <xdr:sp macro="" textlink="">
      <xdr:nvSpPr>
        <xdr:cNvPr id="873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8913934" y="26544711"/>
          <a:ext cx="659424" cy="36829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123</xdr:row>
      <xdr:rowOff>0</xdr:rowOff>
    </xdr:from>
    <xdr:to>
      <xdr:col>24</xdr:col>
      <xdr:colOff>5910</xdr:colOff>
      <xdr:row>124</xdr:row>
      <xdr:rowOff>195385</xdr:rowOff>
    </xdr:to>
    <xdr:sp macro="" textlink="">
      <xdr:nvSpPr>
        <xdr:cNvPr id="874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5401925" y="26508075"/>
          <a:ext cx="691710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23</xdr:col>
      <xdr:colOff>36634</xdr:colOff>
      <xdr:row>123</xdr:row>
      <xdr:rowOff>36636</xdr:rowOff>
    </xdr:from>
    <xdr:to>
      <xdr:col>23</xdr:col>
      <xdr:colOff>625719</xdr:colOff>
      <xdr:row>125</xdr:row>
      <xdr:rowOff>5424</xdr:rowOff>
    </xdr:to>
    <xdr:sp macro="" textlink="">
      <xdr:nvSpPr>
        <xdr:cNvPr id="875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5438559" y="26544711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130</xdr:row>
      <xdr:rowOff>0</xdr:rowOff>
    </xdr:from>
    <xdr:to>
      <xdr:col>22</xdr:col>
      <xdr:colOff>30333</xdr:colOff>
      <xdr:row>131</xdr:row>
      <xdr:rowOff>195385</xdr:rowOff>
    </xdr:to>
    <xdr:sp macro="" textlink="">
      <xdr:nvSpPr>
        <xdr:cNvPr id="876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4068425" y="27936825"/>
          <a:ext cx="687558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21</xdr:col>
      <xdr:colOff>36634</xdr:colOff>
      <xdr:row>130</xdr:row>
      <xdr:rowOff>36636</xdr:rowOff>
    </xdr:from>
    <xdr:to>
      <xdr:col>21</xdr:col>
      <xdr:colOff>625719</xdr:colOff>
      <xdr:row>132</xdr:row>
      <xdr:rowOff>5424</xdr:rowOff>
    </xdr:to>
    <xdr:sp macro="" textlink="">
      <xdr:nvSpPr>
        <xdr:cNvPr id="877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4105059" y="27973461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195384</xdr:rowOff>
    </xdr:from>
    <xdr:to>
      <xdr:col>2</xdr:col>
      <xdr:colOff>12211</xdr:colOff>
      <xdr:row>131</xdr:row>
      <xdr:rowOff>195384</xdr:rowOff>
    </xdr:to>
    <xdr:sp macro="" textlink="">
      <xdr:nvSpPr>
        <xdr:cNvPr id="878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600075" y="27922659"/>
          <a:ext cx="955186" cy="41910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</xdr:col>
      <xdr:colOff>36634</xdr:colOff>
      <xdr:row>130</xdr:row>
      <xdr:rowOff>36636</xdr:rowOff>
    </xdr:from>
    <xdr:to>
      <xdr:col>2</xdr:col>
      <xdr:colOff>0</xdr:colOff>
      <xdr:row>131</xdr:row>
      <xdr:rowOff>170962</xdr:rowOff>
    </xdr:to>
    <xdr:sp macro="" textlink="">
      <xdr:nvSpPr>
        <xdr:cNvPr id="879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636709" y="27973461"/>
          <a:ext cx="906341" cy="34387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610577</xdr:colOff>
      <xdr:row>137</xdr:row>
      <xdr:rowOff>12211</xdr:rowOff>
    </xdr:from>
    <xdr:to>
      <xdr:col>8</xdr:col>
      <xdr:colOff>36635</xdr:colOff>
      <xdr:row>138</xdr:row>
      <xdr:rowOff>183173</xdr:rowOff>
    </xdr:to>
    <xdr:sp macro="" textlink="">
      <xdr:nvSpPr>
        <xdr:cNvPr id="880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4801577" y="29387311"/>
          <a:ext cx="750033" cy="380512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7</xdr:col>
      <xdr:colOff>24423</xdr:colOff>
      <xdr:row>137</xdr:row>
      <xdr:rowOff>24423</xdr:rowOff>
    </xdr:from>
    <xdr:to>
      <xdr:col>8</xdr:col>
      <xdr:colOff>12211</xdr:colOff>
      <xdr:row>138</xdr:row>
      <xdr:rowOff>195384</xdr:rowOff>
    </xdr:to>
    <xdr:sp macro="" textlink="">
      <xdr:nvSpPr>
        <xdr:cNvPr id="881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4844073" y="29399523"/>
          <a:ext cx="683113" cy="38051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130</xdr:row>
      <xdr:rowOff>0</xdr:rowOff>
    </xdr:from>
    <xdr:to>
      <xdr:col>18</xdr:col>
      <xdr:colOff>5910</xdr:colOff>
      <xdr:row>131</xdr:row>
      <xdr:rowOff>195385</xdr:rowOff>
    </xdr:to>
    <xdr:sp macro="" textlink="">
      <xdr:nvSpPr>
        <xdr:cNvPr id="882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11525250" y="27936825"/>
          <a:ext cx="691710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36634</xdr:colOff>
      <xdr:row>130</xdr:row>
      <xdr:rowOff>36636</xdr:rowOff>
    </xdr:from>
    <xdr:to>
      <xdr:col>17</xdr:col>
      <xdr:colOff>625719</xdr:colOff>
      <xdr:row>132</xdr:row>
      <xdr:rowOff>5424</xdr:rowOff>
    </xdr:to>
    <xdr:sp macro="" textlink="">
      <xdr:nvSpPr>
        <xdr:cNvPr id="883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11561884" y="27973461"/>
          <a:ext cx="589085" cy="387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130</xdr:row>
      <xdr:rowOff>36633</xdr:rowOff>
    </xdr:from>
    <xdr:to>
      <xdr:col>11</xdr:col>
      <xdr:colOff>683846</xdr:colOff>
      <xdr:row>131</xdr:row>
      <xdr:rowOff>195384</xdr:rowOff>
    </xdr:to>
    <xdr:sp macro="" textlink="">
      <xdr:nvSpPr>
        <xdr:cNvPr id="884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7543800" y="27973458"/>
          <a:ext cx="683846" cy="36830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36634</xdr:colOff>
      <xdr:row>130</xdr:row>
      <xdr:rowOff>36636</xdr:rowOff>
    </xdr:from>
    <xdr:to>
      <xdr:col>12</xdr:col>
      <xdr:colOff>12212</xdr:colOff>
      <xdr:row>132</xdr:row>
      <xdr:rowOff>0</xdr:rowOff>
    </xdr:to>
    <xdr:sp macro="" textlink="">
      <xdr:nvSpPr>
        <xdr:cNvPr id="885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7580434" y="27973461"/>
          <a:ext cx="699478" cy="38246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886" name="AutoShape 14">
          <a:extLst>
            <a:ext uri="{FF2B5EF4-FFF2-40B4-BE49-F238E27FC236}">
              <a16:creationId xmlns:a16="http://schemas.microsoft.com/office/drawing/2014/main" id="{00000000-0008-0000-0E00-00000503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887" name="AutoShape 15">
          <a:extLst>
            <a:ext uri="{FF2B5EF4-FFF2-40B4-BE49-F238E27FC236}">
              <a16:creationId xmlns:a16="http://schemas.microsoft.com/office/drawing/2014/main" id="{00000000-0008-0000-0E00-00000903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888" name="AutoShape 21">
          <a:extLst>
            <a:ext uri="{FF2B5EF4-FFF2-40B4-BE49-F238E27FC236}">
              <a16:creationId xmlns:a16="http://schemas.microsoft.com/office/drawing/2014/main" id="{00000000-0008-0000-0E00-00000B03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889" name="AutoShape 22">
          <a:extLst>
            <a:ext uri="{FF2B5EF4-FFF2-40B4-BE49-F238E27FC236}">
              <a16:creationId xmlns:a16="http://schemas.microsoft.com/office/drawing/2014/main" id="{00000000-0008-0000-0E00-00000C03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890" name="AutoShape 24">
          <a:extLst>
            <a:ext uri="{FF2B5EF4-FFF2-40B4-BE49-F238E27FC236}">
              <a16:creationId xmlns:a16="http://schemas.microsoft.com/office/drawing/2014/main" id="{00000000-0008-0000-0E00-00000E03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142</xdr:row>
      <xdr:rowOff>18415</xdr:rowOff>
    </xdr:from>
    <xdr:to>
      <xdr:col>22</xdr:col>
      <xdr:colOff>39370</xdr:colOff>
      <xdr:row>143</xdr:row>
      <xdr:rowOff>199390</xdr:rowOff>
    </xdr:to>
    <xdr:sp macro="" textlink="">
      <xdr:nvSpPr>
        <xdr:cNvPr id="891" name="AutoShape 25">
          <a:extLst>
            <a:ext uri="{FF2B5EF4-FFF2-40B4-BE49-F238E27FC236}">
              <a16:creationId xmlns:a16="http://schemas.microsoft.com/office/drawing/2014/main" id="{00000000-0008-0000-0E00-00000F030000}"/>
            </a:ext>
          </a:extLst>
        </xdr:cNvPr>
        <xdr:cNvSpPr>
          <a:spLocks noChangeArrowheads="1"/>
        </xdr:cNvSpPr>
      </xdr:nvSpPr>
      <xdr:spPr>
        <a:xfrm>
          <a:off x="14072235" y="30412690"/>
          <a:ext cx="692785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892" name="AutoShape 27">
          <a:extLst>
            <a:ext uri="{FF2B5EF4-FFF2-40B4-BE49-F238E27FC236}">
              <a16:creationId xmlns:a16="http://schemas.microsoft.com/office/drawing/2014/main" id="{00000000-0008-0000-0E00-00001003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893" name="AutoShape 28">
          <a:extLst>
            <a:ext uri="{FF2B5EF4-FFF2-40B4-BE49-F238E27FC236}">
              <a16:creationId xmlns:a16="http://schemas.microsoft.com/office/drawing/2014/main" id="{00000000-0008-0000-0E00-00001103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142</xdr:row>
      <xdr:rowOff>19050</xdr:rowOff>
    </xdr:from>
    <xdr:to>
      <xdr:col>12</xdr:col>
      <xdr:colOff>12700</xdr:colOff>
      <xdr:row>144</xdr:row>
      <xdr:rowOff>0</xdr:rowOff>
    </xdr:to>
    <xdr:sp macro="" textlink="">
      <xdr:nvSpPr>
        <xdr:cNvPr id="894" name="AutoShape 205">
          <a:extLst>
            <a:ext uri="{FF2B5EF4-FFF2-40B4-BE49-F238E27FC236}">
              <a16:creationId xmlns:a16="http://schemas.microsoft.com/office/drawing/2014/main" id="{00000000-0008-0000-0E00-000012030000}"/>
            </a:ext>
          </a:extLst>
        </xdr:cNvPr>
        <xdr:cNvSpPr>
          <a:spLocks noChangeArrowheads="1"/>
        </xdr:cNvSpPr>
      </xdr:nvSpPr>
      <xdr:spPr>
        <a:xfrm>
          <a:off x="7543800" y="30413325"/>
          <a:ext cx="736600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895" name="AutoShape 24">
          <a:extLst>
            <a:ext uri="{FF2B5EF4-FFF2-40B4-BE49-F238E27FC236}">
              <a16:creationId xmlns:a16="http://schemas.microsoft.com/office/drawing/2014/main" id="{00000000-0008-0000-0E00-00001303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896" name="AutoShape 14">
          <a:extLst>
            <a:ext uri="{FF2B5EF4-FFF2-40B4-BE49-F238E27FC236}">
              <a16:creationId xmlns:a16="http://schemas.microsoft.com/office/drawing/2014/main" id="{00000000-0008-0000-0E00-0000AA04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897" name="AutoShape 15">
          <a:extLst>
            <a:ext uri="{FF2B5EF4-FFF2-40B4-BE49-F238E27FC236}">
              <a16:creationId xmlns:a16="http://schemas.microsoft.com/office/drawing/2014/main" id="{00000000-0008-0000-0E00-0000AE04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898" name="AutoShape 21">
          <a:extLst>
            <a:ext uri="{FF2B5EF4-FFF2-40B4-BE49-F238E27FC236}">
              <a16:creationId xmlns:a16="http://schemas.microsoft.com/office/drawing/2014/main" id="{00000000-0008-0000-0E00-0000B004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899" name="AutoShape 22">
          <a:extLst>
            <a:ext uri="{FF2B5EF4-FFF2-40B4-BE49-F238E27FC236}">
              <a16:creationId xmlns:a16="http://schemas.microsoft.com/office/drawing/2014/main" id="{00000000-0008-0000-0E00-0000B104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00" name="AutoShape 24">
          <a:extLst>
            <a:ext uri="{FF2B5EF4-FFF2-40B4-BE49-F238E27FC236}">
              <a16:creationId xmlns:a16="http://schemas.microsoft.com/office/drawing/2014/main" id="{00000000-0008-0000-0E00-0000B304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984885</xdr:colOff>
      <xdr:row>142</xdr:row>
      <xdr:rowOff>18415</xdr:rowOff>
    </xdr:from>
    <xdr:to>
      <xdr:col>22</xdr:col>
      <xdr:colOff>39370</xdr:colOff>
      <xdr:row>143</xdr:row>
      <xdr:rowOff>199390</xdr:rowOff>
    </xdr:to>
    <xdr:sp macro="" textlink="">
      <xdr:nvSpPr>
        <xdr:cNvPr id="901" name="AutoShape 25">
          <a:extLst>
            <a:ext uri="{FF2B5EF4-FFF2-40B4-BE49-F238E27FC236}">
              <a16:creationId xmlns:a16="http://schemas.microsoft.com/office/drawing/2014/main" id="{00000000-0008-0000-0E00-0000B4040000}"/>
            </a:ext>
          </a:extLst>
        </xdr:cNvPr>
        <xdr:cNvSpPr>
          <a:spLocks noChangeArrowheads="1"/>
        </xdr:cNvSpPr>
      </xdr:nvSpPr>
      <xdr:spPr>
        <a:xfrm>
          <a:off x="14072235" y="30412690"/>
          <a:ext cx="692785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02" name="AutoShape 27">
          <a:extLst>
            <a:ext uri="{FF2B5EF4-FFF2-40B4-BE49-F238E27FC236}">
              <a16:creationId xmlns:a16="http://schemas.microsoft.com/office/drawing/2014/main" id="{00000000-0008-0000-0E00-0000B504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03" name="AutoShape 28">
          <a:extLst>
            <a:ext uri="{FF2B5EF4-FFF2-40B4-BE49-F238E27FC236}">
              <a16:creationId xmlns:a16="http://schemas.microsoft.com/office/drawing/2014/main" id="{00000000-0008-0000-0E00-0000B604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04" name="AutoShape 24">
          <a:extLst>
            <a:ext uri="{FF2B5EF4-FFF2-40B4-BE49-F238E27FC236}">
              <a16:creationId xmlns:a16="http://schemas.microsoft.com/office/drawing/2014/main" id="{00000000-0008-0000-0E00-0000B804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05" name="AutoShape 14">
          <a:extLst>
            <a:ext uri="{FF2B5EF4-FFF2-40B4-BE49-F238E27FC236}">
              <a16:creationId xmlns:a16="http://schemas.microsoft.com/office/drawing/2014/main" id="{00000000-0008-0000-0E00-0000B306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06" name="AutoShape 15">
          <a:extLst>
            <a:ext uri="{FF2B5EF4-FFF2-40B4-BE49-F238E27FC236}">
              <a16:creationId xmlns:a16="http://schemas.microsoft.com/office/drawing/2014/main" id="{00000000-0008-0000-0E00-0000B706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07" name="AutoShape 21">
          <a:extLst>
            <a:ext uri="{FF2B5EF4-FFF2-40B4-BE49-F238E27FC236}">
              <a16:creationId xmlns:a16="http://schemas.microsoft.com/office/drawing/2014/main" id="{00000000-0008-0000-0E00-0000B906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08" name="AutoShape 22">
          <a:extLst>
            <a:ext uri="{FF2B5EF4-FFF2-40B4-BE49-F238E27FC236}">
              <a16:creationId xmlns:a16="http://schemas.microsoft.com/office/drawing/2014/main" id="{00000000-0008-0000-0E00-0000BA06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09" name="AutoShape 24">
          <a:extLst>
            <a:ext uri="{FF2B5EF4-FFF2-40B4-BE49-F238E27FC236}">
              <a16:creationId xmlns:a16="http://schemas.microsoft.com/office/drawing/2014/main" id="{00000000-0008-0000-0E00-0000BC06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10" name="AutoShape 27">
          <a:extLst>
            <a:ext uri="{FF2B5EF4-FFF2-40B4-BE49-F238E27FC236}">
              <a16:creationId xmlns:a16="http://schemas.microsoft.com/office/drawing/2014/main" id="{00000000-0008-0000-0E00-0000BE06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11" name="AutoShape 28">
          <a:extLst>
            <a:ext uri="{FF2B5EF4-FFF2-40B4-BE49-F238E27FC236}">
              <a16:creationId xmlns:a16="http://schemas.microsoft.com/office/drawing/2014/main" id="{00000000-0008-0000-0E00-0000BF06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12" name="AutoShape 24">
          <a:extLst>
            <a:ext uri="{FF2B5EF4-FFF2-40B4-BE49-F238E27FC236}">
              <a16:creationId xmlns:a16="http://schemas.microsoft.com/office/drawing/2014/main" id="{00000000-0008-0000-0E00-0000C106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13" name="AutoShape 14">
          <a:extLst>
            <a:ext uri="{FF2B5EF4-FFF2-40B4-BE49-F238E27FC236}">
              <a16:creationId xmlns:a16="http://schemas.microsoft.com/office/drawing/2014/main" id="{00000000-0008-0000-0E00-0000B607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14" name="AutoShape 15">
          <a:extLst>
            <a:ext uri="{FF2B5EF4-FFF2-40B4-BE49-F238E27FC236}">
              <a16:creationId xmlns:a16="http://schemas.microsoft.com/office/drawing/2014/main" id="{00000000-0008-0000-0E00-0000BB07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15" name="AutoShape 21">
          <a:extLst>
            <a:ext uri="{FF2B5EF4-FFF2-40B4-BE49-F238E27FC236}">
              <a16:creationId xmlns:a16="http://schemas.microsoft.com/office/drawing/2014/main" id="{00000000-0008-0000-0E00-0000BD07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16" name="AutoShape 22">
          <a:extLst>
            <a:ext uri="{FF2B5EF4-FFF2-40B4-BE49-F238E27FC236}">
              <a16:creationId xmlns:a16="http://schemas.microsoft.com/office/drawing/2014/main" id="{00000000-0008-0000-0E00-0000BE07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17" name="AutoShape 24">
          <a:extLst>
            <a:ext uri="{FF2B5EF4-FFF2-40B4-BE49-F238E27FC236}">
              <a16:creationId xmlns:a16="http://schemas.microsoft.com/office/drawing/2014/main" id="{00000000-0008-0000-0E00-0000C007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18" name="AutoShape 27">
          <a:extLst>
            <a:ext uri="{FF2B5EF4-FFF2-40B4-BE49-F238E27FC236}">
              <a16:creationId xmlns:a16="http://schemas.microsoft.com/office/drawing/2014/main" id="{00000000-0008-0000-0E00-0000C207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19" name="AutoShape 28">
          <a:extLst>
            <a:ext uri="{FF2B5EF4-FFF2-40B4-BE49-F238E27FC236}">
              <a16:creationId xmlns:a16="http://schemas.microsoft.com/office/drawing/2014/main" id="{00000000-0008-0000-0E00-0000C307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142</xdr:row>
      <xdr:rowOff>19050</xdr:rowOff>
    </xdr:from>
    <xdr:to>
      <xdr:col>12</xdr:col>
      <xdr:colOff>12700</xdr:colOff>
      <xdr:row>144</xdr:row>
      <xdr:rowOff>0</xdr:rowOff>
    </xdr:to>
    <xdr:sp macro="" textlink="">
      <xdr:nvSpPr>
        <xdr:cNvPr id="920" name="AutoShape 205">
          <a:extLst>
            <a:ext uri="{FF2B5EF4-FFF2-40B4-BE49-F238E27FC236}">
              <a16:creationId xmlns:a16="http://schemas.microsoft.com/office/drawing/2014/main" id="{00000000-0008-0000-0E00-0000C4070000}"/>
            </a:ext>
          </a:extLst>
        </xdr:cNvPr>
        <xdr:cNvSpPr>
          <a:spLocks noChangeArrowheads="1"/>
        </xdr:cNvSpPr>
      </xdr:nvSpPr>
      <xdr:spPr>
        <a:xfrm>
          <a:off x="7543800" y="30413325"/>
          <a:ext cx="73660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21" name="AutoShape 24">
          <a:extLst>
            <a:ext uri="{FF2B5EF4-FFF2-40B4-BE49-F238E27FC236}">
              <a16:creationId xmlns:a16="http://schemas.microsoft.com/office/drawing/2014/main" id="{00000000-0008-0000-0E00-0000C607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22" name="AutoShape 14">
          <a:extLst>
            <a:ext uri="{FF2B5EF4-FFF2-40B4-BE49-F238E27FC236}">
              <a16:creationId xmlns:a16="http://schemas.microsoft.com/office/drawing/2014/main" id="{00000000-0008-0000-0E00-00004509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23" name="AutoShape 15">
          <a:extLst>
            <a:ext uri="{FF2B5EF4-FFF2-40B4-BE49-F238E27FC236}">
              <a16:creationId xmlns:a16="http://schemas.microsoft.com/office/drawing/2014/main" id="{00000000-0008-0000-0E00-00004909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24" name="AutoShape 21">
          <a:extLst>
            <a:ext uri="{FF2B5EF4-FFF2-40B4-BE49-F238E27FC236}">
              <a16:creationId xmlns:a16="http://schemas.microsoft.com/office/drawing/2014/main" id="{00000000-0008-0000-0E00-00004B09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25" name="AutoShape 22">
          <a:extLst>
            <a:ext uri="{FF2B5EF4-FFF2-40B4-BE49-F238E27FC236}">
              <a16:creationId xmlns:a16="http://schemas.microsoft.com/office/drawing/2014/main" id="{00000000-0008-0000-0E00-00004C09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26" name="AutoShape 24">
          <a:extLst>
            <a:ext uri="{FF2B5EF4-FFF2-40B4-BE49-F238E27FC236}">
              <a16:creationId xmlns:a16="http://schemas.microsoft.com/office/drawing/2014/main" id="{00000000-0008-0000-0E00-00004E09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27" name="AutoShape 27">
          <a:extLst>
            <a:ext uri="{FF2B5EF4-FFF2-40B4-BE49-F238E27FC236}">
              <a16:creationId xmlns:a16="http://schemas.microsoft.com/office/drawing/2014/main" id="{00000000-0008-0000-0E00-00005009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28" name="AutoShape 28">
          <a:extLst>
            <a:ext uri="{FF2B5EF4-FFF2-40B4-BE49-F238E27FC236}">
              <a16:creationId xmlns:a16="http://schemas.microsoft.com/office/drawing/2014/main" id="{00000000-0008-0000-0E00-00005109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29" name="AutoShape 24">
          <a:extLst>
            <a:ext uri="{FF2B5EF4-FFF2-40B4-BE49-F238E27FC236}">
              <a16:creationId xmlns:a16="http://schemas.microsoft.com/office/drawing/2014/main" id="{00000000-0008-0000-0E00-00005209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789215</xdr:colOff>
      <xdr:row>142</xdr:row>
      <xdr:rowOff>0</xdr:rowOff>
    </xdr:from>
    <xdr:to>
      <xdr:col>2</xdr:col>
      <xdr:colOff>13607</xdr:colOff>
      <xdr:row>143</xdr:row>
      <xdr:rowOff>189865</xdr:rowOff>
    </xdr:to>
    <xdr:sp macro="" textlink="">
      <xdr:nvSpPr>
        <xdr:cNvPr id="930" name="AutoShape 14">
          <a:extLst>
            <a:ext uri="{FF2B5EF4-FFF2-40B4-BE49-F238E27FC236}">
              <a16:creationId xmlns:a16="http://schemas.microsoft.com/office/drawing/2014/main" id="{00000000-0008-0000-0E00-0000950A0000}"/>
            </a:ext>
          </a:extLst>
        </xdr:cNvPr>
        <xdr:cNvSpPr>
          <a:spLocks noChangeArrowheads="1"/>
        </xdr:cNvSpPr>
      </xdr:nvSpPr>
      <xdr:spPr>
        <a:xfrm>
          <a:off x="598715" y="30394275"/>
          <a:ext cx="957942" cy="38989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598533</xdr:colOff>
      <xdr:row>142</xdr:row>
      <xdr:rowOff>13606</xdr:rowOff>
    </xdr:from>
    <xdr:to>
      <xdr:col>4</xdr:col>
      <xdr:colOff>40821</xdr:colOff>
      <xdr:row>143</xdr:row>
      <xdr:rowOff>189864</xdr:rowOff>
    </xdr:to>
    <xdr:sp macro="" textlink="">
      <xdr:nvSpPr>
        <xdr:cNvPr id="931" name="AutoShape 15">
          <a:extLst>
            <a:ext uri="{FF2B5EF4-FFF2-40B4-BE49-F238E27FC236}">
              <a16:creationId xmlns:a16="http://schemas.microsoft.com/office/drawing/2014/main" id="{00000000-0008-0000-0E00-0000990A0000}"/>
            </a:ext>
          </a:extLst>
        </xdr:cNvPr>
        <xdr:cNvSpPr>
          <a:spLocks noChangeArrowheads="1"/>
        </xdr:cNvSpPr>
      </xdr:nvSpPr>
      <xdr:spPr>
        <a:xfrm>
          <a:off x="2141583" y="30407881"/>
          <a:ext cx="718638" cy="37628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  <a:p>
          <a:endParaRPr lang="en-US"/>
        </a:p>
        <a:p>
          <a:endParaRPr lang="en-US"/>
        </a:p>
      </xdr:txBody>
    </xdr:sp>
    <xdr:clientData/>
  </xdr:twoCellAnchor>
  <xdr:twoCellAnchor>
    <xdr:from>
      <xdr:col>4</xdr:col>
      <xdr:colOff>654844</xdr:colOff>
      <xdr:row>142</xdr:row>
      <xdr:rowOff>23813</xdr:rowOff>
    </xdr:from>
    <xdr:to>
      <xdr:col>6</xdr:col>
      <xdr:colOff>35718</xdr:colOff>
      <xdr:row>143</xdr:row>
      <xdr:rowOff>202407</xdr:rowOff>
    </xdr:to>
    <xdr:sp macro="" textlink="">
      <xdr:nvSpPr>
        <xdr:cNvPr id="932" name="AutoShape 16">
          <a:extLst>
            <a:ext uri="{FF2B5EF4-FFF2-40B4-BE49-F238E27FC236}">
              <a16:creationId xmlns:a16="http://schemas.microsoft.com/office/drawing/2014/main" id="{00000000-0008-0000-0E00-00009A0A0000}"/>
            </a:ext>
          </a:extLst>
        </xdr:cNvPr>
        <xdr:cNvSpPr>
          <a:spLocks noChangeArrowheads="1"/>
        </xdr:cNvSpPr>
      </xdr:nvSpPr>
      <xdr:spPr>
        <a:xfrm>
          <a:off x="3464719" y="30884813"/>
          <a:ext cx="750093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452</xdr:colOff>
      <xdr:row>142</xdr:row>
      <xdr:rowOff>37465</xdr:rowOff>
    </xdr:from>
    <xdr:to>
      <xdr:col>14</xdr:col>
      <xdr:colOff>13606</xdr:colOff>
      <xdr:row>143</xdr:row>
      <xdr:rowOff>189865</xdr:rowOff>
    </xdr:to>
    <xdr:sp macro="" textlink="">
      <xdr:nvSpPr>
        <xdr:cNvPr id="933" name="AutoShape 21">
          <a:extLst>
            <a:ext uri="{FF2B5EF4-FFF2-40B4-BE49-F238E27FC236}">
              <a16:creationId xmlns:a16="http://schemas.microsoft.com/office/drawing/2014/main" id="{00000000-0008-0000-0E00-00009B0A0000}"/>
            </a:ext>
          </a:extLst>
        </xdr:cNvPr>
        <xdr:cNvSpPr>
          <a:spLocks noChangeArrowheads="1"/>
        </xdr:cNvSpPr>
      </xdr:nvSpPr>
      <xdr:spPr>
        <a:xfrm>
          <a:off x="8877752" y="30431740"/>
          <a:ext cx="775154" cy="3524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453</xdr:colOff>
      <xdr:row>142</xdr:row>
      <xdr:rowOff>13607</xdr:rowOff>
    </xdr:from>
    <xdr:to>
      <xdr:col>16</xdr:col>
      <xdr:colOff>0</xdr:colOff>
      <xdr:row>144</xdr:row>
      <xdr:rowOff>3810</xdr:rowOff>
    </xdr:to>
    <xdr:sp macro="" textlink="">
      <xdr:nvSpPr>
        <xdr:cNvPr id="934" name="AutoShape 22">
          <a:extLst>
            <a:ext uri="{FF2B5EF4-FFF2-40B4-BE49-F238E27FC236}">
              <a16:creationId xmlns:a16="http://schemas.microsoft.com/office/drawing/2014/main" id="{00000000-0008-0000-0E00-00009C0A0000}"/>
            </a:ext>
          </a:extLst>
        </xdr:cNvPr>
        <xdr:cNvSpPr>
          <a:spLocks noChangeArrowheads="1"/>
        </xdr:cNvSpPr>
      </xdr:nvSpPr>
      <xdr:spPr>
        <a:xfrm>
          <a:off x="10239828" y="30407882"/>
          <a:ext cx="685347" cy="399778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19</xdr:col>
      <xdr:colOff>1724</xdr:colOff>
      <xdr:row>142</xdr:row>
      <xdr:rowOff>18415</xdr:rowOff>
    </xdr:from>
    <xdr:to>
      <xdr:col>20</xdr:col>
      <xdr:colOff>13608</xdr:colOff>
      <xdr:row>143</xdr:row>
      <xdr:rowOff>199390</xdr:rowOff>
    </xdr:to>
    <xdr:sp macro="" textlink="">
      <xdr:nvSpPr>
        <xdr:cNvPr id="935" name="AutoShape 24">
          <a:extLst>
            <a:ext uri="{FF2B5EF4-FFF2-40B4-BE49-F238E27FC236}">
              <a16:creationId xmlns:a16="http://schemas.microsoft.com/office/drawing/2014/main" id="{00000000-0008-0000-0E00-00009E0A0000}"/>
            </a:ext>
          </a:extLst>
        </xdr:cNvPr>
        <xdr:cNvSpPr>
          <a:spLocks noChangeArrowheads="1"/>
        </xdr:cNvSpPr>
      </xdr:nvSpPr>
      <xdr:spPr>
        <a:xfrm>
          <a:off x="12812849" y="30412690"/>
          <a:ext cx="669109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611505</xdr:colOff>
      <xdr:row>142</xdr:row>
      <xdr:rowOff>24765</xdr:rowOff>
    </xdr:from>
    <xdr:to>
      <xdr:col>8</xdr:col>
      <xdr:colOff>13607</xdr:colOff>
      <xdr:row>143</xdr:row>
      <xdr:rowOff>189865</xdr:rowOff>
    </xdr:to>
    <xdr:sp macro="" textlink="">
      <xdr:nvSpPr>
        <xdr:cNvPr id="936" name="AutoShape 27">
          <a:extLst>
            <a:ext uri="{FF2B5EF4-FFF2-40B4-BE49-F238E27FC236}">
              <a16:creationId xmlns:a16="http://schemas.microsoft.com/office/drawing/2014/main" id="{00000000-0008-0000-0E00-0000A00A0000}"/>
            </a:ext>
          </a:extLst>
        </xdr:cNvPr>
        <xdr:cNvSpPr>
          <a:spLocks noChangeArrowheads="1"/>
        </xdr:cNvSpPr>
      </xdr:nvSpPr>
      <xdr:spPr>
        <a:xfrm>
          <a:off x="4802505" y="30419040"/>
          <a:ext cx="726077" cy="3651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1016635</xdr:colOff>
      <xdr:row>142</xdr:row>
      <xdr:rowOff>18415</xdr:rowOff>
    </xdr:from>
    <xdr:to>
      <xdr:col>10</xdr:col>
      <xdr:colOff>37465</xdr:colOff>
      <xdr:row>143</xdr:row>
      <xdr:rowOff>199390</xdr:rowOff>
    </xdr:to>
    <xdr:sp macro="" textlink="">
      <xdr:nvSpPr>
        <xdr:cNvPr id="937" name="AutoShape 28">
          <a:extLst>
            <a:ext uri="{FF2B5EF4-FFF2-40B4-BE49-F238E27FC236}">
              <a16:creationId xmlns:a16="http://schemas.microsoft.com/office/drawing/2014/main" id="{00000000-0008-0000-0E00-0000A10A0000}"/>
            </a:ext>
          </a:extLst>
        </xdr:cNvPr>
        <xdr:cNvSpPr>
          <a:spLocks noChangeArrowheads="1"/>
        </xdr:cNvSpPr>
      </xdr:nvSpPr>
      <xdr:spPr>
        <a:xfrm>
          <a:off x="6169660" y="30412690"/>
          <a:ext cx="811530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680085</xdr:colOff>
      <xdr:row>142</xdr:row>
      <xdr:rowOff>18415</xdr:rowOff>
    </xdr:from>
    <xdr:to>
      <xdr:col>24</xdr:col>
      <xdr:colOff>13607</xdr:colOff>
      <xdr:row>143</xdr:row>
      <xdr:rowOff>199390</xdr:rowOff>
    </xdr:to>
    <xdr:sp macro="" textlink="">
      <xdr:nvSpPr>
        <xdr:cNvPr id="938" name="AutoShape 24">
          <a:extLst>
            <a:ext uri="{FF2B5EF4-FFF2-40B4-BE49-F238E27FC236}">
              <a16:creationId xmlns:a16="http://schemas.microsoft.com/office/drawing/2014/main" id="{00000000-0008-0000-0E00-0000A20A0000}"/>
            </a:ext>
          </a:extLst>
        </xdr:cNvPr>
        <xdr:cNvSpPr>
          <a:spLocks noChangeArrowheads="1"/>
        </xdr:cNvSpPr>
      </xdr:nvSpPr>
      <xdr:spPr>
        <a:xfrm>
          <a:off x="15405735" y="30412690"/>
          <a:ext cx="695597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7</xdr:col>
      <xdr:colOff>0</xdr:colOff>
      <xdr:row>144</xdr:row>
      <xdr:rowOff>36635</xdr:rowOff>
    </xdr:from>
    <xdr:to>
      <xdr:col>7</xdr:col>
      <xdr:colOff>689756</xdr:colOff>
      <xdr:row>146</xdr:row>
      <xdr:rowOff>24423</xdr:rowOff>
    </xdr:to>
    <xdr:sp macro="" textlink="">
      <xdr:nvSpPr>
        <xdr:cNvPr id="939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4819650" y="30840485"/>
          <a:ext cx="689756" cy="4068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7</xdr:col>
      <xdr:colOff>36634</xdr:colOff>
      <xdr:row>144</xdr:row>
      <xdr:rowOff>73271</xdr:rowOff>
    </xdr:from>
    <xdr:to>
      <xdr:col>7</xdr:col>
      <xdr:colOff>671635</xdr:colOff>
      <xdr:row>145</xdr:row>
      <xdr:rowOff>195384</xdr:rowOff>
    </xdr:to>
    <xdr:sp macro="" textlink="">
      <xdr:nvSpPr>
        <xdr:cNvPr id="940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4856284" y="30877121"/>
          <a:ext cx="635001" cy="33166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689756</xdr:colOff>
      <xdr:row>138</xdr:row>
      <xdr:rowOff>195385</xdr:rowOff>
    </xdr:to>
    <xdr:sp macro="" textlink="">
      <xdr:nvSpPr>
        <xdr:cNvPr id="941" name="Line 23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>
          <a:spLocks noChangeShapeType="1"/>
        </xdr:cNvSpPr>
      </xdr:nvSpPr>
      <xdr:spPr>
        <a:xfrm flipV="1">
          <a:off x="7543800" y="29375100"/>
          <a:ext cx="689756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11</xdr:col>
      <xdr:colOff>36634</xdr:colOff>
      <xdr:row>137</xdr:row>
      <xdr:rowOff>36636</xdr:rowOff>
    </xdr:from>
    <xdr:to>
      <xdr:col>11</xdr:col>
      <xdr:colOff>671635</xdr:colOff>
      <xdr:row>138</xdr:row>
      <xdr:rowOff>158750</xdr:rowOff>
    </xdr:to>
    <xdr:sp macro="" textlink="">
      <xdr:nvSpPr>
        <xdr:cNvPr id="942" name="Line 156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>
          <a:spLocks noChangeShapeType="1"/>
        </xdr:cNvSpPr>
      </xdr:nvSpPr>
      <xdr:spPr>
        <a:xfrm>
          <a:off x="7580434" y="29411736"/>
          <a:ext cx="635001" cy="33166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587193</xdr:colOff>
      <xdr:row>149</xdr:row>
      <xdr:rowOff>17236</xdr:rowOff>
    </xdr:from>
    <xdr:to>
      <xdr:col>2</xdr:col>
      <xdr:colOff>16963</xdr:colOff>
      <xdr:row>150</xdr:row>
      <xdr:rowOff>184876</xdr:rowOff>
    </xdr:to>
    <xdr:sp macro="" textlink="">
      <xdr:nvSpPr>
        <xdr:cNvPr id="943" name="AutoShape 5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>
          <a:spLocks noChangeArrowheads="1"/>
        </xdr:cNvSpPr>
      </xdr:nvSpPr>
      <xdr:spPr>
        <a:xfrm>
          <a:off x="587193" y="31840261"/>
          <a:ext cx="972820" cy="36766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5080</xdr:colOff>
      <xdr:row>149</xdr:row>
      <xdr:rowOff>0</xdr:rowOff>
    </xdr:from>
    <xdr:to>
      <xdr:col>4</xdr:col>
      <xdr:colOff>6350</xdr:colOff>
      <xdr:row>150</xdr:row>
      <xdr:rowOff>195580</xdr:rowOff>
    </xdr:to>
    <xdr:sp macro="" textlink="">
      <xdr:nvSpPr>
        <xdr:cNvPr id="944" name="AutoShape 6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>
          <a:spLocks noChangeArrowheads="1"/>
        </xdr:cNvSpPr>
      </xdr:nvSpPr>
      <xdr:spPr>
        <a:xfrm>
          <a:off x="2157730" y="31823025"/>
          <a:ext cx="668020" cy="39560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5</xdr:col>
      <xdr:colOff>23813</xdr:colOff>
      <xdr:row>148</xdr:row>
      <xdr:rowOff>154783</xdr:rowOff>
    </xdr:from>
    <xdr:to>
      <xdr:col>6</xdr:col>
      <xdr:colOff>11907</xdr:colOff>
      <xdr:row>150</xdr:row>
      <xdr:rowOff>202407</xdr:rowOff>
    </xdr:to>
    <xdr:sp macro="" textlink="">
      <xdr:nvSpPr>
        <xdr:cNvPr id="945" name="AutoShape 7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>
          <a:spLocks noChangeArrowheads="1"/>
        </xdr:cNvSpPr>
      </xdr:nvSpPr>
      <xdr:spPr>
        <a:xfrm>
          <a:off x="3519488" y="31777783"/>
          <a:ext cx="683419" cy="447674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1009650</xdr:colOff>
      <xdr:row>149</xdr:row>
      <xdr:rowOff>0</xdr:rowOff>
    </xdr:from>
    <xdr:to>
      <xdr:col>8</xdr:col>
      <xdr:colOff>21590</xdr:colOff>
      <xdr:row>151</xdr:row>
      <xdr:rowOff>0</xdr:rowOff>
    </xdr:to>
    <xdr:sp macro="" textlink="">
      <xdr:nvSpPr>
        <xdr:cNvPr id="946" name="AutoShape 8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SpPr>
          <a:spLocks noChangeArrowheads="1"/>
        </xdr:cNvSpPr>
      </xdr:nvSpPr>
      <xdr:spPr>
        <a:xfrm>
          <a:off x="4819650" y="31823025"/>
          <a:ext cx="71691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149</xdr:row>
      <xdr:rowOff>19050</xdr:rowOff>
    </xdr:from>
    <xdr:to>
      <xdr:col>10</xdr:col>
      <xdr:colOff>0</xdr:colOff>
      <xdr:row>151</xdr:row>
      <xdr:rowOff>0</xdr:rowOff>
    </xdr:to>
    <xdr:sp macro="" textlink="">
      <xdr:nvSpPr>
        <xdr:cNvPr id="947" name="AutoShape 7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SpPr>
          <a:spLocks noChangeArrowheads="1"/>
        </xdr:cNvSpPr>
      </xdr:nvSpPr>
      <xdr:spPr>
        <a:xfrm>
          <a:off x="6176645" y="31842075"/>
          <a:ext cx="767080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149</xdr:row>
      <xdr:rowOff>0</xdr:rowOff>
    </xdr:from>
    <xdr:to>
      <xdr:col>12</xdr:col>
      <xdr:colOff>8618</xdr:colOff>
      <xdr:row>151</xdr:row>
      <xdr:rowOff>0</xdr:rowOff>
    </xdr:to>
    <xdr:sp macro="" textlink="">
      <xdr:nvSpPr>
        <xdr:cNvPr id="948" name="AutoShape 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>
          <a:spLocks noChangeArrowheads="1"/>
        </xdr:cNvSpPr>
      </xdr:nvSpPr>
      <xdr:spPr>
        <a:xfrm>
          <a:off x="7518763" y="31823025"/>
          <a:ext cx="757555" cy="40957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156</xdr:row>
      <xdr:rowOff>1361</xdr:rowOff>
    </xdr:from>
    <xdr:to>
      <xdr:col>2</xdr:col>
      <xdr:colOff>13607</xdr:colOff>
      <xdr:row>157</xdr:row>
      <xdr:rowOff>191861</xdr:rowOff>
    </xdr:to>
    <xdr:sp macro="" textlink="">
      <xdr:nvSpPr>
        <xdr:cNvPr id="949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325313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50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583405</xdr:colOff>
      <xdr:row>149</xdr:row>
      <xdr:rowOff>0</xdr:rowOff>
    </xdr:from>
    <xdr:to>
      <xdr:col>14</xdr:col>
      <xdr:colOff>23811</xdr:colOff>
      <xdr:row>150</xdr:row>
      <xdr:rowOff>202406</xdr:rowOff>
    </xdr:to>
    <xdr:sp macro="" textlink="">
      <xdr:nvSpPr>
        <xdr:cNvPr id="951" name="AutoShape 9">
          <a:extLst>
            <a:ext uri="{FF2B5EF4-FFF2-40B4-BE49-F238E27FC236}">
              <a16:creationId xmlns:a16="http://schemas.microsoft.com/office/drawing/2014/main" id="{00000000-0008-0000-0E00-0000D5010000}"/>
            </a:ext>
          </a:extLst>
        </xdr:cNvPr>
        <xdr:cNvSpPr>
          <a:spLocks noChangeArrowheads="1"/>
        </xdr:cNvSpPr>
      </xdr:nvSpPr>
      <xdr:spPr>
        <a:xfrm>
          <a:off x="8851105" y="31823025"/>
          <a:ext cx="812006" cy="40243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765175</xdr:colOff>
      <xdr:row>149</xdr:row>
      <xdr:rowOff>0</xdr:rowOff>
    </xdr:from>
    <xdr:to>
      <xdr:col>16</xdr:col>
      <xdr:colOff>15240</xdr:colOff>
      <xdr:row>150</xdr:row>
      <xdr:rowOff>196215</xdr:rowOff>
    </xdr:to>
    <xdr:sp macro="" textlink="">
      <xdr:nvSpPr>
        <xdr:cNvPr id="952" name="AutoShape 10">
          <a:extLst>
            <a:ext uri="{FF2B5EF4-FFF2-40B4-BE49-F238E27FC236}">
              <a16:creationId xmlns:a16="http://schemas.microsoft.com/office/drawing/2014/main" id="{00000000-0008-0000-0E00-0000D6010000}"/>
            </a:ext>
          </a:extLst>
        </xdr:cNvPr>
        <xdr:cNvSpPr>
          <a:spLocks noChangeArrowheads="1"/>
        </xdr:cNvSpPr>
      </xdr:nvSpPr>
      <xdr:spPr>
        <a:xfrm>
          <a:off x="10242550" y="31823025"/>
          <a:ext cx="697865" cy="39624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598715</xdr:colOff>
      <xdr:row>149</xdr:row>
      <xdr:rowOff>32657</xdr:rowOff>
    </xdr:from>
    <xdr:to>
      <xdr:col>20</xdr:col>
      <xdr:colOff>4541</xdr:colOff>
      <xdr:row>151</xdr:row>
      <xdr:rowOff>3625</xdr:rowOff>
    </xdr:to>
    <xdr:sp macro="" textlink="">
      <xdr:nvSpPr>
        <xdr:cNvPr id="953" name="AutoShape 12">
          <a:extLst>
            <a:ext uri="{FF2B5EF4-FFF2-40B4-BE49-F238E27FC236}">
              <a16:creationId xmlns:a16="http://schemas.microsoft.com/office/drawing/2014/main" id="{00000000-0008-0000-0E00-0000D8010000}"/>
            </a:ext>
          </a:extLst>
        </xdr:cNvPr>
        <xdr:cNvSpPr>
          <a:spLocks noChangeArrowheads="1"/>
        </xdr:cNvSpPr>
      </xdr:nvSpPr>
      <xdr:spPr>
        <a:xfrm>
          <a:off x="12809765" y="31855682"/>
          <a:ext cx="663126" cy="380543"/>
        </a:xfrm>
        <a:prstGeom prst="flowChartExtra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20</xdr:col>
      <xdr:colOff>577578</xdr:colOff>
      <xdr:row>149</xdr:row>
      <xdr:rowOff>10886</xdr:rowOff>
    </xdr:from>
    <xdr:to>
      <xdr:col>22</xdr:col>
      <xdr:colOff>24493</xdr:colOff>
      <xdr:row>151</xdr:row>
      <xdr:rowOff>272</xdr:rowOff>
    </xdr:to>
    <xdr:sp macro="" textlink="">
      <xdr:nvSpPr>
        <xdr:cNvPr id="954" name="AutoShape 13">
          <a:extLst>
            <a:ext uri="{FF2B5EF4-FFF2-40B4-BE49-F238E27FC236}">
              <a16:creationId xmlns:a16="http://schemas.microsoft.com/office/drawing/2014/main" id="{00000000-0008-0000-0E00-0000D9010000}"/>
            </a:ext>
          </a:extLst>
        </xdr:cNvPr>
        <xdr:cNvSpPr>
          <a:spLocks noChangeArrowheads="1"/>
        </xdr:cNvSpPr>
      </xdr:nvSpPr>
      <xdr:spPr>
        <a:xfrm>
          <a:off x="14045928" y="31833911"/>
          <a:ext cx="704215" cy="398961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55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156</xdr:row>
      <xdr:rowOff>0</xdr:rowOff>
    </xdr:from>
    <xdr:to>
      <xdr:col>16</xdr:col>
      <xdr:colOff>8890</xdr:colOff>
      <xdr:row>158</xdr:row>
      <xdr:rowOff>1905</xdr:rowOff>
    </xdr:to>
    <xdr:sp macro="" textlink="">
      <xdr:nvSpPr>
        <xdr:cNvPr id="956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3251775"/>
          <a:ext cx="723266" cy="41148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156</xdr:row>
      <xdr:rowOff>19050</xdr:rowOff>
    </xdr:from>
    <xdr:to>
      <xdr:col>20</xdr:col>
      <xdr:colOff>17780</xdr:colOff>
      <xdr:row>158</xdr:row>
      <xdr:rowOff>0</xdr:rowOff>
    </xdr:to>
    <xdr:sp macro="" textlink="">
      <xdr:nvSpPr>
        <xdr:cNvPr id="957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3270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156</xdr:row>
      <xdr:rowOff>0</xdr:rowOff>
    </xdr:from>
    <xdr:to>
      <xdr:col>22</xdr:col>
      <xdr:colOff>0</xdr:colOff>
      <xdr:row>158</xdr:row>
      <xdr:rowOff>0</xdr:rowOff>
    </xdr:to>
    <xdr:sp macro="" textlink="">
      <xdr:nvSpPr>
        <xdr:cNvPr id="958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3251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156</xdr:row>
      <xdr:rowOff>0</xdr:rowOff>
    </xdr:from>
    <xdr:to>
      <xdr:col>8</xdr:col>
      <xdr:colOff>24130</xdr:colOff>
      <xdr:row>158</xdr:row>
      <xdr:rowOff>0</xdr:rowOff>
    </xdr:to>
    <xdr:sp macro="" textlink="">
      <xdr:nvSpPr>
        <xdr:cNvPr id="959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3251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60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155</xdr:row>
      <xdr:rowOff>190501</xdr:rowOff>
    </xdr:from>
    <xdr:to>
      <xdr:col>12</xdr:col>
      <xdr:colOff>0</xdr:colOff>
      <xdr:row>157</xdr:row>
      <xdr:rowOff>202406</xdr:rowOff>
    </xdr:to>
    <xdr:sp macro="" textlink="">
      <xdr:nvSpPr>
        <xdr:cNvPr id="961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324225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62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63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64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65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66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67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68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69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70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71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72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73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156</xdr:row>
      <xdr:rowOff>0</xdr:rowOff>
    </xdr:from>
    <xdr:to>
      <xdr:col>6</xdr:col>
      <xdr:colOff>17462</xdr:colOff>
      <xdr:row>158</xdr:row>
      <xdr:rowOff>0</xdr:rowOff>
    </xdr:to>
    <xdr:sp macro="" textlink="">
      <xdr:nvSpPr>
        <xdr:cNvPr id="974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325177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587193</xdr:colOff>
      <xdr:row>149</xdr:row>
      <xdr:rowOff>17236</xdr:rowOff>
    </xdr:from>
    <xdr:to>
      <xdr:col>2</xdr:col>
      <xdr:colOff>16963</xdr:colOff>
      <xdr:row>150</xdr:row>
      <xdr:rowOff>184876</xdr:rowOff>
    </xdr:to>
    <xdr:sp macro="" textlink="">
      <xdr:nvSpPr>
        <xdr:cNvPr id="975" name="AutoShape 5">
          <a:extLst>
            <a:ext uri="{FF2B5EF4-FFF2-40B4-BE49-F238E27FC236}">
              <a16:creationId xmlns:a16="http://schemas.microsoft.com/office/drawing/2014/main" id="{00000000-0008-0000-0E00-000086050000}"/>
            </a:ext>
          </a:extLst>
        </xdr:cNvPr>
        <xdr:cNvSpPr>
          <a:spLocks noChangeArrowheads="1"/>
        </xdr:cNvSpPr>
      </xdr:nvSpPr>
      <xdr:spPr>
        <a:xfrm>
          <a:off x="587193" y="31840261"/>
          <a:ext cx="972820" cy="36766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1009650</xdr:colOff>
      <xdr:row>149</xdr:row>
      <xdr:rowOff>0</xdr:rowOff>
    </xdr:from>
    <xdr:to>
      <xdr:col>8</xdr:col>
      <xdr:colOff>21590</xdr:colOff>
      <xdr:row>151</xdr:row>
      <xdr:rowOff>0</xdr:rowOff>
    </xdr:to>
    <xdr:sp macro="" textlink="">
      <xdr:nvSpPr>
        <xdr:cNvPr id="976" name="AutoShape 8">
          <a:extLst>
            <a:ext uri="{FF2B5EF4-FFF2-40B4-BE49-F238E27FC236}">
              <a16:creationId xmlns:a16="http://schemas.microsoft.com/office/drawing/2014/main" id="{00000000-0008-0000-0E00-00008A050000}"/>
            </a:ext>
          </a:extLst>
        </xdr:cNvPr>
        <xdr:cNvSpPr>
          <a:spLocks noChangeArrowheads="1"/>
        </xdr:cNvSpPr>
      </xdr:nvSpPr>
      <xdr:spPr>
        <a:xfrm>
          <a:off x="4819650" y="31823025"/>
          <a:ext cx="71691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8</xdr:col>
      <xdr:colOff>966470</xdr:colOff>
      <xdr:row>149</xdr:row>
      <xdr:rowOff>19050</xdr:rowOff>
    </xdr:from>
    <xdr:to>
      <xdr:col>10</xdr:col>
      <xdr:colOff>0</xdr:colOff>
      <xdr:row>151</xdr:row>
      <xdr:rowOff>0</xdr:rowOff>
    </xdr:to>
    <xdr:sp macro="" textlink="">
      <xdr:nvSpPr>
        <xdr:cNvPr id="977" name="AutoShape 7">
          <a:extLst>
            <a:ext uri="{FF2B5EF4-FFF2-40B4-BE49-F238E27FC236}">
              <a16:creationId xmlns:a16="http://schemas.microsoft.com/office/drawing/2014/main" id="{00000000-0008-0000-0E00-00008B050000}"/>
            </a:ext>
          </a:extLst>
        </xdr:cNvPr>
        <xdr:cNvSpPr>
          <a:spLocks noChangeArrowheads="1"/>
        </xdr:cNvSpPr>
      </xdr:nvSpPr>
      <xdr:spPr>
        <a:xfrm>
          <a:off x="6176645" y="31842075"/>
          <a:ext cx="76708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575038</xdr:colOff>
      <xdr:row>149</xdr:row>
      <xdr:rowOff>0</xdr:rowOff>
    </xdr:from>
    <xdr:to>
      <xdr:col>12</xdr:col>
      <xdr:colOff>8618</xdr:colOff>
      <xdr:row>151</xdr:row>
      <xdr:rowOff>0</xdr:rowOff>
    </xdr:to>
    <xdr:sp macro="" textlink="">
      <xdr:nvSpPr>
        <xdr:cNvPr id="978" name="AutoShape 8">
          <a:extLst>
            <a:ext uri="{FF2B5EF4-FFF2-40B4-BE49-F238E27FC236}">
              <a16:creationId xmlns:a16="http://schemas.microsoft.com/office/drawing/2014/main" id="{00000000-0008-0000-0E00-00008C050000}"/>
            </a:ext>
          </a:extLst>
        </xdr:cNvPr>
        <xdr:cNvSpPr>
          <a:spLocks noChangeArrowheads="1"/>
        </xdr:cNvSpPr>
      </xdr:nvSpPr>
      <xdr:spPr>
        <a:xfrm>
          <a:off x="7518763" y="31823025"/>
          <a:ext cx="757555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156</xdr:row>
      <xdr:rowOff>1361</xdr:rowOff>
    </xdr:from>
    <xdr:to>
      <xdr:col>2</xdr:col>
      <xdr:colOff>13607</xdr:colOff>
      <xdr:row>157</xdr:row>
      <xdr:rowOff>191861</xdr:rowOff>
    </xdr:to>
    <xdr:sp macro="" textlink="">
      <xdr:nvSpPr>
        <xdr:cNvPr id="979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325313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80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678180</xdr:colOff>
      <xdr:row>156</xdr:row>
      <xdr:rowOff>0</xdr:rowOff>
    </xdr:from>
    <xdr:to>
      <xdr:col>6</xdr:col>
      <xdr:colOff>24130</xdr:colOff>
      <xdr:row>158</xdr:row>
      <xdr:rowOff>0</xdr:rowOff>
    </xdr:to>
    <xdr:sp macro="" textlink="">
      <xdr:nvSpPr>
        <xdr:cNvPr id="981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88055" y="33766125"/>
          <a:ext cx="715169" cy="41671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765175</xdr:colOff>
      <xdr:row>149</xdr:row>
      <xdr:rowOff>0</xdr:rowOff>
    </xdr:from>
    <xdr:to>
      <xdr:col>16</xdr:col>
      <xdr:colOff>15240</xdr:colOff>
      <xdr:row>150</xdr:row>
      <xdr:rowOff>196215</xdr:rowOff>
    </xdr:to>
    <xdr:sp macro="" textlink="">
      <xdr:nvSpPr>
        <xdr:cNvPr id="982" name="AutoShape 10">
          <a:extLst>
            <a:ext uri="{FF2B5EF4-FFF2-40B4-BE49-F238E27FC236}">
              <a16:creationId xmlns:a16="http://schemas.microsoft.com/office/drawing/2014/main" id="{00000000-0008-0000-0E00-0000CF050000}"/>
            </a:ext>
          </a:extLst>
        </xdr:cNvPr>
        <xdr:cNvSpPr>
          <a:spLocks noChangeArrowheads="1"/>
        </xdr:cNvSpPr>
      </xdr:nvSpPr>
      <xdr:spPr>
        <a:xfrm>
          <a:off x="10242550" y="31823025"/>
          <a:ext cx="697865" cy="39624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6668</xdr:colOff>
      <xdr:row>149</xdr:row>
      <xdr:rowOff>0</xdr:rowOff>
    </xdr:from>
    <xdr:to>
      <xdr:col>18</xdr:col>
      <xdr:colOff>17780</xdr:colOff>
      <xdr:row>150</xdr:row>
      <xdr:rowOff>187960</xdr:rowOff>
    </xdr:to>
    <xdr:sp macro="" textlink="">
      <xdr:nvSpPr>
        <xdr:cNvPr id="983" name="AutoShape 11">
          <a:extLst>
            <a:ext uri="{FF2B5EF4-FFF2-40B4-BE49-F238E27FC236}">
              <a16:creationId xmlns:a16="http://schemas.microsoft.com/office/drawing/2014/main" id="{00000000-0008-0000-0E00-0000D0050000}"/>
            </a:ext>
          </a:extLst>
        </xdr:cNvPr>
        <xdr:cNvSpPr>
          <a:spLocks noChangeArrowheads="1"/>
        </xdr:cNvSpPr>
      </xdr:nvSpPr>
      <xdr:spPr>
        <a:xfrm>
          <a:off x="11531918" y="31823025"/>
          <a:ext cx="696912" cy="38798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20</xdr:col>
      <xdr:colOff>577578</xdr:colOff>
      <xdr:row>149</xdr:row>
      <xdr:rowOff>10886</xdr:rowOff>
    </xdr:from>
    <xdr:to>
      <xdr:col>22</xdr:col>
      <xdr:colOff>24493</xdr:colOff>
      <xdr:row>151</xdr:row>
      <xdr:rowOff>272</xdr:rowOff>
    </xdr:to>
    <xdr:sp macro="" textlink="">
      <xdr:nvSpPr>
        <xdr:cNvPr id="984" name="AutoShape 13">
          <a:extLst>
            <a:ext uri="{FF2B5EF4-FFF2-40B4-BE49-F238E27FC236}">
              <a16:creationId xmlns:a16="http://schemas.microsoft.com/office/drawing/2014/main" id="{00000000-0008-0000-0E00-0000D2050000}"/>
            </a:ext>
          </a:extLst>
        </xdr:cNvPr>
        <xdr:cNvSpPr>
          <a:spLocks noChangeArrowheads="1"/>
        </xdr:cNvSpPr>
      </xdr:nvSpPr>
      <xdr:spPr>
        <a:xfrm>
          <a:off x="14045928" y="31833911"/>
          <a:ext cx="704215" cy="398961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85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156</xdr:row>
      <xdr:rowOff>19050</xdr:rowOff>
    </xdr:from>
    <xdr:to>
      <xdr:col>20</xdr:col>
      <xdr:colOff>17780</xdr:colOff>
      <xdr:row>158</xdr:row>
      <xdr:rowOff>0</xdr:rowOff>
    </xdr:to>
    <xdr:sp macro="" textlink="">
      <xdr:nvSpPr>
        <xdr:cNvPr id="986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3270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156</xdr:row>
      <xdr:rowOff>0</xdr:rowOff>
    </xdr:from>
    <xdr:to>
      <xdr:col>22</xdr:col>
      <xdr:colOff>0</xdr:colOff>
      <xdr:row>158</xdr:row>
      <xdr:rowOff>0</xdr:rowOff>
    </xdr:to>
    <xdr:sp macro="" textlink="">
      <xdr:nvSpPr>
        <xdr:cNvPr id="987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3251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156</xdr:row>
      <xdr:rowOff>0</xdr:rowOff>
    </xdr:from>
    <xdr:to>
      <xdr:col>8</xdr:col>
      <xdr:colOff>24130</xdr:colOff>
      <xdr:row>158</xdr:row>
      <xdr:rowOff>0</xdr:rowOff>
    </xdr:to>
    <xdr:sp macro="" textlink="">
      <xdr:nvSpPr>
        <xdr:cNvPr id="988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3251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89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90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91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92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3251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673552</xdr:colOff>
      <xdr:row>149</xdr:row>
      <xdr:rowOff>40822</xdr:rowOff>
    </xdr:from>
    <xdr:to>
      <xdr:col>24</xdr:col>
      <xdr:colOff>19684</xdr:colOff>
      <xdr:row>150</xdr:row>
      <xdr:rowOff>190500</xdr:rowOff>
    </xdr:to>
    <xdr:sp macro="" textlink="">
      <xdr:nvSpPr>
        <xdr:cNvPr id="993" name="AutoShape 14">
          <a:extLst>
            <a:ext uri="{FF2B5EF4-FFF2-40B4-BE49-F238E27FC236}">
              <a16:creationId xmlns:a16="http://schemas.microsoft.com/office/drawing/2014/main" id="{00000000-0008-0000-0E00-0000E5080000}"/>
            </a:ext>
          </a:extLst>
        </xdr:cNvPr>
        <xdr:cNvSpPr>
          <a:spLocks noChangeArrowheads="1"/>
        </xdr:cNvSpPr>
      </xdr:nvSpPr>
      <xdr:spPr>
        <a:xfrm>
          <a:off x="15399202" y="31863847"/>
          <a:ext cx="708207" cy="34970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94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156</xdr:row>
      <xdr:rowOff>19050</xdr:rowOff>
    </xdr:from>
    <xdr:to>
      <xdr:col>10</xdr:col>
      <xdr:colOff>0</xdr:colOff>
      <xdr:row>158</xdr:row>
      <xdr:rowOff>0</xdr:rowOff>
    </xdr:to>
    <xdr:sp macro="" textlink="">
      <xdr:nvSpPr>
        <xdr:cNvPr id="995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3270825"/>
          <a:ext cx="7579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996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997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610870</xdr:colOff>
      <xdr:row>156</xdr:row>
      <xdr:rowOff>0</xdr:rowOff>
    </xdr:from>
    <xdr:to>
      <xdr:col>4</xdr:col>
      <xdr:colOff>37465</xdr:colOff>
      <xdr:row>157</xdr:row>
      <xdr:rowOff>190500</xdr:rowOff>
    </xdr:to>
    <xdr:sp macro="" textlink="">
      <xdr:nvSpPr>
        <xdr:cNvPr id="998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48477" y="33242250"/>
          <a:ext cx="705667" cy="394607"/>
        </a:xfrm>
        <a:prstGeom prst="flowChartExtract">
          <a:avLst/>
        </a:prstGeom>
        <a:solidFill>
          <a:srgbClr val="FF505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156</xdr:row>
      <xdr:rowOff>50800</xdr:rowOff>
    </xdr:from>
    <xdr:to>
      <xdr:col>14</xdr:col>
      <xdr:colOff>12700</xdr:colOff>
      <xdr:row>157</xdr:row>
      <xdr:rowOff>196850</xdr:rowOff>
    </xdr:to>
    <xdr:sp macro="" textlink="">
      <xdr:nvSpPr>
        <xdr:cNvPr id="999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33025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156</xdr:row>
      <xdr:rowOff>63500</xdr:rowOff>
    </xdr:from>
    <xdr:to>
      <xdr:col>18</xdr:col>
      <xdr:colOff>0</xdr:colOff>
      <xdr:row>157</xdr:row>
      <xdr:rowOff>190500</xdr:rowOff>
    </xdr:to>
    <xdr:sp macro="" textlink="">
      <xdr:nvSpPr>
        <xdr:cNvPr id="1000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331527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156</xdr:row>
      <xdr:rowOff>19050</xdr:rowOff>
    </xdr:from>
    <xdr:to>
      <xdr:col>24</xdr:col>
      <xdr:colOff>17780</xdr:colOff>
      <xdr:row>158</xdr:row>
      <xdr:rowOff>0</xdr:rowOff>
    </xdr:to>
    <xdr:sp macro="" textlink="">
      <xdr:nvSpPr>
        <xdr:cNvPr id="1001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3270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23811</xdr:colOff>
      <xdr:row>151</xdr:row>
      <xdr:rowOff>0</xdr:rowOff>
    </xdr:from>
    <xdr:to>
      <xdr:col>9</xdr:col>
      <xdr:colOff>720480</xdr:colOff>
      <xdr:row>152</xdr:row>
      <xdr:rowOff>178593</xdr:rowOff>
    </xdr:to>
    <xdr:sp macro="" textlink="">
      <xdr:nvSpPr>
        <xdr:cNvPr id="1002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1" y="32232600"/>
          <a:ext cx="696669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151</xdr:row>
      <xdr:rowOff>11906</xdr:rowOff>
    </xdr:from>
    <xdr:to>
      <xdr:col>9</xdr:col>
      <xdr:colOff>732387</xdr:colOff>
      <xdr:row>152</xdr:row>
      <xdr:rowOff>146844</xdr:rowOff>
    </xdr:to>
    <xdr:sp macro="" textlink="">
      <xdr:nvSpPr>
        <xdr:cNvPr id="1003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32244506"/>
          <a:ext cx="732387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163</xdr:row>
      <xdr:rowOff>1361</xdr:rowOff>
    </xdr:from>
    <xdr:to>
      <xdr:col>2</xdr:col>
      <xdr:colOff>13607</xdr:colOff>
      <xdr:row>164</xdr:row>
      <xdr:rowOff>191861</xdr:rowOff>
    </xdr:to>
    <xdr:sp macro="" textlink="">
      <xdr:nvSpPr>
        <xdr:cNvPr id="1004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46818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05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06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163</xdr:row>
      <xdr:rowOff>0</xdr:rowOff>
    </xdr:from>
    <xdr:to>
      <xdr:col>16</xdr:col>
      <xdr:colOff>8890</xdr:colOff>
      <xdr:row>165</xdr:row>
      <xdr:rowOff>1905</xdr:rowOff>
    </xdr:to>
    <xdr:sp macro="" textlink="">
      <xdr:nvSpPr>
        <xdr:cNvPr id="1007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4680525"/>
          <a:ext cx="723266" cy="41148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163</xdr:row>
      <xdr:rowOff>19050</xdr:rowOff>
    </xdr:from>
    <xdr:to>
      <xdr:col>20</xdr:col>
      <xdr:colOff>17780</xdr:colOff>
      <xdr:row>165</xdr:row>
      <xdr:rowOff>0</xdr:rowOff>
    </xdr:to>
    <xdr:sp macro="" textlink="">
      <xdr:nvSpPr>
        <xdr:cNvPr id="1008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46995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163</xdr:row>
      <xdr:rowOff>0</xdr:rowOff>
    </xdr:from>
    <xdr:to>
      <xdr:col>22</xdr:col>
      <xdr:colOff>0</xdr:colOff>
      <xdr:row>165</xdr:row>
      <xdr:rowOff>0</xdr:rowOff>
    </xdr:to>
    <xdr:sp macro="" textlink="">
      <xdr:nvSpPr>
        <xdr:cNvPr id="1009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46805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163</xdr:row>
      <xdr:rowOff>0</xdr:rowOff>
    </xdr:from>
    <xdr:to>
      <xdr:col>8</xdr:col>
      <xdr:colOff>24130</xdr:colOff>
      <xdr:row>165</xdr:row>
      <xdr:rowOff>0</xdr:rowOff>
    </xdr:to>
    <xdr:sp macro="" textlink="">
      <xdr:nvSpPr>
        <xdr:cNvPr id="1010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4680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11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162</xdr:row>
      <xdr:rowOff>190501</xdr:rowOff>
    </xdr:from>
    <xdr:to>
      <xdr:col>12</xdr:col>
      <xdr:colOff>0</xdr:colOff>
      <xdr:row>164</xdr:row>
      <xdr:rowOff>202406</xdr:rowOff>
    </xdr:to>
    <xdr:sp macro="" textlink="">
      <xdr:nvSpPr>
        <xdr:cNvPr id="1012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4671001"/>
          <a:ext cx="716965" cy="41195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13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14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15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16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17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18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19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20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21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22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23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24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163</xdr:row>
      <xdr:rowOff>0</xdr:rowOff>
    </xdr:from>
    <xdr:to>
      <xdr:col>6</xdr:col>
      <xdr:colOff>17462</xdr:colOff>
      <xdr:row>165</xdr:row>
      <xdr:rowOff>0</xdr:rowOff>
    </xdr:to>
    <xdr:sp macro="" textlink="">
      <xdr:nvSpPr>
        <xdr:cNvPr id="1025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46805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163</xdr:row>
      <xdr:rowOff>1361</xdr:rowOff>
    </xdr:from>
    <xdr:to>
      <xdr:col>2</xdr:col>
      <xdr:colOff>13607</xdr:colOff>
      <xdr:row>164</xdr:row>
      <xdr:rowOff>191861</xdr:rowOff>
    </xdr:to>
    <xdr:sp macro="" textlink="">
      <xdr:nvSpPr>
        <xdr:cNvPr id="1026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46818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27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163</xdr:row>
      <xdr:rowOff>0</xdr:rowOff>
    </xdr:from>
    <xdr:to>
      <xdr:col>6</xdr:col>
      <xdr:colOff>24130</xdr:colOff>
      <xdr:row>165</xdr:row>
      <xdr:rowOff>0</xdr:rowOff>
    </xdr:to>
    <xdr:sp macro="" textlink="">
      <xdr:nvSpPr>
        <xdr:cNvPr id="1028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4680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29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163</xdr:row>
      <xdr:rowOff>19050</xdr:rowOff>
    </xdr:from>
    <xdr:to>
      <xdr:col>20</xdr:col>
      <xdr:colOff>17780</xdr:colOff>
      <xdr:row>165</xdr:row>
      <xdr:rowOff>0</xdr:rowOff>
    </xdr:to>
    <xdr:sp macro="" textlink="">
      <xdr:nvSpPr>
        <xdr:cNvPr id="1030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46995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163</xdr:row>
      <xdr:rowOff>0</xdr:rowOff>
    </xdr:from>
    <xdr:to>
      <xdr:col>22</xdr:col>
      <xdr:colOff>0</xdr:colOff>
      <xdr:row>165</xdr:row>
      <xdr:rowOff>0</xdr:rowOff>
    </xdr:to>
    <xdr:sp macro="" textlink="">
      <xdr:nvSpPr>
        <xdr:cNvPr id="1031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46805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163</xdr:row>
      <xdr:rowOff>0</xdr:rowOff>
    </xdr:from>
    <xdr:to>
      <xdr:col>8</xdr:col>
      <xdr:colOff>24130</xdr:colOff>
      <xdr:row>165</xdr:row>
      <xdr:rowOff>0</xdr:rowOff>
    </xdr:to>
    <xdr:sp macro="" textlink="">
      <xdr:nvSpPr>
        <xdr:cNvPr id="1032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4680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33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34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35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36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37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163</xdr:row>
      <xdr:rowOff>19050</xdr:rowOff>
    </xdr:from>
    <xdr:to>
      <xdr:col>10</xdr:col>
      <xdr:colOff>0</xdr:colOff>
      <xdr:row>165</xdr:row>
      <xdr:rowOff>0</xdr:rowOff>
    </xdr:to>
    <xdr:sp macro="" textlink="">
      <xdr:nvSpPr>
        <xdr:cNvPr id="1038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4699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39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40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163</xdr:row>
      <xdr:rowOff>0</xdr:rowOff>
    </xdr:from>
    <xdr:to>
      <xdr:col>4</xdr:col>
      <xdr:colOff>37465</xdr:colOff>
      <xdr:row>164</xdr:row>
      <xdr:rowOff>190500</xdr:rowOff>
    </xdr:to>
    <xdr:sp macro="" textlink="">
      <xdr:nvSpPr>
        <xdr:cNvPr id="1041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468052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163</xdr:row>
      <xdr:rowOff>50800</xdr:rowOff>
    </xdr:from>
    <xdr:to>
      <xdr:col>14</xdr:col>
      <xdr:colOff>12700</xdr:colOff>
      <xdr:row>164</xdr:row>
      <xdr:rowOff>196850</xdr:rowOff>
    </xdr:to>
    <xdr:sp macro="" textlink="">
      <xdr:nvSpPr>
        <xdr:cNvPr id="1042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47313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163</xdr:row>
      <xdr:rowOff>63500</xdr:rowOff>
    </xdr:from>
    <xdr:to>
      <xdr:col>18</xdr:col>
      <xdr:colOff>0</xdr:colOff>
      <xdr:row>164</xdr:row>
      <xdr:rowOff>190500</xdr:rowOff>
    </xdr:to>
    <xdr:sp macro="" textlink="">
      <xdr:nvSpPr>
        <xdr:cNvPr id="1043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474402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163</xdr:row>
      <xdr:rowOff>19050</xdr:rowOff>
    </xdr:from>
    <xdr:to>
      <xdr:col>24</xdr:col>
      <xdr:colOff>17780</xdr:colOff>
      <xdr:row>165</xdr:row>
      <xdr:rowOff>0</xdr:rowOff>
    </xdr:to>
    <xdr:sp macro="" textlink="">
      <xdr:nvSpPr>
        <xdr:cNvPr id="1044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46995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19</xdr:col>
      <xdr:colOff>23812</xdr:colOff>
      <xdr:row>144</xdr:row>
      <xdr:rowOff>0</xdr:rowOff>
    </xdr:from>
    <xdr:to>
      <xdr:col>19</xdr:col>
      <xdr:colOff>647212</xdr:colOff>
      <xdr:row>145</xdr:row>
      <xdr:rowOff>170961</xdr:rowOff>
    </xdr:to>
    <xdr:sp macro="" textlink="">
      <xdr:nvSpPr>
        <xdr:cNvPr id="104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2834937" y="30803850"/>
          <a:ext cx="623400" cy="38051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144</xdr:row>
      <xdr:rowOff>12212</xdr:rowOff>
    </xdr:from>
    <xdr:to>
      <xdr:col>20</xdr:col>
      <xdr:colOff>24423</xdr:colOff>
      <xdr:row>145</xdr:row>
      <xdr:rowOff>146843</xdr:rowOff>
    </xdr:to>
    <xdr:sp macro="" textlink="">
      <xdr:nvSpPr>
        <xdr:cNvPr id="104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2811125" y="30816062"/>
          <a:ext cx="681648" cy="34418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23811</xdr:colOff>
      <xdr:row>151</xdr:row>
      <xdr:rowOff>0</xdr:rowOff>
    </xdr:from>
    <xdr:to>
      <xdr:col>18</xdr:col>
      <xdr:colOff>36634</xdr:colOff>
      <xdr:row>152</xdr:row>
      <xdr:rowOff>178593</xdr:rowOff>
    </xdr:to>
    <xdr:sp macro="" textlink="">
      <xdr:nvSpPr>
        <xdr:cNvPr id="104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1549061" y="3223260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151</xdr:row>
      <xdr:rowOff>24422</xdr:rowOff>
    </xdr:from>
    <xdr:to>
      <xdr:col>17</xdr:col>
      <xdr:colOff>659423</xdr:colOff>
      <xdr:row>152</xdr:row>
      <xdr:rowOff>146843</xdr:rowOff>
    </xdr:to>
    <xdr:sp macro="" textlink="">
      <xdr:nvSpPr>
        <xdr:cNvPr id="104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1525250" y="32257022"/>
          <a:ext cx="659423" cy="33197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23811</xdr:colOff>
      <xdr:row>151</xdr:row>
      <xdr:rowOff>0</xdr:rowOff>
    </xdr:from>
    <xdr:to>
      <xdr:col>24</xdr:col>
      <xdr:colOff>36634</xdr:colOff>
      <xdr:row>152</xdr:row>
      <xdr:rowOff>178593</xdr:rowOff>
    </xdr:to>
    <xdr:sp macro="" textlink="">
      <xdr:nvSpPr>
        <xdr:cNvPr id="104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5425736" y="3223260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151</xdr:row>
      <xdr:rowOff>61057</xdr:rowOff>
    </xdr:from>
    <xdr:to>
      <xdr:col>23</xdr:col>
      <xdr:colOff>659423</xdr:colOff>
      <xdr:row>152</xdr:row>
      <xdr:rowOff>146843</xdr:rowOff>
    </xdr:to>
    <xdr:sp macro="" textlink="">
      <xdr:nvSpPr>
        <xdr:cNvPr id="105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5401925" y="32293657"/>
          <a:ext cx="659423" cy="295336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170</xdr:row>
      <xdr:rowOff>1361</xdr:rowOff>
    </xdr:from>
    <xdr:to>
      <xdr:col>2</xdr:col>
      <xdr:colOff>13607</xdr:colOff>
      <xdr:row>171</xdr:row>
      <xdr:rowOff>191861</xdr:rowOff>
    </xdr:to>
    <xdr:sp macro="" textlink="">
      <xdr:nvSpPr>
        <xdr:cNvPr id="1051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611063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52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53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170</xdr:row>
      <xdr:rowOff>0</xdr:rowOff>
    </xdr:from>
    <xdr:to>
      <xdr:col>16</xdr:col>
      <xdr:colOff>8890</xdr:colOff>
      <xdr:row>172</xdr:row>
      <xdr:rowOff>1905</xdr:rowOff>
    </xdr:to>
    <xdr:sp macro="" textlink="">
      <xdr:nvSpPr>
        <xdr:cNvPr id="1054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6109275"/>
          <a:ext cx="723266" cy="41148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170</xdr:row>
      <xdr:rowOff>19050</xdr:rowOff>
    </xdr:from>
    <xdr:to>
      <xdr:col>20</xdr:col>
      <xdr:colOff>17780</xdr:colOff>
      <xdr:row>172</xdr:row>
      <xdr:rowOff>0</xdr:rowOff>
    </xdr:to>
    <xdr:sp macro="" textlink="">
      <xdr:nvSpPr>
        <xdr:cNvPr id="1055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61283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170</xdr:row>
      <xdr:rowOff>0</xdr:rowOff>
    </xdr:from>
    <xdr:to>
      <xdr:col>22</xdr:col>
      <xdr:colOff>0</xdr:colOff>
      <xdr:row>172</xdr:row>
      <xdr:rowOff>0</xdr:rowOff>
    </xdr:to>
    <xdr:sp macro="" textlink="">
      <xdr:nvSpPr>
        <xdr:cNvPr id="1056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61092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170</xdr:row>
      <xdr:rowOff>0</xdr:rowOff>
    </xdr:from>
    <xdr:to>
      <xdr:col>8</xdr:col>
      <xdr:colOff>24130</xdr:colOff>
      <xdr:row>172</xdr:row>
      <xdr:rowOff>0</xdr:rowOff>
    </xdr:to>
    <xdr:sp macro="" textlink="">
      <xdr:nvSpPr>
        <xdr:cNvPr id="1057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61092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58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169</xdr:row>
      <xdr:rowOff>190501</xdr:rowOff>
    </xdr:from>
    <xdr:to>
      <xdr:col>12</xdr:col>
      <xdr:colOff>0</xdr:colOff>
      <xdr:row>171</xdr:row>
      <xdr:rowOff>202406</xdr:rowOff>
    </xdr:to>
    <xdr:sp macro="" textlink="">
      <xdr:nvSpPr>
        <xdr:cNvPr id="1059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609975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60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61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62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63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64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65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66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67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68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69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70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71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170</xdr:row>
      <xdr:rowOff>0</xdr:rowOff>
    </xdr:from>
    <xdr:to>
      <xdr:col>6</xdr:col>
      <xdr:colOff>17462</xdr:colOff>
      <xdr:row>172</xdr:row>
      <xdr:rowOff>0</xdr:rowOff>
    </xdr:to>
    <xdr:sp macro="" textlink="">
      <xdr:nvSpPr>
        <xdr:cNvPr id="1072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610927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170</xdr:row>
      <xdr:rowOff>1361</xdr:rowOff>
    </xdr:from>
    <xdr:to>
      <xdr:col>2</xdr:col>
      <xdr:colOff>13607</xdr:colOff>
      <xdr:row>171</xdr:row>
      <xdr:rowOff>191861</xdr:rowOff>
    </xdr:to>
    <xdr:sp macro="" textlink="">
      <xdr:nvSpPr>
        <xdr:cNvPr id="1073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611063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74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170</xdr:row>
      <xdr:rowOff>0</xdr:rowOff>
    </xdr:from>
    <xdr:to>
      <xdr:col>6</xdr:col>
      <xdr:colOff>24130</xdr:colOff>
      <xdr:row>172</xdr:row>
      <xdr:rowOff>0</xdr:rowOff>
    </xdr:to>
    <xdr:sp macro="" textlink="">
      <xdr:nvSpPr>
        <xdr:cNvPr id="1075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61092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76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170</xdr:row>
      <xdr:rowOff>19050</xdr:rowOff>
    </xdr:from>
    <xdr:to>
      <xdr:col>20</xdr:col>
      <xdr:colOff>17780</xdr:colOff>
      <xdr:row>172</xdr:row>
      <xdr:rowOff>0</xdr:rowOff>
    </xdr:to>
    <xdr:sp macro="" textlink="">
      <xdr:nvSpPr>
        <xdr:cNvPr id="1077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61283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170</xdr:row>
      <xdr:rowOff>0</xdr:rowOff>
    </xdr:from>
    <xdr:to>
      <xdr:col>22</xdr:col>
      <xdr:colOff>0</xdr:colOff>
      <xdr:row>172</xdr:row>
      <xdr:rowOff>0</xdr:rowOff>
    </xdr:to>
    <xdr:sp macro="" textlink="">
      <xdr:nvSpPr>
        <xdr:cNvPr id="1078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61092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170</xdr:row>
      <xdr:rowOff>0</xdr:rowOff>
    </xdr:from>
    <xdr:to>
      <xdr:col>8</xdr:col>
      <xdr:colOff>24130</xdr:colOff>
      <xdr:row>172</xdr:row>
      <xdr:rowOff>0</xdr:rowOff>
    </xdr:to>
    <xdr:sp macro="" textlink="">
      <xdr:nvSpPr>
        <xdr:cNvPr id="1079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61092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80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81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82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83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84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170</xdr:row>
      <xdr:rowOff>19050</xdr:rowOff>
    </xdr:from>
    <xdr:to>
      <xdr:col>10</xdr:col>
      <xdr:colOff>0</xdr:colOff>
      <xdr:row>172</xdr:row>
      <xdr:rowOff>0</xdr:rowOff>
    </xdr:to>
    <xdr:sp macro="" textlink="">
      <xdr:nvSpPr>
        <xdr:cNvPr id="1085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6128325"/>
          <a:ext cx="7579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86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87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170</xdr:row>
      <xdr:rowOff>0</xdr:rowOff>
    </xdr:from>
    <xdr:to>
      <xdr:col>4</xdr:col>
      <xdr:colOff>37465</xdr:colOff>
      <xdr:row>171</xdr:row>
      <xdr:rowOff>190500</xdr:rowOff>
    </xdr:to>
    <xdr:sp macro="" textlink="">
      <xdr:nvSpPr>
        <xdr:cNvPr id="1088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610927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170</xdr:row>
      <xdr:rowOff>50800</xdr:rowOff>
    </xdr:from>
    <xdr:to>
      <xdr:col>14</xdr:col>
      <xdr:colOff>12700</xdr:colOff>
      <xdr:row>171</xdr:row>
      <xdr:rowOff>196850</xdr:rowOff>
    </xdr:to>
    <xdr:sp macro="" textlink="">
      <xdr:nvSpPr>
        <xdr:cNvPr id="1089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61600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170</xdr:row>
      <xdr:rowOff>63500</xdr:rowOff>
    </xdr:from>
    <xdr:to>
      <xdr:col>18</xdr:col>
      <xdr:colOff>0</xdr:colOff>
      <xdr:row>171</xdr:row>
      <xdr:rowOff>190500</xdr:rowOff>
    </xdr:to>
    <xdr:sp macro="" textlink="">
      <xdr:nvSpPr>
        <xdr:cNvPr id="1090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617277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170</xdr:row>
      <xdr:rowOff>19050</xdr:rowOff>
    </xdr:from>
    <xdr:to>
      <xdr:col>24</xdr:col>
      <xdr:colOff>17780</xdr:colOff>
      <xdr:row>172</xdr:row>
      <xdr:rowOff>0</xdr:rowOff>
    </xdr:to>
    <xdr:sp macro="" textlink="">
      <xdr:nvSpPr>
        <xdr:cNvPr id="1091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61283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177</xdr:row>
      <xdr:rowOff>1361</xdr:rowOff>
    </xdr:from>
    <xdr:to>
      <xdr:col>2</xdr:col>
      <xdr:colOff>13607</xdr:colOff>
      <xdr:row>178</xdr:row>
      <xdr:rowOff>191861</xdr:rowOff>
    </xdr:to>
    <xdr:sp macro="" textlink="">
      <xdr:nvSpPr>
        <xdr:cNvPr id="1092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75393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093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094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177</xdr:row>
      <xdr:rowOff>0</xdr:rowOff>
    </xdr:from>
    <xdr:to>
      <xdr:col>16</xdr:col>
      <xdr:colOff>8890</xdr:colOff>
      <xdr:row>179</xdr:row>
      <xdr:rowOff>1905</xdr:rowOff>
    </xdr:to>
    <xdr:sp macro="" textlink="">
      <xdr:nvSpPr>
        <xdr:cNvPr id="1095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7538025"/>
          <a:ext cx="723266" cy="41148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177</xdr:row>
      <xdr:rowOff>19050</xdr:rowOff>
    </xdr:from>
    <xdr:to>
      <xdr:col>20</xdr:col>
      <xdr:colOff>17780</xdr:colOff>
      <xdr:row>179</xdr:row>
      <xdr:rowOff>0</xdr:rowOff>
    </xdr:to>
    <xdr:sp macro="" textlink="">
      <xdr:nvSpPr>
        <xdr:cNvPr id="1096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75570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177</xdr:row>
      <xdr:rowOff>0</xdr:rowOff>
    </xdr:from>
    <xdr:to>
      <xdr:col>22</xdr:col>
      <xdr:colOff>0</xdr:colOff>
      <xdr:row>179</xdr:row>
      <xdr:rowOff>0</xdr:rowOff>
    </xdr:to>
    <xdr:sp macro="" textlink="">
      <xdr:nvSpPr>
        <xdr:cNvPr id="1097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75380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177</xdr:row>
      <xdr:rowOff>0</xdr:rowOff>
    </xdr:from>
    <xdr:to>
      <xdr:col>8</xdr:col>
      <xdr:colOff>24130</xdr:colOff>
      <xdr:row>179</xdr:row>
      <xdr:rowOff>0</xdr:rowOff>
    </xdr:to>
    <xdr:sp macro="" textlink="">
      <xdr:nvSpPr>
        <xdr:cNvPr id="1098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75380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099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176</xdr:row>
      <xdr:rowOff>190501</xdr:rowOff>
    </xdr:from>
    <xdr:to>
      <xdr:col>12</xdr:col>
      <xdr:colOff>0</xdr:colOff>
      <xdr:row>178</xdr:row>
      <xdr:rowOff>202406</xdr:rowOff>
    </xdr:to>
    <xdr:sp macro="" textlink="">
      <xdr:nvSpPr>
        <xdr:cNvPr id="1100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752850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01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02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03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04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05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06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07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08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09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10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11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12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177</xdr:row>
      <xdr:rowOff>0</xdr:rowOff>
    </xdr:from>
    <xdr:to>
      <xdr:col>6</xdr:col>
      <xdr:colOff>17462</xdr:colOff>
      <xdr:row>179</xdr:row>
      <xdr:rowOff>0</xdr:rowOff>
    </xdr:to>
    <xdr:sp macro="" textlink="">
      <xdr:nvSpPr>
        <xdr:cNvPr id="1113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75380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177</xdr:row>
      <xdr:rowOff>1361</xdr:rowOff>
    </xdr:from>
    <xdr:to>
      <xdr:col>2</xdr:col>
      <xdr:colOff>13607</xdr:colOff>
      <xdr:row>178</xdr:row>
      <xdr:rowOff>191861</xdr:rowOff>
    </xdr:to>
    <xdr:sp macro="" textlink="">
      <xdr:nvSpPr>
        <xdr:cNvPr id="1114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75393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15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177</xdr:row>
      <xdr:rowOff>0</xdr:rowOff>
    </xdr:from>
    <xdr:to>
      <xdr:col>6</xdr:col>
      <xdr:colOff>24130</xdr:colOff>
      <xdr:row>179</xdr:row>
      <xdr:rowOff>0</xdr:rowOff>
    </xdr:to>
    <xdr:sp macro="" textlink="">
      <xdr:nvSpPr>
        <xdr:cNvPr id="1116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75380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17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177</xdr:row>
      <xdr:rowOff>19050</xdr:rowOff>
    </xdr:from>
    <xdr:to>
      <xdr:col>20</xdr:col>
      <xdr:colOff>17780</xdr:colOff>
      <xdr:row>179</xdr:row>
      <xdr:rowOff>0</xdr:rowOff>
    </xdr:to>
    <xdr:sp macro="" textlink="">
      <xdr:nvSpPr>
        <xdr:cNvPr id="1118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755707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177</xdr:row>
      <xdr:rowOff>0</xdr:rowOff>
    </xdr:from>
    <xdr:to>
      <xdr:col>22</xdr:col>
      <xdr:colOff>0</xdr:colOff>
      <xdr:row>179</xdr:row>
      <xdr:rowOff>0</xdr:rowOff>
    </xdr:to>
    <xdr:sp macro="" textlink="">
      <xdr:nvSpPr>
        <xdr:cNvPr id="1119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753802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177</xdr:row>
      <xdr:rowOff>0</xdr:rowOff>
    </xdr:from>
    <xdr:to>
      <xdr:col>8</xdr:col>
      <xdr:colOff>24130</xdr:colOff>
      <xdr:row>179</xdr:row>
      <xdr:rowOff>0</xdr:rowOff>
    </xdr:to>
    <xdr:sp macro="" textlink="">
      <xdr:nvSpPr>
        <xdr:cNvPr id="1120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7538025"/>
          <a:ext cx="717550" cy="40957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21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22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23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24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25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177</xdr:row>
      <xdr:rowOff>19050</xdr:rowOff>
    </xdr:from>
    <xdr:to>
      <xdr:col>10</xdr:col>
      <xdr:colOff>0</xdr:colOff>
      <xdr:row>179</xdr:row>
      <xdr:rowOff>0</xdr:rowOff>
    </xdr:to>
    <xdr:sp macro="" textlink="">
      <xdr:nvSpPr>
        <xdr:cNvPr id="1126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7557075"/>
          <a:ext cx="757918" cy="390525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27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28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177</xdr:row>
      <xdr:rowOff>0</xdr:rowOff>
    </xdr:from>
    <xdr:to>
      <xdr:col>4</xdr:col>
      <xdr:colOff>37465</xdr:colOff>
      <xdr:row>178</xdr:row>
      <xdr:rowOff>190500</xdr:rowOff>
    </xdr:to>
    <xdr:sp macro="" textlink="">
      <xdr:nvSpPr>
        <xdr:cNvPr id="1129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753802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177</xdr:row>
      <xdr:rowOff>50800</xdr:rowOff>
    </xdr:from>
    <xdr:to>
      <xdr:col>14</xdr:col>
      <xdr:colOff>12700</xdr:colOff>
      <xdr:row>178</xdr:row>
      <xdr:rowOff>196850</xdr:rowOff>
    </xdr:to>
    <xdr:sp macro="" textlink="">
      <xdr:nvSpPr>
        <xdr:cNvPr id="1130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758882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177</xdr:row>
      <xdr:rowOff>63500</xdr:rowOff>
    </xdr:from>
    <xdr:to>
      <xdr:col>18</xdr:col>
      <xdr:colOff>0</xdr:colOff>
      <xdr:row>178</xdr:row>
      <xdr:rowOff>190500</xdr:rowOff>
    </xdr:to>
    <xdr:sp macro="" textlink="">
      <xdr:nvSpPr>
        <xdr:cNvPr id="1131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760152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177</xdr:row>
      <xdr:rowOff>19050</xdr:rowOff>
    </xdr:from>
    <xdr:to>
      <xdr:col>24</xdr:col>
      <xdr:colOff>17780</xdr:colOff>
      <xdr:row>179</xdr:row>
      <xdr:rowOff>0</xdr:rowOff>
    </xdr:to>
    <xdr:sp macro="" textlink="">
      <xdr:nvSpPr>
        <xdr:cNvPr id="1132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755707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23811</xdr:colOff>
      <xdr:row>158</xdr:row>
      <xdr:rowOff>0</xdr:rowOff>
    </xdr:from>
    <xdr:to>
      <xdr:col>6</xdr:col>
      <xdr:colOff>24422</xdr:colOff>
      <xdr:row>159</xdr:row>
      <xdr:rowOff>178593</xdr:rowOff>
    </xdr:to>
    <xdr:sp macro="" textlink="">
      <xdr:nvSpPr>
        <xdr:cNvPr id="113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3519486" y="33661350"/>
          <a:ext cx="695936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158</xdr:row>
      <xdr:rowOff>11906</xdr:rowOff>
    </xdr:from>
    <xdr:to>
      <xdr:col>6</xdr:col>
      <xdr:colOff>36329</xdr:colOff>
      <xdr:row>159</xdr:row>
      <xdr:rowOff>146844</xdr:rowOff>
    </xdr:to>
    <xdr:sp macro="" textlink="">
      <xdr:nvSpPr>
        <xdr:cNvPr id="113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3495675" y="33673256"/>
          <a:ext cx="731654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23811</xdr:colOff>
      <xdr:row>158</xdr:row>
      <xdr:rowOff>0</xdr:rowOff>
    </xdr:from>
    <xdr:to>
      <xdr:col>16</xdr:col>
      <xdr:colOff>36634</xdr:colOff>
      <xdr:row>159</xdr:row>
      <xdr:rowOff>178593</xdr:rowOff>
    </xdr:to>
    <xdr:sp macro="" textlink="">
      <xdr:nvSpPr>
        <xdr:cNvPr id="113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3366135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158</xdr:row>
      <xdr:rowOff>11906</xdr:rowOff>
    </xdr:from>
    <xdr:to>
      <xdr:col>16</xdr:col>
      <xdr:colOff>48541</xdr:colOff>
      <xdr:row>159</xdr:row>
      <xdr:rowOff>146844</xdr:rowOff>
    </xdr:to>
    <xdr:sp macro="" textlink="">
      <xdr:nvSpPr>
        <xdr:cNvPr id="113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33673256"/>
          <a:ext cx="734341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23811</xdr:colOff>
      <xdr:row>165</xdr:row>
      <xdr:rowOff>0</xdr:rowOff>
    </xdr:from>
    <xdr:to>
      <xdr:col>10</xdr:col>
      <xdr:colOff>28575</xdr:colOff>
      <xdr:row>166</xdr:row>
      <xdr:rowOff>190500</xdr:rowOff>
    </xdr:to>
    <xdr:sp macro="" textlink="">
      <xdr:nvSpPr>
        <xdr:cNvPr id="113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196011" y="35090100"/>
          <a:ext cx="776289" cy="4000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165</xdr:row>
      <xdr:rowOff>11906</xdr:rowOff>
    </xdr:from>
    <xdr:to>
      <xdr:col>9</xdr:col>
      <xdr:colOff>732387</xdr:colOff>
      <xdr:row>166</xdr:row>
      <xdr:rowOff>146844</xdr:rowOff>
    </xdr:to>
    <xdr:sp macro="" textlink="">
      <xdr:nvSpPr>
        <xdr:cNvPr id="113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6172200" y="35102006"/>
          <a:ext cx="732387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23811</xdr:colOff>
      <xdr:row>165</xdr:row>
      <xdr:rowOff>0</xdr:rowOff>
    </xdr:from>
    <xdr:to>
      <xdr:col>24</xdr:col>
      <xdr:colOff>36634</xdr:colOff>
      <xdr:row>166</xdr:row>
      <xdr:rowOff>178593</xdr:rowOff>
    </xdr:to>
    <xdr:sp macro="" textlink="">
      <xdr:nvSpPr>
        <xdr:cNvPr id="113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5425736" y="35090100"/>
          <a:ext cx="698623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165</xdr:row>
      <xdr:rowOff>11906</xdr:rowOff>
    </xdr:from>
    <xdr:to>
      <xdr:col>24</xdr:col>
      <xdr:colOff>48541</xdr:colOff>
      <xdr:row>166</xdr:row>
      <xdr:rowOff>146844</xdr:rowOff>
    </xdr:to>
    <xdr:sp macro="" textlink="">
      <xdr:nvSpPr>
        <xdr:cNvPr id="114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5401925" y="35102006"/>
          <a:ext cx="734341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23811</xdr:colOff>
      <xdr:row>171</xdr:row>
      <xdr:rowOff>207595</xdr:rowOff>
    </xdr:from>
    <xdr:to>
      <xdr:col>16</xdr:col>
      <xdr:colOff>0</xdr:colOff>
      <xdr:row>173</xdr:row>
      <xdr:rowOff>195384</xdr:rowOff>
    </xdr:to>
    <xdr:sp macro="" textlink="">
      <xdr:nvSpPr>
        <xdr:cNvPr id="114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36516895"/>
          <a:ext cx="661989" cy="4068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</xdr:colOff>
      <xdr:row>172</xdr:row>
      <xdr:rowOff>36633</xdr:rowOff>
    </xdr:from>
    <xdr:to>
      <xdr:col>15</xdr:col>
      <xdr:colOff>635001</xdr:colOff>
      <xdr:row>173</xdr:row>
      <xdr:rowOff>146844</xdr:rowOff>
    </xdr:to>
    <xdr:sp macro="" textlink="">
      <xdr:nvSpPr>
        <xdr:cNvPr id="114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6" y="36555483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23810</xdr:colOff>
      <xdr:row>179</xdr:row>
      <xdr:rowOff>0</xdr:rowOff>
    </xdr:from>
    <xdr:to>
      <xdr:col>11</xdr:col>
      <xdr:colOff>683845</xdr:colOff>
      <xdr:row>180</xdr:row>
      <xdr:rowOff>195385</xdr:rowOff>
    </xdr:to>
    <xdr:sp macro="" textlink="">
      <xdr:nvSpPr>
        <xdr:cNvPr id="1143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67610" y="37947600"/>
          <a:ext cx="660035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179</xdr:row>
      <xdr:rowOff>61056</xdr:rowOff>
    </xdr:from>
    <xdr:to>
      <xdr:col>11</xdr:col>
      <xdr:colOff>696058</xdr:colOff>
      <xdr:row>180</xdr:row>
      <xdr:rowOff>146844</xdr:rowOff>
    </xdr:to>
    <xdr:sp macro="" textlink="">
      <xdr:nvSpPr>
        <xdr:cNvPr id="1144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3800" y="38008656"/>
          <a:ext cx="696058" cy="29533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23810</xdr:colOff>
      <xdr:row>179</xdr:row>
      <xdr:rowOff>0</xdr:rowOff>
    </xdr:from>
    <xdr:to>
      <xdr:col>15</xdr:col>
      <xdr:colOff>683845</xdr:colOff>
      <xdr:row>180</xdr:row>
      <xdr:rowOff>195385</xdr:rowOff>
    </xdr:to>
    <xdr:sp macro="" textlink="">
      <xdr:nvSpPr>
        <xdr:cNvPr id="1145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5" y="37947600"/>
          <a:ext cx="660035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179</xdr:row>
      <xdr:rowOff>36634</xdr:rowOff>
    </xdr:from>
    <xdr:to>
      <xdr:col>15</xdr:col>
      <xdr:colOff>635000</xdr:colOff>
      <xdr:row>180</xdr:row>
      <xdr:rowOff>146845</xdr:rowOff>
    </xdr:to>
    <xdr:sp macro="" textlink="">
      <xdr:nvSpPr>
        <xdr:cNvPr id="1146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5" y="37984234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23810</xdr:colOff>
      <xdr:row>179</xdr:row>
      <xdr:rowOff>0</xdr:rowOff>
    </xdr:from>
    <xdr:to>
      <xdr:col>20</xdr:col>
      <xdr:colOff>24422</xdr:colOff>
      <xdr:row>180</xdr:row>
      <xdr:rowOff>195385</xdr:rowOff>
    </xdr:to>
    <xdr:sp macro="" textlink="">
      <xdr:nvSpPr>
        <xdr:cNvPr id="1147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2834935" y="37947600"/>
          <a:ext cx="657837" cy="4049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179</xdr:row>
      <xdr:rowOff>36634</xdr:rowOff>
    </xdr:from>
    <xdr:to>
      <xdr:col>19</xdr:col>
      <xdr:colOff>635000</xdr:colOff>
      <xdr:row>180</xdr:row>
      <xdr:rowOff>146845</xdr:rowOff>
    </xdr:to>
    <xdr:sp macro="" textlink="">
      <xdr:nvSpPr>
        <xdr:cNvPr id="114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2811125" y="37984234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23810</xdr:colOff>
      <xdr:row>158</xdr:row>
      <xdr:rowOff>1</xdr:rowOff>
    </xdr:from>
    <xdr:to>
      <xdr:col>2</xdr:col>
      <xdr:colOff>24423</xdr:colOff>
      <xdr:row>159</xdr:row>
      <xdr:rowOff>183174</xdr:rowOff>
    </xdr:to>
    <xdr:sp macro="" textlink="">
      <xdr:nvSpPr>
        <xdr:cNvPr id="114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623885" y="33661351"/>
          <a:ext cx="943588" cy="39272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598364</xdr:colOff>
      <xdr:row>158</xdr:row>
      <xdr:rowOff>24423</xdr:rowOff>
    </xdr:from>
    <xdr:to>
      <xdr:col>1</xdr:col>
      <xdr:colOff>891442</xdr:colOff>
      <xdr:row>159</xdr:row>
      <xdr:rowOff>146844</xdr:rowOff>
    </xdr:to>
    <xdr:sp macro="" textlink="">
      <xdr:nvSpPr>
        <xdr:cNvPr id="1150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598364" y="33685773"/>
          <a:ext cx="893153" cy="33197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23810</xdr:colOff>
      <xdr:row>158</xdr:row>
      <xdr:rowOff>0</xdr:rowOff>
    </xdr:from>
    <xdr:to>
      <xdr:col>4</xdr:col>
      <xdr:colOff>12211</xdr:colOff>
      <xdr:row>159</xdr:row>
      <xdr:rowOff>195384</xdr:rowOff>
    </xdr:to>
    <xdr:sp macro="" textlink="">
      <xdr:nvSpPr>
        <xdr:cNvPr id="115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76460" y="33661350"/>
          <a:ext cx="655151" cy="40493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561731</xdr:colOff>
      <xdr:row>158</xdr:row>
      <xdr:rowOff>36633</xdr:rowOff>
    </xdr:from>
    <xdr:to>
      <xdr:col>3</xdr:col>
      <xdr:colOff>635000</xdr:colOff>
      <xdr:row>159</xdr:row>
      <xdr:rowOff>183172</xdr:rowOff>
    </xdr:to>
    <xdr:sp macro="" textlink="">
      <xdr:nvSpPr>
        <xdr:cNvPr id="115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04781" y="33697983"/>
          <a:ext cx="682869" cy="3560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184</xdr:row>
      <xdr:rowOff>1361</xdr:rowOff>
    </xdr:from>
    <xdr:to>
      <xdr:col>2</xdr:col>
      <xdr:colOff>13607</xdr:colOff>
      <xdr:row>185</xdr:row>
      <xdr:rowOff>191861</xdr:rowOff>
    </xdr:to>
    <xdr:sp macro="" textlink="">
      <xdr:nvSpPr>
        <xdr:cNvPr id="1153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3896813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54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55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184</xdr:row>
      <xdr:rowOff>0</xdr:rowOff>
    </xdr:from>
    <xdr:to>
      <xdr:col>16</xdr:col>
      <xdr:colOff>8890</xdr:colOff>
      <xdr:row>186</xdr:row>
      <xdr:rowOff>1905</xdr:rowOff>
    </xdr:to>
    <xdr:sp macro="" textlink="">
      <xdr:nvSpPr>
        <xdr:cNvPr id="1156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38966775"/>
          <a:ext cx="723266" cy="41148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18</xdr:col>
      <xdr:colOff>694690</xdr:colOff>
      <xdr:row>184</xdr:row>
      <xdr:rowOff>19050</xdr:rowOff>
    </xdr:from>
    <xdr:to>
      <xdr:col>20</xdr:col>
      <xdr:colOff>17780</xdr:colOff>
      <xdr:row>186</xdr:row>
      <xdr:rowOff>0</xdr:rowOff>
    </xdr:to>
    <xdr:sp macro="" textlink="">
      <xdr:nvSpPr>
        <xdr:cNvPr id="1157" name="AutoShape 24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SpPr>
          <a:spLocks noChangeArrowheads="1"/>
        </xdr:cNvSpPr>
      </xdr:nvSpPr>
      <xdr:spPr>
        <a:xfrm>
          <a:off x="12810490" y="38985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184</xdr:row>
      <xdr:rowOff>0</xdr:rowOff>
    </xdr:from>
    <xdr:to>
      <xdr:col>22</xdr:col>
      <xdr:colOff>0</xdr:colOff>
      <xdr:row>186</xdr:row>
      <xdr:rowOff>0</xdr:rowOff>
    </xdr:to>
    <xdr:sp macro="" textlink="">
      <xdr:nvSpPr>
        <xdr:cNvPr id="1158" name="AutoShape 25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SpPr>
          <a:spLocks noChangeArrowheads="1"/>
        </xdr:cNvSpPr>
      </xdr:nvSpPr>
      <xdr:spPr>
        <a:xfrm>
          <a:off x="14068971" y="38966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184</xdr:row>
      <xdr:rowOff>0</xdr:rowOff>
    </xdr:from>
    <xdr:to>
      <xdr:col>8</xdr:col>
      <xdr:colOff>24130</xdr:colOff>
      <xdr:row>186</xdr:row>
      <xdr:rowOff>0</xdr:rowOff>
    </xdr:to>
    <xdr:sp macro="" textlink="">
      <xdr:nvSpPr>
        <xdr:cNvPr id="1159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38966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60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183</xdr:row>
      <xdr:rowOff>190501</xdr:rowOff>
    </xdr:from>
    <xdr:to>
      <xdr:col>12</xdr:col>
      <xdr:colOff>0</xdr:colOff>
      <xdr:row>185</xdr:row>
      <xdr:rowOff>202406</xdr:rowOff>
    </xdr:to>
    <xdr:sp macro="" textlink="">
      <xdr:nvSpPr>
        <xdr:cNvPr id="1161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38957251"/>
          <a:ext cx="716965" cy="41195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62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63" name="AutoShape 24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64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65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66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67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68" name="AutoShape 24">
          <a:extLst>
            <a:ext uri="{FF2B5EF4-FFF2-40B4-BE49-F238E27FC236}">
              <a16:creationId xmlns:a16="http://schemas.microsoft.com/office/drawing/2014/main" id="{00000000-0008-0000-0E00-0000E502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69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70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71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72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73" name="AutoShape 24">
          <a:extLst>
            <a:ext uri="{FF2B5EF4-FFF2-40B4-BE49-F238E27FC236}">
              <a16:creationId xmlns:a16="http://schemas.microsoft.com/office/drawing/2014/main" id="{00000000-0008-0000-0E00-00002506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184</xdr:row>
      <xdr:rowOff>0</xdr:rowOff>
    </xdr:from>
    <xdr:to>
      <xdr:col>6</xdr:col>
      <xdr:colOff>17462</xdr:colOff>
      <xdr:row>186</xdr:row>
      <xdr:rowOff>0</xdr:rowOff>
    </xdr:to>
    <xdr:sp macro="" textlink="">
      <xdr:nvSpPr>
        <xdr:cNvPr id="1174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3896677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184</xdr:row>
      <xdr:rowOff>1361</xdr:rowOff>
    </xdr:from>
    <xdr:to>
      <xdr:col>2</xdr:col>
      <xdr:colOff>13607</xdr:colOff>
      <xdr:row>185</xdr:row>
      <xdr:rowOff>191861</xdr:rowOff>
    </xdr:to>
    <xdr:sp macro="" textlink="">
      <xdr:nvSpPr>
        <xdr:cNvPr id="1175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3896813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76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184</xdr:row>
      <xdr:rowOff>0</xdr:rowOff>
    </xdr:from>
    <xdr:to>
      <xdr:col>6</xdr:col>
      <xdr:colOff>24130</xdr:colOff>
      <xdr:row>186</xdr:row>
      <xdr:rowOff>0</xdr:rowOff>
    </xdr:to>
    <xdr:sp macro="" textlink="">
      <xdr:nvSpPr>
        <xdr:cNvPr id="1177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38966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78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18</xdr:col>
      <xdr:colOff>694690</xdr:colOff>
      <xdr:row>184</xdr:row>
      <xdr:rowOff>19050</xdr:rowOff>
    </xdr:from>
    <xdr:to>
      <xdr:col>20</xdr:col>
      <xdr:colOff>17780</xdr:colOff>
      <xdr:row>186</xdr:row>
      <xdr:rowOff>0</xdr:rowOff>
    </xdr:to>
    <xdr:sp macro="" textlink="">
      <xdr:nvSpPr>
        <xdr:cNvPr id="1179" name="AutoShape 24">
          <a:extLst>
            <a:ext uri="{FF2B5EF4-FFF2-40B4-BE49-F238E27FC236}">
              <a16:creationId xmlns:a16="http://schemas.microsoft.com/office/drawing/2014/main" id="{00000000-0008-0000-0E00-0000E7050000}"/>
            </a:ext>
          </a:extLst>
        </xdr:cNvPr>
        <xdr:cNvSpPr>
          <a:spLocks noChangeArrowheads="1"/>
        </xdr:cNvSpPr>
      </xdr:nvSpPr>
      <xdr:spPr>
        <a:xfrm>
          <a:off x="12810490" y="38985825"/>
          <a:ext cx="675640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546</xdr:colOff>
      <xdr:row>184</xdr:row>
      <xdr:rowOff>0</xdr:rowOff>
    </xdr:from>
    <xdr:to>
      <xdr:col>22</xdr:col>
      <xdr:colOff>0</xdr:colOff>
      <xdr:row>186</xdr:row>
      <xdr:rowOff>0</xdr:rowOff>
    </xdr:to>
    <xdr:sp macro="" textlink="">
      <xdr:nvSpPr>
        <xdr:cNvPr id="1180" name="AutoShape 25">
          <a:extLst>
            <a:ext uri="{FF2B5EF4-FFF2-40B4-BE49-F238E27FC236}">
              <a16:creationId xmlns:a16="http://schemas.microsoft.com/office/drawing/2014/main" id="{00000000-0008-0000-0E00-0000E8050000}"/>
            </a:ext>
          </a:extLst>
        </xdr:cNvPr>
        <xdr:cNvSpPr>
          <a:spLocks noChangeArrowheads="1"/>
        </xdr:cNvSpPr>
      </xdr:nvSpPr>
      <xdr:spPr>
        <a:xfrm>
          <a:off x="14068971" y="38966775"/>
          <a:ext cx="656679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184</xdr:row>
      <xdr:rowOff>0</xdr:rowOff>
    </xdr:from>
    <xdr:to>
      <xdr:col>8</xdr:col>
      <xdr:colOff>24130</xdr:colOff>
      <xdr:row>186</xdr:row>
      <xdr:rowOff>0</xdr:rowOff>
    </xdr:to>
    <xdr:sp macro="" textlink="">
      <xdr:nvSpPr>
        <xdr:cNvPr id="1181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3896677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82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83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84" name="AutoShape 24">
          <a:extLst>
            <a:ext uri="{FF2B5EF4-FFF2-40B4-BE49-F238E27FC236}">
              <a16:creationId xmlns:a16="http://schemas.microsoft.com/office/drawing/2014/main" id="{00000000-0008-0000-0E00-0000F205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85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86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184</xdr:row>
      <xdr:rowOff>19050</xdr:rowOff>
    </xdr:from>
    <xdr:to>
      <xdr:col>10</xdr:col>
      <xdr:colOff>0</xdr:colOff>
      <xdr:row>186</xdr:row>
      <xdr:rowOff>0</xdr:rowOff>
    </xdr:to>
    <xdr:sp macro="" textlink="">
      <xdr:nvSpPr>
        <xdr:cNvPr id="1187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38985825"/>
          <a:ext cx="757918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88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89" name="AutoShape 24">
          <a:extLst>
            <a:ext uri="{FF2B5EF4-FFF2-40B4-BE49-F238E27FC236}">
              <a16:creationId xmlns:a16="http://schemas.microsoft.com/office/drawing/2014/main" id="{00000000-0008-0000-0E00-0000EF08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184</xdr:row>
      <xdr:rowOff>0</xdr:rowOff>
    </xdr:from>
    <xdr:to>
      <xdr:col>4</xdr:col>
      <xdr:colOff>37465</xdr:colOff>
      <xdr:row>185</xdr:row>
      <xdr:rowOff>190500</xdr:rowOff>
    </xdr:to>
    <xdr:sp macro="" textlink="">
      <xdr:nvSpPr>
        <xdr:cNvPr id="1190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38966775"/>
          <a:ext cx="70294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184</xdr:row>
      <xdr:rowOff>50800</xdr:rowOff>
    </xdr:from>
    <xdr:to>
      <xdr:col>14</xdr:col>
      <xdr:colOff>12700</xdr:colOff>
      <xdr:row>185</xdr:row>
      <xdr:rowOff>196850</xdr:rowOff>
    </xdr:to>
    <xdr:sp macro="" textlink="">
      <xdr:nvSpPr>
        <xdr:cNvPr id="1191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39017575"/>
          <a:ext cx="774700" cy="3460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184</xdr:row>
      <xdr:rowOff>63500</xdr:rowOff>
    </xdr:from>
    <xdr:to>
      <xdr:col>18</xdr:col>
      <xdr:colOff>0</xdr:colOff>
      <xdr:row>185</xdr:row>
      <xdr:rowOff>190500</xdr:rowOff>
    </xdr:to>
    <xdr:sp macro="" textlink="">
      <xdr:nvSpPr>
        <xdr:cNvPr id="1192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25250" y="39030275"/>
          <a:ext cx="685800" cy="327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22</xdr:col>
      <xdr:colOff>935355</xdr:colOff>
      <xdr:row>184</xdr:row>
      <xdr:rowOff>19050</xdr:rowOff>
    </xdr:from>
    <xdr:to>
      <xdr:col>24</xdr:col>
      <xdr:colOff>17780</xdr:colOff>
      <xdr:row>186</xdr:row>
      <xdr:rowOff>0</xdr:rowOff>
    </xdr:to>
    <xdr:sp macro="" textlink="">
      <xdr:nvSpPr>
        <xdr:cNvPr id="1193" name="AutoShape 24">
          <a:extLst>
            <a:ext uri="{FF2B5EF4-FFF2-40B4-BE49-F238E27FC236}">
              <a16:creationId xmlns:a16="http://schemas.microsoft.com/office/drawing/2014/main" id="{00000000-0008-0000-0E00-00003F0A0000}"/>
            </a:ext>
          </a:extLst>
        </xdr:cNvPr>
        <xdr:cNvSpPr>
          <a:spLocks noChangeArrowheads="1"/>
        </xdr:cNvSpPr>
      </xdr:nvSpPr>
      <xdr:spPr>
        <a:xfrm>
          <a:off x="15403830" y="38985825"/>
          <a:ext cx="70167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23811</xdr:colOff>
      <xdr:row>185</xdr:row>
      <xdr:rowOff>207595</xdr:rowOff>
    </xdr:from>
    <xdr:to>
      <xdr:col>16</xdr:col>
      <xdr:colOff>0</xdr:colOff>
      <xdr:row>187</xdr:row>
      <xdr:rowOff>195384</xdr:rowOff>
    </xdr:to>
    <xdr:sp macro="" textlink="">
      <xdr:nvSpPr>
        <xdr:cNvPr id="119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39374395"/>
          <a:ext cx="661989" cy="4068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</xdr:colOff>
      <xdr:row>186</xdr:row>
      <xdr:rowOff>36633</xdr:rowOff>
    </xdr:from>
    <xdr:to>
      <xdr:col>15</xdr:col>
      <xdr:colOff>635001</xdr:colOff>
      <xdr:row>187</xdr:row>
      <xdr:rowOff>146844</xdr:rowOff>
    </xdr:to>
    <xdr:sp macro="" textlink="">
      <xdr:nvSpPr>
        <xdr:cNvPr id="1195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39376" y="39412983"/>
          <a:ext cx="635000" cy="319761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32657</xdr:colOff>
      <xdr:row>191</xdr:row>
      <xdr:rowOff>1361</xdr:rowOff>
    </xdr:from>
    <xdr:to>
      <xdr:col>2</xdr:col>
      <xdr:colOff>13607</xdr:colOff>
      <xdr:row>192</xdr:row>
      <xdr:rowOff>191861</xdr:rowOff>
    </xdr:to>
    <xdr:sp macro="" textlink="">
      <xdr:nvSpPr>
        <xdr:cNvPr id="1196" name="AutoShape 15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SpPr>
          <a:spLocks noChangeArrowheads="1"/>
        </xdr:cNvSpPr>
      </xdr:nvSpPr>
      <xdr:spPr>
        <a:xfrm>
          <a:off x="632732" y="40396886"/>
          <a:ext cx="92392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197" name="AutoShape 16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198" name="AutoShape 21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14</xdr:col>
      <xdr:colOff>571499</xdr:colOff>
      <xdr:row>191</xdr:row>
      <xdr:rowOff>0</xdr:rowOff>
    </xdr:from>
    <xdr:to>
      <xdr:col>16</xdr:col>
      <xdr:colOff>8890</xdr:colOff>
      <xdr:row>193</xdr:row>
      <xdr:rowOff>1905</xdr:rowOff>
    </xdr:to>
    <xdr:sp macro="" textlink="">
      <xdr:nvSpPr>
        <xdr:cNvPr id="1199" name="AutoShape 22">
          <a:extLst>
            <a:ext uri="{FF2B5EF4-FFF2-40B4-BE49-F238E27FC236}">
              <a16:creationId xmlns:a16="http://schemas.microsoft.com/office/drawing/2014/main" id="{00000000-0008-0000-0E00-00000E020000}"/>
            </a:ext>
          </a:extLst>
        </xdr:cNvPr>
        <xdr:cNvSpPr>
          <a:spLocks noChangeArrowheads="1"/>
        </xdr:cNvSpPr>
      </xdr:nvSpPr>
      <xdr:spPr>
        <a:xfrm>
          <a:off x="10210799" y="40395525"/>
          <a:ext cx="723266" cy="411480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725805</xdr:colOff>
      <xdr:row>191</xdr:row>
      <xdr:rowOff>0</xdr:rowOff>
    </xdr:from>
    <xdr:to>
      <xdr:col>8</xdr:col>
      <xdr:colOff>24130</xdr:colOff>
      <xdr:row>193</xdr:row>
      <xdr:rowOff>0</xdr:rowOff>
    </xdr:to>
    <xdr:sp macro="" textlink="">
      <xdr:nvSpPr>
        <xdr:cNvPr id="1200" name="AutoShape 27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SpPr>
          <a:spLocks noChangeArrowheads="1"/>
        </xdr:cNvSpPr>
      </xdr:nvSpPr>
      <xdr:spPr>
        <a:xfrm>
          <a:off x="4821555" y="40395525"/>
          <a:ext cx="717550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01" name="AutoShape 28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6935</xdr:colOff>
      <xdr:row>190</xdr:row>
      <xdr:rowOff>190501</xdr:rowOff>
    </xdr:from>
    <xdr:to>
      <xdr:col>12</xdr:col>
      <xdr:colOff>0</xdr:colOff>
      <xdr:row>192</xdr:row>
      <xdr:rowOff>202406</xdr:rowOff>
    </xdr:to>
    <xdr:sp macro="" textlink="">
      <xdr:nvSpPr>
        <xdr:cNvPr id="1202" name="AutoShape 29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SpPr>
          <a:spLocks noChangeArrowheads="1"/>
        </xdr:cNvSpPr>
      </xdr:nvSpPr>
      <xdr:spPr>
        <a:xfrm>
          <a:off x="7550735" y="40386001"/>
          <a:ext cx="716965" cy="41195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03" name="AutoShape 16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04" name="AutoShape 21">
          <a:extLst>
            <a:ext uri="{FF2B5EF4-FFF2-40B4-BE49-F238E27FC236}">
              <a16:creationId xmlns:a16="http://schemas.microsoft.com/office/drawing/2014/main" id="{00000000-0008-0000-0E00-0000DD02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05" name="AutoShape 28">
          <a:extLst>
            <a:ext uri="{FF2B5EF4-FFF2-40B4-BE49-F238E27FC236}">
              <a16:creationId xmlns:a16="http://schemas.microsoft.com/office/drawing/2014/main" id="{00000000-0008-0000-0E00-0000E202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06" name="AutoShape 16">
          <a:extLst>
            <a:ext uri="{FF2B5EF4-FFF2-40B4-BE49-F238E27FC236}">
              <a16:creationId xmlns:a16="http://schemas.microsoft.com/office/drawing/2014/main" id="{00000000-0008-0000-0E00-0000F805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07" name="AutoShape 21">
          <a:extLst>
            <a:ext uri="{FF2B5EF4-FFF2-40B4-BE49-F238E27FC236}">
              <a16:creationId xmlns:a16="http://schemas.microsoft.com/office/drawing/2014/main" id="{00000000-0008-0000-0E00-00001D06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08" name="AutoShape 28">
          <a:extLst>
            <a:ext uri="{FF2B5EF4-FFF2-40B4-BE49-F238E27FC236}">
              <a16:creationId xmlns:a16="http://schemas.microsoft.com/office/drawing/2014/main" id="{00000000-0008-0000-0E00-00002206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191</xdr:row>
      <xdr:rowOff>0</xdr:rowOff>
    </xdr:from>
    <xdr:to>
      <xdr:col>6</xdr:col>
      <xdr:colOff>17462</xdr:colOff>
      <xdr:row>193</xdr:row>
      <xdr:rowOff>0</xdr:rowOff>
    </xdr:to>
    <xdr:sp macro="" textlink="">
      <xdr:nvSpPr>
        <xdr:cNvPr id="1209" name="AutoShape 27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>
          <a:spLocks noChangeArrowheads="1"/>
        </xdr:cNvSpPr>
      </xdr:nvSpPr>
      <xdr:spPr>
        <a:xfrm>
          <a:off x="3495675" y="40395525"/>
          <a:ext cx="712787" cy="40957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32657</xdr:colOff>
      <xdr:row>191</xdr:row>
      <xdr:rowOff>1361</xdr:rowOff>
    </xdr:from>
    <xdr:to>
      <xdr:col>2</xdr:col>
      <xdr:colOff>13607</xdr:colOff>
      <xdr:row>192</xdr:row>
      <xdr:rowOff>191861</xdr:rowOff>
    </xdr:to>
    <xdr:sp macro="" textlink="">
      <xdr:nvSpPr>
        <xdr:cNvPr id="1210" name="AutoShape 15">
          <a:extLst>
            <a:ext uri="{FF2B5EF4-FFF2-40B4-BE49-F238E27FC236}">
              <a16:creationId xmlns:a16="http://schemas.microsoft.com/office/drawing/2014/main" id="{00000000-0008-0000-0E00-000095050000}"/>
            </a:ext>
          </a:extLst>
        </xdr:cNvPr>
        <xdr:cNvSpPr>
          <a:spLocks noChangeArrowheads="1"/>
        </xdr:cNvSpPr>
      </xdr:nvSpPr>
      <xdr:spPr>
        <a:xfrm>
          <a:off x="632732" y="40396886"/>
          <a:ext cx="923925" cy="3905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11" name="AutoShape 16">
          <a:extLst>
            <a:ext uri="{FF2B5EF4-FFF2-40B4-BE49-F238E27FC236}">
              <a16:creationId xmlns:a16="http://schemas.microsoft.com/office/drawing/2014/main" id="{00000000-0008-0000-0E00-00009605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725805</xdr:colOff>
      <xdr:row>191</xdr:row>
      <xdr:rowOff>0</xdr:rowOff>
    </xdr:from>
    <xdr:to>
      <xdr:col>6</xdr:col>
      <xdr:colOff>24130</xdr:colOff>
      <xdr:row>193</xdr:row>
      <xdr:rowOff>0</xdr:rowOff>
    </xdr:to>
    <xdr:sp macro="" textlink="">
      <xdr:nvSpPr>
        <xdr:cNvPr id="1212" name="AutoShape 27">
          <a:extLst>
            <a:ext uri="{FF2B5EF4-FFF2-40B4-BE49-F238E27FC236}">
              <a16:creationId xmlns:a16="http://schemas.microsoft.com/office/drawing/2014/main" id="{00000000-0008-0000-0E00-000097050000}"/>
            </a:ext>
          </a:extLst>
        </xdr:cNvPr>
        <xdr:cNvSpPr>
          <a:spLocks noChangeArrowheads="1"/>
        </xdr:cNvSpPr>
      </xdr:nvSpPr>
      <xdr:spPr>
        <a:xfrm>
          <a:off x="3497580" y="40395525"/>
          <a:ext cx="717550" cy="4095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13" name="AutoShape 21">
          <a:extLst>
            <a:ext uri="{FF2B5EF4-FFF2-40B4-BE49-F238E27FC236}">
              <a16:creationId xmlns:a16="http://schemas.microsoft.com/office/drawing/2014/main" id="{00000000-0008-0000-0E00-0000DC05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6</xdr:col>
      <xdr:colOff>725805</xdr:colOff>
      <xdr:row>191</xdr:row>
      <xdr:rowOff>0</xdr:rowOff>
    </xdr:from>
    <xdr:to>
      <xdr:col>8</xdr:col>
      <xdr:colOff>24130</xdr:colOff>
      <xdr:row>193</xdr:row>
      <xdr:rowOff>0</xdr:rowOff>
    </xdr:to>
    <xdr:sp macro="" textlink="">
      <xdr:nvSpPr>
        <xdr:cNvPr id="1214" name="AutoShape 27">
          <a:extLst>
            <a:ext uri="{FF2B5EF4-FFF2-40B4-BE49-F238E27FC236}">
              <a16:creationId xmlns:a16="http://schemas.microsoft.com/office/drawing/2014/main" id="{00000000-0008-0000-0E00-0000E9050000}"/>
            </a:ext>
          </a:extLst>
        </xdr:cNvPr>
        <xdr:cNvSpPr>
          <a:spLocks noChangeArrowheads="1"/>
        </xdr:cNvSpPr>
      </xdr:nvSpPr>
      <xdr:spPr>
        <a:xfrm>
          <a:off x="4821555" y="40395525"/>
          <a:ext cx="717550" cy="4095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15" name="AutoShape 28">
          <a:extLst>
            <a:ext uri="{FF2B5EF4-FFF2-40B4-BE49-F238E27FC236}">
              <a16:creationId xmlns:a16="http://schemas.microsoft.com/office/drawing/2014/main" id="{00000000-0008-0000-0E00-0000EF05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16" name="AutoShape 16">
          <a:extLst>
            <a:ext uri="{FF2B5EF4-FFF2-40B4-BE49-F238E27FC236}">
              <a16:creationId xmlns:a16="http://schemas.microsoft.com/office/drawing/2014/main" id="{00000000-0008-0000-0E00-0000CE08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17" name="AutoShape 21">
          <a:extLst>
            <a:ext uri="{FF2B5EF4-FFF2-40B4-BE49-F238E27FC236}">
              <a16:creationId xmlns:a16="http://schemas.microsoft.com/office/drawing/2014/main" id="{00000000-0008-0000-0E00-0000EA08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13607</xdr:colOff>
      <xdr:row>191</xdr:row>
      <xdr:rowOff>19050</xdr:rowOff>
    </xdr:from>
    <xdr:to>
      <xdr:col>10</xdr:col>
      <xdr:colOff>0</xdr:colOff>
      <xdr:row>193</xdr:row>
      <xdr:rowOff>0</xdr:rowOff>
    </xdr:to>
    <xdr:sp macro="" textlink="">
      <xdr:nvSpPr>
        <xdr:cNvPr id="1218" name="AutoShape 28">
          <a:extLst>
            <a:ext uri="{FF2B5EF4-FFF2-40B4-BE49-F238E27FC236}">
              <a16:creationId xmlns:a16="http://schemas.microsoft.com/office/drawing/2014/main" id="{00000000-0008-0000-0E00-0000EC080000}"/>
            </a:ext>
          </a:extLst>
        </xdr:cNvPr>
        <xdr:cNvSpPr>
          <a:spLocks noChangeArrowheads="1"/>
        </xdr:cNvSpPr>
      </xdr:nvSpPr>
      <xdr:spPr>
        <a:xfrm>
          <a:off x="6185807" y="40414575"/>
          <a:ext cx="757918" cy="3905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963295</xdr:colOff>
      <xdr:row>191</xdr:row>
      <xdr:rowOff>0</xdr:rowOff>
    </xdr:from>
    <xdr:to>
      <xdr:col>4</xdr:col>
      <xdr:colOff>37465</xdr:colOff>
      <xdr:row>192</xdr:row>
      <xdr:rowOff>190500</xdr:rowOff>
    </xdr:to>
    <xdr:sp macro="" textlink="">
      <xdr:nvSpPr>
        <xdr:cNvPr id="1219" name="AutoShape 16">
          <a:extLst>
            <a:ext uri="{FF2B5EF4-FFF2-40B4-BE49-F238E27FC236}">
              <a16:creationId xmlns:a16="http://schemas.microsoft.com/office/drawing/2014/main" id="{00000000-0008-0000-0E00-00001E0A0000}"/>
            </a:ext>
          </a:extLst>
        </xdr:cNvPr>
        <xdr:cNvSpPr>
          <a:spLocks noChangeArrowheads="1"/>
        </xdr:cNvSpPr>
      </xdr:nvSpPr>
      <xdr:spPr>
        <a:xfrm>
          <a:off x="2153920" y="40395525"/>
          <a:ext cx="702945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13</xdr:col>
      <xdr:colOff>0</xdr:colOff>
      <xdr:row>191</xdr:row>
      <xdr:rowOff>50800</xdr:rowOff>
    </xdr:from>
    <xdr:to>
      <xdr:col>14</xdr:col>
      <xdr:colOff>12700</xdr:colOff>
      <xdr:row>192</xdr:row>
      <xdr:rowOff>196850</xdr:rowOff>
    </xdr:to>
    <xdr:sp macro="" textlink="">
      <xdr:nvSpPr>
        <xdr:cNvPr id="1220" name="AutoShape 21">
          <a:extLst>
            <a:ext uri="{FF2B5EF4-FFF2-40B4-BE49-F238E27FC236}">
              <a16:creationId xmlns:a16="http://schemas.microsoft.com/office/drawing/2014/main" id="{00000000-0008-0000-0E00-00003A0A0000}"/>
            </a:ext>
          </a:extLst>
        </xdr:cNvPr>
        <xdr:cNvSpPr>
          <a:spLocks noChangeArrowheads="1"/>
        </xdr:cNvSpPr>
      </xdr:nvSpPr>
      <xdr:spPr>
        <a:xfrm>
          <a:off x="8877300" y="40446325"/>
          <a:ext cx="774700" cy="3460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15</xdr:col>
      <xdr:colOff>23811</xdr:colOff>
      <xdr:row>192</xdr:row>
      <xdr:rowOff>207595</xdr:rowOff>
    </xdr:from>
    <xdr:to>
      <xdr:col>16</xdr:col>
      <xdr:colOff>0</xdr:colOff>
      <xdr:row>194</xdr:row>
      <xdr:rowOff>195384</xdr:rowOff>
    </xdr:to>
    <xdr:sp macro="" textlink="">
      <xdr:nvSpPr>
        <xdr:cNvPr id="122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0263186" y="40803145"/>
          <a:ext cx="661989" cy="4068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</xdr:colOff>
      <xdr:row>193</xdr:row>
      <xdr:rowOff>36633</xdr:rowOff>
    </xdr:from>
    <xdr:to>
      <xdr:col>15</xdr:col>
      <xdr:colOff>635001</xdr:colOff>
      <xdr:row>194</xdr:row>
      <xdr:rowOff>146844</xdr:rowOff>
    </xdr:to>
    <xdr:sp macro="" textlink="">
      <xdr:nvSpPr>
        <xdr:cNvPr id="122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0215564" y="41482289"/>
          <a:ext cx="635000" cy="32452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244232</xdr:colOff>
      <xdr:row>5</xdr:row>
      <xdr:rowOff>109903</xdr:rowOff>
    </xdr:from>
    <xdr:to>
      <xdr:col>19</xdr:col>
      <xdr:colOff>525096</xdr:colOff>
      <xdr:row>7</xdr:row>
      <xdr:rowOff>122115</xdr:rowOff>
    </xdr:to>
    <xdr:sp macro="" textlink="">
      <xdr:nvSpPr>
        <xdr:cNvPr id="1223" name="Can 948">
          <a:extLst>
            <a:ext uri="{FF2B5EF4-FFF2-40B4-BE49-F238E27FC236}">
              <a16:creationId xmlns:a16="http://schemas.microsoft.com/office/drawing/2014/main" id="{00000000-0008-0000-0300-0000C7040000}"/>
            </a:ext>
          </a:extLst>
        </xdr:cNvPr>
        <xdr:cNvSpPr/>
      </xdr:nvSpPr>
      <xdr:spPr>
        <a:xfrm>
          <a:off x="13055357" y="1538653"/>
          <a:ext cx="280864" cy="612287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415192</xdr:colOff>
      <xdr:row>6</xdr:row>
      <xdr:rowOff>61057</xdr:rowOff>
    </xdr:from>
    <xdr:to>
      <xdr:col>19</xdr:col>
      <xdr:colOff>173892</xdr:colOff>
      <xdr:row>6</xdr:row>
      <xdr:rowOff>86457</xdr:rowOff>
    </xdr:to>
    <xdr:sp macro="" textlink="">
      <xdr:nvSpPr>
        <xdr:cNvPr id="1224" name="Line 157">
          <a:extLst>
            <a:ext uri="{FF2B5EF4-FFF2-40B4-BE49-F238E27FC236}">
              <a16:creationId xmlns:a16="http://schemas.microsoft.com/office/drawing/2014/main" id="{00000000-0008-0000-0E00-0000280A0000}"/>
            </a:ext>
          </a:extLst>
        </xdr:cNvPr>
        <xdr:cNvSpPr>
          <a:spLocks noChangeShapeType="1"/>
        </xdr:cNvSpPr>
      </xdr:nvSpPr>
      <xdr:spPr>
        <a:xfrm>
          <a:off x="12626242" y="1794607"/>
          <a:ext cx="358775" cy="2540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122116</xdr:colOff>
      <xdr:row>157</xdr:row>
      <xdr:rowOff>36634</xdr:rowOff>
    </xdr:from>
    <xdr:to>
      <xdr:col>14</xdr:col>
      <xdr:colOff>293077</xdr:colOff>
      <xdr:row>160</xdr:row>
      <xdr:rowOff>36634</xdr:rowOff>
    </xdr:to>
    <xdr:sp macro="" textlink="">
      <xdr:nvSpPr>
        <xdr:cNvPr id="1225" name="Can 948">
          <a:extLst>
            <a:ext uri="{FF2B5EF4-FFF2-40B4-BE49-F238E27FC236}">
              <a16:creationId xmlns:a16="http://schemas.microsoft.com/office/drawing/2014/main" id="{00000000-0008-0000-0300-0000C9040000}"/>
            </a:ext>
          </a:extLst>
        </xdr:cNvPr>
        <xdr:cNvSpPr/>
      </xdr:nvSpPr>
      <xdr:spPr>
        <a:xfrm>
          <a:off x="9761416" y="33488434"/>
          <a:ext cx="170961" cy="628650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4</xdr:col>
      <xdr:colOff>97692</xdr:colOff>
      <xdr:row>157</xdr:row>
      <xdr:rowOff>12212</xdr:rowOff>
    </xdr:from>
    <xdr:to>
      <xdr:col>4</xdr:col>
      <xdr:colOff>334051</xdr:colOff>
      <xdr:row>160</xdr:row>
      <xdr:rowOff>157703</xdr:rowOff>
    </xdr:to>
    <xdr:pic>
      <xdr:nvPicPr>
        <xdr:cNvPr id="1226" name="Picture 11595">
          <a:extLst>
            <a:ext uri="{FF2B5EF4-FFF2-40B4-BE49-F238E27FC236}">
              <a16:creationId xmlns:a16="http://schemas.microsoft.com/office/drawing/2014/main" id="{00000000-0008-0000-03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917092" y="33464012"/>
          <a:ext cx="236359" cy="7741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24</xdr:col>
      <xdr:colOff>144401</xdr:colOff>
      <xdr:row>148</xdr:row>
      <xdr:rowOff>146539</xdr:rowOff>
    </xdr:from>
    <xdr:to>
      <xdr:col>24</xdr:col>
      <xdr:colOff>413625</xdr:colOff>
      <xdr:row>154</xdr:row>
      <xdr:rowOff>122257</xdr:rowOff>
    </xdr:to>
    <xdr:sp macro="" textlink="">
      <xdr:nvSpPr>
        <xdr:cNvPr id="1227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15727606" y="32736021"/>
          <a:ext cx="1225875" cy="2692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16</xdr:col>
      <xdr:colOff>667796</xdr:colOff>
      <xdr:row>91</xdr:row>
      <xdr:rowOff>196780</xdr:rowOff>
    </xdr:from>
    <xdr:to>
      <xdr:col>18</xdr:col>
      <xdr:colOff>72467</xdr:colOff>
      <xdr:row>93</xdr:row>
      <xdr:rowOff>199195</xdr:rowOff>
    </xdr:to>
    <xdr:sp macro="" textlink="">
      <xdr:nvSpPr>
        <xdr:cNvPr id="1228" name="AutoShape 22">
          <a:extLst>
            <a:ext uri="{FF2B5EF4-FFF2-40B4-BE49-F238E27FC236}">
              <a16:creationId xmlns:a16="http://schemas.microsoft.com/office/drawing/2014/main" id="{00000000-0008-0000-0E00-00009C0A0000}"/>
            </a:ext>
          </a:extLst>
        </xdr:cNvPr>
        <xdr:cNvSpPr>
          <a:spLocks noChangeArrowheads="1"/>
        </xdr:cNvSpPr>
      </xdr:nvSpPr>
      <xdr:spPr>
        <a:xfrm>
          <a:off x="11444653" y="20172066"/>
          <a:ext cx="765385" cy="41062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  <xdr:txBody>
        <a:bodyPr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17</xdr:col>
      <xdr:colOff>0</xdr:colOff>
      <xdr:row>142</xdr:row>
      <xdr:rowOff>13607</xdr:rowOff>
    </xdr:from>
    <xdr:to>
      <xdr:col>17</xdr:col>
      <xdr:colOff>665027</xdr:colOff>
      <xdr:row>143</xdr:row>
      <xdr:rowOff>194582</xdr:rowOff>
    </xdr:to>
    <xdr:sp macro="" textlink="">
      <xdr:nvSpPr>
        <xdr:cNvPr id="1229" name="AutoShape 24">
          <a:extLst>
            <a:ext uri="{FF2B5EF4-FFF2-40B4-BE49-F238E27FC236}">
              <a16:creationId xmlns:a16="http://schemas.microsoft.com/office/drawing/2014/main" id="{00000000-0008-0000-0E00-00009E0A0000}"/>
            </a:ext>
          </a:extLst>
        </xdr:cNvPr>
        <xdr:cNvSpPr>
          <a:spLocks noChangeArrowheads="1"/>
        </xdr:cNvSpPr>
      </xdr:nvSpPr>
      <xdr:spPr>
        <a:xfrm>
          <a:off x="11525250" y="30407882"/>
          <a:ext cx="665027" cy="38100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381000</xdr:colOff>
      <xdr:row>9</xdr:row>
      <xdr:rowOff>231322</xdr:rowOff>
    </xdr:from>
    <xdr:to>
      <xdr:col>13</xdr:col>
      <xdr:colOff>359229</xdr:colOff>
      <xdr:row>10</xdr:row>
      <xdr:rowOff>236765</xdr:rowOff>
    </xdr:to>
    <xdr:grpSp>
      <xdr:nvGrpSpPr>
        <xdr:cNvPr id="1230" name="Group 1008">
          <a:extLst>
            <a:ext uri="{FF2B5EF4-FFF2-40B4-BE49-F238E27FC236}">
              <a16:creationId xmlns:a16="http://schemas.microsoft.com/office/drawing/2014/main" id="{00000000-0008-0000-0300-0000CE040000}"/>
            </a:ext>
          </a:extLst>
        </xdr:cNvPr>
        <xdr:cNvGrpSpPr>
          <a:grpSpLocks/>
        </xdr:cNvGrpSpPr>
      </xdr:nvGrpSpPr>
      <xdr:grpSpPr bwMode="auto">
        <a:xfrm>
          <a:off x="8632031" y="2886416"/>
          <a:ext cx="454479" cy="303099"/>
          <a:chOff x="5475762" y="47760700"/>
          <a:chExt cx="314325" cy="230209"/>
        </a:xfrm>
      </xdr:grpSpPr>
      <xdr:cxnSp macro="">
        <xdr:nvCxnSpPr>
          <xdr:cNvPr id="1231" name="Straight Connector 1230">
            <a:extLst>
              <a:ext uri="{FF2B5EF4-FFF2-40B4-BE49-F238E27FC236}">
                <a16:creationId xmlns:a16="http://schemas.microsoft.com/office/drawing/2014/main" id="{00000000-0008-0000-0300-0000CF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2" name="Straight Connector 529">
            <a:extLst>
              <a:ext uri="{FF2B5EF4-FFF2-40B4-BE49-F238E27FC236}">
                <a16:creationId xmlns:a16="http://schemas.microsoft.com/office/drawing/2014/main" id="{00000000-0008-0000-0300-0000D0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3" name="Straight Connector 531">
            <a:extLst>
              <a:ext uri="{FF2B5EF4-FFF2-40B4-BE49-F238E27FC236}">
                <a16:creationId xmlns:a16="http://schemas.microsoft.com/office/drawing/2014/main" id="{00000000-0008-0000-0300-0000D1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4" name="Straight Connector 533">
            <a:extLst>
              <a:ext uri="{FF2B5EF4-FFF2-40B4-BE49-F238E27FC236}">
                <a16:creationId xmlns:a16="http://schemas.microsoft.com/office/drawing/2014/main" id="{00000000-0008-0000-0300-0000D2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5">
            <a:extLst>
              <a:ext uri="{FF2B5EF4-FFF2-40B4-BE49-F238E27FC236}">
                <a16:creationId xmlns:a16="http://schemas.microsoft.com/office/drawing/2014/main" id="{00000000-0008-0000-0300-0000D3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7">
            <a:extLst>
              <a:ext uri="{FF2B5EF4-FFF2-40B4-BE49-F238E27FC236}">
                <a16:creationId xmlns:a16="http://schemas.microsoft.com/office/drawing/2014/main" id="{00000000-0008-0000-0300-0000D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1</xdr:colOff>
      <xdr:row>67</xdr:row>
      <xdr:rowOff>108857</xdr:rowOff>
    </xdr:from>
    <xdr:to>
      <xdr:col>6</xdr:col>
      <xdr:colOff>312964</xdr:colOff>
      <xdr:row>68</xdr:row>
      <xdr:rowOff>176893</xdr:rowOff>
    </xdr:to>
    <xdr:grpSp>
      <xdr:nvGrpSpPr>
        <xdr:cNvPr id="1237" name="Group 1008">
          <a:extLst>
            <a:ext uri="{FF2B5EF4-FFF2-40B4-BE49-F238E27FC236}">
              <a16:creationId xmlns:a16="http://schemas.microsoft.com/office/drawing/2014/main" id="{00000000-0008-0000-0300-0000D5040000}"/>
            </a:ext>
          </a:extLst>
        </xdr:cNvPr>
        <xdr:cNvGrpSpPr>
          <a:grpSpLocks/>
        </xdr:cNvGrpSpPr>
      </xdr:nvGrpSpPr>
      <xdr:grpSpPr bwMode="auto">
        <a:xfrm>
          <a:off x="4179095" y="15408388"/>
          <a:ext cx="312963" cy="282349"/>
          <a:chOff x="5475762" y="47760700"/>
          <a:chExt cx="314325" cy="230209"/>
        </a:xfrm>
      </xdr:grpSpPr>
      <xdr:cxnSp macro="">
        <xdr:nvCxnSpPr>
          <xdr:cNvPr id="1238" name="Straight Connector 1237">
            <a:extLst>
              <a:ext uri="{FF2B5EF4-FFF2-40B4-BE49-F238E27FC236}">
                <a16:creationId xmlns:a16="http://schemas.microsoft.com/office/drawing/2014/main" id="{00000000-0008-0000-0300-0000D6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9" name="Straight Connector 529">
            <a:extLst>
              <a:ext uri="{FF2B5EF4-FFF2-40B4-BE49-F238E27FC236}">
                <a16:creationId xmlns:a16="http://schemas.microsoft.com/office/drawing/2014/main" id="{00000000-0008-0000-0300-0000D7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0" name="Straight Connector 531">
            <a:extLst>
              <a:ext uri="{FF2B5EF4-FFF2-40B4-BE49-F238E27FC236}">
                <a16:creationId xmlns:a16="http://schemas.microsoft.com/office/drawing/2014/main" id="{00000000-0008-0000-0300-0000D8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1" name="Straight Connector 533">
            <a:extLst>
              <a:ext uri="{FF2B5EF4-FFF2-40B4-BE49-F238E27FC236}">
                <a16:creationId xmlns:a16="http://schemas.microsoft.com/office/drawing/2014/main" id="{00000000-0008-0000-0300-0000D9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5">
            <a:extLst>
              <a:ext uri="{FF2B5EF4-FFF2-40B4-BE49-F238E27FC236}">
                <a16:creationId xmlns:a16="http://schemas.microsoft.com/office/drawing/2014/main" id="{00000000-0008-0000-0300-0000DA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7">
            <a:extLst>
              <a:ext uri="{FF2B5EF4-FFF2-40B4-BE49-F238E27FC236}">
                <a16:creationId xmlns:a16="http://schemas.microsoft.com/office/drawing/2014/main" id="{00000000-0008-0000-0300-0000D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68</xdr:row>
      <xdr:rowOff>0</xdr:rowOff>
    </xdr:from>
    <xdr:to>
      <xdr:col>10</xdr:col>
      <xdr:colOff>312963</xdr:colOff>
      <xdr:row>69</xdr:row>
      <xdr:rowOff>68036</xdr:rowOff>
    </xdr:to>
    <xdr:grpSp>
      <xdr:nvGrpSpPr>
        <xdr:cNvPr id="1244" name="Group 1008">
          <a:extLst>
            <a:ext uri="{FF2B5EF4-FFF2-40B4-BE49-F238E27FC236}">
              <a16:creationId xmlns:a16="http://schemas.microsoft.com/office/drawing/2014/main" id="{00000000-0008-0000-0300-0000DC040000}"/>
            </a:ext>
          </a:extLst>
        </xdr:cNvPr>
        <xdr:cNvGrpSpPr>
          <a:grpSpLocks/>
        </xdr:cNvGrpSpPr>
      </xdr:nvGrpSpPr>
      <xdr:grpSpPr bwMode="auto">
        <a:xfrm>
          <a:off x="6929438" y="15513844"/>
          <a:ext cx="312963" cy="270442"/>
          <a:chOff x="5475762" y="47760700"/>
          <a:chExt cx="314325" cy="230209"/>
        </a:xfrm>
      </xdr:grpSpPr>
      <xdr:cxnSp macro="">
        <xdr:nvCxnSpPr>
          <xdr:cNvPr id="1245" name="Straight Connector 1244">
            <a:extLst>
              <a:ext uri="{FF2B5EF4-FFF2-40B4-BE49-F238E27FC236}">
                <a16:creationId xmlns:a16="http://schemas.microsoft.com/office/drawing/2014/main" id="{00000000-0008-0000-0300-0000DD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6" name="Straight Connector 529">
            <a:extLst>
              <a:ext uri="{FF2B5EF4-FFF2-40B4-BE49-F238E27FC236}">
                <a16:creationId xmlns:a16="http://schemas.microsoft.com/office/drawing/2014/main" id="{00000000-0008-0000-0300-0000DE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7" name="Straight Connector 531">
            <a:extLst>
              <a:ext uri="{FF2B5EF4-FFF2-40B4-BE49-F238E27FC236}">
                <a16:creationId xmlns:a16="http://schemas.microsoft.com/office/drawing/2014/main" id="{00000000-0008-0000-0300-0000DF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8" name="Straight Connector 533">
            <a:extLst>
              <a:ext uri="{FF2B5EF4-FFF2-40B4-BE49-F238E27FC236}">
                <a16:creationId xmlns:a16="http://schemas.microsoft.com/office/drawing/2014/main" id="{00000000-0008-0000-0300-0000E0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5">
            <a:extLst>
              <a:ext uri="{FF2B5EF4-FFF2-40B4-BE49-F238E27FC236}">
                <a16:creationId xmlns:a16="http://schemas.microsoft.com/office/drawing/2014/main" id="{00000000-0008-0000-0300-0000E1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7">
            <a:extLst>
              <a:ext uri="{FF2B5EF4-FFF2-40B4-BE49-F238E27FC236}">
                <a16:creationId xmlns:a16="http://schemas.microsoft.com/office/drawing/2014/main" id="{00000000-0008-0000-0300-0000E2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312963</xdr:colOff>
      <xdr:row>76</xdr:row>
      <xdr:rowOff>68036</xdr:rowOff>
    </xdr:to>
    <xdr:grpSp>
      <xdr:nvGrpSpPr>
        <xdr:cNvPr id="1251" name="Group 1008">
          <a:extLst>
            <a:ext uri="{FF2B5EF4-FFF2-40B4-BE49-F238E27FC236}">
              <a16:creationId xmlns:a16="http://schemas.microsoft.com/office/drawing/2014/main" id="{00000000-0008-0000-0300-0000E3040000}"/>
            </a:ext>
          </a:extLst>
        </xdr:cNvPr>
        <xdr:cNvGrpSpPr>
          <a:grpSpLocks/>
        </xdr:cNvGrpSpPr>
      </xdr:nvGrpSpPr>
      <xdr:grpSpPr bwMode="auto">
        <a:xfrm>
          <a:off x="5500688" y="16966406"/>
          <a:ext cx="312963" cy="270443"/>
          <a:chOff x="5475762" y="47760700"/>
          <a:chExt cx="314325" cy="230209"/>
        </a:xfrm>
      </xdr:grpSpPr>
      <xdr:cxnSp macro="">
        <xdr:nvCxnSpPr>
          <xdr:cNvPr id="1252" name="Straight Connector 1251">
            <a:extLst>
              <a:ext uri="{FF2B5EF4-FFF2-40B4-BE49-F238E27FC236}">
                <a16:creationId xmlns:a16="http://schemas.microsoft.com/office/drawing/2014/main" id="{00000000-0008-0000-0300-0000E4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3" name="Straight Connector 529">
            <a:extLst>
              <a:ext uri="{FF2B5EF4-FFF2-40B4-BE49-F238E27FC236}">
                <a16:creationId xmlns:a16="http://schemas.microsoft.com/office/drawing/2014/main" id="{00000000-0008-0000-0300-0000E5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4" name="Straight Connector 531">
            <a:extLst>
              <a:ext uri="{FF2B5EF4-FFF2-40B4-BE49-F238E27FC236}">
                <a16:creationId xmlns:a16="http://schemas.microsoft.com/office/drawing/2014/main" id="{00000000-0008-0000-0300-0000E6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5" name="Straight Connector 533">
            <a:extLst>
              <a:ext uri="{FF2B5EF4-FFF2-40B4-BE49-F238E27FC236}">
                <a16:creationId xmlns:a16="http://schemas.microsoft.com/office/drawing/2014/main" id="{00000000-0008-0000-0300-0000E7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5">
            <a:extLst>
              <a:ext uri="{FF2B5EF4-FFF2-40B4-BE49-F238E27FC236}">
                <a16:creationId xmlns:a16="http://schemas.microsoft.com/office/drawing/2014/main" id="{00000000-0008-0000-0300-0000E8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7">
            <a:extLst>
              <a:ext uri="{FF2B5EF4-FFF2-40B4-BE49-F238E27FC236}">
                <a16:creationId xmlns:a16="http://schemas.microsoft.com/office/drawing/2014/main" id="{00000000-0008-0000-0300-0000E9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312963</xdr:colOff>
      <xdr:row>76</xdr:row>
      <xdr:rowOff>68036</xdr:rowOff>
    </xdr:to>
    <xdr:grpSp>
      <xdr:nvGrpSpPr>
        <xdr:cNvPr id="1258" name="Group 1008">
          <a:extLst>
            <a:ext uri="{FF2B5EF4-FFF2-40B4-BE49-F238E27FC236}">
              <a16:creationId xmlns:a16="http://schemas.microsoft.com/office/drawing/2014/main" id="{00000000-0008-0000-0300-0000EA040000}"/>
            </a:ext>
          </a:extLst>
        </xdr:cNvPr>
        <xdr:cNvGrpSpPr>
          <a:grpSpLocks/>
        </xdr:cNvGrpSpPr>
      </xdr:nvGrpSpPr>
      <xdr:grpSpPr bwMode="auto">
        <a:xfrm>
          <a:off x="9489281" y="16966406"/>
          <a:ext cx="312963" cy="270443"/>
          <a:chOff x="5475762" y="47760700"/>
          <a:chExt cx="314325" cy="230209"/>
        </a:xfrm>
      </xdr:grpSpPr>
      <xdr:cxnSp macro="">
        <xdr:nvCxnSpPr>
          <xdr:cNvPr id="1259" name="Straight Connector 1258">
            <a:extLst>
              <a:ext uri="{FF2B5EF4-FFF2-40B4-BE49-F238E27FC236}">
                <a16:creationId xmlns:a16="http://schemas.microsoft.com/office/drawing/2014/main" id="{00000000-0008-0000-0300-0000EB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0" name="Straight Connector 529">
            <a:extLst>
              <a:ext uri="{FF2B5EF4-FFF2-40B4-BE49-F238E27FC236}">
                <a16:creationId xmlns:a16="http://schemas.microsoft.com/office/drawing/2014/main" id="{00000000-0008-0000-0300-0000EC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1" name="Straight Connector 531">
            <a:extLst>
              <a:ext uri="{FF2B5EF4-FFF2-40B4-BE49-F238E27FC236}">
                <a16:creationId xmlns:a16="http://schemas.microsoft.com/office/drawing/2014/main" id="{00000000-0008-0000-0300-0000ED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2" name="Straight Connector 533">
            <a:extLst>
              <a:ext uri="{FF2B5EF4-FFF2-40B4-BE49-F238E27FC236}">
                <a16:creationId xmlns:a16="http://schemas.microsoft.com/office/drawing/2014/main" id="{00000000-0008-0000-0300-0000EE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5">
            <a:extLst>
              <a:ext uri="{FF2B5EF4-FFF2-40B4-BE49-F238E27FC236}">
                <a16:creationId xmlns:a16="http://schemas.microsoft.com/office/drawing/2014/main" id="{00000000-0008-0000-0300-0000EF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7">
            <a:extLst>
              <a:ext uri="{FF2B5EF4-FFF2-40B4-BE49-F238E27FC236}">
                <a16:creationId xmlns:a16="http://schemas.microsoft.com/office/drawing/2014/main" id="{00000000-0008-0000-0300-0000F0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75</xdr:row>
      <xdr:rowOff>0</xdr:rowOff>
    </xdr:from>
    <xdr:to>
      <xdr:col>16</xdr:col>
      <xdr:colOff>312963</xdr:colOff>
      <xdr:row>76</xdr:row>
      <xdr:rowOff>68036</xdr:rowOff>
    </xdr:to>
    <xdr:grpSp>
      <xdr:nvGrpSpPr>
        <xdr:cNvPr id="1265" name="Group 1008">
          <a:extLst>
            <a:ext uri="{FF2B5EF4-FFF2-40B4-BE49-F238E27FC236}">
              <a16:creationId xmlns:a16="http://schemas.microsoft.com/office/drawing/2014/main" id="{00000000-0008-0000-0300-0000F1040000}"/>
            </a:ext>
          </a:extLst>
        </xdr:cNvPr>
        <xdr:cNvGrpSpPr>
          <a:grpSpLocks/>
        </xdr:cNvGrpSpPr>
      </xdr:nvGrpSpPr>
      <xdr:grpSpPr bwMode="auto">
        <a:xfrm>
          <a:off x="10775156" y="16966406"/>
          <a:ext cx="312963" cy="270443"/>
          <a:chOff x="5475762" y="47760700"/>
          <a:chExt cx="314325" cy="230209"/>
        </a:xfrm>
      </xdr:grpSpPr>
      <xdr:cxnSp macro="">
        <xdr:nvCxnSpPr>
          <xdr:cNvPr id="1266" name="Straight Connector 1265">
            <a:extLst>
              <a:ext uri="{FF2B5EF4-FFF2-40B4-BE49-F238E27FC236}">
                <a16:creationId xmlns:a16="http://schemas.microsoft.com/office/drawing/2014/main" id="{00000000-0008-0000-0300-0000F2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7" name="Straight Connector 529">
            <a:extLst>
              <a:ext uri="{FF2B5EF4-FFF2-40B4-BE49-F238E27FC236}">
                <a16:creationId xmlns:a16="http://schemas.microsoft.com/office/drawing/2014/main" id="{00000000-0008-0000-0300-0000F3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8" name="Straight Connector 531">
            <a:extLst>
              <a:ext uri="{FF2B5EF4-FFF2-40B4-BE49-F238E27FC236}">
                <a16:creationId xmlns:a16="http://schemas.microsoft.com/office/drawing/2014/main" id="{00000000-0008-0000-0300-0000F4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9" name="Straight Connector 533">
            <a:extLst>
              <a:ext uri="{FF2B5EF4-FFF2-40B4-BE49-F238E27FC236}">
                <a16:creationId xmlns:a16="http://schemas.microsoft.com/office/drawing/2014/main" id="{00000000-0008-0000-0300-0000F5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5">
            <a:extLst>
              <a:ext uri="{FF2B5EF4-FFF2-40B4-BE49-F238E27FC236}">
                <a16:creationId xmlns:a16="http://schemas.microsoft.com/office/drawing/2014/main" id="{00000000-0008-0000-0300-0000F6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7">
            <a:extLst>
              <a:ext uri="{FF2B5EF4-FFF2-40B4-BE49-F238E27FC236}">
                <a16:creationId xmlns:a16="http://schemas.microsoft.com/office/drawing/2014/main" id="{00000000-0008-0000-0300-0000F7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75</xdr:row>
      <xdr:rowOff>0</xdr:rowOff>
    </xdr:from>
    <xdr:to>
      <xdr:col>18</xdr:col>
      <xdr:colOff>312963</xdr:colOff>
      <xdr:row>76</xdr:row>
      <xdr:rowOff>68036</xdr:rowOff>
    </xdr:to>
    <xdr:grpSp>
      <xdr:nvGrpSpPr>
        <xdr:cNvPr id="1272" name="Group 1008">
          <a:extLst>
            <a:ext uri="{FF2B5EF4-FFF2-40B4-BE49-F238E27FC236}">
              <a16:creationId xmlns:a16="http://schemas.microsoft.com/office/drawing/2014/main" id="{00000000-0008-0000-0300-0000F8040000}"/>
            </a:ext>
          </a:extLst>
        </xdr:cNvPr>
        <xdr:cNvGrpSpPr>
          <a:grpSpLocks/>
        </xdr:cNvGrpSpPr>
      </xdr:nvGrpSpPr>
      <xdr:grpSpPr bwMode="auto">
        <a:xfrm>
          <a:off x="12108656" y="16966406"/>
          <a:ext cx="312963" cy="270443"/>
          <a:chOff x="5475762" y="47760700"/>
          <a:chExt cx="314325" cy="230209"/>
        </a:xfrm>
      </xdr:grpSpPr>
      <xdr:cxnSp macro="">
        <xdr:nvCxnSpPr>
          <xdr:cNvPr id="1273" name="Straight Connector 1272">
            <a:extLst>
              <a:ext uri="{FF2B5EF4-FFF2-40B4-BE49-F238E27FC236}">
                <a16:creationId xmlns:a16="http://schemas.microsoft.com/office/drawing/2014/main" id="{00000000-0008-0000-0300-0000F904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4" name="Straight Connector 529">
            <a:extLst>
              <a:ext uri="{FF2B5EF4-FFF2-40B4-BE49-F238E27FC236}">
                <a16:creationId xmlns:a16="http://schemas.microsoft.com/office/drawing/2014/main" id="{00000000-0008-0000-0300-0000FA04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5" name="Straight Connector 531">
            <a:extLst>
              <a:ext uri="{FF2B5EF4-FFF2-40B4-BE49-F238E27FC236}">
                <a16:creationId xmlns:a16="http://schemas.microsoft.com/office/drawing/2014/main" id="{00000000-0008-0000-0300-0000FB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6" name="Straight Connector 533">
            <a:extLst>
              <a:ext uri="{FF2B5EF4-FFF2-40B4-BE49-F238E27FC236}">
                <a16:creationId xmlns:a16="http://schemas.microsoft.com/office/drawing/2014/main" id="{00000000-0008-0000-0300-0000FC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5">
            <a:extLst>
              <a:ext uri="{FF2B5EF4-FFF2-40B4-BE49-F238E27FC236}">
                <a16:creationId xmlns:a16="http://schemas.microsoft.com/office/drawing/2014/main" id="{00000000-0008-0000-0300-0000FD04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7">
            <a:extLst>
              <a:ext uri="{FF2B5EF4-FFF2-40B4-BE49-F238E27FC236}">
                <a16:creationId xmlns:a16="http://schemas.microsoft.com/office/drawing/2014/main" id="{00000000-0008-0000-0300-0000FE0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75</xdr:row>
      <xdr:rowOff>0</xdr:rowOff>
    </xdr:from>
    <xdr:to>
      <xdr:col>20</xdr:col>
      <xdr:colOff>312963</xdr:colOff>
      <xdr:row>76</xdr:row>
      <xdr:rowOff>68036</xdr:rowOff>
    </xdr:to>
    <xdr:grpSp>
      <xdr:nvGrpSpPr>
        <xdr:cNvPr id="1279" name="Group 1008">
          <a:extLst>
            <a:ext uri="{FF2B5EF4-FFF2-40B4-BE49-F238E27FC236}">
              <a16:creationId xmlns:a16="http://schemas.microsoft.com/office/drawing/2014/main" id="{00000000-0008-0000-0300-0000FF040000}"/>
            </a:ext>
          </a:extLst>
        </xdr:cNvPr>
        <xdr:cNvGrpSpPr>
          <a:grpSpLocks/>
        </xdr:cNvGrpSpPr>
      </xdr:nvGrpSpPr>
      <xdr:grpSpPr bwMode="auto">
        <a:xfrm>
          <a:off x="13251656" y="16966406"/>
          <a:ext cx="312963" cy="270443"/>
          <a:chOff x="5475762" y="47760700"/>
          <a:chExt cx="314325" cy="230209"/>
        </a:xfrm>
      </xdr:grpSpPr>
      <xdr:cxnSp macro="">
        <xdr:nvCxnSpPr>
          <xdr:cNvPr id="1280" name="Straight Connector 1279">
            <a:extLst>
              <a:ext uri="{FF2B5EF4-FFF2-40B4-BE49-F238E27FC236}">
                <a16:creationId xmlns:a16="http://schemas.microsoft.com/office/drawing/2014/main" id="{00000000-0008-0000-0300-000000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1" name="Straight Connector 529">
            <a:extLst>
              <a:ext uri="{FF2B5EF4-FFF2-40B4-BE49-F238E27FC236}">
                <a16:creationId xmlns:a16="http://schemas.microsoft.com/office/drawing/2014/main" id="{00000000-0008-0000-0300-000001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2" name="Straight Connector 531">
            <a:extLst>
              <a:ext uri="{FF2B5EF4-FFF2-40B4-BE49-F238E27FC236}">
                <a16:creationId xmlns:a16="http://schemas.microsoft.com/office/drawing/2014/main" id="{00000000-0008-0000-0300-00000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3" name="Straight Connector 533">
            <a:extLst>
              <a:ext uri="{FF2B5EF4-FFF2-40B4-BE49-F238E27FC236}">
                <a16:creationId xmlns:a16="http://schemas.microsoft.com/office/drawing/2014/main" id="{00000000-0008-0000-0300-00000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5">
            <a:extLst>
              <a:ext uri="{FF2B5EF4-FFF2-40B4-BE49-F238E27FC236}">
                <a16:creationId xmlns:a16="http://schemas.microsoft.com/office/drawing/2014/main" id="{00000000-0008-0000-0300-00000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7">
            <a:extLst>
              <a:ext uri="{FF2B5EF4-FFF2-40B4-BE49-F238E27FC236}">
                <a16:creationId xmlns:a16="http://schemas.microsoft.com/office/drawing/2014/main" id="{00000000-0008-0000-0300-00000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75</xdr:row>
      <xdr:rowOff>0</xdr:rowOff>
    </xdr:from>
    <xdr:to>
      <xdr:col>22</xdr:col>
      <xdr:colOff>312963</xdr:colOff>
      <xdr:row>76</xdr:row>
      <xdr:rowOff>68036</xdr:rowOff>
    </xdr:to>
    <xdr:grpSp>
      <xdr:nvGrpSpPr>
        <xdr:cNvPr id="1286" name="Group 1008">
          <a:extLst>
            <a:ext uri="{FF2B5EF4-FFF2-40B4-BE49-F238E27FC236}">
              <a16:creationId xmlns:a16="http://schemas.microsoft.com/office/drawing/2014/main" id="{00000000-0008-0000-0300-000006050000}"/>
            </a:ext>
          </a:extLst>
        </xdr:cNvPr>
        <xdr:cNvGrpSpPr>
          <a:grpSpLocks/>
        </xdr:cNvGrpSpPr>
      </xdr:nvGrpSpPr>
      <xdr:grpSpPr bwMode="auto">
        <a:xfrm>
          <a:off x="14573250" y="16966406"/>
          <a:ext cx="312963" cy="270443"/>
          <a:chOff x="5475762" y="47760700"/>
          <a:chExt cx="314325" cy="230209"/>
        </a:xfrm>
      </xdr:grpSpPr>
      <xdr:cxnSp macro="">
        <xdr:nvCxnSpPr>
          <xdr:cNvPr id="1287" name="Straight Connector 1286">
            <a:extLst>
              <a:ext uri="{FF2B5EF4-FFF2-40B4-BE49-F238E27FC236}">
                <a16:creationId xmlns:a16="http://schemas.microsoft.com/office/drawing/2014/main" id="{00000000-0008-0000-0300-000007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8" name="Straight Connector 529">
            <a:extLst>
              <a:ext uri="{FF2B5EF4-FFF2-40B4-BE49-F238E27FC236}">
                <a16:creationId xmlns:a16="http://schemas.microsoft.com/office/drawing/2014/main" id="{00000000-0008-0000-0300-000008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9" name="Straight Connector 531">
            <a:extLst>
              <a:ext uri="{FF2B5EF4-FFF2-40B4-BE49-F238E27FC236}">
                <a16:creationId xmlns:a16="http://schemas.microsoft.com/office/drawing/2014/main" id="{00000000-0008-0000-0300-00000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0" name="Straight Connector 533">
            <a:extLst>
              <a:ext uri="{FF2B5EF4-FFF2-40B4-BE49-F238E27FC236}">
                <a16:creationId xmlns:a16="http://schemas.microsoft.com/office/drawing/2014/main" id="{00000000-0008-0000-0300-00000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5">
            <a:extLst>
              <a:ext uri="{FF2B5EF4-FFF2-40B4-BE49-F238E27FC236}">
                <a16:creationId xmlns:a16="http://schemas.microsoft.com/office/drawing/2014/main" id="{00000000-0008-0000-0300-00000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7">
            <a:extLst>
              <a:ext uri="{FF2B5EF4-FFF2-40B4-BE49-F238E27FC236}">
                <a16:creationId xmlns:a16="http://schemas.microsoft.com/office/drawing/2014/main" id="{00000000-0008-0000-0300-00000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75</xdr:row>
      <xdr:rowOff>0</xdr:rowOff>
    </xdr:from>
    <xdr:to>
      <xdr:col>24</xdr:col>
      <xdr:colOff>312963</xdr:colOff>
      <xdr:row>76</xdr:row>
      <xdr:rowOff>68036</xdr:rowOff>
    </xdr:to>
    <xdr:grpSp>
      <xdr:nvGrpSpPr>
        <xdr:cNvPr id="1293" name="Group 1008">
          <a:extLst>
            <a:ext uri="{FF2B5EF4-FFF2-40B4-BE49-F238E27FC236}">
              <a16:creationId xmlns:a16="http://schemas.microsoft.com/office/drawing/2014/main" id="{00000000-0008-0000-0300-00000D050000}"/>
            </a:ext>
          </a:extLst>
        </xdr:cNvPr>
        <xdr:cNvGrpSpPr>
          <a:grpSpLocks/>
        </xdr:cNvGrpSpPr>
      </xdr:nvGrpSpPr>
      <xdr:grpSpPr bwMode="auto">
        <a:xfrm>
          <a:off x="15942469" y="16966406"/>
          <a:ext cx="312963" cy="270443"/>
          <a:chOff x="5475762" y="47760700"/>
          <a:chExt cx="314325" cy="230209"/>
        </a:xfrm>
      </xdr:grpSpPr>
      <xdr:cxnSp macro="">
        <xdr:nvCxnSpPr>
          <xdr:cNvPr id="1294" name="Straight Connector 1293">
            <a:extLst>
              <a:ext uri="{FF2B5EF4-FFF2-40B4-BE49-F238E27FC236}">
                <a16:creationId xmlns:a16="http://schemas.microsoft.com/office/drawing/2014/main" id="{00000000-0008-0000-0300-00000E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5" name="Straight Connector 529">
            <a:extLst>
              <a:ext uri="{FF2B5EF4-FFF2-40B4-BE49-F238E27FC236}">
                <a16:creationId xmlns:a16="http://schemas.microsoft.com/office/drawing/2014/main" id="{00000000-0008-0000-0300-00000F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6" name="Straight Connector 531">
            <a:extLst>
              <a:ext uri="{FF2B5EF4-FFF2-40B4-BE49-F238E27FC236}">
                <a16:creationId xmlns:a16="http://schemas.microsoft.com/office/drawing/2014/main" id="{00000000-0008-0000-0300-00001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7" name="Straight Connector 533">
            <a:extLst>
              <a:ext uri="{FF2B5EF4-FFF2-40B4-BE49-F238E27FC236}">
                <a16:creationId xmlns:a16="http://schemas.microsoft.com/office/drawing/2014/main" id="{00000000-0008-0000-0300-00001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5">
            <a:extLst>
              <a:ext uri="{FF2B5EF4-FFF2-40B4-BE49-F238E27FC236}">
                <a16:creationId xmlns:a16="http://schemas.microsoft.com/office/drawing/2014/main" id="{00000000-0008-0000-0300-00001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7">
            <a:extLst>
              <a:ext uri="{FF2B5EF4-FFF2-40B4-BE49-F238E27FC236}">
                <a16:creationId xmlns:a16="http://schemas.microsoft.com/office/drawing/2014/main" id="{00000000-0008-0000-0300-00001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82</xdr:row>
      <xdr:rowOff>0</xdr:rowOff>
    </xdr:from>
    <xdr:to>
      <xdr:col>2</xdr:col>
      <xdr:colOff>312963</xdr:colOff>
      <xdr:row>83</xdr:row>
      <xdr:rowOff>68036</xdr:rowOff>
    </xdr:to>
    <xdr:grpSp>
      <xdr:nvGrpSpPr>
        <xdr:cNvPr id="1300" name="Group 1008">
          <a:extLst>
            <a:ext uri="{FF2B5EF4-FFF2-40B4-BE49-F238E27FC236}">
              <a16:creationId xmlns:a16="http://schemas.microsoft.com/office/drawing/2014/main" id="{00000000-0008-0000-0300-000014050000}"/>
            </a:ext>
          </a:extLst>
        </xdr:cNvPr>
        <xdr:cNvGrpSpPr>
          <a:grpSpLocks/>
        </xdr:cNvGrpSpPr>
      </xdr:nvGrpSpPr>
      <xdr:grpSpPr bwMode="auto">
        <a:xfrm>
          <a:off x="1535906" y="18407063"/>
          <a:ext cx="312963" cy="270442"/>
          <a:chOff x="5475762" y="47760700"/>
          <a:chExt cx="314325" cy="230209"/>
        </a:xfrm>
      </xdr:grpSpPr>
      <xdr:cxnSp macro="">
        <xdr:nvCxnSpPr>
          <xdr:cNvPr id="1301" name="Straight Connector 1300">
            <a:extLst>
              <a:ext uri="{FF2B5EF4-FFF2-40B4-BE49-F238E27FC236}">
                <a16:creationId xmlns:a16="http://schemas.microsoft.com/office/drawing/2014/main" id="{00000000-0008-0000-0300-000015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2" name="Straight Connector 529">
            <a:extLst>
              <a:ext uri="{FF2B5EF4-FFF2-40B4-BE49-F238E27FC236}">
                <a16:creationId xmlns:a16="http://schemas.microsoft.com/office/drawing/2014/main" id="{00000000-0008-0000-0300-000016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3" name="Straight Connector 531">
            <a:extLst>
              <a:ext uri="{FF2B5EF4-FFF2-40B4-BE49-F238E27FC236}">
                <a16:creationId xmlns:a16="http://schemas.microsoft.com/office/drawing/2014/main" id="{00000000-0008-0000-0300-00001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4" name="Straight Connector 533">
            <a:extLst>
              <a:ext uri="{FF2B5EF4-FFF2-40B4-BE49-F238E27FC236}">
                <a16:creationId xmlns:a16="http://schemas.microsoft.com/office/drawing/2014/main" id="{00000000-0008-0000-0300-00001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5">
            <a:extLst>
              <a:ext uri="{FF2B5EF4-FFF2-40B4-BE49-F238E27FC236}">
                <a16:creationId xmlns:a16="http://schemas.microsoft.com/office/drawing/2014/main" id="{00000000-0008-0000-0300-00001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7">
            <a:extLst>
              <a:ext uri="{FF2B5EF4-FFF2-40B4-BE49-F238E27FC236}">
                <a16:creationId xmlns:a16="http://schemas.microsoft.com/office/drawing/2014/main" id="{00000000-0008-0000-0300-00001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82</xdr:row>
      <xdr:rowOff>0</xdr:rowOff>
    </xdr:from>
    <xdr:to>
      <xdr:col>4</xdr:col>
      <xdr:colOff>312963</xdr:colOff>
      <xdr:row>83</xdr:row>
      <xdr:rowOff>68036</xdr:rowOff>
    </xdr:to>
    <xdr:grpSp>
      <xdr:nvGrpSpPr>
        <xdr:cNvPr id="1307" name="Group 1008">
          <a:extLst>
            <a:ext uri="{FF2B5EF4-FFF2-40B4-BE49-F238E27FC236}">
              <a16:creationId xmlns:a16="http://schemas.microsoft.com/office/drawing/2014/main" id="{00000000-0008-0000-0300-00001B050000}"/>
            </a:ext>
          </a:extLst>
        </xdr:cNvPr>
        <xdr:cNvGrpSpPr>
          <a:grpSpLocks/>
        </xdr:cNvGrpSpPr>
      </xdr:nvGrpSpPr>
      <xdr:grpSpPr bwMode="auto">
        <a:xfrm>
          <a:off x="2809875" y="18407063"/>
          <a:ext cx="312963" cy="270442"/>
          <a:chOff x="5475762" y="47760700"/>
          <a:chExt cx="314325" cy="230209"/>
        </a:xfrm>
      </xdr:grpSpPr>
      <xdr:cxnSp macro="">
        <xdr:nvCxnSpPr>
          <xdr:cNvPr id="1308" name="Straight Connector 1307">
            <a:extLst>
              <a:ext uri="{FF2B5EF4-FFF2-40B4-BE49-F238E27FC236}">
                <a16:creationId xmlns:a16="http://schemas.microsoft.com/office/drawing/2014/main" id="{00000000-0008-0000-0300-00001C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9" name="Straight Connector 529">
            <a:extLst>
              <a:ext uri="{FF2B5EF4-FFF2-40B4-BE49-F238E27FC236}">
                <a16:creationId xmlns:a16="http://schemas.microsoft.com/office/drawing/2014/main" id="{00000000-0008-0000-0300-00001D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0" name="Straight Connector 531">
            <a:extLst>
              <a:ext uri="{FF2B5EF4-FFF2-40B4-BE49-F238E27FC236}">
                <a16:creationId xmlns:a16="http://schemas.microsoft.com/office/drawing/2014/main" id="{00000000-0008-0000-0300-00001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1" name="Straight Connector 533">
            <a:extLst>
              <a:ext uri="{FF2B5EF4-FFF2-40B4-BE49-F238E27FC236}">
                <a16:creationId xmlns:a16="http://schemas.microsoft.com/office/drawing/2014/main" id="{00000000-0008-0000-0300-00001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5">
            <a:extLst>
              <a:ext uri="{FF2B5EF4-FFF2-40B4-BE49-F238E27FC236}">
                <a16:creationId xmlns:a16="http://schemas.microsoft.com/office/drawing/2014/main" id="{00000000-0008-0000-0300-00002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7">
            <a:extLst>
              <a:ext uri="{FF2B5EF4-FFF2-40B4-BE49-F238E27FC236}">
                <a16:creationId xmlns:a16="http://schemas.microsoft.com/office/drawing/2014/main" id="{00000000-0008-0000-0300-00002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82</xdr:row>
      <xdr:rowOff>0</xdr:rowOff>
    </xdr:from>
    <xdr:to>
      <xdr:col>6</xdr:col>
      <xdr:colOff>312963</xdr:colOff>
      <xdr:row>83</xdr:row>
      <xdr:rowOff>68036</xdr:rowOff>
    </xdr:to>
    <xdr:grpSp>
      <xdr:nvGrpSpPr>
        <xdr:cNvPr id="1314" name="Group 1008">
          <a:extLst>
            <a:ext uri="{FF2B5EF4-FFF2-40B4-BE49-F238E27FC236}">
              <a16:creationId xmlns:a16="http://schemas.microsoft.com/office/drawing/2014/main" id="{00000000-0008-0000-0300-000022050000}"/>
            </a:ext>
          </a:extLst>
        </xdr:cNvPr>
        <xdr:cNvGrpSpPr>
          <a:grpSpLocks/>
        </xdr:cNvGrpSpPr>
      </xdr:nvGrpSpPr>
      <xdr:grpSpPr bwMode="auto">
        <a:xfrm>
          <a:off x="4179094" y="18407063"/>
          <a:ext cx="312963" cy="270442"/>
          <a:chOff x="5475762" y="47760700"/>
          <a:chExt cx="314325" cy="230209"/>
        </a:xfrm>
      </xdr:grpSpPr>
      <xdr:cxnSp macro="">
        <xdr:nvCxnSpPr>
          <xdr:cNvPr id="1315" name="Straight Connector 1314">
            <a:extLst>
              <a:ext uri="{FF2B5EF4-FFF2-40B4-BE49-F238E27FC236}">
                <a16:creationId xmlns:a16="http://schemas.microsoft.com/office/drawing/2014/main" id="{00000000-0008-0000-0300-000023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6" name="Straight Connector 529">
            <a:extLst>
              <a:ext uri="{FF2B5EF4-FFF2-40B4-BE49-F238E27FC236}">
                <a16:creationId xmlns:a16="http://schemas.microsoft.com/office/drawing/2014/main" id="{00000000-0008-0000-0300-000024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7" name="Straight Connector 531">
            <a:extLst>
              <a:ext uri="{FF2B5EF4-FFF2-40B4-BE49-F238E27FC236}">
                <a16:creationId xmlns:a16="http://schemas.microsoft.com/office/drawing/2014/main" id="{00000000-0008-0000-0300-00002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8" name="Straight Connector 533">
            <a:extLst>
              <a:ext uri="{FF2B5EF4-FFF2-40B4-BE49-F238E27FC236}">
                <a16:creationId xmlns:a16="http://schemas.microsoft.com/office/drawing/2014/main" id="{00000000-0008-0000-0300-00002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5">
            <a:extLst>
              <a:ext uri="{FF2B5EF4-FFF2-40B4-BE49-F238E27FC236}">
                <a16:creationId xmlns:a16="http://schemas.microsoft.com/office/drawing/2014/main" id="{00000000-0008-0000-0300-00002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7">
            <a:extLst>
              <a:ext uri="{FF2B5EF4-FFF2-40B4-BE49-F238E27FC236}">
                <a16:creationId xmlns:a16="http://schemas.microsoft.com/office/drawing/2014/main" id="{00000000-0008-0000-0300-00002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82</xdr:row>
      <xdr:rowOff>0</xdr:rowOff>
    </xdr:from>
    <xdr:to>
      <xdr:col>14</xdr:col>
      <xdr:colOff>312963</xdr:colOff>
      <xdr:row>83</xdr:row>
      <xdr:rowOff>68036</xdr:rowOff>
    </xdr:to>
    <xdr:grpSp>
      <xdr:nvGrpSpPr>
        <xdr:cNvPr id="1321" name="Group 1008">
          <a:extLst>
            <a:ext uri="{FF2B5EF4-FFF2-40B4-BE49-F238E27FC236}">
              <a16:creationId xmlns:a16="http://schemas.microsoft.com/office/drawing/2014/main" id="{00000000-0008-0000-0300-000029050000}"/>
            </a:ext>
          </a:extLst>
        </xdr:cNvPr>
        <xdr:cNvGrpSpPr>
          <a:grpSpLocks/>
        </xdr:cNvGrpSpPr>
      </xdr:nvGrpSpPr>
      <xdr:grpSpPr bwMode="auto">
        <a:xfrm>
          <a:off x="9489281" y="18407063"/>
          <a:ext cx="312963" cy="270442"/>
          <a:chOff x="5475762" y="47760700"/>
          <a:chExt cx="314325" cy="230209"/>
        </a:xfrm>
      </xdr:grpSpPr>
      <xdr:cxnSp macro="">
        <xdr:nvCxnSpPr>
          <xdr:cNvPr id="1322" name="Straight Connector 1321">
            <a:extLst>
              <a:ext uri="{FF2B5EF4-FFF2-40B4-BE49-F238E27FC236}">
                <a16:creationId xmlns:a16="http://schemas.microsoft.com/office/drawing/2014/main" id="{00000000-0008-0000-0300-00002A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3" name="Straight Connector 529">
            <a:extLst>
              <a:ext uri="{FF2B5EF4-FFF2-40B4-BE49-F238E27FC236}">
                <a16:creationId xmlns:a16="http://schemas.microsoft.com/office/drawing/2014/main" id="{00000000-0008-0000-0300-00002B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4" name="Straight Connector 531">
            <a:extLst>
              <a:ext uri="{FF2B5EF4-FFF2-40B4-BE49-F238E27FC236}">
                <a16:creationId xmlns:a16="http://schemas.microsoft.com/office/drawing/2014/main" id="{00000000-0008-0000-0300-00002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5" name="Straight Connector 533">
            <a:extLst>
              <a:ext uri="{FF2B5EF4-FFF2-40B4-BE49-F238E27FC236}">
                <a16:creationId xmlns:a16="http://schemas.microsoft.com/office/drawing/2014/main" id="{00000000-0008-0000-0300-00002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5">
            <a:extLst>
              <a:ext uri="{FF2B5EF4-FFF2-40B4-BE49-F238E27FC236}">
                <a16:creationId xmlns:a16="http://schemas.microsoft.com/office/drawing/2014/main" id="{00000000-0008-0000-0300-00002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7">
            <a:extLst>
              <a:ext uri="{FF2B5EF4-FFF2-40B4-BE49-F238E27FC236}">
                <a16:creationId xmlns:a16="http://schemas.microsoft.com/office/drawing/2014/main" id="{00000000-0008-0000-0300-00002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82</xdr:row>
      <xdr:rowOff>0</xdr:rowOff>
    </xdr:from>
    <xdr:to>
      <xdr:col>16</xdr:col>
      <xdr:colOff>312963</xdr:colOff>
      <xdr:row>83</xdr:row>
      <xdr:rowOff>68036</xdr:rowOff>
    </xdr:to>
    <xdr:grpSp>
      <xdr:nvGrpSpPr>
        <xdr:cNvPr id="1328" name="Group 1008">
          <a:extLst>
            <a:ext uri="{FF2B5EF4-FFF2-40B4-BE49-F238E27FC236}">
              <a16:creationId xmlns:a16="http://schemas.microsoft.com/office/drawing/2014/main" id="{00000000-0008-0000-0300-000030050000}"/>
            </a:ext>
          </a:extLst>
        </xdr:cNvPr>
        <xdr:cNvGrpSpPr>
          <a:grpSpLocks/>
        </xdr:cNvGrpSpPr>
      </xdr:nvGrpSpPr>
      <xdr:grpSpPr bwMode="auto">
        <a:xfrm>
          <a:off x="10775156" y="18407063"/>
          <a:ext cx="312963" cy="270442"/>
          <a:chOff x="5475762" y="47760700"/>
          <a:chExt cx="314325" cy="230209"/>
        </a:xfrm>
      </xdr:grpSpPr>
      <xdr:cxnSp macro="">
        <xdr:nvCxnSpPr>
          <xdr:cNvPr id="1329" name="Straight Connector 1328">
            <a:extLst>
              <a:ext uri="{FF2B5EF4-FFF2-40B4-BE49-F238E27FC236}">
                <a16:creationId xmlns:a16="http://schemas.microsoft.com/office/drawing/2014/main" id="{00000000-0008-0000-0300-000031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0" name="Straight Connector 529">
            <a:extLst>
              <a:ext uri="{FF2B5EF4-FFF2-40B4-BE49-F238E27FC236}">
                <a16:creationId xmlns:a16="http://schemas.microsoft.com/office/drawing/2014/main" id="{00000000-0008-0000-0300-000032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1" name="Straight Connector 531">
            <a:extLst>
              <a:ext uri="{FF2B5EF4-FFF2-40B4-BE49-F238E27FC236}">
                <a16:creationId xmlns:a16="http://schemas.microsoft.com/office/drawing/2014/main" id="{00000000-0008-0000-0300-00003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2" name="Straight Connector 533">
            <a:extLst>
              <a:ext uri="{FF2B5EF4-FFF2-40B4-BE49-F238E27FC236}">
                <a16:creationId xmlns:a16="http://schemas.microsoft.com/office/drawing/2014/main" id="{00000000-0008-0000-0300-00003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5">
            <a:extLst>
              <a:ext uri="{FF2B5EF4-FFF2-40B4-BE49-F238E27FC236}">
                <a16:creationId xmlns:a16="http://schemas.microsoft.com/office/drawing/2014/main" id="{00000000-0008-0000-0300-00003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7">
            <a:extLst>
              <a:ext uri="{FF2B5EF4-FFF2-40B4-BE49-F238E27FC236}">
                <a16:creationId xmlns:a16="http://schemas.microsoft.com/office/drawing/2014/main" id="{00000000-0008-0000-0300-00003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82</xdr:row>
      <xdr:rowOff>0</xdr:rowOff>
    </xdr:from>
    <xdr:to>
      <xdr:col>18</xdr:col>
      <xdr:colOff>312963</xdr:colOff>
      <xdr:row>83</xdr:row>
      <xdr:rowOff>68036</xdr:rowOff>
    </xdr:to>
    <xdr:grpSp>
      <xdr:nvGrpSpPr>
        <xdr:cNvPr id="1335" name="Group 1008">
          <a:extLst>
            <a:ext uri="{FF2B5EF4-FFF2-40B4-BE49-F238E27FC236}">
              <a16:creationId xmlns:a16="http://schemas.microsoft.com/office/drawing/2014/main" id="{00000000-0008-0000-0300-000037050000}"/>
            </a:ext>
          </a:extLst>
        </xdr:cNvPr>
        <xdr:cNvGrpSpPr>
          <a:grpSpLocks/>
        </xdr:cNvGrpSpPr>
      </xdr:nvGrpSpPr>
      <xdr:grpSpPr bwMode="auto">
        <a:xfrm>
          <a:off x="12108656" y="18407063"/>
          <a:ext cx="312963" cy="270442"/>
          <a:chOff x="5475762" y="47760700"/>
          <a:chExt cx="314325" cy="230209"/>
        </a:xfrm>
      </xdr:grpSpPr>
      <xdr:cxnSp macro="">
        <xdr:nvCxnSpPr>
          <xdr:cNvPr id="1336" name="Straight Connector 1335">
            <a:extLst>
              <a:ext uri="{FF2B5EF4-FFF2-40B4-BE49-F238E27FC236}">
                <a16:creationId xmlns:a16="http://schemas.microsoft.com/office/drawing/2014/main" id="{00000000-0008-0000-0300-000038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7" name="Straight Connector 529">
            <a:extLst>
              <a:ext uri="{FF2B5EF4-FFF2-40B4-BE49-F238E27FC236}">
                <a16:creationId xmlns:a16="http://schemas.microsoft.com/office/drawing/2014/main" id="{00000000-0008-0000-0300-000039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8" name="Straight Connector 531">
            <a:extLst>
              <a:ext uri="{FF2B5EF4-FFF2-40B4-BE49-F238E27FC236}">
                <a16:creationId xmlns:a16="http://schemas.microsoft.com/office/drawing/2014/main" id="{00000000-0008-0000-0300-00003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9" name="Straight Connector 533">
            <a:extLst>
              <a:ext uri="{FF2B5EF4-FFF2-40B4-BE49-F238E27FC236}">
                <a16:creationId xmlns:a16="http://schemas.microsoft.com/office/drawing/2014/main" id="{00000000-0008-0000-0300-00003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5">
            <a:extLst>
              <a:ext uri="{FF2B5EF4-FFF2-40B4-BE49-F238E27FC236}">
                <a16:creationId xmlns:a16="http://schemas.microsoft.com/office/drawing/2014/main" id="{00000000-0008-0000-0300-00003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7">
            <a:extLst>
              <a:ext uri="{FF2B5EF4-FFF2-40B4-BE49-F238E27FC236}">
                <a16:creationId xmlns:a16="http://schemas.microsoft.com/office/drawing/2014/main" id="{00000000-0008-0000-0300-00003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82</xdr:row>
      <xdr:rowOff>0</xdr:rowOff>
    </xdr:from>
    <xdr:to>
      <xdr:col>20</xdr:col>
      <xdr:colOff>312963</xdr:colOff>
      <xdr:row>83</xdr:row>
      <xdr:rowOff>68036</xdr:rowOff>
    </xdr:to>
    <xdr:grpSp>
      <xdr:nvGrpSpPr>
        <xdr:cNvPr id="1342" name="Group 1008">
          <a:extLst>
            <a:ext uri="{FF2B5EF4-FFF2-40B4-BE49-F238E27FC236}">
              <a16:creationId xmlns:a16="http://schemas.microsoft.com/office/drawing/2014/main" id="{00000000-0008-0000-0300-00003E050000}"/>
            </a:ext>
          </a:extLst>
        </xdr:cNvPr>
        <xdr:cNvGrpSpPr>
          <a:grpSpLocks/>
        </xdr:cNvGrpSpPr>
      </xdr:nvGrpSpPr>
      <xdr:grpSpPr bwMode="auto">
        <a:xfrm>
          <a:off x="13251656" y="18407063"/>
          <a:ext cx="312963" cy="270442"/>
          <a:chOff x="5475762" y="47760700"/>
          <a:chExt cx="314325" cy="230209"/>
        </a:xfrm>
      </xdr:grpSpPr>
      <xdr:cxnSp macro="">
        <xdr:nvCxnSpPr>
          <xdr:cNvPr id="1343" name="Straight Connector 1342">
            <a:extLst>
              <a:ext uri="{FF2B5EF4-FFF2-40B4-BE49-F238E27FC236}">
                <a16:creationId xmlns:a16="http://schemas.microsoft.com/office/drawing/2014/main" id="{00000000-0008-0000-0300-00003F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4" name="Straight Connector 529">
            <a:extLst>
              <a:ext uri="{FF2B5EF4-FFF2-40B4-BE49-F238E27FC236}">
                <a16:creationId xmlns:a16="http://schemas.microsoft.com/office/drawing/2014/main" id="{00000000-0008-0000-0300-000040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5" name="Straight Connector 531">
            <a:extLst>
              <a:ext uri="{FF2B5EF4-FFF2-40B4-BE49-F238E27FC236}">
                <a16:creationId xmlns:a16="http://schemas.microsoft.com/office/drawing/2014/main" id="{00000000-0008-0000-0300-00004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6" name="Straight Connector 533">
            <a:extLst>
              <a:ext uri="{FF2B5EF4-FFF2-40B4-BE49-F238E27FC236}">
                <a16:creationId xmlns:a16="http://schemas.microsoft.com/office/drawing/2014/main" id="{00000000-0008-0000-0300-00004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5">
            <a:extLst>
              <a:ext uri="{FF2B5EF4-FFF2-40B4-BE49-F238E27FC236}">
                <a16:creationId xmlns:a16="http://schemas.microsoft.com/office/drawing/2014/main" id="{00000000-0008-0000-0300-00004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7">
            <a:extLst>
              <a:ext uri="{FF2B5EF4-FFF2-40B4-BE49-F238E27FC236}">
                <a16:creationId xmlns:a16="http://schemas.microsoft.com/office/drawing/2014/main" id="{00000000-0008-0000-0300-00004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82</xdr:row>
      <xdr:rowOff>0</xdr:rowOff>
    </xdr:from>
    <xdr:to>
      <xdr:col>22</xdr:col>
      <xdr:colOff>312963</xdr:colOff>
      <xdr:row>83</xdr:row>
      <xdr:rowOff>68036</xdr:rowOff>
    </xdr:to>
    <xdr:grpSp>
      <xdr:nvGrpSpPr>
        <xdr:cNvPr id="1349" name="Group 1008">
          <a:extLst>
            <a:ext uri="{FF2B5EF4-FFF2-40B4-BE49-F238E27FC236}">
              <a16:creationId xmlns:a16="http://schemas.microsoft.com/office/drawing/2014/main" id="{00000000-0008-0000-0300-000045050000}"/>
            </a:ext>
          </a:extLst>
        </xdr:cNvPr>
        <xdr:cNvGrpSpPr>
          <a:grpSpLocks/>
        </xdr:cNvGrpSpPr>
      </xdr:nvGrpSpPr>
      <xdr:grpSpPr bwMode="auto">
        <a:xfrm>
          <a:off x="14573250" y="18407063"/>
          <a:ext cx="312963" cy="270442"/>
          <a:chOff x="5475762" y="47760700"/>
          <a:chExt cx="314325" cy="230209"/>
        </a:xfrm>
      </xdr:grpSpPr>
      <xdr:cxnSp macro="">
        <xdr:nvCxnSpPr>
          <xdr:cNvPr id="1350" name="Straight Connector 1349">
            <a:extLst>
              <a:ext uri="{FF2B5EF4-FFF2-40B4-BE49-F238E27FC236}">
                <a16:creationId xmlns:a16="http://schemas.microsoft.com/office/drawing/2014/main" id="{00000000-0008-0000-0300-000046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1" name="Straight Connector 529">
            <a:extLst>
              <a:ext uri="{FF2B5EF4-FFF2-40B4-BE49-F238E27FC236}">
                <a16:creationId xmlns:a16="http://schemas.microsoft.com/office/drawing/2014/main" id="{00000000-0008-0000-0300-000047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2" name="Straight Connector 531">
            <a:extLst>
              <a:ext uri="{FF2B5EF4-FFF2-40B4-BE49-F238E27FC236}">
                <a16:creationId xmlns:a16="http://schemas.microsoft.com/office/drawing/2014/main" id="{00000000-0008-0000-0300-00004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3" name="Straight Connector 533">
            <a:extLst>
              <a:ext uri="{FF2B5EF4-FFF2-40B4-BE49-F238E27FC236}">
                <a16:creationId xmlns:a16="http://schemas.microsoft.com/office/drawing/2014/main" id="{00000000-0008-0000-0300-00004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5">
            <a:extLst>
              <a:ext uri="{FF2B5EF4-FFF2-40B4-BE49-F238E27FC236}">
                <a16:creationId xmlns:a16="http://schemas.microsoft.com/office/drawing/2014/main" id="{00000000-0008-0000-0300-00004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7">
            <a:extLst>
              <a:ext uri="{FF2B5EF4-FFF2-40B4-BE49-F238E27FC236}">
                <a16:creationId xmlns:a16="http://schemas.microsoft.com/office/drawing/2014/main" id="{00000000-0008-0000-0300-00004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89</xdr:row>
      <xdr:rowOff>0</xdr:rowOff>
    </xdr:from>
    <xdr:to>
      <xdr:col>4</xdr:col>
      <xdr:colOff>312963</xdr:colOff>
      <xdr:row>90</xdr:row>
      <xdr:rowOff>68036</xdr:rowOff>
    </xdr:to>
    <xdr:grpSp>
      <xdr:nvGrpSpPr>
        <xdr:cNvPr id="1356" name="Group 1008">
          <a:extLst>
            <a:ext uri="{FF2B5EF4-FFF2-40B4-BE49-F238E27FC236}">
              <a16:creationId xmlns:a16="http://schemas.microsoft.com/office/drawing/2014/main" id="{00000000-0008-0000-0300-00004C050000}"/>
            </a:ext>
          </a:extLst>
        </xdr:cNvPr>
        <xdr:cNvGrpSpPr>
          <a:grpSpLocks/>
        </xdr:cNvGrpSpPr>
      </xdr:nvGrpSpPr>
      <xdr:grpSpPr bwMode="auto">
        <a:xfrm>
          <a:off x="2809875" y="19859625"/>
          <a:ext cx="312963" cy="270442"/>
          <a:chOff x="5475762" y="47760700"/>
          <a:chExt cx="314325" cy="230209"/>
        </a:xfrm>
      </xdr:grpSpPr>
      <xdr:cxnSp macro="">
        <xdr:nvCxnSpPr>
          <xdr:cNvPr id="1357" name="Straight Connector 1356">
            <a:extLst>
              <a:ext uri="{FF2B5EF4-FFF2-40B4-BE49-F238E27FC236}">
                <a16:creationId xmlns:a16="http://schemas.microsoft.com/office/drawing/2014/main" id="{00000000-0008-0000-0300-00004D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8" name="Straight Connector 529">
            <a:extLst>
              <a:ext uri="{FF2B5EF4-FFF2-40B4-BE49-F238E27FC236}">
                <a16:creationId xmlns:a16="http://schemas.microsoft.com/office/drawing/2014/main" id="{00000000-0008-0000-0300-00004E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9" name="Straight Connector 531">
            <a:extLst>
              <a:ext uri="{FF2B5EF4-FFF2-40B4-BE49-F238E27FC236}">
                <a16:creationId xmlns:a16="http://schemas.microsoft.com/office/drawing/2014/main" id="{00000000-0008-0000-0300-00004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0" name="Straight Connector 533">
            <a:extLst>
              <a:ext uri="{FF2B5EF4-FFF2-40B4-BE49-F238E27FC236}">
                <a16:creationId xmlns:a16="http://schemas.microsoft.com/office/drawing/2014/main" id="{00000000-0008-0000-0300-00005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5">
            <a:extLst>
              <a:ext uri="{FF2B5EF4-FFF2-40B4-BE49-F238E27FC236}">
                <a16:creationId xmlns:a16="http://schemas.microsoft.com/office/drawing/2014/main" id="{00000000-0008-0000-0300-00005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7">
            <a:extLst>
              <a:ext uri="{FF2B5EF4-FFF2-40B4-BE49-F238E27FC236}">
                <a16:creationId xmlns:a16="http://schemas.microsoft.com/office/drawing/2014/main" id="{00000000-0008-0000-0300-00005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89</xdr:row>
      <xdr:rowOff>0</xdr:rowOff>
    </xdr:from>
    <xdr:to>
      <xdr:col>14</xdr:col>
      <xdr:colOff>312963</xdr:colOff>
      <xdr:row>90</xdr:row>
      <xdr:rowOff>68036</xdr:rowOff>
    </xdr:to>
    <xdr:grpSp>
      <xdr:nvGrpSpPr>
        <xdr:cNvPr id="1363" name="Group 1008">
          <a:extLst>
            <a:ext uri="{FF2B5EF4-FFF2-40B4-BE49-F238E27FC236}">
              <a16:creationId xmlns:a16="http://schemas.microsoft.com/office/drawing/2014/main" id="{00000000-0008-0000-0300-000053050000}"/>
            </a:ext>
          </a:extLst>
        </xdr:cNvPr>
        <xdr:cNvGrpSpPr>
          <a:grpSpLocks/>
        </xdr:cNvGrpSpPr>
      </xdr:nvGrpSpPr>
      <xdr:grpSpPr bwMode="auto">
        <a:xfrm>
          <a:off x="9489281" y="19859625"/>
          <a:ext cx="312963" cy="270442"/>
          <a:chOff x="5475762" y="47760700"/>
          <a:chExt cx="314325" cy="230209"/>
        </a:xfrm>
      </xdr:grpSpPr>
      <xdr:cxnSp macro="">
        <xdr:nvCxnSpPr>
          <xdr:cNvPr id="1364" name="Straight Connector 1363">
            <a:extLst>
              <a:ext uri="{FF2B5EF4-FFF2-40B4-BE49-F238E27FC236}">
                <a16:creationId xmlns:a16="http://schemas.microsoft.com/office/drawing/2014/main" id="{00000000-0008-0000-0300-000054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5" name="Straight Connector 529">
            <a:extLst>
              <a:ext uri="{FF2B5EF4-FFF2-40B4-BE49-F238E27FC236}">
                <a16:creationId xmlns:a16="http://schemas.microsoft.com/office/drawing/2014/main" id="{00000000-0008-0000-0300-000055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6" name="Straight Connector 531">
            <a:extLst>
              <a:ext uri="{FF2B5EF4-FFF2-40B4-BE49-F238E27FC236}">
                <a16:creationId xmlns:a16="http://schemas.microsoft.com/office/drawing/2014/main" id="{00000000-0008-0000-0300-00005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7" name="Straight Connector 533">
            <a:extLst>
              <a:ext uri="{FF2B5EF4-FFF2-40B4-BE49-F238E27FC236}">
                <a16:creationId xmlns:a16="http://schemas.microsoft.com/office/drawing/2014/main" id="{00000000-0008-0000-0300-00005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5">
            <a:extLst>
              <a:ext uri="{FF2B5EF4-FFF2-40B4-BE49-F238E27FC236}">
                <a16:creationId xmlns:a16="http://schemas.microsoft.com/office/drawing/2014/main" id="{00000000-0008-0000-0300-00005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7">
            <a:extLst>
              <a:ext uri="{FF2B5EF4-FFF2-40B4-BE49-F238E27FC236}">
                <a16:creationId xmlns:a16="http://schemas.microsoft.com/office/drawing/2014/main" id="{00000000-0008-0000-0300-00005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89</xdr:row>
      <xdr:rowOff>0</xdr:rowOff>
    </xdr:from>
    <xdr:to>
      <xdr:col>16</xdr:col>
      <xdr:colOff>312963</xdr:colOff>
      <xdr:row>90</xdr:row>
      <xdr:rowOff>68036</xdr:rowOff>
    </xdr:to>
    <xdr:grpSp>
      <xdr:nvGrpSpPr>
        <xdr:cNvPr id="1370" name="Group 1008">
          <a:extLst>
            <a:ext uri="{FF2B5EF4-FFF2-40B4-BE49-F238E27FC236}">
              <a16:creationId xmlns:a16="http://schemas.microsoft.com/office/drawing/2014/main" id="{00000000-0008-0000-0300-00005A050000}"/>
            </a:ext>
          </a:extLst>
        </xdr:cNvPr>
        <xdr:cNvGrpSpPr>
          <a:grpSpLocks/>
        </xdr:cNvGrpSpPr>
      </xdr:nvGrpSpPr>
      <xdr:grpSpPr bwMode="auto">
        <a:xfrm>
          <a:off x="10775156" y="19859625"/>
          <a:ext cx="312963" cy="270442"/>
          <a:chOff x="5475762" y="47760700"/>
          <a:chExt cx="314325" cy="230209"/>
        </a:xfrm>
      </xdr:grpSpPr>
      <xdr:cxnSp macro="">
        <xdr:nvCxnSpPr>
          <xdr:cNvPr id="1371" name="Straight Connector 1370">
            <a:extLst>
              <a:ext uri="{FF2B5EF4-FFF2-40B4-BE49-F238E27FC236}">
                <a16:creationId xmlns:a16="http://schemas.microsoft.com/office/drawing/2014/main" id="{00000000-0008-0000-0300-00005B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2" name="Straight Connector 529">
            <a:extLst>
              <a:ext uri="{FF2B5EF4-FFF2-40B4-BE49-F238E27FC236}">
                <a16:creationId xmlns:a16="http://schemas.microsoft.com/office/drawing/2014/main" id="{00000000-0008-0000-0300-00005C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3" name="Straight Connector 531">
            <a:extLst>
              <a:ext uri="{FF2B5EF4-FFF2-40B4-BE49-F238E27FC236}">
                <a16:creationId xmlns:a16="http://schemas.microsoft.com/office/drawing/2014/main" id="{00000000-0008-0000-0300-00005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4" name="Straight Connector 533">
            <a:extLst>
              <a:ext uri="{FF2B5EF4-FFF2-40B4-BE49-F238E27FC236}">
                <a16:creationId xmlns:a16="http://schemas.microsoft.com/office/drawing/2014/main" id="{00000000-0008-0000-0300-00005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5">
            <a:extLst>
              <a:ext uri="{FF2B5EF4-FFF2-40B4-BE49-F238E27FC236}">
                <a16:creationId xmlns:a16="http://schemas.microsoft.com/office/drawing/2014/main" id="{00000000-0008-0000-0300-00005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7">
            <a:extLst>
              <a:ext uri="{FF2B5EF4-FFF2-40B4-BE49-F238E27FC236}">
                <a16:creationId xmlns:a16="http://schemas.microsoft.com/office/drawing/2014/main" id="{00000000-0008-0000-0300-00006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89</xdr:row>
      <xdr:rowOff>0</xdr:rowOff>
    </xdr:from>
    <xdr:to>
      <xdr:col>20</xdr:col>
      <xdr:colOff>312963</xdr:colOff>
      <xdr:row>90</xdr:row>
      <xdr:rowOff>68036</xdr:rowOff>
    </xdr:to>
    <xdr:grpSp>
      <xdr:nvGrpSpPr>
        <xdr:cNvPr id="1377" name="Group 1008">
          <a:extLst>
            <a:ext uri="{FF2B5EF4-FFF2-40B4-BE49-F238E27FC236}">
              <a16:creationId xmlns:a16="http://schemas.microsoft.com/office/drawing/2014/main" id="{00000000-0008-0000-0300-000061050000}"/>
            </a:ext>
          </a:extLst>
        </xdr:cNvPr>
        <xdr:cNvGrpSpPr>
          <a:grpSpLocks/>
        </xdr:cNvGrpSpPr>
      </xdr:nvGrpSpPr>
      <xdr:grpSpPr bwMode="auto">
        <a:xfrm>
          <a:off x="13251656" y="19859625"/>
          <a:ext cx="312963" cy="270442"/>
          <a:chOff x="5475762" y="47760700"/>
          <a:chExt cx="314325" cy="230209"/>
        </a:xfrm>
      </xdr:grpSpPr>
      <xdr:cxnSp macro="">
        <xdr:nvCxnSpPr>
          <xdr:cNvPr id="1378" name="Straight Connector 1377">
            <a:extLst>
              <a:ext uri="{FF2B5EF4-FFF2-40B4-BE49-F238E27FC236}">
                <a16:creationId xmlns:a16="http://schemas.microsoft.com/office/drawing/2014/main" id="{00000000-0008-0000-0300-000062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9" name="Straight Connector 529">
            <a:extLst>
              <a:ext uri="{FF2B5EF4-FFF2-40B4-BE49-F238E27FC236}">
                <a16:creationId xmlns:a16="http://schemas.microsoft.com/office/drawing/2014/main" id="{00000000-0008-0000-0300-000063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0" name="Straight Connector 531">
            <a:extLst>
              <a:ext uri="{FF2B5EF4-FFF2-40B4-BE49-F238E27FC236}">
                <a16:creationId xmlns:a16="http://schemas.microsoft.com/office/drawing/2014/main" id="{00000000-0008-0000-0300-00006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1" name="Straight Connector 533">
            <a:extLst>
              <a:ext uri="{FF2B5EF4-FFF2-40B4-BE49-F238E27FC236}">
                <a16:creationId xmlns:a16="http://schemas.microsoft.com/office/drawing/2014/main" id="{00000000-0008-0000-0300-00006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5">
            <a:extLst>
              <a:ext uri="{FF2B5EF4-FFF2-40B4-BE49-F238E27FC236}">
                <a16:creationId xmlns:a16="http://schemas.microsoft.com/office/drawing/2014/main" id="{00000000-0008-0000-0300-00006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7">
            <a:extLst>
              <a:ext uri="{FF2B5EF4-FFF2-40B4-BE49-F238E27FC236}">
                <a16:creationId xmlns:a16="http://schemas.microsoft.com/office/drawing/2014/main" id="{00000000-0008-0000-0300-00006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104</xdr:row>
      <xdr:rowOff>0</xdr:rowOff>
    </xdr:from>
    <xdr:to>
      <xdr:col>4</xdr:col>
      <xdr:colOff>312963</xdr:colOff>
      <xdr:row>105</xdr:row>
      <xdr:rowOff>68036</xdr:rowOff>
    </xdr:to>
    <xdr:grpSp>
      <xdr:nvGrpSpPr>
        <xdr:cNvPr id="1384" name="Group 1008">
          <a:extLst>
            <a:ext uri="{FF2B5EF4-FFF2-40B4-BE49-F238E27FC236}">
              <a16:creationId xmlns:a16="http://schemas.microsoft.com/office/drawing/2014/main" id="{00000000-0008-0000-0300-000068050000}"/>
            </a:ext>
          </a:extLst>
        </xdr:cNvPr>
        <xdr:cNvGrpSpPr>
          <a:grpSpLocks/>
        </xdr:cNvGrpSpPr>
      </xdr:nvGrpSpPr>
      <xdr:grpSpPr bwMode="auto">
        <a:xfrm>
          <a:off x="2809875" y="22967156"/>
          <a:ext cx="312963" cy="270443"/>
          <a:chOff x="5475762" y="47760700"/>
          <a:chExt cx="314325" cy="230209"/>
        </a:xfrm>
      </xdr:grpSpPr>
      <xdr:cxnSp macro="">
        <xdr:nvCxnSpPr>
          <xdr:cNvPr id="1385" name="Straight Connector 1384">
            <a:extLst>
              <a:ext uri="{FF2B5EF4-FFF2-40B4-BE49-F238E27FC236}">
                <a16:creationId xmlns:a16="http://schemas.microsoft.com/office/drawing/2014/main" id="{00000000-0008-0000-0300-000069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6" name="Straight Connector 529">
            <a:extLst>
              <a:ext uri="{FF2B5EF4-FFF2-40B4-BE49-F238E27FC236}">
                <a16:creationId xmlns:a16="http://schemas.microsoft.com/office/drawing/2014/main" id="{00000000-0008-0000-0300-00006A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7" name="Straight Connector 531">
            <a:extLst>
              <a:ext uri="{FF2B5EF4-FFF2-40B4-BE49-F238E27FC236}">
                <a16:creationId xmlns:a16="http://schemas.microsoft.com/office/drawing/2014/main" id="{00000000-0008-0000-0300-00006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8" name="Straight Connector 533">
            <a:extLst>
              <a:ext uri="{FF2B5EF4-FFF2-40B4-BE49-F238E27FC236}">
                <a16:creationId xmlns:a16="http://schemas.microsoft.com/office/drawing/2014/main" id="{00000000-0008-0000-0300-00006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5">
            <a:extLst>
              <a:ext uri="{FF2B5EF4-FFF2-40B4-BE49-F238E27FC236}">
                <a16:creationId xmlns:a16="http://schemas.microsoft.com/office/drawing/2014/main" id="{00000000-0008-0000-0300-00006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7">
            <a:extLst>
              <a:ext uri="{FF2B5EF4-FFF2-40B4-BE49-F238E27FC236}">
                <a16:creationId xmlns:a16="http://schemas.microsoft.com/office/drawing/2014/main" id="{00000000-0008-0000-0300-00006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0</xdr:rowOff>
    </xdr:from>
    <xdr:to>
      <xdr:col>6</xdr:col>
      <xdr:colOff>312963</xdr:colOff>
      <xdr:row>105</xdr:row>
      <xdr:rowOff>68036</xdr:rowOff>
    </xdr:to>
    <xdr:grpSp>
      <xdr:nvGrpSpPr>
        <xdr:cNvPr id="1391" name="Group 1008">
          <a:extLst>
            <a:ext uri="{FF2B5EF4-FFF2-40B4-BE49-F238E27FC236}">
              <a16:creationId xmlns:a16="http://schemas.microsoft.com/office/drawing/2014/main" id="{00000000-0008-0000-0300-00006F050000}"/>
            </a:ext>
          </a:extLst>
        </xdr:cNvPr>
        <xdr:cNvGrpSpPr>
          <a:grpSpLocks/>
        </xdr:cNvGrpSpPr>
      </xdr:nvGrpSpPr>
      <xdr:grpSpPr bwMode="auto">
        <a:xfrm>
          <a:off x="4179094" y="22967156"/>
          <a:ext cx="312963" cy="270443"/>
          <a:chOff x="5475762" y="47760700"/>
          <a:chExt cx="314325" cy="230209"/>
        </a:xfrm>
      </xdr:grpSpPr>
      <xdr:cxnSp macro="">
        <xdr:nvCxnSpPr>
          <xdr:cNvPr id="1392" name="Straight Connector 1391">
            <a:extLst>
              <a:ext uri="{FF2B5EF4-FFF2-40B4-BE49-F238E27FC236}">
                <a16:creationId xmlns:a16="http://schemas.microsoft.com/office/drawing/2014/main" id="{00000000-0008-0000-0300-000070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93" name="Straight Connector 529">
            <a:extLst>
              <a:ext uri="{FF2B5EF4-FFF2-40B4-BE49-F238E27FC236}">
                <a16:creationId xmlns:a16="http://schemas.microsoft.com/office/drawing/2014/main" id="{00000000-0008-0000-0300-000071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4" name="Straight Connector 531">
            <a:extLst>
              <a:ext uri="{FF2B5EF4-FFF2-40B4-BE49-F238E27FC236}">
                <a16:creationId xmlns:a16="http://schemas.microsoft.com/office/drawing/2014/main" id="{00000000-0008-0000-0300-00007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5" name="Straight Connector 533">
            <a:extLst>
              <a:ext uri="{FF2B5EF4-FFF2-40B4-BE49-F238E27FC236}">
                <a16:creationId xmlns:a16="http://schemas.microsoft.com/office/drawing/2014/main" id="{00000000-0008-0000-0300-00007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6" name="Straight Connector 535">
            <a:extLst>
              <a:ext uri="{FF2B5EF4-FFF2-40B4-BE49-F238E27FC236}">
                <a16:creationId xmlns:a16="http://schemas.microsoft.com/office/drawing/2014/main" id="{00000000-0008-0000-0300-00007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7" name="Straight Connector 537">
            <a:extLst>
              <a:ext uri="{FF2B5EF4-FFF2-40B4-BE49-F238E27FC236}">
                <a16:creationId xmlns:a16="http://schemas.microsoft.com/office/drawing/2014/main" id="{00000000-0008-0000-0300-00007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104</xdr:row>
      <xdr:rowOff>0</xdr:rowOff>
    </xdr:from>
    <xdr:to>
      <xdr:col>10</xdr:col>
      <xdr:colOff>312963</xdr:colOff>
      <xdr:row>105</xdr:row>
      <xdr:rowOff>68036</xdr:rowOff>
    </xdr:to>
    <xdr:grpSp>
      <xdr:nvGrpSpPr>
        <xdr:cNvPr id="1398" name="Group 1008">
          <a:extLst>
            <a:ext uri="{FF2B5EF4-FFF2-40B4-BE49-F238E27FC236}">
              <a16:creationId xmlns:a16="http://schemas.microsoft.com/office/drawing/2014/main" id="{00000000-0008-0000-0300-000076050000}"/>
            </a:ext>
          </a:extLst>
        </xdr:cNvPr>
        <xdr:cNvGrpSpPr>
          <a:grpSpLocks/>
        </xdr:cNvGrpSpPr>
      </xdr:nvGrpSpPr>
      <xdr:grpSpPr bwMode="auto">
        <a:xfrm>
          <a:off x="6929438" y="22967156"/>
          <a:ext cx="312963" cy="270443"/>
          <a:chOff x="5475762" y="47760700"/>
          <a:chExt cx="314325" cy="230209"/>
        </a:xfrm>
      </xdr:grpSpPr>
      <xdr:cxnSp macro="">
        <xdr:nvCxnSpPr>
          <xdr:cNvPr id="1399" name="Straight Connector 1398">
            <a:extLst>
              <a:ext uri="{FF2B5EF4-FFF2-40B4-BE49-F238E27FC236}">
                <a16:creationId xmlns:a16="http://schemas.microsoft.com/office/drawing/2014/main" id="{00000000-0008-0000-0300-000077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00" name="Straight Connector 529">
            <a:extLst>
              <a:ext uri="{FF2B5EF4-FFF2-40B4-BE49-F238E27FC236}">
                <a16:creationId xmlns:a16="http://schemas.microsoft.com/office/drawing/2014/main" id="{00000000-0008-0000-0300-000078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1" name="Straight Connector 531">
            <a:extLst>
              <a:ext uri="{FF2B5EF4-FFF2-40B4-BE49-F238E27FC236}">
                <a16:creationId xmlns:a16="http://schemas.microsoft.com/office/drawing/2014/main" id="{00000000-0008-0000-0300-00007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2" name="Straight Connector 533">
            <a:extLst>
              <a:ext uri="{FF2B5EF4-FFF2-40B4-BE49-F238E27FC236}">
                <a16:creationId xmlns:a16="http://schemas.microsoft.com/office/drawing/2014/main" id="{00000000-0008-0000-0300-00007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3" name="Straight Connector 535">
            <a:extLst>
              <a:ext uri="{FF2B5EF4-FFF2-40B4-BE49-F238E27FC236}">
                <a16:creationId xmlns:a16="http://schemas.microsoft.com/office/drawing/2014/main" id="{00000000-0008-0000-0300-00007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4" name="Straight Connector 537">
            <a:extLst>
              <a:ext uri="{FF2B5EF4-FFF2-40B4-BE49-F238E27FC236}">
                <a16:creationId xmlns:a16="http://schemas.microsoft.com/office/drawing/2014/main" id="{00000000-0008-0000-0300-00007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104</xdr:row>
      <xdr:rowOff>0</xdr:rowOff>
    </xdr:from>
    <xdr:to>
      <xdr:col>14</xdr:col>
      <xdr:colOff>312963</xdr:colOff>
      <xdr:row>105</xdr:row>
      <xdr:rowOff>68036</xdr:rowOff>
    </xdr:to>
    <xdr:grpSp>
      <xdr:nvGrpSpPr>
        <xdr:cNvPr id="1405" name="Group 1008">
          <a:extLst>
            <a:ext uri="{FF2B5EF4-FFF2-40B4-BE49-F238E27FC236}">
              <a16:creationId xmlns:a16="http://schemas.microsoft.com/office/drawing/2014/main" id="{00000000-0008-0000-0300-00007D050000}"/>
            </a:ext>
          </a:extLst>
        </xdr:cNvPr>
        <xdr:cNvGrpSpPr>
          <a:grpSpLocks/>
        </xdr:cNvGrpSpPr>
      </xdr:nvGrpSpPr>
      <xdr:grpSpPr bwMode="auto">
        <a:xfrm>
          <a:off x="9489281" y="22967156"/>
          <a:ext cx="312963" cy="270443"/>
          <a:chOff x="5475762" y="47760700"/>
          <a:chExt cx="314325" cy="230209"/>
        </a:xfrm>
      </xdr:grpSpPr>
      <xdr:cxnSp macro="">
        <xdr:nvCxnSpPr>
          <xdr:cNvPr id="1406" name="Straight Connector 1405">
            <a:extLst>
              <a:ext uri="{FF2B5EF4-FFF2-40B4-BE49-F238E27FC236}">
                <a16:creationId xmlns:a16="http://schemas.microsoft.com/office/drawing/2014/main" id="{00000000-0008-0000-0300-00007E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07" name="Straight Connector 529">
            <a:extLst>
              <a:ext uri="{FF2B5EF4-FFF2-40B4-BE49-F238E27FC236}">
                <a16:creationId xmlns:a16="http://schemas.microsoft.com/office/drawing/2014/main" id="{00000000-0008-0000-0300-00007F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8" name="Straight Connector 531">
            <a:extLst>
              <a:ext uri="{FF2B5EF4-FFF2-40B4-BE49-F238E27FC236}">
                <a16:creationId xmlns:a16="http://schemas.microsoft.com/office/drawing/2014/main" id="{00000000-0008-0000-0300-00008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9" name="Straight Connector 533">
            <a:extLst>
              <a:ext uri="{FF2B5EF4-FFF2-40B4-BE49-F238E27FC236}">
                <a16:creationId xmlns:a16="http://schemas.microsoft.com/office/drawing/2014/main" id="{00000000-0008-0000-0300-00008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0" name="Straight Connector 535">
            <a:extLst>
              <a:ext uri="{FF2B5EF4-FFF2-40B4-BE49-F238E27FC236}">
                <a16:creationId xmlns:a16="http://schemas.microsoft.com/office/drawing/2014/main" id="{00000000-0008-0000-0300-00008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1" name="Straight Connector 537">
            <a:extLst>
              <a:ext uri="{FF2B5EF4-FFF2-40B4-BE49-F238E27FC236}">
                <a16:creationId xmlns:a16="http://schemas.microsoft.com/office/drawing/2014/main" id="{00000000-0008-0000-0300-00008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111</xdr:row>
      <xdr:rowOff>0</xdr:rowOff>
    </xdr:from>
    <xdr:to>
      <xdr:col>2</xdr:col>
      <xdr:colOff>312963</xdr:colOff>
      <xdr:row>112</xdr:row>
      <xdr:rowOff>68036</xdr:rowOff>
    </xdr:to>
    <xdr:grpSp>
      <xdr:nvGrpSpPr>
        <xdr:cNvPr id="1412" name="Group 1008">
          <a:extLst>
            <a:ext uri="{FF2B5EF4-FFF2-40B4-BE49-F238E27FC236}">
              <a16:creationId xmlns:a16="http://schemas.microsoft.com/office/drawing/2014/main" id="{00000000-0008-0000-0300-000084050000}"/>
            </a:ext>
          </a:extLst>
        </xdr:cNvPr>
        <xdr:cNvGrpSpPr>
          <a:grpSpLocks/>
        </xdr:cNvGrpSpPr>
      </xdr:nvGrpSpPr>
      <xdr:grpSpPr bwMode="auto">
        <a:xfrm>
          <a:off x="1535906" y="24419719"/>
          <a:ext cx="312963" cy="282348"/>
          <a:chOff x="5475762" y="47760700"/>
          <a:chExt cx="314325" cy="230209"/>
        </a:xfrm>
      </xdr:grpSpPr>
      <xdr:cxnSp macro="">
        <xdr:nvCxnSpPr>
          <xdr:cNvPr id="1413" name="Straight Connector 1412">
            <a:extLst>
              <a:ext uri="{FF2B5EF4-FFF2-40B4-BE49-F238E27FC236}">
                <a16:creationId xmlns:a16="http://schemas.microsoft.com/office/drawing/2014/main" id="{00000000-0008-0000-0300-000085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4" name="Straight Connector 529">
            <a:extLst>
              <a:ext uri="{FF2B5EF4-FFF2-40B4-BE49-F238E27FC236}">
                <a16:creationId xmlns:a16="http://schemas.microsoft.com/office/drawing/2014/main" id="{00000000-0008-0000-0300-000086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5" name="Straight Connector 531">
            <a:extLst>
              <a:ext uri="{FF2B5EF4-FFF2-40B4-BE49-F238E27FC236}">
                <a16:creationId xmlns:a16="http://schemas.microsoft.com/office/drawing/2014/main" id="{00000000-0008-0000-0300-00008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6" name="Straight Connector 533">
            <a:extLst>
              <a:ext uri="{FF2B5EF4-FFF2-40B4-BE49-F238E27FC236}">
                <a16:creationId xmlns:a16="http://schemas.microsoft.com/office/drawing/2014/main" id="{00000000-0008-0000-0300-00008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7" name="Straight Connector 535">
            <a:extLst>
              <a:ext uri="{FF2B5EF4-FFF2-40B4-BE49-F238E27FC236}">
                <a16:creationId xmlns:a16="http://schemas.microsoft.com/office/drawing/2014/main" id="{00000000-0008-0000-0300-00008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7">
            <a:extLst>
              <a:ext uri="{FF2B5EF4-FFF2-40B4-BE49-F238E27FC236}">
                <a16:creationId xmlns:a16="http://schemas.microsoft.com/office/drawing/2014/main" id="{00000000-0008-0000-0300-00008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111</xdr:row>
      <xdr:rowOff>0</xdr:rowOff>
    </xdr:from>
    <xdr:to>
      <xdr:col>6</xdr:col>
      <xdr:colOff>312963</xdr:colOff>
      <xdr:row>112</xdr:row>
      <xdr:rowOff>68036</xdr:rowOff>
    </xdr:to>
    <xdr:grpSp>
      <xdr:nvGrpSpPr>
        <xdr:cNvPr id="1419" name="Group 1008">
          <a:extLst>
            <a:ext uri="{FF2B5EF4-FFF2-40B4-BE49-F238E27FC236}">
              <a16:creationId xmlns:a16="http://schemas.microsoft.com/office/drawing/2014/main" id="{00000000-0008-0000-0300-00008B050000}"/>
            </a:ext>
          </a:extLst>
        </xdr:cNvPr>
        <xdr:cNvGrpSpPr>
          <a:grpSpLocks/>
        </xdr:cNvGrpSpPr>
      </xdr:nvGrpSpPr>
      <xdr:grpSpPr bwMode="auto">
        <a:xfrm>
          <a:off x="4179094" y="24419719"/>
          <a:ext cx="312963" cy="282348"/>
          <a:chOff x="5475762" y="47760700"/>
          <a:chExt cx="314325" cy="230209"/>
        </a:xfrm>
      </xdr:grpSpPr>
      <xdr:cxnSp macro="">
        <xdr:nvCxnSpPr>
          <xdr:cNvPr id="1420" name="Straight Connector 1419">
            <a:extLst>
              <a:ext uri="{FF2B5EF4-FFF2-40B4-BE49-F238E27FC236}">
                <a16:creationId xmlns:a16="http://schemas.microsoft.com/office/drawing/2014/main" id="{00000000-0008-0000-0300-00008C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1" name="Straight Connector 529">
            <a:extLst>
              <a:ext uri="{FF2B5EF4-FFF2-40B4-BE49-F238E27FC236}">
                <a16:creationId xmlns:a16="http://schemas.microsoft.com/office/drawing/2014/main" id="{00000000-0008-0000-0300-00008D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2" name="Straight Connector 531">
            <a:extLst>
              <a:ext uri="{FF2B5EF4-FFF2-40B4-BE49-F238E27FC236}">
                <a16:creationId xmlns:a16="http://schemas.microsoft.com/office/drawing/2014/main" id="{00000000-0008-0000-0300-00008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3" name="Straight Connector 533">
            <a:extLst>
              <a:ext uri="{FF2B5EF4-FFF2-40B4-BE49-F238E27FC236}">
                <a16:creationId xmlns:a16="http://schemas.microsoft.com/office/drawing/2014/main" id="{00000000-0008-0000-0300-00008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4" name="Straight Connector 535">
            <a:extLst>
              <a:ext uri="{FF2B5EF4-FFF2-40B4-BE49-F238E27FC236}">
                <a16:creationId xmlns:a16="http://schemas.microsoft.com/office/drawing/2014/main" id="{00000000-0008-0000-0300-00009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7">
            <a:extLst>
              <a:ext uri="{FF2B5EF4-FFF2-40B4-BE49-F238E27FC236}">
                <a16:creationId xmlns:a16="http://schemas.microsoft.com/office/drawing/2014/main" id="{00000000-0008-0000-0300-00009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111</xdr:row>
      <xdr:rowOff>0</xdr:rowOff>
    </xdr:from>
    <xdr:to>
      <xdr:col>12</xdr:col>
      <xdr:colOff>312963</xdr:colOff>
      <xdr:row>112</xdr:row>
      <xdr:rowOff>68036</xdr:rowOff>
    </xdr:to>
    <xdr:grpSp>
      <xdr:nvGrpSpPr>
        <xdr:cNvPr id="1426" name="Group 1008">
          <a:extLst>
            <a:ext uri="{FF2B5EF4-FFF2-40B4-BE49-F238E27FC236}">
              <a16:creationId xmlns:a16="http://schemas.microsoft.com/office/drawing/2014/main" id="{00000000-0008-0000-0300-000092050000}"/>
            </a:ext>
          </a:extLst>
        </xdr:cNvPr>
        <xdr:cNvGrpSpPr>
          <a:grpSpLocks/>
        </xdr:cNvGrpSpPr>
      </xdr:nvGrpSpPr>
      <xdr:grpSpPr bwMode="auto">
        <a:xfrm>
          <a:off x="8251031" y="24419719"/>
          <a:ext cx="312963" cy="282348"/>
          <a:chOff x="5475762" y="47760700"/>
          <a:chExt cx="314325" cy="230209"/>
        </a:xfrm>
      </xdr:grpSpPr>
      <xdr:cxnSp macro="">
        <xdr:nvCxnSpPr>
          <xdr:cNvPr id="1427" name="Straight Connector 1426">
            <a:extLst>
              <a:ext uri="{FF2B5EF4-FFF2-40B4-BE49-F238E27FC236}">
                <a16:creationId xmlns:a16="http://schemas.microsoft.com/office/drawing/2014/main" id="{00000000-0008-0000-0300-000093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8" name="Straight Connector 529">
            <a:extLst>
              <a:ext uri="{FF2B5EF4-FFF2-40B4-BE49-F238E27FC236}">
                <a16:creationId xmlns:a16="http://schemas.microsoft.com/office/drawing/2014/main" id="{00000000-0008-0000-0300-000094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9" name="Straight Connector 531">
            <a:extLst>
              <a:ext uri="{FF2B5EF4-FFF2-40B4-BE49-F238E27FC236}">
                <a16:creationId xmlns:a16="http://schemas.microsoft.com/office/drawing/2014/main" id="{00000000-0008-0000-0300-00009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0" name="Straight Connector 533">
            <a:extLst>
              <a:ext uri="{FF2B5EF4-FFF2-40B4-BE49-F238E27FC236}">
                <a16:creationId xmlns:a16="http://schemas.microsoft.com/office/drawing/2014/main" id="{00000000-0008-0000-0300-00009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1" name="Straight Connector 535">
            <a:extLst>
              <a:ext uri="{FF2B5EF4-FFF2-40B4-BE49-F238E27FC236}">
                <a16:creationId xmlns:a16="http://schemas.microsoft.com/office/drawing/2014/main" id="{00000000-0008-0000-0300-00009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7">
            <a:extLst>
              <a:ext uri="{FF2B5EF4-FFF2-40B4-BE49-F238E27FC236}">
                <a16:creationId xmlns:a16="http://schemas.microsoft.com/office/drawing/2014/main" id="{00000000-0008-0000-0300-00009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111</xdr:row>
      <xdr:rowOff>0</xdr:rowOff>
    </xdr:from>
    <xdr:to>
      <xdr:col>14</xdr:col>
      <xdr:colOff>312963</xdr:colOff>
      <xdr:row>112</xdr:row>
      <xdr:rowOff>68036</xdr:rowOff>
    </xdr:to>
    <xdr:grpSp>
      <xdr:nvGrpSpPr>
        <xdr:cNvPr id="1433" name="Group 1008">
          <a:extLst>
            <a:ext uri="{FF2B5EF4-FFF2-40B4-BE49-F238E27FC236}">
              <a16:creationId xmlns:a16="http://schemas.microsoft.com/office/drawing/2014/main" id="{00000000-0008-0000-0300-000099050000}"/>
            </a:ext>
          </a:extLst>
        </xdr:cNvPr>
        <xdr:cNvGrpSpPr>
          <a:grpSpLocks/>
        </xdr:cNvGrpSpPr>
      </xdr:nvGrpSpPr>
      <xdr:grpSpPr bwMode="auto">
        <a:xfrm>
          <a:off x="9489281" y="24419719"/>
          <a:ext cx="312963" cy="282348"/>
          <a:chOff x="5475762" y="47760700"/>
          <a:chExt cx="314325" cy="230209"/>
        </a:xfrm>
      </xdr:grpSpPr>
      <xdr:cxnSp macro="">
        <xdr:nvCxnSpPr>
          <xdr:cNvPr id="1434" name="Straight Connector 1433">
            <a:extLst>
              <a:ext uri="{FF2B5EF4-FFF2-40B4-BE49-F238E27FC236}">
                <a16:creationId xmlns:a16="http://schemas.microsoft.com/office/drawing/2014/main" id="{00000000-0008-0000-0300-00009A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5" name="Straight Connector 529">
            <a:extLst>
              <a:ext uri="{FF2B5EF4-FFF2-40B4-BE49-F238E27FC236}">
                <a16:creationId xmlns:a16="http://schemas.microsoft.com/office/drawing/2014/main" id="{00000000-0008-0000-0300-00009B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6" name="Straight Connector 531">
            <a:extLst>
              <a:ext uri="{FF2B5EF4-FFF2-40B4-BE49-F238E27FC236}">
                <a16:creationId xmlns:a16="http://schemas.microsoft.com/office/drawing/2014/main" id="{00000000-0008-0000-0300-00009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7" name="Straight Connector 533">
            <a:extLst>
              <a:ext uri="{FF2B5EF4-FFF2-40B4-BE49-F238E27FC236}">
                <a16:creationId xmlns:a16="http://schemas.microsoft.com/office/drawing/2014/main" id="{00000000-0008-0000-0300-00009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8" name="Straight Connector 535">
            <a:extLst>
              <a:ext uri="{FF2B5EF4-FFF2-40B4-BE49-F238E27FC236}">
                <a16:creationId xmlns:a16="http://schemas.microsoft.com/office/drawing/2014/main" id="{00000000-0008-0000-0300-00009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7">
            <a:extLst>
              <a:ext uri="{FF2B5EF4-FFF2-40B4-BE49-F238E27FC236}">
                <a16:creationId xmlns:a16="http://schemas.microsoft.com/office/drawing/2014/main" id="{00000000-0008-0000-0300-00009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111</xdr:row>
      <xdr:rowOff>0</xdr:rowOff>
    </xdr:from>
    <xdr:to>
      <xdr:col>16</xdr:col>
      <xdr:colOff>312963</xdr:colOff>
      <xdr:row>112</xdr:row>
      <xdr:rowOff>68036</xdr:rowOff>
    </xdr:to>
    <xdr:grpSp>
      <xdr:nvGrpSpPr>
        <xdr:cNvPr id="1440" name="Group 1008">
          <a:extLst>
            <a:ext uri="{FF2B5EF4-FFF2-40B4-BE49-F238E27FC236}">
              <a16:creationId xmlns:a16="http://schemas.microsoft.com/office/drawing/2014/main" id="{00000000-0008-0000-0300-0000A0050000}"/>
            </a:ext>
          </a:extLst>
        </xdr:cNvPr>
        <xdr:cNvGrpSpPr>
          <a:grpSpLocks/>
        </xdr:cNvGrpSpPr>
      </xdr:nvGrpSpPr>
      <xdr:grpSpPr bwMode="auto">
        <a:xfrm>
          <a:off x="10775156" y="24419719"/>
          <a:ext cx="312963" cy="282348"/>
          <a:chOff x="5475762" y="47760700"/>
          <a:chExt cx="314325" cy="230209"/>
        </a:xfrm>
      </xdr:grpSpPr>
      <xdr:cxnSp macro="">
        <xdr:nvCxnSpPr>
          <xdr:cNvPr id="1441" name="Straight Connector 1440">
            <a:extLst>
              <a:ext uri="{FF2B5EF4-FFF2-40B4-BE49-F238E27FC236}">
                <a16:creationId xmlns:a16="http://schemas.microsoft.com/office/drawing/2014/main" id="{00000000-0008-0000-0300-0000A1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2" name="Straight Connector 529">
            <a:extLst>
              <a:ext uri="{FF2B5EF4-FFF2-40B4-BE49-F238E27FC236}">
                <a16:creationId xmlns:a16="http://schemas.microsoft.com/office/drawing/2014/main" id="{00000000-0008-0000-0300-0000A2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3" name="Straight Connector 531">
            <a:extLst>
              <a:ext uri="{FF2B5EF4-FFF2-40B4-BE49-F238E27FC236}">
                <a16:creationId xmlns:a16="http://schemas.microsoft.com/office/drawing/2014/main" id="{00000000-0008-0000-0300-0000A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4" name="Straight Connector 533">
            <a:extLst>
              <a:ext uri="{FF2B5EF4-FFF2-40B4-BE49-F238E27FC236}">
                <a16:creationId xmlns:a16="http://schemas.microsoft.com/office/drawing/2014/main" id="{00000000-0008-0000-0300-0000A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5" name="Straight Connector 535">
            <a:extLst>
              <a:ext uri="{FF2B5EF4-FFF2-40B4-BE49-F238E27FC236}">
                <a16:creationId xmlns:a16="http://schemas.microsoft.com/office/drawing/2014/main" id="{00000000-0008-0000-0300-0000A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7">
            <a:extLst>
              <a:ext uri="{FF2B5EF4-FFF2-40B4-BE49-F238E27FC236}">
                <a16:creationId xmlns:a16="http://schemas.microsoft.com/office/drawing/2014/main" id="{00000000-0008-0000-0300-0000A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111</xdr:row>
      <xdr:rowOff>0</xdr:rowOff>
    </xdr:from>
    <xdr:to>
      <xdr:col>18</xdr:col>
      <xdr:colOff>312963</xdr:colOff>
      <xdr:row>112</xdr:row>
      <xdr:rowOff>68036</xdr:rowOff>
    </xdr:to>
    <xdr:grpSp>
      <xdr:nvGrpSpPr>
        <xdr:cNvPr id="1447" name="Group 1008">
          <a:extLst>
            <a:ext uri="{FF2B5EF4-FFF2-40B4-BE49-F238E27FC236}">
              <a16:creationId xmlns:a16="http://schemas.microsoft.com/office/drawing/2014/main" id="{00000000-0008-0000-0300-0000A7050000}"/>
            </a:ext>
          </a:extLst>
        </xdr:cNvPr>
        <xdr:cNvGrpSpPr>
          <a:grpSpLocks/>
        </xdr:cNvGrpSpPr>
      </xdr:nvGrpSpPr>
      <xdr:grpSpPr bwMode="auto">
        <a:xfrm>
          <a:off x="12108656" y="24419719"/>
          <a:ext cx="312963" cy="282348"/>
          <a:chOff x="5475762" y="47760700"/>
          <a:chExt cx="314325" cy="230209"/>
        </a:xfrm>
      </xdr:grpSpPr>
      <xdr:cxnSp macro="">
        <xdr:nvCxnSpPr>
          <xdr:cNvPr id="1448" name="Straight Connector 1447">
            <a:extLst>
              <a:ext uri="{FF2B5EF4-FFF2-40B4-BE49-F238E27FC236}">
                <a16:creationId xmlns:a16="http://schemas.microsoft.com/office/drawing/2014/main" id="{00000000-0008-0000-0300-0000A8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9" name="Straight Connector 529">
            <a:extLst>
              <a:ext uri="{FF2B5EF4-FFF2-40B4-BE49-F238E27FC236}">
                <a16:creationId xmlns:a16="http://schemas.microsoft.com/office/drawing/2014/main" id="{00000000-0008-0000-0300-0000A9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0" name="Straight Connector 531">
            <a:extLst>
              <a:ext uri="{FF2B5EF4-FFF2-40B4-BE49-F238E27FC236}">
                <a16:creationId xmlns:a16="http://schemas.microsoft.com/office/drawing/2014/main" id="{00000000-0008-0000-0300-0000A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1" name="Straight Connector 533">
            <a:extLst>
              <a:ext uri="{FF2B5EF4-FFF2-40B4-BE49-F238E27FC236}">
                <a16:creationId xmlns:a16="http://schemas.microsoft.com/office/drawing/2014/main" id="{00000000-0008-0000-0300-0000A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2" name="Straight Connector 535">
            <a:extLst>
              <a:ext uri="{FF2B5EF4-FFF2-40B4-BE49-F238E27FC236}">
                <a16:creationId xmlns:a16="http://schemas.microsoft.com/office/drawing/2014/main" id="{00000000-0008-0000-0300-0000A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7">
            <a:extLst>
              <a:ext uri="{FF2B5EF4-FFF2-40B4-BE49-F238E27FC236}">
                <a16:creationId xmlns:a16="http://schemas.microsoft.com/office/drawing/2014/main" id="{00000000-0008-0000-0300-0000A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111</xdr:row>
      <xdr:rowOff>0</xdr:rowOff>
    </xdr:from>
    <xdr:to>
      <xdr:col>20</xdr:col>
      <xdr:colOff>312963</xdr:colOff>
      <xdr:row>112</xdr:row>
      <xdr:rowOff>68036</xdr:rowOff>
    </xdr:to>
    <xdr:grpSp>
      <xdr:nvGrpSpPr>
        <xdr:cNvPr id="1454" name="Group 1008">
          <a:extLst>
            <a:ext uri="{FF2B5EF4-FFF2-40B4-BE49-F238E27FC236}">
              <a16:creationId xmlns:a16="http://schemas.microsoft.com/office/drawing/2014/main" id="{00000000-0008-0000-0300-0000AE050000}"/>
            </a:ext>
          </a:extLst>
        </xdr:cNvPr>
        <xdr:cNvGrpSpPr>
          <a:grpSpLocks/>
        </xdr:cNvGrpSpPr>
      </xdr:nvGrpSpPr>
      <xdr:grpSpPr bwMode="auto">
        <a:xfrm>
          <a:off x="13251656" y="24419719"/>
          <a:ext cx="312963" cy="282348"/>
          <a:chOff x="5475762" y="47760700"/>
          <a:chExt cx="314325" cy="230209"/>
        </a:xfrm>
      </xdr:grpSpPr>
      <xdr:cxnSp macro="">
        <xdr:nvCxnSpPr>
          <xdr:cNvPr id="1455" name="Straight Connector 1454">
            <a:extLst>
              <a:ext uri="{FF2B5EF4-FFF2-40B4-BE49-F238E27FC236}">
                <a16:creationId xmlns:a16="http://schemas.microsoft.com/office/drawing/2014/main" id="{00000000-0008-0000-0300-0000AF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6" name="Straight Connector 529">
            <a:extLst>
              <a:ext uri="{FF2B5EF4-FFF2-40B4-BE49-F238E27FC236}">
                <a16:creationId xmlns:a16="http://schemas.microsoft.com/office/drawing/2014/main" id="{00000000-0008-0000-0300-0000B0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7" name="Straight Connector 531">
            <a:extLst>
              <a:ext uri="{FF2B5EF4-FFF2-40B4-BE49-F238E27FC236}">
                <a16:creationId xmlns:a16="http://schemas.microsoft.com/office/drawing/2014/main" id="{00000000-0008-0000-0300-0000B1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8" name="Straight Connector 533">
            <a:extLst>
              <a:ext uri="{FF2B5EF4-FFF2-40B4-BE49-F238E27FC236}">
                <a16:creationId xmlns:a16="http://schemas.microsoft.com/office/drawing/2014/main" id="{00000000-0008-0000-0300-0000B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9" name="Straight Connector 535">
            <a:extLst>
              <a:ext uri="{FF2B5EF4-FFF2-40B4-BE49-F238E27FC236}">
                <a16:creationId xmlns:a16="http://schemas.microsoft.com/office/drawing/2014/main" id="{00000000-0008-0000-0300-0000B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7">
            <a:extLst>
              <a:ext uri="{FF2B5EF4-FFF2-40B4-BE49-F238E27FC236}">
                <a16:creationId xmlns:a16="http://schemas.microsoft.com/office/drawing/2014/main" id="{00000000-0008-0000-0300-0000B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111</xdr:row>
      <xdr:rowOff>0</xdr:rowOff>
    </xdr:from>
    <xdr:to>
      <xdr:col>24</xdr:col>
      <xdr:colOff>312963</xdr:colOff>
      <xdr:row>112</xdr:row>
      <xdr:rowOff>68036</xdr:rowOff>
    </xdr:to>
    <xdr:grpSp>
      <xdr:nvGrpSpPr>
        <xdr:cNvPr id="1461" name="Group 1008">
          <a:extLst>
            <a:ext uri="{FF2B5EF4-FFF2-40B4-BE49-F238E27FC236}">
              <a16:creationId xmlns:a16="http://schemas.microsoft.com/office/drawing/2014/main" id="{00000000-0008-0000-0300-0000B5050000}"/>
            </a:ext>
          </a:extLst>
        </xdr:cNvPr>
        <xdr:cNvGrpSpPr>
          <a:grpSpLocks/>
        </xdr:cNvGrpSpPr>
      </xdr:nvGrpSpPr>
      <xdr:grpSpPr bwMode="auto">
        <a:xfrm>
          <a:off x="15942469" y="24419719"/>
          <a:ext cx="312963" cy="282348"/>
          <a:chOff x="5475762" y="47760700"/>
          <a:chExt cx="314325" cy="230209"/>
        </a:xfrm>
      </xdr:grpSpPr>
      <xdr:cxnSp macro="">
        <xdr:nvCxnSpPr>
          <xdr:cNvPr id="1462" name="Straight Connector 1461">
            <a:extLst>
              <a:ext uri="{FF2B5EF4-FFF2-40B4-BE49-F238E27FC236}">
                <a16:creationId xmlns:a16="http://schemas.microsoft.com/office/drawing/2014/main" id="{00000000-0008-0000-0300-0000B6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3" name="Straight Connector 529">
            <a:extLst>
              <a:ext uri="{FF2B5EF4-FFF2-40B4-BE49-F238E27FC236}">
                <a16:creationId xmlns:a16="http://schemas.microsoft.com/office/drawing/2014/main" id="{00000000-0008-0000-0300-0000B7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4" name="Straight Connector 531">
            <a:extLst>
              <a:ext uri="{FF2B5EF4-FFF2-40B4-BE49-F238E27FC236}">
                <a16:creationId xmlns:a16="http://schemas.microsoft.com/office/drawing/2014/main" id="{00000000-0008-0000-0300-0000B8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5" name="Straight Connector 533">
            <a:extLst>
              <a:ext uri="{FF2B5EF4-FFF2-40B4-BE49-F238E27FC236}">
                <a16:creationId xmlns:a16="http://schemas.microsoft.com/office/drawing/2014/main" id="{00000000-0008-0000-0300-0000B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6" name="Straight Connector 535">
            <a:extLst>
              <a:ext uri="{FF2B5EF4-FFF2-40B4-BE49-F238E27FC236}">
                <a16:creationId xmlns:a16="http://schemas.microsoft.com/office/drawing/2014/main" id="{00000000-0008-0000-0300-0000B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7">
            <a:extLst>
              <a:ext uri="{FF2B5EF4-FFF2-40B4-BE49-F238E27FC236}">
                <a16:creationId xmlns:a16="http://schemas.microsoft.com/office/drawing/2014/main" id="{00000000-0008-0000-0300-0000B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118</xdr:row>
      <xdr:rowOff>0</xdr:rowOff>
    </xdr:from>
    <xdr:to>
      <xdr:col>2</xdr:col>
      <xdr:colOff>312963</xdr:colOff>
      <xdr:row>119</xdr:row>
      <xdr:rowOff>68036</xdr:rowOff>
    </xdr:to>
    <xdr:grpSp>
      <xdr:nvGrpSpPr>
        <xdr:cNvPr id="1468" name="Group 1008">
          <a:extLst>
            <a:ext uri="{FF2B5EF4-FFF2-40B4-BE49-F238E27FC236}">
              <a16:creationId xmlns:a16="http://schemas.microsoft.com/office/drawing/2014/main" id="{00000000-0008-0000-0300-0000BC050000}"/>
            </a:ext>
          </a:extLst>
        </xdr:cNvPr>
        <xdr:cNvGrpSpPr>
          <a:grpSpLocks/>
        </xdr:cNvGrpSpPr>
      </xdr:nvGrpSpPr>
      <xdr:grpSpPr bwMode="auto">
        <a:xfrm>
          <a:off x="1535906" y="25884188"/>
          <a:ext cx="312963" cy="270442"/>
          <a:chOff x="5475762" y="47760700"/>
          <a:chExt cx="314325" cy="230209"/>
        </a:xfrm>
      </xdr:grpSpPr>
      <xdr:cxnSp macro="">
        <xdr:nvCxnSpPr>
          <xdr:cNvPr id="1469" name="Straight Connector 1468">
            <a:extLst>
              <a:ext uri="{FF2B5EF4-FFF2-40B4-BE49-F238E27FC236}">
                <a16:creationId xmlns:a16="http://schemas.microsoft.com/office/drawing/2014/main" id="{00000000-0008-0000-0300-0000BD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0" name="Straight Connector 529">
            <a:extLst>
              <a:ext uri="{FF2B5EF4-FFF2-40B4-BE49-F238E27FC236}">
                <a16:creationId xmlns:a16="http://schemas.microsoft.com/office/drawing/2014/main" id="{00000000-0008-0000-0300-0000BE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1" name="Straight Connector 531">
            <a:extLst>
              <a:ext uri="{FF2B5EF4-FFF2-40B4-BE49-F238E27FC236}">
                <a16:creationId xmlns:a16="http://schemas.microsoft.com/office/drawing/2014/main" id="{00000000-0008-0000-0300-0000BF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2" name="Straight Connector 533">
            <a:extLst>
              <a:ext uri="{FF2B5EF4-FFF2-40B4-BE49-F238E27FC236}">
                <a16:creationId xmlns:a16="http://schemas.microsoft.com/office/drawing/2014/main" id="{00000000-0008-0000-0300-0000C0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3" name="Straight Connector 535">
            <a:extLst>
              <a:ext uri="{FF2B5EF4-FFF2-40B4-BE49-F238E27FC236}">
                <a16:creationId xmlns:a16="http://schemas.microsoft.com/office/drawing/2014/main" id="{00000000-0008-0000-0300-0000C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7">
            <a:extLst>
              <a:ext uri="{FF2B5EF4-FFF2-40B4-BE49-F238E27FC236}">
                <a16:creationId xmlns:a16="http://schemas.microsoft.com/office/drawing/2014/main" id="{00000000-0008-0000-0300-0000C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118</xdr:row>
      <xdr:rowOff>0</xdr:rowOff>
    </xdr:from>
    <xdr:to>
      <xdr:col>4</xdr:col>
      <xdr:colOff>312963</xdr:colOff>
      <xdr:row>119</xdr:row>
      <xdr:rowOff>68036</xdr:rowOff>
    </xdr:to>
    <xdr:grpSp>
      <xdr:nvGrpSpPr>
        <xdr:cNvPr id="1475" name="Group 1008">
          <a:extLst>
            <a:ext uri="{FF2B5EF4-FFF2-40B4-BE49-F238E27FC236}">
              <a16:creationId xmlns:a16="http://schemas.microsoft.com/office/drawing/2014/main" id="{00000000-0008-0000-0300-0000C3050000}"/>
            </a:ext>
          </a:extLst>
        </xdr:cNvPr>
        <xdr:cNvGrpSpPr>
          <a:grpSpLocks/>
        </xdr:cNvGrpSpPr>
      </xdr:nvGrpSpPr>
      <xdr:grpSpPr bwMode="auto">
        <a:xfrm>
          <a:off x="2809875" y="25884188"/>
          <a:ext cx="312963" cy="270442"/>
          <a:chOff x="5475762" y="47760700"/>
          <a:chExt cx="314325" cy="230209"/>
        </a:xfrm>
      </xdr:grpSpPr>
      <xdr:cxnSp macro="">
        <xdr:nvCxnSpPr>
          <xdr:cNvPr id="1476" name="Straight Connector 1475">
            <a:extLst>
              <a:ext uri="{FF2B5EF4-FFF2-40B4-BE49-F238E27FC236}">
                <a16:creationId xmlns:a16="http://schemas.microsoft.com/office/drawing/2014/main" id="{00000000-0008-0000-0300-0000C4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7" name="Straight Connector 529">
            <a:extLst>
              <a:ext uri="{FF2B5EF4-FFF2-40B4-BE49-F238E27FC236}">
                <a16:creationId xmlns:a16="http://schemas.microsoft.com/office/drawing/2014/main" id="{00000000-0008-0000-0300-0000C5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8" name="Straight Connector 531">
            <a:extLst>
              <a:ext uri="{FF2B5EF4-FFF2-40B4-BE49-F238E27FC236}">
                <a16:creationId xmlns:a16="http://schemas.microsoft.com/office/drawing/2014/main" id="{00000000-0008-0000-0300-0000C6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9" name="Straight Connector 533">
            <a:extLst>
              <a:ext uri="{FF2B5EF4-FFF2-40B4-BE49-F238E27FC236}">
                <a16:creationId xmlns:a16="http://schemas.microsoft.com/office/drawing/2014/main" id="{00000000-0008-0000-0300-0000C7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0" name="Straight Connector 535">
            <a:extLst>
              <a:ext uri="{FF2B5EF4-FFF2-40B4-BE49-F238E27FC236}">
                <a16:creationId xmlns:a16="http://schemas.microsoft.com/office/drawing/2014/main" id="{00000000-0008-0000-0300-0000C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7">
            <a:extLst>
              <a:ext uri="{FF2B5EF4-FFF2-40B4-BE49-F238E27FC236}">
                <a16:creationId xmlns:a16="http://schemas.microsoft.com/office/drawing/2014/main" id="{00000000-0008-0000-0300-0000C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118</xdr:row>
      <xdr:rowOff>0</xdr:rowOff>
    </xdr:from>
    <xdr:to>
      <xdr:col>6</xdr:col>
      <xdr:colOff>312963</xdr:colOff>
      <xdr:row>119</xdr:row>
      <xdr:rowOff>68036</xdr:rowOff>
    </xdr:to>
    <xdr:grpSp>
      <xdr:nvGrpSpPr>
        <xdr:cNvPr id="1482" name="Group 1008">
          <a:extLst>
            <a:ext uri="{FF2B5EF4-FFF2-40B4-BE49-F238E27FC236}">
              <a16:creationId xmlns:a16="http://schemas.microsoft.com/office/drawing/2014/main" id="{00000000-0008-0000-0300-0000CA050000}"/>
            </a:ext>
          </a:extLst>
        </xdr:cNvPr>
        <xdr:cNvGrpSpPr>
          <a:grpSpLocks/>
        </xdr:cNvGrpSpPr>
      </xdr:nvGrpSpPr>
      <xdr:grpSpPr bwMode="auto">
        <a:xfrm>
          <a:off x="4179094" y="25884188"/>
          <a:ext cx="312963" cy="270442"/>
          <a:chOff x="5475762" y="47760700"/>
          <a:chExt cx="314325" cy="230209"/>
        </a:xfrm>
      </xdr:grpSpPr>
      <xdr:cxnSp macro="">
        <xdr:nvCxnSpPr>
          <xdr:cNvPr id="1483" name="Straight Connector 1482">
            <a:extLst>
              <a:ext uri="{FF2B5EF4-FFF2-40B4-BE49-F238E27FC236}">
                <a16:creationId xmlns:a16="http://schemas.microsoft.com/office/drawing/2014/main" id="{00000000-0008-0000-0300-0000CB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4" name="Straight Connector 529">
            <a:extLst>
              <a:ext uri="{FF2B5EF4-FFF2-40B4-BE49-F238E27FC236}">
                <a16:creationId xmlns:a16="http://schemas.microsoft.com/office/drawing/2014/main" id="{00000000-0008-0000-0300-0000CC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5" name="Straight Connector 531">
            <a:extLst>
              <a:ext uri="{FF2B5EF4-FFF2-40B4-BE49-F238E27FC236}">
                <a16:creationId xmlns:a16="http://schemas.microsoft.com/office/drawing/2014/main" id="{00000000-0008-0000-0300-0000CD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6" name="Straight Connector 533">
            <a:extLst>
              <a:ext uri="{FF2B5EF4-FFF2-40B4-BE49-F238E27FC236}">
                <a16:creationId xmlns:a16="http://schemas.microsoft.com/office/drawing/2014/main" id="{00000000-0008-0000-0300-0000CE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7" name="Straight Connector 535">
            <a:extLst>
              <a:ext uri="{FF2B5EF4-FFF2-40B4-BE49-F238E27FC236}">
                <a16:creationId xmlns:a16="http://schemas.microsoft.com/office/drawing/2014/main" id="{00000000-0008-0000-0300-0000C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7">
            <a:extLst>
              <a:ext uri="{FF2B5EF4-FFF2-40B4-BE49-F238E27FC236}">
                <a16:creationId xmlns:a16="http://schemas.microsoft.com/office/drawing/2014/main" id="{00000000-0008-0000-0300-0000D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118</xdr:row>
      <xdr:rowOff>0</xdr:rowOff>
    </xdr:from>
    <xdr:to>
      <xdr:col>8</xdr:col>
      <xdr:colOff>312963</xdr:colOff>
      <xdr:row>119</xdr:row>
      <xdr:rowOff>68036</xdr:rowOff>
    </xdr:to>
    <xdr:grpSp>
      <xdr:nvGrpSpPr>
        <xdr:cNvPr id="1489" name="Group 1008">
          <a:extLst>
            <a:ext uri="{FF2B5EF4-FFF2-40B4-BE49-F238E27FC236}">
              <a16:creationId xmlns:a16="http://schemas.microsoft.com/office/drawing/2014/main" id="{00000000-0008-0000-0300-0000D1050000}"/>
            </a:ext>
          </a:extLst>
        </xdr:cNvPr>
        <xdr:cNvGrpSpPr>
          <a:grpSpLocks/>
        </xdr:cNvGrpSpPr>
      </xdr:nvGrpSpPr>
      <xdr:grpSpPr bwMode="auto">
        <a:xfrm>
          <a:off x="5500688" y="25884188"/>
          <a:ext cx="312963" cy="270442"/>
          <a:chOff x="5475762" y="47760700"/>
          <a:chExt cx="314325" cy="230209"/>
        </a:xfrm>
      </xdr:grpSpPr>
      <xdr:cxnSp macro="">
        <xdr:nvCxnSpPr>
          <xdr:cNvPr id="1490" name="Straight Connector 1489">
            <a:extLst>
              <a:ext uri="{FF2B5EF4-FFF2-40B4-BE49-F238E27FC236}">
                <a16:creationId xmlns:a16="http://schemas.microsoft.com/office/drawing/2014/main" id="{00000000-0008-0000-0300-0000D2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1" name="Straight Connector 529">
            <a:extLst>
              <a:ext uri="{FF2B5EF4-FFF2-40B4-BE49-F238E27FC236}">
                <a16:creationId xmlns:a16="http://schemas.microsoft.com/office/drawing/2014/main" id="{00000000-0008-0000-0300-0000D3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2" name="Straight Connector 531">
            <a:extLst>
              <a:ext uri="{FF2B5EF4-FFF2-40B4-BE49-F238E27FC236}">
                <a16:creationId xmlns:a16="http://schemas.microsoft.com/office/drawing/2014/main" id="{00000000-0008-0000-0300-0000D4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3" name="Straight Connector 533">
            <a:extLst>
              <a:ext uri="{FF2B5EF4-FFF2-40B4-BE49-F238E27FC236}">
                <a16:creationId xmlns:a16="http://schemas.microsoft.com/office/drawing/2014/main" id="{00000000-0008-0000-0300-0000D5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4" name="Straight Connector 535">
            <a:extLst>
              <a:ext uri="{FF2B5EF4-FFF2-40B4-BE49-F238E27FC236}">
                <a16:creationId xmlns:a16="http://schemas.microsoft.com/office/drawing/2014/main" id="{00000000-0008-0000-0300-0000D6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7">
            <a:extLst>
              <a:ext uri="{FF2B5EF4-FFF2-40B4-BE49-F238E27FC236}">
                <a16:creationId xmlns:a16="http://schemas.microsoft.com/office/drawing/2014/main" id="{00000000-0008-0000-0300-0000D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118</xdr:row>
      <xdr:rowOff>0</xdr:rowOff>
    </xdr:from>
    <xdr:to>
      <xdr:col>10</xdr:col>
      <xdr:colOff>312963</xdr:colOff>
      <xdr:row>119</xdr:row>
      <xdr:rowOff>68036</xdr:rowOff>
    </xdr:to>
    <xdr:grpSp>
      <xdr:nvGrpSpPr>
        <xdr:cNvPr id="1496" name="Group 1008">
          <a:extLst>
            <a:ext uri="{FF2B5EF4-FFF2-40B4-BE49-F238E27FC236}">
              <a16:creationId xmlns:a16="http://schemas.microsoft.com/office/drawing/2014/main" id="{00000000-0008-0000-0300-0000D8050000}"/>
            </a:ext>
          </a:extLst>
        </xdr:cNvPr>
        <xdr:cNvGrpSpPr>
          <a:grpSpLocks/>
        </xdr:cNvGrpSpPr>
      </xdr:nvGrpSpPr>
      <xdr:grpSpPr bwMode="auto">
        <a:xfrm>
          <a:off x="6929438" y="25884188"/>
          <a:ext cx="312963" cy="270442"/>
          <a:chOff x="5475762" y="47760700"/>
          <a:chExt cx="314325" cy="230209"/>
        </a:xfrm>
      </xdr:grpSpPr>
      <xdr:cxnSp macro="">
        <xdr:nvCxnSpPr>
          <xdr:cNvPr id="1497" name="Straight Connector 1496">
            <a:extLst>
              <a:ext uri="{FF2B5EF4-FFF2-40B4-BE49-F238E27FC236}">
                <a16:creationId xmlns:a16="http://schemas.microsoft.com/office/drawing/2014/main" id="{00000000-0008-0000-0300-0000D9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8" name="Straight Connector 529">
            <a:extLst>
              <a:ext uri="{FF2B5EF4-FFF2-40B4-BE49-F238E27FC236}">
                <a16:creationId xmlns:a16="http://schemas.microsoft.com/office/drawing/2014/main" id="{00000000-0008-0000-0300-0000DA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9" name="Straight Connector 531">
            <a:extLst>
              <a:ext uri="{FF2B5EF4-FFF2-40B4-BE49-F238E27FC236}">
                <a16:creationId xmlns:a16="http://schemas.microsoft.com/office/drawing/2014/main" id="{00000000-0008-0000-0300-0000DB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0" name="Straight Connector 533">
            <a:extLst>
              <a:ext uri="{FF2B5EF4-FFF2-40B4-BE49-F238E27FC236}">
                <a16:creationId xmlns:a16="http://schemas.microsoft.com/office/drawing/2014/main" id="{00000000-0008-0000-0300-0000DC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1" name="Straight Connector 535">
            <a:extLst>
              <a:ext uri="{FF2B5EF4-FFF2-40B4-BE49-F238E27FC236}">
                <a16:creationId xmlns:a16="http://schemas.microsoft.com/office/drawing/2014/main" id="{00000000-0008-0000-0300-0000DD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7">
            <a:extLst>
              <a:ext uri="{FF2B5EF4-FFF2-40B4-BE49-F238E27FC236}">
                <a16:creationId xmlns:a16="http://schemas.microsoft.com/office/drawing/2014/main" id="{00000000-0008-0000-0300-0000D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118</xdr:row>
      <xdr:rowOff>0</xdr:rowOff>
    </xdr:from>
    <xdr:to>
      <xdr:col>12</xdr:col>
      <xdr:colOff>312963</xdr:colOff>
      <xdr:row>119</xdr:row>
      <xdr:rowOff>68036</xdr:rowOff>
    </xdr:to>
    <xdr:grpSp>
      <xdr:nvGrpSpPr>
        <xdr:cNvPr id="1503" name="Group 1008">
          <a:extLst>
            <a:ext uri="{FF2B5EF4-FFF2-40B4-BE49-F238E27FC236}">
              <a16:creationId xmlns:a16="http://schemas.microsoft.com/office/drawing/2014/main" id="{00000000-0008-0000-0300-0000DF050000}"/>
            </a:ext>
          </a:extLst>
        </xdr:cNvPr>
        <xdr:cNvGrpSpPr>
          <a:grpSpLocks/>
        </xdr:cNvGrpSpPr>
      </xdr:nvGrpSpPr>
      <xdr:grpSpPr bwMode="auto">
        <a:xfrm>
          <a:off x="8251031" y="25884188"/>
          <a:ext cx="312963" cy="270442"/>
          <a:chOff x="5475762" y="47760700"/>
          <a:chExt cx="314325" cy="230209"/>
        </a:xfrm>
      </xdr:grpSpPr>
      <xdr:cxnSp macro="">
        <xdr:nvCxnSpPr>
          <xdr:cNvPr id="1504" name="Straight Connector 1503">
            <a:extLst>
              <a:ext uri="{FF2B5EF4-FFF2-40B4-BE49-F238E27FC236}">
                <a16:creationId xmlns:a16="http://schemas.microsoft.com/office/drawing/2014/main" id="{00000000-0008-0000-0300-0000E0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5" name="Straight Connector 529">
            <a:extLst>
              <a:ext uri="{FF2B5EF4-FFF2-40B4-BE49-F238E27FC236}">
                <a16:creationId xmlns:a16="http://schemas.microsoft.com/office/drawing/2014/main" id="{00000000-0008-0000-0300-0000E1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6" name="Straight Connector 531">
            <a:extLst>
              <a:ext uri="{FF2B5EF4-FFF2-40B4-BE49-F238E27FC236}">
                <a16:creationId xmlns:a16="http://schemas.microsoft.com/office/drawing/2014/main" id="{00000000-0008-0000-0300-0000E2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7" name="Straight Connector 533">
            <a:extLst>
              <a:ext uri="{FF2B5EF4-FFF2-40B4-BE49-F238E27FC236}">
                <a16:creationId xmlns:a16="http://schemas.microsoft.com/office/drawing/2014/main" id="{00000000-0008-0000-0300-0000E3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8" name="Straight Connector 535">
            <a:extLst>
              <a:ext uri="{FF2B5EF4-FFF2-40B4-BE49-F238E27FC236}">
                <a16:creationId xmlns:a16="http://schemas.microsoft.com/office/drawing/2014/main" id="{00000000-0008-0000-0300-0000E4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7">
            <a:extLst>
              <a:ext uri="{FF2B5EF4-FFF2-40B4-BE49-F238E27FC236}">
                <a16:creationId xmlns:a16="http://schemas.microsoft.com/office/drawing/2014/main" id="{00000000-0008-0000-0300-0000E5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118</xdr:row>
      <xdr:rowOff>0</xdr:rowOff>
    </xdr:from>
    <xdr:to>
      <xdr:col>14</xdr:col>
      <xdr:colOff>312963</xdr:colOff>
      <xdr:row>119</xdr:row>
      <xdr:rowOff>68036</xdr:rowOff>
    </xdr:to>
    <xdr:grpSp>
      <xdr:nvGrpSpPr>
        <xdr:cNvPr id="1510" name="Group 1008">
          <a:extLst>
            <a:ext uri="{FF2B5EF4-FFF2-40B4-BE49-F238E27FC236}">
              <a16:creationId xmlns:a16="http://schemas.microsoft.com/office/drawing/2014/main" id="{00000000-0008-0000-0300-0000E6050000}"/>
            </a:ext>
          </a:extLst>
        </xdr:cNvPr>
        <xdr:cNvGrpSpPr>
          <a:grpSpLocks/>
        </xdr:cNvGrpSpPr>
      </xdr:nvGrpSpPr>
      <xdr:grpSpPr bwMode="auto">
        <a:xfrm>
          <a:off x="9489281" y="25884188"/>
          <a:ext cx="312963" cy="270442"/>
          <a:chOff x="5475762" y="47760700"/>
          <a:chExt cx="314325" cy="230209"/>
        </a:xfrm>
      </xdr:grpSpPr>
      <xdr:cxnSp macro="">
        <xdr:nvCxnSpPr>
          <xdr:cNvPr id="1511" name="Straight Connector 1510">
            <a:extLst>
              <a:ext uri="{FF2B5EF4-FFF2-40B4-BE49-F238E27FC236}">
                <a16:creationId xmlns:a16="http://schemas.microsoft.com/office/drawing/2014/main" id="{00000000-0008-0000-0300-0000E7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2" name="Straight Connector 529">
            <a:extLst>
              <a:ext uri="{FF2B5EF4-FFF2-40B4-BE49-F238E27FC236}">
                <a16:creationId xmlns:a16="http://schemas.microsoft.com/office/drawing/2014/main" id="{00000000-0008-0000-0300-0000E8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3" name="Straight Connector 531">
            <a:extLst>
              <a:ext uri="{FF2B5EF4-FFF2-40B4-BE49-F238E27FC236}">
                <a16:creationId xmlns:a16="http://schemas.microsoft.com/office/drawing/2014/main" id="{00000000-0008-0000-0300-0000E9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4" name="Straight Connector 533">
            <a:extLst>
              <a:ext uri="{FF2B5EF4-FFF2-40B4-BE49-F238E27FC236}">
                <a16:creationId xmlns:a16="http://schemas.microsoft.com/office/drawing/2014/main" id="{00000000-0008-0000-0300-0000EA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5" name="Straight Connector 535">
            <a:extLst>
              <a:ext uri="{FF2B5EF4-FFF2-40B4-BE49-F238E27FC236}">
                <a16:creationId xmlns:a16="http://schemas.microsoft.com/office/drawing/2014/main" id="{00000000-0008-0000-0300-0000EB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7">
            <a:extLst>
              <a:ext uri="{FF2B5EF4-FFF2-40B4-BE49-F238E27FC236}">
                <a16:creationId xmlns:a16="http://schemas.microsoft.com/office/drawing/2014/main" id="{00000000-0008-0000-0300-0000EC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118</xdr:row>
      <xdr:rowOff>0</xdr:rowOff>
    </xdr:from>
    <xdr:to>
      <xdr:col>16</xdr:col>
      <xdr:colOff>312963</xdr:colOff>
      <xdr:row>119</xdr:row>
      <xdr:rowOff>68036</xdr:rowOff>
    </xdr:to>
    <xdr:grpSp>
      <xdr:nvGrpSpPr>
        <xdr:cNvPr id="1517" name="Group 1008">
          <a:extLst>
            <a:ext uri="{FF2B5EF4-FFF2-40B4-BE49-F238E27FC236}">
              <a16:creationId xmlns:a16="http://schemas.microsoft.com/office/drawing/2014/main" id="{00000000-0008-0000-0300-0000ED050000}"/>
            </a:ext>
          </a:extLst>
        </xdr:cNvPr>
        <xdr:cNvGrpSpPr>
          <a:grpSpLocks/>
        </xdr:cNvGrpSpPr>
      </xdr:nvGrpSpPr>
      <xdr:grpSpPr bwMode="auto">
        <a:xfrm>
          <a:off x="10775156" y="25884188"/>
          <a:ext cx="312963" cy="270442"/>
          <a:chOff x="5475762" y="47760700"/>
          <a:chExt cx="314325" cy="230209"/>
        </a:xfrm>
      </xdr:grpSpPr>
      <xdr:cxnSp macro="">
        <xdr:nvCxnSpPr>
          <xdr:cNvPr id="1518" name="Straight Connector 1517">
            <a:extLst>
              <a:ext uri="{FF2B5EF4-FFF2-40B4-BE49-F238E27FC236}">
                <a16:creationId xmlns:a16="http://schemas.microsoft.com/office/drawing/2014/main" id="{00000000-0008-0000-0300-0000EE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9" name="Straight Connector 529">
            <a:extLst>
              <a:ext uri="{FF2B5EF4-FFF2-40B4-BE49-F238E27FC236}">
                <a16:creationId xmlns:a16="http://schemas.microsoft.com/office/drawing/2014/main" id="{00000000-0008-0000-0300-0000EF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0" name="Straight Connector 531">
            <a:extLst>
              <a:ext uri="{FF2B5EF4-FFF2-40B4-BE49-F238E27FC236}">
                <a16:creationId xmlns:a16="http://schemas.microsoft.com/office/drawing/2014/main" id="{00000000-0008-0000-0300-0000F0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1" name="Straight Connector 533">
            <a:extLst>
              <a:ext uri="{FF2B5EF4-FFF2-40B4-BE49-F238E27FC236}">
                <a16:creationId xmlns:a16="http://schemas.microsoft.com/office/drawing/2014/main" id="{00000000-0008-0000-0300-0000F1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2" name="Straight Connector 535">
            <a:extLst>
              <a:ext uri="{FF2B5EF4-FFF2-40B4-BE49-F238E27FC236}">
                <a16:creationId xmlns:a16="http://schemas.microsoft.com/office/drawing/2014/main" id="{00000000-0008-0000-0300-0000F2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7">
            <a:extLst>
              <a:ext uri="{FF2B5EF4-FFF2-40B4-BE49-F238E27FC236}">
                <a16:creationId xmlns:a16="http://schemas.microsoft.com/office/drawing/2014/main" id="{00000000-0008-0000-0300-0000F3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118</xdr:row>
      <xdr:rowOff>0</xdr:rowOff>
    </xdr:from>
    <xdr:to>
      <xdr:col>18</xdr:col>
      <xdr:colOff>312963</xdr:colOff>
      <xdr:row>119</xdr:row>
      <xdr:rowOff>68036</xdr:rowOff>
    </xdr:to>
    <xdr:grpSp>
      <xdr:nvGrpSpPr>
        <xdr:cNvPr id="1524" name="Group 1008">
          <a:extLst>
            <a:ext uri="{FF2B5EF4-FFF2-40B4-BE49-F238E27FC236}">
              <a16:creationId xmlns:a16="http://schemas.microsoft.com/office/drawing/2014/main" id="{00000000-0008-0000-0300-0000F4050000}"/>
            </a:ext>
          </a:extLst>
        </xdr:cNvPr>
        <xdr:cNvGrpSpPr>
          <a:grpSpLocks/>
        </xdr:cNvGrpSpPr>
      </xdr:nvGrpSpPr>
      <xdr:grpSpPr bwMode="auto">
        <a:xfrm>
          <a:off x="12108656" y="25884188"/>
          <a:ext cx="312963" cy="270442"/>
          <a:chOff x="5475762" y="47760700"/>
          <a:chExt cx="314325" cy="230209"/>
        </a:xfrm>
      </xdr:grpSpPr>
      <xdr:cxnSp macro="">
        <xdr:nvCxnSpPr>
          <xdr:cNvPr id="1525" name="Straight Connector 1524">
            <a:extLst>
              <a:ext uri="{FF2B5EF4-FFF2-40B4-BE49-F238E27FC236}">
                <a16:creationId xmlns:a16="http://schemas.microsoft.com/office/drawing/2014/main" id="{00000000-0008-0000-0300-0000F5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6" name="Straight Connector 529">
            <a:extLst>
              <a:ext uri="{FF2B5EF4-FFF2-40B4-BE49-F238E27FC236}">
                <a16:creationId xmlns:a16="http://schemas.microsoft.com/office/drawing/2014/main" id="{00000000-0008-0000-0300-0000F6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7" name="Straight Connector 531">
            <a:extLst>
              <a:ext uri="{FF2B5EF4-FFF2-40B4-BE49-F238E27FC236}">
                <a16:creationId xmlns:a16="http://schemas.microsoft.com/office/drawing/2014/main" id="{00000000-0008-0000-0300-0000F7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8" name="Straight Connector 533">
            <a:extLst>
              <a:ext uri="{FF2B5EF4-FFF2-40B4-BE49-F238E27FC236}">
                <a16:creationId xmlns:a16="http://schemas.microsoft.com/office/drawing/2014/main" id="{00000000-0008-0000-0300-0000F8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9" name="Straight Connector 535">
            <a:extLst>
              <a:ext uri="{FF2B5EF4-FFF2-40B4-BE49-F238E27FC236}">
                <a16:creationId xmlns:a16="http://schemas.microsoft.com/office/drawing/2014/main" id="{00000000-0008-0000-0300-0000F9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7">
            <a:extLst>
              <a:ext uri="{FF2B5EF4-FFF2-40B4-BE49-F238E27FC236}">
                <a16:creationId xmlns:a16="http://schemas.microsoft.com/office/drawing/2014/main" id="{00000000-0008-0000-0300-0000FA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118</xdr:row>
      <xdr:rowOff>0</xdr:rowOff>
    </xdr:from>
    <xdr:to>
      <xdr:col>22</xdr:col>
      <xdr:colOff>312963</xdr:colOff>
      <xdr:row>119</xdr:row>
      <xdr:rowOff>68036</xdr:rowOff>
    </xdr:to>
    <xdr:grpSp>
      <xdr:nvGrpSpPr>
        <xdr:cNvPr id="1531" name="Group 1008">
          <a:extLst>
            <a:ext uri="{FF2B5EF4-FFF2-40B4-BE49-F238E27FC236}">
              <a16:creationId xmlns:a16="http://schemas.microsoft.com/office/drawing/2014/main" id="{00000000-0008-0000-0300-0000FB050000}"/>
            </a:ext>
          </a:extLst>
        </xdr:cNvPr>
        <xdr:cNvGrpSpPr>
          <a:grpSpLocks/>
        </xdr:cNvGrpSpPr>
      </xdr:nvGrpSpPr>
      <xdr:grpSpPr bwMode="auto">
        <a:xfrm>
          <a:off x="14573250" y="25884188"/>
          <a:ext cx="312963" cy="270442"/>
          <a:chOff x="5475762" y="47760700"/>
          <a:chExt cx="314325" cy="230209"/>
        </a:xfrm>
      </xdr:grpSpPr>
      <xdr:cxnSp macro="">
        <xdr:nvCxnSpPr>
          <xdr:cNvPr id="1532" name="Straight Connector 1531">
            <a:extLst>
              <a:ext uri="{FF2B5EF4-FFF2-40B4-BE49-F238E27FC236}">
                <a16:creationId xmlns:a16="http://schemas.microsoft.com/office/drawing/2014/main" id="{00000000-0008-0000-0300-0000FC05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3" name="Straight Connector 529">
            <a:extLst>
              <a:ext uri="{FF2B5EF4-FFF2-40B4-BE49-F238E27FC236}">
                <a16:creationId xmlns:a16="http://schemas.microsoft.com/office/drawing/2014/main" id="{00000000-0008-0000-0300-0000FD05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4" name="Straight Connector 531">
            <a:extLst>
              <a:ext uri="{FF2B5EF4-FFF2-40B4-BE49-F238E27FC236}">
                <a16:creationId xmlns:a16="http://schemas.microsoft.com/office/drawing/2014/main" id="{00000000-0008-0000-0300-0000FE05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5" name="Straight Connector 533">
            <a:extLst>
              <a:ext uri="{FF2B5EF4-FFF2-40B4-BE49-F238E27FC236}">
                <a16:creationId xmlns:a16="http://schemas.microsoft.com/office/drawing/2014/main" id="{00000000-0008-0000-0300-0000FF05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6" name="Straight Connector 535">
            <a:extLst>
              <a:ext uri="{FF2B5EF4-FFF2-40B4-BE49-F238E27FC236}">
                <a16:creationId xmlns:a16="http://schemas.microsoft.com/office/drawing/2014/main" id="{00000000-0008-0000-0300-00000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7">
            <a:extLst>
              <a:ext uri="{FF2B5EF4-FFF2-40B4-BE49-F238E27FC236}">
                <a16:creationId xmlns:a16="http://schemas.microsoft.com/office/drawing/2014/main" id="{00000000-0008-0000-0300-00000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111</xdr:row>
      <xdr:rowOff>0</xdr:rowOff>
    </xdr:from>
    <xdr:to>
      <xdr:col>22</xdr:col>
      <xdr:colOff>312963</xdr:colOff>
      <xdr:row>112</xdr:row>
      <xdr:rowOff>68036</xdr:rowOff>
    </xdr:to>
    <xdr:grpSp>
      <xdr:nvGrpSpPr>
        <xdr:cNvPr id="1538" name="Group 1008">
          <a:extLst>
            <a:ext uri="{FF2B5EF4-FFF2-40B4-BE49-F238E27FC236}">
              <a16:creationId xmlns:a16="http://schemas.microsoft.com/office/drawing/2014/main" id="{00000000-0008-0000-0300-000002060000}"/>
            </a:ext>
          </a:extLst>
        </xdr:cNvPr>
        <xdr:cNvGrpSpPr>
          <a:grpSpLocks/>
        </xdr:cNvGrpSpPr>
      </xdr:nvGrpSpPr>
      <xdr:grpSpPr bwMode="auto">
        <a:xfrm>
          <a:off x="14573250" y="24419719"/>
          <a:ext cx="312963" cy="282348"/>
          <a:chOff x="5475762" y="47760700"/>
          <a:chExt cx="314325" cy="230209"/>
        </a:xfrm>
      </xdr:grpSpPr>
      <xdr:cxnSp macro="">
        <xdr:nvCxnSpPr>
          <xdr:cNvPr id="1539" name="Straight Connector 1538">
            <a:extLst>
              <a:ext uri="{FF2B5EF4-FFF2-40B4-BE49-F238E27FC236}">
                <a16:creationId xmlns:a16="http://schemas.microsoft.com/office/drawing/2014/main" id="{00000000-0008-0000-0300-000003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0" name="Straight Connector 529">
            <a:extLst>
              <a:ext uri="{FF2B5EF4-FFF2-40B4-BE49-F238E27FC236}">
                <a16:creationId xmlns:a16="http://schemas.microsoft.com/office/drawing/2014/main" id="{00000000-0008-0000-0300-000004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1" name="Straight Connector 531">
            <a:extLst>
              <a:ext uri="{FF2B5EF4-FFF2-40B4-BE49-F238E27FC236}">
                <a16:creationId xmlns:a16="http://schemas.microsoft.com/office/drawing/2014/main" id="{00000000-0008-0000-0300-00000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2" name="Straight Connector 533">
            <a:extLst>
              <a:ext uri="{FF2B5EF4-FFF2-40B4-BE49-F238E27FC236}">
                <a16:creationId xmlns:a16="http://schemas.microsoft.com/office/drawing/2014/main" id="{00000000-0008-0000-0300-00000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3" name="Straight Connector 535">
            <a:extLst>
              <a:ext uri="{FF2B5EF4-FFF2-40B4-BE49-F238E27FC236}">
                <a16:creationId xmlns:a16="http://schemas.microsoft.com/office/drawing/2014/main" id="{00000000-0008-0000-0300-00000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7">
            <a:extLst>
              <a:ext uri="{FF2B5EF4-FFF2-40B4-BE49-F238E27FC236}">
                <a16:creationId xmlns:a16="http://schemas.microsoft.com/office/drawing/2014/main" id="{00000000-0008-0000-0300-00000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118</xdr:row>
      <xdr:rowOff>0</xdr:rowOff>
    </xdr:from>
    <xdr:to>
      <xdr:col>24</xdr:col>
      <xdr:colOff>312963</xdr:colOff>
      <xdr:row>119</xdr:row>
      <xdr:rowOff>68036</xdr:rowOff>
    </xdr:to>
    <xdr:grpSp>
      <xdr:nvGrpSpPr>
        <xdr:cNvPr id="1545" name="Group 1008">
          <a:extLst>
            <a:ext uri="{FF2B5EF4-FFF2-40B4-BE49-F238E27FC236}">
              <a16:creationId xmlns:a16="http://schemas.microsoft.com/office/drawing/2014/main" id="{00000000-0008-0000-0300-000009060000}"/>
            </a:ext>
          </a:extLst>
        </xdr:cNvPr>
        <xdr:cNvGrpSpPr>
          <a:grpSpLocks/>
        </xdr:cNvGrpSpPr>
      </xdr:nvGrpSpPr>
      <xdr:grpSpPr bwMode="auto">
        <a:xfrm>
          <a:off x="15942469" y="25884188"/>
          <a:ext cx="312963" cy="270442"/>
          <a:chOff x="5475762" y="47760700"/>
          <a:chExt cx="314325" cy="230209"/>
        </a:xfrm>
      </xdr:grpSpPr>
      <xdr:cxnSp macro="">
        <xdr:nvCxnSpPr>
          <xdr:cNvPr id="1546" name="Straight Connector 1545">
            <a:extLst>
              <a:ext uri="{FF2B5EF4-FFF2-40B4-BE49-F238E27FC236}">
                <a16:creationId xmlns:a16="http://schemas.microsoft.com/office/drawing/2014/main" id="{00000000-0008-0000-0300-00000A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7" name="Straight Connector 529">
            <a:extLst>
              <a:ext uri="{FF2B5EF4-FFF2-40B4-BE49-F238E27FC236}">
                <a16:creationId xmlns:a16="http://schemas.microsoft.com/office/drawing/2014/main" id="{00000000-0008-0000-0300-00000B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8" name="Straight Connector 531">
            <a:extLst>
              <a:ext uri="{FF2B5EF4-FFF2-40B4-BE49-F238E27FC236}">
                <a16:creationId xmlns:a16="http://schemas.microsoft.com/office/drawing/2014/main" id="{00000000-0008-0000-0300-00000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9" name="Straight Connector 533">
            <a:extLst>
              <a:ext uri="{FF2B5EF4-FFF2-40B4-BE49-F238E27FC236}">
                <a16:creationId xmlns:a16="http://schemas.microsoft.com/office/drawing/2014/main" id="{00000000-0008-0000-0300-00000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0" name="Straight Connector 535">
            <a:extLst>
              <a:ext uri="{FF2B5EF4-FFF2-40B4-BE49-F238E27FC236}">
                <a16:creationId xmlns:a16="http://schemas.microsoft.com/office/drawing/2014/main" id="{00000000-0008-0000-0300-00000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7">
            <a:extLst>
              <a:ext uri="{FF2B5EF4-FFF2-40B4-BE49-F238E27FC236}">
                <a16:creationId xmlns:a16="http://schemas.microsoft.com/office/drawing/2014/main" id="{00000000-0008-0000-0300-00000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312963</xdr:colOff>
      <xdr:row>126</xdr:row>
      <xdr:rowOff>68036</xdr:rowOff>
    </xdr:to>
    <xdr:grpSp>
      <xdr:nvGrpSpPr>
        <xdr:cNvPr id="1552" name="Group 1008">
          <a:extLst>
            <a:ext uri="{FF2B5EF4-FFF2-40B4-BE49-F238E27FC236}">
              <a16:creationId xmlns:a16="http://schemas.microsoft.com/office/drawing/2014/main" id="{00000000-0008-0000-0300-000010060000}"/>
            </a:ext>
          </a:extLst>
        </xdr:cNvPr>
        <xdr:cNvGrpSpPr>
          <a:grpSpLocks/>
        </xdr:cNvGrpSpPr>
      </xdr:nvGrpSpPr>
      <xdr:grpSpPr bwMode="auto">
        <a:xfrm>
          <a:off x="1535906" y="27336750"/>
          <a:ext cx="312963" cy="270442"/>
          <a:chOff x="5475762" y="47760700"/>
          <a:chExt cx="314325" cy="230209"/>
        </a:xfrm>
      </xdr:grpSpPr>
      <xdr:cxnSp macro="">
        <xdr:nvCxnSpPr>
          <xdr:cNvPr id="1553" name="Straight Connector 1552">
            <a:extLst>
              <a:ext uri="{FF2B5EF4-FFF2-40B4-BE49-F238E27FC236}">
                <a16:creationId xmlns:a16="http://schemas.microsoft.com/office/drawing/2014/main" id="{00000000-0008-0000-0300-000011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4" name="Straight Connector 529">
            <a:extLst>
              <a:ext uri="{FF2B5EF4-FFF2-40B4-BE49-F238E27FC236}">
                <a16:creationId xmlns:a16="http://schemas.microsoft.com/office/drawing/2014/main" id="{00000000-0008-0000-0300-000012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5" name="Straight Connector 531">
            <a:extLst>
              <a:ext uri="{FF2B5EF4-FFF2-40B4-BE49-F238E27FC236}">
                <a16:creationId xmlns:a16="http://schemas.microsoft.com/office/drawing/2014/main" id="{00000000-0008-0000-0300-00001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6" name="Straight Connector 533">
            <a:extLst>
              <a:ext uri="{FF2B5EF4-FFF2-40B4-BE49-F238E27FC236}">
                <a16:creationId xmlns:a16="http://schemas.microsoft.com/office/drawing/2014/main" id="{00000000-0008-0000-0300-00001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7" name="Straight Connector 535">
            <a:extLst>
              <a:ext uri="{FF2B5EF4-FFF2-40B4-BE49-F238E27FC236}">
                <a16:creationId xmlns:a16="http://schemas.microsoft.com/office/drawing/2014/main" id="{00000000-0008-0000-0300-00001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7">
            <a:extLst>
              <a:ext uri="{FF2B5EF4-FFF2-40B4-BE49-F238E27FC236}">
                <a16:creationId xmlns:a16="http://schemas.microsoft.com/office/drawing/2014/main" id="{00000000-0008-0000-0300-00001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0</xdr:rowOff>
    </xdr:from>
    <xdr:to>
      <xdr:col>4</xdr:col>
      <xdr:colOff>312963</xdr:colOff>
      <xdr:row>126</xdr:row>
      <xdr:rowOff>68036</xdr:rowOff>
    </xdr:to>
    <xdr:grpSp>
      <xdr:nvGrpSpPr>
        <xdr:cNvPr id="1559" name="Group 1008">
          <a:extLst>
            <a:ext uri="{FF2B5EF4-FFF2-40B4-BE49-F238E27FC236}">
              <a16:creationId xmlns:a16="http://schemas.microsoft.com/office/drawing/2014/main" id="{00000000-0008-0000-0300-000017060000}"/>
            </a:ext>
          </a:extLst>
        </xdr:cNvPr>
        <xdr:cNvGrpSpPr>
          <a:grpSpLocks/>
        </xdr:cNvGrpSpPr>
      </xdr:nvGrpSpPr>
      <xdr:grpSpPr bwMode="auto">
        <a:xfrm>
          <a:off x="2809875" y="27336750"/>
          <a:ext cx="312963" cy="270442"/>
          <a:chOff x="5475762" y="47760700"/>
          <a:chExt cx="314325" cy="230209"/>
        </a:xfrm>
      </xdr:grpSpPr>
      <xdr:cxnSp macro="">
        <xdr:nvCxnSpPr>
          <xdr:cNvPr id="1560" name="Straight Connector 1559">
            <a:extLst>
              <a:ext uri="{FF2B5EF4-FFF2-40B4-BE49-F238E27FC236}">
                <a16:creationId xmlns:a16="http://schemas.microsoft.com/office/drawing/2014/main" id="{00000000-0008-0000-0300-000018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1" name="Straight Connector 529">
            <a:extLst>
              <a:ext uri="{FF2B5EF4-FFF2-40B4-BE49-F238E27FC236}">
                <a16:creationId xmlns:a16="http://schemas.microsoft.com/office/drawing/2014/main" id="{00000000-0008-0000-0300-000019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2" name="Straight Connector 531">
            <a:extLst>
              <a:ext uri="{FF2B5EF4-FFF2-40B4-BE49-F238E27FC236}">
                <a16:creationId xmlns:a16="http://schemas.microsoft.com/office/drawing/2014/main" id="{00000000-0008-0000-0300-00001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3" name="Straight Connector 533">
            <a:extLst>
              <a:ext uri="{FF2B5EF4-FFF2-40B4-BE49-F238E27FC236}">
                <a16:creationId xmlns:a16="http://schemas.microsoft.com/office/drawing/2014/main" id="{00000000-0008-0000-0300-00001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4" name="Straight Connector 535">
            <a:extLst>
              <a:ext uri="{FF2B5EF4-FFF2-40B4-BE49-F238E27FC236}">
                <a16:creationId xmlns:a16="http://schemas.microsoft.com/office/drawing/2014/main" id="{00000000-0008-0000-0300-00001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7">
            <a:extLst>
              <a:ext uri="{FF2B5EF4-FFF2-40B4-BE49-F238E27FC236}">
                <a16:creationId xmlns:a16="http://schemas.microsoft.com/office/drawing/2014/main" id="{00000000-0008-0000-0300-00001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125</xdr:row>
      <xdr:rowOff>0</xdr:rowOff>
    </xdr:from>
    <xdr:to>
      <xdr:col>6</xdr:col>
      <xdr:colOff>312963</xdr:colOff>
      <xdr:row>126</xdr:row>
      <xdr:rowOff>68036</xdr:rowOff>
    </xdr:to>
    <xdr:grpSp>
      <xdr:nvGrpSpPr>
        <xdr:cNvPr id="1566" name="Group 1008">
          <a:extLst>
            <a:ext uri="{FF2B5EF4-FFF2-40B4-BE49-F238E27FC236}">
              <a16:creationId xmlns:a16="http://schemas.microsoft.com/office/drawing/2014/main" id="{00000000-0008-0000-0300-00001E060000}"/>
            </a:ext>
          </a:extLst>
        </xdr:cNvPr>
        <xdr:cNvGrpSpPr>
          <a:grpSpLocks/>
        </xdr:cNvGrpSpPr>
      </xdr:nvGrpSpPr>
      <xdr:grpSpPr bwMode="auto">
        <a:xfrm>
          <a:off x="4179094" y="27336750"/>
          <a:ext cx="312963" cy="270442"/>
          <a:chOff x="5475762" y="47760700"/>
          <a:chExt cx="314325" cy="230209"/>
        </a:xfrm>
      </xdr:grpSpPr>
      <xdr:cxnSp macro="">
        <xdr:nvCxnSpPr>
          <xdr:cNvPr id="1567" name="Straight Connector 1566">
            <a:extLst>
              <a:ext uri="{FF2B5EF4-FFF2-40B4-BE49-F238E27FC236}">
                <a16:creationId xmlns:a16="http://schemas.microsoft.com/office/drawing/2014/main" id="{00000000-0008-0000-0300-00001F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8" name="Straight Connector 529">
            <a:extLst>
              <a:ext uri="{FF2B5EF4-FFF2-40B4-BE49-F238E27FC236}">
                <a16:creationId xmlns:a16="http://schemas.microsoft.com/office/drawing/2014/main" id="{00000000-0008-0000-0300-000020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9" name="Straight Connector 531">
            <a:extLst>
              <a:ext uri="{FF2B5EF4-FFF2-40B4-BE49-F238E27FC236}">
                <a16:creationId xmlns:a16="http://schemas.microsoft.com/office/drawing/2014/main" id="{00000000-0008-0000-0300-00002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0" name="Straight Connector 533">
            <a:extLst>
              <a:ext uri="{FF2B5EF4-FFF2-40B4-BE49-F238E27FC236}">
                <a16:creationId xmlns:a16="http://schemas.microsoft.com/office/drawing/2014/main" id="{00000000-0008-0000-0300-00002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1" name="Straight Connector 535">
            <a:extLst>
              <a:ext uri="{FF2B5EF4-FFF2-40B4-BE49-F238E27FC236}">
                <a16:creationId xmlns:a16="http://schemas.microsoft.com/office/drawing/2014/main" id="{00000000-0008-0000-0300-00002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7">
            <a:extLst>
              <a:ext uri="{FF2B5EF4-FFF2-40B4-BE49-F238E27FC236}">
                <a16:creationId xmlns:a16="http://schemas.microsoft.com/office/drawing/2014/main" id="{00000000-0008-0000-0300-00002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0</xdr:rowOff>
    </xdr:from>
    <xdr:to>
      <xdr:col>8</xdr:col>
      <xdr:colOff>312963</xdr:colOff>
      <xdr:row>126</xdr:row>
      <xdr:rowOff>68036</xdr:rowOff>
    </xdr:to>
    <xdr:grpSp>
      <xdr:nvGrpSpPr>
        <xdr:cNvPr id="1573" name="Group 1008">
          <a:extLst>
            <a:ext uri="{FF2B5EF4-FFF2-40B4-BE49-F238E27FC236}">
              <a16:creationId xmlns:a16="http://schemas.microsoft.com/office/drawing/2014/main" id="{00000000-0008-0000-0300-000025060000}"/>
            </a:ext>
          </a:extLst>
        </xdr:cNvPr>
        <xdr:cNvGrpSpPr>
          <a:grpSpLocks/>
        </xdr:cNvGrpSpPr>
      </xdr:nvGrpSpPr>
      <xdr:grpSpPr bwMode="auto">
        <a:xfrm>
          <a:off x="5500688" y="27336750"/>
          <a:ext cx="312963" cy="270442"/>
          <a:chOff x="5475762" y="47760700"/>
          <a:chExt cx="314325" cy="230209"/>
        </a:xfrm>
      </xdr:grpSpPr>
      <xdr:cxnSp macro="">
        <xdr:nvCxnSpPr>
          <xdr:cNvPr id="1574" name="Straight Connector 1573">
            <a:extLst>
              <a:ext uri="{FF2B5EF4-FFF2-40B4-BE49-F238E27FC236}">
                <a16:creationId xmlns:a16="http://schemas.microsoft.com/office/drawing/2014/main" id="{00000000-0008-0000-0300-000026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5" name="Straight Connector 529">
            <a:extLst>
              <a:ext uri="{FF2B5EF4-FFF2-40B4-BE49-F238E27FC236}">
                <a16:creationId xmlns:a16="http://schemas.microsoft.com/office/drawing/2014/main" id="{00000000-0008-0000-0300-000027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6" name="Straight Connector 531">
            <a:extLst>
              <a:ext uri="{FF2B5EF4-FFF2-40B4-BE49-F238E27FC236}">
                <a16:creationId xmlns:a16="http://schemas.microsoft.com/office/drawing/2014/main" id="{00000000-0008-0000-0300-00002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7" name="Straight Connector 533">
            <a:extLst>
              <a:ext uri="{FF2B5EF4-FFF2-40B4-BE49-F238E27FC236}">
                <a16:creationId xmlns:a16="http://schemas.microsoft.com/office/drawing/2014/main" id="{00000000-0008-0000-0300-00002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8" name="Straight Connector 535">
            <a:extLst>
              <a:ext uri="{FF2B5EF4-FFF2-40B4-BE49-F238E27FC236}">
                <a16:creationId xmlns:a16="http://schemas.microsoft.com/office/drawing/2014/main" id="{00000000-0008-0000-0300-00002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7">
            <a:extLst>
              <a:ext uri="{FF2B5EF4-FFF2-40B4-BE49-F238E27FC236}">
                <a16:creationId xmlns:a16="http://schemas.microsoft.com/office/drawing/2014/main" id="{00000000-0008-0000-0300-00002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125</xdr:row>
      <xdr:rowOff>0</xdr:rowOff>
    </xdr:from>
    <xdr:to>
      <xdr:col>10</xdr:col>
      <xdr:colOff>312963</xdr:colOff>
      <xdr:row>126</xdr:row>
      <xdr:rowOff>68036</xdr:rowOff>
    </xdr:to>
    <xdr:grpSp>
      <xdr:nvGrpSpPr>
        <xdr:cNvPr id="1580" name="Group 1008">
          <a:extLst>
            <a:ext uri="{FF2B5EF4-FFF2-40B4-BE49-F238E27FC236}">
              <a16:creationId xmlns:a16="http://schemas.microsoft.com/office/drawing/2014/main" id="{00000000-0008-0000-0300-00002C060000}"/>
            </a:ext>
          </a:extLst>
        </xdr:cNvPr>
        <xdr:cNvGrpSpPr>
          <a:grpSpLocks/>
        </xdr:cNvGrpSpPr>
      </xdr:nvGrpSpPr>
      <xdr:grpSpPr bwMode="auto">
        <a:xfrm>
          <a:off x="6929438" y="27336750"/>
          <a:ext cx="312963" cy="270442"/>
          <a:chOff x="5475762" y="47760700"/>
          <a:chExt cx="314325" cy="230209"/>
        </a:xfrm>
      </xdr:grpSpPr>
      <xdr:cxnSp macro="">
        <xdr:nvCxnSpPr>
          <xdr:cNvPr id="1581" name="Straight Connector 1580">
            <a:extLst>
              <a:ext uri="{FF2B5EF4-FFF2-40B4-BE49-F238E27FC236}">
                <a16:creationId xmlns:a16="http://schemas.microsoft.com/office/drawing/2014/main" id="{00000000-0008-0000-0300-00002D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2" name="Straight Connector 529">
            <a:extLst>
              <a:ext uri="{FF2B5EF4-FFF2-40B4-BE49-F238E27FC236}">
                <a16:creationId xmlns:a16="http://schemas.microsoft.com/office/drawing/2014/main" id="{00000000-0008-0000-0300-00002E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3" name="Straight Connector 531">
            <a:extLst>
              <a:ext uri="{FF2B5EF4-FFF2-40B4-BE49-F238E27FC236}">
                <a16:creationId xmlns:a16="http://schemas.microsoft.com/office/drawing/2014/main" id="{00000000-0008-0000-0300-00002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4" name="Straight Connector 533">
            <a:extLst>
              <a:ext uri="{FF2B5EF4-FFF2-40B4-BE49-F238E27FC236}">
                <a16:creationId xmlns:a16="http://schemas.microsoft.com/office/drawing/2014/main" id="{00000000-0008-0000-0300-00003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5" name="Straight Connector 535">
            <a:extLst>
              <a:ext uri="{FF2B5EF4-FFF2-40B4-BE49-F238E27FC236}">
                <a16:creationId xmlns:a16="http://schemas.microsoft.com/office/drawing/2014/main" id="{00000000-0008-0000-0300-00003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7">
            <a:extLst>
              <a:ext uri="{FF2B5EF4-FFF2-40B4-BE49-F238E27FC236}">
                <a16:creationId xmlns:a16="http://schemas.microsoft.com/office/drawing/2014/main" id="{00000000-0008-0000-0300-00003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125</xdr:row>
      <xdr:rowOff>0</xdr:rowOff>
    </xdr:from>
    <xdr:to>
      <xdr:col>12</xdr:col>
      <xdr:colOff>312963</xdr:colOff>
      <xdr:row>126</xdr:row>
      <xdr:rowOff>68036</xdr:rowOff>
    </xdr:to>
    <xdr:grpSp>
      <xdr:nvGrpSpPr>
        <xdr:cNvPr id="1587" name="Group 1008">
          <a:extLst>
            <a:ext uri="{FF2B5EF4-FFF2-40B4-BE49-F238E27FC236}">
              <a16:creationId xmlns:a16="http://schemas.microsoft.com/office/drawing/2014/main" id="{00000000-0008-0000-0300-000033060000}"/>
            </a:ext>
          </a:extLst>
        </xdr:cNvPr>
        <xdr:cNvGrpSpPr>
          <a:grpSpLocks/>
        </xdr:cNvGrpSpPr>
      </xdr:nvGrpSpPr>
      <xdr:grpSpPr bwMode="auto">
        <a:xfrm>
          <a:off x="8251031" y="27336750"/>
          <a:ext cx="312963" cy="270442"/>
          <a:chOff x="5475762" y="47760700"/>
          <a:chExt cx="314325" cy="230209"/>
        </a:xfrm>
      </xdr:grpSpPr>
      <xdr:cxnSp macro="">
        <xdr:nvCxnSpPr>
          <xdr:cNvPr id="1588" name="Straight Connector 1587">
            <a:extLst>
              <a:ext uri="{FF2B5EF4-FFF2-40B4-BE49-F238E27FC236}">
                <a16:creationId xmlns:a16="http://schemas.microsoft.com/office/drawing/2014/main" id="{00000000-0008-0000-0300-000034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9" name="Straight Connector 529">
            <a:extLst>
              <a:ext uri="{FF2B5EF4-FFF2-40B4-BE49-F238E27FC236}">
                <a16:creationId xmlns:a16="http://schemas.microsoft.com/office/drawing/2014/main" id="{00000000-0008-0000-0300-000035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0" name="Straight Connector 531">
            <a:extLst>
              <a:ext uri="{FF2B5EF4-FFF2-40B4-BE49-F238E27FC236}">
                <a16:creationId xmlns:a16="http://schemas.microsoft.com/office/drawing/2014/main" id="{00000000-0008-0000-0300-00003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1" name="Straight Connector 533">
            <a:extLst>
              <a:ext uri="{FF2B5EF4-FFF2-40B4-BE49-F238E27FC236}">
                <a16:creationId xmlns:a16="http://schemas.microsoft.com/office/drawing/2014/main" id="{00000000-0008-0000-0300-00003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2" name="Straight Connector 535">
            <a:extLst>
              <a:ext uri="{FF2B5EF4-FFF2-40B4-BE49-F238E27FC236}">
                <a16:creationId xmlns:a16="http://schemas.microsoft.com/office/drawing/2014/main" id="{00000000-0008-0000-0300-00003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7">
            <a:extLst>
              <a:ext uri="{FF2B5EF4-FFF2-40B4-BE49-F238E27FC236}">
                <a16:creationId xmlns:a16="http://schemas.microsoft.com/office/drawing/2014/main" id="{00000000-0008-0000-0300-00003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125</xdr:row>
      <xdr:rowOff>0</xdr:rowOff>
    </xdr:from>
    <xdr:to>
      <xdr:col>14</xdr:col>
      <xdr:colOff>312963</xdr:colOff>
      <xdr:row>126</xdr:row>
      <xdr:rowOff>68036</xdr:rowOff>
    </xdr:to>
    <xdr:grpSp>
      <xdr:nvGrpSpPr>
        <xdr:cNvPr id="1594" name="Group 1008">
          <a:extLst>
            <a:ext uri="{FF2B5EF4-FFF2-40B4-BE49-F238E27FC236}">
              <a16:creationId xmlns:a16="http://schemas.microsoft.com/office/drawing/2014/main" id="{00000000-0008-0000-0300-00003A060000}"/>
            </a:ext>
          </a:extLst>
        </xdr:cNvPr>
        <xdr:cNvGrpSpPr>
          <a:grpSpLocks/>
        </xdr:cNvGrpSpPr>
      </xdr:nvGrpSpPr>
      <xdr:grpSpPr bwMode="auto">
        <a:xfrm>
          <a:off x="9489281" y="27336750"/>
          <a:ext cx="312963" cy="270442"/>
          <a:chOff x="5475762" y="47760700"/>
          <a:chExt cx="314325" cy="230209"/>
        </a:xfrm>
      </xdr:grpSpPr>
      <xdr:cxnSp macro="">
        <xdr:nvCxnSpPr>
          <xdr:cNvPr id="1595" name="Straight Connector 1594">
            <a:extLst>
              <a:ext uri="{FF2B5EF4-FFF2-40B4-BE49-F238E27FC236}">
                <a16:creationId xmlns:a16="http://schemas.microsoft.com/office/drawing/2014/main" id="{00000000-0008-0000-0300-00003B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6" name="Straight Connector 529">
            <a:extLst>
              <a:ext uri="{FF2B5EF4-FFF2-40B4-BE49-F238E27FC236}">
                <a16:creationId xmlns:a16="http://schemas.microsoft.com/office/drawing/2014/main" id="{00000000-0008-0000-0300-00003C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7" name="Straight Connector 531">
            <a:extLst>
              <a:ext uri="{FF2B5EF4-FFF2-40B4-BE49-F238E27FC236}">
                <a16:creationId xmlns:a16="http://schemas.microsoft.com/office/drawing/2014/main" id="{00000000-0008-0000-0300-00003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8" name="Straight Connector 533">
            <a:extLst>
              <a:ext uri="{FF2B5EF4-FFF2-40B4-BE49-F238E27FC236}">
                <a16:creationId xmlns:a16="http://schemas.microsoft.com/office/drawing/2014/main" id="{00000000-0008-0000-0300-00003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9" name="Straight Connector 535">
            <a:extLst>
              <a:ext uri="{FF2B5EF4-FFF2-40B4-BE49-F238E27FC236}">
                <a16:creationId xmlns:a16="http://schemas.microsoft.com/office/drawing/2014/main" id="{00000000-0008-0000-0300-00003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0" name="Straight Connector 537">
            <a:extLst>
              <a:ext uri="{FF2B5EF4-FFF2-40B4-BE49-F238E27FC236}">
                <a16:creationId xmlns:a16="http://schemas.microsoft.com/office/drawing/2014/main" id="{00000000-0008-0000-0300-00004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125</xdr:row>
      <xdr:rowOff>0</xdr:rowOff>
    </xdr:from>
    <xdr:to>
      <xdr:col>16</xdr:col>
      <xdr:colOff>312963</xdr:colOff>
      <xdr:row>126</xdr:row>
      <xdr:rowOff>68036</xdr:rowOff>
    </xdr:to>
    <xdr:grpSp>
      <xdr:nvGrpSpPr>
        <xdr:cNvPr id="1601" name="Group 1008">
          <a:extLst>
            <a:ext uri="{FF2B5EF4-FFF2-40B4-BE49-F238E27FC236}">
              <a16:creationId xmlns:a16="http://schemas.microsoft.com/office/drawing/2014/main" id="{00000000-0008-0000-0300-000041060000}"/>
            </a:ext>
          </a:extLst>
        </xdr:cNvPr>
        <xdr:cNvGrpSpPr>
          <a:grpSpLocks/>
        </xdr:cNvGrpSpPr>
      </xdr:nvGrpSpPr>
      <xdr:grpSpPr bwMode="auto">
        <a:xfrm>
          <a:off x="10775156" y="27336750"/>
          <a:ext cx="312963" cy="270442"/>
          <a:chOff x="5475762" y="47760700"/>
          <a:chExt cx="314325" cy="230209"/>
        </a:xfrm>
      </xdr:grpSpPr>
      <xdr:cxnSp macro="">
        <xdr:nvCxnSpPr>
          <xdr:cNvPr id="1602" name="Straight Connector 1601">
            <a:extLst>
              <a:ext uri="{FF2B5EF4-FFF2-40B4-BE49-F238E27FC236}">
                <a16:creationId xmlns:a16="http://schemas.microsoft.com/office/drawing/2014/main" id="{00000000-0008-0000-0300-000042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03" name="Straight Connector 529">
            <a:extLst>
              <a:ext uri="{FF2B5EF4-FFF2-40B4-BE49-F238E27FC236}">
                <a16:creationId xmlns:a16="http://schemas.microsoft.com/office/drawing/2014/main" id="{00000000-0008-0000-0300-000043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4" name="Straight Connector 531">
            <a:extLst>
              <a:ext uri="{FF2B5EF4-FFF2-40B4-BE49-F238E27FC236}">
                <a16:creationId xmlns:a16="http://schemas.microsoft.com/office/drawing/2014/main" id="{00000000-0008-0000-0300-00004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5" name="Straight Connector 533">
            <a:extLst>
              <a:ext uri="{FF2B5EF4-FFF2-40B4-BE49-F238E27FC236}">
                <a16:creationId xmlns:a16="http://schemas.microsoft.com/office/drawing/2014/main" id="{00000000-0008-0000-0300-00004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6" name="Straight Connector 535">
            <a:extLst>
              <a:ext uri="{FF2B5EF4-FFF2-40B4-BE49-F238E27FC236}">
                <a16:creationId xmlns:a16="http://schemas.microsoft.com/office/drawing/2014/main" id="{00000000-0008-0000-0300-00004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7" name="Straight Connector 537">
            <a:extLst>
              <a:ext uri="{FF2B5EF4-FFF2-40B4-BE49-F238E27FC236}">
                <a16:creationId xmlns:a16="http://schemas.microsoft.com/office/drawing/2014/main" id="{00000000-0008-0000-0300-00004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125</xdr:row>
      <xdr:rowOff>0</xdr:rowOff>
    </xdr:from>
    <xdr:to>
      <xdr:col>20</xdr:col>
      <xdr:colOff>312963</xdr:colOff>
      <xdr:row>126</xdr:row>
      <xdr:rowOff>68036</xdr:rowOff>
    </xdr:to>
    <xdr:grpSp>
      <xdr:nvGrpSpPr>
        <xdr:cNvPr id="1608" name="Group 1008">
          <a:extLst>
            <a:ext uri="{FF2B5EF4-FFF2-40B4-BE49-F238E27FC236}">
              <a16:creationId xmlns:a16="http://schemas.microsoft.com/office/drawing/2014/main" id="{00000000-0008-0000-0300-000048060000}"/>
            </a:ext>
          </a:extLst>
        </xdr:cNvPr>
        <xdr:cNvGrpSpPr>
          <a:grpSpLocks/>
        </xdr:cNvGrpSpPr>
      </xdr:nvGrpSpPr>
      <xdr:grpSpPr bwMode="auto">
        <a:xfrm>
          <a:off x="13251656" y="27336750"/>
          <a:ext cx="312963" cy="270442"/>
          <a:chOff x="5475762" y="47760700"/>
          <a:chExt cx="314325" cy="230209"/>
        </a:xfrm>
      </xdr:grpSpPr>
      <xdr:cxnSp macro="">
        <xdr:nvCxnSpPr>
          <xdr:cNvPr id="1609" name="Straight Connector 1608">
            <a:extLst>
              <a:ext uri="{FF2B5EF4-FFF2-40B4-BE49-F238E27FC236}">
                <a16:creationId xmlns:a16="http://schemas.microsoft.com/office/drawing/2014/main" id="{00000000-0008-0000-0300-000049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10" name="Straight Connector 529">
            <a:extLst>
              <a:ext uri="{FF2B5EF4-FFF2-40B4-BE49-F238E27FC236}">
                <a16:creationId xmlns:a16="http://schemas.microsoft.com/office/drawing/2014/main" id="{00000000-0008-0000-0300-00004A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1" name="Straight Connector 531">
            <a:extLst>
              <a:ext uri="{FF2B5EF4-FFF2-40B4-BE49-F238E27FC236}">
                <a16:creationId xmlns:a16="http://schemas.microsoft.com/office/drawing/2014/main" id="{00000000-0008-0000-0300-00004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2" name="Straight Connector 533">
            <a:extLst>
              <a:ext uri="{FF2B5EF4-FFF2-40B4-BE49-F238E27FC236}">
                <a16:creationId xmlns:a16="http://schemas.microsoft.com/office/drawing/2014/main" id="{00000000-0008-0000-0300-00004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3" name="Straight Connector 535">
            <a:extLst>
              <a:ext uri="{FF2B5EF4-FFF2-40B4-BE49-F238E27FC236}">
                <a16:creationId xmlns:a16="http://schemas.microsoft.com/office/drawing/2014/main" id="{00000000-0008-0000-0300-00004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4" name="Straight Connector 537">
            <a:extLst>
              <a:ext uri="{FF2B5EF4-FFF2-40B4-BE49-F238E27FC236}">
                <a16:creationId xmlns:a16="http://schemas.microsoft.com/office/drawing/2014/main" id="{00000000-0008-0000-0300-00004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125</xdr:row>
      <xdr:rowOff>0</xdr:rowOff>
    </xdr:from>
    <xdr:to>
      <xdr:col>22</xdr:col>
      <xdr:colOff>312963</xdr:colOff>
      <xdr:row>126</xdr:row>
      <xdr:rowOff>68036</xdr:rowOff>
    </xdr:to>
    <xdr:grpSp>
      <xdr:nvGrpSpPr>
        <xdr:cNvPr id="1615" name="Group 1008">
          <a:extLst>
            <a:ext uri="{FF2B5EF4-FFF2-40B4-BE49-F238E27FC236}">
              <a16:creationId xmlns:a16="http://schemas.microsoft.com/office/drawing/2014/main" id="{00000000-0008-0000-0300-00004F060000}"/>
            </a:ext>
          </a:extLst>
        </xdr:cNvPr>
        <xdr:cNvGrpSpPr>
          <a:grpSpLocks/>
        </xdr:cNvGrpSpPr>
      </xdr:nvGrpSpPr>
      <xdr:grpSpPr bwMode="auto">
        <a:xfrm>
          <a:off x="14573250" y="27336750"/>
          <a:ext cx="312963" cy="270442"/>
          <a:chOff x="5475762" y="47760700"/>
          <a:chExt cx="314325" cy="230209"/>
        </a:xfrm>
      </xdr:grpSpPr>
      <xdr:cxnSp macro="">
        <xdr:nvCxnSpPr>
          <xdr:cNvPr id="1616" name="Straight Connector 1615">
            <a:extLst>
              <a:ext uri="{FF2B5EF4-FFF2-40B4-BE49-F238E27FC236}">
                <a16:creationId xmlns:a16="http://schemas.microsoft.com/office/drawing/2014/main" id="{00000000-0008-0000-0300-000050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17" name="Straight Connector 529">
            <a:extLst>
              <a:ext uri="{FF2B5EF4-FFF2-40B4-BE49-F238E27FC236}">
                <a16:creationId xmlns:a16="http://schemas.microsoft.com/office/drawing/2014/main" id="{00000000-0008-0000-0300-000051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8" name="Straight Connector 531">
            <a:extLst>
              <a:ext uri="{FF2B5EF4-FFF2-40B4-BE49-F238E27FC236}">
                <a16:creationId xmlns:a16="http://schemas.microsoft.com/office/drawing/2014/main" id="{00000000-0008-0000-0300-00005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9" name="Straight Connector 533">
            <a:extLst>
              <a:ext uri="{FF2B5EF4-FFF2-40B4-BE49-F238E27FC236}">
                <a16:creationId xmlns:a16="http://schemas.microsoft.com/office/drawing/2014/main" id="{00000000-0008-0000-0300-00005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0" name="Straight Connector 535">
            <a:extLst>
              <a:ext uri="{FF2B5EF4-FFF2-40B4-BE49-F238E27FC236}">
                <a16:creationId xmlns:a16="http://schemas.microsoft.com/office/drawing/2014/main" id="{00000000-0008-0000-0300-00005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1" name="Straight Connector 537">
            <a:extLst>
              <a:ext uri="{FF2B5EF4-FFF2-40B4-BE49-F238E27FC236}">
                <a16:creationId xmlns:a16="http://schemas.microsoft.com/office/drawing/2014/main" id="{00000000-0008-0000-0300-00005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125</xdr:row>
      <xdr:rowOff>0</xdr:rowOff>
    </xdr:from>
    <xdr:to>
      <xdr:col>24</xdr:col>
      <xdr:colOff>312963</xdr:colOff>
      <xdr:row>126</xdr:row>
      <xdr:rowOff>68036</xdr:rowOff>
    </xdr:to>
    <xdr:grpSp>
      <xdr:nvGrpSpPr>
        <xdr:cNvPr id="1622" name="Group 1008">
          <a:extLst>
            <a:ext uri="{FF2B5EF4-FFF2-40B4-BE49-F238E27FC236}">
              <a16:creationId xmlns:a16="http://schemas.microsoft.com/office/drawing/2014/main" id="{00000000-0008-0000-0300-000056060000}"/>
            </a:ext>
          </a:extLst>
        </xdr:cNvPr>
        <xdr:cNvGrpSpPr>
          <a:grpSpLocks/>
        </xdr:cNvGrpSpPr>
      </xdr:nvGrpSpPr>
      <xdr:grpSpPr bwMode="auto">
        <a:xfrm>
          <a:off x="15942469" y="27336750"/>
          <a:ext cx="312963" cy="270442"/>
          <a:chOff x="5475762" y="47760700"/>
          <a:chExt cx="314325" cy="230209"/>
        </a:xfrm>
      </xdr:grpSpPr>
      <xdr:cxnSp macro="">
        <xdr:nvCxnSpPr>
          <xdr:cNvPr id="1623" name="Straight Connector 1622">
            <a:extLst>
              <a:ext uri="{FF2B5EF4-FFF2-40B4-BE49-F238E27FC236}">
                <a16:creationId xmlns:a16="http://schemas.microsoft.com/office/drawing/2014/main" id="{00000000-0008-0000-0300-000057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4" name="Straight Connector 529">
            <a:extLst>
              <a:ext uri="{FF2B5EF4-FFF2-40B4-BE49-F238E27FC236}">
                <a16:creationId xmlns:a16="http://schemas.microsoft.com/office/drawing/2014/main" id="{00000000-0008-0000-0300-000058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1">
            <a:extLst>
              <a:ext uri="{FF2B5EF4-FFF2-40B4-BE49-F238E27FC236}">
                <a16:creationId xmlns:a16="http://schemas.microsoft.com/office/drawing/2014/main" id="{00000000-0008-0000-0300-00005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6" name="Straight Connector 533">
            <a:extLst>
              <a:ext uri="{FF2B5EF4-FFF2-40B4-BE49-F238E27FC236}">
                <a16:creationId xmlns:a16="http://schemas.microsoft.com/office/drawing/2014/main" id="{00000000-0008-0000-0300-00005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7" name="Straight Connector 535">
            <a:extLst>
              <a:ext uri="{FF2B5EF4-FFF2-40B4-BE49-F238E27FC236}">
                <a16:creationId xmlns:a16="http://schemas.microsoft.com/office/drawing/2014/main" id="{00000000-0008-0000-0300-00005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8" name="Straight Connector 537">
            <a:extLst>
              <a:ext uri="{FF2B5EF4-FFF2-40B4-BE49-F238E27FC236}">
                <a16:creationId xmlns:a16="http://schemas.microsoft.com/office/drawing/2014/main" id="{00000000-0008-0000-0300-00005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132</xdr:row>
      <xdr:rowOff>0</xdr:rowOff>
    </xdr:from>
    <xdr:to>
      <xdr:col>2</xdr:col>
      <xdr:colOff>312963</xdr:colOff>
      <xdr:row>133</xdr:row>
      <xdr:rowOff>68036</xdr:rowOff>
    </xdr:to>
    <xdr:grpSp>
      <xdr:nvGrpSpPr>
        <xdr:cNvPr id="1629" name="Group 1008">
          <a:extLst>
            <a:ext uri="{FF2B5EF4-FFF2-40B4-BE49-F238E27FC236}">
              <a16:creationId xmlns:a16="http://schemas.microsoft.com/office/drawing/2014/main" id="{00000000-0008-0000-0300-00005D060000}"/>
            </a:ext>
          </a:extLst>
        </xdr:cNvPr>
        <xdr:cNvGrpSpPr>
          <a:grpSpLocks/>
        </xdr:cNvGrpSpPr>
      </xdr:nvGrpSpPr>
      <xdr:grpSpPr bwMode="auto">
        <a:xfrm>
          <a:off x="1535906" y="28789313"/>
          <a:ext cx="312963" cy="282348"/>
          <a:chOff x="5475762" y="47760700"/>
          <a:chExt cx="314325" cy="230209"/>
        </a:xfrm>
      </xdr:grpSpPr>
      <xdr:cxnSp macro="">
        <xdr:nvCxnSpPr>
          <xdr:cNvPr id="1630" name="Straight Connector 1629">
            <a:extLst>
              <a:ext uri="{FF2B5EF4-FFF2-40B4-BE49-F238E27FC236}">
                <a16:creationId xmlns:a16="http://schemas.microsoft.com/office/drawing/2014/main" id="{00000000-0008-0000-0300-00005E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1" name="Straight Connector 529">
            <a:extLst>
              <a:ext uri="{FF2B5EF4-FFF2-40B4-BE49-F238E27FC236}">
                <a16:creationId xmlns:a16="http://schemas.microsoft.com/office/drawing/2014/main" id="{00000000-0008-0000-0300-00005F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1">
            <a:extLst>
              <a:ext uri="{FF2B5EF4-FFF2-40B4-BE49-F238E27FC236}">
                <a16:creationId xmlns:a16="http://schemas.microsoft.com/office/drawing/2014/main" id="{00000000-0008-0000-0300-00006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3" name="Straight Connector 533">
            <a:extLst>
              <a:ext uri="{FF2B5EF4-FFF2-40B4-BE49-F238E27FC236}">
                <a16:creationId xmlns:a16="http://schemas.microsoft.com/office/drawing/2014/main" id="{00000000-0008-0000-0300-00006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4" name="Straight Connector 535">
            <a:extLst>
              <a:ext uri="{FF2B5EF4-FFF2-40B4-BE49-F238E27FC236}">
                <a16:creationId xmlns:a16="http://schemas.microsoft.com/office/drawing/2014/main" id="{00000000-0008-0000-0300-00006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5" name="Straight Connector 537">
            <a:extLst>
              <a:ext uri="{FF2B5EF4-FFF2-40B4-BE49-F238E27FC236}">
                <a16:creationId xmlns:a16="http://schemas.microsoft.com/office/drawing/2014/main" id="{00000000-0008-0000-0300-00006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132</xdr:row>
      <xdr:rowOff>0</xdr:rowOff>
    </xdr:from>
    <xdr:to>
      <xdr:col>4</xdr:col>
      <xdr:colOff>312963</xdr:colOff>
      <xdr:row>133</xdr:row>
      <xdr:rowOff>68036</xdr:rowOff>
    </xdr:to>
    <xdr:grpSp>
      <xdr:nvGrpSpPr>
        <xdr:cNvPr id="1636" name="Group 1008">
          <a:extLst>
            <a:ext uri="{FF2B5EF4-FFF2-40B4-BE49-F238E27FC236}">
              <a16:creationId xmlns:a16="http://schemas.microsoft.com/office/drawing/2014/main" id="{00000000-0008-0000-0300-000064060000}"/>
            </a:ext>
          </a:extLst>
        </xdr:cNvPr>
        <xdr:cNvGrpSpPr>
          <a:grpSpLocks/>
        </xdr:cNvGrpSpPr>
      </xdr:nvGrpSpPr>
      <xdr:grpSpPr bwMode="auto">
        <a:xfrm>
          <a:off x="2809875" y="28789313"/>
          <a:ext cx="312963" cy="282348"/>
          <a:chOff x="5475762" y="47760700"/>
          <a:chExt cx="314325" cy="230209"/>
        </a:xfrm>
      </xdr:grpSpPr>
      <xdr:cxnSp macro="">
        <xdr:nvCxnSpPr>
          <xdr:cNvPr id="1637" name="Straight Connector 1636">
            <a:extLst>
              <a:ext uri="{FF2B5EF4-FFF2-40B4-BE49-F238E27FC236}">
                <a16:creationId xmlns:a16="http://schemas.microsoft.com/office/drawing/2014/main" id="{00000000-0008-0000-0300-000065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8" name="Straight Connector 529">
            <a:extLst>
              <a:ext uri="{FF2B5EF4-FFF2-40B4-BE49-F238E27FC236}">
                <a16:creationId xmlns:a16="http://schemas.microsoft.com/office/drawing/2014/main" id="{00000000-0008-0000-0300-000066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1">
            <a:extLst>
              <a:ext uri="{FF2B5EF4-FFF2-40B4-BE49-F238E27FC236}">
                <a16:creationId xmlns:a16="http://schemas.microsoft.com/office/drawing/2014/main" id="{00000000-0008-0000-0300-00006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0" name="Straight Connector 533">
            <a:extLst>
              <a:ext uri="{FF2B5EF4-FFF2-40B4-BE49-F238E27FC236}">
                <a16:creationId xmlns:a16="http://schemas.microsoft.com/office/drawing/2014/main" id="{00000000-0008-0000-0300-00006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1" name="Straight Connector 535">
            <a:extLst>
              <a:ext uri="{FF2B5EF4-FFF2-40B4-BE49-F238E27FC236}">
                <a16:creationId xmlns:a16="http://schemas.microsoft.com/office/drawing/2014/main" id="{00000000-0008-0000-0300-00006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2" name="Straight Connector 537">
            <a:extLst>
              <a:ext uri="{FF2B5EF4-FFF2-40B4-BE49-F238E27FC236}">
                <a16:creationId xmlns:a16="http://schemas.microsoft.com/office/drawing/2014/main" id="{00000000-0008-0000-0300-00006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132</xdr:row>
      <xdr:rowOff>0</xdr:rowOff>
    </xdr:from>
    <xdr:to>
      <xdr:col>6</xdr:col>
      <xdr:colOff>312963</xdr:colOff>
      <xdr:row>133</xdr:row>
      <xdr:rowOff>68036</xdr:rowOff>
    </xdr:to>
    <xdr:grpSp>
      <xdr:nvGrpSpPr>
        <xdr:cNvPr id="1643" name="Group 1008">
          <a:extLst>
            <a:ext uri="{FF2B5EF4-FFF2-40B4-BE49-F238E27FC236}">
              <a16:creationId xmlns:a16="http://schemas.microsoft.com/office/drawing/2014/main" id="{00000000-0008-0000-0300-00006B060000}"/>
            </a:ext>
          </a:extLst>
        </xdr:cNvPr>
        <xdr:cNvGrpSpPr>
          <a:grpSpLocks/>
        </xdr:cNvGrpSpPr>
      </xdr:nvGrpSpPr>
      <xdr:grpSpPr bwMode="auto">
        <a:xfrm>
          <a:off x="4179094" y="28789313"/>
          <a:ext cx="312963" cy="282348"/>
          <a:chOff x="5475762" y="47760700"/>
          <a:chExt cx="314325" cy="230209"/>
        </a:xfrm>
      </xdr:grpSpPr>
      <xdr:cxnSp macro="">
        <xdr:nvCxnSpPr>
          <xdr:cNvPr id="1644" name="Straight Connector 1643">
            <a:extLst>
              <a:ext uri="{FF2B5EF4-FFF2-40B4-BE49-F238E27FC236}">
                <a16:creationId xmlns:a16="http://schemas.microsoft.com/office/drawing/2014/main" id="{00000000-0008-0000-0300-00006C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5" name="Straight Connector 529">
            <a:extLst>
              <a:ext uri="{FF2B5EF4-FFF2-40B4-BE49-F238E27FC236}">
                <a16:creationId xmlns:a16="http://schemas.microsoft.com/office/drawing/2014/main" id="{00000000-0008-0000-0300-00006D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1">
            <a:extLst>
              <a:ext uri="{FF2B5EF4-FFF2-40B4-BE49-F238E27FC236}">
                <a16:creationId xmlns:a16="http://schemas.microsoft.com/office/drawing/2014/main" id="{00000000-0008-0000-0300-00006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7" name="Straight Connector 533">
            <a:extLst>
              <a:ext uri="{FF2B5EF4-FFF2-40B4-BE49-F238E27FC236}">
                <a16:creationId xmlns:a16="http://schemas.microsoft.com/office/drawing/2014/main" id="{00000000-0008-0000-0300-00006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8" name="Straight Connector 535">
            <a:extLst>
              <a:ext uri="{FF2B5EF4-FFF2-40B4-BE49-F238E27FC236}">
                <a16:creationId xmlns:a16="http://schemas.microsoft.com/office/drawing/2014/main" id="{00000000-0008-0000-0300-00007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9" name="Straight Connector 537">
            <a:extLst>
              <a:ext uri="{FF2B5EF4-FFF2-40B4-BE49-F238E27FC236}">
                <a16:creationId xmlns:a16="http://schemas.microsoft.com/office/drawing/2014/main" id="{00000000-0008-0000-0300-00007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132</xdr:row>
      <xdr:rowOff>0</xdr:rowOff>
    </xdr:from>
    <xdr:to>
      <xdr:col>8</xdr:col>
      <xdr:colOff>312963</xdr:colOff>
      <xdr:row>133</xdr:row>
      <xdr:rowOff>68036</xdr:rowOff>
    </xdr:to>
    <xdr:grpSp>
      <xdr:nvGrpSpPr>
        <xdr:cNvPr id="1650" name="Group 1008">
          <a:extLst>
            <a:ext uri="{FF2B5EF4-FFF2-40B4-BE49-F238E27FC236}">
              <a16:creationId xmlns:a16="http://schemas.microsoft.com/office/drawing/2014/main" id="{00000000-0008-0000-0300-000072060000}"/>
            </a:ext>
          </a:extLst>
        </xdr:cNvPr>
        <xdr:cNvGrpSpPr>
          <a:grpSpLocks/>
        </xdr:cNvGrpSpPr>
      </xdr:nvGrpSpPr>
      <xdr:grpSpPr bwMode="auto">
        <a:xfrm>
          <a:off x="5500688" y="28789313"/>
          <a:ext cx="312963" cy="282348"/>
          <a:chOff x="5475762" y="47760700"/>
          <a:chExt cx="314325" cy="230209"/>
        </a:xfrm>
      </xdr:grpSpPr>
      <xdr:cxnSp macro="">
        <xdr:nvCxnSpPr>
          <xdr:cNvPr id="1651" name="Straight Connector 1650">
            <a:extLst>
              <a:ext uri="{FF2B5EF4-FFF2-40B4-BE49-F238E27FC236}">
                <a16:creationId xmlns:a16="http://schemas.microsoft.com/office/drawing/2014/main" id="{00000000-0008-0000-0300-000073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2" name="Straight Connector 529">
            <a:extLst>
              <a:ext uri="{FF2B5EF4-FFF2-40B4-BE49-F238E27FC236}">
                <a16:creationId xmlns:a16="http://schemas.microsoft.com/office/drawing/2014/main" id="{00000000-0008-0000-0300-000074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1">
            <a:extLst>
              <a:ext uri="{FF2B5EF4-FFF2-40B4-BE49-F238E27FC236}">
                <a16:creationId xmlns:a16="http://schemas.microsoft.com/office/drawing/2014/main" id="{00000000-0008-0000-0300-00007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4" name="Straight Connector 533">
            <a:extLst>
              <a:ext uri="{FF2B5EF4-FFF2-40B4-BE49-F238E27FC236}">
                <a16:creationId xmlns:a16="http://schemas.microsoft.com/office/drawing/2014/main" id="{00000000-0008-0000-0300-00007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5" name="Straight Connector 535">
            <a:extLst>
              <a:ext uri="{FF2B5EF4-FFF2-40B4-BE49-F238E27FC236}">
                <a16:creationId xmlns:a16="http://schemas.microsoft.com/office/drawing/2014/main" id="{00000000-0008-0000-0300-00007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6" name="Straight Connector 537">
            <a:extLst>
              <a:ext uri="{FF2B5EF4-FFF2-40B4-BE49-F238E27FC236}">
                <a16:creationId xmlns:a16="http://schemas.microsoft.com/office/drawing/2014/main" id="{00000000-0008-0000-0300-00007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132</xdr:row>
      <xdr:rowOff>0</xdr:rowOff>
    </xdr:from>
    <xdr:to>
      <xdr:col>10</xdr:col>
      <xdr:colOff>312963</xdr:colOff>
      <xdr:row>133</xdr:row>
      <xdr:rowOff>68036</xdr:rowOff>
    </xdr:to>
    <xdr:grpSp>
      <xdr:nvGrpSpPr>
        <xdr:cNvPr id="1657" name="Group 1008">
          <a:extLst>
            <a:ext uri="{FF2B5EF4-FFF2-40B4-BE49-F238E27FC236}">
              <a16:creationId xmlns:a16="http://schemas.microsoft.com/office/drawing/2014/main" id="{00000000-0008-0000-0300-000079060000}"/>
            </a:ext>
          </a:extLst>
        </xdr:cNvPr>
        <xdr:cNvGrpSpPr>
          <a:grpSpLocks/>
        </xdr:cNvGrpSpPr>
      </xdr:nvGrpSpPr>
      <xdr:grpSpPr bwMode="auto">
        <a:xfrm>
          <a:off x="6929438" y="28789313"/>
          <a:ext cx="312963" cy="282348"/>
          <a:chOff x="5475762" y="47760700"/>
          <a:chExt cx="314325" cy="230209"/>
        </a:xfrm>
      </xdr:grpSpPr>
      <xdr:cxnSp macro="">
        <xdr:nvCxnSpPr>
          <xdr:cNvPr id="1658" name="Straight Connector 1657">
            <a:extLst>
              <a:ext uri="{FF2B5EF4-FFF2-40B4-BE49-F238E27FC236}">
                <a16:creationId xmlns:a16="http://schemas.microsoft.com/office/drawing/2014/main" id="{00000000-0008-0000-0300-00007A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9" name="Straight Connector 529">
            <a:extLst>
              <a:ext uri="{FF2B5EF4-FFF2-40B4-BE49-F238E27FC236}">
                <a16:creationId xmlns:a16="http://schemas.microsoft.com/office/drawing/2014/main" id="{00000000-0008-0000-0300-00007B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1">
            <a:extLst>
              <a:ext uri="{FF2B5EF4-FFF2-40B4-BE49-F238E27FC236}">
                <a16:creationId xmlns:a16="http://schemas.microsoft.com/office/drawing/2014/main" id="{00000000-0008-0000-0300-00007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1" name="Straight Connector 533">
            <a:extLst>
              <a:ext uri="{FF2B5EF4-FFF2-40B4-BE49-F238E27FC236}">
                <a16:creationId xmlns:a16="http://schemas.microsoft.com/office/drawing/2014/main" id="{00000000-0008-0000-0300-00007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2" name="Straight Connector 535">
            <a:extLst>
              <a:ext uri="{FF2B5EF4-FFF2-40B4-BE49-F238E27FC236}">
                <a16:creationId xmlns:a16="http://schemas.microsoft.com/office/drawing/2014/main" id="{00000000-0008-0000-0300-00007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3" name="Straight Connector 537">
            <a:extLst>
              <a:ext uri="{FF2B5EF4-FFF2-40B4-BE49-F238E27FC236}">
                <a16:creationId xmlns:a16="http://schemas.microsoft.com/office/drawing/2014/main" id="{00000000-0008-0000-0300-00007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132</xdr:row>
      <xdr:rowOff>0</xdr:rowOff>
    </xdr:from>
    <xdr:to>
      <xdr:col>12</xdr:col>
      <xdr:colOff>312963</xdr:colOff>
      <xdr:row>133</xdr:row>
      <xdr:rowOff>68036</xdr:rowOff>
    </xdr:to>
    <xdr:grpSp>
      <xdr:nvGrpSpPr>
        <xdr:cNvPr id="1664" name="Group 1008">
          <a:extLst>
            <a:ext uri="{FF2B5EF4-FFF2-40B4-BE49-F238E27FC236}">
              <a16:creationId xmlns:a16="http://schemas.microsoft.com/office/drawing/2014/main" id="{00000000-0008-0000-0300-000080060000}"/>
            </a:ext>
          </a:extLst>
        </xdr:cNvPr>
        <xdr:cNvGrpSpPr>
          <a:grpSpLocks/>
        </xdr:cNvGrpSpPr>
      </xdr:nvGrpSpPr>
      <xdr:grpSpPr bwMode="auto">
        <a:xfrm>
          <a:off x="8251031" y="28789313"/>
          <a:ext cx="312963" cy="282348"/>
          <a:chOff x="5475762" y="47760700"/>
          <a:chExt cx="314325" cy="230209"/>
        </a:xfrm>
      </xdr:grpSpPr>
      <xdr:cxnSp macro="">
        <xdr:nvCxnSpPr>
          <xdr:cNvPr id="1665" name="Straight Connector 1664">
            <a:extLst>
              <a:ext uri="{FF2B5EF4-FFF2-40B4-BE49-F238E27FC236}">
                <a16:creationId xmlns:a16="http://schemas.microsoft.com/office/drawing/2014/main" id="{00000000-0008-0000-0300-000081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6" name="Straight Connector 529">
            <a:extLst>
              <a:ext uri="{FF2B5EF4-FFF2-40B4-BE49-F238E27FC236}">
                <a16:creationId xmlns:a16="http://schemas.microsoft.com/office/drawing/2014/main" id="{00000000-0008-0000-0300-000082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1">
            <a:extLst>
              <a:ext uri="{FF2B5EF4-FFF2-40B4-BE49-F238E27FC236}">
                <a16:creationId xmlns:a16="http://schemas.microsoft.com/office/drawing/2014/main" id="{00000000-0008-0000-0300-00008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8" name="Straight Connector 533">
            <a:extLst>
              <a:ext uri="{FF2B5EF4-FFF2-40B4-BE49-F238E27FC236}">
                <a16:creationId xmlns:a16="http://schemas.microsoft.com/office/drawing/2014/main" id="{00000000-0008-0000-0300-00008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9" name="Straight Connector 535">
            <a:extLst>
              <a:ext uri="{FF2B5EF4-FFF2-40B4-BE49-F238E27FC236}">
                <a16:creationId xmlns:a16="http://schemas.microsoft.com/office/drawing/2014/main" id="{00000000-0008-0000-0300-00008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0" name="Straight Connector 537">
            <a:extLst>
              <a:ext uri="{FF2B5EF4-FFF2-40B4-BE49-F238E27FC236}">
                <a16:creationId xmlns:a16="http://schemas.microsoft.com/office/drawing/2014/main" id="{00000000-0008-0000-0300-00008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132</xdr:row>
      <xdr:rowOff>0</xdr:rowOff>
    </xdr:from>
    <xdr:to>
      <xdr:col>14</xdr:col>
      <xdr:colOff>312963</xdr:colOff>
      <xdr:row>133</xdr:row>
      <xdr:rowOff>68036</xdr:rowOff>
    </xdr:to>
    <xdr:grpSp>
      <xdr:nvGrpSpPr>
        <xdr:cNvPr id="1671" name="Group 1008">
          <a:extLst>
            <a:ext uri="{FF2B5EF4-FFF2-40B4-BE49-F238E27FC236}">
              <a16:creationId xmlns:a16="http://schemas.microsoft.com/office/drawing/2014/main" id="{00000000-0008-0000-0300-000087060000}"/>
            </a:ext>
          </a:extLst>
        </xdr:cNvPr>
        <xdr:cNvGrpSpPr>
          <a:grpSpLocks/>
        </xdr:cNvGrpSpPr>
      </xdr:nvGrpSpPr>
      <xdr:grpSpPr bwMode="auto">
        <a:xfrm>
          <a:off x="9489281" y="28789313"/>
          <a:ext cx="312963" cy="282348"/>
          <a:chOff x="5475762" y="47760700"/>
          <a:chExt cx="314325" cy="230209"/>
        </a:xfrm>
      </xdr:grpSpPr>
      <xdr:cxnSp macro="">
        <xdr:nvCxnSpPr>
          <xdr:cNvPr id="1672" name="Straight Connector 1671">
            <a:extLst>
              <a:ext uri="{FF2B5EF4-FFF2-40B4-BE49-F238E27FC236}">
                <a16:creationId xmlns:a16="http://schemas.microsoft.com/office/drawing/2014/main" id="{00000000-0008-0000-0300-000088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3" name="Straight Connector 529">
            <a:extLst>
              <a:ext uri="{FF2B5EF4-FFF2-40B4-BE49-F238E27FC236}">
                <a16:creationId xmlns:a16="http://schemas.microsoft.com/office/drawing/2014/main" id="{00000000-0008-0000-0300-000089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1">
            <a:extLst>
              <a:ext uri="{FF2B5EF4-FFF2-40B4-BE49-F238E27FC236}">
                <a16:creationId xmlns:a16="http://schemas.microsoft.com/office/drawing/2014/main" id="{00000000-0008-0000-0300-00008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5" name="Straight Connector 533">
            <a:extLst>
              <a:ext uri="{FF2B5EF4-FFF2-40B4-BE49-F238E27FC236}">
                <a16:creationId xmlns:a16="http://schemas.microsoft.com/office/drawing/2014/main" id="{00000000-0008-0000-0300-00008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6" name="Straight Connector 535">
            <a:extLst>
              <a:ext uri="{FF2B5EF4-FFF2-40B4-BE49-F238E27FC236}">
                <a16:creationId xmlns:a16="http://schemas.microsoft.com/office/drawing/2014/main" id="{00000000-0008-0000-0300-00008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7" name="Straight Connector 537">
            <a:extLst>
              <a:ext uri="{FF2B5EF4-FFF2-40B4-BE49-F238E27FC236}">
                <a16:creationId xmlns:a16="http://schemas.microsoft.com/office/drawing/2014/main" id="{00000000-0008-0000-0300-00008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132</xdr:row>
      <xdr:rowOff>0</xdr:rowOff>
    </xdr:from>
    <xdr:to>
      <xdr:col>16</xdr:col>
      <xdr:colOff>312963</xdr:colOff>
      <xdr:row>133</xdr:row>
      <xdr:rowOff>68036</xdr:rowOff>
    </xdr:to>
    <xdr:grpSp>
      <xdr:nvGrpSpPr>
        <xdr:cNvPr id="1678" name="Group 1008">
          <a:extLst>
            <a:ext uri="{FF2B5EF4-FFF2-40B4-BE49-F238E27FC236}">
              <a16:creationId xmlns:a16="http://schemas.microsoft.com/office/drawing/2014/main" id="{00000000-0008-0000-0300-00008E060000}"/>
            </a:ext>
          </a:extLst>
        </xdr:cNvPr>
        <xdr:cNvGrpSpPr>
          <a:grpSpLocks/>
        </xdr:cNvGrpSpPr>
      </xdr:nvGrpSpPr>
      <xdr:grpSpPr bwMode="auto">
        <a:xfrm>
          <a:off x="10775156" y="28789313"/>
          <a:ext cx="312963" cy="282348"/>
          <a:chOff x="5475762" y="47760700"/>
          <a:chExt cx="314325" cy="230209"/>
        </a:xfrm>
      </xdr:grpSpPr>
      <xdr:cxnSp macro="">
        <xdr:nvCxnSpPr>
          <xdr:cNvPr id="1679" name="Straight Connector 1678">
            <a:extLst>
              <a:ext uri="{FF2B5EF4-FFF2-40B4-BE49-F238E27FC236}">
                <a16:creationId xmlns:a16="http://schemas.microsoft.com/office/drawing/2014/main" id="{00000000-0008-0000-0300-00008F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0" name="Straight Connector 529">
            <a:extLst>
              <a:ext uri="{FF2B5EF4-FFF2-40B4-BE49-F238E27FC236}">
                <a16:creationId xmlns:a16="http://schemas.microsoft.com/office/drawing/2014/main" id="{00000000-0008-0000-0300-000090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1">
            <a:extLst>
              <a:ext uri="{FF2B5EF4-FFF2-40B4-BE49-F238E27FC236}">
                <a16:creationId xmlns:a16="http://schemas.microsoft.com/office/drawing/2014/main" id="{00000000-0008-0000-0300-00009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2" name="Straight Connector 533">
            <a:extLst>
              <a:ext uri="{FF2B5EF4-FFF2-40B4-BE49-F238E27FC236}">
                <a16:creationId xmlns:a16="http://schemas.microsoft.com/office/drawing/2014/main" id="{00000000-0008-0000-0300-00009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3" name="Straight Connector 535">
            <a:extLst>
              <a:ext uri="{FF2B5EF4-FFF2-40B4-BE49-F238E27FC236}">
                <a16:creationId xmlns:a16="http://schemas.microsoft.com/office/drawing/2014/main" id="{00000000-0008-0000-0300-00009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4" name="Straight Connector 537">
            <a:extLst>
              <a:ext uri="{FF2B5EF4-FFF2-40B4-BE49-F238E27FC236}">
                <a16:creationId xmlns:a16="http://schemas.microsoft.com/office/drawing/2014/main" id="{00000000-0008-0000-0300-00009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132</xdr:row>
      <xdr:rowOff>0</xdr:rowOff>
    </xdr:from>
    <xdr:to>
      <xdr:col>18</xdr:col>
      <xdr:colOff>312963</xdr:colOff>
      <xdr:row>133</xdr:row>
      <xdr:rowOff>68036</xdr:rowOff>
    </xdr:to>
    <xdr:grpSp>
      <xdr:nvGrpSpPr>
        <xdr:cNvPr id="1685" name="Group 1008">
          <a:extLst>
            <a:ext uri="{FF2B5EF4-FFF2-40B4-BE49-F238E27FC236}">
              <a16:creationId xmlns:a16="http://schemas.microsoft.com/office/drawing/2014/main" id="{00000000-0008-0000-0300-000095060000}"/>
            </a:ext>
          </a:extLst>
        </xdr:cNvPr>
        <xdr:cNvGrpSpPr>
          <a:grpSpLocks/>
        </xdr:cNvGrpSpPr>
      </xdr:nvGrpSpPr>
      <xdr:grpSpPr bwMode="auto">
        <a:xfrm>
          <a:off x="12108656" y="28789313"/>
          <a:ext cx="312963" cy="282348"/>
          <a:chOff x="5475762" y="47760700"/>
          <a:chExt cx="314325" cy="230209"/>
        </a:xfrm>
      </xdr:grpSpPr>
      <xdr:cxnSp macro="">
        <xdr:nvCxnSpPr>
          <xdr:cNvPr id="1686" name="Straight Connector 1685">
            <a:extLst>
              <a:ext uri="{FF2B5EF4-FFF2-40B4-BE49-F238E27FC236}">
                <a16:creationId xmlns:a16="http://schemas.microsoft.com/office/drawing/2014/main" id="{00000000-0008-0000-0300-000096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7" name="Straight Connector 529">
            <a:extLst>
              <a:ext uri="{FF2B5EF4-FFF2-40B4-BE49-F238E27FC236}">
                <a16:creationId xmlns:a16="http://schemas.microsoft.com/office/drawing/2014/main" id="{00000000-0008-0000-0300-000097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1">
            <a:extLst>
              <a:ext uri="{FF2B5EF4-FFF2-40B4-BE49-F238E27FC236}">
                <a16:creationId xmlns:a16="http://schemas.microsoft.com/office/drawing/2014/main" id="{00000000-0008-0000-0300-00009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9" name="Straight Connector 533">
            <a:extLst>
              <a:ext uri="{FF2B5EF4-FFF2-40B4-BE49-F238E27FC236}">
                <a16:creationId xmlns:a16="http://schemas.microsoft.com/office/drawing/2014/main" id="{00000000-0008-0000-0300-00009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0" name="Straight Connector 535">
            <a:extLst>
              <a:ext uri="{FF2B5EF4-FFF2-40B4-BE49-F238E27FC236}">
                <a16:creationId xmlns:a16="http://schemas.microsoft.com/office/drawing/2014/main" id="{00000000-0008-0000-0300-00009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1" name="Straight Connector 537">
            <a:extLst>
              <a:ext uri="{FF2B5EF4-FFF2-40B4-BE49-F238E27FC236}">
                <a16:creationId xmlns:a16="http://schemas.microsoft.com/office/drawing/2014/main" id="{00000000-0008-0000-0300-00009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132</xdr:row>
      <xdr:rowOff>0</xdr:rowOff>
    </xdr:from>
    <xdr:to>
      <xdr:col>20</xdr:col>
      <xdr:colOff>312963</xdr:colOff>
      <xdr:row>133</xdr:row>
      <xdr:rowOff>68036</xdr:rowOff>
    </xdr:to>
    <xdr:grpSp>
      <xdr:nvGrpSpPr>
        <xdr:cNvPr id="1692" name="Group 1008">
          <a:extLst>
            <a:ext uri="{FF2B5EF4-FFF2-40B4-BE49-F238E27FC236}">
              <a16:creationId xmlns:a16="http://schemas.microsoft.com/office/drawing/2014/main" id="{00000000-0008-0000-0300-00009C060000}"/>
            </a:ext>
          </a:extLst>
        </xdr:cNvPr>
        <xdr:cNvGrpSpPr>
          <a:grpSpLocks/>
        </xdr:cNvGrpSpPr>
      </xdr:nvGrpSpPr>
      <xdr:grpSpPr bwMode="auto">
        <a:xfrm>
          <a:off x="13251656" y="28789313"/>
          <a:ext cx="312963" cy="282348"/>
          <a:chOff x="5475762" y="47760700"/>
          <a:chExt cx="314325" cy="230209"/>
        </a:xfrm>
      </xdr:grpSpPr>
      <xdr:cxnSp macro="">
        <xdr:nvCxnSpPr>
          <xdr:cNvPr id="1693" name="Straight Connector 1692">
            <a:extLst>
              <a:ext uri="{FF2B5EF4-FFF2-40B4-BE49-F238E27FC236}">
                <a16:creationId xmlns:a16="http://schemas.microsoft.com/office/drawing/2014/main" id="{00000000-0008-0000-0300-00009D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4" name="Straight Connector 529">
            <a:extLst>
              <a:ext uri="{FF2B5EF4-FFF2-40B4-BE49-F238E27FC236}">
                <a16:creationId xmlns:a16="http://schemas.microsoft.com/office/drawing/2014/main" id="{00000000-0008-0000-0300-00009E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1">
            <a:extLst>
              <a:ext uri="{FF2B5EF4-FFF2-40B4-BE49-F238E27FC236}">
                <a16:creationId xmlns:a16="http://schemas.microsoft.com/office/drawing/2014/main" id="{00000000-0008-0000-0300-00009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6" name="Straight Connector 533">
            <a:extLst>
              <a:ext uri="{FF2B5EF4-FFF2-40B4-BE49-F238E27FC236}">
                <a16:creationId xmlns:a16="http://schemas.microsoft.com/office/drawing/2014/main" id="{00000000-0008-0000-0300-0000A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7" name="Straight Connector 535">
            <a:extLst>
              <a:ext uri="{FF2B5EF4-FFF2-40B4-BE49-F238E27FC236}">
                <a16:creationId xmlns:a16="http://schemas.microsoft.com/office/drawing/2014/main" id="{00000000-0008-0000-0300-0000A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8" name="Straight Connector 537">
            <a:extLst>
              <a:ext uri="{FF2B5EF4-FFF2-40B4-BE49-F238E27FC236}">
                <a16:creationId xmlns:a16="http://schemas.microsoft.com/office/drawing/2014/main" id="{00000000-0008-0000-0300-0000A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132</xdr:row>
      <xdr:rowOff>0</xdr:rowOff>
    </xdr:from>
    <xdr:to>
      <xdr:col>22</xdr:col>
      <xdr:colOff>312963</xdr:colOff>
      <xdr:row>133</xdr:row>
      <xdr:rowOff>68036</xdr:rowOff>
    </xdr:to>
    <xdr:grpSp>
      <xdr:nvGrpSpPr>
        <xdr:cNvPr id="1699" name="Group 1008">
          <a:extLst>
            <a:ext uri="{FF2B5EF4-FFF2-40B4-BE49-F238E27FC236}">
              <a16:creationId xmlns:a16="http://schemas.microsoft.com/office/drawing/2014/main" id="{00000000-0008-0000-0300-0000A3060000}"/>
            </a:ext>
          </a:extLst>
        </xdr:cNvPr>
        <xdr:cNvGrpSpPr>
          <a:grpSpLocks/>
        </xdr:cNvGrpSpPr>
      </xdr:nvGrpSpPr>
      <xdr:grpSpPr bwMode="auto">
        <a:xfrm>
          <a:off x="14573250" y="28789313"/>
          <a:ext cx="312963" cy="282348"/>
          <a:chOff x="5475762" y="47760700"/>
          <a:chExt cx="314325" cy="230209"/>
        </a:xfrm>
      </xdr:grpSpPr>
      <xdr:cxnSp macro="">
        <xdr:nvCxnSpPr>
          <xdr:cNvPr id="1700" name="Straight Connector 1699">
            <a:extLst>
              <a:ext uri="{FF2B5EF4-FFF2-40B4-BE49-F238E27FC236}">
                <a16:creationId xmlns:a16="http://schemas.microsoft.com/office/drawing/2014/main" id="{00000000-0008-0000-0300-0000A4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1" name="Straight Connector 529">
            <a:extLst>
              <a:ext uri="{FF2B5EF4-FFF2-40B4-BE49-F238E27FC236}">
                <a16:creationId xmlns:a16="http://schemas.microsoft.com/office/drawing/2014/main" id="{00000000-0008-0000-0300-0000A5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1">
            <a:extLst>
              <a:ext uri="{FF2B5EF4-FFF2-40B4-BE49-F238E27FC236}">
                <a16:creationId xmlns:a16="http://schemas.microsoft.com/office/drawing/2014/main" id="{00000000-0008-0000-0300-0000A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3" name="Straight Connector 533">
            <a:extLst>
              <a:ext uri="{FF2B5EF4-FFF2-40B4-BE49-F238E27FC236}">
                <a16:creationId xmlns:a16="http://schemas.microsoft.com/office/drawing/2014/main" id="{00000000-0008-0000-0300-0000A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4" name="Straight Connector 535">
            <a:extLst>
              <a:ext uri="{FF2B5EF4-FFF2-40B4-BE49-F238E27FC236}">
                <a16:creationId xmlns:a16="http://schemas.microsoft.com/office/drawing/2014/main" id="{00000000-0008-0000-0300-0000A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5" name="Straight Connector 537">
            <a:extLst>
              <a:ext uri="{FF2B5EF4-FFF2-40B4-BE49-F238E27FC236}">
                <a16:creationId xmlns:a16="http://schemas.microsoft.com/office/drawing/2014/main" id="{00000000-0008-0000-0300-0000A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132</xdr:row>
      <xdr:rowOff>0</xdr:rowOff>
    </xdr:from>
    <xdr:to>
      <xdr:col>24</xdr:col>
      <xdr:colOff>312963</xdr:colOff>
      <xdr:row>133</xdr:row>
      <xdr:rowOff>68036</xdr:rowOff>
    </xdr:to>
    <xdr:grpSp>
      <xdr:nvGrpSpPr>
        <xdr:cNvPr id="1706" name="Group 1008">
          <a:extLst>
            <a:ext uri="{FF2B5EF4-FFF2-40B4-BE49-F238E27FC236}">
              <a16:creationId xmlns:a16="http://schemas.microsoft.com/office/drawing/2014/main" id="{00000000-0008-0000-0300-0000AA060000}"/>
            </a:ext>
          </a:extLst>
        </xdr:cNvPr>
        <xdr:cNvGrpSpPr>
          <a:grpSpLocks/>
        </xdr:cNvGrpSpPr>
      </xdr:nvGrpSpPr>
      <xdr:grpSpPr bwMode="auto">
        <a:xfrm>
          <a:off x="15942469" y="28789313"/>
          <a:ext cx="312963" cy="282348"/>
          <a:chOff x="5475762" y="47760700"/>
          <a:chExt cx="314325" cy="230209"/>
        </a:xfrm>
      </xdr:grpSpPr>
      <xdr:cxnSp macro="">
        <xdr:nvCxnSpPr>
          <xdr:cNvPr id="1707" name="Straight Connector 1706">
            <a:extLst>
              <a:ext uri="{FF2B5EF4-FFF2-40B4-BE49-F238E27FC236}">
                <a16:creationId xmlns:a16="http://schemas.microsoft.com/office/drawing/2014/main" id="{00000000-0008-0000-0300-0000AB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8" name="Straight Connector 529">
            <a:extLst>
              <a:ext uri="{FF2B5EF4-FFF2-40B4-BE49-F238E27FC236}">
                <a16:creationId xmlns:a16="http://schemas.microsoft.com/office/drawing/2014/main" id="{00000000-0008-0000-0300-0000AC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1">
            <a:extLst>
              <a:ext uri="{FF2B5EF4-FFF2-40B4-BE49-F238E27FC236}">
                <a16:creationId xmlns:a16="http://schemas.microsoft.com/office/drawing/2014/main" id="{00000000-0008-0000-0300-0000A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0" name="Straight Connector 533">
            <a:extLst>
              <a:ext uri="{FF2B5EF4-FFF2-40B4-BE49-F238E27FC236}">
                <a16:creationId xmlns:a16="http://schemas.microsoft.com/office/drawing/2014/main" id="{00000000-0008-0000-0300-0000A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1" name="Straight Connector 535">
            <a:extLst>
              <a:ext uri="{FF2B5EF4-FFF2-40B4-BE49-F238E27FC236}">
                <a16:creationId xmlns:a16="http://schemas.microsoft.com/office/drawing/2014/main" id="{00000000-0008-0000-0300-0000A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2" name="Straight Connector 537">
            <a:extLst>
              <a:ext uri="{FF2B5EF4-FFF2-40B4-BE49-F238E27FC236}">
                <a16:creationId xmlns:a16="http://schemas.microsoft.com/office/drawing/2014/main" id="{00000000-0008-0000-0300-0000B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139</xdr:row>
      <xdr:rowOff>0</xdr:rowOff>
    </xdr:from>
    <xdr:to>
      <xdr:col>2</xdr:col>
      <xdr:colOff>312963</xdr:colOff>
      <xdr:row>140</xdr:row>
      <xdr:rowOff>68036</xdr:rowOff>
    </xdr:to>
    <xdr:grpSp>
      <xdr:nvGrpSpPr>
        <xdr:cNvPr id="1713" name="Group 1008">
          <a:extLst>
            <a:ext uri="{FF2B5EF4-FFF2-40B4-BE49-F238E27FC236}">
              <a16:creationId xmlns:a16="http://schemas.microsoft.com/office/drawing/2014/main" id="{00000000-0008-0000-0300-0000B1060000}"/>
            </a:ext>
          </a:extLst>
        </xdr:cNvPr>
        <xdr:cNvGrpSpPr>
          <a:grpSpLocks/>
        </xdr:cNvGrpSpPr>
      </xdr:nvGrpSpPr>
      <xdr:grpSpPr bwMode="auto">
        <a:xfrm>
          <a:off x="1535906" y="30253781"/>
          <a:ext cx="312963" cy="270443"/>
          <a:chOff x="5475762" y="47760700"/>
          <a:chExt cx="314325" cy="230209"/>
        </a:xfrm>
      </xdr:grpSpPr>
      <xdr:cxnSp macro="">
        <xdr:nvCxnSpPr>
          <xdr:cNvPr id="1714" name="Straight Connector 1713">
            <a:extLst>
              <a:ext uri="{FF2B5EF4-FFF2-40B4-BE49-F238E27FC236}">
                <a16:creationId xmlns:a16="http://schemas.microsoft.com/office/drawing/2014/main" id="{00000000-0008-0000-0300-0000B2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5" name="Straight Connector 529">
            <a:extLst>
              <a:ext uri="{FF2B5EF4-FFF2-40B4-BE49-F238E27FC236}">
                <a16:creationId xmlns:a16="http://schemas.microsoft.com/office/drawing/2014/main" id="{00000000-0008-0000-0300-0000B3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1">
            <a:extLst>
              <a:ext uri="{FF2B5EF4-FFF2-40B4-BE49-F238E27FC236}">
                <a16:creationId xmlns:a16="http://schemas.microsoft.com/office/drawing/2014/main" id="{00000000-0008-0000-0300-0000B4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7" name="Straight Connector 533">
            <a:extLst>
              <a:ext uri="{FF2B5EF4-FFF2-40B4-BE49-F238E27FC236}">
                <a16:creationId xmlns:a16="http://schemas.microsoft.com/office/drawing/2014/main" id="{00000000-0008-0000-0300-0000B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8" name="Straight Connector 535">
            <a:extLst>
              <a:ext uri="{FF2B5EF4-FFF2-40B4-BE49-F238E27FC236}">
                <a16:creationId xmlns:a16="http://schemas.microsoft.com/office/drawing/2014/main" id="{00000000-0008-0000-0300-0000B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9" name="Straight Connector 537">
            <a:extLst>
              <a:ext uri="{FF2B5EF4-FFF2-40B4-BE49-F238E27FC236}">
                <a16:creationId xmlns:a16="http://schemas.microsoft.com/office/drawing/2014/main" id="{00000000-0008-0000-0300-0000B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139</xdr:row>
      <xdr:rowOff>0</xdr:rowOff>
    </xdr:from>
    <xdr:to>
      <xdr:col>4</xdr:col>
      <xdr:colOff>312963</xdr:colOff>
      <xdr:row>140</xdr:row>
      <xdr:rowOff>68036</xdr:rowOff>
    </xdr:to>
    <xdr:grpSp>
      <xdr:nvGrpSpPr>
        <xdr:cNvPr id="1720" name="Group 1008">
          <a:extLst>
            <a:ext uri="{FF2B5EF4-FFF2-40B4-BE49-F238E27FC236}">
              <a16:creationId xmlns:a16="http://schemas.microsoft.com/office/drawing/2014/main" id="{00000000-0008-0000-0300-0000B8060000}"/>
            </a:ext>
          </a:extLst>
        </xdr:cNvPr>
        <xdr:cNvGrpSpPr>
          <a:grpSpLocks/>
        </xdr:cNvGrpSpPr>
      </xdr:nvGrpSpPr>
      <xdr:grpSpPr bwMode="auto">
        <a:xfrm>
          <a:off x="2809875" y="30253781"/>
          <a:ext cx="312963" cy="270443"/>
          <a:chOff x="5475762" y="47760700"/>
          <a:chExt cx="314325" cy="230209"/>
        </a:xfrm>
      </xdr:grpSpPr>
      <xdr:cxnSp macro="">
        <xdr:nvCxnSpPr>
          <xdr:cNvPr id="1721" name="Straight Connector 1720">
            <a:extLst>
              <a:ext uri="{FF2B5EF4-FFF2-40B4-BE49-F238E27FC236}">
                <a16:creationId xmlns:a16="http://schemas.microsoft.com/office/drawing/2014/main" id="{00000000-0008-0000-0300-0000B9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2" name="Straight Connector 529">
            <a:extLst>
              <a:ext uri="{FF2B5EF4-FFF2-40B4-BE49-F238E27FC236}">
                <a16:creationId xmlns:a16="http://schemas.microsoft.com/office/drawing/2014/main" id="{00000000-0008-0000-0300-0000BA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1">
            <a:extLst>
              <a:ext uri="{FF2B5EF4-FFF2-40B4-BE49-F238E27FC236}">
                <a16:creationId xmlns:a16="http://schemas.microsoft.com/office/drawing/2014/main" id="{00000000-0008-0000-0300-0000BB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4" name="Straight Connector 533">
            <a:extLst>
              <a:ext uri="{FF2B5EF4-FFF2-40B4-BE49-F238E27FC236}">
                <a16:creationId xmlns:a16="http://schemas.microsoft.com/office/drawing/2014/main" id="{00000000-0008-0000-0300-0000B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5" name="Straight Connector 535">
            <a:extLst>
              <a:ext uri="{FF2B5EF4-FFF2-40B4-BE49-F238E27FC236}">
                <a16:creationId xmlns:a16="http://schemas.microsoft.com/office/drawing/2014/main" id="{00000000-0008-0000-0300-0000B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6" name="Straight Connector 537">
            <a:extLst>
              <a:ext uri="{FF2B5EF4-FFF2-40B4-BE49-F238E27FC236}">
                <a16:creationId xmlns:a16="http://schemas.microsoft.com/office/drawing/2014/main" id="{00000000-0008-0000-0300-0000B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139</xdr:row>
      <xdr:rowOff>0</xdr:rowOff>
    </xdr:from>
    <xdr:to>
      <xdr:col>14</xdr:col>
      <xdr:colOff>312963</xdr:colOff>
      <xdr:row>140</xdr:row>
      <xdr:rowOff>68036</xdr:rowOff>
    </xdr:to>
    <xdr:grpSp>
      <xdr:nvGrpSpPr>
        <xdr:cNvPr id="1727" name="Group 1008">
          <a:extLst>
            <a:ext uri="{FF2B5EF4-FFF2-40B4-BE49-F238E27FC236}">
              <a16:creationId xmlns:a16="http://schemas.microsoft.com/office/drawing/2014/main" id="{00000000-0008-0000-0300-0000BF060000}"/>
            </a:ext>
          </a:extLst>
        </xdr:cNvPr>
        <xdr:cNvGrpSpPr>
          <a:grpSpLocks/>
        </xdr:cNvGrpSpPr>
      </xdr:nvGrpSpPr>
      <xdr:grpSpPr bwMode="auto">
        <a:xfrm>
          <a:off x="9489281" y="30253781"/>
          <a:ext cx="312963" cy="270443"/>
          <a:chOff x="5475762" y="47760700"/>
          <a:chExt cx="314325" cy="230209"/>
        </a:xfrm>
      </xdr:grpSpPr>
      <xdr:cxnSp macro="">
        <xdr:nvCxnSpPr>
          <xdr:cNvPr id="1728" name="Straight Connector 1727">
            <a:extLst>
              <a:ext uri="{FF2B5EF4-FFF2-40B4-BE49-F238E27FC236}">
                <a16:creationId xmlns:a16="http://schemas.microsoft.com/office/drawing/2014/main" id="{00000000-0008-0000-0300-0000C0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9" name="Straight Connector 529">
            <a:extLst>
              <a:ext uri="{FF2B5EF4-FFF2-40B4-BE49-F238E27FC236}">
                <a16:creationId xmlns:a16="http://schemas.microsoft.com/office/drawing/2014/main" id="{00000000-0008-0000-0300-0000C1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1">
            <a:extLst>
              <a:ext uri="{FF2B5EF4-FFF2-40B4-BE49-F238E27FC236}">
                <a16:creationId xmlns:a16="http://schemas.microsoft.com/office/drawing/2014/main" id="{00000000-0008-0000-0300-0000C2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1" name="Straight Connector 533">
            <a:extLst>
              <a:ext uri="{FF2B5EF4-FFF2-40B4-BE49-F238E27FC236}">
                <a16:creationId xmlns:a16="http://schemas.microsoft.com/office/drawing/2014/main" id="{00000000-0008-0000-0300-0000C3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2" name="Straight Connector 535">
            <a:extLst>
              <a:ext uri="{FF2B5EF4-FFF2-40B4-BE49-F238E27FC236}">
                <a16:creationId xmlns:a16="http://schemas.microsoft.com/office/drawing/2014/main" id="{00000000-0008-0000-0300-0000C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3" name="Straight Connector 537">
            <a:extLst>
              <a:ext uri="{FF2B5EF4-FFF2-40B4-BE49-F238E27FC236}">
                <a16:creationId xmlns:a16="http://schemas.microsoft.com/office/drawing/2014/main" id="{00000000-0008-0000-0300-0000C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139</xdr:row>
      <xdr:rowOff>0</xdr:rowOff>
    </xdr:from>
    <xdr:to>
      <xdr:col>16</xdr:col>
      <xdr:colOff>312963</xdr:colOff>
      <xdr:row>140</xdr:row>
      <xdr:rowOff>68036</xdr:rowOff>
    </xdr:to>
    <xdr:grpSp>
      <xdr:nvGrpSpPr>
        <xdr:cNvPr id="1734" name="Group 1008">
          <a:extLst>
            <a:ext uri="{FF2B5EF4-FFF2-40B4-BE49-F238E27FC236}">
              <a16:creationId xmlns:a16="http://schemas.microsoft.com/office/drawing/2014/main" id="{00000000-0008-0000-0300-0000C6060000}"/>
            </a:ext>
          </a:extLst>
        </xdr:cNvPr>
        <xdr:cNvGrpSpPr>
          <a:grpSpLocks/>
        </xdr:cNvGrpSpPr>
      </xdr:nvGrpSpPr>
      <xdr:grpSpPr bwMode="auto">
        <a:xfrm>
          <a:off x="10775156" y="30253781"/>
          <a:ext cx="312963" cy="270443"/>
          <a:chOff x="5475762" y="47760700"/>
          <a:chExt cx="314325" cy="230209"/>
        </a:xfrm>
      </xdr:grpSpPr>
      <xdr:cxnSp macro="">
        <xdr:nvCxnSpPr>
          <xdr:cNvPr id="1735" name="Straight Connector 1734">
            <a:extLst>
              <a:ext uri="{FF2B5EF4-FFF2-40B4-BE49-F238E27FC236}">
                <a16:creationId xmlns:a16="http://schemas.microsoft.com/office/drawing/2014/main" id="{00000000-0008-0000-0300-0000C7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6" name="Straight Connector 529">
            <a:extLst>
              <a:ext uri="{FF2B5EF4-FFF2-40B4-BE49-F238E27FC236}">
                <a16:creationId xmlns:a16="http://schemas.microsoft.com/office/drawing/2014/main" id="{00000000-0008-0000-0300-0000C8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1">
            <a:extLst>
              <a:ext uri="{FF2B5EF4-FFF2-40B4-BE49-F238E27FC236}">
                <a16:creationId xmlns:a16="http://schemas.microsoft.com/office/drawing/2014/main" id="{00000000-0008-0000-0300-0000C9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8" name="Straight Connector 533">
            <a:extLst>
              <a:ext uri="{FF2B5EF4-FFF2-40B4-BE49-F238E27FC236}">
                <a16:creationId xmlns:a16="http://schemas.microsoft.com/office/drawing/2014/main" id="{00000000-0008-0000-0300-0000CA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9" name="Straight Connector 535">
            <a:extLst>
              <a:ext uri="{FF2B5EF4-FFF2-40B4-BE49-F238E27FC236}">
                <a16:creationId xmlns:a16="http://schemas.microsoft.com/office/drawing/2014/main" id="{00000000-0008-0000-0300-0000C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0" name="Straight Connector 537">
            <a:extLst>
              <a:ext uri="{FF2B5EF4-FFF2-40B4-BE49-F238E27FC236}">
                <a16:creationId xmlns:a16="http://schemas.microsoft.com/office/drawing/2014/main" id="{00000000-0008-0000-0300-0000C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139</xdr:row>
      <xdr:rowOff>0</xdr:rowOff>
    </xdr:from>
    <xdr:to>
      <xdr:col>20</xdr:col>
      <xdr:colOff>312963</xdr:colOff>
      <xdr:row>140</xdr:row>
      <xdr:rowOff>68036</xdr:rowOff>
    </xdr:to>
    <xdr:grpSp>
      <xdr:nvGrpSpPr>
        <xdr:cNvPr id="1741" name="Group 1008">
          <a:extLst>
            <a:ext uri="{FF2B5EF4-FFF2-40B4-BE49-F238E27FC236}">
              <a16:creationId xmlns:a16="http://schemas.microsoft.com/office/drawing/2014/main" id="{00000000-0008-0000-0300-0000CD060000}"/>
            </a:ext>
          </a:extLst>
        </xdr:cNvPr>
        <xdr:cNvGrpSpPr>
          <a:grpSpLocks/>
        </xdr:cNvGrpSpPr>
      </xdr:nvGrpSpPr>
      <xdr:grpSpPr bwMode="auto">
        <a:xfrm>
          <a:off x="13251656" y="30253781"/>
          <a:ext cx="312963" cy="270443"/>
          <a:chOff x="5475762" y="47760700"/>
          <a:chExt cx="314325" cy="230209"/>
        </a:xfrm>
      </xdr:grpSpPr>
      <xdr:cxnSp macro="">
        <xdr:nvCxnSpPr>
          <xdr:cNvPr id="1742" name="Straight Connector 1741">
            <a:extLst>
              <a:ext uri="{FF2B5EF4-FFF2-40B4-BE49-F238E27FC236}">
                <a16:creationId xmlns:a16="http://schemas.microsoft.com/office/drawing/2014/main" id="{00000000-0008-0000-0300-0000CE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3" name="Straight Connector 529">
            <a:extLst>
              <a:ext uri="{FF2B5EF4-FFF2-40B4-BE49-F238E27FC236}">
                <a16:creationId xmlns:a16="http://schemas.microsoft.com/office/drawing/2014/main" id="{00000000-0008-0000-0300-0000CF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1">
            <a:extLst>
              <a:ext uri="{FF2B5EF4-FFF2-40B4-BE49-F238E27FC236}">
                <a16:creationId xmlns:a16="http://schemas.microsoft.com/office/drawing/2014/main" id="{00000000-0008-0000-0300-0000D0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5" name="Straight Connector 533">
            <a:extLst>
              <a:ext uri="{FF2B5EF4-FFF2-40B4-BE49-F238E27FC236}">
                <a16:creationId xmlns:a16="http://schemas.microsoft.com/office/drawing/2014/main" id="{00000000-0008-0000-0300-0000D1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6" name="Straight Connector 535">
            <a:extLst>
              <a:ext uri="{FF2B5EF4-FFF2-40B4-BE49-F238E27FC236}">
                <a16:creationId xmlns:a16="http://schemas.microsoft.com/office/drawing/2014/main" id="{00000000-0008-0000-0300-0000D2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7" name="Straight Connector 537">
            <a:extLst>
              <a:ext uri="{FF2B5EF4-FFF2-40B4-BE49-F238E27FC236}">
                <a16:creationId xmlns:a16="http://schemas.microsoft.com/office/drawing/2014/main" id="{00000000-0008-0000-0300-0000D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139</xdr:row>
      <xdr:rowOff>0</xdr:rowOff>
    </xdr:from>
    <xdr:to>
      <xdr:col>22</xdr:col>
      <xdr:colOff>312963</xdr:colOff>
      <xdr:row>140</xdr:row>
      <xdr:rowOff>68036</xdr:rowOff>
    </xdr:to>
    <xdr:grpSp>
      <xdr:nvGrpSpPr>
        <xdr:cNvPr id="1748" name="Group 1008">
          <a:extLst>
            <a:ext uri="{FF2B5EF4-FFF2-40B4-BE49-F238E27FC236}">
              <a16:creationId xmlns:a16="http://schemas.microsoft.com/office/drawing/2014/main" id="{00000000-0008-0000-0300-0000D4060000}"/>
            </a:ext>
          </a:extLst>
        </xdr:cNvPr>
        <xdr:cNvGrpSpPr>
          <a:grpSpLocks/>
        </xdr:cNvGrpSpPr>
      </xdr:nvGrpSpPr>
      <xdr:grpSpPr bwMode="auto">
        <a:xfrm>
          <a:off x="14573250" y="30253781"/>
          <a:ext cx="312963" cy="270443"/>
          <a:chOff x="5475762" y="47760700"/>
          <a:chExt cx="314325" cy="230209"/>
        </a:xfrm>
      </xdr:grpSpPr>
      <xdr:cxnSp macro="">
        <xdr:nvCxnSpPr>
          <xdr:cNvPr id="1749" name="Straight Connector 1748">
            <a:extLst>
              <a:ext uri="{FF2B5EF4-FFF2-40B4-BE49-F238E27FC236}">
                <a16:creationId xmlns:a16="http://schemas.microsoft.com/office/drawing/2014/main" id="{00000000-0008-0000-0300-0000D5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0" name="Straight Connector 529">
            <a:extLst>
              <a:ext uri="{FF2B5EF4-FFF2-40B4-BE49-F238E27FC236}">
                <a16:creationId xmlns:a16="http://schemas.microsoft.com/office/drawing/2014/main" id="{00000000-0008-0000-0300-0000D6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1">
            <a:extLst>
              <a:ext uri="{FF2B5EF4-FFF2-40B4-BE49-F238E27FC236}">
                <a16:creationId xmlns:a16="http://schemas.microsoft.com/office/drawing/2014/main" id="{00000000-0008-0000-0300-0000D7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2" name="Straight Connector 533">
            <a:extLst>
              <a:ext uri="{FF2B5EF4-FFF2-40B4-BE49-F238E27FC236}">
                <a16:creationId xmlns:a16="http://schemas.microsoft.com/office/drawing/2014/main" id="{00000000-0008-0000-0300-0000D8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3" name="Straight Connector 535">
            <a:extLst>
              <a:ext uri="{FF2B5EF4-FFF2-40B4-BE49-F238E27FC236}">
                <a16:creationId xmlns:a16="http://schemas.microsoft.com/office/drawing/2014/main" id="{00000000-0008-0000-0300-0000D9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4" name="Straight Connector 537">
            <a:extLst>
              <a:ext uri="{FF2B5EF4-FFF2-40B4-BE49-F238E27FC236}">
                <a16:creationId xmlns:a16="http://schemas.microsoft.com/office/drawing/2014/main" id="{00000000-0008-0000-0300-0000D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146</xdr:row>
      <xdr:rowOff>0</xdr:rowOff>
    </xdr:from>
    <xdr:to>
      <xdr:col>4</xdr:col>
      <xdr:colOff>312963</xdr:colOff>
      <xdr:row>147</xdr:row>
      <xdr:rowOff>68036</xdr:rowOff>
    </xdr:to>
    <xdr:grpSp>
      <xdr:nvGrpSpPr>
        <xdr:cNvPr id="1755" name="Group 1008">
          <a:extLst>
            <a:ext uri="{FF2B5EF4-FFF2-40B4-BE49-F238E27FC236}">
              <a16:creationId xmlns:a16="http://schemas.microsoft.com/office/drawing/2014/main" id="{00000000-0008-0000-0300-0000DB060000}"/>
            </a:ext>
          </a:extLst>
        </xdr:cNvPr>
        <xdr:cNvGrpSpPr>
          <a:grpSpLocks/>
        </xdr:cNvGrpSpPr>
      </xdr:nvGrpSpPr>
      <xdr:grpSpPr bwMode="auto">
        <a:xfrm>
          <a:off x="2809875" y="31706344"/>
          <a:ext cx="312963" cy="270442"/>
          <a:chOff x="5475762" y="47760700"/>
          <a:chExt cx="314325" cy="230209"/>
        </a:xfrm>
      </xdr:grpSpPr>
      <xdr:cxnSp macro="">
        <xdr:nvCxnSpPr>
          <xdr:cNvPr id="1756" name="Straight Connector 1755">
            <a:extLst>
              <a:ext uri="{FF2B5EF4-FFF2-40B4-BE49-F238E27FC236}">
                <a16:creationId xmlns:a16="http://schemas.microsoft.com/office/drawing/2014/main" id="{00000000-0008-0000-0300-0000DC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7" name="Straight Connector 529">
            <a:extLst>
              <a:ext uri="{FF2B5EF4-FFF2-40B4-BE49-F238E27FC236}">
                <a16:creationId xmlns:a16="http://schemas.microsoft.com/office/drawing/2014/main" id="{00000000-0008-0000-0300-0000DD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1">
            <a:extLst>
              <a:ext uri="{FF2B5EF4-FFF2-40B4-BE49-F238E27FC236}">
                <a16:creationId xmlns:a16="http://schemas.microsoft.com/office/drawing/2014/main" id="{00000000-0008-0000-0300-0000DE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9" name="Straight Connector 533">
            <a:extLst>
              <a:ext uri="{FF2B5EF4-FFF2-40B4-BE49-F238E27FC236}">
                <a16:creationId xmlns:a16="http://schemas.microsoft.com/office/drawing/2014/main" id="{00000000-0008-0000-0300-0000DF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0" name="Straight Connector 535">
            <a:extLst>
              <a:ext uri="{FF2B5EF4-FFF2-40B4-BE49-F238E27FC236}">
                <a16:creationId xmlns:a16="http://schemas.microsoft.com/office/drawing/2014/main" id="{00000000-0008-0000-0300-0000E0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1" name="Straight Connector 537">
            <a:extLst>
              <a:ext uri="{FF2B5EF4-FFF2-40B4-BE49-F238E27FC236}">
                <a16:creationId xmlns:a16="http://schemas.microsoft.com/office/drawing/2014/main" id="{00000000-0008-0000-0300-0000E1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146</xdr:row>
      <xdr:rowOff>0</xdr:rowOff>
    </xdr:from>
    <xdr:to>
      <xdr:col>6</xdr:col>
      <xdr:colOff>312963</xdr:colOff>
      <xdr:row>147</xdr:row>
      <xdr:rowOff>68036</xdr:rowOff>
    </xdr:to>
    <xdr:grpSp>
      <xdr:nvGrpSpPr>
        <xdr:cNvPr id="1762" name="Group 1008">
          <a:extLst>
            <a:ext uri="{FF2B5EF4-FFF2-40B4-BE49-F238E27FC236}">
              <a16:creationId xmlns:a16="http://schemas.microsoft.com/office/drawing/2014/main" id="{00000000-0008-0000-0300-0000E2060000}"/>
            </a:ext>
          </a:extLst>
        </xdr:cNvPr>
        <xdr:cNvGrpSpPr>
          <a:grpSpLocks/>
        </xdr:cNvGrpSpPr>
      </xdr:nvGrpSpPr>
      <xdr:grpSpPr bwMode="auto">
        <a:xfrm>
          <a:off x="4179094" y="31706344"/>
          <a:ext cx="312963" cy="270442"/>
          <a:chOff x="5475762" y="47760700"/>
          <a:chExt cx="314325" cy="230209"/>
        </a:xfrm>
      </xdr:grpSpPr>
      <xdr:cxnSp macro="">
        <xdr:nvCxnSpPr>
          <xdr:cNvPr id="1763" name="Straight Connector 1762">
            <a:extLst>
              <a:ext uri="{FF2B5EF4-FFF2-40B4-BE49-F238E27FC236}">
                <a16:creationId xmlns:a16="http://schemas.microsoft.com/office/drawing/2014/main" id="{00000000-0008-0000-0300-0000E3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4" name="Straight Connector 529">
            <a:extLst>
              <a:ext uri="{FF2B5EF4-FFF2-40B4-BE49-F238E27FC236}">
                <a16:creationId xmlns:a16="http://schemas.microsoft.com/office/drawing/2014/main" id="{00000000-0008-0000-0300-0000E4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1">
            <a:extLst>
              <a:ext uri="{FF2B5EF4-FFF2-40B4-BE49-F238E27FC236}">
                <a16:creationId xmlns:a16="http://schemas.microsoft.com/office/drawing/2014/main" id="{00000000-0008-0000-0300-0000E5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6" name="Straight Connector 533">
            <a:extLst>
              <a:ext uri="{FF2B5EF4-FFF2-40B4-BE49-F238E27FC236}">
                <a16:creationId xmlns:a16="http://schemas.microsoft.com/office/drawing/2014/main" id="{00000000-0008-0000-0300-0000E6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7" name="Straight Connector 535">
            <a:extLst>
              <a:ext uri="{FF2B5EF4-FFF2-40B4-BE49-F238E27FC236}">
                <a16:creationId xmlns:a16="http://schemas.microsoft.com/office/drawing/2014/main" id="{00000000-0008-0000-0300-0000E7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8" name="Straight Connector 537">
            <a:extLst>
              <a:ext uri="{FF2B5EF4-FFF2-40B4-BE49-F238E27FC236}">
                <a16:creationId xmlns:a16="http://schemas.microsoft.com/office/drawing/2014/main" id="{00000000-0008-0000-0300-0000E8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146</xdr:row>
      <xdr:rowOff>0</xdr:rowOff>
    </xdr:from>
    <xdr:to>
      <xdr:col>8</xdr:col>
      <xdr:colOff>312963</xdr:colOff>
      <xdr:row>147</xdr:row>
      <xdr:rowOff>68036</xdr:rowOff>
    </xdr:to>
    <xdr:grpSp>
      <xdr:nvGrpSpPr>
        <xdr:cNvPr id="1769" name="Group 1008">
          <a:extLst>
            <a:ext uri="{FF2B5EF4-FFF2-40B4-BE49-F238E27FC236}">
              <a16:creationId xmlns:a16="http://schemas.microsoft.com/office/drawing/2014/main" id="{00000000-0008-0000-0300-0000E9060000}"/>
            </a:ext>
          </a:extLst>
        </xdr:cNvPr>
        <xdr:cNvGrpSpPr>
          <a:grpSpLocks/>
        </xdr:cNvGrpSpPr>
      </xdr:nvGrpSpPr>
      <xdr:grpSpPr bwMode="auto">
        <a:xfrm>
          <a:off x="5500688" y="31706344"/>
          <a:ext cx="312963" cy="270442"/>
          <a:chOff x="5475762" y="47760700"/>
          <a:chExt cx="314325" cy="230209"/>
        </a:xfrm>
      </xdr:grpSpPr>
      <xdr:cxnSp macro="">
        <xdr:nvCxnSpPr>
          <xdr:cNvPr id="1770" name="Straight Connector 1769">
            <a:extLst>
              <a:ext uri="{FF2B5EF4-FFF2-40B4-BE49-F238E27FC236}">
                <a16:creationId xmlns:a16="http://schemas.microsoft.com/office/drawing/2014/main" id="{00000000-0008-0000-0300-0000EA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1" name="Straight Connector 529">
            <a:extLst>
              <a:ext uri="{FF2B5EF4-FFF2-40B4-BE49-F238E27FC236}">
                <a16:creationId xmlns:a16="http://schemas.microsoft.com/office/drawing/2014/main" id="{00000000-0008-0000-0300-0000EB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1">
            <a:extLst>
              <a:ext uri="{FF2B5EF4-FFF2-40B4-BE49-F238E27FC236}">
                <a16:creationId xmlns:a16="http://schemas.microsoft.com/office/drawing/2014/main" id="{00000000-0008-0000-0300-0000EC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3" name="Straight Connector 533">
            <a:extLst>
              <a:ext uri="{FF2B5EF4-FFF2-40B4-BE49-F238E27FC236}">
                <a16:creationId xmlns:a16="http://schemas.microsoft.com/office/drawing/2014/main" id="{00000000-0008-0000-0300-0000ED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4" name="Straight Connector 535">
            <a:extLst>
              <a:ext uri="{FF2B5EF4-FFF2-40B4-BE49-F238E27FC236}">
                <a16:creationId xmlns:a16="http://schemas.microsoft.com/office/drawing/2014/main" id="{00000000-0008-0000-0300-0000EE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5" name="Straight Connector 537">
            <a:extLst>
              <a:ext uri="{FF2B5EF4-FFF2-40B4-BE49-F238E27FC236}">
                <a16:creationId xmlns:a16="http://schemas.microsoft.com/office/drawing/2014/main" id="{00000000-0008-0000-0300-0000EF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146</xdr:row>
      <xdr:rowOff>0</xdr:rowOff>
    </xdr:from>
    <xdr:to>
      <xdr:col>12</xdr:col>
      <xdr:colOff>312963</xdr:colOff>
      <xdr:row>147</xdr:row>
      <xdr:rowOff>68036</xdr:rowOff>
    </xdr:to>
    <xdr:grpSp>
      <xdr:nvGrpSpPr>
        <xdr:cNvPr id="1776" name="Group 1008">
          <a:extLst>
            <a:ext uri="{FF2B5EF4-FFF2-40B4-BE49-F238E27FC236}">
              <a16:creationId xmlns:a16="http://schemas.microsoft.com/office/drawing/2014/main" id="{00000000-0008-0000-0300-0000F0060000}"/>
            </a:ext>
          </a:extLst>
        </xdr:cNvPr>
        <xdr:cNvGrpSpPr>
          <a:grpSpLocks/>
        </xdr:cNvGrpSpPr>
      </xdr:nvGrpSpPr>
      <xdr:grpSpPr bwMode="auto">
        <a:xfrm>
          <a:off x="8251031" y="31706344"/>
          <a:ext cx="312963" cy="270442"/>
          <a:chOff x="5475762" y="47760700"/>
          <a:chExt cx="314325" cy="230209"/>
        </a:xfrm>
      </xdr:grpSpPr>
      <xdr:cxnSp macro="">
        <xdr:nvCxnSpPr>
          <xdr:cNvPr id="1777" name="Straight Connector 1776">
            <a:extLst>
              <a:ext uri="{FF2B5EF4-FFF2-40B4-BE49-F238E27FC236}">
                <a16:creationId xmlns:a16="http://schemas.microsoft.com/office/drawing/2014/main" id="{00000000-0008-0000-0300-0000F1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8" name="Straight Connector 529">
            <a:extLst>
              <a:ext uri="{FF2B5EF4-FFF2-40B4-BE49-F238E27FC236}">
                <a16:creationId xmlns:a16="http://schemas.microsoft.com/office/drawing/2014/main" id="{00000000-0008-0000-0300-0000F2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1">
            <a:extLst>
              <a:ext uri="{FF2B5EF4-FFF2-40B4-BE49-F238E27FC236}">
                <a16:creationId xmlns:a16="http://schemas.microsoft.com/office/drawing/2014/main" id="{00000000-0008-0000-0300-0000F3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0" name="Straight Connector 533">
            <a:extLst>
              <a:ext uri="{FF2B5EF4-FFF2-40B4-BE49-F238E27FC236}">
                <a16:creationId xmlns:a16="http://schemas.microsoft.com/office/drawing/2014/main" id="{00000000-0008-0000-0300-0000F4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1" name="Straight Connector 535">
            <a:extLst>
              <a:ext uri="{FF2B5EF4-FFF2-40B4-BE49-F238E27FC236}">
                <a16:creationId xmlns:a16="http://schemas.microsoft.com/office/drawing/2014/main" id="{00000000-0008-0000-0300-0000F5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2" name="Straight Connector 537">
            <a:extLst>
              <a:ext uri="{FF2B5EF4-FFF2-40B4-BE49-F238E27FC236}">
                <a16:creationId xmlns:a16="http://schemas.microsoft.com/office/drawing/2014/main" id="{00000000-0008-0000-0300-0000F6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146</xdr:row>
      <xdr:rowOff>0</xdr:rowOff>
    </xdr:from>
    <xdr:to>
      <xdr:col>16</xdr:col>
      <xdr:colOff>312963</xdr:colOff>
      <xdr:row>147</xdr:row>
      <xdr:rowOff>68036</xdr:rowOff>
    </xdr:to>
    <xdr:grpSp>
      <xdr:nvGrpSpPr>
        <xdr:cNvPr id="1783" name="Group 1008">
          <a:extLst>
            <a:ext uri="{FF2B5EF4-FFF2-40B4-BE49-F238E27FC236}">
              <a16:creationId xmlns:a16="http://schemas.microsoft.com/office/drawing/2014/main" id="{00000000-0008-0000-0300-0000F7060000}"/>
            </a:ext>
          </a:extLst>
        </xdr:cNvPr>
        <xdr:cNvGrpSpPr>
          <a:grpSpLocks/>
        </xdr:cNvGrpSpPr>
      </xdr:nvGrpSpPr>
      <xdr:grpSpPr bwMode="auto">
        <a:xfrm>
          <a:off x="10775156" y="31706344"/>
          <a:ext cx="312963" cy="270442"/>
          <a:chOff x="5475762" y="47760700"/>
          <a:chExt cx="314325" cy="230209"/>
        </a:xfrm>
      </xdr:grpSpPr>
      <xdr:cxnSp macro="">
        <xdr:nvCxnSpPr>
          <xdr:cNvPr id="1784" name="Straight Connector 1783">
            <a:extLst>
              <a:ext uri="{FF2B5EF4-FFF2-40B4-BE49-F238E27FC236}">
                <a16:creationId xmlns:a16="http://schemas.microsoft.com/office/drawing/2014/main" id="{00000000-0008-0000-0300-0000F8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5" name="Straight Connector 529">
            <a:extLst>
              <a:ext uri="{FF2B5EF4-FFF2-40B4-BE49-F238E27FC236}">
                <a16:creationId xmlns:a16="http://schemas.microsoft.com/office/drawing/2014/main" id="{00000000-0008-0000-0300-0000F906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1">
            <a:extLst>
              <a:ext uri="{FF2B5EF4-FFF2-40B4-BE49-F238E27FC236}">
                <a16:creationId xmlns:a16="http://schemas.microsoft.com/office/drawing/2014/main" id="{00000000-0008-0000-0300-0000FA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7" name="Straight Connector 533">
            <a:extLst>
              <a:ext uri="{FF2B5EF4-FFF2-40B4-BE49-F238E27FC236}">
                <a16:creationId xmlns:a16="http://schemas.microsoft.com/office/drawing/2014/main" id="{00000000-0008-0000-0300-0000FB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8" name="Straight Connector 535">
            <a:extLst>
              <a:ext uri="{FF2B5EF4-FFF2-40B4-BE49-F238E27FC236}">
                <a16:creationId xmlns:a16="http://schemas.microsoft.com/office/drawing/2014/main" id="{00000000-0008-0000-0300-0000FC06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9" name="Straight Connector 537">
            <a:extLst>
              <a:ext uri="{FF2B5EF4-FFF2-40B4-BE49-F238E27FC236}">
                <a16:creationId xmlns:a16="http://schemas.microsoft.com/office/drawing/2014/main" id="{00000000-0008-0000-0300-0000FD06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146</xdr:row>
      <xdr:rowOff>0</xdr:rowOff>
    </xdr:from>
    <xdr:to>
      <xdr:col>22</xdr:col>
      <xdr:colOff>312963</xdr:colOff>
      <xdr:row>147</xdr:row>
      <xdr:rowOff>68036</xdr:rowOff>
    </xdr:to>
    <xdr:grpSp>
      <xdr:nvGrpSpPr>
        <xdr:cNvPr id="1790" name="Group 1008">
          <a:extLst>
            <a:ext uri="{FF2B5EF4-FFF2-40B4-BE49-F238E27FC236}">
              <a16:creationId xmlns:a16="http://schemas.microsoft.com/office/drawing/2014/main" id="{00000000-0008-0000-0300-0000FE060000}"/>
            </a:ext>
          </a:extLst>
        </xdr:cNvPr>
        <xdr:cNvGrpSpPr>
          <a:grpSpLocks/>
        </xdr:cNvGrpSpPr>
      </xdr:nvGrpSpPr>
      <xdr:grpSpPr bwMode="auto">
        <a:xfrm>
          <a:off x="14573250" y="31706344"/>
          <a:ext cx="312963" cy="270442"/>
          <a:chOff x="5475762" y="47760700"/>
          <a:chExt cx="314325" cy="230209"/>
        </a:xfrm>
      </xdr:grpSpPr>
      <xdr:cxnSp macro="">
        <xdr:nvCxnSpPr>
          <xdr:cNvPr id="1791" name="Straight Connector 1790">
            <a:extLst>
              <a:ext uri="{FF2B5EF4-FFF2-40B4-BE49-F238E27FC236}">
                <a16:creationId xmlns:a16="http://schemas.microsoft.com/office/drawing/2014/main" id="{00000000-0008-0000-0300-0000FF06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2" name="Straight Connector 529">
            <a:extLst>
              <a:ext uri="{FF2B5EF4-FFF2-40B4-BE49-F238E27FC236}">
                <a16:creationId xmlns:a16="http://schemas.microsoft.com/office/drawing/2014/main" id="{00000000-0008-0000-0300-000000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1">
            <a:extLst>
              <a:ext uri="{FF2B5EF4-FFF2-40B4-BE49-F238E27FC236}">
                <a16:creationId xmlns:a16="http://schemas.microsoft.com/office/drawing/2014/main" id="{00000000-0008-0000-0300-00000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4" name="Straight Connector 533">
            <a:extLst>
              <a:ext uri="{FF2B5EF4-FFF2-40B4-BE49-F238E27FC236}">
                <a16:creationId xmlns:a16="http://schemas.microsoft.com/office/drawing/2014/main" id="{00000000-0008-0000-0300-00000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5" name="Straight Connector 535">
            <a:extLst>
              <a:ext uri="{FF2B5EF4-FFF2-40B4-BE49-F238E27FC236}">
                <a16:creationId xmlns:a16="http://schemas.microsoft.com/office/drawing/2014/main" id="{00000000-0008-0000-0300-00000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6" name="Straight Connector 537">
            <a:extLst>
              <a:ext uri="{FF2B5EF4-FFF2-40B4-BE49-F238E27FC236}">
                <a16:creationId xmlns:a16="http://schemas.microsoft.com/office/drawing/2014/main" id="{00000000-0008-0000-0300-00000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146</xdr:row>
      <xdr:rowOff>0</xdr:rowOff>
    </xdr:from>
    <xdr:to>
      <xdr:col>24</xdr:col>
      <xdr:colOff>312963</xdr:colOff>
      <xdr:row>147</xdr:row>
      <xdr:rowOff>68036</xdr:rowOff>
    </xdr:to>
    <xdr:grpSp>
      <xdr:nvGrpSpPr>
        <xdr:cNvPr id="1797" name="Group 1008">
          <a:extLst>
            <a:ext uri="{FF2B5EF4-FFF2-40B4-BE49-F238E27FC236}">
              <a16:creationId xmlns:a16="http://schemas.microsoft.com/office/drawing/2014/main" id="{00000000-0008-0000-0300-000005070000}"/>
            </a:ext>
          </a:extLst>
        </xdr:cNvPr>
        <xdr:cNvGrpSpPr>
          <a:grpSpLocks/>
        </xdr:cNvGrpSpPr>
      </xdr:nvGrpSpPr>
      <xdr:grpSpPr bwMode="auto">
        <a:xfrm>
          <a:off x="15942469" y="31706344"/>
          <a:ext cx="312963" cy="270442"/>
          <a:chOff x="5475762" y="47760700"/>
          <a:chExt cx="314325" cy="230209"/>
        </a:xfrm>
      </xdr:grpSpPr>
      <xdr:cxnSp macro="">
        <xdr:nvCxnSpPr>
          <xdr:cNvPr id="1798" name="Straight Connector 1797">
            <a:extLst>
              <a:ext uri="{FF2B5EF4-FFF2-40B4-BE49-F238E27FC236}">
                <a16:creationId xmlns:a16="http://schemas.microsoft.com/office/drawing/2014/main" id="{00000000-0008-0000-0300-000006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9" name="Straight Connector 529">
            <a:extLst>
              <a:ext uri="{FF2B5EF4-FFF2-40B4-BE49-F238E27FC236}">
                <a16:creationId xmlns:a16="http://schemas.microsoft.com/office/drawing/2014/main" id="{00000000-0008-0000-0300-000007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1">
            <a:extLst>
              <a:ext uri="{FF2B5EF4-FFF2-40B4-BE49-F238E27FC236}">
                <a16:creationId xmlns:a16="http://schemas.microsoft.com/office/drawing/2014/main" id="{00000000-0008-0000-0300-00000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1" name="Straight Connector 533">
            <a:extLst>
              <a:ext uri="{FF2B5EF4-FFF2-40B4-BE49-F238E27FC236}">
                <a16:creationId xmlns:a16="http://schemas.microsoft.com/office/drawing/2014/main" id="{00000000-0008-0000-0300-00000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2" name="Straight Connector 535">
            <a:extLst>
              <a:ext uri="{FF2B5EF4-FFF2-40B4-BE49-F238E27FC236}">
                <a16:creationId xmlns:a16="http://schemas.microsoft.com/office/drawing/2014/main" id="{00000000-0008-0000-0300-00000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3" name="Straight Connector 537">
            <a:extLst>
              <a:ext uri="{FF2B5EF4-FFF2-40B4-BE49-F238E27FC236}">
                <a16:creationId xmlns:a16="http://schemas.microsoft.com/office/drawing/2014/main" id="{00000000-0008-0000-0300-00000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174</xdr:row>
      <xdr:rowOff>0</xdr:rowOff>
    </xdr:from>
    <xdr:to>
      <xdr:col>2</xdr:col>
      <xdr:colOff>312963</xdr:colOff>
      <xdr:row>175</xdr:row>
      <xdr:rowOff>68036</xdr:rowOff>
    </xdr:to>
    <xdr:grpSp>
      <xdr:nvGrpSpPr>
        <xdr:cNvPr id="1804" name="Group 1008">
          <a:extLst>
            <a:ext uri="{FF2B5EF4-FFF2-40B4-BE49-F238E27FC236}">
              <a16:creationId xmlns:a16="http://schemas.microsoft.com/office/drawing/2014/main" id="{00000000-0008-0000-0300-00000C070000}"/>
            </a:ext>
          </a:extLst>
        </xdr:cNvPr>
        <xdr:cNvGrpSpPr>
          <a:grpSpLocks/>
        </xdr:cNvGrpSpPr>
      </xdr:nvGrpSpPr>
      <xdr:grpSpPr bwMode="auto">
        <a:xfrm>
          <a:off x="1535906" y="37516594"/>
          <a:ext cx="312963" cy="270442"/>
          <a:chOff x="5475762" y="47760700"/>
          <a:chExt cx="314325" cy="230209"/>
        </a:xfrm>
      </xdr:grpSpPr>
      <xdr:cxnSp macro="">
        <xdr:nvCxnSpPr>
          <xdr:cNvPr id="1805" name="Straight Connector 1804">
            <a:extLst>
              <a:ext uri="{FF2B5EF4-FFF2-40B4-BE49-F238E27FC236}">
                <a16:creationId xmlns:a16="http://schemas.microsoft.com/office/drawing/2014/main" id="{00000000-0008-0000-0300-00000D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6" name="Straight Connector 529">
            <a:extLst>
              <a:ext uri="{FF2B5EF4-FFF2-40B4-BE49-F238E27FC236}">
                <a16:creationId xmlns:a16="http://schemas.microsoft.com/office/drawing/2014/main" id="{00000000-0008-0000-0300-00000E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7" name="Straight Connector 531">
            <a:extLst>
              <a:ext uri="{FF2B5EF4-FFF2-40B4-BE49-F238E27FC236}">
                <a16:creationId xmlns:a16="http://schemas.microsoft.com/office/drawing/2014/main" id="{00000000-0008-0000-0300-00000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8" name="Straight Connector 533">
            <a:extLst>
              <a:ext uri="{FF2B5EF4-FFF2-40B4-BE49-F238E27FC236}">
                <a16:creationId xmlns:a16="http://schemas.microsoft.com/office/drawing/2014/main" id="{00000000-0008-0000-0300-00001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9" name="Straight Connector 535">
            <a:extLst>
              <a:ext uri="{FF2B5EF4-FFF2-40B4-BE49-F238E27FC236}">
                <a16:creationId xmlns:a16="http://schemas.microsoft.com/office/drawing/2014/main" id="{00000000-0008-0000-0300-00001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0" name="Straight Connector 537">
            <a:extLst>
              <a:ext uri="{FF2B5EF4-FFF2-40B4-BE49-F238E27FC236}">
                <a16:creationId xmlns:a16="http://schemas.microsoft.com/office/drawing/2014/main" id="{00000000-0008-0000-0300-00001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174</xdr:row>
      <xdr:rowOff>0</xdr:rowOff>
    </xdr:from>
    <xdr:to>
      <xdr:col>4</xdr:col>
      <xdr:colOff>312963</xdr:colOff>
      <xdr:row>175</xdr:row>
      <xdr:rowOff>68036</xdr:rowOff>
    </xdr:to>
    <xdr:grpSp>
      <xdr:nvGrpSpPr>
        <xdr:cNvPr id="1811" name="Group 1008">
          <a:extLst>
            <a:ext uri="{FF2B5EF4-FFF2-40B4-BE49-F238E27FC236}">
              <a16:creationId xmlns:a16="http://schemas.microsoft.com/office/drawing/2014/main" id="{00000000-0008-0000-0300-000013070000}"/>
            </a:ext>
          </a:extLst>
        </xdr:cNvPr>
        <xdr:cNvGrpSpPr>
          <a:grpSpLocks/>
        </xdr:cNvGrpSpPr>
      </xdr:nvGrpSpPr>
      <xdr:grpSpPr bwMode="auto">
        <a:xfrm>
          <a:off x="2809875" y="37516594"/>
          <a:ext cx="312963" cy="270442"/>
          <a:chOff x="5475762" y="47760700"/>
          <a:chExt cx="314325" cy="230209"/>
        </a:xfrm>
      </xdr:grpSpPr>
      <xdr:cxnSp macro="">
        <xdr:nvCxnSpPr>
          <xdr:cNvPr id="1812" name="Straight Connector 1811">
            <a:extLst>
              <a:ext uri="{FF2B5EF4-FFF2-40B4-BE49-F238E27FC236}">
                <a16:creationId xmlns:a16="http://schemas.microsoft.com/office/drawing/2014/main" id="{00000000-0008-0000-0300-000014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13" name="Straight Connector 529">
            <a:extLst>
              <a:ext uri="{FF2B5EF4-FFF2-40B4-BE49-F238E27FC236}">
                <a16:creationId xmlns:a16="http://schemas.microsoft.com/office/drawing/2014/main" id="{00000000-0008-0000-0300-000015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4" name="Straight Connector 531">
            <a:extLst>
              <a:ext uri="{FF2B5EF4-FFF2-40B4-BE49-F238E27FC236}">
                <a16:creationId xmlns:a16="http://schemas.microsoft.com/office/drawing/2014/main" id="{00000000-0008-0000-0300-00001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5" name="Straight Connector 533">
            <a:extLst>
              <a:ext uri="{FF2B5EF4-FFF2-40B4-BE49-F238E27FC236}">
                <a16:creationId xmlns:a16="http://schemas.microsoft.com/office/drawing/2014/main" id="{00000000-0008-0000-0300-00001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6" name="Straight Connector 535">
            <a:extLst>
              <a:ext uri="{FF2B5EF4-FFF2-40B4-BE49-F238E27FC236}">
                <a16:creationId xmlns:a16="http://schemas.microsoft.com/office/drawing/2014/main" id="{00000000-0008-0000-0300-00001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7" name="Straight Connector 537">
            <a:extLst>
              <a:ext uri="{FF2B5EF4-FFF2-40B4-BE49-F238E27FC236}">
                <a16:creationId xmlns:a16="http://schemas.microsoft.com/office/drawing/2014/main" id="{00000000-0008-0000-0300-00001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174</xdr:row>
      <xdr:rowOff>0</xdr:rowOff>
    </xdr:from>
    <xdr:to>
      <xdr:col>12</xdr:col>
      <xdr:colOff>312963</xdr:colOff>
      <xdr:row>175</xdr:row>
      <xdr:rowOff>68036</xdr:rowOff>
    </xdr:to>
    <xdr:grpSp>
      <xdr:nvGrpSpPr>
        <xdr:cNvPr id="1818" name="Group 1008">
          <a:extLst>
            <a:ext uri="{FF2B5EF4-FFF2-40B4-BE49-F238E27FC236}">
              <a16:creationId xmlns:a16="http://schemas.microsoft.com/office/drawing/2014/main" id="{00000000-0008-0000-0300-00001A070000}"/>
            </a:ext>
          </a:extLst>
        </xdr:cNvPr>
        <xdr:cNvGrpSpPr>
          <a:grpSpLocks/>
        </xdr:cNvGrpSpPr>
      </xdr:nvGrpSpPr>
      <xdr:grpSpPr bwMode="auto">
        <a:xfrm>
          <a:off x="8251031" y="37516594"/>
          <a:ext cx="312963" cy="270442"/>
          <a:chOff x="5475762" y="47760700"/>
          <a:chExt cx="314325" cy="230209"/>
        </a:xfrm>
      </xdr:grpSpPr>
      <xdr:cxnSp macro="">
        <xdr:nvCxnSpPr>
          <xdr:cNvPr id="1819" name="Straight Connector 1818">
            <a:extLst>
              <a:ext uri="{FF2B5EF4-FFF2-40B4-BE49-F238E27FC236}">
                <a16:creationId xmlns:a16="http://schemas.microsoft.com/office/drawing/2014/main" id="{00000000-0008-0000-0300-00001B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0" name="Straight Connector 529">
            <a:extLst>
              <a:ext uri="{FF2B5EF4-FFF2-40B4-BE49-F238E27FC236}">
                <a16:creationId xmlns:a16="http://schemas.microsoft.com/office/drawing/2014/main" id="{00000000-0008-0000-0300-00001C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1" name="Straight Connector 531">
            <a:extLst>
              <a:ext uri="{FF2B5EF4-FFF2-40B4-BE49-F238E27FC236}">
                <a16:creationId xmlns:a16="http://schemas.microsoft.com/office/drawing/2014/main" id="{00000000-0008-0000-0300-00001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2" name="Straight Connector 533">
            <a:extLst>
              <a:ext uri="{FF2B5EF4-FFF2-40B4-BE49-F238E27FC236}">
                <a16:creationId xmlns:a16="http://schemas.microsoft.com/office/drawing/2014/main" id="{00000000-0008-0000-0300-00001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3" name="Straight Connector 535">
            <a:extLst>
              <a:ext uri="{FF2B5EF4-FFF2-40B4-BE49-F238E27FC236}">
                <a16:creationId xmlns:a16="http://schemas.microsoft.com/office/drawing/2014/main" id="{00000000-0008-0000-0300-00001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4" name="Straight Connector 537">
            <a:extLst>
              <a:ext uri="{FF2B5EF4-FFF2-40B4-BE49-F238E27FC236}">
                <a16:creationId xmlns:a16="http://schemas.microsoft.com/office/drawing/2014/main" id="{00000000-0008-0000-0300-00002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174</xdr:row>
      <xdr:rowOff>0</xdr:rowOff>
    </xdr:from>
    <xdr:to>
      <xdr:col>14</xdr:col>
      <xdr:colOff>312963</xdr:colOff>
      <xdr:row>175</xdr:row>
      <xdr:rowOff>68036</xdr:rowOff>
    </xdr:to>
    <xdr:grpSp>
      <xdr:nvGrpSpPr>
        <xdr:cNvPr id="1825" name="Group 1008">
          <a:extLst>
            <a:ext uri="{FF2B5EF4-FFF2-40B4-BE49-F238E27FC236}">
              <a16:creationId xmlns:a16="http://schemas.microsoft.com/office/drawing/2014/main" id="{00000000-0008-0000-0300-000021070000}"/>
            </a:ext>
          </a:extLst>
        </xdr:cNvPr>
        <xdr:cNvGrpSpPr>
          <a:grpSpLocks/>
        </xdr:cNvGrpSpPr>
      </xdr:nvGrpSpPr>
      <xdr:grpSpPr bwMode="auto">
        <a:xfrm>
          <a:off x="9489281" y="37516594"/>
          <a:ext cx="312963" cy="270442"/>
          <a:chOff x="5475762" y="47760700"/>
          <a:chExt cx="314325" cy="230209"/>
        </a:xfrm>
      </xdr:grpSpPr>
      <xdr:cxnSp macro="">
        <xdr:nvCxnSpPr>
          <xdr:cNvPr id="1826" name="Straight Connector 1825">
            <a:extLst>
              <a:ext uri="{FF2B5EF4-FFF2-40B4-BE49-F238E27FC236}">
                <a16:creationId xmlns:a16="http://schemas.microsoft.com/office/drawing/2014/main" id="{00000000-0008-0000-0300-000022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7" name="Straight Connector 529">
            <a:extLst>
              <a:ext uri="{FF2B5EF4-FFF2-40B4-BE49-F238E27FC236}">
                <a16:creationId xmlns:a16="http://schemas.microsoft.com/office/drawing/2014/main" id="{00000000-0008-0000-0300-000023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1">
            <a:extLst>
              <a:ext uri="{FF2B5EF4-FFF2-40B4-BE49-F238E27FC236}">
                <a16:creationId xmlns:a16="http://schemas.microsoft.com/office/drawing/2014/main" id="{00000000-0008-0000-0300-00002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3">
            <a:extLst>
              <a:ext uri="{FF2B5EF4-FFF2-40B4-BE49-F238E27FC236}">
                <a16:creationId xmlns:a16="http://schemas.microsoft.com/office/drawing/2014/main" id="{00000000-0008-0000-0300-00002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0" name="Straight Connector 535">
            <a:extLst>
              <a:ext uri="{FF2B5EF4-FFF2-40B4-BE49-F238E27FC236}">
                <a16:creationId xmlns:a16="http://schemas.microsoft.com/office/drawing/2014/main" id="{00000000-0008-0000-0300-00002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1" name="Straight Connector 537">
            <a:extLst>
              <a:ext uri="{FF2B5EF4-FFF2-40B4-BE49-F238E27FC236}">
                <a16:creationId xmlns:a16="http://schemas.microsoft.com/office/drawing/2014/main" id="{00000000-0008-0000-0300-00002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174</xdr:row>
      <xdr:rowOff>0</xdr:rowOff>
    </xdr:from>
    <xdr:to>
      <xdr:col>18</xdr:col>
      <xdr:colOff>312963</xdr:colOff>
      <xdr:row>175</xdr:row>
      <xdr:rowOff>68036</xdr:rowOff>
    </xdr:to>
    <xdr:grpSp>
      <xdr:nvGrpSpPr>
        <xdr:cNvPr id="1832" name="Group 1008">
          <a:extLst>
            <a:ext uri="{FF2B5EF4-FFF2-40B4-BE49-F238E27FC236}">
              <a16:creationId xmlns:a16="http://schemas.microsoft.com/office/drawing/2014/main" id="{00000000-0008-0000-0300-000028070000}"/>
            </a:ext>
          </a:extLst>
        </xdr:cNvPr>
        <xdr:cNvGrpSpPr>
          <a:grpSpLocks/>
        </xdr:cNvGrpSpPr>
      </xdr:nvGrpSpPr>
      <xdr:grpSpPr bwMode="auto">
        <a:xfrm>
          <a:off x="12108656" y="37516594"/>
          <a:ext cx="312963" cy="270442"/>
          <a:chOff x="5475762" y="47760700"/>
          <a:chExt cx="314325" cy="230209"/>
        </a:xfrm>
      </xdr:grpSpPr>
      <xdr:cxnSp macro="">
        <xdr:nvCxnSpPr>
          <xdr:cNvPr id="1833" name="Straight Connector 1832">
            <a:extLst>
              <a:ext uri="{FF2B5EF4-FFF2-40B4-BE49-F238E27FC236}">
                <a16:creationId xmlns:a16="http://schemas.microsoft.com/office/drawing/2014/main" id="{00000000-0008-0000-0300-000029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4" name="Straight Connector 529">
            <a:extLst>
              <a:ext uri="{FF2B5EF4-FFF2-40B4-BE49-F238E27FC236}">
                <a16:creationId xmlns:a16="http://schemas.microsoft.com/office/drawing/2014/main" id="{00000000-0008-0000-0300-00002A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1">
            <a:extLst>
              <a:ext uri="{FF2B5EF4-FFF2-40B4-BE49-F238E27FC236}">
                <a16:creationId xmlns:a16="http://schemas.microsoft.com/office/drawing/2014/main" id="{00000000-0008-0000-0300-00002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3">
            <a:extLst>
              <a:ext uri="{FF2B5EF4-FFF2-40B4-BE49-F238E27FC236}">
                <a16:creationId xmlns:a16="http://schemas.microsoft.com/office/drawing/2014/main" id="{00000000-0008-0000-0300-00002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7" name="Straight Connector 535">
            <a:extLst>
              <a:ext uri="{FF2B5EF4-FFF2-40B4-BE49-F238E27FC236}">
                <a16:creationId xmlns:a16="http://schemas.microsoft.com/office/drawing/2014/main" id="{00000000-0008-0000-0300-00002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8" name="Straight Connector 537">
            <a:extLst>
              <a:ext uri="{FF2B5EF4-FFF2-40B4-BE49-F238E27FC236}">
                <a16:creationId xmlns:a16="http://schemas.microsoft.com/office/drawing/2014/main" id="{00000000-0008-0000-0300-00002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174</xdr:row>
      <xdr:rowOff>0</xdr:rowOff>
    </xdr:from>
    <xdr:to>
      <xdr:col>20</xdr:col>
      <xdr:colOff>312963</xdr:colOff>
      <xdr:row>175</xdr:row>
      <xdr:rowOff>68036</xdr:rowOff>
    </xdr:to>
    <xdr:grpSp>
      <xdr:nvGrpSpPr>
        <xdr:cNvPr id="1839" name="Group 1008">
          <a:extLst>
            <a:ext uri="{FF2B5EF4-FFF2-40B4-BE49-F238E27FC236}">
              <a16:creationId xmlns:a16="http://schemas.microsoft.com/office/drawing/2014/main" id="{00000000-0008-0000-0300-00002F070000}"/>
            </a:ext>
          </a:extLst>
        </xdr:cNvPr>
        <xdr:cNvGrpSpPr>
          <a:grpSpLocks/>
        </xdr:cNvGrpSpPr>
      </xdr:nvGrpSpPr>
      <xdr:grpSpPr bwMode="auto">
        <a:xfrm>
          <a:off x="13251656" y="37516594"/>
          <a:ext cx="312963" cy="270442"/>
          <a:chOff x="5475762" y="47760700"/>
          <a:chExt cx="314325" cy="230209"/>
        </a:xfrm>
      </xdr:grpSpPr>
      <xdr:cxnSp macro="">
        <xdr:nvCxnSpPr>
          <xdr:cNvPr id="1840" name="Straight Connector 1839">
            <a:extLst>
              <a:ext uri="{FF2B5EF4-FFF2-40B4-BE49-F238E27FC236}">
                <a16:creationId xmlns:a16="http://schemas.microsoft.com/office/drawing/2014/main" id="{00000000-0008-0000-0300-000030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1" name="Straight Connector 529">
            <a:extLst>
              <a:ext uri="{FF2B5EF4-FFF2-40B4-BE49-F238E27FC236}">
                <a16:creationId xmlns:a16="http://schemas.microsoft.com/office/drawing/2014/main" id="{00000000-0008-0000-0300-000031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1">
            <a:extLst>
              <a:ext uri="{FF2B5EF4-FFF2-40B4-BE49-F238E27FC236}">
                <a16:creationId xmlns:a16="http://schemas.microsoft.com/office/drawing/2014/main" id="{00000000-0008-0000-0300-00003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3">
            <a:extLst>
              <a:ext uri="{FF2B5EF4-FFF2-40B4-BE49-F238E27FC236}">
                <a16:creationId xmlns:a16="http://schemas.microsoft.com/office/drawing/2014/main" id="{00000000-0008-0000-0300-00003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4" name="Straight Connector 535">
            <a:extLst>
              <a:ext uri="{FF2B5EF4-FFF2-40B4-BE49-F238E27FC236}">
                <a16:creationId xmlns:a16="http://schemas.microsoft.com/office/drawing/2014/main" id="{00000000-0008-0000-0300-00003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5" name="Straight Connector 537">
            <a:extLst>
              <a:ext uri="{FF2B5EF4-FFF2-40B4-BE49-F238E27FC236}">
                <a16:creationId xmlns:a16="http://schemas.microsoft.com/office/drawing/2014/main" id="{00000000-0008-0000-0300-00003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174</xdr:row>
      <xdr:rowOff>0</xdr:rowOff>
    </xdr:from>
    <xdr:to>
      <xdr:col>22</xdr:col>
      <xdr:colOff>312963</xdr:colOff>
      <xdr:row>175</xdr:row>
      <xdr:rowOff>68036</xdr:rowOff>
    </xdr:to>
    <xdr:grpSp>
      <xdr:nvGrpSpPr>
        <xdr:cNvPr id="1846" name="Group 1008">
          <a:extLst>
            <a:ext uri="{FF2B5EF4-FFF2-40B4-BE49-F238E27FC236}">
              <a16:creationId xmlns:a16="http://schemas.microsoft.com/office/drawing/2014/main" id="{00000000-0008-0000-0300-000036070000}"/>
            </a:ext>
          </a:extLst>
        </xdr:cNvPr>
        <xdr:cNvGrpSpPr>
          <a:grpSpLocks/>
        </xdr:cNvGrpSpPr>
      </xdr:nvGrpSpPr>
      <xdr:grpSpPr bwMode="auto">
        <a:xfrm>
          <a:off x="14573250" y="37516594"/>
          <a:ext cx="312963" cy="270442"/>
          <a:chOff x="5475762" y="47760700"/>
          <a:chExt cx="314325" cy="230209"/>
        </a:xfrm>
      </xdr:grpSpPr>
      <xdr:cxnSp macro="">
        <xdr:nvCxnSpPr>
          <xdr:cNvPr id="1847" name="Straight Connector 1846">
            <a:extLst>
              <a:ext uri="{FF2B5EF4-FFF2-40B4-BE49-F238E27FC236}">
                <a16:creationId xmlns:a16="http://schemas.microsoft.com/office/drawing/2014/main" id="{00000000-0008-0000-0300-000037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8" name="Straight Connector 529">
            <a:extLst>
              <a:ext uri="{FF2B5EF4-FFF2-40B4-BE49-F238E27FC236}">
                <a16:creationId xmlns:a16="http://schemas.microsoft.com/office/drawing/2014/main" id="{00000000-0008-0000-0300-000038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1">
            <a:extLst>
              <a:ext uri="{FF2B5EF4-FFF2-40B4-BE49-F238E27FC236}">
                <a16:creationId xmlns:a16="http://schemas.microsoft.com/office/drawing/2014/main" id="{00000000-0008-0000-0300-00003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3">
            <a:extLst>
              <a:ext uri="{FF2B5EF4-FFF2-40B4-BE49-F238E27FC236}">
                <a16:creationId xmlns:a16="http://schemas.microsoft.com/office/drawing/2014/main" id="{00000000-0008-0000-0300-00003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1" name="Straight Connector 535">
            <a:extLst>
              <a:ext uri="{FF2B5EF4-FFF2-40B4-BE49-F238E27FC236}">
                <a16:creationId xmlns:a16="http://schemas.microsoft.com/office/drawing/2014/main" id="{00000000-0008-0000-0300-00003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2" name="Straight Connector 537">
            <a:extLst>
              <a:ext uri="{FF2B5EF4-FFF2-40B4-BE49-F238E27FC236}">
                <a16:creationId xmlns:a16="http://schemas.microsoft.com/office/drawing/2014/main" id="{00000000-0008-0000-0300-00003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181</xdr:row>
      <xdr:rowOff>0</xdr:rowOff>
    </xdr:from>
    <xdr:to>
      <xdr:col>18</xdr:col>
      <xdr:colOff>312963</xdr:colOff>
      <xdr:row>182</xdr:row>
      <xdr:rowOff>68036</xdr:rowOff>
    </xdr:to>
    <xdr:grpSp>
      <xdr:nvGrpSpPr>
        <xdr:cNvPr id="1853" name="Group 1008">
          <a:extLst>
            <a:ext uri="{FF2B5EF4-FFF2-40B4-BE49-F238E27FC236}">
              <a16:creationId xmlns:a16="http://schemas.microsoft.com/office/drawing/2014/main" id="{00000000-0008-0000-0300-00003D070000}"/>
            </a:ext>
          </a:extLst>
        </xdr:cNvPr>
        <xdr:cNvGrpSpPr>
          <a:grpSpLocks/>
        </xdr:cNvGrpSpPr>
      </xdr:nvGrpSpPr>
      <xdr:grpSpPr bwMode="auto">
        <a:xfrm>
          <a:off x="12108656" y="38969156"/>
          <a:ext cx="312963" cy="270443"/>
          <a:chOff x="5475762" y="47760700"/>
          <a:chExt cx="314325" cy="230209"/>
        </a:xfrm>
      </xdr:grpSpPr>
      <xdr:cxnSp macro="">
        <xdr:nvCxnSpPr>
          <xdr:cNvPr id="1854" name="Straight Connector 1853">
            <a:extLst>
              <a:ext uri="{FF2B5EF4-FFF2-40B4-BE49-F238E27FC236}">
                <a16:creationId xmlns:a16="http://schemas.microsoft.com/office/drawing/2014/main" id="{00000000-0008-0000-0300-00003E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5" name="Straight Connector 529">
            <a:extLst>
              <a:ext uri="{FF2B5EF4-FFF2-40B4-BE49-F238E27FC236}">
                <a16:creationId xmlns:a16="http://schemas.microsoft.com/office/drawing/2014/main" id="{00000000-0008-0000-0300-00003F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1">
            <a:extLst>
              <a:ext uri="{FF2B5EF4-FFF2-40B4-BE49-F238E27FC236}">
                <a16:creationId xmlns:a16="http://schemas.microsoft.com/office/drawing/2014/main" id="{00000000-0008-0000-0300-00004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3">
            <a:extLst>
              <a:ext uri="{FF2B5EF4-FFF2-40B4-BE49-F238E27FC236}">
                <a16:creationId xmlns:a16="http://schemas.microsoft.com/office/drawing/2014/main" id="{00000000-0008-0000-0300-00004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8" name="Straight Connector 535">
            <a:extLst>
              <a:ext uri="{FF2B5EF4-FFF2-40B4-BE49-F238E27FC236}">
                <a16:creationId xmlns:a16="http://schemas.microsoft.com/office/drawing/2014/main" id="{00000000-0008-0000-0300-00004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9" name="Straight Connector 537">
            <a:extLst>
              <a:ext uri="{FF2B5EF4-FFF2-40B4-BE49-F238E27FC236}">
                <a16:creationId xmlns:a16="http://schemas.microsoft.com/office/drawing/2014/main" id="{00000000-0008-0000-0300-00004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153</xdr:row>
      <xdr:rowOff>0</xdr:rowOff>
    </xdr:from>
    <xdr:to>
      <xdr:col>18</xdr:col>
      <xdr:colOff>312963</xdr:colOff>
      <xdr:row>154</xdr:row>
      <xdr:rowOff>68036</xdr:rowOff>
    </xdr:to>
    <xdr:grpSp>
      <xdr:nvGrpSpPr>
        <xdr:cNvPr id="1860" name="Group 1008">
          <a:extLst>
            <a:ext uri="{FF2B5EF4-FFF2-40B4-BE49-F238E27FC236}">
              <a16:creationId xmlns:a16="http://schemas.microsoft.com/office/drawing/2014/main" id="{00000000-0008-0000-0300-000044070000}"/>
            </a:ext>
          </a:extLst>
        </xdr:cNvPr>
        <xdr:cNvGrpSpPr>
          <a:grpSpLocks/>
        </xdr:cNvGrpSpPr>
      </xdr:nvGrpSpPr>
      <xdr:grpSpPr bwMode="auto">
        <a:xfrm>
          <a:off x="12108656" y="33158906"/>
          <a:ext cx="312963" cy="270443"/>
          <a:chOff x="5475762" y="47760700"/>
          <a:chExt cx="314325" cy="230209"/>
        </a:xfrm>
      </xdr:grpSpPr>
      <xdr:cxnSp macro="">
        <xdr:nvCxnSpPr>
          <xdr:cNvPr id="1861" name="Straight Connector 1860">
            <a:extLst>
              <a:ext uri="{FF2B5EF4-FFF2-40B4-BE49-F238E27FC236}">
                <a16:creationId xmlns:a16="http://schemas.microsoft.com/office/drawing/2014/main" id="{00000000-0008-0000-0300-000045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2" name="Straight Connector 529">
            <a:extLst>
              <a:ext uri="{FF2B5EF4-FFF2-40B4-BE49-F238E27FC236}">
                <a16:creationId xmlns:a16="http://schemas.microsoft.com/office/drawing/2014/main" id="{00000000-0008-0000-0300-000046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1">
            <a:extLst>
              <a:ext uri="{FF2B5EF4-FFF2-40B4-BE49-F238E27FC236}">
                <a16:creationId xmlns:a16="http://schemas.microsoft.com/office/drawing/2014/main" id="{00000000-0008-0000-0300-00004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3">
            <a:extLst>
              <a:ext uri="{FF2B5EF4-FFF2-40B4-BE49-F238E27FC236}">
                <a16:creationId xmlns:a16="http://schemas.microsoft.com/office/drawing/2014/main" id="{00000000-0008-0000-0300-00004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5" name="Straight Connector 535">
            <a:extLst>
              <a:ext uri="{FF2B5EF4-FFF2-40B4-BE49-F238E27FC236}">
                <a16:creationId xmlns:a16="http://schemas.microsoft.com/office/drawing/2014/main" id="{00000000-0008-0000-0300-00004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6" name="Straight Connector 537">
            <a:extLst>
              <a:ext uri="{FF2B5EF4-FFF2-40B4-BE49-F238E27FC236}">
                <a16:creationId xmlns:a16="http://schemas.microsoft.com/office/drawing/2014/main" id="{00000000-0008-0000-0300-00004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82</xdr:row>
      <xdr:rowOff>0</xdr:rowOff>
    </xdr:from>
    <xdr:to>
      <xdr:col>24</xdr:col>
      <xdr:colOff>312963</xdr:colOff>
      <xdr:row>83</xdr:row>
      <xdr:rowOff>68036</xdr:rowOff>
    </xdr:to>
    <xdr:grpSp>
      <xdr:nvGrpSpPr>
        <xdr:cNvPr id="1867" name="Group 1008">
          <a:extLst>
            <a:ext uri="{FF2B5EF4-FFF2-40B4-BE49-F238E27FC236}">
              <a16:creationId xmlns:a16="http://schemas.microsoft.com/office/drawing/2014/main" id="{00000000-0008-0000-0300-00004B070000}"/>
            </a:ext>
          </a:extLst>
        </xdr:cNvPr>
        <xdr:cNvGrpSpPr>
          <a:grpSpLocks/>
        </xdr:cNvGrpSpPr>
      </xdr:nvGrpSpPr>
      <xdr:grpSpPr bwMode="auto">
        <a:xfrm>
          <a:off x="15942469" y="18407063"/>
          <a:ext cx="312963" cy="270442"/>
          <a:chOff x="5475762" y="47760700"/>
          <a:chExt cx="314325" cy="230209"/>
        </a:xfrm>
      </xdr:grpSpPr>
      <xdr:cxnSp macro="">
        <xdr:nvCxnSpPr>
          <xdr:cNvPr id="1868" name="Straight Connector 1867">
            <a:extLst>
              <a:ext uri="{FF2B5EF4-FFF2-40B4-BE49-F238E27FC236}">
                <a16:creationId xmlns:a16="http://schemas.microsoft.com/office/drawing/2014/main" id="{00000000-0008-0000-0300-00004C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9" name="Straight Connector 529">
            <a:extLst>
              <a:ext uri="{FF2B5EF4-FFF2-40B4-BE49-F238E27FC236}">
                <a16:creationId xmlns:a16="http://schemas.microsoft.com/office/drawing/2014/main" id="{00000000-0008-0000-0300-00004D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1">
            <a:extLst>
              <a:ext uri="{FF2B5EF4-FFF2-40B4-BE49-F238E27FC236}">
                <a16:creationId xmlns:a16="http://schemas.microsoft.com/office/drawing/2014/main" id="{00000000-0008-0000-0300-00004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3">
            <a:extLst>
              <a:ext uri="{FF2B5EF4-FFF2-40B4-BE49-F238E27FC236}">
                <a16:creationId xmlns:a16="http://schemas.microsoft.com/office/drawing/2014/main" id="{00000000-0008-0000-0300-00004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2" name="Straight Connector 535">
            <a:extLst>
              <a:ext uri="{FF2B5EF4-FFF2-40B4-BE49-F238E27FC236}">
                <a16:creationId xmlns:a16="http://schemas.microsoft.com/office/drawing/2014/main" id="{00000000-0008-0000-0300-00005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3" name="Straight Connector 537">
            <a:extLst>
              <a:ext uri="{FF2B5EF4-FFF2-40B4-BE49-F238E27FC236}">
                <a16:creationId xmlns:a16="http://schemas.microsoft.com/office/drawing/2014/main" id="{00000000-0008-0000-0300-00005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96</xdr:row>
      <xdr:rowOff>0</xdr:rowOff>
    </xdr:from>
    <xdr:to>
      <xdr:col>22</xdr:col>
      <xdr:colOff>312963</xdr:colOff>
      <xdr:row>97</xdr:row>
      <xdr:rowOff>68036</xdr:rowOff>
    </xdr:to>
    <xdr:grpSp>
      <xdr:nvGrpSpPr>
        <xdr:cNvPr id="1874" name="Group 1008">
          <a:extLst>
            <a:ext uri="{FF2B5EF4-FFF2-40B4-BE49-F238E27FC236}">
              <a16:creationId xmlns:a16="http://schemas.microsoft.com/office/drawing/2014/main" id="{00000000-0008-0000-0300-000052070000}"/>
            </a:ext>
          </a:extLst>
        </xdr:cNvPr>
        <xdr:cNvGrpSpPr>
          <a:grpSpLocks/>
        </xdr:cNvGrpSpPr>
      </xdr:nvGrpSpPr>
      <xdr:grpSpPr bwMode="auto">
        <a:xfrm>
          <a:off x="14573250" y="21312188"/>
          <a:ext cx="312963" cy="270442"/>
          <a:chOff x="5475762" y="47760700"/>
          <a:chExt cx="314325" cy="230209"/>
        </a:xfrm>
      </xdr:grpSpPr>
      <xdr:cxnSp macro="">
        <xdr:nvCxnSpPr>
          <xdr:cNvPr id="1875" name="Straight Connector 1874">
            <a:extLst>
              <a:ext uri="{FF2B5EF4-FFF2-40B4-BE49-F238E27FC236}">
                <a16:creationId xmlns:a16="http://schemas.microsoft.com/office/drawing/2014/main" id="{00000000-0008-0000-0300-000053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6" name="Straight Connector 529">
            <a:extLst>
              <a:ext uri="{FF2B5EF4-FFF2-40B4-BE49-F238E27FC236}">
                <a16:creationId xmlns:a16="http://schemas.microsoft.com/office/drawing/2014/main" id="{00000000-0008-0000-0300-000054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1">
            <a:extLst>
              <a:ext uri="{FF2B5EF4-FFF2-40B4-BE49-F238E27FC236}">
                <a16:creationId xmlns:a16="http://schemas.microsoft.com/office/drawing/2014/main" id="{00000000-0008-0000-0300-00005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3">
            <a:extLst>
              <a:ext uri="{FF2B5EF4-FFF2-40B4-BE49-F238E27FC236}">
                <a16:creationId xmlns:a16="http://schemas.microsoft.com/office/drawing/2014/main" id="{00000000-0008-0000-0300-00005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9" name="Straight Connector 535">
            <a:extLst>
              <a:ext uri="{FF2B5EF4-FFF2-40B4-BE49-F238E27FC236}">
                <a16:creationId xmlns:a16="http://schemas.microsoft.com/office/drawing/2014/main" id="{00000000-0008-0000-0300-00005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0" name="Straight Connector 537">
            <a:extLst>
              <a:ext uri="{FF2B5EF4-FFF2-40B4-BE49-F238E27FC236}">
                <a16:creationId xmlns:a16="http://schemas.microsoft.com/office/drawing/2014/main" id="{00000000-0008-0000-0300-00005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139</xdr:row>
      <xdr:rowOff>0</xdr:rowOff>
    </xdr:from>
    <xdr:to>
      <xdr:col>24</xdr:col>
      <xdr:colOff>312963</xdr:colOff>
      <xdr:row>140</xdr:row>
      <xdr:rowOff>68036</xdr:rowOff>
    </xdr:to>
    <xdr:grpSp>
      <xdr:nvGrpSpPr>
        <xdr:cNvPr id="1881" name="Group 1008">
          <a:extLst>
            <a:ext uri="{FF2B5EF4-FFF2-40B4-BE49-F238E27FC236}">
              <a16:creationId xmlns:a16="http://schemas.microsoft.com/office/drawing/2014/main" id="{00000000-0008-0000-0300-000059070000}"/>
            </a:ext>
          </a:extLst>
        </xdr:cNvPr>
        <xdr:cNvGrpSpPr>
          <a:grpSpLocks/>
        </xdr:cNvGrpSpPr>
      </xdr:nvGrpSpPr>
      <xdr:grpSpPr bwMode="auto">
        <a:xfrm>
          <a:off x="15942469" y="30253781"/>
          <a:ext cx="312963" cy="270443"/>
          <a:chOff x="5475762" y="47760700"/>
          <a:chExt cx="314325" cy="230209"/>
        </a:xfrm>
      </xdr:grpSpPr>
      <xdr:cxnSp macro="">
        <xdr:nvCxnSpPr>
          <xdr:cNvPr id="1882" name="Straight Connector 1881">
            <a:extLst>
              <a:ext uri="{FF2B5EF4-FFF2-40B4-BE49-F238E27FC236}">
                <a16:creationId xmlns:a16="http://schemas.microsoft.com/office/drawing/2014/main" id="{00000000-0008-0000-0300-00005A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3" name="Straight Connector 529">
            <a:extLst>
              <a:ext uri="{FF2B5EF4-FFF2-40B4-BE49-F238E27FC236}">
                <a16:creationId xmlns:a16="http://schemas.microsoft.com/office/drawing/2014/main" id="{00000000-0008-0000-0300-00005B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1">
            <a:extLst>
              <a:ext uri="{FF2B5EF4-FFF2-40B4-BE49-F238E27FC236}">
                <a16:creationId xmlns:a16="http://schemas.microsoft.com/office/drawing/2014/main" id="{00000000-0008-0000-0300-00005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3">
            <a:extLst>
              <a:ext uri="{FF2B5EF4-FFF2-40B4-BE49-F238E27FC236}">
                <a16:creationId xmlns:a16="http://schemas.microsoft.com/office/drawing/2014/main" id="{00000000-0008-0000-0300-00005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6" name="Straight Connector 535">
            <a:extLst>
              <a:ext uri="{FF2B5EF4-FFF2-40B4-BE49-F238E27FC236}">
                <a16:creationId xmlns:a16="http://schemas.microsoft.com/office/drawing/2014/main" id="{00000000-0008-0000-0300-00005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7" name="Straight Connector 537">
            <a:extLst>
              <a:ext uri="{FF2B5EF4-FFF2-40B4-BE49-F238E27FC236}">
                <a16:creationId xmlns:a16="http://schemas.microsoft.com/office/drawing/2014/main" id="{00000000-0008-0000-0300-00005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139</xdr:row>
      <xdr:rowOff>0</xdr:rowOff>
    </xdr:from>
    <xdr:to>
      <xdr:col>18</xdr:col>
      <xdr:colOff>312963</xdr:colOff>
      <xdr:row>140</xdr:row>
      <xdr:rowOff>68036</xdr:rowOff>
    </xdr:to>
    <xdr:grpSp>
      <xdr:nvGrpSpPr>
        <xdr:cNvPr id="1888" name="Group 1008">
          <a:extLst>
            <a:ext uri="{FF2B5EF4-FFF2-40B4-BE49-F238E27FC236}">
              <a16:creationId xmlns:a16="http://schemas.microsoft.com/office/drawing/2014/main" id="{00000000-0008-0000-0300-000060070000}"/>
            </a:ext>
          </a:extLst>
        </xdr:cNvPr>
        <xdr:cNvGrpSpPr>
          <a:grpSpLocks/>
        </xdr:cNvGrpSpPr>
      </xdr:nvGrpSpPr>
      <xdr:grpSpPr bwMode="auto">
        <a:xfrm>
          <a:off x="12108656" y="30253781"/>
          <a:ext cx="312963" cy="270443"/>
          <a:chOff x="5475762" y="47760700"/>
          <a:chExt cx="314325" cy="230209"/>
        </a:xfrm>
      </xdr:grpSpPr>
      <xdr:cxnSp macro="">
        <xdr:nvCxnSpPr>
          <xdr:cNvPr id="1889" name="Straight Connector 1888">
            <a:extLst>
              <a:ext uri="{FF2B5EF4-FFF2-40B4-BE49-F238E27FC236}">
                <a16:creationId xmlns:a16="http://schemas.microsoft.com/office/drawing/2014/main" id="{00000000-0008-0000-0300-000061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0" name="Straight Connector 529">
            <a:extLst>
              <a:ext uri="{FF2B5EF4-FFF2-40B4-BE49-F238E27FC236}">
                <a16:creationId xmlns:a16="http://schemas.microsoft.com/office/drawing/2014/main" id="{00000000-0008-0000-0300-000062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1">
            <a:extLst>
              <a:ext uri="{FF2B5EF4-FFF2-40B4-BE49-F238E27FC236}">
                <a16:creationId xmlns:a16="http://schemas.microsoft.com/office/drawing/2014/main" id="{00000000-0008-0000-0300-00006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3">
            <a:extLst>
              <a:ext uri="{FF2B5EF4-FFF2-40B4-BE49-F238E27FC236}">
                <a16:creationId xmlns:a16="http://schemas.microsoft.com/office/drawing/2014/main" id="{00000000-0008-0000-0300-00006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3" name="Straight Connector 535">
            <a:extLst>
              <a:ext uri="{FF2B5EF4-FFF2-40B4-BE49-F238E27FC236}">
                <a16:creationId xmlns:a16="http://schemas.microsoft.com/office/drawing/2014/main" id="{00000000-0008-0000-0300-00006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4" name="Straight Connector 537">
            <a:extLst>
              <a:ext uri="{FF2B5EF4-FFF2-40B4-BE49-F238E27FC236}">
                <a16:creationId xmlns:a16="http://schemas.microsoft.com/office/drawing/2014/main" id="{00000000-0008-0000-0300-00006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68</xdr:row>
      <xdr:rowOff>0</xdr:rowOff>
    </xdr:from>
    <xdr:to>
      <xdr:col>16</xdr:col>
      <xdr:colOff>312963</xdr:colOff>
      <xdr:row>69</xdr:row>
      <xdr:rowOff>68036</xdr:rowOff>
    </xdr:to>
    <xdr:grpSp>
      <xdr:nvGrpSpPr>
        <xdr:cNvPr id="1895" name="Group 1008">
          <a:extLst>
            <a:ext uri="{FF2B5EF4-FFF2-40B4-BE49-F238E27FC236}">
              <a16:creationId xmlns:a16="http://schemas.microsoft.com/office/drawing/2014/main" id="{00000000-0008-0000-0300-000067070000}"/>
            </a:ext>
          </a:extLst>
        </xdr:cNvPr>
        <xdr:cNvGrpSpPr>
          <a:grpSpLocks/>
        </xdr:cNvGrpSpPr>
      </xdr:nvGrpSpPr>
      <xdr:grpSpPr bwMode="auto">
        <a:xfrm>
          <a:off x="10775156" y="15513844"/>
          <a:ext cx="312963" cy="270442"/>
          <a:chOff x="5475762" y="47760700"/>
          <a:chExt cx="314325" cy="230209"/>
        </a:xfrm>
      </xdr:grpSpPr>
      <xdr:cxnSp macro="">
        <xdr:nvCxnSpPr>
          <xdr:cNvPr id="1896" name="Straight Connector 1895">
            <a:extLst>
              <a:ext uri="{FF2B5EF4-FFF2-40B4-BE49-F238E27FC236}">
                <a16:creationId xmlns:a16="http://schemas.microsoft.com/office/drawing/2014/main" id="{00000000-0008-0000-0300-000068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7" name="Straight Connector 529">
            <a:extLst>
              <a:ext uri="{FF2B5EF4-FFF2-40B4-BE49-F238E27FC236}">
                <a16:creationId xmlns:a16="http://schemas.microsoft.com/office/drawing/2014/main" id="{00000000-0008-0000-0300-000069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1">
            <a:extLst>
              <a:ext uri="{FF2B5EF4-FFF2-40B4-BE49-F238E27FC236}">
                <a16:creationId xmlns:a16="http://schemas.microsoft.com/office/drawing/2014/main" id="{00000000-0008-0000-0300-00006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3">
            <a:extLst>
              <a:ext uri="{FF2B5EF4-FFF2-40B4-BE49-F238E27FC236}">
                <a16:creationId xmlns:a16="http://schemas.microsoft.com/office/drawing/2014/main" id="{00000000-0008-0000-0300-00006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0" name="Straight Connector 535">
            <a:extLst>
              <a:ext uri="{FF2B5EF4-FFF2-40B4-BE49-F238E27FC236}">
                <a16:creationId xmlns:a16="http://schemas.microsoft.com/office/drawing/2014/main" id="{00000000-0008-0000-0300-00006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1" name="Straight Connector 537">
            <a:extLst>
              <a:ext uri="{FF2B5EF4-FFF2-40B4-BE49-F238E27FC236}">
                <a16:creationId xmlns:a16="http://schemas.microsoft.com/office/drawing/2014/main" id="{00000000-0008-0000-0300-00006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68</xdr:row>
      <xdr:rowOff>0</xdr:rowOff>
    </xdr:from>
    <xdr:to>
      <xdr:col>14</xdr:col>
      <xdr:colOff>312963</xdr:colOff>
      <xdr:row>69</xdr:row>
      <xdr:rowOff>68036</xdr:rowOff>
    </xdr:to>
    <xdr:grpSp>
      <xdr:nvGrpSpPr>
        <xdr:cNvPr id="1902" name="Group 1008">
          <a:extLst>
            <a:ext uri="{FF2B5EF4-FFF2-40B4-BE49-F238E27FC236}">
              <a16:creationId xmlns:a16="http://schemas.microsoft.com/office/drawing/2014/main" id="{00000000-0008-0000-0300-00006E070000}"/>
            </a:ext>
          </a:extLst>
        </xdr:cNvPr>
        <xdr:cNvGrpSpPr>
          <a:grpSpLocks/>
        </xdr:cNvGrpSpPr>
      </xdr:nvGrpSpPr>
      <xdr:grpSpPr bwMode="auto">
        <a:xfrm>
          <a:off x="9489281" y="15513844"/>
          <a:ext cx="312963" cy="270442"/>
          <a:chOff x="5475762" y="47760700"/>
          <a:chExt cx="314325" cy="230209"/>
        </a:xfrm>
      </xdr:grpSpPr>
      <xdr:cxnSp macro="">
        <xdr:nvCxnSpPr>
          <xdr:cNvPr id="1903" name="Straight Connector 1902">
            <a:extLst>
              <a:ext uri="{FF2B5EF4-FFF2-40B4-BE49-F238E27FC236}">
                <a16:creationId xmlns:a16="http://schemas.microsoft.com/office/drawing/2014/main" id="{00000000-0008-0000-0300-00006F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4" name="Straight Connector 529">
            <a:extLst>
              <a:ext uri="{FF2B5EF4-FFF2-40B4-BE49-F238E27FC236}">
                <a16:creationId xmlns:a16="http://schemas.microsoft.com/office/drawing/2014/main" id="{00000000-0008-0000-0300-000070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1">
            <a:extLst>
              <a:ext uri="{FF2B5EF4-FFF2-40B4-BE49-F238E27FC236}">
                <a16:creationId xmlns:a16="http://schemas.microsoft.com/office/drawing/2014/main" id="{00000000-0008-0000-0300-00007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3">
            <a:extLst>
              <a:ext uri="{FF2B5EF4-FFF2-40B4-BE49-F238E27FC236}">
                <a16:creationId xmlns:a16="http://schemas.microsoft.com/office/drawing/2014/main" id="{00000000-0008-0000-0300-00007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7" name="Straight Connector 535">
            <a:extLst>
              <a:ext uri="{FF2B5EF4-FFF2-40B4-BE49-F238E27FC236}">
                <a16:creationId xmlns:a16="http://schemas.microsoft.com/office/drawing/2014/main" id="{00000000-0008-0000-0300-00007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8" name="Straight Connector 537">
            <a:extLst>
              <a:ext uri="{FF2B5EF4-FFF2-40B4-BE49-F238E27FC236}">
                <a16:creationId xmlns:a16="http://schemas.microsoft.com/office/drawing/2014/main" id="{00000000-0008-0000-0300-00007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146</xdr:row>
      <xdr:rowOff>0</xdr:rowOff>
    </xdr:from>
    <xdr:to>
      <xdr:col>2</xdr:col>
      <xdr:colOff>312963</xdr:colOff>
      <xdr:row>147</xdr:row>
      <xdr:rowOff>68036</xdr:rowOff>
    </xdr:to>
    <xdr:grpSp>
      <xdr:nvGrpSpPr>
        <xdr:cNvPr id="1909" name="Group 1008">
          <a:extLst>
            <a:ext uri="{FF2B5EF4-FFF2-40B4-BE49-F238E27FC236}">
              <a16:creationId xmlns:a16="http://schemas.microsoft.com/office/drawing/2014/main" id="{00000000-0008-0000-0300-000075070000}"/>
            </a:ext>
          </a:extLst>
        </xdr:cNvPr>
        <xdr:cNvGrpSpPr>
          <a:grpSpLocks/>
        </xdr:cNvGrpSpPr>
      </xdr:nvGrpSpPr>
      <xdr:grpSpPr bwMode="auto">
        <a:xfrm>
          <a:off x="1535906" y="31706344"/>
          <a:ext cx="312963" cy="270442"/>
          <a:chOff x="5475762" y="47760700"/>
          <a:chExt cx="314325" cy="230209"/>
        </a:xfrm>
      </xdr:grpSpPr>
      <xdr:cxnSp macro="">
        <xdr:nvCxnSpPr>
          <xdr:cNvPr id="1910" name="Straight Connector 1909">
            <a:extLst>
              <a:ext uri="{FF2B5EF4-FFF2-40B4-BE49-F238E27FC236}">
                <a16:creationId xmlns:a16="http://schemas.microsoft.com/office/drawing/2014/main" id="{00000000-0008-0000-0300-000076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1" name="Straight Connector 529">
            <a:extLst>
              <a:ext uri="{FF2B5EF4-FFF2-40B4-BE49-F238E27FC236}">
                <a16:creationId xmlns:a16="http://schemas.microsoft.com/office/drawing/2014/main" id="{00000000-0008-0000-0300-000077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1">
            <a:extLst>
              <a:ext uri="{FF2B5EF4-FFF2-40B4-BE49-F238E27FC236}">
                <a16:creationId xmlns:a16="http://schemas.microsoft.com/office/drawing/2014/main" id="{00000000-0008-0000-0300-00007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3">
            <a:extLst>
              <a:ext uri="{FF2B5EF4-FFF2-40B4-BE49-F238E27FC236}">
                <a16:creationId xmlns:a16="http://schemas.microsoft.com/office/drawing/2014/main" id="{00000000-0008-0000-0300-00007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4" name="Straight Connector 535">
            <a:extLst>
              <a:ext uri="{FF2B5EF4-FFF2-40B4-BE49-F238E27FC236}">
                <a16:creationId xmlns:a16="http://schemas.microsoft.com/office/drawing/2014/main" id="{00000000-0008-0000-0300-00007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5" name="Straight Connector 537">
            <a:extLst>
              <a:ext uri="{FF2B5EF4-FFF2-40B4-BE49-F238E27FC236}">
                <a16:creationId xmlns:a16="http://schemas.microsoft.com/office/drawing/2014/main" id="{00000000-0008-0000-0300-00007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96</xdr:row>
      <xdr:rowOff>0</xdr:rowOff>
    </xdr:from>
    <xdr:to>
      <xdr:col>18</xdr:col>
      <xdr:colOff>312963</xdr:colOff>
      <xdr:row>97</xdr:row>
      <xdr:rowOff>68036</xdr:rowOff>
    </xdr:to>
    <xdr:grpSp>
      <xdr:nvGrpSpPr>
        <xdr:cNvPr id="1916" name="Group 1008">
          <a:extLst>
            <a:ext uri="{FF2B5EF4-FFF2-40B4-BE49-F238E27FC236}">
              <a16:creationId xmlns:a16="http://schemas.microsoft.com/office/drawing/2014/main" id="{00000000-0008-0000-0300-00007C070000}"/>
            </a:ext>
          </a:extLst>
        </xdr:cNvPr>
        <xdr:cNvGrpSpPr>
          <a:grpSpLocks/>
        </xdr:cNvGrpSpPr>
      </xdr:nvGrpSpPr>
      <xdr:grpSpPr bwMode="auto">
        <a:xfrm>
          <a:off x="12108656" y="21312188"/>
          <a:ext cx="312963" cy="270442"/>
          <a:chOff x="5475762" y="47760700"/>
          <a:chExt cx="314325" cy="230209"/>
        </a:xfrm>
      </xdr:grpSpPr>
      <xdr:cxnSp macro="">
        <xdr:nvCxnSpPr>
          <xdr:cNvPr id="1917" name="Straight Connector 1916">
            <a:extLst>
              <a:ext uri="{FF2B5EF4-FFF2-40B4-BE49-F238E27FC236}">
                <a16:creationId xmlns:a16="http://schemas.microsoft.com/office/drawing/2014/main" id="{00000000-0008-0000-0300-00007D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8" name="Straight Connector 529">
            <a:extLst>
              <a:ext uri="{FF2B5EF4-FFF2-40B4-BE49-F238E27FC236}">
                <a16:creationId xmlns:a16="http://schemas.microsoft.com/office/drawing/2014/main" id="{00000000-0008-0000-0300-00007E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1">
            <a:extLst>
              <a:ext uri="{FF2B5EF4-FFF2-40B4-BE49-F238E27FC236}">
                <a16:creationId xmlns:a16="http://schemas.microsoft.com/office/drawing/2014/main" id="{00000000-0008-0000-0300-00007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3">
            <a:extLst>
              <a:ext uri="{FF2B5EF4-FFF2-40B4-BE49-F238E27FC236}">
                <a16:creationId xmlns:a16="http://schemas.microsoft.com/office/drawing/2014/main" id="{00000000-0008-0000-0300-00008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1" name="Straight Connector 535">
            <a:extLst>
              <a:ext uri="{FF2B5EF4-FFF2-40B4-BE49-F238E27FC236}">
                <a16:creationId xmlns:a16="http://schemas.microsoft.com/office/drawing/2014/main" id="{00000000-0008-0000-0300-00008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2" name="Straight Connector 537">
            <a:extLst>
              <a:ext uri="{FF2B5EF4-FFF2-40B4-BE49-F238E27FC236}">
                <a16:creationId xmlns:a16="http://schemas.microsoft.com/office/drawing/2014/main" id="{00000000-0008-0000-0300-00008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96</xdr:row>
      <xdr:rowOff>0</xdr:rowOff>
    </xdr:from>
    <xdr:to>
      <xdr:col>24</xdr:col>
      <xdr:colOff>312963</xdr:colOff>
      <xdr:row>97</xdr:row>
      <xdr:rowOff>68036</xdr:rowOff>
    </xdr:to>
    <xdr:grpSp>
      <xdr:nvGrpSpPr>
        <xdr:cNvPr id="1923" name="Group 1008">
          <a:extLst>
            <a:ext uri="{FF2B5EF4-FFF2-40B4-BE49-F238E27FC236}">
              <a16:creationId xmlns:a16="http://schemas.microsoft.com/office/drawing/2014/main" id="{00000000-0008-0000-0300-000083070000}"/>
            </a:ext>
          </a:extLst>
        </xdr:cNvPr>
        <xdr:cNvGrpSpPr>
          <a:grpSpLocks/>
        </xdr:cNvGrpSpPr>
      </xdr:nvGrpSpPr>
      <xdr:grpSpPr bwMode="auto">
        <a:xfrm>
          <a:off x="15942469" y="21312188"/>
          <a:ext cx="312963" cy="270442"/>
          <a:chOff x="5475762" y="47760700"/>
          <a:chExt cx="314325" cy="230209"/>
        </a:xfrm>
      </xdr:grpSpPr>
      <xdr:cxnSp macro="">
        <xdr:nvCxnSpPr>
          <xdr:cNvPr id="1924" name="Straight Connector 1923">
            <a:extLst>
              <a:ext uri="{FF2B5EF4-FFF2-40B4-BE49-F238E27FC236}">
                <a16:creationId xmlns:a16="http://schemas.microsoft.com/office/drawing/2014/main" id="{00000000-0008-0000-0300-000084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5" name="Straight Connector 529">
            <a:extLst>
              <a:ext uri="{FF2B5EF4-FFF2-40B4-BE49-F238E27FC236}">
                <a16:creationId xmlns:a16="http://schemas.microsoft.com/office/drawing/2014/main" id="{00000000-0008-0000-0300-000085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1">
            <a:extLst>
              <a:ext uri="{FF2B5EF4-FFF2-40B4-BE49-F238E27FC236}">
                <a16:creationId xmlns:a16="http://schemas.microsoft.com/office/drawing/2014/main" id="{00000000-0008-0000-0300-00008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3">
            <a:extLst>
              <a:ext uri="{FF2B5EF4-FFF2-40B4-BE49-F238E27FC236}">
                <a16:creationId xmlns:a16="http://schemas.microsoft.com/office/drawing/2014/main" id="{00000000-0008-0000-0300-00008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8" name="Straight Connector 535">
            <a:extLst>
              <a:ext uri="{FF2B5EF4-FFF2-40B4-BE49-F238E27FC236}">
                <a16:creationId xmlns:a16="http://schemas.microsoft.com/office/drawing/2014/main" id="{00000000-0008-0000-0300-00008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9" name="Straight Connector 537">
            <a:extLst>
              <a:ext uri="{FF2B5EF4-FFF2-40B4-BE49-F238E27FC236}">
                <a16:creationId xmlns:a16="http://schemas.microsoft.com/office/drawing/2014/main" id="{00000000-0008-0000-0300-00008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139</xdr:row>
      <xdr:rowOff>0</xdr:rowOff>
    </xdr:from>
    <xdr:to>
      <xdr:col>12</xdr:col>
      <xdr:colOff>312963</xdr:colOff>
      <xdr:row>140</xdr:row>
      <xdr:rowOff>68036</xdr:rowOff>
    </xdr:to>
    <xdr:grpSp>
      <xdr:nvGrpSpPr>
        <xdr:cNvPr id="1930" name="Group 1008">
          <a:extLst>
            <a:ext uri="{FF2B5EF4-FFF2-40B4-BE49-F238E27FC236}">
              <a16:creationId xmlns:a16="http://schemas.microsoft.com/office/drawing/2014/main" id="{00000000-0008-0000-0300-00008A070000}"/>
            </a:ext>
          </a:extLst>
        </xdr:cNvPr>
        <xdr:cNvGrpSpPr>
          <a:grpSpLocks/>
        </xdr:cNvGrpSpPr>
      </xdr:nvGrpSpPr>
      <xdr:grpSpPr bwMode="auto">
        <a:xfrm>
          <a:off x="8251031" y="30253781"/>
          <a:ext cx="312963" cy="270443"/>
          <a:chOff x="5475762" y="47760700"/>
          <a:chExt cx="314325" cy="230209"/>
        </a:xfrm>
      </xdr:grpSpPr>
      <xdr:cxnSp macro="">
        <xdr:nvCxnSpPr>
          <xdr:cNvPr id="1931" name="Straight Connector 1930">
            <a:extLst>
              <a:ext uri="{FF2B5EF4-FFF2-40B4-BE49-F238E27FC236}">
                <a16:creationId xmlns:a16="http://schemas.microsoft.com/office/drawing/2014/main" id="{00000000-0008-0000-0300-00008B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2" name="Straight Connector 529">
            <a:extLst>
              <a:ext uri="{FF2B5EF4-FFF2-40B4-BE49-F238E27FC236}">
                <a16:creationId xmlns:a16="http://schemas.microsoft.com/office/drawing/2014/main" id="{00000000-0008-0000-0300-00008C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1">
            <a:extLst>
              <a:ext uri="{FF2B5EF4-FFF2-40B4-BE49-F238E27FC236}">
                <a16:creationId xmlns:a16="http://schemas.microsoft.com/office/drawing/2014/main" id="{00000000-0008-0000-0300-00008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3">
            <a:extLst>
              <a:ext uri="{FF2B5EF4-FFF2-40B4-BE49-F238E27FC236}">
                <a16:creationId xmlns:a16="http://schemas.microsoft.com/office/drawing/2014/main" id="{00000000-0008-0000-0300-00008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5" name="Straight Connector 535">
            <a:extLst>
              <a:ext uri="{FF2B5EF4-FFF2-40B4-BE49-F238E27FC236}">
                <a16:creationId xmlns:a16="http://schemas.microsoft.com/office/drawing/2014/main" id="{00000000-0008-0000-0300-00008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6" name="Straight Connector 537">
            <a:extLst>
              <a:ext uri="{FF2B5EF4-FFF2-40B4-BE49-F238E27FC236}">
                <a16:creationId xmlns:a16="http://schemas.microsoft.com/office/drawing/2014/main" id="{00000000-0008-0000-0300-00009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104</xdr:row>
      <xdr:rowOff>0</xdr:rowOff>
    </xdr:from>
    <xdr:to>
      <xdr:col>12</xdr:col>
      <xdr:colOff>312963</xdr:colOff>
      <xdr:row>105</xdr:row>
      <xdr:rowOff>58511</xdr:rowOff>
    </xdr:to>
    <xdr:grpSp>
      <xdr:nvGrpSpPr>
        <xdr:cNvPr id="1937" name="Group 1008">
          <a:extLst>
            <a:ext uri="{FF2B5EF4-FFF2-40B4-BE49-F238E27FC236}">
              <a16:creationId xmlns:a16="http://schemas.microsoft.com/office/drawing/2014/main" id="{00000000-0008-0000-0300-000091070000}"/>
            </a:ext>
          </a:extLst>
        </xdr:cNvPr>
        <xdr:cNvGrpSpPr>
          <a:grpSpLocks/>
        </xdr:cNvGrpSpPr>
      </xdr:nvGrpSpPr>
      <xdr:grpSpPr bwMode="auto">
        <a:xfrm>
          <a:off x="8251031" y="22967156"/>
          <a:ext cx="312963" cy="260918"/>
          <a:chOff x="5475762" y="47760700"/>
          <a:chExt cx="314325" cy="230209"/>
        </a:xfrm>
      </xdr:grpSpPr>
      <xdr:cxnSp macro="">
        <xdr:nvCxnSpPr>
          <xdr:cNvPr id="1938" name="Straight Connector 1937">
            <a:extLst>
              <a:ext uri="{FF2B5EF4-FFF2-40B4-BE49-F238E27FC236}">
                <a16:creationId xmlns:a16="http://schemas.microsoft.com/office/drawing/2014/main" id="{00000000-0008-0000-0300-000092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9" name="Straight Connector 529">
            <a:extLst>
              <a:ext uri="{FF2B5EF4-FFF2-40B4-BE49-F238E27FC236}">
                <a16:creationId xmlns:a16="http://schemas.microsoft.com/office/drawing/2014/main" id="{00000000-0008-0000-0300-000093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1">
            <a:extLst>
              <a:ext uri="{FF2B5EF4-FFF2-40B4-BE49-F238E27FC236}">
                <a16:creationId xmlns:a16="http://schemas.microsoft.com/office/drawing/2014/main" id="{00000000-0008-0000-0300-00009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3">
            <a:extLst>
              <a:ext uri="{FF2B5EF4-FFF2-40B4-BE49-F238E27FC236}">
                <a16:creationId xmlns:a16="http://schemas.microsoft.com/office/drawing/2014/main" id="{00000000-0008-0000-0300-00009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2" name="Straight Connector 535">
            <a:extLst>
              <a:ext uri="{FF2B5EF4-FFF2-40B4-BE49-F238E27FC236}">
                <a16:creationId xmlns:a16="http://schemas.microsoft.com/office/drawing/2014/main" id="{00000000-0008-0000-0300-00009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3" name="Straight Connector 537">
            <a:extLst>
              <a:ext uri="{FF2B5EF4-FFF2-40B4-BE49-F238E27FC236}">
                <a16:creationId xmlns:a16="http://schemas.microsoft.com/office/drawing/2014/main" id="{00000000-0008-0000-0300-00009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104</xdr:row>
      <xdr:rowOff>0</xdr:rowOff>
    </xdr:from>
    <xdr:to>
      <xdr:col>16</xdr:col>
      <xdr:colOff>312963</xdr:colOff>
      <xdr:row>105</xdr:row>
      <xdr:rowOff>58511</xdr:rowOff>
    </xdr:to>
    <xdr:grpSp>
      <xdr:nvGrpSpPr>
        <xdr:cNvPr id="1944" name="Group 1008">
          <a:extLst>
            <a:ext uri="{FF2B5EF4-FFF2-40B4-BE49-F238E27FC236}">
              <a16:creationId xmlns:a16="http://schemas.microsoft.com/office/drawing/2014/main" id="{00000000-0008-0000-0300-000098070000}"/>
            </a:ext>
          </a:extLst>
        </xdr:cNvPr>
        <xdr:cNvGrpSpPr>
          <a:grpSpLocks/>
        </xdr:cNvGrpSpPr>
      </xdr:nvGrpSpPr>
      <xdr:grpSpPr bwMode="auto">
        <a:xfrm>
          <a:off x="10775156" y="22967156"/>
          <a:ext cx="312963" cy="260918"/>
          <a:chOff x="5475762" y="47760700"/>
          <a:chExt cx="314325" cy="230209"/>
        </a:xfrm>
      </xdr:grpSpPr>
      <xdr:cxnSp macro="">
        <xdr:nvCxnSpPr>
          <xdr:cNvPr id="1945" name="Straight Connector 1944">
            <a:extLst>
              <a:ext uri="{FF2B5EF4-FFF2-40B4-BE49-F238E27FC236}">
                <a16:creationId xmlns:a16="http://schemas.microsoft.com/office/drawing/2014/main" id="{00000000-0008-0000-0300-000099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6" name="Straight Connector 529">
            <a:extLst>
              <a:ext uri="{FF2B5EF4-FFF2-40B4-BE49-F238E27FC236}">
                <a16:creationId xmlns:a16="http://schemas.microsoft.com/office/drawing/2014/main" id="{00000000-0008-0000-0300-00009A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1">
            <a:extLst>
              <a:ext uri="{FF2B5EF4-FFF2-40B4-BE49-F238E27FC236}">
                <a16:creationId xmlns:a16="http://schemas.microsoft.com/office/drawing/2014/main" id="{00000000-0008-0000-0300-00009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3">
            <a:extLst>
              <a:ext uri="{FF2B5EF4-FFF2-40B4-BE49-F238E27FC236}">
                <a16:creationId xmlns:a16="http://schemas.microsoft.com/office/drawing/2014/main" id="{00000000-0008-0000-0300-00009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9" name="Straight Connector 535">
            <a:extLst>
              <a:ext uri="{FF2B5EF4-FFF2-40B4-BE49-F238E27FC236}">
                <a16:creationId xmlns:a16="http://schemas.microsoft.com/office/drawing/2014/main" id="{00000000-0008-0000-0300-00009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0" name="Straight Connector 537">
            <a:extLst>
              <a:ext uri="{FF2B5EF4-FFF2-40B4-BE49-F238E27FC236}">
                <a16:creationId xmlns:a16="http://schemas.microsoft.com/office/drawing/2014/main" id="{00000000-0008-0000-0300-00009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0</xdr:rowOff>
    </xdr:from>
    <xdr:to>
      <xdr:col>2</xdr:col>
      <xdr:colOff>312963</xdr:colOff>
      <xdr:row>105</xdr:row>
      <xdr:rowOff>58511</xdr:rowOff>
    </xdr:to>
    <xdr:grpSp>
      <xdr:nvGrpSpPr>
        <xdr:cNvPr id="1951" name="Group 1008">
          <a:extLst>
            <a:ext uri="{FF2B5EF4-FFF2-40B4-BE49-F238E27FC236}">
              <a16:creationId xmlns:a16="http://schemas.microsoft.com/office/drawing/2014/main" id="{00000000-0008-0000-0300-00009F070000}"/>
            </a:ext>
          </a:extLst>
        </xdr:cNvPr>
        <xdr:cNvGrpSpPr>
          <a:grpSpLocks/>
        </xdr:cNvGrpSpPr>
      </xdr:nvGrpSpPr>
      <xdr:grpSpPr bwMode="auto">
        <a:xfrm>
          <a:off x="1535906" y="22967156"/>
          <a:ext cx="312963" cy="260918"/>
          <a:chOff x="5475762" y="47760700"/>
          <a:chExt cx="314325" cy="230209"/>
        </a:xfrm>
      </xdr:grpSpPr>
      <xdr:cxnSp macro="">
        <xdr:nvCxnSpPr>
          <xdr:cNvPr id="1952" name="Straight Connector 1951">
            <a:extLst>
              <a:ext uri="{FF2B5EF4-FFF2-40B4-BE49-F238E27FC236}">
                <a16:creationId xmlns:a16="http://schemas.microsoft.com/office/drawing/2014/main" id="{00000000-0008-0000-0300-0000A0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3" name="Straight Connector 529">
            <a:extLst>
              <a:ext uri="{FF2B5EF4-FFF2-40B4-BE49-F238E27FC236}">
                <a16:creationId xmlns:a16="http://schemas.microsoft.com/office/drawing/2014/main" id="{00000000-0008-0000-0300-0000A1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1">
            <a:extLst>
              <a:ext uri="{FF2B5EF4-FFF2-40B4-BE49-F238E27FC236}">
                <a16:creationId xmlns:a16="http://schemas.microsoft.com/office/drawing/2014/main" id="{00000000-0008-0000-0300-0000A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3">
            <a:extLst>
              <a:ext uri="{FF2B5EF4-FFF2-40B4-BE49-F238E27FC236}">
                <a16:creationId xmlns:a16="http://schemas.microsoft.com/office/drawing/2014/main" id="{00000000-0008-0000-0300-0000A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6" name="Straight Connector 535">
            <a:extLst>
              <a:ext uri="{FF2B5EF4-FFF2-40B4-BE49-F238E27FC236}">
                <a16:creationId xmlns:a16="http://schemas.microsoft.com/office/drawing/2014/main" id="{00000000-0008-0000-0300-0000A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7" name="Straight Connector 537">
            <a:extLst>
              <a:ext uri="{FF2B5EF4-FFF2-40B4-BE49-F238E27FC236}">
                <a16:creationId xmlns:a16="http://schemas.microsoft.com/office/drawing/2014/main" id="{00000000-0008-0000-0300-0000A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111</xdr:row>
      <xdr:rowOff>0</xdr:rowOff>
    </xdr:from>
    <xdr:to>
      <xdr:col>8</xdr:col>
      <xdr:colOff>312963</xdr:colOff>
      <xdr:row>112</xdr:row>
      <xdr:rowOff>68036</xdr:rowOff>
    </xdr:to>
    <xdr:grpSp>
      <xdr:nvGrpSpPr>
        <xdr:cNvPr id="1958" name="Group 1008">
          <a:extLst>
            <a:ext uri="{FF2B5EF4-FFF2-40B4-BE49-F238E27FC236}">
              <a16:creationId xmlns:a16="http://schemas.microsoft.com/office/drawing/2014/main" id="{00000000-0008-0000-0300-0000A6070000}"/>
            </a:ext>
          </a:extLst>
        </xdr:cNvPr>
        <xdr:cNvGrpSpPr>
          <a:grpSpLocks/>
        </xdr:cNvGrpSpPr>
      </xdr:nvGrpSpPr>
      <xdr:grpSpPr bwMode="auto">
        <a:xfrm>
          <a:off x="5500688" y="24419719"/>
          <a:ext cx="312963" cy="282348"/>
          <a:chOff x="5475762" y="47760700"/>
          <a:chExt cx="314325" cy="230209"/>
        </a:xfrm>
      </xdr:grpSpPr>
      <xdr:cxnSp macro="">
        <xdr:nvCxnSpPr>
          <xdr:cNvPr id="1959" name="Straight Connector 1958">
            <a:extLst>
              <a:ext uri="{FF2B5EF4-FFF2-40B4-BE49-F238E27FC236}">
                <a16:creationId xmlns:a16="http://schemas.microsoft.com/office/drawing/2014/main" id="{00000000-0008-0000-0300-0000A7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0" name="Straight Connector 529">
            <a:extLst>
              <a:ext uri="{FF2B5EF4-FFF2-40B4-BE49-F238E27FC236}">
                <a16:creationId xmlns:a16="http://schemas.microsoft.com/office/drawing/2014/main" id="{00000000-0008-0000-0300-0000A8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1">
            <a:extLst>
              <a:ext uri="{FF2B5EF4-FFF2-40B4-BE49-F238E27FC236}">
                <a16:creationId xmlns:a16="http://schemas.microsoft.com/office/drawing/2014/main" id="{00000000-0008-0000-0300-0000A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3">
            <a:extLst>
              <a:ext uri="{FF2B5EF4-FFF2-40B4-BE49-F238E27FC236}">
                <a16:creationId xmlns:a16="http://schemas.microsoft.com/office/drawing/2014/main" id="{00000000-0008-0000-0300-0000A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3" name="Straight Connector 535">
            <a:extLst>
              <a:ext uri="{FF2B5EF4-FFF2-40B4-BE49-F238E27FC236}">
                <a16:creationId xmlns:a16="http://schemas.microsoft.com/office/drawing/2014/main" id="{00000000-0008-0000-0300-0000A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4" name="Straight Connector 537">
            <a:extLst>
              <a:ext uri="{FF2B5EF4-FFF2-40B4-BE49-F238E27FC236}">
                <a16:creationId xmlns:a16="http://schemas.microsoft.com/office/drawing/2014/main" id="{00000000-0008-0000-0300-0000A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111</xdr:row>
      <xdr:rowOff>0</xdr:rowOff>
    </xdr:from>
    <xdr:to>
      <xdr:col>4</xdr:col>
      <xdr:colOff>312963</xdr:colOff>
      <xdr:row>112</xdr:row>
      <xdr:rowOff>68036</xdr:rowOff>
    </xdr:to>
    <xdr:grpSp>
      <xdr:nvGrpSpPr>
        <xdr:cNvPr id="1965" name="Group 1008">
          <a:extLst>
            <a:ext uri="{FF2B5EF4-FFF2-40B4-BE49-F238E27FC236}">
              <a16:creationId xmlns:a16="http://schemas.microsoft.com/office/drawing/2014/main" id="{00000000-0008-0000-0300-0000AD070000}"/>
            </a:ext>
          </a:extLst>
        </xdr:cNvPr>
        <xdr:cNvGrpSpPr>
          <a:grpSpLocks/>
        </xdr:cNvGrpSpPr>
      </xdr:nvGrpSpPr>
      <xdr:grpSpPr bwMode="auto">
        <a:xfrm>
          <a:off x="2809875" y="24419719"/>
          <a:ext cx="312963" cy="282348"/>
          <a:chOff x="5475762" y="47760700"/>
          <a:chExt cx="314325" cy="230209"/>
        </a:xfrm>
      </xdr:grpSpPr>
      <xdr:cxnSp macro="">
        <xdr:nvCxnSpPr>
          <xdr:cNvPr id="1966" name="Straight Connector 1965">
            <a:extLst>
              <a:ext uri="{FF2B5EF4-FFF2-40B4-BE49-F238E27FC236}">
                <a16:creationId xmlns:a16="http://schemas.microsoft.com/office/drawing/2014/main" id="{00000000-0008-0000-0300-0000AE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7" name="Straight Connector 529">
            <a:extLst>
              <a:ext uri="{FF2B5EF4-FFF2-40B4-BE49-F238E27FC236}">
                <a16:creationId xmlns:a16="http://schemas.microsoft.com/office/drawing/2014/main" id="{00000000-0008-0000-0300-0000AF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1">
            <a:extLst>
              <a:ext uri="{FF2B5EF4-FFF2-40B4-BE49-F238E27FC236}">
                <a16:creationId xmlns:a16="http://schemas.microsoft.com/office/drawing/2014/main" id="{00000000-0008-0000-0300-0000B0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3">
            <a:extLst>
              <a:ext uri="{FF2B5EF4-FFF2-40B4-BE49-F238E27FC236}">
                <a16:creationId xmlns:a16="http://schemas.microsoft.com/office/drawing/2014/main" id="{00000000-0008-0000-0300-0000B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0" name="Straight Connector 535">
            <a:extLst>
              <a:ext uri="{FF2B5EF4-FFF2-40B4-BE49-F238E27FC236}">
                <a16:creationId xmlns:a16="http://schemas.microsoft.com/office/drawing/2014/main" id="{00000000-0008-0000-0300-0000B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1" name="Straight Connector 537">
            <a:extLst>
              <a:ext uri="{FF2B5EF4-FFF2-40B4-BE49-F238E27FC236}">
                <a16:creationId xmlns:a16="http://schemas.microsoft.com/office/drawing/2014/main" id="{00000000-0008-0000-0300-0000B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68</xdr:row>
      <xdr:rowOff>0</xdr:rowOff>
    </xdr:from>
    <xdr:to>
      <xdr:col>20</xdr:col>
      <xdr:colOff>312963</xdr:colOff>
      <xdr:row>69</xdr:row>
      <xdr:rowOff>68035</xdr:rowOff>
    </xdr:to>
    <xdr:grpSp>
      <xdr:nvGrpSpPr>
        <xdr:cNvPr id="1972" name="Group 1008">
          <a:extLst>
            <a:ext uri="{FF2B5EF4-FFF2-40B4-BE49-F238E27FC236}">
              <a16:creationId xmlns:a16="http://schemas.microsoft.com/office/drawing/2014/main" id="{00000000-0008-0000-0300-0000B4070000}"/>
            </a:ext>
          </a:extLst>
        </xdr:cNvPr>
        <xdr:cNvGrpSpPr>
          <a:grpSpLocks/>
        </xdr:cNvGrpSpPr>
      </xdr:nvGrpSpPr>
      <xdr:grpSpPr bwMode="auto">
        <a:xfrm>
          <a:off x="13251656" y="15513844"/>
          <a:ext cx="312963" cy="270441"/>
          <a:chOff x="5475762" y="47760700"/>
          <a:chExt cx="314325" cy="230209"/>
        </a:xfrm>
      </xdr:grpSpPr>
      <xdr:cxnSp macro="">
        <xdr:nvCxnSpPr>
          <xdr:cNvPr id="1973" name="Straight Connector 1972">
            <a:extLst>
              <a:ext uri="{FF2B5EF4-FFF2-40B4-BE49-F238E27FC236}">
                <a16:creationId xmlns:a16="http://schemas.microsoft.com/office/drawing/2014/main" id="{00000000-0008-0000-0300-0000B5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4" name="Straight Connector 529">
            <a:extLst>
              <a:ext uri="{FF2B5EF4-FFF2-40B4-BE49-F238E27FC236}">
                <a16:creationId xmlns:a16="http://schemas.microsoft.com/office/drawing/2014/main" id="{00000000-0008-0000-0300-0000B6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1">
            <a:extLst>
              <a:ext uri="{FF2B5EF4-FFF2-40B4-BE49-F238E27FC236}">
                <a16:creationId xmlns:a16="http://schemas.microsoft.com/office/drawing/2014/main" id="{00000000-0008-0000-0300-0000B7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3">
            <a:extLst>
              <a:ext uri="{FF2B5EF4-FFF2-40B4-BE49-F238E27FC236}">
                <a16:creationId xmlns:a16="http://schemas.microsoft.com/office/drawing/2014/main" id="{00000000-0008-0000-0300-0000B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7" name="Straight Connector 535">
            <a:extLst>
              <a:ext uri="{FF2B5EF4-FFF2-40B4-BE49-F238E27FC236}">
                <a16:creationId xmlns:a16="http://schemas.microsoft.com/office/drawing/2014/main" id="{00000000-0008-0000-0300-0000B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8" name="Straight Connector 537">
            <a:extLst>
              <a:ext uri="{FF2B5EF4-FFF2-40B4-BE49-F238E27FC236}">
                <a16:creationId xmlns:a16="http://schemas.microsoft.com/office/drawing/2014/main" id="{00000000-0008-0000-0300-0000B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167</xdr:row>
      <xdr:rowOff>0</xdr:rowOff>
    </xdr:from>
    <xdr:to>
      <xdr:col>8</xdr:col>
      <xdr:colOff>312963</xdr:colOff>
      <xdr:row>168</xdr:row>
      <xdr:rowOff>68036</xdr:rowOff>
    </xdr:to>
    <xdr:grpSp>
      <xdr:nvGrpSpPr>
        <xdr:cNvPr id="1979" name="Group 1008">
          <a:extLst>
            <a:ext uri="{FF2B5EF4-FFF2-40B4-BE49-F238E27FC236}">
              <a16:creationId xmlns:a16="http://schemas.microsoft.com/office/drawing/2014/main" id="{00000000-0008-0000-0300-0000BB070000}"/>
            </a:ext>
          </a:extLst>
        </xdr:cNvPr>
        <xdr:cNvGrpSpPr>
          <a:grpSpLocks/>
        </xdr:cNvGrpSpPr>
      </xdr:nvGrpSpPr>
      <xdr:grpSpPr bwMode="auto">
        <a:xfrm>
          <a:off x="5500688" y="36064031"/>
          <a:ext cx="312963" cy="270443"/>
          <a:chOff x="5475762" y="47760700"/>
          <a:chExt cx="314325" cy="230209"/>
        </a:xfrm>
      </xdr:grpSpPr>
      <xdr:cxnSp macro="">
        <xdr:nvCxnSpPr>
          <xdr:cNvPr id="1980" name="Straight Connector 1979">
            <a:extLst>
              <a:ext uri="{FF2B5EF4-FFF2-40B4-BE49-F238E27FC236}">
                <a16:creationId xmlns:a16="http://schemas.microsoft.com/office/drawing/2014/main" id="{00000000-0008-0000-0300-0000BC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1" name="Straight Connector 529">
            <a:extLst>
              <a:ext uri="{FF2B5EF4-FFF2-40B4-BE49-F238E27FC236}">
                <a16:creationId xmlns:a16="http://schemas.microsoft.com/office/drawing/2014/main" id="{00000000-0008-0000-0300-0000BD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1">
            <a:extLst>
              <a:ext uri="{FF2B5EF4-FFF2-40B4-BE49-F238E27FC236}">
                <a16:creationId xmlns:a16="http://schemas.microsoft.com/office/drawing/2014/main" id="{00000000-0008-0000-0300-0000BE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3">
            <a:extLst>
              <a:ext uri="{FF2B5EF4-FFF2-40B4-BE49-F238E27FC236}">
                <a16:creationId xmlns:a16="http://schemas.microsoft.com/office/drawing/2014/main" id="{00000000-0008-0000-0300-0000B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4" name="Straight Connector 535">
            <a:extLst>
              <a:ext uri="{FF2B5EF4-FFF2-40B4-BE49-F238E27FC236}">
                <a16:creationId xmlns:a16="http://schemas.microsoft.com/office/drawing/2014/main" id="{00000000-0008-0000-0300-0000C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5" name="Straight Connector 537">
            <a:extLst>
              <a:ext uri="{FF2B5EF4-FFF2-40B4-BE49-F238E27FC236}">
                <a16:creationId xmlns:a16="http://schemas.microsoft.com/office/drawing/2014/main" id="{00000000-0008-0000-0300-0000C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174</xdr:row>
      <xdr:rowOff>0</xdr:rowOff>
    </xdr:from>
    <xdr:to>
      <xdr:col>24</xdr:col>
      <xdr:colOff>312963</xdr:colOff>
      <xdr:row>175</xdr:row>
      <xdr:rowOff>68036</xdr:rowOff>
    </xdr:to>
    <xdr:grpSp>
      <xdr:nvGrpSpPr>
        <xdr:cNvPr id="1986" name="Group 1008">
          <a:extLst>
            <a:ext uri="{FF2B5EF4-FFF2-40B4-BE49-F238E27FC236}">
              <a16:creationId xmlns:a16="http://schemas.microsoft.com/office/drawing/2014/main" id="{00000000-0008-0000-0300-0000C2070000}"/>
            </a:ext>
          </a:extLst>
        </xdr:cNvPr>
        <xdr:cNvGrpSpPr>
          <a:grpSpLocks/>
        </xdr:cNvGrpSpPr>
      </xdr:nvGrpSpPr>
      <xdr:grpSpPr bwMode="auto">
        <a:xfrm>
          <a:off x="15942469" y="37516594"/>
          <a:ext cx="312963" cy="270442"/>
          <a:chOff x="5475762" y="47760700"/>
          <a:chExt cx="314325" cy="230209"/>
        </a:xfrm>
      </xdr:grpSpPr>
      <xdr:cxnSp macro="">
        <xdr:nvCxnSpPr>
          <xdr:cNvPr id="1987" name="Straight Connector 1986">
            <a:extLst>
              <a:ext uri="{FF2B5EF4-FFF2-40B4-BE49-F238E27FC236}">
                <a16:creationId xmlns:a16="http://schemas.microsoft.com/office/drawing/2014/main" id="{00000000-0008-0000-0300-0000C3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8" name="Straight Connector 529">
            <a:extLst>
              <a:ext uri="{FF2B5EF4-FFF2-40B4-BE49-F238E27FC236}">
                <a16:creationId xmlns:a16="http://schemas.microsoft.com/office/drawing/2014/main" id="{00000000-0008-0000-0300-0000C4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1">
            <a:extLst>
              <a:ext uri="{FF2B5EF4-FFF2-40B4-BE49-F238E27FC236}">
                <a16:creationId xmlns:a16="http://schemas.microsoft.com/office/drawing/2014/main" id="{00000000-0008-0000-0300-0000C5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3">
            <a:extLst>
              <a:ext uri="{FF2B5EF4-FFF2-40B4-BE49-F238E27FC236}">
                <a16:creationId xmlns:a16="http://schemas.microsoft.com/office/drawing/2014/main" id="{00000000-0008-0000-0300-0000C6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1" name="Straight Connector 535">
            <a:extLst>
              <a:ext uri="{FF2B5EF4-FFF2-40B4-BE49-F238E27FC236}">
                <a16:creationId xmlns:a16="http://schemas.microsoft.com/office/drawing/2014/main" id="{00000000-0008-0000-0300-0000C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2" name="Straight Connector 537">
            <a:extLst>
              <a:ext uri="{FF2B5EF4-FFF2-40B4-BE49-F238E27FC236}">
                <a16:creationId xmlns:a16="http://schemas.microsoft.com/office/drawing/2014/main" id="{00000000-0008-0000-0300-0000C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125</xdr:row>
      <xdr:rowOff>0</xdr:rowOff>
    </xdr:from>
    <xdr:to>
      <xdr:col>18</xdr:col>
      <xdr:colOff>312963</xdr:colOff>
      <xdr:row>126</xdr:row>
      <xdr:rowOff>68036</xdr:rowOff>
    </xdr:to>
    <xdr:grpSp>
      <xdr:nvGrpSpPr>
        <xdr:cNvPr id="1993" name="Group 1008">
          <a:extLst>
            <a:ext uri="{FF2B5EF4-FFF2-40B4-BE49-F238E27FC236}">
              <a16:creationId xmlns:a16="http://schemas.microsoft.com/office/drawing/2014/main" id="{00000000-0008-0000-0300-0000C9070000}"/>
            </a:ext>
          </a:extLst>
        </xdr:cNvPr>
        <xdr:cNvGrpSpPr>
          <a:grpSpLocks/>
        </xdr:cNvGrpSpPr>
      </xdr:nvGrpSpPr>
      <xdr:grpSpPr bwMode="auto">
        <a:xfrm>
          <a:off x="12108656" y="27336750"/>
          <a:ext cx="312963" cy="270442"/>
          <a:chOff x="5475762" y="47760700"/>
          <a:chExt cx="314325" cy="230209"/>
        </a:xfrm>
      </xdr:grpSpPr>
      <xdr:cxnSp macro="">
        <xdr:nvCxnSpPr>
          <xdr:cNvPr id="1994" name="Straight Connector 1993">
            <a:extLst>
              <a:ext uri="{FF2B5EF4-FFF2-40B4-BE49-F238E27FC236}">
                <a16:creationId xmlns:a16="http://schemas.microsoft.com/office/drawing/2014/main" id="{00000000-0008-0000-0300-0000CA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5" name="Straight Connector 529">
            <a:extLst>
              <a:ext uri="{FF2B5EF4-FFF2-40B4-BE49-F238E27FC236}">
                <a16:creationId xmlns:a16="http://schemas.microsoft.com/office/drawing/2014/main" id="{00000000-0008-0000-0300-0000CB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1">
            <a:extLst>
              <a:ext uri="{FF2B5EF4-FFF2-40B4-BE49-F238E27FC236}">
                <a16:creationId xmlns:a16="http://schemas.microsoft.com/office/drawing/2014/main" id="{00000000-0008-0000-0300-0000CC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3">
            <a:extLst>
              <a:ext uri="{FF2B5EF4-FFF2-40B4-BE49-F238E27FC236}">
                <a16:creationId xmlns:a16="http://schemas.microsoft.com/office/drawing/2014/main" id="{00000000-0008-0000-0300-0000CD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8" name="Straight Connector 535">
            <a:extLst>
              <a:ext uri="{FF2B5EF4-FFF2-40B4-BE49-F238E27FC236}">
                <a16:creationId xmlns:a16="http://schemas.microsoft.com/office/drawing/2014/main" id="{00000000-0008-0000-0300-0000C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9" name="Straight Connector 537">
            <a:extLst>
              <a:ext uri="{FF2B5EF4-FFF2-40B4-BE49-F238E27FC236}">
                <a16:creationId xmlns:a16="http://schemas.microsoft.com/office/drawing/2014/main" id="{00000000-0008-0000-0300-0000C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118</xdr:row>
      <xdr:rowOff>0</xdr:rowOff>
    </xdr:from>
    <xdr:to>
      <xdr:col>20</xdr:col>
      <xdr:colOff>312963</xdr:colOff>
      <xdr:row>119</xdr:row>
      <xdr:rowOff>68036</xdr:rowOff>
    </xdr:to>
    <xdr:grpSp>
      <xdr:nvGrpSpPr>
        <xdr:cNvPr id="2000" name="Group 1008">
          <a:extLst>
            <a:ext uri="{FF2B5EF4-FFF2-40B4-BE49-F238E27FC236}">
              <a16:creationId xmlns:a16="http://schemas.microsoft.com/office/drawing/2014/main" id="{00000000-0008-0000-0300-0000D0070000}"/>
            </a:ext>
          </a:extLst>
        </xdr:cNvPr>
        <xdr:cNvGrpSpPr>
          <a:grpSpLocks/>
        </xdr:cNvGrpSpPr>
      </xdr:nvGrpSpPr>
      <xdr:grpSpPr bwMode="auto">
        <a:xfrm>
          <a:off x="13251656" y="25884188"/>
          <a:ext cx="312963" cy="270442"/>
          <a:chOff x="5475762" y="47760700"/>
          <a:chExt cx="314325" cy="230209"/>
        </a:xfrm>
      </xdr:grpSpPr>
      <xdr:cxnSp macro="">
        <xdr:nvCxnSpPr>
          <xdr:cNvPr id="2001" name="Straight Connector 2000">
            <a:extLst>
              <a:ext uri="{FF2B5EF4-FFF2-40B4-BE49-F238E27FC236}">
                <a16:creationId xmlns:a16="http://schemas.microsoft.com/office/drawing/2014/main" id="{00000000-0008-0000-0300-0000D1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2" name="Straight Connector 529">
            <a:extLst>
              <a:ext uri="{FF2B5EF4-FFF2-40B4-BE49-F238E27FC236}">
                <a16:creationId xmlns:a16="http://schemas.microsoft.com/office/drawing/2014/main" id="{00000000-0008-0000-0300-0000D2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1">
            <a:extLst>
              <a:ext uri="{FF2B5EF4-FFF2-40B4-BE49-F238E27FC236}">
                <a16:creationId xmlns:a16="http://schemas.microsoft.com/office/drawing/2014/main" id="{00000000-0008-0000-0300-0000D3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3">
            <a:extLst>
              <a:ext uri="{FF2B5EF4-FFF2-40B4-BE49-F238E27FC236}">
                <a16:creationId xmlns:a16="http://schemas.microsoft.com/office/drawing/2014/main" id="{00000000-0008-0000-0300-0000D4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5" name="Straight Connector 535">
            <a:extLst>
              <a:ext uri="{FF2B5EF4-FFF2-40B4-BE49-F238E27FC236}">
                <a16:creationId xmlns:a16="http://schemas.microsoft.com/office/drawing/2014/main" id="{00000000-0008-0000-0300-0000D5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6" name="Straight Connector 537">
            <a:extLst>
              <a:ext uri="{FF2B5EF4-FFF2-40B4-BE49-F238E27FC236}">
                <a16:creationId xmlns:a16="http://schemas.microsoft.com/office/drawing/2014/main" id="{00000000-0008-0000-0300-0000D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68</xdr:row>
      <xdr:rowOff>0</xdr:rowOff>
    </xdr:from>
    <xdr:to>
      <xdr:col>12</xdr:col>
      <xdr:colOff>312963</xdr:colOff>
      <xdr:row>69</xdr:row>
      <xdr:rowOff>68035</xdr:rowOff>
    </xdr:to>
    <xdr:grpSp>
      <xdr:nvGrpSpPr>
        <xdr:cNvPr id="2007" name="Group 1008">
          <a:extLst>
            <a:ext uri="{FF2B5EF4-FFF2-40B4-BE49-F238E27FC236}">
              <a16:creationId xmlns:a16="http://schemas.microsoft.com/office/drawing/2014/main" id="{00000000-0008-0000-0300-0000D7070000}"/>
            </a:ext>
          </a:extLst>
        </xdr:cNvPr>
        <xdr:cNvGrpSpPr>
          <a:grpSpLocks/>
        </xdr:cNvGrpSpPr>
      </xdr:nvGrpSpPr>
      <xdr:grpSpPr bwMode="auto">
        <a:xfrm>
          <a:off x="8251031" y="15513844"/>
          <a:ext cx="312963" cy="270441"/>
          <a:chOff x="5475762" y="47760700"/>
          <a:chExt cx="314325" cy="230209"/>
        </a:xfrm>
      </xdr:grpSpPr>
      <xdr:cxnSp macro="">
        <xdr:nvCxnSpPr>
          <xdr:cNvPr id="2008" name="Straight Connector 2007">
            <a:extLst>
              <a:ext uri="{FF2B5EF4-FFF2-40B4-BE49-F238E27FC236}">
                <a16:creationId xmlns:a16="http://schemas.microsoft.com/office/drawing/2014/main" id="{00000000-0008-0000-0300-0000D8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9" name="Straight Connector 529">
            <a:extLst>
              <a:ext uri="{FF2B5EF4-FFF2-40B4-BE49-F238E27FC236}">
                <a16:creationId xmlns:a16="http://schemas.microsoft.com/office/drawing/2014/main" id="{00000000-0008-0000-0300-0000D9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0" name="Straight Connector 531">
            <a:extLst>
              <a:ext uri="{FF2B5EF4-FFF2-40B4-BE49-F238E27FC236}">
                <a16:creationId xmlns:a16="http://schemas.microsoft.com/office/drawing/2014/main" id="{00000000-0008-0000-0300-0000DA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1" name="Straight Connector 533">
            <a:extLst>
              <a:ext uri="{FF2B5EF4-FFF2-40B4-BE49-F238E27FC236}">
                <a16:creationId xmlns:a16="http://schemas.microsoft.com/office/drawing/2014/main" id="{00000000-0008-0000-0300-0000DB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2" name="Straight Connector 535">
            <a:extLst>
              <a:ext uri="{FF2B5EF4-FFF2-40B4-BE49-F238E27FC236}">
                <a16:creationId xmlns:a16="http://schemas.microsoft.com/office/drawing/2014/main" id="{00000000-0008-0000-0300-0000DC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3" name="Straight Connector 537">
            <a:extLst>
              <a:ext uri="{FF2B5EF4-FFF2-40B4-BE49-F238E27FC236}">
                <a16:creationId xmlns:a16="http://schemas.microsoft.com/office/drawing/2014/main" id="{00000000-0008-0000-0300-0000D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75</xdr:row>
      <xdr:rowOff>0</xdr:rowOff>
    </xdr:from>
    <xdr:to>
      <xdr:col>6</xdr:col>
      <xdr:colOff>312963</xdr:colOff>
      <xdr:row>76</xdr:row>
      <xdr:rowOff>68035</xdr:rowOff>
    </xdr:to>
    <xdr:grpSp>
      <xdr:nvGrpSpPr>
        <xdr:cNvPr id="2014" name="Group 1008">
          <a:extLst>
            <a:ext uri="{FF2B5EF4-FFF2-40B4-BE49-F238E27FC236}">
              <a16:creationId xmlns:a16="http://schemas.microsoft.com/office/drawing/2014/main" id="{00000000-0008-0000-0300-0000DE070000}"/>
            </a:ext>
          </a:extLst>
        </xdr:cNvPr>
        <xdr:cNvGrpSpPr>
          <a:grpSpLocks/>
        </xdr:cNvGrpSpPr>
      </xdr:nvGrpSpPr>
      <xdr:grpSpPr bwMode="auto">
        <a:xfrm>
          <a:off x="4179094" y="16966406"/>
          <a:ext cx="312963" cy="270442"/>
          <a:chOff x="5475762" y="47760700"/>
          <a:chExt cx="314325" cy="230209"/>
        </a:xfrm>
      </xdr:grpSpPr>
      <xdr:cxnSp macro="">
        <xdr:nvCxnSpPr>
          <xdr:cNvPr id="2015" name="Straight Connector 2014">
            <a:extLst>
              <a:ext uri="{FF2B5EF4-FFF2-40B4-BE49-F238E27FC236}">
                <a16:creationId xmlns:a16="http://schemas.microsoft.com/office/drawing/2014/main" id="{00000000-0008-0000-0300-0000DF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6" name="Straight Connector 529">
            <a:extLst>
              <a:ext uri="{FF2B5EF4-FFF2-40B4-BE49-F238E27FC236}">
                <a16:creationId xmlns:a16="http://schemas.microsoft.com/office/drawing/2014/main" id="{00000000-0008-0000-0300-0000E0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7" name="Straight Connector 531">
            <a:extLst>
              <a:ext uri="{FF2B5EF4-FFF2-40B4-BE49-F238E27FC236}">
                <a16:creationId xmlns:a16="http://schemas.microsoft.com/office/drawing/2014/main" id="{00000000-0008-0000-0300-0000E1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8" name="Straight Connector 533">
            <a:extLst>
              <a:ext uri="{FF2B5EF4-FFF2-40B4-BE49-F238E27FC236}">
                <a16:creationId xmlns:a16="http://schemas.microsoft.com/office/drawing/2014/main" id="{00000000-0008-0000-0300-0000E2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19" name="Straight Connector 535">
            <a:extLst>
              <a:ext uri="{FF2B5EF4-FFF2-40B4-BE49-F238E27FC236}">
                <a16:creationId xmlns:a16="http://schemas.microsoft.com/office/drawing/2014/main" id="{00000000-0008-0000-0300-0000E3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0" name="Straight Connector 537">
            <a:extLst>
              <a:ext uri="{FF2B5EF4-FFF2-40B4-BE49-F238E27FC236}">
                <a16:creationId xmlns:a16="http://schemas.microsoft.com/office/drawing/2014/main" id="{00000000-0008-0000-0300-0000E4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75</xdr:row>
      <xdr:rowOff>0</xdr:rowOff>
    </xdr:from>
    <xdr:to>
      <xdr:col>12</xdr:col>
      <xdr:colOff>312963</xdr:colOff>
      <xdr:row>76</xdr:row>
      <xdr:rowOff>68035</xdr:rowOff>
    </xdr:to>
    <xdr:grpSp>
      <xdr:nvGrpSpPr>
        <xdr:cNvPr id="2021" name="Group 1008">
          <a:extLst>
            <a:ext uri="{FF2B5EF4-FFF2-40B4-BE49-F238E27FC236}">
              <a16:creationId xmlns:a16="http://schemas.microsoft.com/office/drawing/2014/main" id="{00000000-0008-0000-0300-0000E5070000}"/>
            </a:ext>
          </a:extLst>
        </xdr:cNvPr>
        <xdr:cNvGrpSpPr>
          <a:grpSpLocks/>
        </xdr:cNvGrpSpPr>
      </xdr:nvGrpSpPr>
      <xdr:grpSpPr bwMode="auto">
        <a:xfrm>
          <a:off x="8251031" y="16966406"/>
          <a:ext cx="312963" cy="270442"/>
          <a:chOff x="5475762" y="47760700"/>
          <a:chExt cx="314325" cy="230209"/>
        </a:xfrm>
      </xdr:grpSpPr>
      <xdr:cxnSp macro="">
        <xdr:nvCxnSpPr>
          <xdr:cNvPr id="2022" name="Straight Connector 2021">
            <a:extLst>
              <a:ext uri="{FF2B5EF4-FFF2-40B4-BE49-F238E27FC236}">
                <a16:creationId xmlns:a16="http://schemas.microsoft.com/office/drawing/2014/main" id="{00000000-0008-0000-0300-0000E6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3" name="Straight Connector 529">
            <a:extLst>
              <a:ext uri="{FF2B5EF4-FFF2-40B4-BE49-F238E27FC236}">
                <a16:creationId xmlns:a16="http://schemas.microsoft.com/office/drawing/2014/main" id="{00000000-0008-0000-0300-0000E7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4" name="Straight Connector 531">
            <a:extLst>
              <a:ext uri="{FF2B5EF4-FFF2-40B4-BE49-F238E27FC236}">
                <a16:creationId xmlns:a16="http://schemas.microsoft.com/office/drawing/2014/main" id="{00000000-0008-0000-0300-0000E8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5" name="Straight Connector 533">
            <a:extLst>
              <a:ext uri="{FF2B5EF4-FFF2-40B4-BE49-F238E27FC236}">
                <a16:creationId xmlns:a16="http://schemas.microsoft.com/office/drawing/2014/main" id="{00000000-0008-0000-0300-0000E9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6" name="Straight Connector 535">
            <a:extLst>
              <a:ext uri="{FF2B5EF4-FFF2-40B4-BE49-F238E27FC236}">
                <a16:creationId xmlns:a16="http://schemas.microsoft.com/office/drawing/2014/main" id="{00000000-0008-0000-0300-0000EA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7" name="Straight Connector 537">
            <a:extLst>
              <a:ext uri="{FF2B5EF4-FFF2-40B4-BE49-F238E27FC236}">
                <a16:creationId xmlns:a16="http://schemas.microsoft.com/office/drawing/2014/main" id="{00000000-0008-0000-0300-0000EB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68</xdr:row>
      <xdr:rowOff>0</xdr:rowOff>
    </xdr:from>
    <xdr:to>
      <xdr:col>22</xdr:col>
      <xdr:colOff>312963</xdr:colOff>
      <xdr:row>69</xdr:row>
      <xdr:rowOff>68035</xdr:rowOff>
    </xdr:to>
    <xdr:grpSp>
      <xdr:nvGrpSpPr>
        <xdr:cNvPr id="2028" name="Group 1008">
          <a:extLst>
            <a:ext uri="{FF2B5EF4-FFF2-40B4-BE49-F238E27FC236}">
              <a16:creationId xmlns:a16="http://schemas.microsoft.com/office/drawing/2014/main" id="{00000000-0008-0000-0300-0000EC070000}"/>
            </a:ext>
          </a:extLst>
        </xdr:cNvPr>
        <xdr:cNvGrpSpPr>
          <a:grpSpLocks/>
        </xdr:cNvGrpSpPr>
      </xdr:nvGrpSpPr>
      <xdr:grpSpPr bwMode="auto">
        <a:xfrm>
          <a:off x="14573250" y="15513844"/>
          <a:ext cx="312963" cy="270441"/>
          <a:chOff x="5475762" y="47760700"/>
          <a:chExt cx="314325" cy="230209"/>
        </a:xfrm>
      </xdr:grpSpPr>
      <xdr:cxnSp macro="">
        <xdr:nvCxnSpPr>
          <xdr:cNvPr id="2029" name="Straight Connector 2028">
            <a:extLst>
              <a:ext uri="{FF2B5EF4-FFF2-40B4-BE49-F238E27FC236}">
                <a16:creationId xmlns:a16="http://schemas.microsoft.com/office/drawing/2014/main" id="{00000000-0008-0000-0300-0000ED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0" name="Straight Connector 529">
            <a:extLst>
              <a:ext uri="{FF2B5EF4-FFF2-40B4-BE49-F238E27FC236}">
                <a16:creationId xmlns:a16="http://schemas.microsoft.com/office/drawing/2014/main" id="{00000000-0008-0000-0300-0000EE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1">
            <a:extLst>
              <a:ext uri="{FF2B5EF4-FFF2-40B4-BE49-F238E27FC236}">
                <a16:creationId xmlns:a16="http://schemas.microsoft.com/office/drawing/2014/main" id="{00000000-0008-0000-0300-0000EF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3">
            <a:extLst>
              <a:ext uri="{FF2B5EF4-FFF2-40B4-BE49-F238E27FC236}">
                <a16:creationId xmlns:a16="http://schemas.microsoft.com/office/drawing/2014/main" id="{00000000-0008-0000-0300-0000F0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3" name="Straight Connector 535">
            <a:extLst>
              <a:ext uri="{FF2B5EF4-FFF2-40B4-BE49-F238E27FC236}">
                <a16:creationId xmlns:a16="http://schemas.microsoft.com/office/drawing/2014/main" id="{00000000-0008-0000-0300-0000F1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4" name="Straight Connector 537">
            <a:extLst>
              <a:ext uri="{FF2B5EF4-FFF2-40B4-BE49-F238E27FC236}">
                <a16:creationId xmlns:a16="http://schemas.microsoft.com/office/drawing/2014/main" id="{00000000-0008-0000-0300-0000F2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89</xdr:row>
      <xdr:rowOff>0</xdr:rowOff>
    </xdr:from>
    <xdr:to>
      <xdr:col>10</xdr:col>
      <xdr:colOff>312963</xdr:colOff>
      <xdr:row>90</xdr:row>
      <xdr:rowOff>68036</xdr:rowOff>
    </xdr:to>
    <xdr:grpSp>
      <xdr:nvGrpSpPr>
        <xdr:cNvPr id="2035" name="Group 1008">
          <a:extLst>
            <a:ext uri="{FF2B5EF4-FFF2-40B4-BE49-F238E27FC236}">
              <a16:creationId xmlns:a16="http://schemas.microsoft.com/office/drawing/2014/main" id="{00000000-0008-0000-0300-0000F3070000}"/>
            </a:ext>
          </a:extLst>
        </xdr:cNvPr>
        <xdr:cNvGrpSpPr>
          <a:grpSpLocks/>
        </xdr:cNvGrpSpPr>
      </xdr:nvGrpSpPr>
      <xdr:grpSpPr bwMode="auto">
        <a:xfrm>
          <a:off x="6929438" y="19859625"/>
          <a:ext cx="312963" cy="270442"/>
          <a:chOff x="5475762" y="47760700"/>
          <a:chExt cx="314325" cy="230209"/>
        </a:xfrm>
      </xdr:grpSpPr>
      <xdr:cxnSp macro="">
        <xdr:nvCxnSpPr>
          <xdr:cNvPr id="2036" name="Straight Connector 2035">
            <a:extLst>
              <a:ext uri="{FF2B5EF4-FFF2-40B4-BE49-F238E27FC236}">
                <a16:creationId xmlns:a16="http://schemas.microsoft.com/office/drawing/2014/main" id="{00000000-0008-0000-0300-0000F4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7" name="Straight Connector 529">
            <a:extLst>
              <a:ext uri="{FF2B5EF4-FFF2-40B4-BE49-F238E27FC236}">
                <a16:creationId xmlns:a16="http://schemas.microsoft.com/office/drawing/2014/main" id="{00000000-0008-0000-0300-0000F5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1">
            <a:extLst>
              <a:ext uri="{FF2B5EF4-FFF2-40B4-BE49-F238E27FC236}">
                <a16:creationId xmlns:a16="http://schemas.microsoft.com/office/drawing/2014/main" id="{00000000-0008-0000-0300-0000F6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3">
            <a:extLst>
              <a:ext uri="{FF2B5EF4-FFF2-40B4-BE49-F238E27FC236}">
                <a16:creationId xmlns:a16="http://schemas.microsoft.com/office/drawing/2014/main" id="{00000000-0008-0000-0300-0000F7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0" name="Straight Connector 535">
            <a:extLst>
              <a:ext uri="{FF2B5EF4-FFF2-40B4-BE49-F238E27FC236}">
                <a16:creationId xmlns:a16="http://schemas.microsoft.com/office/drawing/2014/main" id="{00000000-0008-0000-0300-0000F8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1" name="Straight Connector 537">
            <a:extLst>
              <a:ext uri="{FF2B5EF4-FFF2-40B4-BE49-F238E27FC236}">
                <a16:creationId xmlns:a16="http://schemas.microsoft.com/office/drawing/2014/main" id="{00000000-0008-0000-0300-0000F9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153</xdr:row>
      <xdr:rowOff>0</xdr:rowOff>
    </xdr:from>
    <xdr:to>
      <xdr:col>8</xdr:col>
      <xdr:colOff>312963</xdr:colOff>
      <xdr:row>154</xdr:row>
      <xdr:rowOff>68037</xdr:rowOff>
    </xdr:to>
    <xdr:grpSp>
      <xdr:nvGrpSpPr>
        <xdr:cNvPr id="2042" name="Group 1008">
          <a:extLst>
            <a:ext uri="{FF2B5EF4-FFF2-40B4-BE49-F238E27FC236}">
              <a16:creationId xmlns:a16="http://schemas.microsoft.com/office/drawing/2014/main" id="{00000000-0008-0000-0300-0000FA070000}"/>
            </a:ext>
          </a:extLst>
        </xdr:cNvPr>
        <xdr:cNvGrpSpPr>
          <a:grpSpLocks/>
        </xdr:cNvGrpSpPr>
      </xdr:nvGrpSpPr>
      <xdr:grpSpPr bwMode="auto">
        <a:xfrm>
          <a:off x="5500688" y="33158906"/>
          <a:ext cx="312963" cy="270444"/>
          <a:chOff x="5475762" y="47760700"/>
          <a:chExt cx="314325" cy="230209"/>
        </a:xfrm>
      </xdr:grpSpPr>
      <xdr:cxnSp macro="">
        <xdr:nvCxnSpPr>
          <xdr:cNvPr id="2043" name="Straight Connector 2042">
            <a:extLst>
              <a:ext uri="{FF2B5EF4-FFF2-40B4-BE49-F238E27FC236}">
                <a16:creationId xmlns:a16="http://schemas.microsoft.com/office/drawing/2014/main" id="{00000000-0008-0000-0300-0000FB07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4" name="Straight Connector 529">
            <a:extLst>
              <a:ext uri="{FF2B5EF4-FFF2-40B4-BE49-F238E27FC236}">
                <a16:creationId xmlns:a16="http://schemas.microsoft.com/office/drawing/2014/main" id="{00000000-0008-0000-0300-0000FC07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1">
            <a:extLst>
              <a:ext uri="{FF2B5EF4-FFF2-40B4-BE49-F238E27FC236}">
                <a16:creationId xmlns:a16="http://schemas.microsoft.com/office/drawing/2014/main" id="{00000000-0008-0000-0300-0000FD07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3">
            <a:extLst>
              <a:ext uri="{FF2B5EF4-FFF2-40B4-BE49-F238E27FC236}">
                <a16:creationId xmlns:a16="http://schemas.microsoft.com/office/drawing/2014/main" id="{00000000-0008-0000-0300-0000FE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7" name="Straight Connector 535">
            <a:extLst>
              <a:ext uri="{FF2B5EF4-FFF2-40B4-BE49-F238E27FC236}">
                <a16:creationId xmlns:a16="http://schemas.microsoft.com/office/drawing/2014/main" id="{00000000-0008-0000-0300-0000FF07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8" name="Straight Connector 537">
            <a:extLst>
              <a:ext uri="{FF2B5EF4-FFF2-40B4-BE49-F238E27FC236}">
                <a16:creationId xmlns:a16="http://schemas.microsoft.com/office/drawing/2014/main" id="{00000000-0008-0000-0300-00000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61</xdr:row>
      <xdr:rowOff>0</xdr:rowOff>
    </xdr:from>
    <xdr:to>
      <xdr:col>18</xdr:col>
      <xdr:colOff>312963</xdr:colOff>
      <xdr:row>62</xdr:row>
      <xdr:rowOff>68036</xdr:rowOff>
    </xdr:to>
    <xdr:grpSp>
      <xdr:nvGrpSpPr>
        <xdr:cNvPr id="2049" name="Group 1008">
          <a:extLst>
            <a:ext uri="{FF2B5EF4-FFF2-40B4-BE49-F238E27FC236}">
              <a16:creationId xmlns:a16="http://schemas.microsoft.com/office/drawing/2014/main" id="{00000000-0008-0000-0300-000001080000}"/>
            </a:ext>
          </a:extLst>
        </xdr:cNvPr>
        <xdr:cNvGrpSpPr>
          <a:grpSpLocks/>
        </xdr:cNvGrpSpPr>
      </xdr:nvGrpSpPr>
      <xdr:grpSpPr bwMode="auto">
        <a:xfrm>
          <a:off x="12108656" y="14061281"/>
          <a:ext cx="312963" cy="270443"/>
          <a:chOff x="5475762" y="47760700"/>
          <a:chExt cx="314325" cy="230209"/>
        </a:xfrm>
      </xdr:grpSpPr>
      <xdr:cxnSp macro="">
        <xdr:nvCxnSpPr>
          <xdr:cNvPr id="2050" name="Straight Connector 2049">
            <a:extLst>
              <a:ext uri="{FF2B5EF4-FFF2-40B4-BE49-F238E27FC236}">
                <a16:creationId xmlns:a16="http://schemas.microsoft.com/office/drawing/2014/main" id="{00000000-0008-0000-0300-000002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1" name="Straight Connector 529">
            <a:extLst>
              <a:ext uri="{FF2B5EF4-FFF2-40B4-BE49-F238E27FC236}">
                <a16:creationId xmlns:a16="http://schemas.microsoft.com/office/drawing/2014/main" id="{00000000-0008-0000-0300-000003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1">
            <a:extLst>
              <a:ext uri="{FF2B5EF4-FFF2-40B4-BE49-F238E27FC236}">
                <a16:creationId xmlns:a16="http://schemas.microsoft.com/office/drawing/2014/main" id="{00000000-0008-0000-0300-00000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3">
            <a:extLst>
              <a:ext uri="{FF2B5EF4-FFF2-40B4-BE49-F238E27FC236}">
                <a16:creationId xmlns:a16="http://schemas.microsoft.com/office/drawing/2014/main" id="{00000000-0008-0000-0300-00000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4" name="Straight Connector 535">
            <a:extLst>
              <a:ext uri="{FF2B5EF4-FFF2-40B4-BE49-F238E27FC236}">
                <a16:creationId xmlns:a16="http://schemas.microsoft.com/office/drawing/2014/main" id="{00000000-0008-0000-0300-00000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5" name="Straight Connector 537">
            <a:extLst>
              <a:ext uri="{FF2B5EF4-FFF2-40B4-BE49-F238E27FC236}">
                <a16:creationId xmlns:a16="http://schemas.microsoft.com/office/drawing/2014/main" id="{00000000-0008-0000-0300-000007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68</xdr:row>
      <xdr:rowOff>0</xdr:rowOff>
    </xdr:from>
    <xdr:to>
      <xdr:col>18</xdr:col>
      <xdr:colOff>312963</xdr:colOff>
      <xdr:row>69</xdr:row>
      <xdr:rowOff>68036</xdr:rowOff>
    </xdr:to>
    <xdr:grpSp>
      <xdr:nvGrpSpPr>
        <xdr:cNvPr id="2056" name="Group 1008">
          <a:extLst>
            <a:ext uri="{FF2B5EF4-FFF2-40B4-BE49-F238E27FC236}">
              <a16:creationId xmlns:a16="http://schemas.microsoft.com/office/drawing/2014/main" id="{00000000-0008-0000-0300-000008080000}"/>
            </a:ext>
          </a:extLst>
        </xdr:cNvPr>
        <xdr:cNvGrpSpPr>
          <a:grpSpLocks/>
        </xdr:cNvGrpSpPr>
      </xdr:nvGrpSpPr>
      <xdr:grpSpPr bwMode="auto">
        <a:xfrm>
          <a:off x="12108656" y="15513844"/>
          <a:ext cx="312963" cy="270442"/>
          <a:chOff x="5475762" y="47760700"/>
          <a:chExt cx="314325" cy="230209"/>
        </a:xfrm>
      </xdr:grpSpPr>
      <xdr:cxnSp macro="">
        <xdr:nvCxnSpPr>
          <xdr:cNvPr id="2057" name="Straight Connector 2056">
            <a:extLst>
              <a:ext uri="{FF2B5EF4-FFF2-40B4-BE49-F238E27FC236}">
                <a16:creationId xmlns:a16="http://schemas.microsoft.com/office/drawing/2014/main" id="{00000000-0008-0000-0300-000009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8" name="Straight Connector 529">
            <a:extLst>
              <a:ext uri="{FF2B5EF4-FFF2-40B4-BE49-F238E27FC236}">
                <a16:creationId xmlns:a16="http://schemas.microsoft.com/office/drawing/2014/main" id="{00000000-0008-0000-0300-00000A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1">
            <a:extLst>
              <a:ext uri="{FF2B5EF4-FFF2-40B4-BE49-F238E27FC236}">
                <a16:creationId xmlns:a16="http://schemas.microsoft.com/office/drawing/2014/main" id="{00000000-0008-0000-0300-00000B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3">
            <a:extLst>
              <a:ext uri="{FF2B5EF4-FFF2-40B4-BE49-F238E27FC236}">
                <a16:creationId xmlns:a16="http://schemas.microsoft.com/office/drawing/2014/main" id="{00000000-0008-0000-0300-00000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1" name="Straight Connector 535">
            <a:extLst>
              <a:ext uri="{FF2B5EF4-FFF2-40B4-BE49-F238E27FC236}">
                <a16:creationId xmlns:a16="http://schemas.microsoft.com/office/drawing/2014/main" id="{00000000-0008-0000-0300-00000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2" name="Straight Connector 537">
            <a:extLst>
              <a:ext uri="{FF2B5EF4-FFF2-40B4-BE49-F238E27FC236}">
                <a16:creationId xmlns:a16="http://schemas.microsoft.com/office/drawing/2014/main" id="{00000000-0008-0000-0300-00000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75</xdr:row>
      <xdr:rowOff>0</xdr:rowOff>
    </xdr:from>
    <xdr:to>
      <xdr:col>4</xdr:col>
      <xdr:colOff>312963</xdr:colOff>
      <xdr:row>76</xdr:row>
      <xdr:rowOff>68036</xdr:rowOff>
    </xdr:to>
    <xdr:grpSp>
      <xdr:nvGrpSpPr>
        <xdr:cNvPr id="2063" name="Group 1008">
          <a:extLst>
            <a:ext uri="{FF2B5EF4-FFF2-40B4-BE49-F238E27FC236}">
              <a16:creationId xmlns:a16="http://schemas.microsoft.com/office/drawing/2014/main" id="{00000000-0008-0000-0300-00000F080000}"/>
            </a:ext>
          </a:extLst>
        </xdr:cNvPr>
        <xdr:cNvGrpSpPr>
          <a:grpSpLocks/>
        </xdr:cNvGrpSpPr>
      </xdr:nvGrpSpPr>
      <xdr:grpSpPr bwMode="auto">
        <a:xfrm>
          <a:off x="2809875" y="16966406"/>
          <a:ext cx="312963" cy="270443"/>
          <a:chOff x="5475762" y="47760700"/>
          <a:chExt cx="314325" cy="230209"/>
        </a:xfrm>
      </xdr:grpSpPr>
      <xdr:cxnSp macro="">
        <xdr:nvCxnSpPr>
          <xdr:cNvPr id="2064" name="Straight Connector 2063">
            <a:extLst>
              <a:ext uri="{FF2B5EF4-FFF2-40B4-BE49-F238E27FC236}">
                <a16:creationId xmlns:a16="http://schemas.microsoft.com/office/drawing/2014/main" id="{00000000-0008-0000-0300-000010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5" name="Straight Connector 529">
            <a:extLst>
              <a:ext uri="{FF2B5EF4-FFF2-40B4-BE49-F238E27FC236}">
                <a16:creationId xmlns:a16="http://schemas.microsoft.com/office/drawing/2014/main" id="{00000000-0008-0000-0300-000011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1">
            <a:extLst>
              <a:ext uri="{FF2B5EF4-FFF2-40B4-BE49-F238E27FC236}">
                <a16:creationId xmlns:a16="http://schemas.microsoft.com/office/drawing/2014/main" id="{00000000-0008-0000-0300-000012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3">
            <a:extLst>
              <a:ext uri="{FF2B5EF4-FFF2-40B4-BE49-F238E27FC236}">
                <a16:creationId xmlns:a16="http://schemas.microsoft.com/office/drawing/2014/main" id="{00000000-0008-0000-0300-00001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8" name="Straight Connector 535">
            <a:extLst>
              <a:ext uri="{FF2B5EF4-FFF2-40B4-BE49-F238E27FC236}">
                <a16:creationId xmlns:a16="http://schemas.microsoft.com/office/drawing/2014/main" id="{00000000-0008-0000-0300-00001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9" name="Straight Connector 537">
            <a:extLst>
              <a:ext uri="{FF2B5EF4-FFF2-40B4-BE49-F238E27FC236}">
                <a16:creationId xmlns:a16="http://schemas.microsoft.com/office/drawing/2014/main" id="{00000000-0008-0000-0300-00001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312963</xdr:colOff>
      <xdr:row>83</xdr:row>
      <xdr:rowOff>68036</xdr:rowOff>
    </xdr:to>
    <xdr:grpSp>
      <xdr:nvGrpSpPr>
        <xdr:cNvPr id="2070" name="Group 1008">
          <a:extLst>
            <a:ext uri="{FF2B5EF4-FFF2-40B4-BE49-F238E27FC236}">
              <a16:creationId xmlns:a16="http://schemas.microsoft.com/office/drawing/2014/main" id="{00000000-0008-0000-0300-000016080000}"/>
            </a:ext>
          </a:extLst>
        </xdr:cNvPr>
        <xdr:cNvGrpSpPr>
          <a:grpSpLocks/>
        </xdr:cNvGrpSpPr>
      </xdr:nvGrpSpPr>
      <xdr:grpSpPr bwMode="auto">
        <a:xfrm>
          <a:off x="5500688" y="18407063"/>
          <a:ext cx="312963" cy="270442"/>
          <a:chOff x="5475762" y="47760700"/>
          <a:chExt cx="314325" cy="230209"/>
        </a:xfrm>
      </xdr:grpSpPr>
      <xdr:cxnSp macro="">
        <xdr:nvCxnSpPr>
          <xdr:cNvPr id="2071" name="Straight Connector 2070">
            <a:extLst>
              <a:ext uri="{FF2B5EF4-FFF2-40B4-BE49-F238E27FC236}">
                <a16:creationId xmlns:a16="http://schemas.microsoft.com/office/drawing/2014/main" id="{00000000-0008-0000-0300-000017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2" name="Straight Connector 529">
            <a:extLst>
              <a:ext uri="{FF2B5EF4-FFF2-40B4-BE49-F238E27FC236}">
                <a16:creationId xmlns:a16="http://schemas.microsoft.com/office/drawing/2014/main" id="{00000000-0008-0000-0300-000018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1">
            <a:extLst>
              <a:ext uri="{FF2B5EF4-FFF2-40B4-BE49-F238E27FC236}">
                <a16:creationId xmlns:a16="http://schemas.microsoft.com/office/drawing/2014/main" id="{00000000-0008-0000-0300-00001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3">
            <a:extLst>
              <a:ext uri="{FF2B5EF4-FFF2-40B4-BE49-F238E27FC236}">
                <a16:creationId xmlns:a16="http://schemas.microsoft.com/office/drawing/2014/main" id="{00000000-0008-0000-0300-00001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5" name="Straight Connector 535">
            <a:extLst>
              <a:ext uri="{FF2B5EF4-FFF2-40B4-BE49-F238E27FC236}">
                <a16:creationId xmlns:a16="http://schemas.microsoft.com/office/drawing/2014/main" id="{00000000-0008-0000-0300-00001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6" name="Straight Connector 537">
            <a:extLst>
              <a:ext uri="{FF2B5EF4-FFF2-40B4-BE49-F238E27FC236}">
                <a16:creationId xmlns:a16="http://schemas.microsoft.com/office/drawing/2014/main" id="{00000000-0008-0000-0300-00001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82</xdr:row>
      <xdr:rowOff>0</xdr:rowOff>
    </xdr:from>
    <xdr:to>
      <xdr:col>10</xdr:col>
      <xdr:colOff>312963</xdr:colOff>
      <xdr:row>83</xdr:row>
      <xdr:rowOff>68036</xdr:rowOff>
    </xdr:to>
    <xdr:grpSp>
      <xdr:nvGrpSpPr>
        <xdr:cNvPr id="2077" name="Group 1008">
          <a:extLst>
            <a:ext uri="{FF2B5EF4-FFF2-40B4-BE49-F238E27FC236}">
              <a16:creationId xmlns:a16="http://schemas.microsoft.com/office/drawing/2014/main" id="{00000000-0008-0000-0300-00001D080000}"/>
            </a:ext>
          </a:extLst>
        </xdr:cNvPr>
        <xdr:cNvGrpSpPr>
          <a:grpSpLocks/>
        </xdr:cNvGrpSpPr>
      </xdr:nvGrpSpPr>
      <xdr:grpSpPr bwMode="auto">
        <a:xfrm>
          <a:off x="6929438" y="18407063"/>
          <a:ext cx="312963" cy="270442"/>
          <a:chOff x="5475762" y="47760700"/>
          <a:chExt cx="314325" cy="230209"/>
        </a:xfrm>
      </xdr:grpSpPr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00000000-0008-0000-0300-00001E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9" name="Straight Connector 529">
            <a:extLst>
              <a:ext uri="{FF2B5EF4-FFF2-40B4-BE49-F238E27FC236}">
                <a16:creationId xmlns:a16="http://schemas.microsoft.com/office/drawing/2014/main" id="{00000000-0008-0000-0300-00001F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1">
            <a:extLst>
              <a:ext uri="{FF2B5EF4-FFF2-40B4-BE49-F238E27FC236}">
                <a16:creationId xmlns:a16="http://schemas.microsoft.com/office/drawing/2014/main" id="{00000000-0008-0000-0300-00002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3">
            <a:extLst>
              <a:ext uri="{FF2B5EF4-FFF2-40B4-BE49-F238E27FC236}">
                <a16:creationId xmlns:a16="http://schemas.microsoft.com/office/drawing/2014/main" id="{00000000-0008-0000-0300-00002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2" name="Straight Connector 535">
            <a:extLst>
              <a:ext uri="{FF2B5EF4-FFF2-40B4-BE49-F238E27FC236}">
                <a16:creationId xmlns:a16="http://schemas.microsoft.com/office/drawing/2014/main" id="{00000000-0008-0000-0300-00002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3" name="Straight Connector 537">
            <a:extLst>
              <a:ext uri="{FF2B5EF4-FFF2-40B4-BE49-F238E27FC236}">
                <a16:creationId xmlns:a16="http://schemas.microsoft.com/office/drawing/2014/main" id="{00000000-0008-0000-0300-00002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89</xdr:row>
      <xdr:rowOff>0</xdr:rowOff>
    </xdr:from>
    <xdr:to>
      <xdr:col>6</xdr:col>
      <xdr:colOff>312963</xdr:colOff>
      <xdr:row>90</xdr:row>
      <xdr:rowOff>68036</xdr:rowOff>
    </xdr:to>
    <xdr:grpSp>
      <xdr:nvGrpSpPr>
        <xdr:cNvPr id="2084" name="Group 1008">
          <a:extLst>
            <a:ext uri="{FF2B5EF4-FFF2-40B4-BE49-F238E27FC236}">
              <a16:creationId xmlns:a16="http://schemas.microsoft.com/office/drawing/2014/main" id="{00000000-0008-0000-0300-000024080000}"/>
            </a:ext>
          </a:extLst>
        </xdr:cNvPr>
        <xdr:cNvGrpSpPr>
          <a:grpSpLocks/>
        </xdr:cNvGrpSpPr>
      </xdr:nvGrpSpPr>
      <xdr:grpSpPr bwMode="auto">
        <a:xfrm>
          <a:off x="4179094" y="19859625"/>
          <a:ext cx="312963" cy="270442"/>
          <a:chOff x="5475762" y="47760700"/>
          <a:chExt cx="314325" cy="230209"/>
        </a:xfrm>
      </xdr:grpSpPr>
      <xdr:cxnSp macro="">
        <xdr:nvCxnSpPr>
          <xdr:cNvPr id="2085" name="Straight Connector 2084">
            <a:extLst>
              <a:ext uri="{FF2B5EF4-FFF2-40B4-BE49-F238E27FC236}">
                <a16:creationId xmlns:a16="http://schemas.microsoft.com/office/drawing/2014/main" id="{00000000-0008-0000-0300-000025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6" name="Straight Connector 529">
            <a:extLst>
              <a:ext uri="{FF2B5EF4-FFF2-40B4-BE49-F238E27FC236}">
                <a16:creationId xmlns:a16="http://schemas.microsoft.com/office/drawing/2014/main" id="{00000000-0008-0000-0300-000026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1">
            <a:extLst>
              <a:ext uri="{FF2B5EF4-FFF2-40B4-BE49-F238E27FC236}">
                <a16:creationId xmlns:a16="http://schemas.microsoft.com/office/drawing/2014/main" id="{00000000-0008-0000-0300-00002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3">
            <a:extLst>
              <a:ext uri="{FF2B5EF4-FFF2-40B4-BE49-F238E27FC236}">
                <a16:creationId xmlns:a16="http://schemas.microsoft.com/office/drawing/2014/main" id="{00000000-0008-0000-0300-00002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9" name="Straight Connector 535">
            <a:extLst>
              <a:ext uri="{FF2B5EF4-FFF2-40B4-BE49-F238E27FC236}">
                <a16:creationId xmlns:a16="http://schemas.microsoft.com/office/drawing/2014/main" id="{00000000-0008-0000-0300-00002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0" name="Straight Connector 537">
            <a:extLst>
              <a:ext uri="{FF2B5EF4-FFF2-40B4-BE49-F238E27FC236}">
                <a16:creationId xmlns:a16="http://schemas.microsoft.com/office/drawing/2014/main" id="{00000000-0008-0000-0300-00002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312963</xdr:colOff>
      <xdr:row>97</xdr:row>
      <xdr:rowOff>68036</xdr:rowOff>
    </xdr:to>
    <xdr:grpSp>
      <xdr:nvGrpSpPr>
        <xdr:cNvPr id="2091" name="Group 1008">
          <a:extLst>
            <a:ext uri="{FF2B5EF4-FFF2-40B4-BE49-F238E27FC236}">
              <a16:creationId xmlns:a16="http://schemas.microsoft.com/office/drawing/2014/main" id="{00000000-0008-0000-0300-00002B080000}"/>
            </a:ext>
          </a:extLst>
        </xdr:cNvPr>
        <xdr:cNvGrpSpPr>
          <a:grpSpLocks/>
        </xdr:cNvGrpSpPr>
      </xdr:nvGrpSpPr>
      <xdr:grpSpPr bwMode="auto">
        <a:xfrm>
          <a:off x="9489281" y="21312188"/>
          <a:ext cx="312963" cy="270442"/>
          <a:chOff x="5475762" y="47760700"/>
          <a:chExt cx="314325" cy="230209"/>
        </a:xfrm>
      </xdr:grpSpPr>
      <xdr:cxnSp macro="">
        <xdr:nvCxnSpPr>
          <xdr:cNvPr id="2092" name="Straight Connector 2091">
            <a:extLst>
              <a:ext uri="{FF2B5EF4-FFF2-40B4-BE49-F238E27FC236}">
                <a16:creationId xmlns:a16="http://schemas.microsoft.com/office/drawing/2014/main" id="{00000000-0008-0000-0300-00002C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3" name="Straight Connector 529">
            <a:extLst>
              <a:ext uri="{FF2B5EF4-FFF2-40B4-BE49-F238E27FC236}">
                <a16:creationId xmlns:a16="http://schemas.microsoft.com/office/drawing/2014/main" id="{00000000-0008-0000-0300-00002D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1">
            <a:extLst>
              <a:ext uri="{FF2B5EF4-FFF2-40B4-BE49-F238E27FC236}">
                <a16:creationId xmlns:a16="http://schemas.microsoft.com/office/drawing/2014/main" id="{00000000-0008-0000-0300-00002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3">
            <a:extLst>
              <a:ext uri="{FF2B5EF4-FFF2-40B4-BE49-F238E27FC236}">
                <a16:creationId xmlns:a16="http://schemas.microsoft.com/office/drawing/2014/main" id="{00000000-0008-0000-0300-00002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6" name="Straight Connector 535">
            <a:extLst>
              <a:ext uri="{FF2B5EF4-FFF2-40B4-BE49-F238E27FC236}">
                <a16:creationId xmlns:a16="http://schemas.microsoft.com/office/drawing/2014/main" id="{00000000-0008-0000-0300-00003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7" name="Straight Connector 537">
            <a:extLst>
              <a:ext uri="{FF2B5EF4-FFF2-40B4-BE49-F238E27FC236}">
                <a16:creationId xmlns:a16="http://schemas.microsoft.com/office/drawing/2014/main" id="{00000000-0008-0000-0300-00003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104</xdr:row>
      <xdr:rowOff>0</xdr:rowOff>
    </xdr:from>
    <xdr:to>
      <xdr:col>8</xdr:col>
      <xdr:colOff>312963</xdr:colOff>
      <xdr:row>105</xdr:row>
      <xdr:rowOff>68037</xdr:rowOff>
    </xdr:to>
    <xdr:grpSp>
      <xdr:nvGrpSpPr>
        <xdr:cNvPr id="2098" name="Group 1008">
          <a:extLst>
            <a:ext uri="{FF2B5EF4-FFF2-40B4-BE49-F238E27FC236}">
              <a16:creationId xmlns:a16="http://schemas.microsoft.com/office/drawing/2014/main" id="{00000000-0008-0000-0300-000032080000}"/>
            </a:ext>
          </a:extLst>
        </xdr:cNvPr>
        <xdr:cNvGrpSpPr>
          <a:grpSpLocks/>
        </xdr:cNvGrpSpPr>
      </xdr:nvGrpSpPr>
      <xdr:grpSpPr bwMode="auto">
        <a:xfrm>
          <a:off x="5500688" y="22967156"/>
          <a:ext cx="312963" cy="270444"/>
          <a:chOff x="5475762" y="47760700"/>
          <a:chExt cx="314325" cy="230209"/>
        </a:xfrm>
      </xdr:grpSpPr>
      <xdr:cxnSp macro="">
        <xdr:nvCxnSpPr>
          <xdr:cNvPr id="2099" name="Straight Connector 2098">
            <a:extLst>
              <a:ext uri="{FF2B5EF4-FFF2-40B4-BE49-F238E27FC236}">
                <a16:creationId xmlns:a16="http://schemas.microsoft.com/office/drawing/2014/main" id="{00000000-0008-0000-0300-000033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0" name="Straight Connector 529">
            <a:extLst>
              <a:ext uri="{FF2B5EF4-FFF2-40B4-BE49-F238E27FC236}">
                <a16:creationId xmlns:a16="http://schemas.microsoft.com/office/drawing/2014/main" id="{00000000-0008-0000-0300-000034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1">
            <a:extLst>
              <a:ext uri="{FF2B5EF4-FFF2-40B4-BE49-F238E27FC236}">
                <a16:creationId xmlns:a16="http://schemas.microsoft.com/office/drawing/2014/main" id="{00000000-0008-0000-0300-00003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3">
            <a:extLst>
              <a:ext uri="{FF2B5EF4-FFF2-40B4-BE49-F238E27FC236}">
                <a16:creationId xmlns:a16="http://schemas.microsoft.com/office/drawing/2014/main" id="{00000000-0008-0000-0300-00003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3" name="Straight Connector 535">
            <a:extLst>
              <a:ext uri="{FF2B5EF4-FFF2-40B4-BE49-F238E27FC236}">
                <a16:creationId xmlns:a16="http://schemas.microsoft.com/office/drawing/2014/main" id="{00000000-0008-0000-0300-00003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4" name="Straight Connector 537">
            <a:extLst>
              <a:ext uri="{FF2B5EF4-FFF2-40B4-BE49-F238E27FC236}">
                <a16:creationId xmlns:a16="http://schemas.microsoft.com/office/drawing/2014/main" id="{00000000-0008-0000-0300-000038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104</xdr:row>
      <xdr:rowOff>0</xdr:rowOff>
    </xdr:from>
    <xdr:to>
      <xdr:col>18</xdr:col>
      <xdr:colOff>312963</xdr:colOff>
      <xdr:row>105</xdr:row>
      <xdr:rowOff>68037</xdr:rowOff>
    </xdr:to>
    <xdr:grpSp>
      <xdr:nvGrpSpPr>
        <xdr:cNvPr id="2105" name="Group 1008">
          <a:extLst>
            <a:ext uri="{FF2B5EF4-FFF2-40B4-BE49-F238E27FC236}">
              <a16:creationId xmlns:a16="http://schemas.microsoft.com/office/drawing/2014/main" id="{00000000-0008-0000-0300-000039080000}"/>
            </a:ext>
          </a:extLst>
        </xdr:cNvPr>
        <xdr:cNvGrpSpPr>
          <a:grpSpLocks/>
        </xdr:cNvGrpSpPr>
      </xdr:nvGrpSpPr>
      <xdr:grpSpPr bwMode="auto">
        <a:xfrm>
          <a:off x="12108656" y="22967156"/>
          <a:ext cx="312963" cy="270444"/>
          <a:chOff x="5475762" y="47760700"/>
          <a:chExt cx="314325" cy="230209"/>
        </a:xfrm>
      </xdr:grpSpPr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00000000-0008-0000-0300-00003A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7" name="Straight Connector 529">
            <a:extLst>
              <a:ext uri="{FF2B5EF4-FFF2-40B4-BE49-F238E27FC236}">
                <a16:creationId xmlns:a16="http://schemas.microsoft.com/office/drawing/2014/main" id="{00000000-0008-0000-0300-00003B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1">
            <a:extLst>
              <a:ext uri="{FF2B5EF4-FFF2-40B4-BE49-F238E27FC236}">
                <a16:creationId xmlns:a16="http://schemas.microsoft.com/office/drawing/2014/main" id="{00000000-0008-0000-0300-00003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3">
            <a:extLst>
              <a:ext uri="{FF2B5EF4-FFF2-40B4-BE49-F238E27FC236}">
                <a16:creationId xmlns:a16="http://schemas.microsoft.com/office/drawing/2014/main" id="{00000000-0008-0000-0300-00003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0" name="Straight Connector 535">
            <a:extLst>
              <a:ext uri="{FF2B5EF4-FFF2-40B4-BE49-F238E27FC236}">
                <a16:creationId xmlns:a16="http://schemas.microsoft.com/office/drawing/2014/main" id="{00000000-0008-0000-0300-00003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1" name="Straight Connector 537">
            <a:extLst>
              <a:ext uri="{FF2B5EF4-FFF2-40B4-BE49-F238E27FC236}">
                <a16:creationId xmlns:a16="http://schemas.microsoft.com/office/drawing/2014/main" id="{00000000-0008-0000-0300-00003F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104</xdr:row>
      <xdr:rowOff>0</xdr:rowOff>
    </xdr:from>
    <xdr:to>
      <xdr:col>20</xdr:col>
      <xdr:colOff>312963</xdr:colOff>
      <xdr:row>105</xdr:row>
      <xdr:rowOff>68037</xdr:rowOff>
    </xdr:to>
    <xdr:grpSp>
      <xdr:nvGrpSpPr>
        <xdr:cNvPr id="2112" name="Group 1008">
          <a:extLst>
            <a:ext uri="{FF2B5EF4-FFF2-40B4-BE49-F238E27FC236}">
              <a16:creationId xmlns:a16="http://schemas.microsoft.com/office/drawing/2014/main" id="{00000000-0008-0000-0300-000040080000}"/>
            </a:ext>
          </a:extLst>
        </xdr:cNvPr>
        <xdr:cNvGrpSpPr>
          <a:grpSpLocks/>
        </xdr:cNvGrpSpPr>
      </xdr:nvGrpSpPr>
      <xdr:grpSpPr bwMode="auto">
        <a:xfrm>
          <a:off x="13251656" y="22967156"/>
          <a:ext cx="312963" cy="270444"/>
          <a:chOff x="5475762" y="47760700"/>
          <a:chExt cx="314325" cy="230209"/>
        </a:xfrm>
      </xdr:grpSpPr>
      <xdr:cxnSp macro="">
        <xdr:nvCxnSpPr>
          <xdr:cNvPr id="2113" name="Straight Connector 2112">
            <a:extLst>
              <a:ext uri="{FF2B5EF4-FFF2-40B4-BE49-F238E27FC236}">
                <a16:creationId xmlns:a16="http://schemas.microsoft.com/office/drawing/2014/main" id="{00000000-0008-0000-0300-000041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4" name="Straight Connector 529">
            <a:extLst>
              <a:ext uri="{FF2B5EF4-FFF2-40B4-BE49-F238E27FC236}">
                <a16:creationId xmlns:a16="http://schemas.microsoft.com/office/drawing/2014/main" id="{00000000-0008-0000-0300-000042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1">
            <a:extLst>
              <a:ext uri="{FF2B5EF4-FFF2-40B4-BE49-F238E27FC236}">
                <a16:creationId xmlns:a16="http://schemas.microsoft.com/office/drawing/2014/main" id="{00000000-0008-0000-0300-00004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3">
            <a:extLst>
              <a:ext uri="{FF2B5EF4-FFF2-40B4-BE49-F238E27FC236}">
                <a16:creationId xmlns:a16="http://schemas.microsoft.com/office/drawing/2014/main" id="{00000000-0008-0000-0300-00004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7" name="Straight Connector 535">
            <a:extLst>
              <a:ext uri="{FF2B5EF4-FFF2-40B4-BE49-F238E27FC236}">
                <a16:creationId xmlns:a16="http://schemas.microsoft.com/office/drawing/2014/main" id="{00000000-0008-0000-0300-00004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8" name="Straight Connector 537">
            <a:extLst>
              <a:ext uri="{FF2B5EF4-FFF2-40B4-BE49-F238E27FC236}">
                <a16:creationId xmlns:a16="http://schemas.microsoft.com/office/drawing/2014/main" id="{00000000-0008-0000-0300-000046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153</xdr:row>
      <xdr:rowOff>0</xdr:rowOff>
    </xdr:from>
    <xdr:to>
      <xdr:col>2</xdr:col>
      <xdr:colOff>312963</xdr:colOff>
      <xdr:row>154</xdr:row>
      <xdr:rowOff>68037</xdr:rowOff>
    </xdr:to>
    <xdr:grpSp>
      <xdr:nvGrpSpPr>
        <xdr:cNvPr id="2119" name="Group 1008">
          <a:extLst>
            <a:ext uri="{FF2B5EF4-FFF2-40B4-BE49-F238E27FC236}">
              <a16:creationId xmlns:a16="http://schemas.microsoft.com/office/drawing/2014/main" id="{00000000-0008-0000-0300-000047080000}"/>
            </a:ext>
          </a:extLst>
        </xdr:cNvPr>
        <xdr:cNvGrpSpPr>
          <a:grpSpLocks/>
        </xdr:cNvGrpSpPr>
      </xdr:nvGrpSpPr>
      <xdr:grpSpPr bwMode="auto">
        <a:xfrm>
          <a:off x="1535906" y="33158906"/>
          <a:ext cx="312963" cy="270444"/>
          <a:chOff x="5475762" y="47760700"/>
          <a:chExt cx="314325" cy="230209"/>
        </a:xfrm>
      </xdr:grpSpPr>
      <xdr:cxnSp macro="">
        <xdr:nvCxnSpPr>
          <xdr:cNvPr id="2120" name="Straight Connector 2119">
            <a:extLst>
              <a:ext uri="{FF2B5EF4-FFF2-40B4-BE49-F238E27FC236}">
                <a16:creationId xmlns:a16="http://schemas.microsoft.com/office/drawing/2014/main" id="{00000000-0008-0000-0300-000048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1" name="Straight Connector 529">
            <a:extLst>
              <a:ext uri="{FF2B5EF4-FFF2-40B4-BE49-F238E27FC236}">
                <a16:creationId xmlns:a16="http://schemas.microsoft.com/office/drawing/2014/main" id="{00000000-0008-0000-0300-000049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1">
            <a:extLst>
              <a:ext uri="{FF2B5EF4-FFF2-40B4-BE49-F238E27FC236}">
                <a16:creationId xmlns:a16="http://schemas.microsoft.com/office/drawing/2014/main" id="{00000000-0008-0000-0300-00004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3">
            <a:extLst>
              <a:ext uri="{FF2B5EF4-FFF2-40B4-BE49-F238E27FC236}">
                <a16:creationId xmlns:a16="http://schemas.microsoft.com/office/drawing/2014/main" id="{00000000-0008-0000-0300-00004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4" name="Straight Connector 535">
            <a:extLst>
              <a:ext uri="{FF2B5EF4-FFF2-40B4-BE49-F238E27FC236}">
                <a16:creationId xmlns:a16="http://schemas.microsoft.com/office/drawing/2014/main" id="{00000000-0008-0000-0300-00004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5" name="Straight Connector 537">
            <a:extLst>
              <a:ext uri="{FF2B5EF4-FFF2-40B4-BE49-F238E27FC236}">
                <a16:creationId xmlns:a16="http://schemas.microsoft.com/office/drawing/2014/main" id="{00000000-0008-0000-0300-00004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153</xdr:row>
      <xdr:rowOff>0</xdr:rowOff>
    </xdr:from>
    <xdr:to>
      <xdr:col>12</xdr:col>
      <xdr:colOff>312963</xdr:colOff>
      <xdr:row>154</xdr:row>
      <xdr:rowOff>68037</xdr:rowOff>
    </xdr:to>
    <xdr:grpSp>
      <xdr:nvGrpSpPr>
        <xdr:cNvPr id="2126" name="Group 1008">
          <a:extLst>
            <a:ext uri="{FF2B5EF4-FFF2-40B4-BE49-F238E27FC236}">
              <a16:creationId xmlns:a16="http://schemas.microsoft.com/office/drawing/2014/main" id="{00000000-0008-0000-0300-00004E080000}"/>
            </a:ext>
          </a:extLst>
        </xdr:cNvPr>
        <xdr:cNvGrpSpPr>
          <a:grpSpLocks/>
        </xdr:cNvGrpSpPr>
      </xdr:nvGrpSpPr>
      <xdr:grpSpPr bwMode="auto">
        <a:xfrm>
          <a:off x="8251031" y="33158906"/>
          <a:ext cx="312963" cy="270444"/>
          <a:chOff x="5475762" y="47760700"/>
          <a:chExt cx="314325" cy="230209"/>
        </a:xfrm>
      </xdr:grpSpPr>
      <xdr:cxnSp macro="">
        <xdr:nvCxnSpPr>
          <xdr:cNvPr id="2127" name="Straight Connector 2126">
            <a:extLst>
              <a:ext uri="{FF2B5EF4-FFF2-40B4-BE49-F238E27FC236}">
                <a16:creationId xmlns:a16="http://schemas.microsoft.com/office/drawing/2014/main" id="{00000000-0008-0000-0300-00004F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8" name="Straight Connector 529">
            <a:extLst>
              <a:ext uri="{FF2B5EF4-FFF2-40B4-BE49-F238E27FC236}">
                <a16:creationId xmlns:a16="http://schemas.microsoft.com/office/drawing/2014/main" id="{00000000-0008-0000-0300-000050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1">
            <a:extLst>
              <a:ext uri="{FF2B5EF4-FFF2-40B4-BE49-F238E27FC236}">
                <a16:creationId xmlns:a16="http://schemas.microsoft.com/office/drawing/2014/main" id="{00000000-0008-0000-0300-00005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3">
            <a:extLst>
              <a:ext uri="{FF2B5EF4-FFF2-40B4-BE49-F238E27FC236}">
                <a16:creationId xmlns:a16="http://schemas.microsoft.com/office/drawing/2014/main" id="{00000000-0008-0000-0300-00005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1" name="Straight Connector 535">
            <a:extLst>
              <a:ext uri="{FF2B5EF4-FFF2-40B4-BE49-F238E27FC236}">
                <a16:creationId xmlns:a16="http://schemas.microsoft.com/office/drawing/2014/main" id="{00000000-0008-0000-0300-00005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2" name="Straight Connector 537">
            <a:extLst>
              <a:ext uri="{FF2B5EF4-FFF2-40B4-BE49-F238E27FC236}">
                <a16:creationId xmlns:a16="http://schemas.microsoft.com/office/drawing/2014/main" id="{00000000-0008-0000-0300-00005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153</xdr:row>
      <xdr:rowOff>0</xdr:rowOff>
    </xdr:from>
    <xdr:to>
      <xdr:col>14</xdr:col>
      <xdr:colOff>312963</xdr:colOff>
      <xdr:row>154</xdr:row>
      <xdr:rowOff>68037</xdr:rowOff>
    </xdr:to>
    <xdr:grpSp>
      <xdr:nvGrpSpPr>
        <xdr:cNvPr id="2133" name="Group 1008">
          <a:extLst>
            <a:ext uri="{FF2B5EF4-FFF2-40B4-BE49-F238E27FC236}">
              <a16:creationId xmlns:a16="http://schemas.microsoft.com/office/drawing/2014/main" id="{00000000-0008-0000-0300-000055080000}"/>
            </a:ext>
          </a:extLst>
        </xdr:cNvPr>
        <xdr:cNvGrpSpPr>
          <a:grpSpLocks/>
        </xdr:cNvGrpSpPr>
      </xdr:nvGrpSpPr>
      <xdr:grpSpPr bwMode="auto">
        <a:xfrm>
          <a:off x="9489281" y="33158906"/>
          <a:ext cx="312963" cy="270444"/>
          <a:chOff x="5475762" y="47760700"/>
          <a:chExt cx="314325" cy="230209"/>
        </a:xfrm>
      </xdr:grpSpPr>
      <xdr:cxnSp macro="">
        <xdr:nvCxnSpPr>
          <xdr:cNvPr id="2134" name="Straight Connector 2133">
            <a:extLst>
              <a:ext uri="{FF2B5EF4-FFF2-40B4-BE49-F238E27FC236}">
                <a16:creationId xmlns:a16="http://schemas.microsoft.com/office/drawing/2014/main" id="{00000000-0008-0000-0300-000056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5" name="Straight Connector 529">
            <a:extLst>
              <a:ext uri="{FF2B5EF4-FFF2-40B4-BE49-F238E27FC236}">
                <a16:creationId xmlns:a16="http://schemas.microsoft.com/office/drawing/2014/main" id="{00000000-0008-0000-0300-000057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1">
            <a:extLst>
              <a:ext uri="{FF2B5EF4-FFF2-40B4-BE49-F238E27FC236}">
                <a16:creationId xmlns:a16="http://schemas.microsoft.com/office/drawing/2014/main" id="{00000000-0008-0000-0300-000058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3">
            <a:extLst>
              <a:ext uri="{FF2B5EF4-FFF2-40B4-BE49-F238E27FC236}">
                <a16:creationId xmlns:a16="http://schemas.microsoft.com/office/drawing/2014/main" id="{00000000-0008-0000-0300-00005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8" name="Straight Connector 535">
            <a:extLst>
              <a:ext uri="{FF2B5EF4-FFF2-40B4-BE49-F238E27FC236}">
                <a16:creationId xmlns:a16="http://schemas.microsoft.com/office/drawing/2014/main" id="{00000000-0008-0000-0300-00005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9" name="Straight Connector 537">
            <a:extLst>
              <a:ext uri="{FF2B5EF4-FFF2-40B4-BE49-F238E27FC236}">
                <a16:creationId xmlns:a16="http://schemas.microsoft.com/office/drawing/2014/main" id="{00000000-0008-0000-0300-00005B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160</xdr:row>
      <xdr:rowOff>0</xdr:rowOff>
    </xdr:from>
    <xdr:to>
      <xdr:col>8</xdr:col>
      <xdr:colOff>312963</xdr:colOff>
      <xdr:row>161</xdr:row>
      <xdr:rowOff>68037</xdr:rowOff>
    </xdr:to>
    <xdr:grpSp>
      <xdr:nvGrpSpPr>
        <xdr:cNvPr id="2140" name="Group 1008">
          <a:extLst>
            <a:ext uri="{FF2B5EF4-FFF2-40B4-BE49-F238E27FC236}">
              <a16:creationId xmlns:a16="http://schemas.microsoft.com/office/drawing/2014/main" id="{00000000-0008-0000-0300-00005C080000}"/>
            </a:ext>
          </a:extLst>
        </xdr:cNvPr>
        <xdr:cNvGrpSpPr>
          <a:grpSpLocks/>
        </xdr:cNvGrpSpPr>
      </xdr:nvGrpSpPr>
      <xdr:grpSpPr bwMode="auto">
        <a:xfrm>
          <a:off x="5500688" y="34611469"/>
          <a:ext cx="312963" cy="270443"/>
          <a:chOff x="5475762" y="47760700"/>
          <a:chExt cx="314325" cy="230209"/>
        </a:xfrm>
      </xdr:grpSpPr>
      <xdr:cxnSp macro="">
        <xdr:nvCxnSpPr>
          <xdr:cNvPr id="2141" name="Straight Connector 2140">
            <a:extLst>
              <a:ext uri="{FF2B5EF4-FFF2-40B4-BE49-F238E27FC236}">
                <a16:creationId xmlns:a16="http://schemas.microsoft.com/office/drawing/2014/main" id="{00000000-0008-0000-0300-00005D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2" name="Straight Connector 529">
            <a:extLst>
              <a:ext uri="{FF2B5EF4-FFF2-40B4-BE49-F238E27FC236}">
                <a16:creationId xmlns:a16="http://schemas.microsoft.com/office/drawing/2014/main" id="{00000000-0008-0000-0300-00005E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1">
            <a:extLst>
              <a:ext uri="{FF2B5EF4-FFF2-40B4-BE49-F238E27FC236}">
                <a16:creationId xmlns:a16="http://schemas.microsoft.com/office/drawing/2014/main" id="{00000000-0008-0000-0300-00005F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3">
            <a:extLst>
              <a:ext uri="{FF2B5EF4-FFF2-40B4-BE49-F238E27FC236}">
                <a16:creationId xmlns:a16="http://schemas.microsoft.com/office/drawing/2014/main" id="{00000000-0008-0000-0300-00006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5" name="Straight Connector 535">
            <a:extLst>
              <a:ext uri="{FF2B5EF4-FFF2-40B4-BE49-F238E27FC236}">
                <a16:creationId xmlns:a16="http://schemas.microsoft.com/office/drawing/2014/main" id="{00000000-0008-0000-0300-00006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6" name="Straight Connector 537">
            <a:extLst>
              <a:ext uri="{FF2B5EF4-FFF2-40B4-BE49-F238E27FC236}">
                <a16:creationId xmlns:a16="http://schemas.microsoft.com/office/drawing/2014/main" id="{00000000-0008-0000-0300-000062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160</xdr:row>
      <xdr:rowOff>0</xdr:rowOff>
    </xdr:from>
    <xdr:to>
      <xdr:col>14</xdr:col>
      <xdr:colOff>312963</xdr:colOff>
      <xdr:row>161</xdr:row>
      <xdr:rowOff>68037</xdr:rowOff>
    </xdr:to>
    <xdr:grpSp>
      <xdr:nvGrpSpPr>
        <xdr:cNvPr id="2147" name="Group 1008">
          <a:extLst>
            <a:ext uri="{FF2B5EF4-FFF2-40B4-BE49-F238E27FC236}">
              <a16:creationId xmlns:a16="http://schemas.microsoft.com/office/drawing/2014/main" id="{00000000-0008-0000-0300-000063080000}"/>
            </a:ext>
          </a:extLst>
        </xdr:cNvPr>
        <xdr:cNvGrpSpPr>
          <a:grpSpLocks/>
        </xdr:cNvGrpSpPr>
      </xdr:nvGrpSpPr>
      <xdr:grpSpPr bwMode="auto">
        <a:xfrm>
          <a:off x="9489281" y="34611469"/>
          <a:ext cx="312963" cy="270443"/>
          <a:chOff x="5475762" y="47760700"/>
          <a:chExt cx="314325" cy="230209"/>
        </a:xfrm>
      </xdr:grpSpPr>
      <xdr:cxnSp macro="">
        <xdr:nvCxnSpPr>
          <xdr:cNvPr id="2148" name="Straight Connector 2147">
            <a:extLst>
              <a:ext uri="{FF2B5EF4-FFF2-40B4-BE49-F238E27FC236}">
                <a16:creationId xmlns:a16="http://schemas.microsoft.com/office/drawing/2014/main" id="{00000000-0008-0000-0300-000064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9" name="Straight Connector 529">
            <a:extLst>
              <a:ext uri="{FF2B5EF4-FFF2-40B4-BE49-F238E27FC236}">
                <a16:creationId xmlns:a16="http://schemas.microsoft.com/office/drawing/2014/main" id="{00000000-0008-0000-0300-000065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1">
            <a:extLst>
              <a:ext uri="{FF2B5EF4-FFF2-40B4-BE49-F238E27FC236}">
                <a16:creationId xmlns:a16="http://schemas.microsoft.com/office/drawing/2014/main" id="{00000000-0008-0000-0300-000066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3">
            <a:extLst>
              <a:ext uri="{FF2B5EF4-FFF2-40B4-BE49-F238E27FC236}">
                <a16:creationId xmlns:a16="http://schemas.microsoft.com/office/drawing/2014/main" id="{00000000-0008-0000-0300-00006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2" name="Straight Connector 535">
            <a:extLst>
              <a:ext uri="{FF2B5EF4-FFF2-40B4-BE49-F238E27FC236}">
                <a16:creationId xmlns:a16="http://schemas.microsoft.com/office/drawing/2014/main" id="{00000000-0008-0000-0300-00006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3" name="Straight Connector 537">
            <a:extLst>
              <a:ext uri="{FF2B5EF4-FFF2-40B4-BE49-F238E27FC236}">
                <a16:creationId xmlns:a16="http://schemas.microsoft.com/office/drawing/2014/main" id="{00000000-0008-0000-0300-00006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160</xdr:row>
      <xdr:rowOff>0</xdr:rowOff>
    </xdr:from>
    <xdr:to>
      <xdr:col>20</xdr:col>
      <xdr:colOff>312963</xdr:colOff>
      <xdr:row>161</xdr:row>
      <xdr:rowOff>68037</xdr:rowOff>
    </xdr:to>
    <xdr:grpSp>
      <xdr:nvGrpSpPr>
        <xdr:cNvPr id="2154" name="Group 1008">
          <a:extLst>
            <a:ext uri="{FF2B5EF4-FFF2-40B4-BE49-F238E27FC236}">
              <a16:creationId xmlns:a16="http://schemas.microsoft.com/office/drawing/2014/main" id="{00000000-0008-0000-0300-00006A080000}"/>
            </a:ext>
          </a:extLst>
        </xdr:cNvPr>
        <xdr:cNvGrpSpPr>
          <a:grpSpLocks/>
        </xdr:cNvGrpSpPr>
      </xdr:nvGrpSpPr>
      <xdr:grpSpPr bwMode="auto">
        <a:xfrm>
          <a:off x="13251656" y="34611469"/>
          <a:ext cx="312963" cy="270443"/>
          <a:chOff x="5475762" y="47760700"/>
          <a:chExt cx="314325" cy="230209"/>
        </a:xfrm>
      </xdr:grpSpPr>
      <xdr:cxnSp macro="">
        <xdr:nvCxnSpPr>
          <xdr:cNvPr id="2155" name="Straight Connector 2154">
            <a:extLst>
              <a:ext uri="{FF2B5EF4-FFF2-40B4-BE49-F238E27FC236}">
                <a16:creationId xmlns:a16="http://schemas.microsoft.com/office/drawing/2014/main" id="{00000000-0008-0000-0300-00006B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6" name="Straight Connector 529">
            <a:extLst>
              <a:ext uri="{FF2B5EF4-FFF2-40B4-BE49-F238E27FC236}">
                <a16:creationId xmlns:a16="http://schemas.microsoft.com/office/drawing/2014/main" id="{00000000-0008-0000-0300-00006C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1">
            <a:extLst>
              <a:ext uri="{FF2B5EF4-FFF2-40B4-BE49-F238E27FC236}">
                <a16:creationId xmlns:a16="http://schemas.microsoft.com/office/drawing/2014/main" id="{00000000-0008-0000-0300-00006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3">
            <a:extLst>
              <a:ext uri="{FF2B5EF4-FFF2-40B4-BE49-F238E27FC236}">
                <a16:creationId xmlns:a16="http://schemas.microsoft.com/office/drawing/2014/main" id="{00000000-0008-0000-0300-00006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9" name="Straight Connector 535">
            <a:extLst>
              <a:ext uri="{FF2B5EF4-FFF2-40B4-BE49-F238E27FC236}">
                <a16:creationId xmlns:a16="http://schemas.microsoft.com/office/drawing/2014/main" id="{00000000-0008-0000-0300-00006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0" name="Straight Connector 537">
            <a:extLst>
              <a:ext uri="{FF2B5EF4-FFF2-40B4-BE49-F238E27FC236}">
                <a16:creationId xmlns:a16="http://schemas.microsoft.com/office/drawing/2014/main" id="{00000000-0008-0000-0300-00007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160</xdr:row>
      <xdr:rowOff>0</xdr:rowOff>
    </xdr:from>
    <xdr:to>
      <xdr:col>22</xdr:col>
      <xdr:colOff>312963</xdr:colOff>
      <xdr:row>161</xdr:row>
      <xdr:rowOff>68037</xdr:rowOff>
    </xdr:to>
    <xdr:grpSp>
      <xdr:nvGrpSpPr>
        <xdr:cNvPr id="2161" name="Group 1008">
          <a:extLst>
            <a:ext uri="{FF2B5EF4-FFF2-40B4-BE49-F238E27FC236}">
              <a16:creationId xmlns:a16="http://schemas.microsoft.com/office/drawing/2014/main" id="{00000000-0008-0000-0300-000071080000}"/>
            </a:ext>
          </a:extLst>
        </xdr:cNvPr>
        <xdr:cNvGrpSpPr>
          <a:grpSpLocks/>
        </xdr:cNvGrpSpPr>
      </xdr:nvGrpSpPr>
      <xdr:grpSpPr bwMode="auto">
        <a:xfrm>
          <a:off x="14573250" y="34611469"/>
          <a:ext cx="312963" cy="270443"/>
          <a:chOff x="5475762" y="47760700"/>
          <a:chExt cx="314325" cy="230209"/>
        </a:xfrm>
      </xdr:grpSpPr>
      <xdr:cxnSp macro="">
        <xdr:nvCxnSpPr>
          <xdr:cNvPr id="2162" name="Straight Connector 2161">
            <a:extLst>
              <a:ext uri="{FF2B5EF4-FFF2-40B4-BE49-F238E27FC236}">
                <a16:creationId xmlns:a16="http://schemas.microsoft.com/office/drawing/2014/main" id="{00000000-0008-0000-0300-000072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3" name="Straight Connector 529">
            <a:extLst>
              <a:ext uri="{FF2B5EF4-FFF2-40B4-BE49-F238E27FC236}">
                <a16:creationId xmlns:a16="http://schemas.microsoft.com/office/drawing/2014/main" id="{00000000-0008-0000-0300-000073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1">
            <a:extLst>
              <a:ext uri="{FF2B5EF4-FFF2-40B4-BE49-F238E27FC236}">
                <a16:creationId xmlns:a16="http://schemas.microsoft.com/office/drawing/2014/main" id="{00000000-0008-0000-0300-00007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3">
            <a:extLst>
              <a:ext uri="{FF2B5EF4-FFF2-40B4-BE49-F238E27FC236}">
                <a16:creationId xmlns:a16="http://schemas.microsoft.com/office/drawing/2014/main" id="{00000000-0008-0000-0300-00007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6" name="Straight Connector 535">
            <a:extLst>
              <a:ext uri="{FF2B5EF4-FFF2-40B4-BE49-F238E27FC236}">
                <a16:creationId xmlns:a16="http://schemas.microsoft.com/office/drawing/2014/main" id="{00000000-0008-0000-0300-00007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7" name="Straight Connector 537">
            <a:extLst>
              <a:ext uri="{FF2B5EF4-FFF2-40B4-BE49-F238E27FC236}">
                <a16:creationId xmlns:a16="http://schemas.microsoft.com/office/drawing/2014/main" id="{00000000-0008-0000-0300-00007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160</xdr:row>
      <xdr:rowOff>0</xdr:rowOff>
    </xdr:from>
    <xdr:to>
      <xdr:col>24</xdr:col>
      <xdr:colOff>312963</xdr:colOff>
      <xdr:row>161</xdr:row>
      <xdr:rowOff>68037</xdr:rowOff>
    </xdr:to>
    <xdr:grpSp>
      <xdr:nvGrpSpPr>
        <xdr:cNvPr id="2168" name="Group 1008">
          <a:extLst>
            <a:ext uri="{FF2B5EF4-FFF2-40B4-BE49-F238E27FC236}">
              <a16:creationId xmlns:a16="http://schemas.microsoft.com/office/drawing/2014/main" id="{00000000-0008-0000-0300-000078080000}"/>
            </a:ext>
          </a:extLst>
        </xdr:cNvPr>
        <xdr:cNvGrpSpPr>
          <a:grpSpLocks/>
        </xdr:cNvGrpSpPr>
      </xdr:nvGrpSpPr>
      <xdr:grpSpPr bwMode="auto">
        <a:xfrm>
          <a:off x="15942469" y="34611469"/>
          <a:ext cx="312963" cy="270443"/>
          <a:chOff x="5475762" y="47760700"/>
          <a:chExt cx="314325" cy="230209"/>
        </a:xfrm>
      </xdr:grpSpPr>
      <xdr:cxnSp macro="">
        <xdr:nvCxnSpPr>
          <xdr:cNvPr id="2169" name="Straight Connector 2168">
            <a:extLst>
              <a:ext uri="{FF2B5EF4-FFF2-40B4-BE49-F238E27FC236}">
                <a16:creationId xmlns:a16="http://schemas.microsoft.com/office/drawing/2014/main" id="{00000000-0008-0000-0300-000079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0" name="Straight Connector 529">
            <a:extLst>
              <a:ext uri="{FF2B5EF4-FFF2-40B4-BE49-F238E27FC236}">
                <a16:creationId xmlns:a16="http://schemas.microsoft.com/office/drawing/2014/main" id="{00000000-0008-0000-0300-00007A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1">
            <a:extLst>
              <a:ext uri="{FF2B5EF4-FFF2-40B4-BE49-F238E27FC236}">
                <a16:creationId xmlns:a16="http://schemas.microsoft.com/office/drawing/2014/main" id="{00000000-0008-0000-0300-00007B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3">
            <a:extLst>
              <a:ext uri="{FF2B5EF4-FFF2-40B4-BE49-F238E27FC236}">
                <a16:creationId xmlns:a16="http://schemas.microsoft.com/office/drawing/2014/main" id="{00000000-0008-0000-0300-00007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3" name="Straight Connector 535">
            <a:extLst>
              <a:ext uri="{FF2B5EF4-FFF2-40B4-BE49-F238E27FC236}">
                <a16:creationId xmlns:a16="http://schemas.microsoft.com/office/drawing/2014/main" id="{00000000-0008-0000-0300-00007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4" name="Straight Connector 537">
            <a:extLst>
              <a:ext uri="{FF2B5EF4-FFF2-40B4-BE49-F238E27FC236}">
                <a16:creationId xmlns:a16="http://schemas.microsoft.com/office/drawing/2014/main" id="{00000000-0008-0000-0300-00007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167</xdr:row>
      <xdr:rowOff>0</xdr:rowOff>
    </xdr:from>
    <xdr:to>
      <xdr:col>12</xdr:col>
      <xdr:colOff>312963</xdr:colOff>
      <xdr:row>168</xdr:row>
      <xdr:rowOff>68037</xdr:rowOff>
    </xdr:to>
    <xdr:grpSp>
      <xdr:nvGrpSpPr>
        <xdr:cNvPr id="2175" name="Group 1008">
          <a:extLst>
            <a:ext uri="{FF2B5EF4-FFF2-40B4-BE49-F238E27FC236}">
              <a16:creationId xmlns:a16="http://schemas.microsoft.com/office/drawing/2014/main" id="{00000000-0008-0000-0300-00007F080000}"/>
            </a:ext>
          </a:extLst>
        </xdr:cNvPr>
        <xdr:cNvGrpSpPr>
          <a:grpSpLocks/>
        </xdr:cNvGrpSpPr>
      </xdr:nvGrpSpPr>
      <xdr:grpSpPr bwMode="auto">
        <a:xfrm>
          <a:off x="8251031" y="36064031"/>
          <a:ext cx="312963" cy="270444"/>
          <a:chOff x="5475762" y="47760700"/>
          <a:chExt cx="314325" cy="230209"/>
        </a:xfrm>
      </xdr:grpSpPr>
      <xdr:cxnSp macro="">
        <xdr:nvCxnSpPr>
          <xdr:cNvPr id="2176" name="Straight Connector 2175">
            <a:extLst>
              <a:ext uri="{FF2B5EF4-FFF2-40B4-BE49-F238E27FC236}">
                <a16:creationId xmlns:a16="http://schemas.microsoft.com/office/drawing/2014/main" id="{00000000-0008-0000-0300-000080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7" name="Straight Connector 529">
            <a:extLst>
              <a:ext uri="{FF2B5EF4-FFF2-40B4-BE49-F238E27FC236}">
                <a16:creationId xmlns:a16="http://schemas.microsoft.com/office/drawing/2014/main" id="{00000000-0008-0000-0300-000081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1">
            <a:extLst>
              <a:ext uri="{FF2B5EF4-FFF2-40B4-BE49-F238E27FC236}">
                <a16:creationId xmlns:a16="http://schemas.microsoft.com/office/drawing/2014/main" id="{00000000-0008-0000-0300-000082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3">
            <a:extLst>
              <a:ext uri="{FF2B5EF4-FFF2-40B4-BE49-F238E27FC236}">
                <a16:creationId xmlns:a16="http://schemas.microsoft.com/office/drawing/2014/main" id="{00000000-0008-0000-0300-00008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0" name="Straight Connector 535">
            <a:extLst>
              <a:ext uri="{FF2B5EF4-FFF2-40B4-BE49-F238E27FC236}">
                <a16:creationId xmlns:a16="http://schemas.microsoft.com/office/drawing/2014/main" id="{00000000-0008-0000-0300-00008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1" name="Straight Connector 537">
            <a:extLst>
              <a:ext uri="{FF2B5EF4-FFF2-40B4-BE49-F238E27FC236}">
                <a16:creationId xmlns:a16="http://schemas.microsoft.com/office/drawing/2014/main" id="{00000000-0008-0000-0300-00008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167</xdr:row>
      <xdr:rowOff>0</xdr:rowOff>
    </xdr:from>
    <xdr:to>
      <xdr:col>14</xdr:col>
      <xdr:colOff>312963</xdr:colOff>
      <xdr:row>168</xdr:row>
      <xdr:rowOff>68037</xdr:rowOff>
    </xdr:to>
    <xdr:grpSp>
      <xdr:nvGrpSpPr>
        <xdr:cNvPr id="2182" name="Group 1008">
          <a:extLst>
            <a:ext uri="{FF2B5EF4-FFF2-40B4-BE49-F238E27FC236}">
              <a16:creationId xmlns:a16="http://schemas.microsoft.com/office/drawing/2014/main" id="{00000000-0008-0000-0300-000086080000}"/>
            </a:ext>
          </a:extLst>
        </xdr:cNvPr>
        <xdr:cNvGrpSpPr>
          <a:grpSpLocks/>
        </xdr:cNvGrpSpPr>
      </xdr:nvGrpSpPr>
      <xdr:grpSpPr bwMode="auto">
        <a:xfrm>
          <a:off x="9489281" y="36064031"/>
          <a:ext cx="312963" cy="270444"/>
          <a:chOff x="5475762" y="47760700"/>
          <a:chExt cx="314325" cy="230209"/>
        </a:xfrm>
      </xdr:grpSpPr>
      <xdr:cxnSp macro="">
        <xdr:nvCxnSpPr>
          <xdr:cNvPr id="2183" name="Straight Connector 2182">
            <a:extLst>
              <a:ext uri="{FF2B5EF4-FFF2-40B4-BE49-F238E27FC236}">
                <a16:creationId xmlns:a16="http://schemas.microsoft.com/office/drawing/2014/main" id="{00000000-0008-0000-0300-000087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4" name="Straight Connector 529">
            <a:extLst>
              <a:ext uri="{FF2B5EF4-FFF2-40B4-BE49-F238E27FC236}">
                <a16:creationId xmlns:a16="http://schemas.microsoft.com/office/drawing/2014/main" id="{00000000-0008-0000-0300-000088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1">
            <a:extLst>
              <a:ext uri="{FF2B5EF4-FFF2-40B4-BE49-F238E27FC236}">
                <a16:creationId xmlns:a16="http://schemas.microsoft.com/office/drawing/2014/main" id="{00000000-0008-0000-0300-00008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3">
            <a:extLst>
              <a:ext uri="{FF2B5EF4-FFF2-40B4-BE49-F238E27FC236}">
                <a16:creationId xmlns:a16="http://schemas.microsoft.com/office/drawing/2014/main" id="{00000000-0008-0000-0300-00008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7" name="Straight Connector 535">
            <a:extLst>
              <a:ext uri="{FF2B5EF4-FFF2-40B4-BE49-F238E27FC236}">
                <a16:creationId xmlns:a16="http://schemas.microsoft.com/office/drawing/2014/main" id="{00000000-0008-0000-0300-00008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8" name="Straight Connector 537">
            <a:extLst>
              <a:ext uri="{FF2B5EF4-FFF2-40B4-BE49-F238E27FC236}">
                <a16:creationId xmlns:a16="http://schemas.microsoft.com/office/drawing/2014/main" id="{00000000-0008-0000-0300-00008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167</xdr:row>
      <xdr:rowOff>0</xdr:rowOff>
    </xdr:from>
    <xdr:to>
      <xdr:col>18</xdr:col>
      <xdr:colOff>312963</xdr:colOff>
      <xdr:row>168</xdr:row>
      <xdr:rowOff>68037</xdr:rowOff>
    </xdr:to>
    <xdr:grpSp>
      <xdr:nvGrpSpPr>
        <xdr:cNvPr id="2189" name="Group 1008">
          <a:extLst>
            <a:ext uri="{FF2B5EF4-FFF2-40B4-BE49-F238E27FC236}">
              <a16:creationId xmlns:a16="http://schemas.microsoft.com/office/drawing/2014/main" id="{00000000-0008-0000-0300-00008D080000}"/>
            </a:ext>
          </a:extLst>
        </xdr:cNvPr>
        <xdr:cNvGrpSpPr>
          <a:grpSpLocks/>
        </xdr:cNvGrpSpPr>
      </xdr:nvGrpSpPr>
      <xdr:grpSpPr bwMode="auto">
        <a:xfrm>
          <a:off x="12108656" y="36064031"/>
          <a:ext cx="312963" cy="270444"/>
          <a:chOff x="5475762" y="47760700"/>
          <a:chExt cx="314325" cy="230209"/>
        </a:xfrm>
      </xdr:grpSpPr>
      <xdr:cxnSp macro="">
        <xdr:nvCxnSpPr>
          <xdr:cNvPr id="2190" name="Straight Connector 2189">
            <a:extLst>
              <a:ext uri="{FF2B5EF4-FFF2-40B4-BE49-F238E27FC236}">
                <a16:creationId xmlns:a16="http://schemas.microsoft.com/office/drawing/2014/main" id="{00000000-0008-0000-0300-00008E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1" name="Straight Connector 529">
            <a:extLst>
              <a:ext uri="{FF2B5EF4-FFF2-40B4-BE49-F238E27FC236}">
                <a16:creationId xmlns:a16="http://schemas.microsoft.com/office/drawing/2014/main" id="{00000000-0008-0000-0300-00008F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1">
            <a:extLst>
              <a:ext uri="{FF2B5EF4-FFF2-40B4-BE49-F238E27FC236}">
                <a16:creationId xmlns:a16="http://schemas.microsoft.com/office/drawing/2014/main" id="{00000000-0008-0000-0300-00009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3">
            <a:extLst>
              <a:ext uri="{FF2B5EF4-FFF2-40B4-BE49-F238E27FC236}">
                <a16:creationId xmlns:a16="http://schemas.microsoft.com/office/drawing/2014/main" id="{00000000-0008-0000-0300-00009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4" name="Straight Connector 535">
            <a:extLst>
              <a:ext uri="{FF2B5EF4-FFF2-40B4-BE49-F238E27FC236}">
                <a16:creationId xmlns:a16="http://schemas.microsoft.com/office/drawing/2014/main" id="{00000000-0008-0000-0300-00009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5" name="Straight Connector 537">
            <a:extLst>
              <a:ext uri="{FF2B5EF4-FFF2-40B4-BE49-F238E27FC236}">
                <a16:creationId xmlns:a16="http://schemas.microsoft.com/office/drawing/2014/main" id="{00000000-0008-0000-0300-00009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167</xdr:row>
      <xdr:rowOff>0</xdr:rowOff>
    </xdr:from>
    <xdr:to>
      <xdr:col>20</xdr:col>
      <xdr:colOff>312963</xdr:colOff>
      <xdr:row>168</xdr:row>
      <xdr:rowOff>68037</xdr:rowOff>
    </xdr:to>
    <xdr:grpSp>
      <xdr:nvGrpSpPr>
        <xdr:cNvPr id="2196" name="Group 1008">
          <a:extLst>
            <a:ext uri="{FF2B5EF4-FFF2-40B4-BE49-F238E27FC236}">
              <a16:creationId xmlns:a16="http://schemas.microsoft.com/office/drawing/2014/main" id="{00000000-0008-0000-0300-000094080000}"/>
            </a:ext>
          </a:extLst>
        </xdr:cNvPr>
        <xdr:cNvGrpSpPr>
          <a:grpSpLocks/>
        </xdr:cNvGrpSpPr>
      </xdr:nvGrpSpPr>
      <xdr:grpSpPr bwMode="auto">
        <a:xfrm>
          <a:off x="13251656" y="36064031"/>
          <a:ext cx="312963" cy="270444"/>
          <a:chOff x="5475762" y="47760700"/>
          <a:chExt cx="314325" cy="230209"/>
        </a:xfrm>
      </xdr:grpSpPr>
      <xdr:cxnSp macro="">
        <xdr:nvCxnSpPr>
          <xdr:cNvPr id="2197" name="Straight Connector 2196">
            <a:extLst>
              <a:ext uri="{FF2B5EF4-FFF2-40B4-BE49-F238E27FC236}">
                <a16:creationId xmlns:a16="http://schemas.microsoft.com/office/drawing/2014/main" id="{00000000-0008-0000-0300-000095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8" name="Straight Connector 529">
            <a:extLst>
              <a:ext uri="{FF2B5EF4-FFF2-40B4-BE49-F238E27FC236}">
                <a16:creationId xmlns:a16="http://schemas.microsoft.com/office/drawing/2014/main" id="{00000000-0008-0000-0300-000096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1">
            <a:extLst>
              <a:ext uri="{FF2B5EF4-FFF2-40B4-BE49-F238E27FC236}">
                <a16:creationId xmlns:a16="http://schemas.microsoft.com/office/drawing/2014/main" id="{00000000-0008-0000-0300-00009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3">
            <a:extLst>
              <a:ext uri="{FF2B5EF4-FFF2-40B4-BE49-F238E27FC236}">
                <a16:creationId xmlns:a16="http://schemas.microsoft.com/office/drawing/2014/main" id="{00000000-0008-0000-0300-00009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1" name="Straight Connector 535">
            <a:extLst>
              <a:ext uri="{FF2B5EF4-FFF2-40B4-BE49-F238E27FC236}">
                <a16:creationId xmlns:a16="http://schemas.microsoft.com/office/drawing/2014/main" id="{00000000-0008-0000-0300-00009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2" name="Straight Connector 537">
            <a:extLst>
              <a:ext uri="{FF2B5EF4-FFF2-40B4-BE49-F238E27FC236}">
                <a16:creationId xmlns:a16="http://schemas.microsoft.com/office/drawing/2014/main" id="{00000000-0008-0000-0300-00009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167</xdr:row>
      <xdr:rowOff>0</xdr:rowOff>
    </xdr:from>
    <xdr:to>
      <xdr:col>24</xdr:col>
      <xdr:colOff>312963</xdr:colOff>
      <xdr:row>168</xdr:row>
      <xdr:rowOff>68037</xdr:rowOff>
    </xdr:to>
    <xdr:grpSp>
      <xdr:nvGrpSpPr>
        <xdr:cNvPr id="2203" name="Group 1008">
          <a:extLst>
            <a:ext uri="{FF2B5EF4-FFF2-40B4-BE49-F238E27FC236}">
              <a16:creationId xmlns:a16="http://schemas.microsoft.com/office/drawing/2014/main" id="{00000000-0008-0000-0300-00009B080000}"/>
            </a:ext>
          </a:extLst>
        </xdr:cNvPr>
        <xdr:cNvGrpSpPr>
          <a:grpSpLocks/>
        </xdr:cNvGrpSpPr>
      </xdr:nvGrpSpPr>
      <xdr:grpSpPr bwMode="auto">
        <a:xfrm>
          <a:off x="15942469" y="36064031"/>
          <a:ext cx="312963" cy="270444"/>
          <a:chOff x="5475762" y="47760700"/>
          <a:chExt cx="314325" cy="230209"/>
        </a:xfrm>
      </xdr:grpSpPr>
      <xdr:cxnSp macro="">
        <xdr:nvCxnSpPr>
          <xdr:cNvPr id="2204" name="Straight Connector 2203">
            <a:extLst>
              <a:ext uri="{FF2B5EF4-FFF2-40B4-BE49-F238E27FC236}">
                <a16:creationId xmlns:a16="http://schemas.microsoft.com/office/drawing/2014/main" id="{00000000-0008-0000-0300-00009C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5" name="Straight Connector 529">
            <a:extLst>
              <a:ext uri="{FF2B5EF4-FFF2-40B4-BE49-F238E27FC236}">
                <a16:creationId xmlns:a16="http://schemas.microsoft.com/office/drawing/2014/main" id="{00000000-0008-0000-0300-00009D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1">
            <a:extLst>
              <a:ext uri="{FF2B5EF4-FFF2-40B4-BE49-F238E27FC236}">
                <a16:creationId xmlns:a16="http://schemas.microsoft.com/office/drawing/2014/main" id="{00000000-0008-0000-0300-00009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3">
            <a:extLst>
              <a:ext uri="{FF2B5EF4-FFF2-40B4-BE49-F238E27FC236}">
                <a16:creationId xmlns:a16="http://schemas.microsoft.com/office/drawing/2014/main" id="{00000000-0008-0000-0300-00009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8" name="Straight Connector 535">
            <a:extLst>
              <a:ext uri="{FF2B5EF4-FFF2-40B4-BE49-F238E27FC236}">
                <a16:creationId xmlns:a16="http://schemas.microsoft.com/office/drawing/2014/main" id="{00000000-0008-0000-0300-0000A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9" name="Straight Connector 537">
            <a:extLst>
              <a:ext uri="{FF2B5EF4-FFF2-40B4-BE49-F238E27FC236}">
                <a16:creationId xmlns:a16="http://schemas.microsoft.com/office/drawing/2014/main" id="{00000000-0008-0000-0300-0000A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181</xdr:row>
      <xdr:rowOff>0</xdr:rowOff>
    </xdr:from>
    <xdr:to>
      <xdr:col>2</xdr:col>
      <xdr:colOff>312963</xdr:colOff>
      <xdr:row>182</xdr:row>
      <xdr:rowOff>68037</xdr:rowOff>
    </xdr:to>
    <xdr:grpSp>
      <xdr:nvGrpSpPr>
        <xdr:cNvPr id="2210" name="Group 1008">
          <a:extLst>
            <a:ext uri="{FF2B5EF4-FFF2-40B4-BE49-F238E27FC236}">
              <a16:creationId xmlns:a16="http://schemas.microsoft.com/office/drawing/2014/main" id="{00000000-0008-0000-0300-0000A2080000}"/>
            </a:ext>
          </a:extLst>
        </xdr:cNvPr>
        <xdr:cNvGrpSpPr>
          <a:grpSpLocks/>
        </xdr:cNvGrpSpPr>
      </xdr:nvGrpSpPr>
      <xdr:grpSpPr bwMode="auto">
        <a:xfrm>
          <a:off x="1535906" y="38969156"/>
          <a:ext cx="312963" cy="270444"/>
          <a:chOff x="5475762" y="47760700"/>
          <a:chExt cx="314325" cy="230209"/>
        </a:xfrm>
      </xdr:grpSpPr>
      <xdr:cxnSp macro="">
        <xdr:nvCxnSpPr>
          <xdr:cNvPr id="2211" name="Straight Connector 2210">
            <a:extLst>
              <a:ext uri="{FF2B5EF4-FFF2-40B4-BE49-F238E27FC236}">
                <a16:creationId xmlns:a16="http://schemas.microsoft.com/office/drawing/2014/main" id="{00000000-0008-0000-0300-0000A3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12" name="Straight Connector 529">
            <a:extLst>
              <a:ext uri="{FF2B5EF4-FFF2-40B4-BE49-F238E27FC236}">
                <a16:creationId xmlns:a16="http://schemas.microsoft.com/office/drawing/2014/main" id="{00000000-0008-0000-0300-0000A4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3" name="Straight Connector 531">
            <a:extLst>
              <a:ext uri="{FF2B5EF4-FFF2-40B4-BE49-F238E27FC236}">
                <a16:creationId xmlns:a16="http://schemas.microsoft.com/office/drawing/2014/main" id="{00000000-0008-0000-0300-0000A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4" name="Straight Connector 533">
            <a:extLst>
              <a:ext uri="{FF2B5EF4-FFF2-40B4-BE49-F238E27FC236}">
                <a16:creationId xmlns:a16="http://schemas.microsoft.com/office/drawing/2014/main" id="{00000000-0008-0000-0300-0000A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5" name="Straight Connector 535">
            <a:extLst>
              <a:ext uri="{FF2B5EF4-FFF2-40B4-BE49-F238E27FC236}">
                <a16:creationId xmlns:a16="http://schemas.microsoft.com/office/drawing/2014/main" id="{00000000-0008-0000-0300-0000A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16" name="Straight Connector 537">
            <a:extLst>
              <a:ext uri="{FF2B5EF4-FFF2-40B4-BE49-F238E27FC236}">
                <a16:creationId xmlns:a16="http://schemas.microsoft.com/office/drawing/2014/main" id="{00000000-0008-0000-0300-0000A8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181</xdr:row>
      <xdr:rowOff>0</xdr:rowOff>
    </xdr:from>
    <xdr:to>
      <xdr:col>4</xdr:col>
      <xdr:colOff>312963</xdr:colOff>
      <xdr:row>182</xdr:row>
      <xdr:rowOff>68037</xdr:rowOff>
    </xdr:to>
    <xdr:grpSp>
      <xdr:nvGrpSpPr>
        <xdr:cNvPr id="2217" name="Group 1008">
          <a:extLst>
            <a:ext uri="{FF2B5EF4-FFF2-40B4-BE49-F238E27FC236}">
              <a16:creationId xmlns:a16="http://schemas.microsoft.com/office/drawing/2014/main" id="{00000000-0008-0000-0300-0000A9080000}"/>
            </a:ext>
          </a:extLst>
        </xdr:cNvPr>
        <xdr:cNvGrpSpPr>
          <a:grpSpLocks/>
        </xdr:cNvGrpSpPr>
      </xdr:nvGrpSpPr>
      <xdr:grpSpPr bwMode="auto">
        <a:xfrm>
          <a:off x="2809875" y="38969156"/>
          <a:ext cx="312963" cy="270444"/>
          <a:chOff x="5475762" y="47760700"/>
          <a:chExt cx="314325" cy="230209"/>
        </a:xfrm>
      </xdr:grpSpPr>
      <xdr:cxnSp macro="">
        <xdr:nvCxnSpPr>
          <xdr:cNvPr id="2218" name="Straight Connector 2217">
            <a:extLst>
              <a:ext uri="{FF2B5EF4-FFF2-40B4-BE49-F238E27FC236}">
                <a16:creationId xmlns:a16="http://schemas.microsoft.com/office/drawing/2014/main" id="{00000000-0008-0000-0300-0000AA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19" name="Straight Connector 529">
            <a:extLst>
              <a:ext uri="{FF2B5EF4-FFF2-40B4-BE49-F238E27FC236}">
                <a16:creationId xmlns:a16="http://schemas.microsoft.com/office/drawing/2014/main" id="{00000000-0008-0000-0300-0000AB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0" name="Straight Connector 531">
            <a:extLst>
              <a:ext uri="{FF2B5EF4-FFF2-40B4-BE49-F238E27FC236}">
                <a16:creationId xmlns:a16="http://schemas.microsoft.com/office/drawing/2014/main" id="{00000000-0008-0000-0300-0000A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1" name="Straight Connector 533">
            <a:extLst>
              <a:ext uri="{FF2B5EF4-FFF2-40B4-BE49-F238E27FC236}">
                <a16:creationId xmlns:a16="http://schemas.microsoft.com/office/drawing/2014/main" id="{00000000-0008-0000-0300-0000A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2" name="Straight Connector 535">
            <a:extLst>
              <a:ext uri="{FF2B5EF4-FFF2-40B4-BE49-F238E27FC236}">
                <a16:creationId xmlns:a16="http://schemas.microsoft.com/office/drawing/2014/main" id="{00000000-0008-0000-0300-0000A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3" name="Straight Connector 537">
            <a:extLst>
              <a:ext uri="{FF2B5EF4-FFF2-40B4-BE49-F238E27FC236}">
                <a16:creationId xmlns:a16="http://schemas.microsoft.com/office/drawing/2014/main" id="{00000000-0008-0000-0300-0000AF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181</xdr:row>
      <xdr:rowOff>0</xdr:rowOff>
    </xdr:from>
    <xdr:to>
      <xdr:col>8</xdr:col>
      <xdr:colOff>312963</xdr:colOff>
      <xdr:row>182</xdr:row>
      <xdr:rowOff>68037</xdr:rowOff>
    </xdr:to>
    <xdr:grpSp>
      <xdr:nvGrpSpPr>
        <xdr:cNvPr id="2224" name="Group 1008">
          <a:extLst>
            <a:ext uri="{FF2B5EF4-FFF2-40B4-BE49-F238E27FC236}">
              <a16:creationId xmlns:a16="http://schemas.microsoft.com/office/drawing/2014/main" id="{00000000-0008-0000-0300-0000B0080000}"/>
            </a:ext>
          </a:extLst>
        </xdr:cNvPr>
        <xdr:cNvGrpSpPr>
          <a:grpSpLocks/>
        </xdr:cNvGrpSpPr>
      </xdr:nvGrpSpPr>
      <xdr:grpSpPr bwMode="auto">
        <a:xfrm>
          <a:off x="5500688" y="38969156"/>
          <a:ext cx="312963" cy="270444"/>
          <a:chOff x="5475762" y="47760700"/>
          <a:chExt cx="314325" cy="230209"/>
        </a:xfrm>
      </xdr:grpSpPr>
      <xdr:cxnSp macro="">
        <xdr:nvCxnSpPr>
          <xdr:cNvPr id="2225" name="Straight Connector 2224">
            <a:extLst>
              <a:ext uri="{FF2B5EF4-FFF2-40B4-BE49-F238E27FC236}">
                <a16:creationId xmlns:a16="http://schemas.microsoft.com/office/drawing/2014/main" id="{00000000-0008-0000-0300-0000B1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6" name="Straight Connector 529">
            <a:extLst>
              <a:ext uri="{FF2B5EF4-FFF2-40B4-BE49-F238E27FC236}">
                <a16:creationId xmlns:a16="http://schemas.microsoft.com/office/drawing/2014/main" id="{00000000-0008-0000-0300-0000B2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7" name="Straight Connector 531">
            <a:extLst>
              <a:ext uri="{FF2B5EF4-FFF2-40B4-BE49-F238E27FC236}">
                <a16:creationId xmlns:a16="http://schemas.microsoft.com/office/drawing/2014/main" id="{00000000-0008-0000-0300-0000B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8" name="Straight Connector 533">
            <a:extLst>
              <a:ext uri="{FF2B5EF4-FFF2-40B4-BE49-F238E27FC236}">
                <a16:creationId xmlns:a16="http://schemas.microsoft.com/office/drawing/2014/main" id="{00000000-0008-0000-0300-0000B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29" name="Straight Connector 535">
            <a:extLst>
              <a:ext uri="{FF2B5EF4-FFF2-40B4-BE49-F238E27FC236}">
                <a16:creationId xmlns:a16="http://schemas.microsoft.com/office/drawing/2014/main" id="{00000000-0008-0000-0300-0000B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0" name="Straight Connector 537">
            <a:extLst>
              <a:ext uri="{FF2B5EF4-FFF2-40B4-BE49-F238E27FC236}">
                <a16:creationId xmlns:a16="http://schemas.microsoft.com/office/drawing/2014/main" id="{00000000-0008-0000-0300-0000B6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174</xdr:row>
      <xdr:rowOff>0</xdr:rowOff>
    </xdr:from>
    <xdr:to>
      <xdr:col>8</xdr:col>
      <xdr:colOff>312963</xdr:colOff>
      <xdr:row>175</xdr:row>
      <xdr:rowOff>68036</xdr:rowOff>
    </xdr:to>
    <xdr:grpSp>
      <xdr:nvGrpSpPr>
        <xdr:cNvPr id="2231" name="Group 1008">
          <a:extLst>
            <a:ext uri="{FF2B5EF4-FFF2-40B4-BE49-F238E27FC236}">
              <a16:creationId xmlns:a16="http://schemas.microsoft.com/office/drawing/2014/main" id="{00000000-0008-0000-0300-0000B7080000}"/>
            </a:ext>
          </a:extLst>
        </xdr:cNvPr>
        <xdr:cNvGrpSpPr>
          <a:grpSpLocks/>
        </xdr:cNvGrpSpPr>
      </xdr:nvGrpSpPr>
      <xdr:grpSpPr bwMode="auto">
        <a:xfrm>
          <a:off x="5500688" y="37516594"/>
          <a:ext cx="312963" cy="270442"/>
          <a:chOff x="5475762" y="47760700"/>
          <a:chExt cx="314325" cy="230209"/>
        </a:xfrm>
      </xdr:grpSpPr>
      <xdr:cxnSp macro="">
        <xdr:nvCxnSpPr>
          <xdr:cNvPr id="2232" name="Straight Connector 2231">
            <a:extLst>
              <a:ext uri="{FF2B5EF4-FFF2-40B4-BE49-F238E27FC236}">
                <a16:creationId xmlns:a16="http://schemas.microsoft.com/office/drawing/2014/main" id="{00000000-0008-0000-0300-0000B8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3" name="Straight Connector 529">
            <a:extLst>
              <a:ext uri="{FF2B5EF4-FFF2-40B4-BE49-F238E27FC236}">
                <a16:creationId xmlns:a16="http://schemas.microsoft.com/office/drawing/2014/main" id="{00000000-0008-0000-0300-0000B9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1">
            <a:extLst>
              <a:ext uri="{FF2B5EF4-FFF2-40B4-BE49-F238E27FC236}">
                <a16:creationId xmlns:a16="http://schemas.microsoft.com/office/drawing/2014/main" id="{00000000-0008-0000-0300-0000B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3">
            <a:extLst>
              <a:ext uri="{FF2B5EF4-FFF2-40B4-BE49-F238E27FC236}">
                <a16:creationId xmlns:a16="http://schemas.microsoft.com/office/drawing/2014/main" id="{00000000-0008-0000-0300-0000B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5">
            <a:extLst>
              <a:ext uri="{FF2B5EF4-FFF2-40B4-BE49-F238E27FC236}">
                <a16:creationId xmlns:a16="http://schemas.microsoft.com/office/drawing/2014/main" id="{00000000-0008-0000-0300-0000B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7" name="Straight Connector 537">
            <a:extLst>
              <a:ext uri="{FF2B5EF4-FFF2-40B4-BE49-F238E27FC236}">
                <a16:creationId xmlns:a16="http://schemas.microsoft.com/office/drawing/2014/main" id="{00000000-0008-0000-0300-0000B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61</xdr:row>
      <xdr:rowOff>0</xdr:rowOff>
    </xdr:from>
    <xdr:to>
      <xdr:col>14</xdr:col>
      <xdr:colOff>312963</xdr:colOff>
      <xdr:row>62</xdr:row>
      <xdr:rowOff>68036</xdr:rowOff>
    </xdr:to>
    <xdr:grpSp>
      <xdr:nvGrpSpPr>
        <xdr:cNvPr id="2238" name="Group 1008">
          <a:extLst>
            <a:ext uri="{FF2B5EF4-FFF2-40B4-BE49-F238E27FC236}">
              <a16:creationId xmlns:a16="http://schemas.microsoft.com/office/drawing/2014/main" id="{00000000-0008-0000-0300-0000BE080000}"/>
            </a:ext>
          </a:extLst>
        </xdr:cNvPr>
        <xdr:cNvGrpSpPr>
          <a:grpSpLocks/>
        </xdr:cNvGrpSpPr>
      </xdr:nvGrpSpPr>
      <xdr:grpSpPr bwMode="auto">
        <a:xfrm>
          <a:off x="9489281" y="14061281"/>
          <a:ext cx="312963" cy="270443"/>
          <a:chOff x="5475762" y="47760700"/>
          <a:chExt cx="314325" cy="230209"/>
        </a:xfrm>
      </xdr:grpSpPr>
      <xdr:cxnSp macro="">
        <xdr:nvCxnSpPr>
          <xdr:cNvPr id="2239" name="Straight Connector 2238">
            <a:extLst>
              <a:ext uri="{FF2B5EF4-FFF2-40B4-BE49-F238E27FC236}">
                <a16:creationId xmlns:a16="http://schemas.microsoft.com/office/drawing/2014/main" id="{00000000-0008-0000-0300-0000BF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0" name="Straight Connector 529">
            <a:extLst>
              <a:ext uri="{FF2B5EF4-FFF2-40B4-BE49-F238E27FC236}">
                <a16:creationId xmlns:a16="http://schemas.microsoft.com/office/drawing/2014/main" id="{00000000-0008-0000-0300-0000C0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1">
            <a:extLst>
              <a:ext uri="{FF2B5EF4-FFF2-40B4-BE49-F238E27FC236}">
                <a16:creationId xmlns:a16="http://schemas.microsoft.com/office/drawing/2014/main" id="{00000000-0008-0000-0300-0000C1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3">
            <a:extLst>
              <a:ext uri="{FF2B5EF4-FFF2-40B4-BE49-F238E27FC236}">
                <a16:creationId xmlns:a16="http://schemas.microsoft.com/office/drawing/2014/main" id="{00000000-0008-0000-0300-0000C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5">
            <a:extLst>
              <a:ext uri="{FF2B5EF4-FFF2-40B4-BE49-F238E27FC236}">
                <a16:creationId xmlns:a16="http://schemas.microsoft.com/office/drawing/2014/main" id="{00000000-0008-0000-0300-0000C3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4" name="Straight Connector 537">
            <a:extLst>
              <a:ext uri="{FF2B5EF4-FFF2-40B4-BE49-F238E27FC236}">
                <a16:creationId xmlns:a16="http://schemas.microsoft.com/office/drawing/2014/main" id="{00000000-0008-0000-0300-0000C4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0</xdr:rowOff>
    </xdr:from>
    <xdr:to>
      <xdr:col>16</xdr:col>
      <xdr:colOff>158965</xdr:colOff>
      <xdr:row>61</xdr:row>
      <xdr:rowOff>2050</xdr:rowOff>
    </xdr:to>
    <xdr:cxnSp macro="">
      <xdr:nvCxnSpPr>
        <xdr:cNvPr id="2245" name="Straight Connector 535">
          <a:extLst>
            <a:ext uri="{FF2B5EF4-FFF2-40B4-BE49-F238E27FC236}">
              <a16:creationId xmlns:a16="http://schemas.microsoft.com/office/drawing/2014/main" id="{00000000-0008-0000-0300-0000C5080000}"/>
            </a:ext>
          </a:extLst>
        </xdr:cNvPr>
        <xdr:cNvCxnSpPr>
          <a:cxnSpLocks noChangeShapeType="1"/>
        </xdr:cNvCxnSpPr>
      </xdr:nvCxnSpPr>
      <xdr:spPr bwMode="auto">
        <a:xfrm flipV="1">
          <a:off x="10925175" y="13868400"/>
          <a:ext cx="158965" cy="205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15</xdr:col>
      <xdr:colOff>666751</xdr:colOff>
      <xdr:row>60</xdr:row>
      <xdr:rowOff>190501</xdr:rowOff>
    </xdr:from>
    <xdr:to>
      <xdr:col>16</xdr:col>
      <xdr:colOff>299356</xdr:colOff>
      <xdr:row>62</xdr:row>
      <xdr:rowOff>54430</xdr:rowOff>
    </xdr:to>
    <xdr:grpSp>
      <xdr:nvGrpSpPr>
        <xdr:cNvPr id="2246" name="Group 1008">
          <a:extLst>
            <a:ext uri="{FF2B5EF4-FFF2-40B4-BE49-F238E27FC236}">
              <a16:creationId xmlns:a16="http://schemas.microsoft.com/office/drawing/2014/main" id="{00000000-0008-0000-0300-0000C6080000}"/>
            </a:ext>
          </a:extLst>
        </xdr:cNvPr>
        <xdr:cNvGrpSpPr>
          <a:grpSpLocks/>
        </xdr:cNvGrpSpPr>
      </xdr:nvGrpSpPr>
      <xdr:grpSpPr bwMode="auto">
        <a:xfrm>
          <a:off x="10751345" y="14037470"/>
          <a:ext cx="323167" cy="280648"/>
          <a:chOff x="5475762" y="47760700"/>
          <a:chExt cx="314325" cy="230209"/>
        </a:xfrm>
      </xdr:grpSpPr>
      <xdr:cxnSp macro="">
        <xdr:nvCxnSpPr>
          <xdr:cNvPr id="2247" name="Straight Connector 2246">
            <a:extLst>
              <a:ext uri="{FF2B5EF4-FFF2-40B4-BE49-F238E27FC236}">
                <a16:creationId xmlns:a16="http://schemas.microsoft.com/office/drawing/2014/main" id="{00000000-0008-0000-0300-0000C7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8" name="Straight Connector 529">
            <a:extLst>
              <a:ext uri="{FF2B5EF4-FFF2-40B4-BE49-F238E27FC236}">
                <a16:creationId xmlns:a16="http://schemas.microsoft.com/office/drawing/2014/main" id="{00000000-0008-0000-0300-0000C8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1">
            <a:extLst>
              <a:ext uri="{FF2B5EF4-FFF2-40B4-BE49-F238E27FC236}">
                <a16:creationId xmlns:a16="http://schemas.microsoft.com/office/drawing/2014/main" id="{00000000-0008-0000-0300-0000C9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3">
            <a:extLst>
              <a:ext uri="{FF2B5EF4-FFF2-40B4-BE49-F238E27FC236}">
                <a16:creationId xmlns:a16="http://schemas.microsoft.com/office/drawing/2014/main" id="{00000000-0008-0000-0300-0000CA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1" name="Straight Connector 535">
            <a:extLst>
              <a:ext uri="{FF2B5EF4-FFF2-40B4-BE49-F238E27FC236}">
                <a16:creationId xmlns:a16="http://schemas.microsoft.com/office/drawing/2014/main" id="{00000000-0008-0000-0300-0000C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2" name="Straight Connector 537">
            <a:extLst>
              <a:ext uri="{FF2B5EF4-FFF2-40B4-BE49-F238E27FC236}">
                <a16:creationId xmlns:a16="http://schemas.microsoft.com/office/drawing/2014/main" id="{00000000-0008-0000-0300-0000CC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160</xdr:row>
      <xdr:rowOff>0</xdr:rowOff>
    </xdr:from>
    <xdr:to>
      <xdr:col>16</xdr:col>
      <xdr:colOff>312963</xdr:colOff>
      <xdr:row>161</xdr:row>
      <xdr:rowOff>68037</xdr:rowOff>
    </xdr:to>
    <xdr:grpSp>
      <xdr:nvGrpSpPr>
        <xdr:cNvPr id="2253" name="Group 1008">
          <a:extLst>
            <a:ext uri="{FF2B5EF4-FFF2-40B4-BE49-F238E27FC236}">
              <a16:creationId xmlns:a16="http://schemas.microsoft.com/office/drawing/2014/main" id="{00000000-0008-0000-0300-0000CD080000}"/>
            </a:ext>
          </a:extLst>
        </xdr:cNvPr>
        <xdr:cNvGrpSpPr>
          <a:grpSpLocks/>
        </xdr:cNvGrpSpPr>
      </xdr:nvGrpSpPr>
      <xdr:grpSpPr bwMode="auto">
        <a:xfrm>
          <a:off x="10775156" y="34611469"/>
          <a:ext cx="312963" cy="270443"/>
          <a:chOff x="5475762" y="47760700"/>
          <a:chExt cx="314325" cy="230209"/>
        </a:xfrm>
      </xdr:grpSpPr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00000000-0008-0000-0300-0000CE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5" name="Straight Connector 529">
            <a:extLst>
              <a:ext uri="{FF2B5EF4-FFF2-40B4-BE49-F238E27FC236}">
                <a16:creationId xmlns:a16="http://schemas.microsoft.com/office/drawing/2014/main" id="{00000000-0008-0000-0300-0000CF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1">
            <a:extLst>
              <a:ext uri="{FF2B5EF4-FFF2-40B4-BE49-F238E27FC236}">
                <a16:creationId xmlns:a16="http://schemas.microsoft.com/office/drawing/2014/main" id="{00000000-0008-0000-0300-0000D0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3">
            <a:extLst>
              <a:ext uri="{FF2B5EF4-FFF2-40B4-BE49-F238E27FC236}">
                <a16:creationId xmlns:a16="http://schemas.microsoft.com/office/drawing/2014/main" id="{00000000-0008-0000-0300-0000D1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8" name="Straight Connector 535">
            <a:extLst>
              <a:ext uri="{FF2B5EF4-FFF2-40B4-BE49-F238E27FC236}">
                <a16:creationId xmlns:a16="http://schemas.microsoft.com/office/drawing/2014/main" id="{00000000-0008-0000-0300-0000D2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9" name="Straight Connector 537">
            <a:extLst>
              <a:ext uri="{FF2B5EF4-FFF2-40B4-BE49-F238E27FC236}">
                <a16:creationId xmlns:a16="http://schemas.microsoft.com/office/drawing/2014/main" id="{00000000-0008-0000-0300-0000D3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9</xdr:col>
      <xdr:colOff>734786</xdr:colOff>
      <xdr:row>60</xdr:row>
      <xdr:rowOff>136072</xdr:rowOff>
    </xdr:from>
    <xdr:to>
      <xdr:col>10</xdr:col>
      <xdr:colOff>272142</xdr:colOff>
      <xdr:row>62</xdr:row>
      <xdr:rowOff>1</xdr:rowOff>
    </xdr:to>
    <xdr:grpSp>
      <xdr:nvGrpSpPr>
        <xdr:cNvPr id="2260" name="Group 1008">
          <a:extLst>
            <a:ext uri="{FF2B5EF4-FFF2-40B4-BE49-F238E27FC236}">
              <a16:creationId xmlns:a16="http://schemas.microsoft.com/office/drawing/2014/main" id="{00000000-0008-0000-0300-0000D4080000}"/>
            </a:ext>
          </a:extLst>
        </xdr:cNvPr>
        <xdr:cNvGrpSpPr>
          <a:grpSpLocks/>
        </xdr:cNvGrpSpPr>
      </xdr:nvGrpSpPr>
      <xdr:grpSpPr bwMode="auto">
        <a:xfrm>
          <a:off x="6890317" y="13983041"/>
          <a:ext cx="311263" cy="280648"/>
          <a:chOff x="5475762" y="47760700"/>
          <a:chExt cx="314325" cy="230209"/>
        </a:xfrm>
      </xdr:grpSpPr>
      <xdr:cxnSp macro="">
        <xdr:nvCxnSpPr>
          <xdr:cNvPr id="2261" name="Straight Connector 2260">
            <a:extLst>
              <a:ext uri="{FF2B5EF4-FFF2-40B4-BE49-F238E27FC236}">
                <a16:creationId xmlns:a16="http://schemas.microsoft.com/office/drawing/2014/main" id="{00000000-0008-0000-0300-0000D5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2" name="Straight Connector 529">
            <a:extLst>
              <a:ext uri="{FF2B5EF4-FFF2-40B4-BE49-F238E27FC236}">
                <a16:creationId xmlns:a16="http://schemas.microsoft.com/office/drawing/2014/main" id="{00000000-0008-0000-0300-0000D6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1">
            <a:extLst>
              <a:ext uri="{FF2B5EF4-FFF2-40B4-BE49-F238E27FC236}">
                <a16:creationId xmlns:a16="http://schemas.microsoft.com/office/drawing/2014/main" id="{00000000-0008-0000-0300-0000D7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3">
            <a:extLst>
              <a:ext uri="{FF2B5EF4-FFF2-40B4-BE49-F238E27FC236}">
                <a16:creationId xmlns:a16="http://schemas.microsoft.com/office/drawing/2014/main" id="{00000000-0008-0000-0300-0000D8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5" name="Straight Connector 535">
            <a:extLst>
              <a:ext uri="{FF2B5EF4-FFF2-40B4-BE49-F238E27FC236}">
                <a16:creationId xmlns:a16="http://schemas.microsoft.com/office/drawing/2014/main" id="{00000000-0008-0000-0300-0000D9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6" name="Straight Connector 537">
            <a:extLst>
              <a:ext uri="{FF2B5EF4-FFF2-40B4-BE49-F238E27FC236}">
                <a16:creationId xmlns:a16="http://schemas.microsoft.com/office/drawing/2014/main" id="{00000000-0008-0000-0300-0000DA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11</xdr:col>
      <xdr:colOff>707572</xdr:colOff>
      <xdr:row>60</xdr:row>
      <xdr:rowOff>149679</xdr:rowOff>
    </xdr:from>
    <xdr:to>
      <xdr:col>12</xdr:col>
      <xdr:colOff>299356</xdr:colOff>
      <xdr:row>62</xdr:row>
      <xdr:rowOff>13608</xdr:rowOff>
    </xdr:to>
    <xdr:grpSp>
      <xdr:nvGrpSpPr>
        <xdr:cNvPr id="2267" name="Group 1008">
          <a:extLst>
            <a:ext uri="{FF2B5EF4-FFF2-40B4-BE49-F238E27FC236}">
              <a16:creationId xmlns:a16="http://schemas.microsoft.com/office/drawing/2014/main" id="{00000000-0008-0000-0300-0000DB080000}"/>
            </a:ext>
          </a:extLst>
        </xdr:cNvPr>
        <xdr:cNvGrpSpPr>
          <a:grpSpLocks/>
        </xdr:cNvGrpSpPr>
      </xdr:nvGrpSpPr>
      <xdr:grpSpPr bwMode="auto">
        <a:xfrm>
          <a:off x="8232322" y="13996648"/>
          <a:ext cx="318065" cy="280648"/>
          <a:chOff x="5475762" y="47760700"/>
          <a:chExt cx="314325" cy="230209"/>
        </a:xfrm>
      </xdr:grpSpPr>
      <xdr:cxnSp macro="">
        <xdr:nvCxnSpPr>
          <xdr:cNvPr id="2268" name="Straight Connector 2267">
            <a:extLst>
              <a:ext uri="{FF2B5EF4-FFF2-40B4-BE49-F238E27FC236}">
                <a16:creationId xmlns:a16="http://schemas.microsoft.com/office/drawing/2014/main" id="{00000000-0008-0000-0300-0000DC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9" name="Straight Connector 529">
            <a:extLst>
              <a:ext uri="{FF2B5EF4-FFF2-40B4-BE49-F238E27FC236}">
                <a16:creationId xmlns:a16="http://schemas.microsoft.com/office/drawing/2014/main" id="{00000000-0008-0000-0300-0000DD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1">
            <a:extLst>
              <a:ext uri="{FF2B5EF4-FFF2-40B4-BE49-F238E27FC236}">
                <a16:creationId xmlns:a16="http://schemas.microsoft.com/office/drawing/2014/main" id="{00000000-0008-0000-0300-0000DE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3">
            <a:extLst>
              <a:ext uri="{FF2B5EF4-FFF2-40B4-BE49-F238E27FC236}">
                <a16:creationId xmlns:a16="http://schemas.microsoft.com/office/drawing/2014/main" id="{00000000-0008-0000-0300-0000DF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2" name="Straight Connector 535">
            <a:extLst>
              <a:ext uri="{FF2B5EF4-FFF2-40B4-BE49-F238E27FC236}">
                <a16:creationId xmlns:a16="http://schemas.microsoft.com/office/drawing/2014/main" id="{00000000-0008-0000-0300-0000E0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3" name="Straight Connector 537">
            <a:extLst>
              <a:ext uri="{FF2B5EF4-FFF2-40B4-BE49-F238E27FC236}">
                <a16:creationId xmlns:a16="http://schemas.microsoft.com/office/drawing/2014/main" id="{00000000-0008-0000-0300-0000E1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153</xdr:row>
      <xdr:rowOff>0</xdr:rowOff>
    </xdr:from>
    <xdr:to>
      <xdr:col>20</xdr:col>
      <xdr:colOff>312963</xdr:colOff>
      <xdr:row>154</xdr:row>
      <xdr:rowOff>68037</xdr:rowOff>
    </xdr:to>
    <xdr:grpSp>
      <xdr:nvGrpSpPr>
        <xdr:cNvPr id="2274" name="Group 1008">
          <a:extLst>
            <a:ext uri="{FF2B5EF4-FFF2-40B4-BE49-F238E27FC236}">
              <a16:creationId xmlns:a16="http://schemas.microsoft.com/office/drawing/2014/main" id="{00000000-0008-0000-0300-0000E2080000}"/>
            </a:ext>
          </a:extLst>
        </xdr:cNvPr>
        <xdr:cNvGrpSpPr>
          <a:grpSpLocks/>
        </xdr:cNvGrpSpPr>
      </xdr:nvGrpSpPr>
      <xdr:grpSpPr bwMode="auto">
        <a:xfrm>
          <a:off x="13251656" y="33158906"/>
          <a:ext cx="312963" cy="270444"/>
          <a:chOff x="5475762" y="47760700"/>
          <a:chExt cx="314325" cy="230209"/>
        </a:xfrm>
      </xdr:grpSpPr>
      <xdr:cxnSp macro="">
        <xdr:nvCxnSpPr>
          <xdr:cNvPr id="2275" name="Straight Connector 2274">
            <a:extLst>
              <a:ext uri="{FF2B5EF4-FFF2-40B4-BE49-F238E27FC236}">
                <a16:creationId xmlns:a16="http://schemas.microsoft.com/office/drawing/2014/main" id="{00000000-0008-0000-0300-0000E3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6" name="Straight Connector 529">
            <a:extLst>
              <a:ext uri="{FF2B5EF4-FFF2-40B4-BE49-F238E27FC236}">
                <a16:creationId xmlns:a16="http://schemas.microsoft.com/office/drawing/2014/main" id="{00000000-0008-0000-0300-0000E4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1">
            <a:extLst>
              <a:ext uri="{FF2B5EF4-FFF2-40B4-BE49-F238E27FC236}">
                <a16:creationId xmlns:a16="http://schemas.microsoft.com/office/drawing/2014/main" id="{00000000-0008-0000-0300-0000E5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3">
            <a:extLst>
              <a:ext uri="{FF2B5EF4-FFF2-40B4-BE49-F238E27FC236}">
                <a16:creationId xmlns:a16="http://schemas.microsoft.com/office/drawing/2014/main" id="{00000000-0008-0000-0300-0000E6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9" name="Straight Connector 535">
            <a:extLst>
              <a:ext uri="{FF2B5EF4-FFF2-40B4-BE49-F238E27FC236}">
                <a16:creationId xmlns:a16="http://schemas.microsoft.com/office/drawing/2014/main" id="{00000000-0008-0000-0300-0000E7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0" name="Straight Connector 537">
            <a:extLst>
              <a:ext uri="{FF2B5EF4-FFF2-40B4-BE49-F238E27FC236}">
                <a16:creationId xmlns:a16="http://schemas.microsoft.com/office/drawing/2014/main" id="{00000000-0008-0000-0300-0000E8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89</xdr:row>
      <xdr:rowOff>0</xdr:rowOff>
    </xdr:from>
    <xdr:to>
      <xdr:col>22</xdr:col>
      <xdr:colOff>312963</xdr:colOff>
      <xdr:row>90</xdr:row>
      <xdr:rowOff>68036</xdr:rowOff>
    </xdr:to>
    <xdr:grpSp>
      <xdr:nvGrpSpPr>
        <xdr:cNvPr id="2281" name="Group 1008">
          <a:extLst>
            <a:ext uri="{FF2B5EF4-FFF2-40B4-BE49-F238E27FC236}">
              <a16:creationId xmlns:a16="http://schemas.microsoft.com/office/drawing/2014/main" id="{00000000-0008-0000-0300-0000E9080000}"/>
            </a:ext>
          </a:extLst>
        </xdr:cNvPr>
        <xdr:cNvGrpSpPr>
          <a:grpSpLocks/>
        </xdr:cNvGrpSpPr>
      </xdr:nvGrpSpPr>
      <xdr:grpSpPr bwMode="auto">
        <a:xfrm>
          <a:off x="14573250" y="19859625"/>
          <a:ext cx="312963" cy="270442"/>
          <a:chOff x="5475762" y="47760700"/>
          <a:chExt cx="314325" cy="230209"/>
        </a:xfrm>
      </xdr:grpSpPr>
      <xdr:cxnSp macro="">
        <xdr:nvCxnSpPr>
          <xdr:cNvPr id="2282" name="Straight Connector 2281">
            <a:extLst>
              <a:ext uri="{FF2B5EF4-FFF2-40B4-BE49-F238E27FC236}">
                <a16:creationId xmlns:a16="http://schemas.microsoft.com/office/drawing/2014/main" id="{00000000-0008-0000-0300-0000EA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3" name="Straight Connector 529">
            <a:extLst>
              <a:ext uri="{FF2B5EF4-FFF2-40B4-BE49-F238E27FC236}">
                <a16:creationId xmlns:a16="http://schemas.microsoft.com/office/drawing/2014/main" id="{00000000-0008-0000-0300-0000EB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1">
            <a:extLst>
              <a:ext uri="{FF2B5EF4-FFF2-40B4-BE49-F238E27FC236}">
                <a16:creationId xmlns:a16="http://schemas.microsoft.com/office/drawing/2014/main" id="{00000000-0008-0000-0300-0000EC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3">
            <a:extLst>
              <a:ext uri="{FF2B5EF4-FFF2-40B4-BE49-F238E27FC236}">
                <a16:creationId xmlns:a16="http://schemas.microsoft.com/office/drawing/2014/main" id="{00000000-0008-0000-0300-0000ED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6" name="Straight Connector 535">
            <a:extLst>
              <a:ext uri="{FF2B5EF4-FFF2-40B4-BE49-F238E27FC236}">
                <a16:creationId xmlns:a16="http://schemas.microsoft.com/office/drawing/2014/main" id="{00000000-0008-0000-0300-0000EE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7" name="Straight Connector 537">
            <a:extLst>
              <a:ext uri="{FF2B5EF4-FFF2-40B4-BE49-F238E27FC236}">
                <a16:creationId xmlns:a16="http://schemas.microsoft.com/office/drawing/2014/main" id="{00000000-0008-0000-0300-0000EF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160</xdr:row>
      <xdr:rowOff>0</xdr:rowOff>
    </xdr:from>
    <xdr:to>
      <xdr:col>18</xdr:col>
      <xdr:colOff>312963</xdr:colOff>
      <xdr:row>161</xdr:row>
      <xdr:rowOff>68037</xdr:rowOff>
    </xdr:to>
    <xdr:grpSp>
      <xdr:nvGrpSpPr>
        <xdr:cNvPr id="2288" name="Group 1008">
          <a:extLst>
            <a:ext uri="{FF2B5EF4-FFF2-40B4-BE49-F238E27FC236}">
              <a16:creationId xmlns:a16="http://schemas.microsoft.com/office/drawing/2014/main" id="{00000000-0008-0000-0300-0000F0080000}"/>
            </a:ext>
          </a:extLst>
        </xdr:cNvPr>
        <xdr:cNvGrpSpPr>
          <a:grpSpLocks/>
        </xdr:cNvGrpSpPr>
      </xdr:nvGrpSpPr>
      <xdr:grpSpPr bwMode="auto">
        <a:xfrm>
          <a:off x="12108656" y="34611469"/>
          <a:ext cx="312963" cy="270443"/>
          <a:chOff x="5475762" y="47760700"/>
          <a:chExt cx="314325" cy="230209"/>
        </a:xfrm>
      </xdr:grpSpPr>
      <xdr:cxnSp macro="">
        <xdr:nvCxnSpPr>
          <xdr:cNvPr id="2289" name="Straight Connector 2288">
            <a:extLst>
              <a:ext uri="{FF2B5EF4-FFF2-40B4-BE49-F238E27FC236}">
                <a16:creationId xmlns:a16="http://schemas.microsoft.com/office/drawing/2014/main" id="{00000000-0008-0000-0300-0000F1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0" name="Straight Connector 529">
            <a:extLst>
              <a:ext uri="{FF2B5EF4-FFF2-40B4-BE49-F238E27FC236}">
                <a16:creationId xmlns:a16="http://schemas.microsoft.com/office/drawing/2014/main" id="{00000000-0008-0000-0300-0000F2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1">
            <a:extLst>
              <a:ext uri="{FF2B5EF4-FFF2-40B4-BE49-F238E27FC236}">
                <a16:creationId xmlns:a16="http://schemas.microsoft.com/office/drawing/2014/main" id="{00000000-0008-0000-0300-0000F3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3">
            <a:extLst>
              <a:ext uri="{FF2B5EF4-FFF2-40B4-BE49-F238E27FC236}">
                <a16:creationId xmlns:a16="http://schemas.microsoft.com/office/drawing/2014/main" id="{00000000-0008-0000-0300-0000F4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3" name="Straight Connector 535">
            <a:extLst>
              <a:ext uri="{FF2B5EF4-FFF2-40B4-BE49-F238E27FC236}">
                <a16:creationId xmlns:a16="http://schemas.microsoft.com/office/drawing/2014/main" id="{00000000-0008-0000-0300-0000F5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4" name="Straight Connector 537">
            <a:extLst>
              <a:ext uri="{FF2B5EF4-FFF2-40B4-BE49-F238E27FC236}">
                <a16:creationId xmlns:a16="http://schemas.microsoft.com/office/drawing/2014/main" id="{00000000-0008-0000-0300-0000F608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146</xdr:row>
      <xdr:rowOff>0</xdr:rowOff>
    </xdr:from>
    <xdr:to>
      <xdr:col>14</xdr:col>
      <xdr:colOff>312963</xdr:colOff>
      <xdr:row>147</xdr:row>
      <xdr:rowOff>68036</xdr:rowOff>
    </xdr:to>
    <xdr:grpSp>
      <xdr:nvGrpSpPr>
        <xdr:cNvPr id="2295" name="Group 1008">
          <a:extLst>
            <a:ext uri="{FF2B5EF4-FFF2-40B4-BE49-F238E27FC236}">
              <a16:creationId xmlns:a16="http://schemas.microsoft.com/office/drawing/2014/main" id="{00000000-0008-0000-0300-0000F7080000}"/>
            </a:ext>
          </a:extLst>
        </xdr:cNvPr>
        <xdr:cNvGrpSpPr>
          <a:grpSpLocks/>
        </xdr:cNvGrpSpPr>
      </xdr:nvGrpSpPr>
      <xdr:grpSpPr bwMode="auto">
        <a:xfrm>
          <a:off x="9489281" y="31706344"/>
          <a:ext cx="312963" cy="270442"/>
          <a:chOff x="5475762" y="47760700"/>
          <a:chExt cx="314325" cy="230209"/>
        </a:xfrm>
      </xdr:grpSpPr>
      <xdr:cxnSp macro="">
        <xdr:nvCxnSpPr>
          <xdr:cNvPr id="2296" name="Straight Connector 2295">
            <a:extLst>
              <a:ext uri="{FF2B5EF4-FFF2-40B4-BE49-F238E27FC236}">
                <a16:creationId xmlns:a16="http://schemas.microsoft.com/office/drawing/2014/main" id="{00000000-0008-0000-0300-0000F8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7" name="Straight Connector 529">
            <a:extLst>
              <a:ext uri="{FF2B5EF4-FFF2-40B4-BE49-F238E27FC236}">
                <a16:creationId xmlns:a16="http://schemas.microsoft.com/office/drawing/2014/main" id="{00000000-0008-0000-0300-0000F908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1">
            <a:extLst>
              <a:ext uri="{FF2B5EF4-FFF2-40B4-BE49-F238E27FC236}">
                <a16:creationId xmlns:a16="http://schemas.microsoft.com/office/drawing/2014/main" id="{00000000-0008-0000-0300-0000FA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3">
            <a:extLst>
              <a:ext uri="{FF2B5EF4-FFF2-40B4-BE49-F238E27FC236}">
                <a16:creationId xmlns:a16="http://schemas.microsoft.com/office/drawing/2014/main" id="{00000000-0008-0000-0300-0000FB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0" name="Straight Connector 535">
            <a:extLst>
              <a:ext uri="{FF2B5EF4-FFF2-40B4-BE49-F238E27FC236}">
                <a16:creationId xmlns:a16="http://schemas.microsoft.com/office/drawing/2014/main" id="{00000000-0008-0000-0300-0000FC08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1" name="Straight Connector 537">
            <a:extLst>
              <a:ext uri="{FF2B5EF4-FFF2-40B4-BE49-F238E27FC236}">
                <a16:creationId xmlns:a16="http://schemas.microsoft.com/office/drawing/2014/main" id="{00000000-0008-0000-0300-0000FD08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146</xdr:row>
      <xdr:rowOff>0</xdr:rowOff>
    </xdr:from>
    <xdr:to>
      <xdr:col>18</xdr:col>
      <xdr:colOff>312963</xdr:colOff>
      <xdr:row>147</xdr:row>
      <xdr:rowOff>68036</xdr:rowOff>
    </xdr:to>
    <xdr:grpSp>
      <xdr:nvGrpSpPr>
        <xdr:cNvPr id="2302" name="Group 1008">
          <a:extLst>
            <a:ext uri="{FF2B5EF4-FFF2-40B4-BE49-F238E27FC236}">
              <a16:creationId xmlns:a16="http://schemas.microsoft.com/office/drawing/2014/main" id="{00000000-0008-0000-0300-0000FE080000}"/>
            </a:ext>
          </a:extLst>
        </xdr:cNvPr>
        <xdr:cNvGrpSpPr>
          <a:grpSpLocks/>
        </xdr:cNvGrpSpPr>
      </xdr:nvGrpSpPr>
      <xdr:grpSpPr bwMode="auto">
        <a:xfrm>
          <a:off x="12108656" y="31706344"/>
          <a:ext cx="312963" cy="270442"/>
          <a:chOff x="5475762" y="47760700"/>
          <a:chExt cx="314325" cy="230209"/>
        </a:xfrm>
      </xdr:grpSpPr>
      <xdr:cxnSp macro="">
        <xdr:nvCxnSpPr>
          <xdr:cNvPr id="2303" name="Straight Connector 2302">
            <a:extLst>
              <a:ext uri="{FF2B5EF4-FFF2-40B4-BE49-F238E27FC236}">
                <a16:creationId xmlns:a16="http://schemas.microsoft.com/office/drawing/2014/main" id="{00000000-0008-0000-0300-0000FF08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4" name="Straight Connector 529">
            <a:extLst>
              <a:ext uri="{FF2B5EF4-FFF2-40B4-BE49-F238E27FC236}">
                <a16:creationId xmlns:a16="http://schemas.microsoft.com/office/drawing/2014/main" id="{00000000-0008-0000-0300-000000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1">
            <a:extLst>
              <a:ext uri="{FF2B5EF4-FFF2-40B4-BE49-F238E27FC236}">
                <a16:creationId xmlns:a16="http://schemas.microsoft.com/office/drawing/2014/main" id="{00000000-0008-0000-0300-00000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3">
            <a:extLst>
              <a:ext uri="{FF2B5EF4-FFF2-40B4-BE49-F238E27FC236}">
                <a16:creationId xmlns:a16="http://schemas.microsoft.com/office/drawing/2014/main" id="{00000000-0008-0000-0300-00000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7" name="Straight Connector 535">
            <a:extLst>
              <a:ext uri="{FF2B5EF4-FFF2-40B4-BE49-F238E27FC236}">
                <a16:creationId xmlns:a16="http://schemas.microsoft.com/office/drawing/2014/main" id="{00000000-0008-0000-0300-00000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8" name="Straight Connector 537">
            <a:extLst>
              <a:ext uri="{FF2B5EF4-FFF2-40B4-BE49-F238E27FC236}">
                <a16:creationId xmlns:a16="http://schemas.microsoft.com/office/drawing/2014/main" id="{00000000-0008-0000-0300-00000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146</xdr:row>
      <xdr:rowOff>0</xdr:rowOff>
    </xdr:from>
    <xdr:to>
      <xdr:col>10</xdr:col>
      <xdr:colOff>312963</xdr:colOff>
      <xdr:row>147</xdr:row>
      <xdr:rowOff>68036</xdr:rowOff>
    </xdr:to>
    <xdr:grpSp>
      <xdr:nvGrpSpPr>
        <xdr:cNvPr id="2309" name="Group 1008">
          <a:extLst>
            <a:ext uri="{FF2B5EF4-FFF2-40B4-BE49-F238E27FC236}">
              <a16:creationId xmlns:a16="http://schemas.microsoft.com/office/drawing/2014/main" id="{00000000-0008-0000-0300-000005090000}"/>
            </a:ext>
          </a:extLst>
        </xdr:cNvPr>
        <xdr:cNvGrpSpPr>
          <a:grpSpLocks/>
        </xdr:cNvGrpSpPr>
      </xdr:nvGrpSpPr>
      <xdr:grpSpPr bwMode="auto">
        <a:xfrm>
          <a:off x="6929438" y="31706344"/>
          <a:ext cx="312963" cy="270442"/>
          <a:chOff x="5475762" y="47760700"/>
          <a:chExt cx="314325" cy="230209"/>
        </a:xfrm>
      </xdr:grpSpPr>
      <xdr:cxnSp macro="">
        <xdr:nvCxnSpPr>
          <xdr:cNvPr id="2310" name="Straight Connector 2309">
            <a:extLst>
              <a:ext uri="{FF2B5EF4-FFF2-40B4-BE49-F238E27FC236}">
                <a16:creationId xmlns:a16="http://schemas.microsoft.com/office/drawing/2014/main" id="{00000000-0008-0000-0300-000006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1" name="Straight Connector 529">
            <a:extLst>
              <a:ext uri="{FF2B5EF4-FFF2-40B4-BE49-F238E27FC236}">
                <a16:creationId xmlns:a16="http://schemas.microsoft.com/office/drawing/2014/main" id="{00000000-0008-0000-0300-000007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1">
            <a:extLst>
              <a:ext uri="{FF2B5EF4-FFF2-40B4-BE49-F238E27FC236}">
                <a16:creationId xmlns:a16="http://schemas.microsoft.com/office/drawing/2014/main" id="{00000000-0008-0000-0300-00000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3">
            <a:extLst>
              <a:ext uri="{FF2B5EF4-FFF2-40B4-BE49-F238E27FC236}">
                <a16:creationId xmlns:a16="http://schemas.microsoft.com/office/drawing/2014/main" id="{00000000-0008-0000-0300-00000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4" name="Straight Connector 535">
            <a:extLst>
              <a:ext uri="{FF2B5EF4-FFF2-40B4-BE49-F238E27FC236}">
                <a16:creationId xmlns:a16="http://schemas.microsoft.com/office/drawing/2014/main" id="{00000000-0008-0000-0300-00000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5" name="Straight Connector 537">
            <a:extLst>
              <a:ext uri="{FF2B5EF4-FFF2-40B4-BE49-F238E27FC236}">
                <a16:creationId xmlns:a16="http://schemas.microsoft.com/office/drawing/2014/main" id="{00000000-0008-0000-0300-00000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153</xdr:row>
      <xdr:rowOff>0</xdr:rowOff>
    </xdr:from>
    <xdr:to>
      <xdr:col>22</xdr:col>
      <xdr:colOff>312963</xdr:colOff>
      <xdr:row>154</xdr:row>
      <xdr:rowOff>68036</xdr:rowOff>
    </xdr:to>
    <xdr:grpSp>
      <xdr:nvGrpSpPr>
        <xdr:cNvPr id="2316" name="Group 1008">
          <a:extLst>
            <a:ext uri="{FF2B5EF4-FFF2-40B4-BE49-F238E27FC236}">
              <a16:creationId xmlns:a16="http://schemas.microsoft.com/office/drawing/2014/main" id="{00000000-0008-0000-0300-00000C090000}"/>
            </a:ext>
          </a:extLst>
        </xdr:cNvPr>
        <xdr:cNvGrpSpPr>
          <a:grpSpLocks/>
        </xdr:cNvGrpSpPr>
      </xdr:nvGrpSpPr>
      <xdr:grpSpPr bwMode="auto">
        <a:xfrm>
          <a:off x="14573250" y="33158906"/>
          <a:ext cx="312963" cy="270443"/>
          <a:chOff x="5475762" y="47760700"/>
          <a:chExt cx="314325" cy="230209"/>
        </a:xfrm>
      </xdr:grpSpPr>
      <xdr:cxnSp macro="">
        <xdr:nvCxnSpPr>
          <xdr:cNvPr id="2317" name="Straight Connector 2316">
            <a:extLst>
              <a:ext uri="{FF2B5EF4-FFF2-40B4-BE49-F238E27FC236}">
                <a16:creationId xmlns:a16="http://schemas.microsoft.com/office/drawing/2014/main" id="{00000000-0008-0000-0300-00000D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8" name="Straight Connector 529">
            <a:extLst>
              <a:ext uri="{FF2B5EF4-FFF2-40B4-BE49-F238E27FC236}">
                <a16:creationId xmlns:a16="http://schemas.microsoft.com/office/drawing/2014/main" id="{00000000-0008-0000-0300-00000E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1">
            <a:extLst>
              <a:ext uri="{FF2B5EF4-FFF2-40B4-BE49-F238E27FC236}">
                <a16:creationId xmlns:a16="http://schemas.microsoft.com/office/drawing/2014/main" id="{00000000-0008-0000-0300-00000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3">
            <a:extLst>
              <a:ext uri="{FF2B5EF4-FFF2-40B4-BE49-F238E27FC236}">
                <a16:creationId xmlns:a16="http://schemas.microsoft.com/office/drawing/2014/main" id="{00000000-0008-0000-0300-00001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1" name="Straight Connector 535">
            <a:extLst>
              <a:ext uri="{FF2B5EF4-FFF2-40B4-BE49-F238E27FC236}">
                <a16:creationId xmlns:a16="http://schemas.microsoft.com/office/drawing/2014/main" id="{00000000-0008-0000-0300-00001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2" name="Straight Connector 537">
            <a:extLst>
              <a:ext uri="{FF2B5EF4-FFF2-40B4-BE49-F238E27FC236}">
                <a16:creationId xmlns:a16="http://schemas.microsoft.com/office/drawing/2014/main" id="{00000000-0008-0000-0300-00001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68</xdr:row>
      <xdr:rowOff>0</xdr:rowOff>
    </xdr:from>
    <xdr:to>
      <xdr:col>8</xdr:col>
      <xdr:colOff>312963</xdr:colOff>
      <xdr:row>69</xdr:row>
      <xdr:rowOff>68035</xdr:rowOff>
    </xdr:to>
    <xdr:grpSp>
      <xdr:nvGrpSpPr>
        <xdr:cNvPr id="2323" name="Group 1008">
          <a:extLst>
            <a:ext uri="{FF2B5EF4-FFF2-40B4-BE49-F238E27FC236}">
              <a16:creationId xmlns:a16="http://schemas.microsoft.com/office/drawing/2014/main" id="{00000000-0008-0000-0300-000013090000}"/>
            </a:ext>
          </a:extLst>
        </xdr:cNvPr>
        <xdr:cNvGrpSpPr>
          <a:grpSpLocks/>
        </xdr:cNvGrpSpPr>
      </xdr:nvGrpSpPr>
      <xdr:grpSpPr bwMode="auto">
        <a:xfrm>
          <a:off x="5500688" y="15513844"/>
          <a:ext cx="312963" cy="270441"/>
          <a:chOff x="5475762" y="47760700"/>
          <a:chExt cx="314325" cy="230209"/>
        </a:xfrm>
      </xdr:grpSpPr>
      <xdr:cxnSp macro="">
        <xdr:nvCxnSpPr>
          <xdr:cNvPr id="2324" name="Straight Connector 2323">
            <a:extLst>
              <a:ext uri="{FF2B5EF4-FFF2-40B4-BE49-F238E27FC236}">
                <a16:creationId xmlns:a16="http://schemas.microsoft.com/office/drawing/2014/main" id="{00000000-0008-0000-0300-000014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5" name="Straight Connector 529">
            <a:extLst>
              <a:ext uri="{FF2B5EF4-FFF2-40B4-BE49-F238E27FC236}">
                <a16:creationId xmlns:a16="http://schemas.microsoft.com/office/drawing/2014/main" id="{00000000-0008-0000-0300-000015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1">
            <a:extLst>
              <a:ext uri="{FF2B5EF4-FFF2-40B4-BE49-F238E27FC236}">
                <a16:creationId xmlns:a16="http://schemas.microsoft.com/office/drawing/2014/main" id="{00000000-0008-0000-0300-00001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3">
            <a:extLst>
              <a:ext uri="{FF2B5EF4-FFF2-40B4-BE49-F238E27FC236}">
                <a16:creationId xmlns:a16="http://schemas.microsoft.com/office/drawing/2014/main" id="{00000000-0008-0000-0300-00001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8" name="Straight Connector 535">
            <a:extLst>
              <a:ext uri="{FF2B5EF4-FFF2-40B4-BE49-F238E27FC236}">
                <a16:creationId xmlns:a16="http://schemas.microsoft.com/office/drawing/2014/main" id="{00000000-0008-0000-0300-00001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9" name="Straight Connector 537">
            <a:extLst>
              <a:ext uri="{FF2B5EF4-FFF2-40B4-BE49-F238E27FC236}">
                <a16:creationId xmlns:a16="http://schemas.microsoft.com/office/drawing/2014/main" id="{00000000-0008-0000-0300-00001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0</xdr:col>
      <xdr:colOff>54429</xdr:colOff>
      <xdr:row>18</xdr:row>
      <xdr:rowOff>190500</xdr:rowOff>
    </xdr:from>
    <xdr:to>
      <xdr:col>0</xdr:col>
      <xdr:colOff>557893</xdr:colOff>
      <xdr:row>18</xdr:row>
      <xdr:rowOff>192088</xdr:rowOff>
    </xdr:to>
    <xdr:cxnSp macro="">
      <xdr:nvCxnSpPr>
        <xdr:cNvPr id="2330" name="Straight Connector 2329">
          <a:extLst>
            <a:ext uri="{FF2B5EF4-FFF2-40B4-BE49-F238E27FC236}">
              <a16:creationId xmlns:a16="http://schemas.microsoft.com/office/drawing/2014/main" id="{00000000-0008-0000-0300-00001A090000}"/>
            </a:ext>
          </a:extLst>
        </xdr:cNvPr>
        <xdr:cNvCxnSpPr/>
      </xdr:nvCxnSpPr>
      <xdr:spPr>
        <a:xfrm>
          <a:off x="54429" y="5276850"/>
          <a:ext cx="503464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54429</xdr:colOff>
      <xdr:row>43</xdr:row>
      <xdr:rowOff>190499</xdr:rowOff>
    </xdr:from>
    <xdr:to>
      <xdr:col>14</xdr:col>
      <xdr:colOff>249966</xdr:colOff>
      <xdr:row>47</xdr:row>
      <xdr:rowOff>137468</xdr:rowOff>
    </xdr:to>
    <xdr:pic>
      <xdr:nvPicPr>
        <xdr:cNvPr id="2331" name="Picture 11595">
          <a:extLst>
            <a:ext uri="{FF2B5EF4-FFF2-40B4-BE49-F238E27FC236}">
              <a16:creationId xmlns:a16="http://schemas.microsoft.com/office/drawing/2014/main" id="{00000000-0008-0000-03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693729" y="10372724"/>
          <a:ext cx="195537" cy="775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734785</xdr:colOff>
      <xdr:row>45</xdr:row>
      <xdr:rowOff>190500</xdr:rowOff>
    </xdr:from>
    <xdr:to>
      <xdr:col>14</xdr:col>
      <xdr:colOff>557893</xdr:colOff>
      <xdr:row>46</xdr:row>
      <xdr:rowOff>2</xdr:rowOff>
    </xdr:to>
    <xdr:cxnSp macro="">
      <xdr:nvCxnSpPr>
        <xdr:cNvPr id="2332" name="Straight Connector 2331">
          <a:extLst>
            <a:ext uri="{FF2B5EF4-FFF2-40B4-BE49-F238E27FC236}">
              <a16:creationId xmlns:a16="http://schemas.microsoft.com/office/drawing/2014/main" id="{00000000-0008-0000-0300-00001C090000}"/>
            </a:ext>
          </a:extLst>
        </xdr:cNvPr>
        <xdr:cNvCxnSpPr/>
      </xdr:nvCxnSpPr>
      <xdr:spPr>
        <a:xfrm flipV="1">
          <a:off x="9612085" y="10782300"/>
          <a:ext cx="585108" cy="1905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188</xdr:row>
      <xdr:rowOff>0</xdr:rowOff>
    </xdr:from>
    <xdr:to>
      <xdr:col>8</xdr:col>
      <xdr:colOff>312963</xdr:colOff>
      <xdr:row>189</xdr:row>
      <xdr:rowOff>68036</xdr:rowOff>
    </xdr:to>
    <xdr:grpSp>
      <xdr:nvGrpSpPr>
        <xdr:cNvPr id="2333" name="Group 1008">
          <a:extLst>
            <a:ext uri="{FF2B5EF4-FFF2-40B4-BE49-F238E27FC236}">
              <a16:creationId xmlns:a16="http://schemas.microsoft.com/office/drawing/2014/main" id="{00000000-0008-0000-0300-00001D090000}"/>
            </a:ext>
          </a:extLst>
        </xdr:cNvPr>
        <xdr:cNvGrpSpPr>
          <a:grpSpLocks/>
        </xdr:cNvGrpSpPr>
      </xdr:nvGrpSpPr>
      <xdr:grpSpPr bwMode="auto">
        <a:xfrm>
          <a:off x="5500688" y="40421719"/>
          <a:ext cx="312963" cy="270442"/>
          <a:chOff x="5475762" y="47760700"/>
          <a:chExt cx="314325" cy="230209"/>
        </a:xfrm>
      </xdr:grpSpPr>
      <xdr:cxnSp macro="">
        <xdr:nvCxnSpPr>
          <xdr:cNvPr id="2334" name="Straight Connector 2333">
            <a:extLst>
              <a:ext uri="{FF2B5EF4-FFF2-40B4-BE49-F238E27FC236}">
                <a16:creationId xmlns:a16="http://schemas.microsoft.com/office/drawing/2014/main" id="{00000000-0008-0000-0300-00001E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5" name="Straight Connector 529">
            <a:extLst>
              <a:ext uri="{FF2B5EF4-FFF2-40B4-BE49-F238E27FC236}">
                <a16:creationId xmlns:a16="http://schemas.microsoft.com/office/drawing/2014/main" id="{00000000-0008-0000-0300-00001F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6" name="Straight Connector 531">
            <a:extLst>
              <a:ext uri="{FF2B5EF4-FFF2-40B4-BE49-F238E27FC236}">
                <a16:creationId xmlns:a16="http://schemas.microsoft.com/office/drawing/2014/main" id="{00000000-0008-0000-0300-000020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7" name="Straight Connector 533">
            <a:extLst>
              <a:ext uri="{FF2B5EF4-FFF2-40B4-BE49-F238E27FC236}">
                <a16:creationId xmlns:a16="http://schemas.microsoft.com/office/drawing/2014/main" id="{00000000-0008-0000-0300-00002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5">
            <a:extLst>
              <a:ext uri="{FF2B5EF4-FFF2-40B4-BE49-F238E27FC236}">
                <a16:creationId xmlns:a16="http://schemas.microsoft.com/office/drawing/2014/main" id="{00000000-0008-0000-0300-00002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7">
            <a:extLst>
              <a:ext uri="{FF2B5EF4-FFF2-40B4-BE49-F238E27FC236}">
                <a16:creationId xmlns:a16="http://schemas.microsoft.com/office/drawing/2014/main" id="{00000000-0008-0000-0300-000023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188</xdr:row>
      <xdr:rowOff>0</xdr:rowOff>
    </xdr:from>
    <xdr:to>
      <xdr:col>10</xdr:col>
      <xdr:colOff>312963</xdr:colOff>
      <xdr:row>189</xdr:row>
      <xdr:rowOff>68036</xdr:rowOff>
    </xdr:to>
    <xdr:grpSp>
      <xdr:nvGrpSpPr>
        <xdr:cNvPr id="2340" name="Group 1008">
          <a:extLst>
            <a:ext uri="{FF2B5EF4-FFF2-40B4-BE49-F238E27FC236}">
              <a16:creationId xmlns:a16="http://schemas.microsoft.com/office/drawing/2014/main" id="{00000000-0008-0000-0300-000024090000}"/>
            </a:ext>
          </a:extLst>
        </xdr:cNvPr>
        <xdr:cNvGrpSpPr>
          <a:grpSpLocks/>
        </xdr:cNvGrpSpPr>
      </xdr:nvGrpSpPr>
      <xdr:grpSpPr bwMode="auto">
        <a:xfrm>
          <a:off x="6929438" y="40421719"/>
          <a:ext cx="312963" cy="270442"/>
          <a:chOff x="5475762" y="47760700"/>
          <a:chExt cx="314325" cy="230209"/>
        </a:xfrm>
      </xdr:grpSpPr>
      <xdr:cxnSp macro="">
        <xdr:nvCxnSpPr>
          <xdr:cNvPr id="2341" name="Straight Connector 2340">
            <a:extLst>
              <a:ext uri="{FF2B5EF4-FFF2-40B4-BE49-F238E27FC236}">
                <a16:creationId xmlns:a16="http://schemas.microsoft.com/office/drawing/2014/main" id="{00000000-0008-0000-0300-000025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2" name="Straight Connector 529">
            <a:extLst>
              <a:ext uri="{FF2B5EF4-FFF2-40B4-BE49-F238E27FC236}">
                <a16:creationId xmlns:a16="http://schemas.microsoft.com/office/drawing/2014/main" id="{00000000-0008-0000-0300-000026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3" name="Straight Connector 531">
            <a:extLst>
              <a:ext uri="{FF2B5EF4-FFF2-40B4-BE49-F238E27FC236}">
                <a16:creationId xmlns:a16="http://schemas.microsoft.com/office/drawing/2014/main" id="{00000000-0008-0000-0300-00002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4" name="Straight Connector 533">
            <a:extLst>
              <a:ext uri="{FF2B5EF4-FFF2-40B4-BE49-F238E27FC236}">
                <a16:creationId xmlns:a16="http://schemas.microsoft.com/office/drawing/2014/main" id="{00000000-0008-0000-0300-00002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5">
            <a:extLst>
              <a:ext uri="{FF2B5EF4-FFF2-40B4-BE49-F238E27FC236}">
                <a16:creationId xmlns:a16="http://schemas.microsoft.com/office/drawing/2014/main" id="{00000000-0008-0000-0300-00002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7">
            <a:extLst>
              <a:ext uri="{FF2B5EF4-FFF2-40B4-BE49-F238E27FC236}">
                <a16:creationId xmlns:a16="http://schemas.microsoft.com/office/drawing/2014/main" id="{00000000-0008-0000-0300-00002A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181</xdr:row>
      <xdr:rowOff>0</xdr:rowOff>
    </xdr:from>
    <xdr:to>
      <xdr:col>6</xdr:col>
      <xdr:colOff>312963</xdr:colOff>
      <xdr:row>182</xdr:row>
      <xdr:rowOff>68036</xdr:rowOff>
    </xdr:to>
    <xdr:grpSp>
      <xdr:nvGrpSpPr>
        <xdr:cNvPr id="2347" name="Group 1008">
          <a:extLst>
            <a:ext uri="{FF2B5EF4-FFF2-40B4-BE49-F238E27FC236}">
              <a16:creationId xmlns:a16="http://schemas.microsoft.com/office/drawing/2014/main" id="{00000000-0008-0000-0300-00002B090000}"/>
            </a:ext>
          </a:extLst>
        </xdr:cNvPr>
        <xdr:cNvGrpSpPr>
          <a:grpSpLocks/>
        </xdr:cNvGrpSpPr>
      </xdr:nvGrpSpPr>
      <xdr:grpSpPr bwMode="auto">
        <a:xfrm>
          <a:off x="4179094" y="38969156"/>
          <a:ext cx="312963" cy="270443"/>
          <a:chOff x="5475762" y="47760700"/>
          <a:chExt cx="314325" cy="230209"/>
        </a:xfrm>
      </xdr:grpSpPr>
      <xdr:cxnSp macro="">
        <xdr:nvCxnSpPr>
          <xdr:cNvPr id="2348" name="Straight Connector 2347">
            <a:extLst>
              <a:ext uri="{FF2B5EF4-FFF2-40B4-BE49-F238E27FC236}">
                <a16:creationId xmlns:a16="http://schemas.microsoft.com/office/drawing/2014/main" id="{00000000-0008-0000-0300-00002C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9" name="Straight Connector 529">
            <a:extLst>
              <a:ext uri="{FF2B5EF4-FFF2-40B4-BE49-F238E27FC236}">
                <a16:creationId xmlns:a16="http://schemas.microsoft.com/office/drawing/2014/main" id="{00000000-0008-0000-0300-00002D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0" name="Straight Connector 531">
            <a:extLst>
              <a:ext uri="{FF2B5EF4-FFF2-40B4-BE49-F238E27FC236}">
                <a16:creationId xmlns:a16="http://schemas.microsoft.com/office/drawing/2014/main" id="{00000000-0008-0000-0300-00002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1" name="Straight Connector 533">
            <a:extLst>
              <a:ext uri="{FF2B5EF4-FFF2-40B4-BE49-F238E27FC236}">
                <a16:creationId xmlns:a16="http://schemas.microsoft.com/office/drawing/2014/main" id="{00000000-0008-0000-0300-00002F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5">
            <a:extLst>
              <a:ext uri="{FF2B5EF4-FFF2-40B4-BE49-F238E27FC236}">
                <a16:creationId xmlns:a16="http://schemas.microsoft.com/office/drawing/2014/main" id="{00000000-0008-0000-0300-00003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7">
            <a:extLst>
              <a:ext uri="{FF2B5EF4-FFF2-40B4-BE49-F238E27FC236}">
                <a16:creationId xmlns:a16="http://schemas.microsoft.com/office/drawing/2014/main" id="{00000000-0008-0000-0300-00003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181</xdr:row>
      <xdr:rowOff>0</xdr:rowOff>
    </xdr:from>
    <xdr:to>
      <xdr:col>10</xdr:col>
      <xdr:colOff>312963</xdr:colOff>
      <xdr:row>182</xdr:row>
      <xdr:rowOff>68036</xdr:rowOff>
    </xdr:to>
    <xdr:grpSp>
      <xdr:nvGrpSpPr>
        <xdr:cNvPr id="2354" name="Group 1008">
          <a:extLst>
            <a:ext uri="{FF2B5EF4-FFF2-40B4-BE49-F238E27FC236}">
              <a16:creationId xmlns:a16="http://schemas.microsoft.com/office/drawing/2014/main" id="{00000000-0008-0000-0300-000032090000}"/>
            </a:ext>
          </a:extLst>
        </xdr:cNvPr>
        <xdr:cNvGrpSpPr>
          <a:grpSpLocks/>
        </xdr:cNvGrpSpPr>
      </xdr:nvGrpSpPr>
      <xdr:grpSpPr bwMode="auto">
        <a:xfrm>
          <a:off x="6929438" y="38969156"/>
          <a:ext cx="312963" cy="270443"/>
          <a:chOff x="5475762" y="47760700"/>
          <a:chExt cx="314325" cy="230209"/>
        </a:xfrm>
      </xdr:grpSpPr>
      <xdr:cxnSp macro="">
        <xdr:nvCxnSpPr>
          <xdr:cNvPr id="2355" name="Straight Connector 2354">
            <a:extLst>
              <a:ext uri="{FF2B5EF4-FFF2-40B4-BE49-F238E27FC236}">
                <a16:creationId xmlns:a16="http://schemas.microsoft.com/office/drawing/2014/main" id="{00000000-0008-0000-0300-000033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6" name="Straight Connector 529">
            <a:extLst>
              <a:ext uri="{FF2B5EF4-FFF2-40B4-BE49-F238E27FC236}">
                <a16:creationId xmlns:a16="http://schemas.microsoft.com/office/drawing/2014/main" id="{00000000-0008-0000-0300-000034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7" name="Straight Connector 531">
            <a:extLst>
              <a:ext uri="{FF2B5EF4-FFF2-40B4-BE49-F238E27FC236}">
                <a16:creationId xmlns:a16="http://schemas.microsoft.com/office/drawing/2014/main" id="{00000000-0008-0000-0300-00003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8" name="Straight Connector 533">
            <a:extLst>
              <a:ext uri="{FF2B5EF4-FFF2-40B4-BE49-F238E27FC236}">
                <a16:creationId xmlns:a16="http://schemas.microsoft.com/office/drawing/2014/main" id="{00000000-0008-0000-0300-00003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5">
            <a:extLst>
              <a:ext uri="{FF2B5EF4-FFF2-40B4-BE49-F238E27FC236}">
                <a16:creationId xmlns:a16="http://schemas.microsoft.com/office/drawing/2014/main" id="{00000000-0008-0000-0300-00003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7">
            <a:extLst>
              <a:ext uri="{FF2B5EF4-FFF2-40B4-BE49-F238E27FC236}">
                <a16:creationId xmlns:a16="http://schemas.microsoft.com/office/drawing/2014/main" id="{00000000-0008-0000-0300-00003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9</xdr:col>
      <xdr:colOff>369094</xdr:colOff>
      <xdr:row>114</xdr:row>
      <xdr:rowOff>11906</xdr:rowOff>
    </xdr:from>
    <xdr:to>
      <xdr:col>11</xdr:col>
      <xdr:colOff>363848</xdr:colOff>
      <xdr:row>115</xdr:row>
      <xdr:rowOff>6680</xdr:rowOff>
    </xdr:to>
    <xdr:sp macro="" textlink="">
      <xdr:nvSpPr>
        <xdr:cNvPr id="236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24625" y="25050750"/>
          <a:ext cx="1363973" cy="19718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353785</xdr:colOff>
      <xdr:row>114</xdr:row>
      <xdr:rowOff>1</xdr:rowOff>
    </xdr:from>
    <xdr:to>
      <xdr:col>13</xdr:col>
      <xdr:colOff>394606</xdr:colOff>
      <xdr:row>115</xdr:row>
      <xdr:rowOff>33896</xdr:rowOff>
    </xdr:to>
    <xdr:sp macro="" textlink="">
      <xdr:nvSpPr>
        <xdr:cNvPr id="236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97585" y="24669751"/>
          <a:ext cx="1374321" cy="2339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353786</xdr:colOff>
      <xdr:row>114</xdr:row>
      <xdr:rowOff>27214</xdr:rowOff>
    </xdr:from>
    <xdr:to>
      <xdr:col>15</xdr:col>
      <xdr:colOff>367393</xdr:colOff>
      <xdr:row>115</xdr:row>
      <xdr:rowOff>61109</xdr:rowOff>
    </xdr:to>
    <xdr:sp macro="" textlink="">
      <xdr:nvSpPr>
        <xdr:cNvPr id="236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31086" y="24696964"/>
          <a:ext cx="1375682" cy="2339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353787</xdr:colOff>
      <xdr:row>114</xdr:row>
      <xdr:rowOff>27215</xdr:rowOff>
    </xdr:from>
    <xdr:to>
      <xdr:col>17</xdr:col>
      <xdr:colOff>312964</xdr:colOff>
      <xdr:row>115</xdr:row>
      <xdr:rowOff>33896</xdr:rowOff>
    </xdr:to>
    <xdr:sp macro="" textlink="">
      <xdr:nvSpPr>
        <xdr:cNvPr id="236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93162" y="24696965"/>
          <a:ext cx="1245052" cy="20670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367392</xdr:colOff>
      <xdr:row>114</xdr:row>
      <xdr:rowOff>27215</xdr:rowOff>
    </xdr:from>
    <xdr:to>
      <xdr:col>19</xdr:col>
      <xdr:colOff>394608</xdr:colOff>
      <xdr:row>114</xdr:row>
      <xdr:rowOff>197181</xdr:rowOff>
    </xdr:to>
    <xdr:sp macro="" textlink="">
      <xdr:nvSpPr>
        <xdr:cNvPr id="236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92642" y="24696965"/>
          <a:ext cx="1313091" cy="16996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0</xdr:rowOff>
    </xdr:from>
    <xdr:to>
      <xdr:col>2</xdr:col>
      <xdr:colOff>312963</xdr:colOff>
      <xdr:row>90</xdr:row>
      <xdr:rowOff>68036</xdr:rowOff>
    </xdr:to>
    <xdr:grpSp>
      <xdr:nvGrpSpPr>
        <xdr:cNvPr id="2366" name="Group 1008">
          <a:extLst>
            <a:ext uri="{FF2B5EF4-FFF2-40B4-BE49-F238E27FC236}">
              <a16:creationId xmlns:a16="http://schemas.microsoft.com/office/drawing/2014/main" id="{00000000-0008-0000-0300-00003E090000}"/>
            </a:ext>
          </a:extLst>
        </xdr:cNvPr>
        <xdr:cNvGrpSpPr>
          <a:grpSpLocks/>
        </xdr:cNvGrpSpPr>
      </xdr:nvGrpSpPr>
      <xdr:grpSpPr bwMode="auto">
        <a:xfrm>
          <a:off x="1535906" y="19859625"/>
          <a:ext cx="312963" cy="270442"/>
          <a:chOff x="5475762" y="47760700"/>
          <a:chExt cx="314325" cy="230209"/>
        </a:xfrm>
      </xdr:grpSpPr>
      <xdr:cxnSp macro="">
        <xdr:nvCxnSpPr>
          <xdr:cNvPr id="2367" name="Straight Connector 2366">
            <a:extLst>
              <a:ext uri="{FF2B5EF4-FFF2-40B4-BE49-F238E27FC236}">
                <a16:creationId xmlns:a16="http://schemas.microsoft.com/office/drawing/2014/main" id="{00000000-0008-0000-0300-00003F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8" name="Straight Connector 529">
            <a:extLst>
              <a:ext uri="{FF2B5EF4-FFF2-40B4-BE49-F238E27FC236}">
                <a16:creationId xmlns:a16="http://schemas.microsoft.com/office/drawing/2014/main" id="{00000000-0008-0000-0300-000040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1">
            <a:extLst>
              <a:ext uri="{FF2B5EF4-FFF2-40B4-BE49-F238E27FC236}">
                <a16:creationId xmlns:a16="http://schemas.microsoft.com/office/drawing/2014/main" id="{00000000-0008-0000-0300-00004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0" name="Straight Connector 533">
            <a:extLst>
              <a:ext uri="{FF2B5EF4-FFF2-40B4-BE49-F238E27FC236}">
                <a16:creationId xmlns:a16="http://schemas.microsoft.com/office/drawing/2014/main" id="{00000000-0008-0000-0300-00004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1" name="Straight Connector 535">
            <a:extLst>
              <a:ext uri="{FF2B5EF4-FFF2-40B4-BE49-F238E27FC236}">
                <a16:creationId xmlns:a16="http://schemas.microsoft.com/office/drawing/2014/main" id="{00000000-0008-0000-0300-00004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2" name="Straight Connector 537">
            <a:extLst>
              <a:ext uri="{FF2B5EF4-FFF2-40B4-BE49-F238E27FC236}">
                <a16:creationId xmlns:a16="http://schemas.microsoft.com/office/drawing/2014/main" id="{00000000-0008-0000-0300-00004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89</xdr:row>
      <xdr:rowOff>0</xdr:rowOff>
    </xdr:from>
    <xdr:to>
      <xdr:col>12</xdr:col>
      <xdr:colOff>312963</xdr:colOff>
      <xdr:row>90</xdr:row>
      <xdr:rowOff>68036</xdr:rowOff>
    </xdr:to>
    <xdr:grpSp>
      <xdr:nvGrpSpPr>
        <xdr:cNvPr id="2373" name="Group 1008">
          <a:extLst>
            <a:ext uri="{FF2B5EF4-FFF2-40B4-BE49-F238E27FC236}">
              <a16:creationId xmlns:a16="http://schemas.microsoft.com/office/drawing/2014/main" id="{00000000-0008-0000-0300-000045090000}"/>
            </a:ext>
          </a:extLst>
        </xdr:cNvPr>
        <xdr:cNvGrpSpPr>
          <a:grpSpLocks/>
        </xdr:cNvGrpSpPr>
      </xdr:nvGrpSpPr>
      <xdr:grpSpPr bwMode="auto">
        <a:xfrm>
          <a:off x="8251031" y="19859625"/>
          <a:ext cx="312963" cy="270442"/>
          <a:chOff x="5475762" y="47760700"/>
          <a:chExt cx="314325" cy="230209"/>
        </a:xfrm>
      </xdr:grpSpPr>
      <xdr:cxnSp macro="">
        <xdr:nvCxnSpPr>
          <xdr:cNvPr id="2374" name="Straight Connector 2373">
            <a:extLst>
              <a:ext uri="{FF2B5EF4-FFF2-40B4-BE49-F238E27FC236}">
                <a16:creationId xmlns:a16="http://schemas.microsoft.com/office/drawing/2014/main" id="{00000000-0008-0000-0300-000046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5" name="Straight Connector 529">
            <a:extLst>
              <a:ext uri="{FF2B5EF4-FFF2-40B4-BE49-F238E27FC236}">
                <a16:creationId xmlns:a16="http://schemas.microsoft.com/office/drawing/2014/main" id="{00000000-0008-0000-0300-000047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1">
            <a:extLst>
              <a:ext uri="{FF2B5EF4-FFF2-40B4-BE49-F238E27FC236}">
                <a16:creationId xmlns:a16="http://schemas.microsoft.com/office/drawing/2014/main" id="{00000000-0008-0000-0300-00004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7" name="Straight Connector 533">
            <a:extLst>
              <a:ext uri="{FF2B5EF4-FFF2-40B4-BE49-F238E27FC236}">
                <a16:creationId xmlns:a16="http://schemas.microsoft.com/office/drawing/2014/main" id="{00000000-0008-0000-0300-00004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8" name="Straight Connector 535">
            <a:extLst>
              <a:ext uri="{FF2B5EF4-FFF2-40B4-BE49-F238E27FC236}">
                <a16:creationId xmlns:a16="http://schemas.microsoft.com/office/drawing/2014/main" id="{00000000-0008-0000-0300-00004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9" name="Straight Connector 537">
            <a:extLst>
              <a:ext uri="{FF2B5EF4-FFF2-40B4-BE49-F238E27FC236}">
                <a16:creationId xmlns:a16="http://schemas.microsoft.com/office/drawing/2014/main" id="{00000000-0008-0000-0300-00004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188</xdr:row>
      <xdr:rowOff>0</xdr:rowOff>
    </xdr:from>
    <xdr:to>
      <xdr:col>2</xdr:col>
      <xdr:colOff>312963</xdr:colOff>
      <xdr:row>189</xdr:row>
      <xdr:rowOff>68037</xdr:rowOff>
    </xdr:to>
    <xdr:grpSp>
      <xdr:nvGrpSpPr>
        <xdr:cNvPr id="2380" name="Group 1008">
          <a:extLst>
            <a:ext uri="{FF2B5EF4-FFF2-40B4-BE49-F238E27FC236}">
              <a16:creationId xmlns:a16="http://schemas.microsoft.com/office/drawing/2014/main" id="{00000000-0008-0000-0300-00004C090000}"/>
            </a:ext>
          </a:extLst>
        </xdr:cNvPr>
        <xdr:cNvGrpSpPr>
          <a:grpSpLocks/>
        </xdr:cNvGrpSpPr>
      </xdr:nvGrpSpPr>
      <xdr:grpSpPr bwMode="auto">
        <a:xfrm>
          <a:off x="1535906" y="40421719"/>
          <a:ext cx="312963" cy="270443"/>
          <a:chOff x="5475762" y="47760700"/>
          <a:chExt cx="314325" cy="230209"/>
        </a:xfrm>
      </xdr:grpSpPr>
      <xdr:cxnSp macro="">
        <xdr:nvCxnSpPr>
          <xdr:cNvPr id="2381" name="Straight Connector 2380">
            <a:extLst>
              <a:ext uri="{FF2B5EF4-FFF2-40B4-BE49-F238E27FC236}">
                <a16:creationId xmlns:a16="http://schemas.microsoft.com/office/drawing/2014/main" id="{00000000-0008-0000-0300-00004D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2" name="Straight Connector 529">
            <a:extLst>
              <a:ext uri="{FF2B5EF4-FFF2-40B4-BE49-F238E27FC236}">
                <a16:creationId xmlns:a16="http://schemas.microsoft.com/office/drawing/2014/main" id="{00000000-0008-0000-0300-00004E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1">
            <a:extLst>
              <a:ext uri="{FF2B5EF4-FFF2-40B4-BE49-F238E27FC236}">
                <a16:creationId xmlns:a16="http://schemas.microsoft.com/office/drawing/2014/main" id="{00000000-0008-0000-0300-00004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4" name="Straight Connector 533">
            <a:extLst>
              <a:ext uri="{FF2B5EF4-FFF2-40B4-BE49-F238E27FC236}">
                <a16:creationId xmlns:a16="http://schemas.microsoft.com/office/drawing/2014/main" id="{00000000-0008-0000-0300-00005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5" name="Straight Connector 535">
            <a:extLst>
              <a:ext uri="{FF2B5EF4-FFF2-40B4-BE49-F238E27FC236}">
                <a16:creationId xmlns:a16="http://schemas.microsoft.com/office/drawing/2014/main" id="{00000000-0008-0000-0300-00005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6" name="Straight Connector 537">
            <a:extLst>
              <a:ext uri="{FF2B5EF4-FFF2-40B4-BE49-F238E27FC236}">
                <a16:creationId xmlns:a16="http://schemas.microsoft.com/office/drawing/2014/main" id="{00000000-0008-0000-0300-00005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188</xdr:row>
      <xdr:rowOff>0</xdr:rowOff>
    </xdr:from>
    <xdr:to>
      <xdr:col>6</xdr:col>
      <xdr:colOff>312963</xdr:colOff>
      <xdr:row>189</xdr:row>
      <xdr:rowOff>68037</xdr:rowOff>
    </xdr:to>
    <xdr:grpSp>
      <xdr:nvGrpSpPr>
        <xdr:cNvPr id="2387" name="Group 1008">
          <a:extLst>
            <a:ext uri="{FF2B5EF4-FFF2-40B4-BE49-F238E27FC236}">
              <a16:creationId xmlns:a16="http://schemas.microsoft.com/office/drawing/2014/main" id="{00000000-0008-0000-0300-000053090000}"/>
            </a:ext>
          </a:extLst>
        </xdr:cNvPr>
        <xdr:cNvGrpSpPr>
          <a:grpSpLocks/>
        </xdr:cNvGrpSpPr>
      </xdr:nvGrpSpPr>
      <xdr:grpSpPr bwMode="auto">
        <a:xfrm>
          <a:off x="4179094" y="40421719"/>
          <a:ext cx="312963" cy="270443"/>
          <a:chOff x="5475762" y="47760700"/>
          <a:chExt cx="314325" cy="230209"/>
        </a:xfrm>
      </xdr:grpSpPr>
      <xdr:cxnSp macro="">
        <xdr:nvCxnSpPr>
          <xdr:cNvPr id="2388" name="Straight Connector 2387">
            <a:extLst>
              <a:ext uri="{FF2B5EF4-FFF2-40B4-BE49-F238E27FC236}">
                <a16:creationId xmlns:a16="http://schemas.microsoft.com/office/drawing/2014/main" id="{00000000-0008-0000-0300-000054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9" name="Straight Connector 529">
            <a:extLst>
              <a:ext uri="{FF2B5EF4-FFF2-40B4-BE49-F238E27FC236}">
                <a16:creationId xmlns:a16="http://schemas.microsoft.com/office/drawing/2014/main" id="{00000000-0008-0000-0300-000055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1">
            <a:extLst>
              <a:ext uri="{FF2B5EF4-FFF2-40B4-BE49-F238E27FC236}">
                <a16:creationId xmlns:a16="http://schemas.microsoft.com/office/drawing/2014/main" id="{00000000-0008-0000-0300-00005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1" name="Straight Connector 533">
            <a:extLst>
              <a:ext uri="{FF2B5EF4-FFF2-40B4-BE49-F238E27FC236}">
                <a16:creationId xmlns:a16="http://schemas.microsoft.com/office/drawing/2014/main" id="{00000000-0008-0000-0300-00005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2" name="Straight Connector 535">
            <a:extLst>
              <a:ext uri="{FF2B5EF4-FFF2-40B4-BE49-F238E27FC236}">
                <a16:creationId xmlns:a16="http://schemas.microsoft.com/office/drawing/2014/main" id="{00000000-0008-0000-0300-00005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3" name="Straight Connector 537">
            <a:extLst>
              <a:ext uri="{FF2B5EF4-FFF2-40B4-BE49-F238E27FC236}">
                <a16:creationId xmlns:a16="http://schemas.microsoft.com/office/drawing/2014/main" id="{00000000-0008-0000-0300-00005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153</xdr:row>
      <xdr:rowOff>0</xdr:rowOff>
    </xdr:from>
    <xdr:to>
      <xdr:col>16</xdr:col>
      <xdr:colOff>312963</xdr:colOff>
      <xdr:row>154</xdr:row>
      <xdr:rowOff>68037</xdr:rowOff>
    </xdr:to>
    <xdr:grpSp>
      <xdr:nvGrpSpPr>
        <xdr:cNvPr id="2394" name="Group 1008">
          <a:extLst>
            <a:ext uri="{FF2B5EF4-FFF2-40B4-BE49-F238E27FC236}">
              <a16:creationId xmlns:a16="http://schemas.microsoft.com/office/drawing/2014/main" id="{00000000-0008-0000-0300-00005A090000}"/>
            </a:ext>
          </a:extLst>
        </xdr:cNvPr>
        <xdr:cNvGrpSpPr>
          <a:grpSpLocks/>
        </xdr:cNvGrpSpPr>
      </xdr:nvGrpSpPr>
      <xdr:grpSpPr bwMode="auto">
        <a:xfrm>
          <a:off x="10775156" y="33158906"/>
          <a:ext cx="312963" cy="270444"/>
          <a:chOff x="5475762" y="47760700"/>
          <a:chExt cx="314325" cy="230209"/>
        </a:xfrm>
      </xdr:grpSpPr>
      <xdr:cxnSp macro="">
        <xdr:nvCxnSpPr>
          <xdr:cNvPr id="2395" name="Straight Connector 2394">
            <a:extLst>
              <a:ext uri="{FF2B5EF4-FFF2-40B4-BE49-F238E27FC236}">
                <a16:creationId xmlns:a16="http://schemas.microsoft.com/office/drawing/2014/main" id="{00000000-0008-0000-0300-00005B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6" name="Straight Connector 529">
            <a:extLst>
              <a:ext uri="{FF2B5EF4-FFF2-40B4-BE49-F238E27FC236}">
                <a16:creationId xmlns:a16="http://schemas.microsoft.com/office/drawing/2014/main" id="{00000000-0008-0000-0300-00005C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1">
            <a:extLst>
              <a:ext uri="{FF2B5EF4-FFF2-40B4-BE49-F238E27FC236}">
                <a16:creationId xmlns:a16="http://schemas.microsoft.com/office/drawing/2014/main" id="{00000000-0008-0000-0300-00005D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8" name="Straight Connector 533">
            <a:extLst>
              <a:ext uri="{FF2B5EF4-FFF2-40B4-BE49-F238E27FC236}">
                <a16:creationId xmlns:a16="http://schemas.microsoft.com/office/drawing/2014/main" id="{00000000-0008-0000-0300-00005E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9" name="Straight Connector 535">
            <a:extLst>
              <a:ext uri="{FF2B5EF4-FFF2-40B4-BE49-F238E27FC236}">
                <a16:creationId xmlns:a16="http://schemas.microsoft.com/office/drawing/2014/main" id="{00000000-0008-0000-0300-00005F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0" name="Straight Connector 537">
            <a:extLst>
              <a:ext uri="{FF2B5EF4-FFF2-40B4-BE49-F238E27FC236}">
                <a16:creationId xmlns:a16="http://schemas.microsoft.com/office/drawing/2014/main" id="{00000000-0008-0000-0300-000060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181</xdr:row>
      <xdr:rowOff>0</xdr:rowOff>
    </xdr:from>
    <xdr:to>
      <xdr:col>24</xdr:col>
      <xdr:colOff>312963</xdr:colOff>
      <xdr:row>182</xdr:row>
      <xdr:rowOff>68037</xdr:rowOff>
    </xdr:to>
    <xdr:grpSp>
      <xdr:nvGrpSpPr>
        <xdr:cNvPr id="2401" name="Group 1008">
          <a:extLst>
            <a:ext uri="{FF2B5EF4-FFF2-40B4-BE49-F238E27FC236}">
              <a16:creationId xmlns:a16="http://schemas.microsoft.com/office/drawing/2014/main" id="{00000000-0008-0000-0300-000061090000}"/>
            </a:ext>
          </a:extLst>
        </xdr:cNvPr>
        <xdr:cNvGrpSpPr>
          <a:grpSpLocks/>
        </xdr:cNvGrpSpPr>
      </xdr:nvGrpSpPr>
      <xdr:grpSpPr bwMode="auto">
        <a:xfrm>
          <a:off x="15942469" y="38969156"/>
          <a:ext cx="312963" cy="270444"/>
          <a:chOff x="5475762" y="47760700"/>
          <a:chExt cx="314325" cy="230209"/>
        </a:xfrm>
      </xdr:grpSpPr>
      <xdr:cxnSp macro="">
        <xdr:nvCxnSpPr>
          <xdr:cNvPr id="2402" name="Straight Connector 2401">
            <a:extLst>
              <a:ext uri="{FF2B5EF4-FFF2-40B4-BE49-F238E27FC236}">
                <a16:creationId xmlns:a16="http://schemas.microsoft.com/office/drawing/2014/main" id="{00000000-0008-0000-0300-000062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3" name="Straight Connector 529">
            <a:extLst>
              <a:ext uri="{FF2B5EF4-FFF2-40B4-BE49-F238E27FC236}">
                <a16:creationId xmlns:a16="http://schemas.microsoft.com/office/drawing/2014/main" id="{00000000-0008-0000-0300-000063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1">
            <a:extLst>
              <a:ext uri="{FF2B5EF4-FFF2-40B4-BE49-F238E27FC236}">
                <a16:creationId xmlns:a16="http://schemas.microsoft.com/office/drawing/2014/main" id="{00000000-0008-0000-0300-00006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5" name="Straight Connector 533">
            <a:extLst>
              <a:ext uri="{FF2B5EF4-FFF2-40B4-BE49-F238E27FC236}">
                <a16:creationId xmlns:a16="http://schemas.microsoft.com/office/drawing/2014/main" id="{00000000-0008-0000-0300-00006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6" name="Straight Connector 535">
            <a:extLst>
              <a:ext uri="{FF2B5EF4-FFF2-40B4-BE49-F238E27FC236}">
                <a16:creationId xmlns:a16="http://schemas.microsoft.com/office/drawing/2014/main" id="{00000000-0008-0000-0300-00006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7" name="Straight Connector 537">
            <a:extLst>
              <a:ext uri="{FF2B5EF4-FFF2-40B4-BE49-F238E27FC236}">
                <a16:creationId xmlns:a16="http://schemas.microsoft.com/office/drawing/2014/main" id="{00000000-0008-0000-0300-00006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174</xdr:row>
      <xdr:rowOff>0</xdr:rowOff>
    </xdr:from>
    <xdr:to>
      <xdr:col>16</xdr:col>
      <xdr:colOff>312963</xdr:colOff>
      <xdr:row>175</xdr:row>
      <xdr:rowOff>68036</xdr:rowOff>
    </xdr:to>
    <xdr:grpSp>
      <xdr:nvGrpSpPr>
        <xdr:cNvPr id="2408" name="Group 1008">
          <a:extLst>
            <a:ext uri="{FF2B5EF4-FFF2-40B4-BE49-F238E27FC236}">
              <a16:creationId xmlns:a16="http://schemas.microsoft.com/office/drawing/2014/main" id="{00000000-0008-0000-0300-000068090000}"/>
            </a:ext>
          </a:extLst>
        </xdr:cNvPr>
        <xdr:cNvGrpSpPr>
          <a:grpSpLocks/>
        </xdr:cNvGrpSpPr>
      </xdr:nvGrpSpPr>
      <xdr:grpSpPr bwMode="auto">
        <a:xfrm>
          <a:off x="10775156" y="37516594"/>
          <a:ext cx="312963" cy="270442"/>
          <a:chOff x="5475762" y="47760700"/>
          <a:chExt cx="314325" cy="230209"/>
        </a:xfrm>
      </xdr:grpSpPr>
      <xdr:cxnSp macro="">
        <xdr:nvCxnSpPr>
          <xdr:cNvPr id="2409" name="Straight Connector 2408">
            <a:extLst>
              <a:ext uri="{FF2B5EF4-FFF2-40B4-BE49-F238E27FC236}">
                <a16:creationId xmlns:a16="http://schemas.microsoft.com/office/drawing/2014/main" id="{00000000-0008-0000-0300-000069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10" name="Straight Connector 529">
            <a:extLst>
              <a:ext uri="{FF2B5EF4-FFF2-40B4-BE49-F238E27FC236}">
                <a16:creationId xmlns:a16="http://schemas.microsoft.com/office/drawing/2014/main" id="{00000000-0008-0000-0300-00006A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1">
            <a:extLst>
              <a:ext uri="{FF2B5EF4-FFF2-40B4-BE49-F238E27FC236}">
                <a16:creationId xmlns:a16="http://schemas.microsoft.com/office/drawing/2014/main" id="{00000000-0008-0000-0300-00006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2" name="Straight Connector 533">
            <a:extLst>
              <a:ext uri="{FF2B5EF4-FFF2-40B4-BE49-F238E27FC236}">
                <a16:creationId xmlns:a16="http://schemas.microsoft.com/office/drawing/2014/main" id="{00000000-0008-0000-0300-00006C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3" name="Straight Connector 535">
            <a:extLst>
              <a:ext uri="{FF2B5EF4-FFF2-40B4-BE49-F238E27FC236}">
                <a16:creationId xmlns:a16="http://schemas.microsoft.com/office/drawing/2014/main" id="{00000000-0008-0000-0300-00006D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4" name="Straight Connector 537">
            <a:extLst>
              <a:ext uri="{FF2B5EF4-FFF2-40B4-BE49-F238E27FC236}">
                <a16:creationId xmlns:a16="http://schemas.microsoft.com/office/drawing/2014/main" id="{00000000-0008-0000-0300-00006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68</xdr:row>
      <xdr:rowOff>0</xdr:rowOff>
    </xdr:from>
    <xdr:to>
      <xdr:col>2</xdr:col>
      <xdr:colOff>312963</xdr:colOff>
      <xdr:row>69</xdr:row>
      <xdr:rowOff>68035</xdr:rowOff>
    </xdr:to>
    <xdr:grpSp>
      <xdr:nvGrpSpPr>
        <xdr:cNvPr id="2415" name="Group 1008">
          <a:extLst>
            <a:ext uri="{FF2B5EF4-FFF2-40B4-BE49-F238E27FC236}">
              <a16:creationId xmlns:a16="http://schemas.microsoft.com/office/drawing/2014/main" id="{00000000-0008-0000-0300-00006F090000}"/>
            </a:ext>
          </a:extLst>
        </xdr:cNvPr>
        <xdr:cNvGrpSpPr>
          <a:grpSpLocks/>
        </xdr:cNvGrpSpPr>
      </xdr:nvGrpSpPr>
      <xdr:grpSpPr bwMode="auto">
        <a:xfrm>
          <a:off x="1535906" y="15513844"/>
          <a:ext cx="312963" cy="270441"/>
          <a:chOff x="5475762" y="47760700"/>
          <a:chExt cx="314325" cy="230209"/>
        </a:xfrm>
      </xdr:grpSpPr>
      <xdr:cxnSp macro="">
        <xdr:nvCxnSpPr>
          <xdr:cNvPr id="2416" name="Straight Connector 2415">
            <a:extLst>
              <a:ext uri="{FF2B5EF4-FFF2-40B4-BE49-F238E27FC236}">
                <a16:creationId xmlns:a16="http://schemas.microsoft.com/office/drawing/2014/main" id="{00000000-0008-0000-0300-000070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17" name="Straight Connector 529">
            <a:extLst>
              <a:ext uri="{FF2B5EF4-FFF2-40B4-BE49-F238E27FC236}">
                <a16:creationId xmlns:a16="http://schemas.microsoft.com/office/drawing/2014/main" id="{00000000-0008-0000-0300-000071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8" name="Straight Connector 531">
            <a:extLst>
              <a:ext uri="{FF2B5EF4-FFF2-40B4-BE49-F238E27FC236}">
                <a16:creationId xmlns:a16="http://schemas.microsoft.com/office/drawing/2014/main" id="{00000000-0008-0000-0300-00007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9" name="Straight Connector 533">
            <a:extLst>
              <a:ext uri="{FF2B5EF4-FFF2-40B4-BE49-F238E27FC236}">
                <a16:creationId xmlns:a16="http://schemas.microsoft.com/office/drawing/2014/main" id="{00000000-0008-0000-0300-00007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0" name="Straight Connector 535">
            <a:extLst>
              <a:ext uri="{FF2B5EF4-FFF2-40B4-BE49-F238E27FC236}">
                <a16:creationId xmlns:a16="http://schemas.microsoft.com/office/drawing/2014/main" id="{00000000-0008-0000-0300-000074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1" name="Straight Connector 537">
            <a:extLst>
              <a:ext uri="{FF2B5EF4-FFF2-40B4-BE49-F238E27FC236}">
                <a16:creationId xmlns:a16="http://schemas.microsoft.com/office/drawing/2014/main" id="{00000000-0008-0000-0300-00007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68</xdr:row>
      <xdr:rowOff>0</xdr:rowOff>
    </xdr:from>
    <xdr:to>
      <xdr:col>4</xdr:col>
      <xdr:colOff>312963</xdr:colOff>
      <xdr:row>69</xdr:row>
      <xdr:rowOff>68035</xdr:rowOff>
    </xdr:to>
    <xdr:grpSp>
      <xdr:nvGrpSpPr>
        <xdr:cNvPr id="2422" name="Group 1008">
          <a:extLst>
            <a:ext uri="{FF2B5EF4-FFF2-40B4-BE49-F238E27FC236}">
              <a16:creationId xmlns:a16="http://schemas.microsoft.com/office/drawing/2014/main" id="{00000000-0008-0000-0300-000076090000}"/>
            </a:ext>
          </a:extLst>
        </xdr:cNvPr>
        <xdr:cNvGrpSpPr>
          <a:grpSpLocks/>
        </xdr:cNvGrpSpPr>
      </xdr:nvGrpSpPr>
      <xdr:grpSpPr bwMode="auto">
        <a:xfrm>
          <a:off x="2809875" y="15513844"/>
          <a:ext cx="312963" cy="270441"/>
          <a:chOff x="5475762" y="47760700"/>
          <a:chExt cx="314325" cy="230209"/>
        </a:xfrm>
      </xdr:grpSpPr>
      <xdr:cxnSp macro="">
        <xdr:nvCxnSpPr>
          <xdr:cNvPr id="2423" name="Straight Connector 2422">
            <a:extLst>
              <a:ext uri="{FF2B5EF4-FFF2-40B4-BE49-F238E27FC236}">
                <a16:creationId xmlns:a16="http://schemas.microsoft.com/office/drawing/2014/main" id="{00000000-0008-0000-0300-000077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24" name="Straight Connector 529">
            <a:extLst>
              <a:ext uri="{FF2B5EF4-FFF2-40B4-BE49-F238E27FC236}">
                <a16:creationId xmlns:a16="http://schemas.microsoft.com/office/drawing/2014/main" id="{00000000-0008-0000-0300-000078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5" name="Straight Connector 531">
            <a:extLst>
              <a:ext uri="{FF2B5EF4-FFF2-40B4-BE49-F238E27FC236}">
                <a16:creationId xmlns:a16="http://schemas.microsoft.com/office/drawing/2014/main" id="{00000000-0008-0000-0300-00007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6" name="Straight Connector 533">
            <a:extLst>
              <a:ext uri="{FF2B5EF4-FFF2-40B4-BE49-F238E27FC236}">
                <a16:creationId xmlns:a16="http://schemas.microsoft.com/office/drawing/2014/main" id="{00000000-0008-0000-0300-00007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7" name="Straight Connector 535">
            <a:extLst>
              <a:ext uri="{FF2B5EF4-FFF2-40B4-BE49-F238E27FC236}">
                <a16:creationId xmlns:a16="http://schemas.microsoft.com/office/drawing/2014/main" id="{00000000-0008-0000-0300-00007B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28" name="Straight Connector 537">
            <a:extLst>
              <a:ext uri="{FF2B5EF4-FFF2-40B4-BE49-F238E27FC236}">
                <a16:creationId xmlns:a16="http://schemas.microsoft.com/office/drawing/2014/main" id="{00000000-0008-0000-0300-00007C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61</xdr:row>
      <xdr:rowOff>0</xdr:rowOff>
    </xdr:from>
    <xdr:to>
      <xdr:col>24</xdr:col>
      <xdr:colOff>312963</xdr:colOff>
      <xdr:row>62</xdr:row>
      <xdr:rowOff>68035</xdr:rowOff>
    </xdr:to>
    <xdr:grpSp>
      <xdr:nvGrpSpPr>
        <xdr:cNvPr id="2429" name="Group 1008">
          <a:extLst>
            <a:ext uri="{FF2B5EF4-FFF2-40B4-BE49-F238E27FC236}">
              <a16:creationId xmlns:a16="http://schemas.microsoft.com/office/drawing/2014/main" id="{00000000-0008-0000-0300-00007D090000}"/>
            </a:ext>
          </a:extLst>
        </xdr:cNvPr>
        <xdr:cNvGrpSpPr>
          <a:grpSpLocks/>
        </xdr:cNvGrpSpPr>
      </xdr:nvGrpSpPr>
      <xdr:grpSpPr bwMode="auto">
        <a:xfrm>
          <a:off x="15942469" y="14061281"/>
          <a:ext cx="312963" cy="270442"/>
          <a:chOff x="5475762" y="47760700"/>
          <a:chExt cx="314325" cy="230209"/>
        </a:xfrm>
      </xdr:grpSpPr>
      <xdr:cxnSp macro="">
        <xdr:nvCxnSpPr>
          <xdr:cNvPr id="2430" name="Straight Connector 2429">
            <a:extLst>
              <a:ext uri="{FF2B5EF4-FFF2-40B4-BE49-F238E27FC236}">
                <a16:creationId xmlns:a16="http://schemas.microsoft.com/office/drawing/2014/main" id="{00000000-0008-0000-0300-00007E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1" name="Straight Connector 529">
            <a:extLst>
              <a:ext uri="{FF2B5EF4-FFF2-40B4-BE49-F238E27FC236}">
                <a16:creationId xmlns:a16="http://schemas.microsoft.com/office/drawing/2014/main" id="{00000000-0008-0000-0300-00007F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2" name="Straight Connector 531">
            <a:extLst>
              <a:ext uri="{FF2B5EF4-FFF2-40B4-BE49-F238E27FC236}">
                <a16:creationId xmlns:a16="http://schemas.microsoft.com/office/drawing/2014/main" id="{00000000-0008-0000-0300-000080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3" name="Straight Connector 533">
            <a:extLst>
              <a:ext uri="{FF2B5EF4-FFF2-40B4-BE49-F238E27FC236}">
                <a16:creationId xmlns:a16="http://schemas.microsoft.com/office/drawing/2014/main" id="{00000000-0008-0000-0300-00008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4" name="Straight Connector 535">
            <a:extLst>
              <a:ext uri="{FF2B5EF4-FFF2-40B4-BE49-F238E27FC236}">
                <a16:creationId xmlns:a16="http://schemas.microsoft.com/office/drawing/2014/main" id="{00000000-0008-0000-0300-00008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5" name="Straight Connector 537">
            <a:extLst>
              <a:ext uri="{FF2B5EF4-FFF2-40B4-BE49-F238E27FC236}">
                <a16:creationId xmlns:a16="http://schemas.microsoft.com/office/drawing/2014/main" id="{00000000-0008-0000-0300-000083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181</xdr:row>
      <xdr:rowOff>0</xdr:rowOff>
    </xdr:from>
    <xdr:to>
      <xdr:col>20</xdr:col>
      <xdr:colOff>312963</xdr:colOff>
      <xdr:row>182</xdr:row>
      <xdr:rowOff>68036</xdr:rowOff>
    </xdr:to>
    <xdr:grpSp>
      <xdr:nvGrpSpPr>
        <xdr:cNvPr id="2436" name="Group 1008">
          <a:extLst>
            <a:ext uri="{FF2B5EF4-FFF2-40B4-BE49-F238E27FC236}">
              <a16:creationId xmlns:a16="http://schemas.microsoft.com/office/drawing/2014/main" id="{00000000-0008-0000-0300-000084090000}"/>
            </a:ext>
          </a:extLst>
        </xdr:cNvPr>
        <xdr:cNvGrpSpPr>
          <a:grpSpLocks/>
        </xdr:cNvGrpSpPr>
      </xdr:nvGrpSpPr>
      <xdr:grpSpPr bwMode="auto">
        <a:xfrm>
          <a:off x="13251656" y="38969156"/>
          <a:ext cx="312963" cy="270443"/>
          <a:chOff x="5475762" y="47760700"/>
          <a:chExt cx="314325" cy="230209"/>
        </a:xfrm>
      </xdr:grpSpPr>
      <xdr:cxnSp macro="">
        <xdr:nvCxnSpPr>
          <xdr:cNvPr id="2437" name="Straight Connector 2436">
            <a:extLst>
              <a:ext uri="{FF2B5EF4-FFF2-40B4-BE49-F238E27FC236}">
                <a16:creationId xmlns:a16="http://schemas.microsoft.com/office/drawing/2014/main" id="{00000000-0008-0000-0300-000085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8" name="Straight Connector 529">
            <a:extLst>
              <a:ext uri="{FF2B5EF4-FFF2-40B4-BE49-F238E27FC236}">
                <a16:creationId xmlns:a16="http://schemas.microsoft.com/office/drawing/2014/main" id="{00000000-0008-0000-0300-000086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1">
            <a:extLst>
              <a:ext uri="{FF2B5EF4-FFF2-40B4-BE49-F238E27FC236}">
                <a16:creationId xmlns:a16="http://schemas.microsoft.com/office/drawing/2014/main" id="{00000000-0008-0000-0300-00008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0" name="Straight Connector 533">
            <a:extLst>
              <a:ext uri="{FF2B5EF4-FFF2-40B4-BE49-F238E27FC236}">
                <a16:creationId xmlns:a16="http://schemas.microsoft.com/office/drawing/2014/main" id="{00000000-0008-0000-0300-00008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1" name="Straight Connector 535">
            <a:extLst>
              <a:ext uri="{FF2B5EF4-FFF2-40B4-BE49-F238E27FC236}">
                <a16:creationId xmlns:a16="http://schemas.microsoft.com/office/drawing/2014/main" id="{00000000-0008-0000-0300-00008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2" name="Straight Connector 537">
            <a:extLst>
              <a:ext uri="{FF2B5EF4-FFF2-40B4-BE49-F238E27FC236}">
                <a16:creationId xmlns:a16="http://schemas.microsoft.com/office/drawing/2014/main" id="{00000000-0008-0000-0300-00008A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181</xdr:row>
      <xdr:rowOff>0</xdr:rowOff>
    </xdr:from>
    <xdr:to>
      <xdr:col>12</xdr:col>
      <xdr:colOff>312963</xdr:colOff>
      <xdr:row>182</xdr:row>
      <xdr:rowOff>68036</xdr:rowOff>
    </xdr:to>
    <xdr:grpSp>
      <xdr:nvGrpSpPr>
        <xdr:cNvPr id="2443" name="Group 1008">
          <a:extLst>
            <a:ext uri="{FF2B5EF4-FFF2-40B4-BE49-F238E27FC236}">
              <a16:creationId xmlns:a16="http://schemas.microsoft.com/office/drawing/2014/main" id="{00000000-0008-0000-0300-00008B090000}"/>
            </a:ext>
          </a:extLst>
        </xdr:cNvPr>
        <xdr:cNvGrpSpPr>
          <a:grpSpLocks/>
        </xdr:cNvGrpSpPr>
      </xdr:nvGrpSpPr>
      <xdr:grpSpPr bwMode="auto">
        <a:xfrm>
          <a:off x="8251031" y="38969156"/>
          <a:ext cx="312963" cy="270443"/>
          <a:chOff x="5475762" y="47760700"/>
          <a:chExt cx="314325" cy="230209"/>
        </a:xfrm>
      </xdr:grpSpPr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00000000-0008-0000-0300-00008C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5" name="Straight Connector 529">
            <a:extLst>
              <a:ext uri="{FF2B5EF4-FFF2-40B4-BE49-F238E27FC236}">
                <a16:creationId xmlns:a16="http://schemas.microsoft.com/office/drawing/2014/main" id="{00000000-0008-0000-0300-00008D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1">
            <a:extLst>
              <a:ext uri="{FF2B5EF4-FFF2-40B4-BE49-F238E27FC236}">
                <a16:creationId xmlns:a16="http://schemas.microsoft.com/office/drawing/2014/main" id="{00000000-0008-0000-0300-00008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7" name="Straight Connector 533">
            <a:extLst>
              <a:ext uri="{FF2B5EF4-FFF2-40B4-BE49-F238E27FC236}">
                <a16:creationId xmlns:a16="http://schemas.microsoft.com/office/drawing/2014/main" id="{00000000-0008-0000-0300-00008F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8" name="Straight Connector 535">
            <a:extLst>
              <a:ext uri="{FF2B5EF4-FFF2-40B4-BE49-F238E27FC236}">
                <a16:creationId xmlns:a16="http://schemas.microsoft.com/office/drawing/2014/main" id="{00000000-0008-0000-0300-00009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9" name="Straight Connector 537">
            <a:extLst>
              <a:ext uri="{FF2B5EF4-FFF2-40B4-BE49-F238E27FC236}">
                <a16:creationId xmlns:a16="http://schemas.microsoft.com/office/drawing/2014/main" id="{00000000-0008-0000-0300-00009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174</xdr:row>
      <xdr:rowOff>0</xdr:rowOff>
    </xdr:from>
    <xdr:to>
      <xdr:col>6</xdr:col>
      <xdr:colOff>312963</xdr:colOff>
      <xdr:row>175</xdr:row>
      <xdr:rowOff>68036</xdr:rowOff>
    </xdr:to>
    <xdr:grpSp>
      <xdr:nvGrpSpPr>
        <xdr:cNvPr id="2450" name="Group 1008">
          <a:extLst>
            <a:ext uri="{FF2B5EF4-FFF2-40B4-BE49-F238E27FC236}">
              <a16:creationId xmlns:a16="http://schemas.microsoft.com/office/drawing/2014/main" id="{00000000-0008-0000-0300-000092090000}"/>
            </a:ext>
          </a:extLst>
        </xdr:cNvPr>
        <xdr:cNvGrpSpPr>
          <a:grpSpLocks/>
        </xdr:cNvGrpSpPr>
      </xdr:nvGrpSpPr>
      <xdr:grpSpPr bwMode="auto">
        <a:xfrm>
          <a:off x="4179094" y="37516594"/>
          <a:ext cx="312963" cy="270442"/>
          <a:chOff x="5475762" y="47760700"/>
          <a:chExt cx="314325" cy="230209"/>
        </a:xfrm>
      </xdr:grpSpPr>
      <xdr:cxnSp macro="">
        <xdr:nvCxnSpPr>
          <xdr:cNvPr id="2451" name="Straight Connector 2450">
            <a:extLst>
              <a:ext uri="{FF2B5EF4-FFF2-40B4-BE49-F238E27FC236}">
                <a16:creationId xmlns:a16="http://schemas.microsoft.com/office/drawing/2014/main" id="{00000000-0008-0000-0300-000093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2" name="Straight Connector 529">
            <a:extLst>
              <a:ext uri="{FF2B5EF4-FFF2-40B4-BE49-F238E27FC236}">
                <a16:creationId xmlns:a16="http://schemas.microsoft.com/office/drawing/2014/main" id="{00000000-0008-0000-0300-000094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1">
            <a:extLst>
              <a:ext uri="{FF2B5EF4-FFF2-40B4-BE49-F238E27FC236}">
                <a16:creationId xmlns:a16="http://schemas.microsoft.com/office/drawing/2014/main" id="{00000000-0008-0000-0300-00009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4" name="Straight Connector 533">
            <a:extLst>
              <a:ext uri="{FF2B5EF4-FFF2-40B4-BE49-F238E27FC236}">
                <a16:creationId xmlns:a16="http://schemas.microsoft.com/office/drawing/2014/main" id="{00000000-0008-0000-0300-00009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5" name="Straight Connector 535">
            <a:extLst>
              <a:ext uri="{FF2B5EF4-FFF2-40B4-BE49-F238E27FC236}">
                <a16:creationId xmlns:a16="http://schemas.microsoft.com/office/drawing/2014/main" id="{00000000-0008-0000-0300-00009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6" name="Straight Connector 537">
            <a:extLst>
              <a:ext uri="{FF2B5EF4-FFF2-40B4-BE49-F238E27FC236}">
                <a16:creationId xmlns:a16="http://schemas.microsoft.com/office/drawing/2014/main" id="{00000000-0008-0000-0300-00009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174</xdr:row>
      <xdr:rowOff>0</xdr:rowOff>
    </xdr:from>
    <xdr:to>
      <xdr:col>10</xdr:col>
      <xdr:colOff>312963</xdr:colOff>
      <xdr:row>175</xdr:row>
      <xdr:rowOff>68036</xdr:rowOff>
    </xdr:to>
    <xdr:grpSp>
      <xdr:nvGrpSpPr>
        <xdr:cNvPr id="2457" name="Group 1008">
          <a:extLst>
            <a:ext uri="{FF2B5EF4-FFF2-40B4-BE49-F238E27FC236}">
              <a16:creationId xmlns:a16="http://schemas.microsoft.com/office/drawing/2014/main" id="{00000000-0008-0000-0300-000099090000}"/>
            </a:ext>
          </a:extLst>
        </xdr:cNvPr>
        <xdr:cNvGrpSpPr>
          <a:grpSpLocks/>
        </xdr:cNvGrpSpPr>
      </xdr:nvGrpSpPr>
      <xdr:grpSpPr bwMode="auto">
        <a:xfrm>
          <a:off x="6929438" y="37516594"/>
          <a:ext cx="312963" cy="270442"/>
          <a:chOff x="5475762" y="47760700"/>
          <a:chExt cx="314325" cy="230209"/>
        </a:xfrm>
      </xdr:grpSpPr>
      <xdr:cxnSp macro="">
        <xdr:nvCxnSpPr>
          <xdr:cNvPr id="2458" name="Straight Connector 2457">
            <a:extLst>
              <a:ext uri="{FF2B5EF4-FFF2-40B4-BE49-F238E27FC236}">
                <a16:creationId xmlns:a16="http://schemas.microsoft.com/office/drawing/2014/main" id="{00000000-0008-0000-0300-00009A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9" name="Straight Connector 529">
            <a:extLst>
              <a:ext uri="{FF2B5EF4-FFF2-40B4-BE49-F238E27FC236}">
                <a16:creationId xmlns:a16="http://schemas.microsoft.com/office/drawing/2014/main" id="{00000000-0008-0000-0300-00009B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1">
            <a:extLst>
              <a:ext uri="{FF2B5EF4-FFF2-40B4-BE49-F238E27FC236}">
                <a16:creationId xmlns:a16="http://schemas.microsoft.com/office/drawing/2014/main" id="{00000000-0008-0000-0300-00009C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1" name="Straight Connector 533">
            <a:extLst>
              <a:ext uri="{FF2B5EF4-FFF2-40B4-BE49-F238E27FC236}">
                <a16:creationId xmlns:a16="http://schemas.microsoft.com/office/drawing/2014/main" id="{00000000-0008-0000-0300-00009D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2" name="Straight Connector 535">
            <a:extLst>
              <a:ext uri="{FF2B5EF4-FFF2-40B4-BE49-F238E27FC236}">
                <a16:creationId xmlns:a16="http://schemas.microsoft.com/office/drawing/2014/main" id="{00000000-0008-0000-0300-00009E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3" name="Straight Connector 537">
            <a:extLst>
              <a:ext uri="{FF2B5EF4-FFF2-40B4-BE49-F238E27FC236}">
                <a16:creationId xmlns:a16="http://schemas.microsoft.com/office/drawing/2014/main" id="{00000000-0008-0000-0300-00009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167</xdr:row>
      <xdr:rowOff>0</xdr:rowOff>
    </xdr:from>
    <xdr:to>
      <xdr:col>2</xdr:col>
      <xdr:colOff>312963</xdr:colOff>
      <xdr:row>168</xdr:row>
      <xdr:rowOff>68037</xdr:rowOff>
    </xdr:to>
    <xdr:grpSp>
      <xdr:nvGrpSpPr>
        <xdr:cNvPr id="2464" name="Group 1008">
          <a:extLst>
            <a:ext uri="{FF2B5EF4-FFF2-40B4-BE49-F238E27FC236}">
              <a16:creationId xmlns:a16="http://schemas.microsoft.com/office/drawing/2014/main" id="{00000000-0008-0000-0300-0000A0090000}"/>
            </a:ext>
          </a:extLst>
        </xdr:cNvPr>
        <xdr:cNvGrpSpPr>
          <a:grpSpLocks/>
        </xdr:cNvGrpSpPr>
      </xdr:nvGrpSpPr>
      <xdr:grpSpPr bwMode="auto">
        <a:xfrm>
          <a:off x="1535906" y="36064031"/>
          <a:ext cx="312963" cy="270444"/>
          <a:chOff x="5475762" y="47760700"/>
          <a:chExt cx="314325" cy="230209"/>
        </a:xfrm>
      </xdr:grpSpPr>
      <xdr:cxnSp macro="">
        <xdr:nvCxnSpPr>
          <xdr:cNvPr id="2465" name="Straight Connector 2464">
            <a:extLst>
              <a:ext uri="{FF2B5EF4-FFF2-40B4-BE49-F238E27FC236}">
                <a16:creationId xmlns:a16="http://schemas.microsoft.com/office/drawing/2014/main" id="{00000000-0008-0000-0300-0000A1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6" name="Straight Connector 529">
            <a:extLst>
              <a:ext uri="{FF2B5EF4-FFF2-40B4-BE49-F238E27FC236}">
                <a16:creationId xmlns:a16="http://schemas.microsoft.com/office/drawing/2014/main" id="{00000000-0008-0000-0300-0000A2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1">
            <a:extLst>
              <a:ext uri="{FF2B5EF4-FFF2-40B4-BE49-F238E27FC236}">
                <a16:creationId xmlns:a16="http://schemas.microsoft.com/office/drawing/2014/main" id="{00000000-0008-0000-0300-0000A3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8" name="Straight Connector 533">
            <a:extLst>
              <a:ext uri="{FF2B5EF4-FFF2-40B4-BE49-F238E27FC236}">
                <a16:creationId xmlns:a16="http://schemas.microsoft.com/office/drawing/2014/main" id="{00000000-0008-0000-0300-0000A4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9" name="Straight Connector 535">
            <a:extLst>
              <a:ext uri="{FF2B5EF4-FFF2-40B4-BE49-F238E27FC236}">
                <a16:creationId xmlns:a16="http://schemas.microsoft.com/office/drawing/2014/main" id="{00000000-0008-0000-0300-0000A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0" name="Straight Connector 537">
            <a:extLst>
              <a:ext uri="{FF2B5EF4-FFF2-40B4-BE49-F238E27FC236}">
                <a16:creationId xmlns:a16="http://schemas.microsoft.com/office/drawing/2014/main" id="{00000000-0008-0000-0300-0000A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61</xdr:row>
      <xdr:rowOff>0</xdr:rowOff>
    </xdr:from>
    <xdr:to>
      <xdr:col>20</xdr:col>
      <xdr:colOff>312963</xdr:colOff>
      <xdr:row>62</xdr:row>
      <xdr:rowOff>68036</xdr:rowOff>
    </xdr:to>
    <xdr:grpSp>
      <xdr:nvGrpSpPr>
        <xdr:cNvPr id="2471" name="Group 1008">
          <a:extLst>
            <a:ext uri="{FF2B5EF4-FFF2-40B4-BE49-F238E27FC236}">
              <a16:creationId xmlns:a16="http://schemas.microsoft.com/office/drawing/2014/main" id="{00000000-0008-0000-0300-0000A7090000}"/>
            </a:ext>
          </a:extLst>
        </xdr:cNvPr>
        <xdr:cNvGrpSpPr>
          <a:grpSpLocks/>
        </xdr:cNvGrpSpPr>
      </xdr:nvGrpSpPr>
      <xdr:grpSpPr bwMode="auto">
        <a:xfrm>
          <a:off x="13251656" y="14061281"/>
          <a:ext cx="312963" cy="270443"/>
          <a:chOff x="5475762" y="47760700"/>
          <a:chExt cx="314325" cy="230209"/>
        </a:xfrm>
      </xdr:grpSpPr>
      <xdr:cxnSp macro="">
        <xdr:nvCxnSpPr>
          <xdr:cNvPr id="2472" name="Straight Connector 2471">
            <a:extLst>
              <a:ext uri="{FF2B5EF4-FFF2-40B4-BE49-F238E27FC236}">
                <a16:creationId xmlns:a16="http://schemas.microsoft.com/office/drawing/2014/main" id="{00000000-0008-0000-0300-0000A8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3" name="Straight Connector 529">
            <a:extLst>
              <a:ext uri="{FF2B5EF4-FFF2-40B4-BE49-F238E27FC236}">
                <a16:creationId xmlns:a16="http://schemas.microsoft.com/office/drawing/2014/main" id="{00000000-0008-0000-0300-0000A9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1">
            <a:extLst>
              <a:ext uri="{FF2B5EF4-FFF2-40B4-BE49-F238E27FC236}">
                <a16:creationId xmlns:a16="http://schemas.microsoft.com/office/drawing/2014/main" id="{00000000-0008-0000-0300-0000AA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5" name="Straight Connector 533">
            <a:extLst>
              <a:ext uri="{FF2B5EF4-FFF2-40B4-BE49-F238E27FC236}">
                <a16:creationId xmlns:a16="http://schemas.microsoft.com/office/drawing/2014/main" id="{00000000-0008-0000-0300-0000AB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6" name="Straight Connector 535">
            <a:extLst>
              <a:ext uri="{FF2B5EF4-FFF2-40B4-BE49-F238E27FC236}">
                <a16:creationId xmlns:a16="http://schemas.microsoft.com/office/drawing/2014/main" id="{00000000-0008-0000-0300-0000AC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7" name="Straight Connector 537">
            <a:extLst>
              <a:ext uri="{FF2B5EF4-FFF2-40B4-BE49-F238E27FC236}">
                <a16:creationId xmlns:a16="http://schemas.microsoft.com/office/drawing/2014/main" id="{00000000-0008-0000-0300-0000AD09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61</xdr:row>
      <xdr:rowOff>0</xdr:rowOff>
    </xdr:from>
    <xdr:to>
      <xdr:col>22</xdr:col>
      <xdr:colOff>312963</xdr:colOff>
      <xdr:row>62</xdr:row>
      <xdr:rowOff>68036</xdr:rowOff>
    </xdr:to>
    <xdr:grpSp>
      <xdr:nvGrpSpPr>
        <xdr:cNvPr id="2478" name="Group 1008">
          <a:extLst>
            <a:ext uri="{FF2B5EF4-FFF2-40B4-BE49-F238E27FC236}">
              <a16:creationId xmlns:a16="http://schemas.microsoft.com/office/drawing/2014/main" id="{00000000-0008-0000-0300-0000AE090000}"/>
            </a:ext>
          </a:extLst>
        </xdr:cNvPr>
        <xdr:cNvGrpSpPr>
          <a:grpSpLocks/>
        </xdr:cNvGrpSpPr>
      </xdr:nvGrpSpPr>
      <xdr:grpSpPr bwMode="auto">
        <a:xfrm>
          <a:off x="14573250" y="14061281"/>
          <a:ext cx="312963" cy="270443"/>
          <a:chOff x="5475762" y="47760700"/>
          <a:chExt cx="314325" cy="230209"/>
        </a:xfrm>
      </xdr:grpSpPr>
      <xdr:cxnSp macro="">
        <xdr:nvCxnSpPr>
          <xdr:cNvPr id="2479" name="Straight Connector 2478">
            <a:extLst>
              <a:ext uri="{FF2B5EF4-FFF2-40B4-BE49-F238E27FC236}">
                <a16:creationId xmlns:a16="http://schemas.microsoft.com/office/drawing/2014/main" id="{00000000-0008-0000-0300-0000AF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0" name="Straight Connector 529">
            <a:extLst>
              <a:ext uri="{FF2B5EF4-FFF2-40B4-BE49-F238E27FC236}">
                <a16:creationId xmlns:a16="http://schemas.microsoft.com/office/drawing/2014/main" id="{00000000-0008-0000-0300-0000B0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1">
            <a:extLst>
              <a:ext uri="{FF2B5EF4-FFF2-40B4-BE49-F238E27FC236}">
                <a16:creationId xmlns:a16="http://schemas.microsoft.com/office/drawing/2014/main" id="{00000000-0008-0000-0300-0000B1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2" name="Straight Connector 533">
            <a:extLst>
              <a:ext uri="{FF2B5EF4-FFF2-40B4-BE49-F238E27FC236}">
                <a16:creationId xmlns:a16="http://schemas.microsoft.com/office/drawing/2014/main" id="{00000000-0008-0000-0300-0000B2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3" name="Straight Connector 535">
            <a:extLst>
              <a:ext uri="{FF2B5EF4-FFF2-40B4-BE49-F238E27FC236}">
                <a16:creationId xmlns:a16="http://schemas.microsoft.com/office/drawing/2014/main" id="{00000000-0008-0000-0300-0000B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4" name="Straight Connector 537">
            <a:extLst>
              <a:ext uri="{FF2B5EF4-FFF2-40B4-BE49-F238E27FC236}">
                <a16:creationId xmlns:a16="http://schemas.microsoft.com/office/drawing/2014/main" id="{00000000-0008-0000-0300-0000B4090000}"/>
              </a:ext>
            </a:extLst>
          </xdr:cNvPr>
          <xdr:cNvCxnSpPr>
            <a:cxnSpLocks noChangeShapeType="1"/>
          </xdr:cNvCxnSpPr>
        </xdr:nvCxnSpPr>
        <xdr:spPr bwMode="auto">
          <a:xfrm rot="5400000" flipH="1" flipV="1">
            <a:off x="5583354" y="47975504"/>
            <a:ext cx="23021" cy="779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312963</xdr:colOff>
      <xdr:row>76</xdr:row>
      <xdr:rowOff>68036</xdr:rowOff>
    </xdr:to>
    <xdr:grpSp>
      <xdr:nvGrpSpPr>
        <xdr:cNvPr id="2485" name="Group 1008">
          <a:extLst>
            <a:ext uri="{FF2B5EF4-FFF2-40B4-BE49-F238E27FC236}">
              <a16:creationId xmlns:a16="http://schemas.microsoft.com/office/drawing/2014/main" id="{00000000-0008-0000-0300-0000B5090000}"/>
            </a:ext>
          </a:extLst>
        </xdr:cNvPr>
        <xdr:cNvGrpSpPr>
          <a:grpSpLocks/>
        </xdr:cNvGrpSpPr>
      </xdr:nvGrpSpPr>
      <xdr:grpSpPr bwMode="auto">
        <a:xfrm>
          <a:off x="6929438" y="16966406"/>
          <a:ext cx="312963" cy="270443"/>
          <a:chOff x="5475762" y="47760700"/>
          <a:chExt cx="314325" cy="230209"/>
        </a:xfrm>
      </xdr:grpSpPr>
      <xdr:cxnSp macro="">
        <xdr:nvCxnSpPr>
          <xdr:cNvPr id="2486" name="Straight Connector 2485">
            <a:extLst>
              <a:ext uri="{FF2B5EF4-FFF2-40B4-BE49-F238E27FC236}">
                <a16:creationId xmlns:a16="http://schemas.microsoft.com/office/drawing/2014/main" id="{00000000-0008-0000-0300-0000B6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7" name="Straight Connector 529">
            <a:extLst>
              <a:ext uri="{FF2B5EF4-FFF2-40B4-BE49-F238E27FC236}">
                <a16:creationId xmlns:a16="http://schemas.microsoft.com/office/drawing/2014/main" id="{00000000-0008-0000-0300-0000B7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1">
            <a:extLst>
              <a:ext uri="{FF2B5EF4-FFF2-40B4-BE49-F238E27FC236}">
                <a16:creationId xmlns:a16="http://schemas.microsoft.com/office/drawing/2014/main" id="{00000000-0008-0000-0300-0000B8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9" name="Straight Connector 533">
            <a:extLst>
              <a:ext uri="{FF2B5EF4-FFF2-40B4-BE49-F238E27FC236}">
                <a16:creationId xmlns:a16="http://schemas.microsoft.com/office/drawing/2014/main" id="{00000000-0008-0000-0300-0000B9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0" name="Straight Connector 535">
            <a:extLst>
              <a:ext uri="{FF2B5EF4-FFF2-40B4-BE49-F238E27FC236}">
                <a16:creationId xmlns:a16="http://schemas.microsoft.com/office/drawing/2014/main" id="{00000000-0008-0000-0300-0000B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1" name="Straight Connector 537">
            <a:extLst>
              <a:ext uri="{FF2B5EF4-FFF2-40B4-BE49-F238E27FC236}">
                <a16:creationId xmlns:a16="http://schemas.microsoft.com/office/drawing/2014/main" id="{00000000-0008-0000-0300-0000B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111</xdr:row>
      <xdr:rowOff>0</xdr:rowOff>
    </xdr:from>
    <xdr:to>
      <xdr:col>10</xdr:col>
      <xdr:colOff>312963</xdr:colOff>
      <xdr:row>112</xdr:row>
      <xdr:rowOff>68036</xdr:rowOff>
    </xdr:to>
    <xdr:grpSp>
      <xdr:nvGrpSpPr>
        <xdr:cNvPr id="2492" name="Group 1008">
          <a:extLst>
            <a:ext uri="{FF2B5EF4-FFF2-40B4-BE49-F238E27FC236}">
              <a16:creationId xmlns:a16="http://schemas.microsoft.com/office/drawing/2014/main" id="{00000000-0008-0000-0300-0000BC090000}"/>
            </a:ext>
          </a:extLst>
        </xdr:cNvPr>
        <xdr:cNvGrpSpPr>
          <a:grpSpLocks/>
        </xdr:cNvGrpSpPr>
      </xdr:nvGrpSpPr>
      <xdr:grpSpPr bwMode="auto">
        <a:xfrm>
          <a:off x="6929438" y="24419719"/>
          <a:ext cx="312963" cy="282348"/>
          <a:chOff x="5475762" y="47760700"/>
          <a:chExt cx="314325" cy="230209"/>
        </a:xfrm>
      </xdr:grpSpPr>
      <xdr:cxnSp macro="">
        <xdr:nvCxnSpPr>
          <xdr:cNvPr id="2493" name="Straight Connector 2492">
            <a:extLst>
              <a:ext uri="{FF2B5EF4-FFF2-40B4-BE49-F238E27FC236}">
                <a16:creationId xmlns:a16="http://schemas.microsoft.com/office/drawing/2014/main" id="{00000000-0008-0000-0300-0000BD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4" name="Straight Connector 529">
            <a:extLst>
              <a:ext uri="{FF2B5EF4-FFF2-40B4-BE49-F238E27FC236}">
                <a16:creationId xmlns:a16="http://schemas.microsoft.com/office/drawing/2014/main" id="{00000000-0008-0000-0300-0000BE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1">
            <a:extLst>
              <a:ext uri="{FF2B5EF4-FFF2-40B4-BE49-F238E27FC236}">
                <a16:creationId xmlns:a16="http://schemas.microsoft.com/office/drawing/2014/main" id="{00000000-0008-0000-0300-0000BF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6" name="Straight Connector 533">
            <a:extLst>
              <a:ext uri="{FF2B5EF4-FFF2-40B4-BE49-F238E27FC236}">
                <a16:creationId xmlns:a16="http://schemas.microsoft.com/office/drawing/2014/main" id="{00000000-0008-0000-0300-0000C0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7" name="Straight Connector 535">
            <a:extLst>
              <a:ext uri="{FF2B5EF4-FFF2-40B4-BE49-F238E27FC236}">
                <a16:creationId xmlns:a16="http://schemas.microsoft.com/office/drawing/2014/main" id="{00000000-0008-0000-0300-0000C1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8" name="Straight Connector 537">
            <a:extLst>
              <a:ext uri="{FF2B5EF4-FFF2-40B4-BE49-F238E27FC236}">
                <a16:creationId xmlns:a16="http://schemas.microsoft.com/office/drawing/2014/main" id="{00000000-0008-0000-0300-0000C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153</xdr:row>
      <xdr:rowOff>0</xdr:rowOff>
    </xdr:from>
    <xdr:to>
      <xdr:col>4</xdr:col>
      <xdr:colOff>312963</xdr:colOff>
      <xdr:row>154</xdr:row>
      <xdr:rowOff>68037</xdr:rowOff>
    </xdr:to>
    <xdr:grpSp>
      <xdr:nvGrpSpPr>
        <xdr:cNvPr id="2499" name="Group 1008">
          <a:extLst>
            <a:ext uri="{FF2B5EF4-FFF2-40B4-BE49-F238E27FC236}">
              <a16:creationId xmlns:a16="http://schemas.microsoft.com/office/drawing/2014/main" id="{00000000-0008-0000-0300-0000C3090000}"/>
            </a:ext>
          </a:extLst>
        </xdr:cNvPr>
        <xdr:cNvGrpSpPr>
          <a:grpSpLocks/>
        </xdr:cNvGrpSpPr>
      </xdr:nvGrpSpPr>
      <xdr:grpSpPr bwMode="auto">
        <a:xfrm>
          <a:off x="2809875" y="33158906"/>
          <a:ext cx="312963" cy="270444"/>
          <a:chOff x="5475762" y="47760700"/>
          <a:chExt cx="314325" cy="230209"/>
        </a:xfrm>
      </xdr:grpSpPr>
      <xdr:cxnSp macro="">
        <xdr:nvCxnSpPr>
          <xdr:cNvPr id="2500" name="Straight Connector 2499">
            <a:extLst>
              <a:ext uri="{FF2B5EF4-FFF2-40B4-BE49-F238E27FC236}">
                <a16:creationId xmlns:a16="http://schemas.microsoft.com/office/drawing/2014/main" id="{00000000-0008-0000-0300-0000C4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1" name="Straight Connector 529">
            <a:extLst>
              <a:ext uri="{FF2B5EF4-FFF2-40B4-BE49-F238E27FC236}">
                <a16:creationId xmlns:a16="http://schemas.microsoft.com/office/drawing/2014/main" id="{00000000-0008-0000-0300-0000C5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1">
            <a:extLst>
              <a:ext uri="{FF2B5EF4-FFF2-40B4-BE49-F238E27FC236}">
                <a16:creationId xmlns:a16="http://schemas.microsoft.com/office/drawing/2014/main" id="{00000000-0008-0000-0300-0000C6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3" name="Straight Connector 533">
            <a:extLst>
              <a:ext uri="{FF2B5EF4-FFF2-40B4-BE49-F238E27FC236}">
                <a16:creationId xmlns:a16="http://schemas.microsoft.com/office/drawing/2014/main" id="{00000000-0008-0000-0300-0000C7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4" name="Straight Connector 535">
            <a:extLst>
              <a:ext uri="{FF2B5EF4-FFF2-40B4-BE49-F238E27FC236}">
                <a16:creationId xmlns:a16="http://schemas.microsoft.com/office/drawing/2014/main" id="{00000000-0008-0000-0300-0000C8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5" name="Straight Connector 537">
            <a:extLst>
              <a:ext uri="{FF2B5EF4-FFF2-40B4-BE49-F238E27FC236}">
                <a16:creationId xmlns:a16="http://schemas.microsoft.com/office/drawing/2014/main" id="{00000000-0008-0000-0300-0000C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167</xdr:row>
      <xdr:rowOff>0</xdr:rowOff>
    </xdr:from>
    <xdr:to>
      <xdr:col>10</xdr:col>
      <xdr:colOff>312963</xdr:colOff>
      <xdr:row>168</xdr:row>
      <xdr:rowOff>68036</xdr:rowOff>
    </xdr:to>
    <xdr:grpSp>
      <xdr:nvGrpSpPr>
        <xdr:cNvPr id="2513" name="Group 1008">
          <a:extLst>
            <a:ext uri="{FF2B5EF4-FFF2-40B4-BE49-F238E27FC236}">
              <a16:creationId xmlns:a16="http://schemas.microsoft.com/office/drawing/2014/main" id="{00000000-0008-0000-0300-0000D1090000}"/>
            </a:ext>
          </a:extLst>
        </xdr:cNvPr>
        <xdr:cNvGrpSpPr>
          <a:grpSpLocks/>
        </xdr:cNvGrpSpPr>
      </xdr:nvGrpSpPr>
      <xdr:grpSpPr bwMode="auto">
        <a:xfrm>
          <a:off x="6929438" y="36064031"/>
          <a:ext cx="312963" cy="270443"/>
          <a:chOff x="5475762" y="47760700"/>
          <a:chExt cx="314325" cy="230209"/>
        </a:xfrm>
      </xdr:grpSpPr>
      <xdr:cxnSp macro="">
        <xdr:nvCxnSpPr>
          <xdr:cNvPr id="2514" name="Straight Connector 2513">
            <a:extLst>
              <a:ext uri="{FF2B5EF4-FFF2-40B4-BE49-F238E27FC236}">
                <a16:creationId xmlns:a16="http://schemas.microsoft.com/office/drawing/2014/main" id="{00000000-0008-0000-0300-0000D2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5" name="Straight Connector 529">
            <a:extLst>
              <a:ext uri="{FF2B5EF4-FFF2-40B4-BE49-F238E27FC236}">
                <a16:creationId xmlns:a16="http://schemas.microsoft.com/office/drawing/2014/main" id="{00000000-0008-0000-0300-0000D3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1">
            <a:extLst>
              <a:ext uri="{FF2B5EF4-FFF2-40B4-BE49-F238E27FC236}">
                <a16:creationId xmlns:a16="http://schemas.microsoft.com/office/drawing/2014/main" id="{00000000-0008-0000-0300-0000D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7" name="Straight Connector 533">
            <a:extLst>
              <a:ext uri="{FF2B5EF4-FFF2-40B4-BE49-F238E27FC236}">
                <a16:creationId xmlns:a16="http://schemas.microsoft.com/office/drawing/2014/main" id="{00000000-0008-0000-0300-0000D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8" name="Straight Connector 535">
            <a:extLst>
              <a:ext uri="{FF2B5EF4-FFF2-40B4-BE49-F238E27FC236}">
                <a16:creationId xmlns:a16="http://schemas.microsoft.com/office/drawing/2014/main" id="{00000000-0008-0000-0300-0000D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9" name="Straight Connector 537">
            <a:extLst>
              <a:ext uri="{FF2B5EF4-FFF2-40B4-BE49-F238E27FC236}">
                <a16:creationId xmlns:a16="http://schemas.microsoft.com/office/drawing/2014/main" id="{00000000-0008-0000-0300-0000D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19</xdr:col>
      <xdr:colOff>353786</xdr:colOff>
      <xdr:row>114</xdr:row>
      <xdr:rowOff>40821</xdr:rowOff>
    </xdr:from>
    <xdr:to>
      <xdr:col>21</xdr:col>
      <xdr:colOff>353787</xdr:colOff>
      <xdr:row>114</xdr:row>
      <xdr:rowOff>183573</xdr:rowOff>
    </xdr:to>
    <xdr:sp macro="" textlink="">
      <xdr:nvSpPr>
        <xdr:cNvPr id="252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164911" y="24710571"/>
          <a:ext cx="1257301" cy="1427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114</xdr:row>
      <xdr:rowOff>40822</xdr:rowOff>
    </xdr:from>
    <xdr:to>
      <xdr:col>23</xdr:col>
      <xdr:colOff>381000</xdr:colOff>
      <xdr:row>115</xdr:row>
      <xdr:rowOff>54429</xdr:rowOff>
    </xdr:to>
    <xdr:sp macro="" textlink="">
      <xdr:nvSpPr>
        <xdr:cNvPr id="252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49425" y="24710572"/>
          <a:ext cx="1333500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367394</xdr:colOff>
      <xdr:row>114</xdr:row>
      <xdr:rowOff>54428</xdr:rowOff>
    </xdr:from>
    <xdr:to>
      <xdr:col>25</xdr:col>
      <xdr:colOff>0</xdr:colOff>
      <xdr:row>115</xdr:row>
      <xdr:rowOff>0</xdr:rowOff>
    </xdr:to>
    <xdr:sp macro="" textlink="">
      <xdr:nvSpPr>
        <xdr:cNvPr id="252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69319" y="24724178"/>
          <a:ext cx="966106" cy="14559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476249</xdr:colOff>
      <xdr:row>121</xdr:row>
      <xdr:rowOff>13607</xdr:rowOff>
    </xdr:from>
    <xdr:to>
      <xdr:col>3</xdr:col>
      <xdr:colOff>380999</xdr:colOff>
      <xdr:row>121</xdr:row>
      <xdr:rowOff>176893</xdr:rowOff>
    </xdr:to>
    <xdr:sp macro="" textlink="">
      <xdr:nvSpPr>
        <xdr:cNvPr id="252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76324" y="26112107"/>
          <a:ext cx="1457325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381000</xdr:colOff>
      <xdr:row>121</xdr:row>
      <xdr:rowOff>13607</xdr:rowOff>
    </xdr:from>
    <xdr:to>
      <xdr:col>5</xdr:col>
      <xdr:colOff>367393</xdr:colOff>
      <xdr:row>122</xdr:row>
      <xdr:rowOff>27214</xdr:rowOff>
    </xdr:to>
    <xdr:sp macro="" textlink="">
      <xdr:nvSpPr>
        <xdr:cNvPr id="252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33650" y="26112107"/>
          <a:ext cx="1329418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340178</xdr:colOff>
      <xdr:row>121</xdr:row>
      <xdr:rowOff>13607</xdr:rowOff>
    </xdr:from>
    <xdr:to>
      <xdr:col>7</xdr:col>
      <xdr:colOff>353785</xdr:colOff>
      <xdr:row>122</xdr:row>
      <xdr:rowOff>27214</xdr:rowOff>
    </xdr:to>
    <xdr:sp macro="" textlink="">
      <xdr:nvSpPr>
        <xdr:cNvPr id="252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35853" y="26112107"/>
          <a:ext cx="1337582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381001</xdr:colOff>
      <xdr:row>121</xdr:row>
      <xdr:rowOff>13608</xdr:rowOff>
    </xdr:from>
    <xdr:to>
      <xdr:col>9</xdr:col>
      <xdr:colOff>353786</xdr:colOff>
      <xdr:row>122</xdr:row>
      <xdr:rowOff>13607</xdr:rowOff>
    </xdr:to>
    <xdr:sp macro="" textlink="">
      <xdr:nvSpPr>
        <xdr:cNvPr id="252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00651" y="26112108"/>
          <a:ext cx="1325335" cy="20002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367392</xdr:colOff>
      <xdr:row>120</xdr:row>
      <xdr:rowOff>190500</xdr:rowOff>
    </xdr:from>
    <xdr:to>
      <xdr:col>11</xdr:col>
      <xdr:colOff>367392</xdr:colOff>
      <xdr:row>122</xdr:row>
      <xdr:rowOff>13607</xdr:rowOff>
    </xdr:to>
    <xdr:sp macro="" textlink="">
      <xdr:nvSpPr>
        <xdr:cNvPr id="252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39592" y="26088975"/>
          <a:ext cx="1371600" cy="22315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340178</xdr:colOff>
      <xdr:row>120</xdr:row>
      <xdr:rowOff>190499</xdr:rowOff>
    </xdr:from>
    <xdr:to>
      <xdr:col>13</xdr:col>
      <xdr:colOff>380999</xdr:colOff>
      <xdr:row>121</xdr:row>
      <xdr:rowOff>149679</xdr:rowOff>
    </xdr:to>
    <xdr:sp macro="" textlink="">
      <xdr:nvSpPr>
        <xdr:cNvPr id="252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83978" y="26088974"/>
          <a:ext cx="1374321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0</xdr:rowOff>
    </xdr:from>
    <xdr:to>
      <xdr:col>4</xdr:col>
      <xdr:colOff>312963</xdr:colOff>
      <xdr:row>62</xdr:row>
      <xdr:rowOff>68036</xdr:rowOff>
    </xdr:to>
    <xdr:grpSp>
      <xdr:nvGrpSpPr>
        <xdr:cNvPr id="2529" name="Group 1008">
          <a:extLst>
            <a:ext uri="{FF2B5EF4-FFF2-40B4-BE49-F238E27FC236}">
              <a16:creationId xmlns:a16="http://schemas.microsoft.com/office/drawing/2014/main" id="{00000000-0008-0000-0300-0000E1090000}"/>
            </a:ext>
          </a:extLst>
        </xdr:cNvPr>
        <xdr:cNvGrpSpPr>
          <a:grpSpLocks/>
        </xdr:cNvGrpSpPr>
      </xdr:nvGrpSpPr>
      <xdr:grpSpPr bwMode="auto">
        <a:xfrm>
          <a:off x="2809875" y="14061281"/>
          <a:ext cx="312963" cy="270443"/>
          <a:chOff x="5475762" y="47760700"/>
          <a:chExt cx="314325" cy="230209"/>
        </a:xfrm>
      </xdr:grpSpPr>
      <xdr:cxnSp macro="">
        <xdr:nvCxnSpPr>
          <xdr:cNvPr id="2530" name="Straight Connector 2529">
            <a:extLst>
              <a:ext uri="{FF2B5EF4-FFF2-40B4-BE49-F238E27FC236}">
                <a16:creationId xmlns:a16="http://schemas.microsoft.com/office/drawing/2014/main" id="{00000000-0008-0000-0300-0000E2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1" name="Straight Connector 529">
            <a:extLst>
              <a:ext uri="{FF2B5EF4-FFF2-40B4-BE49-F238E27FC236}">
                <a16:creationId xmlns:a16="http://schemas.microsoft.com/office/drawing/2014/main" id="{00000000-0008-0000-0300-0000E3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2" name="Straight Connector 531">
            <a:extLst>
              <a:ext uri="{FF2B5EF4-FFF2-40B4-BE49-F238E27FC236}">
                <a16:creationId xmlns:a16="http://schemas.microsoft.com/office/drawing/2014/main" id="{00000000-0008-0000-0300-0000E4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3" name="Straight Connector 533">
            <a:extLst>
              <a:ext uri="{FF2B5EF4-FFF2-40B4-BE49-F238E27FC236}">
                <a16:creationId xmlns:a16="http://schemas.microsoft.com/office/drawing/2014/main" id="{00000000-0008-0000-0300-0000E5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5">
            <a:extLst>
              <a:ext uri="{FF2B5EF4-FFF2-40B4-BE49-F238E27FC236}">
                <a16:creationId xmlns:a16="http://schemas.microsoft.com/office/drawing/2014/main" id="{00000000-0008-0000-0300-0000E6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7">
            <a:extLst>
              <a:ext uri="{FF2B5EF4-FFF2-40B4-BE49-F238E27FC236}">
                <a16:creationId xmlns:a16="http://schemas.microsoft.com/office/drawing/2014/main" id="{00000000-0008-0000-0300-0000E7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61</xdr:row>
      <xdr:rowOff>0</xdr:rowOff>
    </xdr:from>
    <xdr:to>
      <xdr:col>6</xdr:col>
      <xdr:colOff>312963</xdr:colOff>
      <xdr:row>62</xdr:row>
      <xdr:rowOff>68036</xdr:rowOff>
    </xdr:to>
    <xdr:grpSp>
      <xdr:nvGrpSpPr>
        <xdr:cNvPr id="2536" name="Group 1008">
          <a:extLst>
            <a:ext uri="{FF2B5EF4-FFF2-40B4-BE49-F238E27FC236}">
              <a16:creationId xmlns:a16="http://schemas.microsoft.com/office/drawing/2014/main" id="{00000000-0008-0000-0300-0000E8090000}"/>
            </a:ext>
          </a:extLst>
        </xdr:cNvPr>
        <xdr:cNvGrpSpPr>
          <a:grpSpLocks/>
        </xdr:cNvGrpSpPr>
      </xdr:nvGrpSpPr>
      <xdr:grpSpPr bwMode="auto">
        <a:xfrm>
          <a:off x="4179094" y="14061281"/>
          <a:ext cx="312963" cy="270443"/>
          <a:chOff x="5475762" y="47760700"/>
          <a:chExt cx="314325" cy="230209"/>
        </a:xfrm>
      </xdr:grpSpPr>
      <xdr:cxnSp macro="">
        <xdr:nvCxnSpPr>
          <xdr:cNvPr id="2537" name="Straight Connector 2536">
            <a:extLst>
              <a:ext uri="{FF2B5EF4-FFF2-40B4-BE49-F238E27FC236}">
                <a16:creationId xmlns:a16="http://schemas.microsoft.com/office/drawing/2014/main" id="{00000000-0008-0000-0300-0000E9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8" name="Straight Connector 529">
            <a:extLst>
              <a:ext uri="{FF2B5EF4-FFF2-40B4-BE49-F238E27FC236}">
                <a16:creationId xmlns:a16="http://schemas.microsoft.com/office/drawing/2014/main" id="{00000000-0008-0000-0300-0000EA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9" name="Straight Connector 531">
            <a:extLst>
              <a:ext uri="{FF2B5EF4-FFF2-40B4-BE49-F238E27FC236}">
                <a16:creationId xmlns:a16="http://schemas.microsoft.com/office/drawing/2014/main" id="{00000000-0008-0000-0300-0000EB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0" name="Straight Connector 533">
            <a:extLst>
              <a:ext uri="{FF2B5EF4-FFF2-40B4-BE49-F238E27FC236}">
                <a16:creationId xmlns:a16="http://schemas.microsoft.com/office/drawing/2014/main" id="{00000000-0008-0000-0300-0000EC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5">
            <a:extLst>
              <a:ext uri="{FF2B5EF4-FFF2-40B4-BE49-F238E27FC236}">
                <a16:creationId xmlns:a16="http://schemas.microsoft.com/office/drawing/2014/main" id="{00000000-0008-0000-0300-0000ED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7">
            <a:extLst>
              <a:ext uri="{FF2B5EF4-FFF2-40B4-BE49-F238E27FC236}">
                <a16:creationId xmlns:a16="http://schemas.microsoft.com/office/drawing/2014/main" id="{00000000-0008-0000-0300-0000EE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312963</xdr:colOff>
      <xdr:row>62</xdr:row>
      <xdr:rowOff>68036</xdr:rowOff>
    </xdr:to>
    <xdr:grpSp>
      <xdr:nvGrpSpPr>
        <xdr:cNvPr id="2543" name="Group 1008">
          <a:extLst>
            <a:ext uri="{FF2B5EF4-FFF2-40B4-BE49-F238E27FC236}">
              <a16:creationId xmlns:a16="http://schemas.microsoft.com/office/drawing/2014/main" id="{00000000-0008-0000-0300-0000EF090000}"/>
            </a:ext>
          </a:extLst>
        </xdr:cNvPr>
        <xdr:cNvGrpSpPr>
          <a:grpSpLocks/>
        </xdr:cNvGrpSpPr>
      </xdr:nvGrpSpPr>
      <xdr:grpSpPr bwMode="auto">
        <a:xfrm>
          <a:off x="5500688" y="14061281"/>
          <a:ext cx="312963" cy="270443"/>
          <a:chOff x="5475762" y="47760700"/>
          <a:chExt cx="314325" cy="230209"/>
        </a:xfrm>
      </xdr:grpSpPr>
      <xdr:cxnSp macro="">
        <xdr:nvCxnSpPr>
          <xdr:cNvPr id="2544" name="Straight Connector 2543">
            <a:extLst>
              <a:ext uri="{FF2B5EF4-FFF2-40B4-BE49-F238E27FC236}">
                <a16:creationId xmlns:a16="http://schemas.microsoft.com/office/drawing/2014/main" id="{00000000-0008-0000-0300-0000F0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5" name="Straight Connector 529">
            <a:extLst>
              <a:ext uri="{FF2B5EF4-FFF2-40B4-BE49-F238E27FC236}">
                <a16:creationId xmlns:a16="http://schemas.microsoft.com/office/drawing/2014/main" id="{00000000-0008-0000-0300-0000F1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6" name="Straight Connector 531">
            <a:extLst>
              <a:ext uri="{FF2B5EF4-FFF2-40B4-BE49-F238E27FC236}">
                <a16:creationId xmlns:a16="http://schemas.microsoft.com/office/drawing/2014/main" id="{00000000-0008-0000-0300-0000F2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7" name="Straight Connector 533">
            <a:extLst>
              <a:ext uri="{FF2B5EF4-FFF2-40B4-BE49-F238E27FC236}">
                <a16:creationId xmlns:a16="http://schemas.microsoft.com/office/drawing/2014/main" id="{00000000-0008-0000-0300-0000F3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5">
            <a:extLst>
              <a:ext uri="{FF2B5EF4-FFF2-40B4-BE49-F238E27FC236}">
                <a16:creationId xmlns:a16="http://schemas.microsoft.com/office/drawing/2014/main" id="{00000000-0008-0000-0300-0000F4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7">
            <a:extLst>
              <a:ext uri="{FF2B5EF4-FFF2-40B4-BE49-F238E27FC236}">
                <a16:creationId xmlns:a16="http://schemas.microsoft.com/office/drawing/2014/main" id="{00000000-0008-0000-0300-0000F5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96</xdr:row>
      <xdr:rowOff>0</xdr:rowOff>
    </xdr:from>
    <xdr:to>
      <xdr:col>4</xdr:col>
      <xdr:colOff>312963</xdr:colOff>
      <xdr:row>97</xdr:row>
      <xdr:rowOff>68036</xdr:rowOff>
    </xdr:to>
    <xdr:grpSp>
      <xdr:nvGrpSpPr>
        <xdr:cNvPr id="2550" name="Group 1008">
          <a:extLst>
            <a:ext uri="{FF2B5EF4-FFF2-40B4-BE49-F238E27FC236}">
              <a16:creationId xmlns:a16="http://schemas.microsoft.com/office/drawing/2014/main" id="{00000000-0008-0000-0300-0000F6090000}"/>
            </a:ext>
          </a:extLst>
        </xdr:cNvPr>
        <xdr:cNvGrpSpPr>
          <a:grpSpLocks/>
        </xdr:cNvGrpSpPr>
      </xdr:nvGrpSpPr>
      <xdr:grpSpPr bwMode="auto">
        <a:xfrm>
          <a:off x="2809875" y="21312188"/>
          <a:ext cx="312963" cy="270442"/>
          <a:chOff x="5475762" y="47760700"/>
          <a:chExt cx="314325" cy="230209"/>
        </a:xfrm>
      </xdr:grpSpPr>
      <xdr:cxnSp macro="">
        <xdr:nvCxnSpPr>
          <xdr:cNvPr id="2551" name="Straight Connector 2550">
            <a:extLst>
              <a:ext uri="{FF2B5EF4-FFF2-40B4-BE49-F238E27FC236}">
                <a16:creationId xmlns:a16="http://schemas.microsoft.com/office/drawing/2014/main" id="{00000000-0008-0000-0300-0000F7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2" name="Straight Connector 529">
            <a:extLst>
              <a:ext uri="{FF2B5EF4-FFF2-40B4-BE49-F238E27FC236}">
                <a16:creationId xmlns:a16="http://schemas.microsoft.com/office/drawing/2014/main" id="{00000000-0008-0000-0300-0000F8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3" name="Straight Connector 531">
            <a:extLst>
              <a:ext uri="{FF2B5EF4-FFF2-40B4-BE49-F238E27FC236}">
                <a16:creationId xmlns:a16="http://schemas.microsoft.com/office/drawing/2014/main" id="{00000000-0008-0000-0300-0000F9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4" name="Straight Connector 533">
            <a:extLst>
              <a:ext uri="{FF2B5EF4-FFF2-40B4-BE49-F238E27FC236}">
                <a16:creationId xmlns:a16="http://schemas.microsoft.com/office/drawing/2014/main" id="{00000000-0008-0000-0300-0000FA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5">
            <a:extLst>
              <a:ext uri="{FF2B5EF4-FFF2-40B4-BE49-F238E27FC236}">
                <a16:creationId xmlns:a16="http://schemas.microsoft.com/office/drawing/2014/main" id="{00000000-0008-0000-0300-0000FB09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7">
            <a:extLst>
              <a:ext uri="{FF2B5EF4-FFF2-40B4-BE49-F238E27FC236}">
                <a16:creationId xmlns:a16="http://schemas.microsoft.com/office/drawing/2014/main" id="{00000000-0008-0000-0300-0000FC09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0</xdr:rowOff>
    </xdr:from>
    <xdr:to>
      <xdr:col>6</xdr:col>
      <xdr:colOff>312963</xdr:colOff>
      <xdr:row>97</xdr:row>
      <xdr:rowOff>68036</xdr:rowOff>
    </xdr:to>
    <xdr:grpSp>
      <xdr:nvGrpSpPr>
        <xdr:cNvPr id="2557" name="Group 1008">
          <a:extLst>
            <a:ext uri="{FF2B5EF4-FFF2-40B4-BE49-F238E27FC236}">
              <a16:creationId xmlns:a16="http://schemas.microsoft.com/office/drawing/2014/main" id="{00000000-0008-0000-0300-0000FD090000}"/>
            </a:ext>
          </a:extLst>
        </xdr:cNvPr>
        <xdr:cNvGrpSpPr>
          <a:grpSpLocks/>
        </xdr:cNvGrpSpPr>
      </xdr:nvGrpSpPr>
      <xdr:grpSpPr bwMode="auto">
        <a:xfrm>
          <a:off x="4179094" y="21312188"/>
          <a:ext cx="312963" cy="270442"/>
          <a:chOff x="5475762" y="47760700"/>
          <a:chExt cx="314325" cy="230209"/>
        </a:xfrm>
      </xdr:grpSpPr>
      <xdr:cxnSp macro="">
        <xdr:nvCxnSpPr>
          <xdr:cNvPr id="2558" name="Straight Connector 2557">
            <a:extLst>
              <a:ext uri="{FF2B5EF4-FFF2-40B4-BE49-F238E27FC236}">
                <a16:creationId xmlns:a16="http://schemas.microsoft.com/office/drawing/2014/main" id="{00000000-0008-0000-0300-0000FE09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9" name="Straight Connector 529">
            <a:extLst>
              <a:ext uri="{FF2B5EF4-FFF2-40B4-BE49-F238E27FC236}">
                <a16:creationId xmlns:a16="http://schemas.microsoft.com/office/drawing/2014/main" id="{00000000-0008-0000-0300-0000FF09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0" name="Straight Connector 531">
            <a:extLst>
              <a:ext uri="{FF2B5EF4-FFF2-40B4-BE49-F238E27FC236}">
                <a16:creationId xmlns:a16="http://schemas.microsoft.com/office/drawing/2014/main" id="{00000000-0008-0000-0300-000000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1" name="Straight Connector 533">
            <a:extLst>
              <a:ext uri="{FF2B5EF4-FFF2-40B4-BE49-F238E27FC236}">
                <a16:creationId xmlns:a16="http://schemas.microsoft.com/office/drawing/2014/main" id="{00000000-0008-0000-0300-000001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5">
            <a:extLst>
              <a:ext uri="{FF2B5EF4-FFF2-40B4-BE49-F238E27FC236}">
                <a16:creationId xmlns:a16="http://schemas.microsoft.com/office/drawing/2014/main" id="{00000000-0008-0000-0300-00000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7">
            <a:extLst>
              <a:ext uri="{FF2B5EF4-FFF2-40B4-BE49-F238E27FC236}">
                <a16:creationId xmlns:a16="http://schemas.microsoft.com/office/drawing/2014/main" id="{00000000-0008-0000-0300-00000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96</xdr:row>
      <xdr:rowOff>0</xdr:rowOff>
    </xdr:from>
    <xdr:to>
      <xdr:col>8</xdr:col>
      <xdr:colOff>312963</xdr:colOff>
      <xdr:row>97</xdr:row>
      <xdr:rowOff>68036</xdr:rowOff>
    </xdr:to>
    <xdr:grpSp>
      <xdr:nvGrpSpPr>
        <xdr:cNvPr id="2564" name="Group 1008">
          <a:extLst>
            <a:ext uri="{FF2B5EF4-FFF2-40B4-BE49-F238E27FC236}">
              <a16:creationId xmlns:a16="http://schemas.microsoft.com/office/drawing/2014/main" id="{00000000-0008-0000-0300-0000040A0000}"/>
            </a:ext>
          </a:extLst>
        </xdr:cNvPr>
        <xdr:cNvGrpSpPr>
          <a:grpSpLocks/>
        </xdr:cNvGrpSpPr>
      </xdr:nvGrpSpPr>
      <xdr:grpSpPr bwMode="auto">
        <a:xfrm>
          <a:off x="5500688" y="21312188"/>
          <a:ext cx="312963" cy="270442"/>
          <a:chOff x="5475762" y="47760700"/>
          <a:chExt cx="314325" cy="230209"/>
        </a:xfrm>
      </xdr:grpSpPr>
      <xdr:cxnSp macro="">
        <xdr:nvCxnSpPr>
          <xdr:cNvPr id="2565" name="Straight Connector 2564">
            <a:extLst>
              <a:ext uri="{FF2B5EF4-FFF2-40B4-BE49-F238E27FC236}">
                <a16:creationId xmlns:a16="http://schemas.microsoft.com/office/drawing/2014/main" id="{00000000-0008-0000-0300-000005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6" name="Straight Connector 529">
            <a:extLst>
              <a:ext uri="{FF2B5EF4-FFF2-40B4-BE49-F238E27FC236}">
                <a16:creationId xmlns:a16="http://schemas.microsoft.com/office/drawing/2014/main" id="{00000000-0008-0000-0300-000006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7" name="Straight Connector 531">
            <a:extLst>
              <a:ext uri="{FF2B5EF4-FFF2-40B4-BE49-F238E27FC236}">
                <a16:creationId xmlns:a16="http://schemas.microsoft.com/office/drawing/2014/main" id="{00000000-0008-0000-0300-000007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8" name="Straight Connector 533">
            <a:extLst>
              <a:ext uri="{FF2B5EF4-FFF2-40B4-BE49-F238E27FC236}">
                <a16:creationId xmlns:a16="http://schemas.microsoft.com/office/drawing/2014/main" id="{00000000-0008-0000-0300-000008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5">
            <a:extLst>
              <a:ext uri="{FF2B5EF4-FFF2-40B4-BE49-F238E27FC236}">
                <a16:creationId xmlns:a16="http://schemas.microsoft.com/office/drawing/2014/main" id="{00000000-0008-0000-0300-00000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7">
            <a:extLst>
              <a:ext uri="{FF2B5EF4-FFF2-40B4-BE49-F238E27FC236}">
                <a16:creationId xmlns:a16="http://schemas.microsoft.com/office/drawing/2014/main" id="{00000000-0008-0000-0300-00000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54</xdr:row>
      <xdr:rowOff>0</xdr:rowOff>
    </xdr:from>
    <xdr:to>
      <xdr:col>18</xdr:col>
      <xdr:colOff>312963</xdr:colOff>
      <xdr:row>55</xdr:row>
      <xdr:rowOff>68036</xdr:rowOff>
    </xdr:to>
    <xdr:grpSp>
      <xdr:nvGrpSpPr>
        <xdr:cNvPr id="2571" name="Group 1008">
          <a:extLst>
            <a:ext uri="{FF2B5EF4-FFF2-40B4-BE49-F238E27FC236}">
              <a16:creationId xmlns:a16="http://schemas.microsoft.com/office/drawing/2014/main" id="{00000000-0008-0000-0300-00000B0A0000}"/>
            </a:ext>
          </a:extLst>
        </xdr:cNvPr>
        <xdr:cNvGrpSpPr>
          <a:grpSpLocks/>
        </xdr:cNvGrpSpPr>
      </xdr:nvGrpSpPr>
      <xdr:grpSpPr bwMode="auto">
        <a:xfrm>
          <a:off x="12108656" y="12608719"/>
          <a:ext cx="312963" cy="270442"/>
          <a:chOff x="5475762" y="47760700"/>
          <a:chExt cx="314325" cy="230209"/>
        </a:xfrm>
      </xdr:grpSpPr>
      <xdr:cxnSp macro="">
        <xdr:nvCxnSpPr>
          <xdr:cNvPr id="2572" name="Straight Connector 2571">
            <a:extLst>
              <a:ext uri="{FF2B5EF4-FFF2-40B4-BE49-F238E27FC236}">
                <a16:creationId xmlns:a16="http://schemas.microsoft.com/office/drawing/2014/main" id="{00000000-0008-0000-0300-00000C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3" name="Straight Connector 529">
            <a:extLst>
              <a:ext uri="{FF2B5EF4-FFF2-40B4-BE49-F238E27FC236}">
                <a16:creationId xmlns:a16="http://schemas.microsoft.com/office/drawing/2014/main" id="{00000000-0008-0000-0300-00000D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4" name="Straight Connector 531">
            <a:extLst>
              <a:ext uri="{FF2B5EF4-FFF2-40B4-BE49-F238E27FC236}">
                <a16:creationId xmlns:a16="http://schemas.microsoft.com/office/drawing/2014/main" id="{00000000-0008-0000-0300-00000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5" name="Straight Connector 533">
            <a:extLst>
              <a:ext uri="{FF2B5EF4-FFF2-40B4-BE49-F238E27FC236}">
                <a16:creationId xmlns:a16="http://schemas.microsoft.com/office/drawing/2014/main" id="{00000000-0008-0000-0300-00000F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5">
            <a:extLst>
              <a:ext uri="{FF2B5EF4-FFF2-40B4-BE49-F238E27FC236}">
                <a16:creationId xmlns:a16="http://schemas.microsoft.com/office/drawing/2014/main" id="{00000000-0008-0000-0300-000010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7">
            <a:extLst>
              <a:ext uri="{FF2B5EF4-FFF2-40B4-BE49-F238E27FC236}">
                <a16:creationId xmlns:a16="http://schemas.microsoft.com/office/drawing/2014/main" id="{00000000-0008-0000-0300-00001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54</xdr:row>
      <xdr:rowOff>0</xdr:rowOff>
    </xdr:from>
    <xdr:to>
      <xdr:col>20</xdr:col>
      <xdr:colOff>312963</xdr:colOff>
      <xdr:row>55</xdr:row>
      <xdr:rowOff>68036</xdr:rowOff>
    </xdr:to>
    <xdr:grpSp>
      <xdr:nvGrpSpPr>
        <xdr:cNvPr id="2578" name="Group 1008">
          <a:extLst>
            <a:ext uri="{FF2B5EF4-FFF2-40B4-BE49-F238E27FC236}">
              <a16:creationId xmlns:a16="http://schemas.microsoft.com/office/drawing/2014/main" id="{00000000-0008-0000-0300-0000120A0000}"/>
            </a:ext>
          </a:extLst>
        </xdr:cNvPr>
        <xdr:cNvGrpSpPr>
          <a:grpSpLocks/>
        </xdr:cNvGrpSpPr>
      </xdr:nvGrpSpPr>
      <xdr:grpSpPr bwMode="auto">
        <a:xfrm>
          <a:off x="13251656" y="12608719"/>
          <a:ext cx="312963" cy="270442"/>
          <a:chOff x="5475762" y="47760700"/>
          <a:chExt cx="314325" cy="230209"/>
        </a:xfrm>
      </xdr:grpSpPr>
      <xdr:cxnSp macro="">
        <xdr:nvCxnSpPr>
          <xdr:cNvPr id="2579" name="Straight Connector 2578">
            <a:extLst>
              <a:ext uri="{FF2B5EF4-FFF2-40B4-BE49-F238E27FC236}">
                <a16:creationId xmlns:a16="http://schemas.microsoft.com/office/drawing/2014/main" id="{00000000-0008-0000-0300-000013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0" name="Straight Connector 529">
            <a:extLst>
              <a:ext uri="{FF2B5EF4-FFF2-40B4-BE49-F238E27FC236}">
                <a16:creationId xmlns:a16="http://schemas.microsoft.com/office/drawing/2014/main" id="{00000000-0008-0000-0300-000014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1" name="Straight Connector 531">
            <a:extLst>
              <a:ext uri="{FF2B5EF4-FFF2-40B4-BE49-F238E27FC236}">
                <a16:creationId xmlns:a16="http://schemas.microsoft.com/office/drawing/2014/main" id="{00000000-0008-0000-0300-00001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2" name="Straight Connector 533">
            <a:extLst>
              <a:ext uri="{FF2B5EF4-FFF2-40B4-BE49-F238E27FC236}">
                <a16:creationId xmlns:a16="http://schemas.microsoft.com/office/drawing/2014/main" id="{00000000-0008-0000-0300-000016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5">
            <a:extLst>
              <a:ext uri="{FF2B5EF4-FFF2-40B4-BE49-F238E27FC236}">
                <a16:creationId xmlns:a16="http://schemas.microsoft.com/office/drawing/2014/main" id="{00000000-0008-0000-0300-000017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7">
            <a:extLst>
              <a:ext uri="{FF2B5EF4-FFF2-40B4-BE49-F238E27FC236}">
                <a16:creationId xmlns:a16="http://schemas.microsoft.com/office/drawing/2014/main" id="{00000000-0008-0000-0300-00001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54</xdr:row>
      <xdr:rowOff>0</xdr:rowOff>
    </xdr:from>
    <xdr:to>
      <xdr:col>22</xdr:col>
      <xdr:colOff>312963</xdr:colOff>
      <xdr:row>55</xdr:row>
      <xdr:rowOff>68036</xdr:rowOff>
    </xdr:to>
    <xdr:grpSp>
      <xdr:nvGrpSpPr>
        <xdr:cNvPr id="2585" name="Group 1008">
          <a:extLst>
            <a:ext uri="{FF2B5EF4-FFF2-40B4-BE49-F238E27FC236}">
              <a16:creationId xmlns:a16="http://schemas.microsoft.com/office/drawing/2014/main" id="{00000000-0008-0000-0300-0000190A0000}"/>
            </a:ext>
          </a:extLst>
        </xdr:cNvPr>
        <xdr:cNvGrpSpPr>
          <a:grpSpLocks/>
        </xdr:cNvGrpSpPr>
      </xdr:nvGrpSpPr>
      <xdr:grpSpPr bwMode="auto">
        <a:xfrm>
          <a:off x="14573250" y="12608719"/>
          <a:ext cx="312963" cy="270442"/>
          <a:chOff x="5475762" y="47760700"/>
          <a:chExt cx="314325" cy="230209"/>
        </a:xfrm>
      </xdr:grpSpPr>
      <xdr:cxnSp macro="">
        <xdr:nvCxnSpPr>
          <xdr:cNvPr id="2586" name="Straight Connector 2585">
            <a:extLst>
              <a:ext uri="{FF2B5EF4-FFF2-40B4-BE49-F238E27FC236}">
                <a16:creationId xmlns:a16="http://schemas.microsoft.com/office/drawing/2014/main" id="{00000000-0008-0000-0300-00001A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7" name="Straight Connector 529">
            <a:extLst>
              <a:ext uri="{FF2B5EF4-FFF2-40B4-BE49-F238E27FC236}">
                <a16:creationId xmlns:a16="http://schemas.microsoft.com/office/drawing/2014/main" id="{00000000-0008-0000-0300-00001B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8" name="Straight Connector 531">
            <a:extLst>
              <a:ext uri="{FF2B5EF4-FFF2-40B4-BE49-F238E27FC236}">
                <a16:creationId xmlns:a16="http://schemas.microsoft.com/office/drawing/2014/main" id="{00000000-0008-0000-0300-00001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9" name="Straight Connector 533">
            <a:extLst>
              <a:ext uri="{FF2B5EF4-FFF2-40B4-BE49-F238E27FC236}">
                <a16:creationId xmlns:a16="http://schemas.microsoft.com/office/drawing/2014/main" id="{00000000-0008-0000-0300-00001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5">
            <a:extLst>
              <a:ext uri="{FF2B5EF4-FFF2-40B4-BE49-F238E27FC236}">
                <a16:creationId xmlns:a16="http://schemas.microsoft.com/office/drawing/2014/main" id="{00000000-0008-0000-0300-00001E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7">
            <a:extLst>
              <a:ext uri="{FF2B5EF4-FFF2-40B4-BE49-F238E27FC236}">
                <a16:creationId xmlns:a16="http://schemas.microsoft.com/office/drawing/2014/main" id="{00000000-0008-0000-0300-00001F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54</xdr:row>
      <xdr:rowOff>0</xdr:rowOff>
    </xdr:from>
    <xdr:to>
      <xdr:col>24</xdr:col>
      <xdr:colOff>312963</xdr:colOff>
      <xdr:row>55</xdr:row>
      <xdr:rowOff>68036</xdr:rowOff>
    </xdr:to>
    <xdr:grpSp>
      <xdr:nvGrpSpPr>
        <xdr:cNvPr id="2592" name="Group 1008">
          <a:extLst>
            <a:ext uri="{FF2B5EF4-FFF2-40B4-BE49-F238E27FC236}">
              <a16:creationId xmlns:a16="http://schemas.microsoft.com/office/drawing/2014/main" id="{00000000-0008-0000-0300-0000200A0000}"/>
            </a:ext>
          </a:extLst>
        </xdr:cNvPr>
        <xdr:cNvGrpSpPr>
          <a:grpSpLocks/>
        </xdr:cNvGrpSpPr>
      </xdr:nvGrpSpPr>
      <xdr:grpSpPr bwMode="auto">
        <a:xfrm>
          <a:off x="15942469" y="12608719"/>
          <a:ext cx="312963" cy="270442"/>
          <a:chOff x="5475762" y="47760700"/>
          <a:chExt cx="314325" cy="230209"/>
        </a:xfrm>
      </xdr:grpSpPr>
      <xdr:cxnSp macro="">
        <xdr:nvCxnSpPr>
          <xdr:cNvPr id="2593" name="Straight Connector 2592">
            <a:extLst>
              <a:ext uri="{FF2B5EF4-FFF2-40B4-BE49-F238E27FC236}">
                <a16:creationId xmlns:a16="http://schemas.microsoft.com/office/drawing/2014/main" id="{00000000-0008-0000-0300-000021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4" name="Straight Connector 529">
            <a:extLst>
              <a:ext uri="{FF2B5EF4-FFF2-40B4-BE49-F238E27FC236}">
                <a16:creationId xmlns:a16="http://schemas.microsoft.com/office/drawing/2014/main" id="{00000000-0008-0000-0300-000022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5" name="Straight Connector 531">
            <a:extLst>
              <a:ext uri="{FF2B5EF4-FFF2-40B4-BE49-F238E27FC236}">
                <a16:creationId xmlns:a16="http://schemas.microsoft.com/office/drawing/2014/main" id="{00000000-0008-0000-0300-00002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6" name="Straight Connector 533">
            <a:extLst>
              <a:ext uri="{FF2B5EF4-FFF2-40B4-BE49-F238E27FC236}">
                <a16:creationId xmlns:a16="http://schemas.microsoft.com/office/drawing/2014/main" id="{00000000-0008-0000-0300-00002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5">
            <a:extLst>
              <a:ext uri="{FF2B5EF4-FFF2-40B4-BE49-F238E27FC236}">
                <a16:creationId xmlns:a16="http://schemas.microsoft.com/office/drawing/2014/main" id="{00000000-0008-0000-0300-000025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7">
            <a:extLst>
              <a:ext uri="{FF2B5EF4-FFF2-40B4-BE49-F238E27FC236}">
                <a16:creationId xmlns:a16="http://schemas.microsoft.com/office/drawing/2014/main" id="{00000000-0008-0000-0300-000026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68</xdr:row>
      <xdr:rowOff>0</xdr:rowOff>
    </xdr:from>
    <xdr:to>
      <xdr:col>24</xdr:col>
      <xdr:colOff>312963</xdr:colOff>
      <xdr:row>69</xdr:row>
      <xdr:rowOff>68035</xdr:rowOff>
    </xdr:to>
    <xdr:grpSp>
      <xdr:nvGrpSpPr>
        <xdr:cNvPr id="2599" name="Group 1008">
          <a:extLst>
            <a:ext uri="{FF2B5EF4-FFF2-40B4-BE49-F238E27FC236}">
              <a16:creationId xmlns:a16="http://schemas.microsoft.com/office/drawing/2014/main" id="{00000000-0008-0000-0300-0000270A0000}"/>
            </a:ext>
          </a:extLst>
        </xdr:cNvPr>
        <xdr:cNvGrpSpPr>
          <a:grpSpLocks/>
        </xdr:cNvGrpSpPr>
      </xdr:nvGrpSpPr>
      <xdr:grpSpPr bwMode="auto">
        <a:xfrm>
          <a:off x="15942469" y="15513844"/>
          <a:ext cx="312963" cy="270441"/>
          <a:chOff x="5475762" y="47760700"/>
          <a:chExt cx="314325" cy="230209"/>
        </a:xfrm>
      </xdr:grpSpPr>
      <xdr:cxnSp macro="">
        <xdr:nvCxnSpPr>
          <xdr:cNvPr id="2600" name="Straight Connector 2599">
            <a:extLst>
              <a:ext uri="{FF2B5EF4-FFF2-40B4-BE49-F238E27FC236}">
                <a16:creationId xmlns:a16="http://schemas.microsoft.com/office/drawing/2014/main" id="{00000000-0008-0000-0300-000028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1" name="Straight Connector 529">
            <a:extLst>
              <a:ext uri="{FF2B5EF4-FFF2-40B4-BE49-F238E27FC236}">
                <a16:creationId xmlns:a16="http://schemas.microsoft.com/office/drawing/2014/main" id="{00000000-0008-0000-0300-000029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2" name="Straight Connector 531">
            <a:extLst>
              <a:ext uri="{FF2B5EF4-FFF2-40B4-BE49-F238E27FC236}">
                <a16:creationId xmlns:a16="http://schemas.microsoft.com/office/drawing/2014/main" id="{00000000-0008-0000-0300-00002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3" name="Straight Connector 533">
            <a:extLst>
              <a:ext uri="{FF2B5EF4-FFF2-40B4-BE49-F238E27FC236}">
                <a16:creationId xmlns:a16="http://schemas.microsoft.com/office/drawing/2014/main" id="{00000000-0008-0000-0300-00002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5">
            <a:extLst>
              <a:ext uri="{FF2B5EF4-FFF2-40B4-BE49-F238E27FC236}">
                <a16:creationId xmlns:a16="http://schemas.microsoft.com/office/drawing/2014/main" id="{00000000-0008-0000-0300-00002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7">
            <a:extLst>
              <a:ext uri="{FF2B5EF4-FFF2-40B4-BE49-F238E27FC236}">
                <a16:creationId xmlns:a16="http://schemas.microsoft.com/office/drawing/2014/main" id="{00000000-0008-0000-0300-00002D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367392</xdr:colOff>
      <xdr:row>120</xdr:row>
      <xdr:rowOff>176893</xdr:rowOff>
    </xdr:from>
    <xdr:to>
      <xdr:col>15</xdr:col>
      <xdr:colOff>380999</xdr:colOff>
      <xdr:row>121</xdr:row>
      <xdr:rowOff>136073</xdr:rowOff>
    </xdr:to>
    <xdr:sp macro="" textlink="">
      <xdr:nvSpPr>
        <xdr:cNvPr id="260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44692" y="26075368"/>
          <a:ext cx="1375682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312965</xdr:colOff>
      <xdr:row>120</xdr:row>
      <xdr:rowOff>190500</xdr:rowOff>
    </xdr:from>
    <xdr:to>
      <xdr:col>17</xdr:col>
      <xdr:colOff>408214</xdr:colOff>
      <xdr:row>121</xdr:row>
      <xdr:rowOff>149680</xdr:rowOff>
    </xdr:to>
    <xdr:sp macro="" textlink="">
      <xdr:nvSpPr>
        <xdr:cNvPr id="260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52340" y="26088975"/>
          <a:ext cx="1381124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299357</xdr:colOff>
      <xdr:row>120</xdr:row>
      <xdr:rowOff>190500</xdr:rowOff>
    </xdr:from>
    <xdr:to>
      <xdr:col>19</xdr:col>
      <xdr:colOff>394607</xdr:colOff>
      <xdr:row>121</xdr:row>
      <xdr:rowOff>149680</xdr:rowOff>
    </xdr:to>
    <xdr:sp macro="" textlink="">
      <xdr:nvSpPr>
        <xdr:cNvPr id="26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24607" y="26088975"/>
          <a:ext cx="1381125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326572</xdr:colOff>
      <xdr:row>120</xdr:row>
      <xdr:rowOff>190500</xdr:rowOff>
    </xdr:from>
    <xdr:to>
      <xdr:col>21</xdr:col>
      <xdr:colOff>353785</xdr:colOff>
      <xdr:row>121</xdr:row>
      <xdr:rowOff>149680</xdr:rowOff>
    </xdr:to>
    <xdr:sp macro="" textlink="">
      <xdr:nvSpPr>
        <xdr:cNvPr id="260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137697" y="26088975"/>
          <a:ext cx="1284513" cy="1592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367393</xdr:colOff>
      <xdr:row>121</xdr:row>
      <xdr:rowOff>13607</xdr:rowOff>
    </xdr:from>
    <xdr:to>
      <xdr:col>23</xdr:col>
      <xdr:colOff>408214</xdr:colOff>
      <xdr:row>121</xdr:row>
      <xdr:rowOff>176894</xdr:rowOff>
    </xdr:to>
    <xdr:sp macro="" textlink="">
      <xdr:nvSpPr>
        <xdr:cNvPr id="261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35818" y="26112107"/>
          <a:ext cx="1374321" cy="16328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394609</xdr:colOff>
      <xdr:row>121</xdr:row>
      <xdr:rowOff>1</xdr:rowOff>
    </xdr:from>
    <xdr:to>
      <xdr:col>25</xdr:col>
      <xdr:colOff>81643</xdr:colOff>
      <xdr:row>121</xdr:row>
      <xdr:rowOff>122465</xdr:rowOff>
    </xdr:to>
    <xdr:sp macro="" textlink="">
      <xdr:nvSpPr>
        <xdr:cNvPr id="261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96534" y="26098501"/>
          <a:ext cx="1020534" cy="12246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81643</xdr:colOff>
      <xdr:row>16</xdr:row>
      <xdr:rowOff>81643</xdr:rowOff>
    </xdr:from>
    <xdr:to>
      <xdr:col>14</xdr:col>
      <xdr:colOff>277180</xdr:colOff>
      <xdr:row>20</xdr:row>
      <xdr:rowOff>28611</xdr:rowOff>
    </xdr:to>
    <xdr:pic>
      <xdr:nvPicPr>
        <xdr:cNvPr id="2612" name="Picture 11595">
          <a:extLst>
            <a:ext uri="{FF2B5EF4-FFF2-40B4-BE49-F238E27FC236}">
              <a16:creationId xmlns:a16="http://schemas.microsoft.com/office/drawing/2014/main" id="{00000000-0008-0000-0300-00003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720943" y="4758418"/>
          <a:ext cx="195537" cy="7756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68036</xdr:colOff>
      <xdr:row>36</xdr:row>
      <xdr:rowOff>163285</xdr:rowOff>
    </xdr:from>
    <xdr:to>
      <xdr:col>12</xdr:col>
      <xdr:colOff>263573</xdr:colOff>
      <xdr:row>40</xdr:row>
      <xdr:rowOff>110254</xdr:rowOff>
    </xdr:to>
    <xdr:pic>
      <xdr:nvPicPr>
        <xdr:cNvPr id="2613" name="Picture 11595">
          <a:extLst>
            <a:ext uri="{FF2B5EF4-FFF2-40B4-BE49-F238E27FC236}">
              <a16:creationId xmlns:a16="http://schemas.microsoft.com/office/drawing/2014/main" id="{00000000-0008-0000-0300-00003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335736" y="8916760"/>
          <a:ext cx="195537" cy="775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81643</xdr:colOff>
      <xdr:row>16</xdr:row>
      <xdr:rowOff>163290</xdr:rowOff>
    </xdr:from>
    <xdr:to>
      <xdr:col>6</xdr:col>
      <xdr:colOff>244929</xdr:colOff>
      <xdr:row>22</xdr:row>
      <xdr:rowOff>137613</xdr:rowOff>
    </xdr:to>
    <xdr:sp macro="" textlink="">
      <xdr:nvSpPr>
        <xdr:cNvPr id="2614" name="Equals 161">
          <a:extLst>
            <a:ext uri="{FF2B5EF4-FFF2-40B4-BE49-F238E27FC236}">
              <a16:creationId xmlns:a16="http://schemas.microsoft.com/office/drawing/2014/main" id="{00000000-0008-0000-0E00-0000270A0000}"/>
            </a:ext>
          </a:extLst>
        </xdr:cNvPr>
        <xdr:cNvSpPr/>
      </xdr:nvSpPr>
      <xdr:spPr>
        <a:xfrm rot="5400000">
          <a:off x="3757524" y="5355184"/>
          <a:ext cx="1193523" cy="1632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accent2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accent2"/>
              </a:solidFill>
              <a:latin typeface="+mn-lt"/>
              <a:ea typeface="+mn-ea"/>
              <a:cs typeface="+mn-cs"/>
            </a:defRPr>
          </a:lvl9pPr>
        </a:lstStyle>
        <a:p>
          <a:endParaRPr lang="en-IN"/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312963</xdr:colOff>
      <xdr:row>55</xdr:row>
      <xdr:rowOff>68036</xdr:rowOff>
    </xdr:to>
    <xdr:grpSp>
      <xdr:nvGrpSpPr>
        <xdr:cNvPr id="2615" name="Group 1008">
          <a:extLst>
            <a:ext uri="{FF2B5EF4-FFF2-40B4-BE49-F238E27FC236}">
              <a16:creationId xmlns:a16="http://schemas.microsoft.com/office/drawing/2014/main" id="{00000000-0008-0000-0300-0000370A0000}"/>
            </a:ext>
          </a:extLst>
        </xdr:cNvPr>
        <xdr:cNvGrpSpPr>
          <a:grpSpLocks/>
        </xdr:cNvGrpSpPr>
      </xdr:nvGrpSpPr>
      <xdr:grpSpPr bwMode="auto">
        <a:xfrm>
          <a:off x="5500688" y="12608719"/>
          <a:ext cx="312963" cy="270442"/>
          <a:chOff x="5475762" y="47760700"/>
          <a:chExt cx="314325" cy="230209"/>
        </a:xfrm>
      </xdr:grpSpPr>
      <xdr:cxnSp macro="">
        <xdr:nvCxnSpPr>
          <xdr:cNvPr id="2616" name="Straight Connector 2615">
            <a:extLst>
              <a:ext uri="{FF2B5EF4-FFF2-40B4-BE49-F238E27FC236}">
                <a16:creationId xmlns:a16="http://schemas.microsoft.com/office/drawing/2014/main" id="{00000000-0008-0000-0300-000038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7" name="Straight Connector 529">
            <a:extLst>
              <a:ext uri="{FF2B5EF4-FFF2-40B4-BE49-F238E27FC236}">
                <a16:creationId xmlns:a16="http://schemas.microsoft.com/office/drawing/2014/main" id="{00000000-0008-0000-0300-000039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8" name="Straight Connector 531">
            <a:extLst>
              <a:ext uri="{FF2B5EF4-FFF2-40B4-BE49-F238E27FC236}">
                <a16:creationId xmlns:a16="http://schemas.microsoft.com/office/drawing/2014/main" id="{00000000-0008-0000-0300-00003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9" name="Straight Connector 533">
            <a:extLst>
              <a:ext uri="{FF2B5EF4-FFF2-40B4-BE49-F238E27FC236}">
                <a16:creationId xmlns:a16="http://schemas.microsoft.com/office/drawing/2014/main" id="{00000000-0008-0000-0300-00003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0" name="Straight Connector 535">
            <a:extLst>
              <a:ext uri="{FF2B5EF4-FFF2-40B4-BE49-F238E27FC236}">
                <a16:creationId xmlns:a16="http://schemas.microsoft.com/office/drawing/2014/main" id="{00000000-0008-0000-0300-00003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1" name="Straight Connector 537">
            <a:extLst>
              <a:ext uri="{FF2B5EF4-FFF2-40B4-BE49-F238E27FC236}">
                <a16:creationId xmlns:a16="http://schemas.microsoft.com/office/drawing/2014/main" id="{00000000-0008-0000-0300-00003D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54</xdr:row>
      <xdr:rowOff>0</xdr:rowOff>
    </xdr:from>
    <xdr:to>
      <xdr:col>12</xdr:col>
      <xdr:colOff>312963</xdr:colOff>
      <xdr:row>55</xdr:row>
      <xdr:rowOff>68036</xdr:rowOff>
    </xdr:to>
    <xdr:grpSp>
      <xdr:nvGrpSpPr>
        <xdr:cNvPr id="2622" name="Group 1008">
          <a:extLst>
            <a:ext uri="{FF2B5EF4-FFF2-40B4-BE49-F238E27FC236}">
              <a16:creationId xmlns:a16="http://schemas.microsoft.com/office/drawing/2014/main" id="{00000000-0008-0000-0300-00003E0A0000}"/>
            </a:ext>
          </a:extLst>
        </xdr:cNvPr>
        <xdr:cNvGrpSpPr>
          <a:grpSpLocks/>
        </xdr:cNvGrpSpPr>
      </xdr:nvGrpSpPr>
      <xdr:grpSpPr bwMode="auto">
        <a:xfrm>
          <a:off x="8251031" y="12608719"/>
          <a:ext cx="312963" cy="270442"/>
          <a:chOff x="5475762" y="47760700"/>
          <a:chExt cx="314325" cy="230209"/>
        </a:xfrm>
      </xdr:grpSpPr>
      <xdr:cxnSp macro="">
        <xdr:nvCxnSpPr>
          <xdr:cNvPr id="2623" name="Straight Connector 2622">
            <a:extLst>
              <a:ext uri="{FF2B5EF4-FFF2-40B4-BE49-F238E27FC236}">
                <a16:creationId xmlns:a16="http://schemas.microsoft.com/office/drawing/2014/main" id="{00000000-0008-0000-0300-00003F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24" name="Straight Connector 529">
            <a:extLst>
              <a:ext uri="{FF2B5EF4-FFF2-40B4-BE49-F238E27FC236}">
                <a16:creationId xmlns:a16="http://schemas.microsoft.com/office/drawing/2014/main" id="{00000000-0008-0000-0300-000040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5" name="Straight Connector 531">
            <a:extLst>
              <a:ext uri="{FF2B5EF4-FFF2-40B4-BE49-F238E27FC236}">
                <a16:creationId xmlns:a16="http://schemas.microsoft.com/office/drawing/2014/main" id="{00000000-0008-0000-0300-00004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6" name="Straight Connector 533">
            <a:extLst>
              <a:ext uri="{FF2B5EF4-FFF2-40B4-BE49-F238E27FC236}">
                <a16:creationId xmlns:a16="http://schemas.microsoft.com/office/drawing/2014/main" id="{00000000-0008-0000-0300-00004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7" name="Straight Connector 535">
            <a:extLst>
              <a:ext uri="{FF2B5EF4-FFF2-40B4-BE49-F238E27FC236}">
                <a16:creationId xmlns:a16="http://schemas.microsoft.com/office/drawing/2014/main" id="{00000000-0008-0000-0300-00004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28" name="Straight Connector 537">
            <a:extLst>
              <a:ext uri="{FF2B5EF4-FFF2-40B4-BE49-F238E27FC236}">
                <a16:creationId xmlns:a16="http://schemas.microsoft.com/office/drawing/2014/main" id="{00000000-0008-0000-0300-000044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54</xdr:row>
      <xdr:rowOff>0</xdr:rowOff>
    </xdr:from>
    <xdr:to>
      <xdr:col>14</xdr:col>
      <xdr:colOff>312963</xdr:colOff>
      <xdr:row>55</xdr:row>
      <xdr:rowOff>68036</xdr:rowOff>
    </xdr:to>
    <xdr:grpSp>
      <xdr:nvGrpSpPr>
        <xdr:cNvPr id="2629" name="Group 1008">
          <a:extLst>
            <a:ext uri="{FF2B5EF4-FFF2-40B4-BE49-F238E27FC236}">
              <a16:creationId xmlns:a16="http://schemas.microsoft.com/office/drawing/2014/main" id="{00000000-0008-0000-0300-0000450A0000}"/>
            </a:ext>
          </a:extLst>
        </xdr:cNvPr>
        <xdr:cNvGrpSpPr>
          <a:grpSpLocks/>
        </xdr:cNvGrpSpPr>
      </xdr:nvGrpSpPr>
      <xdr:grpSpPr bwMode="auto">
        <a:xfrm>
          <a:off x="9489281" y="12608719"/>
          <a:ext cx="312963" cy="270442"/>
          <a:chOff x="5475762" y="47760700"/>
          <a:chExt cx="314325" cy="230209"/>
        </a:xfrm>
      </xdr:grpSpPr>
      <xdr:cxnSp macro="">
        <xdr:nvCxnSpPr>
          <xdr:cNvPr id="2630" name="Straight Connector 2629">
            <a:extLst>
              <a:ext uri="{FF2B5EF4-FFF2-40B4-BE49-F238E27FC236}">
                <a16:creationId xmlns:a16="http://schemas.microsoft.com/office/drawing/2014/main" id="{00000000-0008-0000-0300-000046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1" name="Straight Connector 529">
            <a:extLst>
              <a:ext uri="{FF2B5EF4-FFF2-40B4-BE49-F238E27FC236}">
                <a16:creationId xmlns:a16="http://schemas.microsoft.com/office/drawing/2014/main" id="{00000000-0008-0000-0300-000047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2" name="Straight Connector 531">
            <a:extLst>
              <a:ext uri="{FF2B5EF4-FFF2-40B4-BE49-F238E27FC236}">
                <a16:creationId xmlns:a16="http://schemas.microsoft.com/office/drawing/2014/main" id="{00000000-0008-0000-0300-00004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3" name="Straight Connector 533">
            <a:extLst>
              <a:ext uri="{FF2B5EF4-FFF2-40B4-BE49-F238E27FC236}">
                <a16:creationId xmlns:a16="http://schemas.microsoft.com/office/drawing/2014/main" id="{00000000-0008-0000-0300-00004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4" name="Straight Connector 535">
            <a:extLst>
              <a:ext uri="{FF2B5EF4-FFF2-40B4-BE49-F238E27FC236}">
                <a16:creationId xmlns:a16="http://schemas.microsoft.com/office/drawing/2014/main" id="{00000000-0008-0000-0300-00004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5" name="Straight Connector 537">
            <a:extLst>
              <a:ext uri="{FF2B5EF4-FFF2-40B4-BE49-F238E27FC236}">
                <a16:creationId xmlns:a16="http://schemas.microsoft.com/office/drawing/2014/main" id="{00000000-0008-0000-0300-00004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54</xdr:row>
      <xdr:rowOff>0</xdr:rowOff>
    </xdr:from>
    <xdr:to>
      <xdr:col>16</xdr:col>
      <xdr:colOff>312963</xdr:colOff>
      <xdr:row>55</xdr:row>
      <xdr:rowOff>68036</xdr:rowOff>
    </xdr:to>
    <xdr:grpSp>
      <xdr:nvGrpSpPr>
        <xdr:cNvPr id="2636" name="Group 1008">
          <a:extLst>
            <a:ext uri="{FF2B5EF4-FFF2-40B4-BE49-F238E27FC236}">
              <a16:creationId xmlns:a16="http://schemas.microsoft.com/office/drawing/2014/main" id="{00000000-0008-0000-0300-00004C0A0000}"/>
            </a:ext>
          </a:extLst>
        </xdr:cNvPr>
        <xdr:cNvGrpSpPr>
          <a:grpSpLocks/>
        </xdr:cNvGrpSpPr>
      </xdr:nvGrpSpPr>
      <xdr:grpSpPr bwMode="auto">
        <a:xfrm>
          <a:off x="10775156" y="12608719"/>
          <a:ext cx="312963" cy="270442"/>
          <a:chOff x="5475762" y="47760700"/>
          <a:chExt cx="314325" cy="230209"/>
        </a:xfrm>
      </xdr:grpSpPr>
      <xdr:cxnSp macro="">
        <xdr:nvCxnSpPr>
          <xdr:cNvPr id="2637" name="Straight Connector 2636">
            <a:extLst>
              <a:ext uri="{FF2B5EF4-FFF2-40B4-BE49-F238E27FC236}">
                <a16:creationId xmlns:a16="http://schemas.microsoft.com/office/drawing/2014/main" id="{00000000-0008-0000-0300-00004D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8" name="Straight Connector 529">
            <a:extLst>
              <a:ext uri="{FF2B5EF4-FFF2-40B4-BE49-F238E27FC236}">
                <a16:creationId xmlns:a16="http://schemas.microsoft.com/office/drawing/2014/main" id="{00000000-0008-0000-0300-00004E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39" name="Straight Connector 531">
            <a:extLst>
              <a:ext uri="{FF2B5EF4-FFF2-40B4-BE49-F238E27FC236}">
                <a16:creationId xmlns:a16="http://schemas.microsoft.com/office/drawing/2014/main" id="{00000000-0008-0000-0300-00004F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3">
            <a:extLst>
              <a:ext uri="{FF2B5EF4-FFF2-40B4-BE49-F238E27FC236}">
                <a16:creationId xmlns:a16="http://schemas.microsoft.com/office/drawing/2014/main" id="{00000000-0008-0000-0300-000050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5">
            <a:extLst>
              <a:ext uri="{FF2B5EF4-FFF2-40B4-BE49-F238E27FC236}">
                <a16:creationId xmlns:a16="http://schemas.microsoft.com/office/drawing/2014/main" id="{00000000-0008-0000-0300-000051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7">
            <a:extLst>
              <a:ext uri="{FF2B5EF4-FFF2-40B4-BE49-F238E27FC236}">
                <a16:creationId xmlns:a16="http://schemas.microsoft.com/office/drawing/2014/main" id="{00000000-0008-0000-0300-00005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312963</xdr:colOff>
      <xdr:row>90</xdr:row>
      <xdr:rowOff>68036</xdr:rowOff>
    </xdr:to>
    <xdr:grpSp>
      <xdr:nvGrpSpPr>
        <xdr:cNvPr id="2643" name="Group 1008">
          <a:extLst>
            <a:ext uri="{FF2B5EF4-FFF2-40B4-BE49-F238E27FC236}">
              <a16:creationId xmlns:a16="http://schemas.microsoft.com/office/drawing/2014/main" id="{00000000-0008-0000-0300-0000530A0000}"/>
            </a:ext>
          </a:extLst>
        </xdr:cNvPr>
        <xdr:cNvGrpSpPr>
          <a:grpSpLocks/>
        </xdr:cNvGrpSpPr>
      </xdr:nvGrpSpPr>
      <xdr:grpSpPr bwMode="auto">
        <a:xfrm>
          <a:off x="5500688" y="19859625"/>
          <a:ext cx="312963" cy="270442"/>
          <a:chOff x="5475762" y="47760700"/>
          <a:chExt cx="314325" cy="230209"/>
        </a:xfrm>
      </xdr:grpSpPr>
      <xdr:cxnSp macro="">
        <xdr:nvCxnSpPr>
          <xdr:cNvPr id="2644" name="Straight Connector 2643">
            <a:extLst>
              <a:ext uri="{FF2B5EF4-FFF2-40B4-BE49-F238E27FC236}">
                <a16:creationId xmlns:a16="http://schemas.microsoft.com/office/drawing/2014/main" id="{00000000-0008-0000-0300-000054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5" name="Straight Connector 529">
            <a:extLst>
              <a:ext uri="{FF2B5EF4-FFF2-40B4-BE49-F238E27FC236}">
                <a16:creationId xmlns:a16="http://schemas.microsoft.com/office/drawing/2014/main" id="{00000000-0008-0000-0300-000055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6" name="Straight Connector 531">
            <a:extLst>
              <a:ext uri="{FF2B5EF4-FFF2-40B4-BE49-F238E27FC236}">
                <a16:creationId xmlns:a16="http://schemas.microsoft.com/office/drawing/2014/main" id="{00000000-0008-0000-0300-000056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3">
            <a:extLst>
              <a:ext uri="{FF2B5EF4-FFF2-40B4-BE49-F238E27FC236}">
                <a16:creationId xmlns:a16="http://schemas.microsoft.com/office/drawing/2014/main" id="{00000000-0008-0000-0300-000057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5">
            <a:extLst>
              <a:ext uri="{FF2B5EF4-FFF2-40B4-BE49-F238E27FC236}">
                <a16:creationId xmlns:a16="http://schemas.microsoft.com/office/drawing/2014/main" id="{00000000-0008-0000-0300-000058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7">
            <a:extLst>
              <a:ext uri="{FF2B5EF4-FFF2-40B4-BE49-F238E27FC236}">
                <a16:creationId xmlns:a16="http://schemas.microsoft.com/office/drawing/2014/main" id="{00000000-0008-0000-0300-00005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0</xdr:colOff>
      <xdr:row>15</xdr:row>
      <xdr:rowOff>163286</xdr:rowOff>
    </xdr:from>
    <xdr:to>
      <xdr:col>2</xdr:col>
      <xdr:colOff>13607</xdr:colOff>
      <xdr:row>18</xdr:row>
      <xdr:rowOff>13608</xdr:rowOff>
    </xdr:to>
    <xdr:sp macro="" textlink="">
      <xdr:nvSpPr>
        <xdr:cNvPr id="2650" name="AutoShape 6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>
        <a:xfrm>
          <a:off x="595313" y="4675755"/>
          <a:ext cx="954200" cy="469447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3</xdr:col>
      <xdr:colOff>0</xdr:colOff>
      <xdr:row>24</xdr:row>
      <xdr:rowOff>0</xdr:rowOff>
    </xdr:from>
    <xdr:to>
      <xdr:col>3</xdr:col>
      <xdr:colOff>631032</xdr:colOff>
      <xdr:row>25</xdr:row>
      <xdr:rowOff>166689</xdr:rowOff>
    </xdr:to>
    <xdr:sp macro="" textlink="">
      <xdr:nvSpPr>
        <xdr:cNvPr id="2651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52650" y="6305550"/>
          <a:ext cx="631032" cy="37623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24</xdr:row>
      <xdr:rowOff>0</xdr:rowOff>
    </xdr:from>
    <xdr:to>
      <xdr:col>4</xdr:col>
      <xdr:colOff>11906</xdr:colOff>
      <xdr:row>25</xdr:row>
      <xdr:rowOff>134939</xdr:rowOff>
    </xdr:to>
    <xdr:sp macro="" textlink="">
      <xdr:nvSpPr>
        <xdr:cNvPr id="2652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52650" y="6305550"/>
          <a:ext cx="678656" cy="344489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598713</xdr:colOff>
      <xdr:row>31</xdr:row>
      <xdr:rowOff>13607</xdr:rowOff>
    </xdr:from>
    <xdr:to>
      <xdr:col>12</xdr:col>
      <xdr:colOff>11905</xdr:colOff>
      <xdr:row>32</xdr:row>
      <xdr:rowOff>148545</xdr:rowOff>
    </xdr:to>
    <xdr:sp macro="" textlink="">
      <xdr:nvSpPr>
        <xdr:cNvPr id="2653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7542438" y="7747907"/>
          <a:ext cx="737167" cy="34448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697367</xdr:colOff>
      <xdr:row>32</xdr:row>
      <xdr:rowOff>178593</xdr:rowOff>
    </xdr:to>
    <xdr:sp macro="" textlink="">
      <xdr:nvSpPr>
        <xdr:cNvPr id="2654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7543800" y="7734300"/>
          <a:ext cx="697367" cy="388143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89</xdr:row>
      <xdr:rowOff>0</xdr:rowOff>
    </xdr:from>
    <xdr:to>
      <xdr:col>18</xdr:col>
      <xdr:colOff>312963</xdr:colOff>
      <xdr:row>90</xdr:row>
      <xdr:rowOff>68036</xdr:rowOff>
    </xdr:to>
    <xdr:grpSp>
      <xdr:nvGrpSpPr>
        <xdr:cNvPr id="2655" name="Group 1008">
          <a:extLst>
            <a:ext uri="{FF2B5EF4-FFF2-40B4-BE49-F238E27FC236}">
              <a16:creationId xmlns:a16="http://schemas.microsoft.com/office/drawing/2014/main" id="{00000000-0008-0000-0300-00005F0A0000}"/>
            </a:ext>
          </a:extLst>
        </xdr:cNvPr>
        <xdr:cNvGrpSpPr>
          <a:grpSpLocks/>
        </xdr:cNvGrpSpPr>
      </xdr:nvGrpSpPr>
      <xdr:grpSpPr bwMode="auto">
        <a:xfrm>
          <a:off x="12108656" y="19859625"/>
          <a:ext cx="312963" cy="270442"/>
          <a:chOff x="5475762" y="47760700"/>
          <a:chExt cx="314325" cy="230209"/>
        </a:xfrm>
      </xdr:grpSpPr>
      <xdr:cxnSp macro="">
        <xdr:nvCxnSpPr>
          <xdr:cNvPr id="2656" name="Straight Connector 2655">
            <a:extLst>
              <a:ext uri="{FF2B5EF4-FFF2-40B4-BE49-F238E27FC236}">
                <a16:creationId xmlns:a16="http://schemas.microsoft.com/office/drawing/2014/main" id="{00000000-0008-0000-0300-000060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7" name="Straight Connector 529">
            <a:extLst>
              <a:ext uri="{FF2B5EF4-FFF2-40B4-BE49-F238E27FC236}">
                <a16:creationId xmlns:a16="http://schemas.microsoft.com/office/drawing/2014/main" id="{00000000-0008-0000-0300-000061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8" name="Straight Connector 531">
            <a:extLst>
              <a:ext uri="{FF2B5EF4-FFF2-40B4-BE49-F238E27FC236}">
                <a16:creationId xmlns:a16="http://schemas.microsoft.com/office/drawing/2014/main" id="{00000000-0008-0000-0300-00006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9" name="Straight Connector 533">
            <a:extLst>
              <a:ext uri="{FF2B5EF4-FFF2-40B4-BE49-F238E27FC236}">
                <a16:creationId xmlns:a16="http://schemas.microsoft.com/office/drawing/2014/main" id="{00000000-0008-0000-0300-00006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0" name="Straight Connector 535">
            <a:extLst>
              <a:ext uri="{FF2B5EF4-FFF2-40B4-BE49-F238E27FC236}">
                <a16:creationId xmlns:a16="http://schemas.microsoft.com/office/drawing/2014/main" id="{00000000-0008-0000-0300-00006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7">
            <a:extLst>
              <a:ext uri="{FF2B5EF4-FFF2-40B4-BE49-F238E27FC236}">
                <a16:creationId xmlns:a16="http://schemas.microsoft.com/office/drawing/2014/main" id="{00000000-0008-0000-0300-00006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160</xdr:row>
      <xdr:rowOff>27214</xdr:rowOff>
    </xdr:from>
    <xdr:to>
      <xdr:col>4</xdr:col>
      <xdr:colOff>312963</xdr:colOff>
      <xdr:row>161</xdr:row>
      <xdr:rowOff>95251</xdr:rowOff>
    </xdr:to>
    <xdr:grpSp>
      <xdr:nvGrpSpPr>
        <xdr:cNvPr id="2662" name="Group 1008">
          <a:extLst>
            <a:ext uri="{FF2B5EF4-FFF2-40B4-BE49-F238E27FC236}">
              <a16:creationId xmlns:a16="http://schemas.microsoft.com/office/drawing/2014/main" id="{00000000-0008-0000-0300-0000660A0000}"/>
            </a:ext>
          </a:extLst>
        </xdr:cNvPr>
        <xdr:cNvGrpSpPr>
          <a:grpSpLocks/>
        </xdr:cNvGrpSpPr>
      </xdr:nvGrpSpPr>
      <xdr:grpSpPr bwMode="auto">
        <a:xfrm>
          <a:off x="2809875" y="34638683"/>
          <a:ext cx="312963" cy="270443"/>
          <a:chOff x="5475762" y="47760700"/>
          <a:chExt cx="314325" cy="230209"/>
        </a:xfrm>
      </xdr:grpSpPr>
      <xdr:cxnSp macro="">
        <xdr:nvCxnSpPr>
          <xdr:cNvPr id="2663" name="Straight Connector 2662">
            <a:extLst>
              <a:ext uri="{FF2B5EF4-FFF2-40B4-BE49-F238E27FC236}">
                <a16:creationId xmlns:a16="http://schemas.microsoft.com/office/drawing/2014/main" id="{00000000-0008-0000-0300-000067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4" name="Straight Connector 529">
            <a:extLst>
              <a:ext uri="{FF2B5EF4-FFF2-40B4-BE49-F238E27FC236}">
                <a16:creationId xmlns:a16="http://schemas.microsoft.com/office/drawing/2014/main" id="{00000000-0008-0000-0300-000068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5" name="Straight Connector 531">
            <a:extLst>
              <a:ext uri="{FF2B5EF4-FFF2-40B4-BE49-F238E27FC236}">
                <a16:creationId xmlns:a16="http://schemas.microsoft.com/office/drawing/2014/main" id="{00000000-0008-0000-0300-00006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6" name="Straight Connector 533">
            <a:extLst>
              <a:ext uri="{FF2B5EF4-FFF2-40B4-BE49-F238E27FC236}">
                <a16:creationId xmlns:a16="http://schemas.microsoft.com/office/drawing/2014/main" id="{00000000-0008-0000-0300-00006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7" name="Straight Connector 535">
            <a:extLst>
              <a:ext uri="{FF2B5EF4-FFF2-40B4-BE49-F238E27FC236}">
                <a16:creationId xmlns:a16="http://schemas.microsoft.com/office/drawing/2014/main" id="{00000000-0008-0000-0300-00006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7">
            <a:extLst>
              <a:ext uri="{FF2B5EF4-FFF2-40B4-BE49-F238E27FC236}">
                <a16:creationId xmlns:a16="http://schemas.microsoft.com/office/drawing/2014/main" id="{00000000-0008-0000-0300-00006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421823</xdr:colOff>
      <xdr:row>128</xdr:row>
      <xdr:rowOff>40821</xdr:rowOff>
    </xdr:from>
    <xdr:to>
      <xdr:col>3</xdr:col>
      <xdr:colOff>340178</xdr:colOff>
      <xdr:row>129</xdr:row>
      <xdr:rowOff>27214</xdr:rowOff>
    </xdr:to>
    <xdr:sp macro="" textlink="">
      <xdr:nvSpPr>
        <xdr:cNvPr id="266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21898" y="27568071"/>
          <a:ext cx="1470930" cy="1864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353787</xdr:colOff>
      <xdr:row>128</xdr:row>
      <xdr:rowOff>40821</xdr:rowOff>
    </xdr:from>
    <xdr:to>
      <xdr:col>5</xdr:col>
      <xdr:colOff>299357</xdr:colOff>
      <xdr:row>129</xdr:row>
      <xdr:rowOff>27214</xdr:rowOff>
    </xdr:to>
    <xdr:sp macro="" textlink="">
      <xdr:nvSpPr>
        <xdr:cNvPr id="267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06437" y="27568071"/>
          <a:ext cx="1288595" cy="1864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353785</xdr:colOff>
      <xdr:row>128</xdr:row>
      <xdr:rowOff>13607</xdr:rowOff>
    </xdr:from>
    <xdr:to>
      <xdr:col>7</xdr:col>
      <xdr:colOff>367392</xdr:colOff>
      <xdr:row>129</xdr:row>
      <xdr:rowOff>27214</xdr:rowOff>
    </xdr:to>
    <xdr:sp macro="" textlink="">
      <xdr:nvSpPr>
        <xdr:cNvPr id="267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49460" y="27540857"/>
          <a:ext cx="1337582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345281</xdr:colOff>
      <xdr:row>128</xdr:row>
      <xdr:rowOff>11906</xdr:rowOff>
    </xdr:from>
    <xdr:to>
      <xdr:col>9</xdr:col>
      <xdr:colOff>404813</xdr:colOff>
      <xdr:row>129</xdr:row>
      <xdr:rowOff>27215</xdr:rowOff>
    </xdr:to>
    <xdr:sp macro="" textlink="">
      <xdr:nvSpPr>
        <xdr:cNvPr id="267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55406" y="27955875"/>
          <a:ext cx="1404938" cy="21771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421821</xdr:colOff>
      <xdr:row>127</xdr:row>
      <xdr:rowOff>163286</xdr:rowOff>
    </xdr:from>
    <xdr:to>
      <xdr:col>11</xdr:col>
      <xdr:colOff>381000</xdr:colOff>
      <xdr:row>128</xdr:row>
      <xdr:rowOff>122465</xdr:rowOff>
    </xdr:to>
    <xdr:sp macro="" textlink="">
      <xdr:nvSpPr>
        <xdr:cNvPr id="267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94021" y="27490511"/>
          <a:ext cx="1330779" cy="15920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340179</xdr:colOff>
      <xdr:row>106</xdr:row>
      <xdr:rowOff>149678</xdr:rowOff>
    </xdr:from>
    <xdr:to>
      <xdr:col>23</xdr:col>
      <xdr:colOff>309419</xdr:colOff>
      <xdr:row>107</xdr:row>
      <xdr:rowOff>129144</xdr:rowOff>
    </xdr:to>
    <xdr:sp macro="" textlink="">
      <xdr:nvSpPr>
        <xdr:cNvPr id="267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08604" y="23181128"/>
          <a:ext cx="1302740" cy="17949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340179</xdr:colOff>
      <xdr:row>106</xdr:row>
      <xdr:rowOff>176893</xdr:rowOff>
    </xdr:from>
    <xdr:to>
      <xdr:col>25</xdr:col>
      <xdr:colOff>0</xdr:colOff>
      <xdr:row>107</xdr:row>
      <xdr:rowOff>40822</xdr:rowOff>
    </xdr:to>
    <xdr:sp macro="" textlink="">
      <xdr:nvSpPr>
        <xdr:cNvPr id="267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42104" y="23208343"/>
          <a:ext cx="993321" cy="6395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489857</xdr:colOff>
      <xdr:row>113</xdr:row>
      <xdr:rowOff>190500</xdr:rowOff>
    </xdr:from>
    <xdr:to>
      <xdr:col>3</xdr:col>
      <xdr:colOff>381000</xdr:colOff>
      <xdr:row>114</xdr:row>
      <xdr:rowOff>176893</xdr:rowOff>
    </xdr:to>
    <xdr:sp macro="" textlink="">
      <xdr:nvSpPr>
        <xdr:cNvPr id="267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89932" y="24660225"/>
          <a:ext cx="1443718" cy="1864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394607</xdr:colOff>
      <xdr:row>114</xdr:row>
      <xdr:rowOff>0</xdr:rowOff>
    </xdr:from>
    <xdr:to>
      <xdr:col>5</xdr:col>
      <xdr:colOff>350240</xdr:colOff>
      <xdr:row>114</xdr:row>
      <xdr:rowOff>183573</xdr:rowOff>
    </xdr:to>
    <xdr:sp macro="" textlink="">
      <xdr:nvSpPr>
        <xdr:cNvPr id="267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47257" y="24669750"/>
          <a:ext cx="1298658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367393</xdr:colOff>
      <xdr:row>114</xdr:row>
      <xdr:rowOff>13607</xdr:rowOff>
    </xdr:from>
    <xdr:to>
      <xdr:col>7</xdr:col>
      <xdr:colOff>350240</xdr:colOff>
      <xdr:row>114</xdr:row>
      <xdr:rowOff>197180</xdr:rowOff>
    </xdr:to>
    <xdr:sp macro="" textlink="">
      <xdr:nvSpPr>
        <xdr:cNvPr id="267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63068" y="24683357"/>
          <a:ext cx="1306822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380999</xdr:colOff>
      <xdr:row>114</xdr:row>
      <xdr:rowOff>13607</xdr:rowOff>
    </xdr:from>
    <xdr:to>
      <xdr:col>9</xdr:col>
      <xdr:colOff>408213</xdr:colOff>
      <xdr:row>115</xdr:row>
      <xdr:rowOff>27214</xdr:rowOff>
    </xdr:to>
    <xdr:sp macro="" textlink="">
      <xdr:nvSpPr>
        <xdr:cNvPr id="267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00649" y="24683357"/>
          <a:ext cx="1379764" cy="2136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167</xdr:row>
      <xdr:rowOff>0</xdr:rowOff>
    </xdr:from>
    <xdr:to>
      <xdr:col>16</xdr:col>
      <xdr:colOff>312963</xdr:colOff>
      <xdr:row>168</xdr:row>
      <xdr:rowOff>68037</xdr:rowOff>
    </xdr:to>
    <xdr:grpSp>
      <xdr:nvGrpSpPr>
        <xdr:cNvPr id="2689" name="Group 1008">
          <a:extLst>
            <a:ext uri="{FF2B5EF4-FFF2-40B4-BE49-F238E27FC236}">
              <a16:creationId xmlns:a16="http://schemas.microsoft.com/office/drawing/2014/main" id="{00000000-0008-0000-0300-0000810A0000}"/>
            </a:ext>
          </a:extLst>
        </xdr:cNvPr>
        <xdr:cNvGrpSpPr>
          <a:grpSpLocks/>
        </xdr:cNvGrpSpPr>
      </xdr:nvGrpSpPr>
      <xdr:grpSpPr bwMode="auto">
        <a:xfrm>
          <a:off x="10775156" y="36064031"/>
          <a:ext cx="312963" cy="270444"/>
          <a:chOff x="5475762" y="47760700"/>
          <a:chExt cx="314325" cy="230209"/>
        </a:xfrm>
      </xdr:grpSpPr>
      <xdr:cxnSp macro="">
        <xdr:nvCxnSpPr>
          <xdr:cNvPr id="2690" name="Straight Connector 2689">
            <a:extLst>
              <a:ext uri="{FF2B5EF4-FFF2-40B4-BE49-F238E27FC236}">
                <a16:creationId xmlns:a16="http://schemas.microsoft.com/office/drawing/2014/main" id="{00000000-0008-0000-0300-000082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1" name="Straight Connector 529">
            <a:extLst>
              <a:ext uri="{FF2B5EF4-FFF2-40B4-BE49-F238E27FC236}">
                <a16:creationId xmlns:a16="http://schemas.microsoft.com/office/drawing/2014/main" id="{00000000-0008-0000-0300-000083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1">
            <a:extLst>
              <a:ext uri="{FF2B5EF4-FFF2-40B4-BE49-F238E27FC236}">
                <a16:creationId xmlns:a16="http://schemas.microsoft.com/office/drawing/2014/main" id="{00000000-0008-0000-0300-000084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3" name="Straight Connector 533">
            <a:extLst>
              <a:ext uri="{FF2B5EF4-FFF2-40B4-BE49-F238E27FC236}">
                <a16:creationId xmlns:a16="http://schemas.microsoft.com/office/drawing/2014/main" id="{00000000-0008-0000-0300-000085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4" name="Straight Connector 535">
            <a:extLst>
              <a:ext uri="{FF2B5EF4-FFF2-40B4-BE49-F238E27FC236}">
                <a16:creationId xmlns:a16="http://schemas.microsoft.com/office/drawing/2014/main" id="{00000000-0008-0000-0300-000086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5" name="Straight Connector 537">
            <a:extLst>
              <a:ext uri="{FF2B5EF4-FFF2-40B4-BE49-F238E27FC236}">
                <a16:creationId xmlns:a16="http://schemas.microsoft.com/office/drawing/2014/main" id="{00000000-0008-0000-0300-000087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167</xdr:row>
      <xdr:rowOff>0</xdr:rowOff>
    </xdr:from>
    <xdr:to>
      <xdr:col>4</xdr:col>
      <xdr:colOff>312963</xdr:colOff>
      <xdr:row>168</xdr:row>
      <xdr:rowOff>68037</xdr:rowOff>
    </xdr:to>
    <xdr:grpSp>
      <xdr:nvGrpSpPr>
        <xdr:cNvPr id="2696" name="Group 1008">
          <a:extLst>
            <a:ext uri="{FF2B5EF4-FFF2-40B4-BE49-F238E27FC236}">
              <a16:creationId xmlns:a16="http://schemas.microsoft.com/office/drawing/2014/main" id="{00000000-0008-0000-0300-0000880A0000}"/>
            </a:ext>
          </a:extLst>
        </xdr:cNvPr>
        <xdr:cNvGrpSpPr>
          <a:grpSpLocks/>
        </xdr:cNvGrpSpPr>
      </xdr:nvGrpSpPr>
      <xdr:grpSpPr bwMode="auto">
        <a:xfrm>
          <a:off x="2809875" y="36064031"/>
          <a:ext cx="312963" cy="270444"/>
          <a:chOff x="5475762" y="47760700"/>
          <a:chExt cx="314325" cy="230209"/>
        </a:xfrm>
      </xdr:grpSpPr>
      <xdr:cxnSp macro="">
        <xdr:nvCxnSpPr>
          <xdr:cNvPr id="2697" name="Straight Connector 2696">
            <a:extLst>
              <a:ext uri="{FF2B5EF4-FFF2-40B4-BE49-F238E27FC236}">
                <a16:creationId xmlns:a16="http://schemas.microsoft.com/office/drawing/2014/main" id="{00000000-0008-0000-0300-000089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8" name="Straight Connector 529">
            <a:extLst>
              <a:ext uri="{FF2B5EF4-FFF2-40B4-BE49-F238E27FC236}">
                <a16:creationId xmlns:a16="http://schemas.microsoft.com/office/drawing/2014/main" id="{00000000-0008-0000-0300-00008A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1">
            <a:extLst>
              <a:ext uri="{FF2B5EF4-FFF2-40B4-BE49-F238E27FC236}">
                <a16:creationId xmlns:a16="http://schemas.microsoft.com/office/drawing/2014/main" id="{00000000-0008-0000-0300-00008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0" name="Straight Connector 533">
            <a:extLst>
              <a:ext uri="{FF2B5EF4-FFF2-40B4-BE49-F238E27FC236}">
                <a16:creationId xmlns:a16="http://schemas.microsoft.com/office/drawing/2014/main" id="{00000000-0008-0000-0300-00008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1" name="Straight Connector 535">
            <a:extLst>
              <a:ext uri="{FF2B5EF4-FFF2-40B4-BE49-F238E27FC236}">
                <a16:creationId xmlns:a16="http://schemas.microsoft.com/office/drawing/2014/main" id="{00000000-0008-0000-0300-00008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2" name="Straight Connector 537">
            <a:extLst>
              <a:ext uri="{FF2B5EF4-FFF2-40B4-BE49-F238E27FC236}">
                <a16:creationId xmlns:a16="http://schemas.microsoft.com/office/drawing/2014/main" id="{00000000-0008-0000-0300-00008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139</xdr:row>
      <xdr:rowOff>0</xdr:rowOff>
    </xdr:from>
    <xdr:to>
      <xdr:col>6</xdr:col>
      <xdr:colOff>312963</xdr:colOff>
      <xdr:row>140</xdr:row>
      <xdr:rowOff>68036</xdr:rowOff>
    </xdr:to>
    <xdr:grpSp>
      <xdr:nvGrpSpPr>
        <xdr:cNvPr id="2703" name="Group 1008">
          <a:extLst>
            <a:ext uri="{FF2B5EF4-FFF2-40B4-BE49-F238E27FC236}">
              <a16:creationId xmlns:a16="http://schemas.microsoft.com/office/drawing/2014/main" id="{00000000-0008-0000-0300-00008F0A0000}"/>
            </a:ext>
          </a:extLst>
        </xdr:cNvPr>
        <xdr:cNvGrpSpPr>
          <a:grpSpLocks/>
        </xdr:cNvGrpSpPr>
      </xdr:nvGrpSpPr>
      <xdr:grpSpPr bwMode="auto">
        <a:xfrm>
          <a:off x="4179094" y="30253781"/>
          <a:ext cx="312963" cy="270443"/>
          <a:chOff x="5475762" y="47760700"/>
          <a:chExt cx="314325" cy="230209"/>
        </a:xfrm>
      </xdr:grpSpPr>
      <xdr:cxnSp macro="">
        <xdr:nvCxnSpPr>
          <xdr:cNvPr id="2704" name="Straight Connector 2703">
            <a:extLst>
              <a:ext uri="{FF2B5EF4-FFF2-40B4-BE49-F238E27FC236}">
                <a16:creationId xmlns:a16="http://schemas.microsoft.com/office/drawing/2014/main" id="{00000000-0008-0000-0300-000090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5" name="Straight Connector 529">
            <a:extLst>
              <a:ext uri="{FF2B5EF4-FFF2-40B4-BE49-F238E27FC236}">
                <a16:creationId xmlns:a16="http://schemas.microsoft.com/office/drawing/2014/main" id="{00000000-0008-0000-0300-000091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1">
            <a:extLst>
              <a:ext uri="{FF2B5EF4-FFF2-40B4-BE49-F238E27FC236}">
                <a16:creationId xmlns:a16="http://schemas.microsoft.com/office/drawing/2014/main" id="{00000000-0008-0000-0300-00009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7" name="Straight Connector 533">
            <a:extLst>
              <a:ext uri="{FF2B5EF4-FFF2-40B4-BE49-F238E27FC236}">
                <a16:creationId xmlns:a16="http://schemas.microsoft.com/office/drawing/2014/main" id="{00000000-0008-0000-0300-00009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8" name="Straight Connector 535">
            <a:extLst>
              <a:ext uri="{FF2B5EF4-FFF2-40B4-BE49-F238E27FC236}">
                <a16:creationId xmlns:a16="http://schemas.microsoft.com/office/drawing/2014/main" id="{00000000-0008-0000-0300-00009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9" name="Straight Connector 537">
            <a:extLst>
              <a:ext uri="{FF2B5EF4-FFF2-40B4-BE49-F238E27FC236}">
                <a16:creationId xmlns:a16="http://schemas.microsoft.com/office/drawing/2014/main" id="{00000000-0008-0000-0300-00009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40</xdr:row>
      <xdr:rowOff>0</xdr:rowOff>
    </xdr:from>
    <xdr:to>
      <xdr:col>18</xdr:col>
      <xdr:colOff>312963</xdr:colOff>
      <xdr:row>41</xdr:row>
      <xdr:rowOff>68036</xdr:rowOff>
    </xdr:to>
    <xdr:grpSp>
      <xdr:nvGrpSpPr>
        <xdr:cNvPr id="2710" name="Group 1008">
          <a:extLst>
            <a:ext uri="{FF2B5EF4-FFF2-40B4-BE49-F238E27FC236}">
              <a16:creationId xmlns:a16="http://schemas.microsoft.com/office/drawing/2014/main" id="{00000000-0008-0000-0300-0000960A0000}"/>
            </a:ext>
          </a:extLst>
        </xdr:cNvPr>
        <xdr:cNvGrpSpPr>
          <a:grpSpLocks/>
        </xdr:cNvGrpSpPr>
      </xdr:nvGrpSpPr>
      <xdr:grpSpPr bwMode="auto">
        <a:xfrm>
          <a:off x="12108656" y="9703594"/>
          <a:ext cx="312963" cy="270442"/>
          <a:chOff x="5475762" y="47760700"/>
          <a:chExt cx="314325" cy="230209"/>
        </a:xfrm>
      </xdr:grpSpPr>
      <xdr:cxnSp macro="">
        <xdr:nvCxnSpPr>
          <xdr:cNvPr id="2711" name="Straight Connector 2710">
            <a:extLst>
              <a:ext uri="{FF2B5EF4-FFF2-40B4-BE49-F238E27FC236}">
                <a16:creationId xmlns:a16="http://schemas.microsoft.com/office/drawing/2014/main" id="{00000000-0008-0000-0300-000097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2" name="Straight Connector 529">
            <a:extLst>
              <a:ext uri="{FF2B5EF4-FFF2-40B4-BE49-F238E27FC236}">
                <a16:creationId xmlns:a16="http://schemas.microsoft.com/office/drawing/2014/main" id="{00000000-0008-0000-0300-000098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1">
            <a:extLst>
              <a:ext uri="{FF2B5EF4-FFF2-40B4-BE49-F238E27FC236}">
                <a16:creationId xmlns:a16="http://schemas.microsoft.com/office/drawing/2014/main" id="{00000000-0008-0000-0300-00009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4" name="Straight Connector 533">
            <a:extLst>
              <a:ext uri="{FF2B5EF4-FFF2-40B4-BE49-F238E27FC236}">
                <a16:creationId xmlns:a16="http://schemas.microsoft.com/office/drawing/2014/main" id="{00000000-0008-0000-0300-00009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5" name="Straight Connector 535">
            <a:extLst>
              <a:ext uri="{FF2B5EF4-FFF2-40B4-BE49-F238E27FC236}">
                <a16:creationId xmlns:a16="http://schemas.microsoft.com/office/drawing/2014/main" id="{00000000-0008-0000-0300-00009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6" name="Straight Connector 537">
            <a:extLst>
              <a:ext uri="{FF2B5EF4-FFF2-40B4-BE49-F238E27FC236}">
                <a16:creationId xmlns:a16="http://schemas.microsoft.com/office/drawing/2014/main" id="{00000000-0008-0000-0300-00009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47</xdr:row>
      <xdr:rowOff>0</xdr:rowOff>
    </xdr:from>
    <xdr:to>
      <xdr:col>2</xdr:col>
      <xdr:colOff>312963</xdr:colOff>
      <xdr:row>48</xdr:row>
      <xdr:rowOff>68036</xdr:rowOff>
    </xdr:to>
    <xdr:grpSp>
      <xdr:nvGrpSpPr>
        <xdr:cNvPr id="2717" name="Group 1008">
          <a:extLst>
            <a:ext uri="{FF2B5EF4-FFF2-40B4-BE49-F238E27FC236}">
              <a16:creationId xmlns:a16="http://schemas.microsoft.com/office/drawing/2014/main" id="{00000000-0008-0000-0300-00009D0A0000}"/>
            </a:ext>
          </a:extLst>
        </xdr:cNvPr>
        <xdr:cNvGrpSpPr>
          <a:grpSpLocks/>
        </xdr:cNvGrpSpPr>
      </xdr:nvGrpSpPr>
      <xdr:grpSpPr bwMode="auto">
        <a:xfrm>
          <a:off x="1535906" y="11156156"/>
          <a:ext cx="312963" cy="270443"/>
          <a:chOff x="5475762" y="47760700"/>
          <a:chExt cx="314325" cy="230209"/>
        </a:xfrm>
      </xdr:grpSpPr>
      <xdr:cxnSp macro="">
        <xdr:nvCxnSpPr>
          <xdr:cNvPr id="2718" name="Straight Connector 2717">
            <a:extLst>
              <a:ext uri="{FF2B5EF4-FFF2-40B4-BE49-F238E27FC236}">
                <a16:creationId xmlns:a16="http://schemas.microsoft.com/office/drawing/2014/main" id="{00000000-0008-0000-0300-00009E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9" name="Straight Connector 529">
            <a:extLst>
              <a:ext uri="{FF2B5EF4-FFF2-40B4-BE49-F238E27FC236}">
                <a16:creationId xmlns:a16="http://schemas.microsoft.com/office/drawing/2014/main" id="{00000000-0008-0000-0300-00009F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1">
            <a:extLst>
              <a:ext uri="{FF2B5EF4-FFF2-40B4-BE49-F238E27FC236}">
                <a16:creationId xmlns:a16="http://schemas.microsoft.com/office/drawing/2014/main" id="{00000000-0008-0000-0300-0000A0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1" name="Straight Connector 533">
            <a:extLst>
              <a:ext uri="{FF2B5EF4-FFF2-40B4-BE49-F238E27FC236}">
                <a16:creationId xmlns:a16="http://schemas.microsoft.com/office/drawing/2014/main" id="{00000000-0008-0000-0300-0000A1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2" name="Straight Connector 535">
            <a:extLst>
              <a:ext uri="{FF2B5EF4-FFF2-40B4-BE49-F238E27FC236}">
                <a16:creationId xmlns:a16="http://schemas.microsoft.com/office/drawing/2014/main" id="{00000000-0008-0000-0300-0000A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3" name="Straight Connector 537">
            <a:extLst>
              <a:ext uri="{FF2B5EF4-FFF2-40B4-BE49-F238E27FC236}">
                <a16:creationId xmlns:a16="http://schemas.microsoft.com/office/drawing/2014/main" id="{00000000-0008-0000-0300-0000A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181</xdr:row>
      <xdr:rowOff>0</xdr:rowOff>
    </xdr:from>
    <xdr:to>
      <xdr:col>22</xdr:col>
      <xdr:colOff>312963</xdr:colOff>
      <xdr:row>182</xdr:row>
      <xdr:rowOff>68036</xdr:rowOff>
    </xdr:to>
    <xdr:grpSp>
      <xdr:nvGrpSpPr>
        <xdr:cNvPr id="2724" name="Group 1008">
          <a:extLst>
            <a:ext uri="{FF2B5EF4-FFF2-40B4-BE49-F238E27FC236}">
              <a16:creationId xmlns:a16="http://schemas.microsoft.com/office/drawing/2014/main" id="{00000000-0008-0000-0300-0000A40A0000}"/>
            </a:ext>
          </a:extLst>
        </xdr:cNvPr>
        <xdr:cNvGrpSpPr>
          <a:grpSpLocks/>
        </xdr:cNvGrpSpPr>
      </xdr:nvGrpSpPr>
      <xdr:grpSpPr bwMode="auto">
        <a:xfrm>
          <a:off x="14573250" y="38969156"/>
          <a:ext cx="312963" cy="270443"/>
          <a:chOff x="5475762" y="47760700"/>
          <a:chExt cx="314325" cy="230209"/>
        </a:xfrm>
      </xdr:grpSpPr>
      <xdr:cxnSp macro="">
        <xdr:nvCxnSpPr>
          <xdr:cNvPr id="2725" name="Straight Connector 2724">
            <a:extLst>
              <a:ext uri="{FF2B5EF4-FFF2-40B4-BE49-F238E27FC236}">
                <a16:creationId xmlns:a16="http://schemas.microsoft.com/office/drawing/2014/main" id="{00000000-0008-0000-0300-0000A5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6" name="Straight Connector 529">
            <a:extLst>
              <a:ext uri="{FF2B5EF4-FFF2-40B4-BE49-F238E27FC236}">
                <a16:creationId xmlns:a16="http://schemas.microsoft.com/office/drawing/2014/main" id="{00000000-0008-0000-0300-0000A6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1">
            <a:extLst>
              <a:ext uri="{FF2B5EF4-FFF2-40B4-BE49-F238E27FC236}">
                <a16:creationId xmlns:a16="http://schemas.microsoft.com/office/drawing/2014/main" id="{00000000-0008-0000-0300-0000A7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8" name="Straight Connector 533">
            <a:extLst>
              <a:ext uri="{FF2B5EF4-FFF2-40B4-BE49-F238E27FC236}">
                <a16:creationId xmlns:a16="http://schemas.microsoft.com/office/drawing/2014/main" id="{00000000-0008-0000-0300-0000A8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9" name="Straight Connector 535">
            <a:extLst>
              <a:ext uri="{FF2B5EF4-FFF2-40B4-BE49-F238E27FC236}">
                <a16:creationId xmlns:a16="http://schemas.microsoft.com/office/drawing/2014/main" id="{00000000-0008-0000-0300-0000A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0" name="Straight Connector 537">
            <a:extLst>
              <a:ext uri="{FF2B5EF4-FFF2-40B4-BE49-F238E27FC236}">
                <a16:creationId xmlns:a16="http://schemas.microsoft.com/office/drawing/2014/main" id="{00000000-0008-0000-0300-0000A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40</xdr:row>
      <xdr:rowOff>0</xdr:rowOff>
    </xdr:from>
    <xdr:to>
      <xdr:col>16</xdr:col>
      <xdr:colOff>312963</xdr:colOff>
      <xdr:row>41</xdr:row>
      <xdr:rowOff>68036</xdr:rowOff>
    </xdr:to>
    <xdr:grpSp>
      <xdr:nvGrpSpPr>
        <xdr:cNvPr id="2731" name="Group 1008">
          <a:extLst>
            <a:ext uri="{FF2B5EF4-FFF2-40B4-BE49-F238E27FC236}">
              <a16:creationId xmlns:a16="http://schemas.microsoft.com/office/drawing/2014/main" id="{00000000-0008-0000-0300-0000AB0A0000}"/>
            </a:ext>
          </a:extLst>
        </xdr:cNvPr>
        <xdr:cNvGrpSpPr>
          <a:grpSpLocks/>
        </xdr:cNvGrpSpPr>
      </xdr:nvGrpSpPr>
      <xdr:grpSpPr bwMode="auto">
        <a:xfrm>
          <a:off x="10775156" y="9703594"/>
          <a:ext cx="312963" cy="270442"/>
          <a:chOff x="5475762" y="47760700"/>
          <a:chExt cx="314325" cy="230209"/>
        </a:xfrm>
      </xdr:grpSpPr>
      <xdr:cxnSp macro="">
        <xdr:nvCxnSpPr>
          <xdr:cNvPr id="2732" name="Straight Connector 2731">
            <a:extLst>
              <a:ext uri="{FF2B5EF4-FFF2-40B4-BE49-F238E27FC236}">
                <a16:creationId xmlns:a16="http://schemas.microsoft.com/office/drawing/2014/main" id="{00000000-0008-0000-0300-0000AC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3" name="Straight Connector 529">
            <a:extLst>
              <a:ext uri="{FF2B5EF4-FFF2-40B4-BE49-F238E27FC236}">
                <a16:creationId xmlns:a16="http://schemas.microsoft.com/office/drawing/2014/main" id="{00000000-0008-0000-0300-0000AD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1">
            <a:extLst>
              <a:ext uri="{FF2B5EF4-FFF2-40B4-BE49-F238E27FC236}">
                <a16:creationId xmlns:a16="http://schemas.microsoft.com/office/drawing/2014/main" id="{00000000-0008-0000-0300-0000A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5" name="Straight Connector 533">
            <a:extLst>
              <a:ext uri="{FF2B5EF4-FFF2-40B4-BE49-F238E27FC236}">
                <a16:creationId xmlns:a16="http://schemas.microsoft.com/office/drawing/2014/main" id="{00000000-0008-0000-0300-0000AF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6" name="Straight Connector 535">
            <a:extLst>
              <a:ext uri="{FF2B5EF4-FFF2-40B4-BE49-F238E27FC236}">
                <a16:creationId xmlns:a16="http://schemas.microsoft.com/office/drawing/2014/main" id="{00000000-0008-0000-0300-0000B0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7" name="Straight Connector 537">
            <a:extLst>
              <a:ext uri="{FF2B5EF4-FFF2-40B4-BE49-F238E27FC236}">
                <a16:creationId xmlns:a16="http://schemas.microsoft.com/office/drawing/2014/main" id="{00000000-0008-0000-0300-0000B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104</xdr:row>
      <xdr:rowOff>0</xdr:rowOff>
    </xdr:from>
    <xdr:to>
      <xdr:col>22</xdr:col>
      <xdr:colOff>312963</xdr:colOff>
      <xdr:row>105</xdr:row>
      <xdr:rowOff>68037</xdr:rowOff>
    </xdr:to>
    <xdr:grpSp>
      <xdr:nvGrpSpPr>
        <xdr:cNvPr id="2738" name="Group 1008">
          <a:extLst>
            <a:ext uri="{FF2B5EF4-FFF2-40B4-BE49-F238E27FC236}">
              <a16:creationId xmlns:a16="http://schemas.microsoft.com/office/drawing/2014/main" id="{00000000-0008-0000-0300-0000B20A0000}"/>
            </a:ext>
          </a:extLst>
        </xdr:cNvPr>
        <xdr:cNvGrpSpPr>
          <a:grpSpLocks/>
        </xdr:cNvGrpSpPr>
      </xdr:nvGrpSpPr>
      <xdr:grpSpPr bwMode="auto">
        <a:xfrm>
          <a:off x="14573250" y="22967156"/>
          <a:ext cx="312963" cy="270444"/>
          <a:chOff x="5475762" y="47760700"/>
          <a:chExt cx="314325" cy="230209"/>
        </a:xfrm>
      </xdr:grpSpPr>
      <xdr:cxnSp macro="">
        <xdr:nvCxnSpPr>
          <xdr:cNvPr id="2739" name="Straight Connector 2738">
            <a:extLst>
              <a:ext uri="{FF2B5EF4-FFF2-40B4-BE49-F238E27FC236}">
                <a16:creationId xmlns:a16="http://schemas.microsoft.com/office/drawing/2014/main" id="{00000000-0008-0000-0300-0000B3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0" name="Straight Connector 529">
            <a:extLst>
              <a:ext uri="{FF2B5EF4-FFF2-40B4-BE49-F238E27FC236}">
                <a16:creationId xmlns:a16="http://schemas.microsoft.com/office/drawing/2014/main" id="{00000000-0008-0000-0300-0000B4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1">
            <a:extLst>
              <a:ext uri="{FF2B5EF4-FFF2-40B4-BE49-F238E27FC236}">
                <a16:creationId xmlns:a16="http://schemas.microsoft.com/office/drawing/2014/main" id="{00000000-0008-0000-0300-0000B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2" name="Straight Connector 533">
            <a:extLst>
              <a:ext uri="{FF2B5EF4-FFF2-40B4-BE49-F238E27FC236}">
                <a16:creationId xmlns:a16="http://schemas.microsoft.com/office/drawing/2014/main" id="{00000000-0008-0000-0300-0000B6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3" name="Straight Connector 535">
            <a:extLst>
              <a:ext uri="{FF2B5EF4-FFF2-40B4-BE49-F238E27FC236}">
                <a16:creationId xmlns:a16="http://schemas.microsoft.com/office/drawing/2014/main" id="{00000000-0008-0000-0300-0000B7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4" name="Straight Connector 537">
            <a:extLst>
              <a:ext uri="{FF2B5EF4-FFF2-40B4-BE49-F238E27FC236}">
                <a16:creationId xmlns:a16="http://schemas.microsoft.com/office/drawing/2014/main" id="{00000000-0008-0000-0300-0000B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104</xdr:row>
      <xdr:rowOff>0</xdr:rowOff>
    </xdr:from>
    <xdr:to>
      <xdr:col>24</xdr:col>
      <xdr:colOff>312963</xdr:colOff>
      <xdr:row>105</xdr:row>
      <xdr:rowOff>68037</xdr:rowOff>
    </xdr:to>
    <xdr:grpSp>
      <xdr:nvGrpSpPr>
        <xdr:cNvPr id="2745" name="Group 1008">
          <a:extLst>
            <a:ext uri="{FF2B5EF4-FFF2-40B4-BE49-F238E27FC236}">
              <a16:creationId xmlns:a16="http://schemas.microsoft.com/office/drawing/2014/main" id="{00000000-0008-0000-0300-0000B90A0000}"/>
            </a:ext>
          </a:extLst>
        </xdr:cNvPr>
        <xdr:cNvGrpSpPr>
          <a:grpSpLocks/>
        </xdr:cNvGrpSpPr>
      </xdr:nvGrpSpPr>
      <xdr:grpSpPr bwMode="auto">
        <a:xfrm>
          <a:off x="15942469" y="22967156"/>
          <a:ext cx="312963" cy="270444"/>
          <a:chOff x="5475762" y="47760700"/>
          <a:chExt cx="314325" cy="230209"/>
        </a:xfrm>
      </xdr:grpSpPr>
      <xdr:cxnSp macro="">
        <xdr:nvCxnSpPr>
          <xdr:cNvPr id="2746" name="Straight Connector 2745">
            <a:extLst>
              <a:ext uri="{FF2B5EF4-FFF2-40B4-BE49-F238E27FC236}">
                <a16:creationId xmlns:a16="http://schemas.microsoft.com/office/drawing/2014/main" id="{00000000-0008-0000-0300-0000BA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7" name="Straight Connector 529">
            <a:extLst>
              <a:ext uri="{FF2B5EF4-FFF2-40B4-BE49-F238E27FC236}">
                <a16:creationId xmlns:a16="http://schemas.microsoft.com/office/drawing/2014/main" id="{00000000-0008-0000-0300-0000BB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1">
            <a:extLst>
              <a:ext uri="{FF2B5EF4-FFF2-40B4-BE49-F238E27FC236}">
                <a16:creationId xmlns:a16="http://schemas.microsoft.com/office/drawing/2014/main" id="{00000000-0008-0000-0300-0000B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9" name="Straight Connector 533">
            <a:extLst>
              <a:ext uri="{FF2B5EF4-FFF2-40B4-BE49-F238E27FC236}">
                <a16:creationId xmlns:a16="http://schemas.microsoft.com/office/drawing/2014/main" id="{00000000-0008-0000-0300-0000B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0" name="Straight Connector 535">
            <a:extLst>
              <a:ext uri="{FF2B5EF4-FFF2-40B4-BE49-F238E27FC236}">
                <a16:creationId xmlns:a16="http://schemas.microsoft.com/office/drawing/2014/main" id="{00000000-0008-0000-0300-0000BE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1" name="Straight Connector 537">
            <a:extLst>
              <a:ext uri="{FF2B5EF4-FFF2-40B4-BE49-F238E27FC236}">
                <a16:creationId xmlns:a16="http://schemas.microsoft.com/office/drawing/2014/main" id="{00000000-0008-0000-0300-0000BF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47</xdr:row>
      <xdr:rowOff>0</xdr:rowOff>
    </xdr:from>
    <xdr:to>
      <xdr:col>4</xdr:col>
      <xdr:colOff>312963</xdr:colOff>
      <xdr:row>48</xdr:row>
      <xdr:rowOff>68036</xdr:rowOff>
    </xdr:to>
    <xdr:grpSp>
      <xdr:nvGrpSpPr>
        <xdr:cNvPr id="2752" name="Group 1008">
          <a:extLst>
            <a:ext uri="{FF2B5EF4-FFF2-40B4-BE49-F238E27FC236}">
              <a16:creationId xmlns:a16="http://schemas.microsoft.com/office/drawing/2014/main" id="{00000000-0008-0000-0300-0000C00A0000}"/>
            </a:ext>
          </a:extLst>
        </xdr:cNvPr>
        <xdr:cNvGrpSpPr>
          <a:grpSpLocks/>
        </xdr:cNvGrpSpPr>
      </xdr:nvGrpSpPr>
      <xdr:grpSpPr bwMode="auto">
        <a:xfrm>
          <a:off x="2809875" y="11156156"/>
          <a:ext cx="312963" cy="270443"/>
          <a:chOff x="5475762" y="47760700"/>
          <a:chExt cx="314325" cy="230209"/>
        </a:xfrm>
      </xdr:grpSpPr>
      <xdr:cxnSp macro="">
        <xdr:nvCxnSpPr>
          <xdr:cNvPr id="2753" name="Straight Connector 2752">
            <a:extLst>
              <a:ext uri="{FF2B5EF4-FFF2-40B4-BE49-F238E27FC236}">
                <a16:creationId xmlns:a16="http://schemas.microsoft.com/office/drawing/2014/main" id="{00000000-0008-0000-0300-0000C1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4" name="Straight Connector 529">
            <a:extLst>
              <a:ext uri="{FF2B5EF4-FFF2-40B4-BE49-F238E27FC236}">
                <a16:creationId xmlns:a16="http://schemas.microsoft.com/office/drawing/2014/main" id="{00000000-0008-0000-0300-0000C2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1">
            <a:extLst>
              <a:ext uri="{FF2B5EF4-FFF2-40B4-BE49-F238E27FC236}">
                <a16:creationId xmlns:a16="http://schemas.microsoft.com/office/drawing/2014/main" id="{00000000-0008-0000-0300-0000C3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6" name="Straight Connector 533">
            <a:extLst>
              <a:ext uri="{FF2B5EF4-FFF2-40B4-BE49-F238E27FC236}">
                <a16:creationId xmlns:a16="http://schemas.microsoft.com/office/drawing/2014/main" id="{00000000-0008-0000-0300-0000C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7" name="Straight Connector 535">
            <a:extLst>
              <a:ext uri="{FF2B5EF4-FFF2-40B4-BE49-F238E27FC236}">
                <a16:creationId xmlns:a16="http://schemas.microsoft.com/office/drawing/2014/main" id="{00000000-0008-0000-0300-0000C5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8" name="Straight Connector 537">
            <a:extLst>
              <a:ext uri="{FF2B5EF4-FFF2-40B4-BE49-F238E27FC236}">
                <a16:creationId xmlns:a16="http://schemas.microsoft.com/office/drawing/2014/main" id="{00000000-0008-0000-0300-0000C6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47</xdr:row>
      <xdr:rowOff>0</xdr:rowOff>
    </xdr:from>
    <xdr:to>
      <xdr:col>22</xdr:col>
      <xdr:colOff>312963</xdr:colOff>
      <xdr:row>48</xdr:row>
      <xdr:rowOff>68036</xdr:rowOff>
    </xdr:to>
    <xdr:grpSp>
      <xdr:nvGrpSpPr>
        <xdr:cNvPr id="2759" name="Group 1008">
          <a:extLst>
            <a:ext uri="{FF2B5EF4-FFF2-40B4-BE49-F238E27FC236}">
              <a16:creationId xmlns:a16="http://schemas.microsoft.com/office/drawing/2014/main" id="{00000000-0008-0000-0300-0000C70A0000}"/>
            </a:ext>
          </a:extLst>
        </xdr:cNvPr>
        <xdr:cNvGrpSpPr>
          <a:grpSpLocks/>
        </xdr:cNvGrpSpPr>
      </xdr:nvGrpSpPr>
      <xdr:grpSpPr bwMode="auto">
        <a:xfrm>
          <a:off x="14573250" y="11156156"/>
          <a:ext cx="312963" cy="270443"/>
          <a:chOff x="5475762" y="47760700"/>
          <a:chExt cx="314325" cy="230209"/>
        </a:xfrm>
      </xdr:grpSpPr>
      <xdr:cxnSp macro="">
        <xdr:nvCxnSpPr>
          <xdr:cNvPr id="2760" name="Straight Connector 2759">
            <a:extLst>
              <a:ext uri="{FF2B5EF4-FFF2-40B4-BE49-F238E27FC236}">
                <a16:creationId xmlns:a16="http://schemas.microsoft.com/office/drawing/2014/main" id="{00000000-0008-0000-0300-0000C8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1" name="Straight Connector 529">
            <a:extLst>
              <a:ext uri="{FF2B5EF4-FFF2-40B4-BE49-F238E27FC236}">
                <a16:creationId xmlns:a16="http://schemas.microsoft.com/office/drawing/2014/main" id="{00000000-0008-0000-0300-0000C9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1">
            <a:extLst>
              <a:ext uri="{FF2B5EF4-FFF2-40B4-BE49-F238E27FC236}">
                <a16:creationId xmlns:a16="http://schemas.microsoft.com/office/drawing/2014/main" id="{00000000-0008-0000-0300-0000CA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3" name="Straight Connector 533">
            <a:extLst>
              <a:ext uri="{FF2B5EF4-FFF2-40B4-BE49-F238E27FC236}">
                <a16:creationId xmlns:a16="http://schemas.microsoft.com/office/drawing/2014/main" id="{00000000-0008-0000-0300-0000C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4" name="Straight Connector 535">
            <a:extLst>
              <a:ext uri="{FF2B5EF4-FFF2-40B4-BE49-F238E27FC236}">
                <a16:creationId xmlns:a16="http://schemas.microsoft.com/office/drawing/2014/main" id="{00000000-0008-0000-0300-0000C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5" name="Straight Connector 537">
            <a:extLst>
              <a:ext uri="{FF2B5EF4-FFF2-40B4-BE49-F238E27FC236}">
                <a16:creationId xmlns:a16="http://schemas.microsoft.com/office/drawing/2014/main" id="{00000000-0008-0000-0300-0000CD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40</xdr:row>
      <xdr:rowOff>0</xdr:rowOff>
    </xdr:from>
    <xdr:to>
      <xdr:col>4</xdr:col>
      <xdr:colOff>312963</xdr:colOff>
      <xdr:row>41</xdr:row>
      <xdr:rowOff>68036</xdr:rowOff>
    </xdr:to>
    <xdr:grpSp>
      <xdr:nvGrpSpPr>
        <xdr:cNvPr id="2766" name="Group 1008">
          <a:extLst>
            <a:ext uri="{FF2B5EF4-FFF2-40B4-BE49-F238E27FC236}">
              <a16:creationId xmlns:a16="http://schemas.microsoft.com/office/drawing/2014/main" id="{00000000-0008-0000-0300-0000CE0A0000}"/>
            </a:ext>
          </a:extLst>
        </xdr:cNvPr>
        <xdr:cNvGrpSpPr>
          <a:grpSpLocks/>
        </xdr:cNvGrpSpPr>
      </xdr:nvGrpSpPr>
      <xdr:grpSpPr bwMode="auto">
        <a:xfrm>
          <a:off x="2809875" y="9703594"/>
          <a:ext cx="312963" cy="270442"/>
          <a:chOff x="5475762" y="47760700"/>
          <a:chExt cx="314325" cy="230209"/>
        </a:xfrm>
      </xdr:grpSpPr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00000000-0008-0000-0300-0000CF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8" name="Straight Connector 529">
            <a:extLst>
              <a:ext uri="{FF2B5EF4-FFF2-40B4-BE49-F238E27FC236}">
                <a16:creationId xmlns:a16="http://schemas.microsoft.com/office/drawing/2014/main" id="{00000000-0008-0000-0300-0000D0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1">
            <a:extLst>
              <a:ext uri="{FF2B5EF4-FFF2-40B4-BE49-F238E27FC236}">
                <a16:creationId xmlns:a16="http://schemas.microsoft.com/office/drawing/2014/main" id="{00000000-0008-0000-0300-0000D1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0" name="Straight Connector 533">
            <a:extLst>
              <a:ext uri="{FF2B5EF4-FFF2-40B4-BE49-F238E27FC236}">
                <a16:creationId xmlns:a16="http://schemas.microsoft.com/office/drawing/2014/main" id="{00000000-0008-0000-0300-0000D2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1" name="Straight Connector 535">
            <a:extLst>
              <a:ext uri="{FF2B5EF4-FFF2-40B4-BE49-F238E27FC236}">
                <a16:creationId xmlns:a16="http://schemas.microsoft.com/office/drawing/2014/main" id="{00000000-0008-0000-0300-0000D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2" name="Straight Connector 537">
            <a:extLst>
              <a:ext uri="{FF2B5EF4-FFF2-40B4-BE49-F238E27FC236}">
                <a16:creationId xmlns:a16="http://schemas.microsoft.com/office/drawing/2014/main" id="{00000000-0008-0000-0300-0000D4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47</xdr:row>
      <xdr:rowOff>0</xdr:rowOff>
    </xdr:from>
    <xdr:to>
      <xdr:col>24</xdr:col>
      <xdr:colOff>312963</xdr:colOff>
      <xdr:row>48</xdr:row>
      <xdr:rowOff>68036</xdr:rowOff>
    </xdr:to>
    <xdr:grpSp>
      <xdr:nvGrpSpPr>
        <xdr:cNvPr id="2773" name="Group 1008">
          <a:extLst>
            <a:ext uri="{FF2B5EF4-FFF2-40B4-BE49-F238E27FC236}">
              <a16:creationId xmlns:a16="http://schemas.microsoft.com/office/drawing/2014/main" id="{00000000-0008-0000-0300-0000D50A0000}"/>
            </a:ext>
          </a:extLst>
        </xdr:cNvPr>
        <xdr:cNvGrpSpPr>
          <a:grpSpLocks/>
        </xdr:cNvGrpSpPr>
      </xdr:nvGrpSpPr>
      <xdr:grpSpPr bwMode="auto">
        <a:xfrm>
          <a:off x="15942469" y="11156156"/>
          <a:ext cx="312963" cy="270443"/>
          <a:chOff x="5475762" y="47760700"/>
          <a:chExt cx="314325" cy="230209"/>
        </a:xfrm>
      </xdr:grpSpPr>
      <xdr:cxnSp macro="">
        <xdr:nvCxnSpPr>
          <xdr:cNvPr id="2774" name="Straight Connector 2773">
            <a:extLst>
              <a:ext uri="{FF2B5EF4-FFF2-40B4-BE49-F238E27FC236}">
                <a16:creationId xmlns:a16="http://schemas.microsoft.com/office/drawing/2014/main" id="{00000000-0008-0000-0300-0000D6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5" name="Straight Connector 529">
            <a:extLst>
              <a:ext uri="{FF2B5EF4-FFF2-40B4-BE49-F238E27FC236}">
                <a16:creationId xmlns:a16="http://schemas.microsoft.com/office/drawing/2014/main" id="{00000000-0008-0000-0300-0000D7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1">
            <a:extLst>
              <a:ext uri="{FF2B5EF4-FFF2-40B4-BE49-F238E27FC236}">
                <a16:creationId xmlns:a16="http://schemas.microsoft.com/office/drawing/2014/main" id="{00000000-0008-0000-0300-0000D8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7" name="Straight Connector 533">
            <a:extLst>
              <a:ext uri="{FF2B5EF4-FFF2-40B4-BE49-F238E27FC236}">
                <a16:creationId xmlns:a16="http://schemas.microsoft.com/office/drawing/2014/main" id="{00000000-0008-0000-0300-0000D9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8" name="Straight Connector 535">
            <a:extLst>
              <a:ext uri="{FF2B5EF4-FFF2-40B4-BE49-F238E27FC236}">
                <a16:creationId xmlns:a16="http://schemas.microsoft.com/office/drawing/2014/main" id="{00000000-0008-0000-0300-0000D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9" name="Straight Connector 537">
            <a:extLst>
              <a:ext uri="{FF2B5EF4-FFF2-40B4-BE49-F238E27FC236}">
                <a16:creationId xmlns:a16="http://schemas.microsoft.com/office/drawing/2014/main" id="{00000000-0008-0000-0300-0000D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0" name="AutoShape 207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1" name="AutoShape 207">
          <a:extLst>
            <a:ext uri="{FF2B5EF4-FFF2-40B4-BE49-F238E27FC236}">
              <a16:creationId xmlns:a16="http://schemas.microsoft.com/office/drawing/2014/main" id="{00000000-0008-0000-0E00-0000E402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2" name="AutoShape 207">
          <a:extLst>
            <a:ext uri="{FF2B5EF4-FFF2-40B4-BE49-F238E27FC236}">
              <a16:creationId xmlns:a16="http://schemas.microsoft.com/office/drawing/2014/main" id="{00000000-0008-0000-0E00-00002406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3" name="AutoShape 207">
          <a:extLst>
            <a:ext uri="{FF2B5EF4-FFF2-40B4-BE49-F238E27FC236}">
              <a16:creationId xmlns:a16="http://schemas.microsoft.com/office/drawing/2014/main" id="{00000000-0008-0000-0E00-0000F105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4" name="AutoShape 207">
          <a:extLst>
            <a:ext uri="{FF2B5EF4-FFF2-40B4-BE49-F238E27FC236}">
              <a16:creationId xmlns:a16="http://schemas.microsoft.com/office/drawing/2014/main" id="{00000000-0008-0000-0E00-0000EE08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191</xdr:row>
      <xdr:rowOff>63500</xdr:rowOff>
    </xdr:from>
    <xdr:to>
      <xdr:col>18</xdr:col>
      <xdr:colOff>0</xdr:colOff>
      <xdr:row>192</xdr:row>
      <xdr:rowOff>190500</xdr:rowOff>
    </xdr:to>
    <xdr:sp macro="" textlink="">
      <xdr:nvSpPr>
        <xdr:cNvPr id="2785" name="AutoShape 207">
          <a:extLst>
            <a:ext uri="{FF2B5EF4-FFF2-40B4-BE49-F238E27FC236}">
              <a16:creationId xmlns:a16="http://schemas.microsoft.com/office/drawing/2014/main" id="{00000000-0008-0000-0E00-00003E0A0000}"/>
            </a:ext>
          </a:extLst>
        </xdr:cNvPr>
        <xdr:cNvSpPr>
          <a:spLocks noChangeArrowheads="1"/>
        </xdr:cNvSpPr>
      </xdr:nvSpPr>
      <xdr:spPr>
        <a:xfrm>
          <a:off x="11501438" y="39639875"/>
          <a:ext cx="690562" cy="3294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16</xdr:col>
      <xdr:colOff>571500</xdr:colOff>
      <xdr:row>84</xdr:row>
      <xdr:rowOff>178594</xdr:rowOff>
    </xdr:from>
    <xdr:to>
      <xdr:col>17</xdr:col>
      <xdr:colOff>677544</xdr:colOff>
      <xdr:row>86</xdr:row>
      <xdr:rowOff>209734</xdr:rowOff>
    </xdr:to>
    <xdr:sp macro="" textlink="">
      <xdr:nvSpPr>
        <xdr:cNvPr id="2786" name="AutoShape 9">
          <a:extLst>
            <a:ext uri="{FF2B5EF4-FFF2-40B4-BE49-F238E27FC236}">
              <a16:creationId xmlns:a16="http://schemas.microsoft.com/office/drawing/2014/main" id="{00000000-0008-0000-0E00-0000FE020000}"/>
            </a:ext>
          </a:extLst>
        </xdr:cNvPr>
        <xdr:cNvSpPr>
          <a:spLocks noChangeArrowheads="1"/>
        </xdr:cNvSpPr>
      </xdr:nvSpPr>
      <xdr:spPr>
        <a:xfrm>
          <a:off x="11477625" y="18990469"/>
          <a:ext cx="701357" cy="43595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21</xdr:col>
      <xdr:colOff>0</xdr:colOff>
      <xdr:row>85</xdr:row>
      <xdr:rowOff>0</xdr:rowOff>
    </xdr:from>
    <xdr:to>
      <xdr:col>22</xdr:col>
      <xdr:colOff>4139</xdr:colOff>
      <xdr:row>87</xdr:row>
      <xdr:rowOff>24423</xdr:rowOff>
    </xdr:to>
    <xdr:sp macro="" textlink="">
      <xdr:nvSpPr>
        <xdr:cNvPr id="2787" name="AutoShape 11">
          <a:extLst>
            <a:ext uri="{FF2B5EF4-FFF2-40B4-BE49-F238E27FC236}">
              <a16:creationId xmlns:a16="http://schemas.microsoft.com/office/drawing/2014/main" id="{00000000-0008-0000-0E00-0000A7070000}"/>
            </a:ext>
          </a:extLst>
        </xdr:cNvPr>
        <xdr:cNvSpPr>
          <a:spLocks noChangeArrowheads="1"/>
        </xdr:cNvSpPr>
      </xdr:nvSpPr>
      <xdr:spPr>
        <a:xfrm>
          <a:off x="14037469" y="19014281"/>
          <a:ext cx="658983" cy="441142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17</xdr:col>
      <xdr:colOff>0</xdr:colOff>
      <xdr:row>193</xdr:row>
      <xdr:rowOff>59531</xdr:rowOff>
    </xdr:from>
    <xdr:to>
      <xdr:col>17</xdr:col>
      <xdr:colOff>635000</xdr:colOff>
      <xdr:row>194</xdr:row>
      <xdr:rowOff>169742</xdr:rowOff>
    </xdr:to>
    <xdr:sp macro="" textlink="">
      <xdr:nvSpPr>
        <xdr:cNvPr id="2788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11501438" y="41505187"/>
          <a:ext cx="635000" cy="32452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193</xdr:row>
      <xdr:rowOff>0</xdr:rowOff>
    </xdr:from>
    <xdr:to>
      <xdr:col>17</xdr:col>
      <xdr:colOff>666751</xdr:colOff>
      <xdr:row>194</xdr:row>
      <xdr:rowOff>202101</xdr:rowOff>
    </xdr:to>
    <xdr:sp macro="" textlink="">
      <xdr:nvSpPr>
        <xdr:cNvPr id="2789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11501438" y="41445656"/>
          <a:ext cx="666751" cy="41641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193</xdr:row>
      <xdr:rowOff>0</xdr:rowOff>
    </xdr:from>
    <xdr:to>
      <xdr:col>4</xdr:col>
      <xdr:colOff>1</xdr:colOff>
      <xdr:row>194</xdr:row>
      <xdr:rowOff>202101</xdr:rowOff>
    </xdr:to>
    <xdr:sp macro="" textlink="">
      <xdr:nvSpPr>
        <xdr:cNvPr id="2790" name="Line 251">
          <a:extLst>
            <a:ext uri="{FF2B5EF4-FFF2-40B4-BE49-F238E27FC236}">
              <a16:creationId xmlns:a16="http://schemas.microsoft.com/office/drawing/2014/main" id="{00000000-0008-0000-0E00-00000C0A0000}"/>
            </a:ext>
          </a:extLst>
        </xdr:cNvPr>
        <xdr:cNvSpPr>
          <a:spLocks noChangeShapeType="1"/>
        </xdr:cNvSpPr>
      </xdr:nvSpPr>
      <xdr:spPr>
        <a:xfrm>
          <a:off x="2143125" y="41445656"/>
          <a:ext cx="666751" cy="416414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11907</xdr:colOff>
      <xdr:row>192</xdr:row>
      <xdr:rowOff>202406</xdr:rowOff>
    </xdr:from>
    <xdr:to>
      <xdr:col>4</xdr:col>
      <xdr:colOff>23813</xdr:colOff>
      <xdr:row>194</xdr:row>
      <xdr:rowOff>181649</xdr:rowOff>
    </xdr:to>
    <xdr:sp macro="" textlink="">
      <xdr:nvSpPr>
        <xdr:cNvPr id="2791" name="Line 255">
          <a:extLst>
            <a:ext uri="{FF2B5EF4-FFF2-40B4-BE49-F238E27FC236}">
              <a16:creationId xmlns:a16="http://schemas.microsoft.com/office/drawing/2014/main" id="{00000000-0008-0000-0E00-00000D0A0000}"/>
            </a:ext>
          </a:extLst>
        </xdr:cNvPr>
        <xdr:cNvSpPr>
          <a:spLocks noChangeShapeType="1"/>
        </xdr:cNvSpPr>
      </xdr:nvSpPr>
      <xdr:spPr>
        <a:xfrm flipV="1">
          <a:off x="2155032" y="41433750"/>
          <a:ext cx="678656" cy="407868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153</xdr:row>
      <xdr:rowOff>0</xdr:rowOff>
    </xdr:from>
    <xdr:to>
      <xdr:col>24</xdr:col>
      <xdr:colOff>312963</xdr:colOff>
      <xdr:row>154</xdr:row>
      <xdr:rowOff>68036</xdr:rowOff>
    </xdr:to>
    <xdr:grpSp>
      <xdr:nvGrpSpPr>
        <xdr:cNvPr id="2792" name="Group 1008">
          <a:extLst>
            <a:ext uri="{FF2B5EF4-FFF2-40B4-BE49-F238E27FC236}">
              <a16:creationId xmlns:a16="http://schemas.microsoft.com/office/drawing/2014/main" id="{00000000-0008-0000-0300-0000E80A0000}"/>
            </a:ext>
          </a:extLst>
        </xdr:cNvPr>
        <xdr:cNvGrpSpPr>
          <a:grpSpLocks/>
        </xdr:cNvGrpSpPr>
      </xdr:nvGrpSpPr>
      <xdr:grpSpPr bwMode="auto">
        <a:xfrm>
          <a:off x="15942469" y="33158906"/>
          <a:ext cx="312963" cy="270443"/>
          <a:chOff x="5475762" y="47760700"/>
          <a:chExt cx="314325" cy="230209"/>
        </a:xfrm>
      </xdr:grpSpPr>
      <xdr:cxnSp macro="">
        <xdr:nvCxnSpPr>
          <xdr:cNvPr id="2793" name="Straight Connector 2792">
            <a:extLst>
              <a:ext uri="{FF2B5EF4-FFF2-40B4-BE49-F238E27FC236}">
                <a16:creationId xmlns:a16="http://schemas.microsoft.com/office/drawing/2014/main" id="{00000000-0008-0000-0300-0000E9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4" name="Straight Connector 529">
            <a:extLst>
              <a:ext uri="{FF2B5EF4-FFF2-40B4-BE49-F238E27FC236}">
                <a16:creationId xmlns:a16="http://schemas.microsoft.com/office/drawing/2014/main" id="{00000000-0008-0000-0300-0000EA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1">
            <a:extLst>
              <a:ext uri="{FF2B5EF4-FFF2-40B4-BE49-F238E27FC236}">
                <a16:creationId xmlns:a16="http://schemas.microsoft.com/office/drawing/2014/main" id="{00000000-0008-0000-0300-0000EB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3">
            <a:extLst>
              <a:ext uri="{FF2B5EF4-FFF2-40B4-BE49-F238E27FC236}">
                <a16:creationId xmlns:a16="http://schemas.microsoft.com/office/drawing/2014/main" id="{00000000-0008-0000-0300-0000EC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5">
            <a:extLst>
              <a:ext uri="{FF2B5EF4-FFF2-40B4-BE49-F238E27FC236}">
                <a16:creationId xmlns:a16="http://schemas.microsoft.com/office/drawing/2014/main" id="{00000000-0008-0000-0300-0000ED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8" name="Straight Connector 537">
            <a:extLst>
              <a:ext uri="{FF2B5EF4-FFF2-40B4-BE49-F238E27FC236}">
                <a16:creationId xmlns:a16="http://schemas.microsoft.com/office/drawing/2014/main" id="{00000000-0008-0000-0300-0000EE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33</xdr:row>
      <xdr:rowOff>0</xdr:rowOff>
    </xdr:from>
    <xdr:to>
      <xdr:col>2</xdr:col>
      <xdr:colOff>312963</xdr:colOff>
      <xdr:row>34</xdr:row>
      <xdr:rowOff>68036</xdr:rowOff>
    </xdr:to>
    <xdr:grpSp>
      <xdr:nvGrpSpPr>
        <xdr:cNvPr id="2799" name="Group 1008">
          <a:extLst>
            <a:ext uri="{FF2B5EF4-FFF2-40B4-BE49-F238E27FC236}">
              <a16:creationId xmlns:a16="http://schemas.microsoft.com/office/drawing/2014/main" id="{00000000-0008-0000-0300-0000EF0A0000}"/>
            </a:ext>
          </a:extLst>
        </xdr:cNvPr>
        <xdr:cNvGrpSpPr>
          <a:grpSpLocks/>
        </xdr:cNvGrpSpPr>
      </xdr:nvGrpSpPr>
      <xdr:grpSpPr bwMode="auto">
        <a:xfrm>
          <a:off x="1535906" y="8251031"/>
          <a:ext cx="312963" cy="270443"/>
          <a:chOff x="5475762" y="47760700"/>
          <a:chExt cx="314325" cy="230209"/>
        </a:xfrm>
      </xdr:grpSpPr>
      <xdr:cxnSp macro="">
        <xdr:nvCxnSpPr>
          <xdr:cNvPr id="2800" name="Straight Connector 2799">
            <a:extLst>
              <a:ext uri="{FF2B5EF4-FFF2-40B4-BE49-F238E27FC236}">
                <a16:creationId xmlns:a16="http://schemas.microsoft.com/office/drawing/2014/main" id="{00000000-0008-0000-0300-0000F0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1" name="Straight Connector 529">
            <a:extLst>
              <a:ext uri="{FF2B5EF4-FFF2-40B4-BE49-F238E27FC236}">
                <a16:creationId xmlns:a16="http://schemas.microsoft.com/office/drawing/2014/main" id="{00000000-0008-0000-0300-0000F1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1">
            <a:extLst>
              <a:ext uri="{FF2B5EF4-FFF2-40B4-BE49-F238E27FC236}">
                <a16:creationId xmlns:a16="http://schemas.microsoft.com/office/drawing/2014/main" id="{00000000-0008-0000-0300-0000F2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3">
            <a:extLst>
              <a:ext uri="{FF2B5EF4-FFF2-40B4-BE49-F238E27FC236}">
                <a16:creationId xmlns:a16="http://schemas.microsoft.com/office/drawing/2014/main" id="{00000000-0008-0000-0300-0000F3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5">
            <a:extLst>
              <a:ext uri="{FF2B5EF4-FFF2-40B4-BE49-F238E27FC236}">
                <a16:creationId xmlns:a16="http://schemas.microsoft.com/office/drawing/2014/main" id="{00000000-0008-0000-0300-0000F4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5" name="Straight Connector 537">
            <a:extLst>
              <a:ext uri="{FF2B5EF4-FFF2-40B4-BE49-F238E27FC236}">
                <a16:creationId xmlns:a16="http://schemas.microsoft.com/office/drawing/2014/main" id="{00000000-0008-0000-0300-0000F5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33</xdr:row>
      <xdr:rowOff>0</xdr:rowOff>
    </xdr:from>
    <xdr:to>
      <xdr:col>4</xdr:col>
      <xdr:colOff>312963</xdr:colOff>
      <xdr:row>34</xdr:row>
      <xdr:rowOff>68036</xdr:rowOff>
    </xdr:to>
    <xdr:grpSp>
      <xdr:nvGrpSpPr>
        <xdr:cNvPr id="2806" name="Group 1008">
          <a:extLst>
            <a:ext uri="{FF2B5EF4-FFF2-40B4-BE49-F238E27FC236}">
              <a16:creationId xmlns:a16="http://schemas.microsoft.com/office/drawing/2014/main" id="{00000000-0008-0000-0300-0000F60A0000}"/>
            </a:ext>
          </a:extLst>
        </xdr:cNvPr>
        <xdr:cNvGrpSpPr>
          <a:grpSpLocks/>
        </xdr:cNvGrpSpPr>
      </xdr:nvGrpSpPr>
      <xdr:grpSpPr bwMode="auto">
        <a:xfrm>
          <a:off x="2809875" y="8251031"/>
          <a:ext cx="312963" cy="270443"/>
          <a:chOff x="5475762" y="47760700"/>
          <a:chExt cx="314325" cy="230209"/>
        </a:xfrm>
      </xdr:grpSpPr>
      <xdr:cxnSp macro="">
        <xdr:nvCxnSpPr>
          <xdr:cNvPr id="2807" name="Straight Connector 2806">
            <a:extLst>
              <a:ext uri="{FF2B5EF4-FFF2-40B4-BE49-F238E27FC236}">
                <a16:creationId xmlns:a16="http://schemas.microsoft.com/office/drawing/2014/main" id="{00000000-0008-0000-0300-0000F70A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8" name="Straight Connector 529">
            <a:extLst>
              <a:ext uri="{FF2B5EF4-FFF2-40B4-BE49-F238E27FC236}">
                <a16:creationId xmlns:a16="http://schemas.microsoft.com/office/drawing/2014/main" id="{00000000-0008-0000-0300-0000F80A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1">
            <a:extLst>
              <a:ext uri="{FF2B5EF4-FFF2-40B4-BE49-F238E27FC236}">
                <a16:creationId xmlns:a16="http://schemas.microsoft.com/office/drawing/2014/main" id="{00000000-0008-0000-0300-0000F9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3">
            <a:extLst>
              <a:ext uri="{FF2B5EF4-FFF2-40B4-BE49-F238E27FC236}">
                <a16:creationId xmlns:a16="http://schemas.microsoft.com/office/drawing/2014/main" id="{00000000-0008-0000-0300-0000FA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5">
            <a:extLst>
              <a:ext uri="{FF2B5EF4-FFF2-40B4-BE49-F238E27FC236}">
                <a16:creationId xmlns:a16="http://schemas.microsoft.com/office/drawing/2014/main" id="{00000000-0008-0000-0300-0000FB0A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2" name="Straight Connector 537">
            <a:extLst>
              <a:ext uri="{FF2B5EF4-FFF2-40B4-BE49-F238E27FC236}">
                <a16:creationId xmlns:a16="http://schemas.microsoft.com/office/drawing/2014/main" id="{00000000-0008-0000-0300-0000FC0A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54</xdr:row>
      <xdr:rowOff>0</xdr:rowOff>
    </xdr:from>
    <xdr:to>
      <xdr:col>2</xdr:col>
      <xdr:colOff>312963</xdr:colOff>
      <xdr:row>55</xdr:row>
      <xdr:rowOff>68037</xdr:rowOff>
    </xdr:to>
    <xdr:grpSp>
      <xdr:nvGrpSpPr>
        <xdr:cNvPr id="2822" name="Group 1008">
          <a:extLst>
            <a:ext uri="{FF2B5EF4-FFF2-40B4-BE49-F238E27FC236}">
              <a16:creationId xmlns:a16="http://schemas.microsoft.com/office/drawing/2014/main" id="{00000000-0008-0000-0300-0000060B0000}"/>
            </a:ext>
          </a:extLst>
        </xdr:cNvPr>
        <xdr:cNvGrpSpPr>
          <a:grpSpLocks/>
        </xdr:cNvGrpSpPr>
      </xdr:nvGrpSpPr>
      <xdr:grpSpPr bwMode="auto">
        <a:xfrm>
          <a:off x="1535906" y="12608719"/>
          <a:ext cx="312963" cy="270443"/>
          <a:chOff x="5475762" y="47760700"/>
          <a:chExt cx="314325" cy="230209"/>
        </a:xfrm>
      </xdr:grpSpPr>
      <xdr:cxnSp macro="">
        <xdr:nvCxnSpPr>
          <xdr:cNvPr id="2823" name="Straight Connector 2822">
            <a:extLst>
              <a:ext uri="{FF2B5EF4-FFF2-40B4-BE49-F238E27FC236}">
                <a16:creationId xmlns:a16="http://schemas.microsoft.com/office/drawing/2014/main" id="{00000000-0008-0000-0300-00000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4" name="Straight Connector 529">
            <a:extLst>
              <a:ext uri="{FF2B5EF4-FFF2-40B4-BE49-F238E27FC236}">
                <a16:creationId xmlns:a16="http://schemas.microsoft.com/office/drawing/2014/main" id="{00000000-0008-0000-0300-00000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5" name="Straight Connector 531">
            <a:extLst>
              <a:ext uri="{FF2B5EF4-FFF2-40B4-BE49-F238E27FC236}">
                <a16:creationId xmlns:a16="http://schemas.microsoft.com/office/drawing/2014/main" id="{00000000-0008-0000-0300-00000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6" name="Straight Connector 533">
            <a:extLst>
              <a:ext uri="{FF2B5EF4-FFF2-40B4-BE49-F238E27FC236}">
                <a16:creationId xmlns:a16="http://schemas.microsoft.com/office/drawing/2014/main" id="{00000000-0008-0000-0300-00000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7" name="Straight Connector 535">
            <a:extLst>
              <a:ext uri="{FF2B5EF4-FFF2-40B4-BE49-F238E27FC236}">
                <a16:creationId xmlns:a16="http://schemas.microsoft.com/office/drawing/2014/main" id="{00000000-0008-0000-0300-00000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8" name="Straight Connector 537">
            <a:extLst>
              <a:ext uri="{FF2B5EF4-FFF2-40B4-BE49-F238E27FC236}">
                <a16:creationId xmlns:a16="http://schemas.microsoft.com/office/drawing/2014/main" id="{00000000-0008-0000-0300-00000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188</xdr:row>
      <xdr:rowOff>0</xdr:rowOff>
    </xdr:from>
    <xdr:to>
      <xdr:col>14</xdr:col>
      <xdr:colOff>312963</xdr:colOff>
      <xdr:row>189</xdr:row>
      <xdr:rowOff>68037</xdr:rowOff>
    </xdr:to>
    <xdr:grpSp>
      <xdr:nvGrpSpPr>
        <xdr:cNvPr id="2829" name="Group 1008">
          <a:extLst>
            <a:ext uri="{FF2B5EF4-FFF2-40B4-BE49-F238E27FC236}">
              <a16:creationId xmlns:a16="http://schemas.microsoft.com/office/drawing/2014/main" id="{00000000-0008-0000-0300-00000D0B0000}"/>
            </a:ext>
          </a:extLst>
        </xdr:cNvPr>
        <xdr:cNvGrpSpPr>
          <a:grpSpLocks/>
        </xdr:cNvGrpSpPr>
      </xdr:nvGrpSpPr>
      <xdr:grpSpPr bwMode="auto">
        <a:xfrm>
          <a:off x="9489281" y="40421719"/>
          <a:ext cx="312963" cy="270443"/>
          <a:chOff x="5475762" y="47760700"/>
          <a:chExt cx="314325" cy="230209"/>
        </a:xfrm>
      </xdr:grpSpPr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00000000-0008-0000-0300-00000E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1" name="Straight Connector 529">
            <a:extLst>
              <a:ext uri="{FF2B5EF4-FFF2-40B4-BE49-F238E27FC236}">
                <a16:creationId xmlns:a16="http://schemas.microsoft.com/office/drawing/2014/main" id="{00000000-0008-0000-0300-00000F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1">
            <a:extLst>
              <a:ext uri="{FF2B5EF4-FFF2-40B4-BE49-F238E27FC236}">
                <a16:creationId xmlns:a16="http://schemas.microsoft.com/office/drawing/2014/main" id="{00000000-0008-0000-0300-00001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3" name="Straight Connector 533">
            <a:extLst>
              <a:ext uri="{FF2B5EF4-FFF2-40B4-BE49-F238E27FC236}">
                <a16:creationId xmlns:a16="http://schemas.microsoft.com/office/drawing/2014/main" id="{00000000-0008-0000-0300-00001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4" name="Straight Connector 535">
            <a:extLst>
              <a:ext uri="{FF2B5EF4-FFF2-40B4-BE49-F238E27FC236}">
                <a16:creationId xmlns:a16="http://schemas.microsoft.com/office/drawing/2014/main" id="{00000000-0008-0000-0300-00001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5" name="Straight Connector 537">
            <a:extLst>
              <a:ext uri="{FF2B5EF4-FFF2-40B4-BE49-F238E27FC236}">
                <a16:creationId xmlns:a16="http://schemas.microsoft.com/office/drawing/2014/main" id="{00000000-0008-0000-0300-00001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188</xdr:row>
      <xdr:rowOff>0</xdr:rowOff>
    </xdr:from>
    <xdr:to>
      <xdr:col>4</xdr:col>
      <xdr:colOff>312963</xdr:colOff>
      <xdr:row>189</xdr:row>
      <xdr:rowOff>68037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00000000-0008-0000-0300-0000180B0000}"/>
            </a:ext>
          </a:extLst>
        </xdr:cNvPr>
        <xdr:cNvGrpSpPr>
          <a:grpSpLocks/>
        </xdr:cNvGrpSpPr>
      </xdr:nvGrpSpPr>
      <xdr:grpSpPr bwMode="auto">
        <a:xfrm>
          <a:off x="2809875" y="40421719"/>
          <a:ext cx="312963" cy="27044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00000000-0008-0000-0300-000019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00000000-0008-0000-0300-00001A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00000000-0008-0000-0300-00001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00000000-0008-0000-0300-00001C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00000000-0008-0000-0300-00001D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00000000-0008-0000-0300-00001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160</xdr:row>
      <xdr:rowOff>0</xdr:rowOff>
    </xdr:from>
    <xdr:to>
      <xdr:col>10</xdr:col>
      <xdr:colOff>312963</xdr:colOff>
      <xdr:row>161</xdr:row>
      <xdr:rowOff>68037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00000000-0008-0000-0300-00001F0B0000}"/>
            </a:ext>
          </a:extLst>
        </xdr:cNvPr>
        <xdr:cNvGrpSpPr>
          <a:grpSpLocks/>
        </xdr:cNvGrpSpPr>
      </xdr:nvGrpSpPr>
      <xdr:grpSpPr bwMode="auto">
        <a:xfrm>
          <a:off x="6929438" y="34611469"/>
          <a:ext cx="312963" cy="270443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00000000-0008-0000-0300-000020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00000000-0008-0000-0300-000021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00000000-0008-0000-0300-00002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0000000-0008-0000-0300-00002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0000000-0008-0000-0300-000024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00000000-0008-0000-0300-00002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139</xdr:row>
      <xdr:rowOff>0</xdr:rowOff>
    </xdr:from>
    <xdr:to>
      <xdr:col>8</xdr:col>
      <xdr:colOff>312963</xdr:colOff>
      <xdr:row>140</xdr:row>
      <xdr:rowOff>68036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00000000-0008-0000-0300-0000260B0000}"/>
            </a:ext>
          </a:extLst>
        </xdr:cNvPr>
        <xdr:cNvGrpSpPr>
          <a:grpSpLocks/>
        </xdr:cNvGrpSpPr>
      </xdr:nvGrpSpPr>
      <xdr:grpSpPr bwMode="auto">
        <a:xfrm>
          <a:off x="5500688" y="30253781"/>
          <a:ext cx="312963" cy="27044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00000000-0008-0000-0300-00002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00000000-0008-0000-0300-00002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00000000-0008-0000-0300-00002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0000000-0008-0000-0300-00002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00000000-0008-0000-0300-00002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00000000-0008-0000-0300-00002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26</xdr:row>
      <xdr:rowOff>0</xdr:rowOff>
    </xdr:from>
    <xdr:to>
      <xdr:col>20</xdr:col>
      <xdr:colOff>312963</xdr:colOff>
      <xdr:row>27</xdr:row>
      <xdr:rowOff>68037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0000000-0008-0000-0300-00002D0B0000}"/>
            </a:ext>
          </a:extLst>
        </xdr:cNvPr>
        <xdr:cNvGrpSpPr>
          <a:grpSpLocks/>
        </xdr:cNvGrpSpPr>
      </xdr:nvGrpSpPr>
      <xdr:grpSpPr bwMode="auto">
        <a:xfrm>
          <a:off x="13251656" y="6798469"/>
          <a:ext cx="312963" cy="27044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00000000-0008-0000-0300-00002E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00000000-0008-0000-0300-00002F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00000000-0008-0000-0300-00003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00000000-0008-0000-0300-00003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00000000-0008-0000-0300-00003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00000000-0008-0000-0300-00003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40</xdr:row>
      <xdr:rowOff>0</xdr:rowOff>
    </xdr:from>
    <xdr:to>
      <xdr:col>20</xdr:col>
      <xdr:colOff>312963</xdr:colOff>
      <xdr:row>41</xdr:row>
      <xdr:rowOff>68037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00000000-0008-0000-0300-0000340B0000}"/>
            </a:ext>
          </a:extLst>
        </xdr:cNvPr>
        <xdr:cNvGrpSpPr>
          <a:grpSpLocks/>
        </xdr:cNvGrpSpPr>
      </xdr:nvGrpSpPr>
      <xdr:grpSpPr bwMode="auto">
        <a:xfrm>
          <a:off x="13251656" y="9703594"/>
          <a:ext cx="312963" cy="27044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00000000-0008-0000-0300-000035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00000000-0008-0000-0300-000036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00000000-0008-0000-0300-000037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00000000-0008-0000-0300-00003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00000000-0008-0000-0300-00003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00000000-0008-0000-0300-00003A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40</xdr:row>
      <xdr:rowOff>0</xdr:rowOff>
    </xdr:from>
    <xdr:to>
      <xdr:col>22</xdr:col>
      <xdr:colOff>312963</xdr:colOff>
      <xdr:row>41</xdr:row>
      <xdr:rowOff>68037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00000000-0008-0000-0300-00003B0B0000}"/>
            </a:ext>
          </a:extLst>
        </xdr:cNvPr>
        <xdr:cNvGrpSpPr>
          <a:grpSpLocks/>
        </xdr:cNvGrpSpPr>
      </xdr:nvGrpSpPr>
      <xdr:grpSpPr bwMode="auto">
        <a:xfrm>
          <a:off x="14573250" y="9703594"/>
          <a:ext cx="312963" cy="27044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00000000-0008-0000-0300-00003C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00000000-0008-0000-0300-00003D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00000000-0008-0000-0300-00003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00000000-0008-0000-0300-00003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00000000-0008-0000-0300-00004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00000000-0008-0000-0300-00004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40</xdr:row>
      <xdr:rowOff>0</xdr:rowOff>
    </xdr:from>
    <xdr:to>
      <xdr:col>24</xdr:col>
      <xdr:colOff>312963</xdr:colOff>
      <xdr:row>41</xdr:row>
      <xdr:rowOff>68037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00000000-0008-0000-0300-0000420B0000}"/>
            </a:ext>
          </a:extLst>
        </xdr:cNvPr>
        <xdr:cNvGrpSpPr>
          <a:grpSpLocks/>
        </xdr:cNvGrpSpPr>
      </xdr:nvGrpSpPr>
      <xdr:grpSpPr bwMode="auto">
        <a:xfrm>
          <a:off x="15942469" y="9703594"/>
          <a:ext cx="312963" cy="27044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00000000-0008-0000-0300-000043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00000000-0008-0000-0300-000044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0000000-0008-0000-0300-00004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00000000-0008-0000-0300-000046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00000000-0008-0000-0300-00004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00000000-0008-0000-0300-00004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40</xdr:row>
      <xdr:rowOff>0</xdr:rowOff>
    </xdr:from>
    <xdr:to>
      <xdr:col>2</xdr:col>
      <xdr:colOff>312963</xdr:colOff>
      <xdr:row>41</xdr:row>
      <xdr:rowOff>68037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00000000-0008-0000-0300-0000490B0000}"/>
            </a:ext>
          </a:extLst>
        </xdr:cNvPr>
        <xdr:cNvGrpSpPr>
          <a:grpSpLocks/>
        </xdr:cNvGrpSpPr>
      </xdr:nvGrpSpPr>
      <xdr:grpSpPr bwMode="auto">
        <a:xfrm>
          <a:off x="1535906" y="9703594"/>
          <a:ext cx="312963" cy="27044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00000000-0008-0000-0300-00004A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00000000-0008-0000-0300-00004B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00000000-0008-0000-0300-00004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00000000-0008-0000-0300-00004D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00000000-0008-0000-0300-00004E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00000000-0008-0000-0300-00004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0</xdr:rowOff>
    </xdr:from>
    <xdr:to>
      <xdr:col>6</xdr:col>
      <xdr:colOff>312963</xdr:colOff>
      <xdr:row>41</xdr:row>
      <xdr:rowOff>68037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00000000-0008-0000-0300-0000500B0000}"/>
            </a:ext>
          </a:extLst>
        </xdr:cNvPr>
        <xdr:cNvGrpSpPr>
          <a:grpSpLocks/>
        </xdr:cNvGrpSpPr>
      </xdr:nvGrpSpPr>
      <xdr:grpSpPr bwMode="auto">
        <a:xfrm>
          <a:off x="4179094" y="9703594"/>
          <a:ext cx="312963" cy="27044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00000000-0008-0000-0300-000051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0000000-0008-0000-0300-000052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00000000-0008-0000-0300-00005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00000000-0008-0000-0300-000054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00000000-0008-0000-0300-000055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00000000-0008-0000-0300-000056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40</xdr:row>
      <xdr:rowOff>0</xdr:rowOff>
    </xdr:from>
    <xdr:to>
      <xdr:col>10</xdr:col>
      <xdr:colOff>312963</xdr:colOff>
      <xdr:row>41</xdr:row>
      <xdr:rowOff>68037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00000000-0008-0000-0300-0000570B0000}"/>
            </a:ext>
          </a:extLst>
        </xdr:cNvPr>
        <xdr:cNvGrpSpPr>
          <a:grpSpLocks/>
        </xdr:cNvGrpSpPr>
      </xdr:nvGrpSpPr>
      <xdr:grpSpPr bwMode="auto">
        <a:xfrm>
          <a:off x="6929438" y="9703594"/>
          <a:ext cx="312963" cy="27044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00000000-0008-0000-0300-000058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00000000-0008-0000-0300-000059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00000000-0008-0000-0300-00005A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00000000-0008-0000-0300-00005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00000000-0008-0000-0300-00005C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00000000-0008-0000-0300-00005D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47</xdr:row>
      <xdr:rowOff>0</xdr:rowOff>
    </xdr:from>
    <xdr:to>
      <xdr:col>20</xdr:col>
      <xdr:colOff>312963</xdr:colOff>
      <xdr:row>48</xdr:row>
      <xdr:rowOff>68036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00000000-0008-0000-0300-00005E0B0000}"/>
            </a:ext>
          </a:extLst>
        </xdr:cNvPr>
        <xdr:cNvGrpSpPr>
          <a:grpSpLocks/>
        </xdr:cNvGrpSpPr>
      </xdr:nvGrpSpPr>
      <xdr:grpSpPr bwMode="auto">
        <a:xfrm>
          <a:off x="13251656" y="11156156"/>
          <a:ext cx="312963" cy="27044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00000000-0008-0000-0300-00005F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00000000-0008-0000-0300-000060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00000000-0008-0000-0300-00006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00000000-0008-0000-0300-00006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00000000-0008-0000-0300-00006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00000000-0008-0000-0300-000064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47</xdr:row>
      <xdr:rowOff>0</xdr:rowOff>
    </xdr:from>
    <xdr:to>
      <xdr:col>18</xdr:col>
      <xdr:colOff>312963</xdr:colOff>
      <xdr:row>48</xdr:row>
      <xdr:rowOff>68036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00000000-0008-0000-0300-0000650B0000}"/>
            </a:ext>
          </a:extLst>
        </xdr:cNvPr>
        <xdr:cNvGrpSpPr>
          <a:grpSpLocks/>
        </xdr:cNvGrpSpPr>
      </xdr:nvGrpSpPr>
      <xdr:grpSpPr bwMode="auto">
        <a:xfrm>
          <a:off x="12108656" y="11156156"/>
          <a:ext cx="312963" cy="27044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00000000-0008-0000-0300-000066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00000000-0008-0000-0300-000067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00000000-0008-0000-0300-00006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00000000-0008-0000-0300-00006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00000000-0008-0000-0300-00006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00000000-0008-0000-0300-00006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26</xdr:row>
      <xdr:rowOff>0</xdr:rowOff>
    </xdr:from>
    <xdr:to>
      <xdr:col>24</xdr:col>
      <xdr:colOff>312963</xdr:colOff>
      <xdr:row>27</xdr:row>
      <xdr:rowOff>68037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00000000-0008-0000-0300-00006C0B0000}"/>
            </a:ext>
          </a:extLst>
        </xdr:cNvPr>
        <xdr:cNvGrpSpPr>
          <a:grpSpLocks/>
        </xdr:cNvGrpSpPr>
      </xdr:nvGrpSpPr>
      <xdr:grpSpPr bwMode="auto">
        <a:xfrm>
          <a:off x="15942469" y="6798469"/>
          <a:ext cx="312963" cy="27044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00000000-0008-0000-0300-00006D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00000000-0008-0000-0300-00006E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00000000-0008-0000-0300-00006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00000000-0008-0000-0300-00007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00000000-0008-0000-0300-00007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00000000-0008-0000-0300-00007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9</xdr:col>
      <xdr:colOff>353785</xdr:colOff>
      <xdr:row>149</xdr:row>
      <xdr:rowOff>13607</xdr:rowOff>
    </xdr:from>
    <xdr:to>
      <xdr:col>11</xdr:col>
      <xdr:colOff>312964</xdr:colOff>
      <xdr:row>149</xdr:row>
      <xdr:rowOff>176893</xdr:rowOff>
    </xdr:to>
    <xdr:sp macro="" textlink="">
      <xdr:nvSpPr>
        <xdr:cNvPr id="293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17821" y="31827107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340179</xdr:colOff>
      <xdr:row>149</xdr:row>
      <xdr:rowOff>0</xdr:rowOff>
    </xdr:from>
    <xdr:to>
      <xdr:col>13</xdr:col>
      <xdr:colOff>340179</xdr:colOff>
      <xdr:row>149</xdr:row>
      <xdr:rowOff>163286</xdr:rowOff>
    </xdr:to>
    <xdr:sp macro="" textlink="">
      <xdr:nvSpPr>
        <xdr:cNvPr id="293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78536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340179</xdr:colOff>
      <xdr:row>149</xdr:row>
      <xdr:rowOff>0</xdr:rowOff>
    </xdr:from>
    <xdr:to>
      <xdr:col>15</xdr:col>
      <xdr:colOff>312965</xdr:colOff>
      <xdr:row>149</xdr:row>
      <xdr:rowOff>163286</xdr:rowOff>
    </xdr:to>
    <xdr:sp macro="" textlink="">
      <xdr:nvSpPr>
        <xdr:cNvPr id="293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12036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312965</xdr:colOff>
      <xdr:row>148</xdr:row>
      <xdr:rowOff>190500</xdr:rowOff>
    </xdr:from>
    <xdr:to>
      <xdr:col>17</xdr:col>
      <xdr:colOff>367393</xdr:colOff>
      <xdr:row>149</xdr:row>
      <xdr:rowOff>149679</xdr:rowOff>
    </xdr:to>
    <xdr:sp macro="" textlink="">
      <xdr:nvSpPr>
        <xdr:cNvPr id="293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45536" y="31799893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312963</xdr:colOff>
      <xdr:row>34</xdr:row>
      <xdr:rowOff>68036</xdr:rowOff>
    </xdr:to>
    <xdr:grpSp>
      <xdr:nvGrpSpPr>
        <xdr:cNvPr id="2940" name="Group 1008">
          <a:extLst>
            <a:ext uri="{FF2B5EF4-FFF2-40B4-BE49-F238E27FC236}">
              <a16:creationId xmlns:a16="http://schemas.microsoft.com/office/drawing/2014/main" id="{00000000-0008-0000-0300-00007C0B0000}"/>
            </a:ext>
          </a:extLst>
        </xdr:cNvPr>
        <xdr:cNvGrpSpPr>
          <a:grpSpLocks/>
        </xdr:cNvGrpSpPr>
      </xdr:nvGrpSpPr>
      <xdr:grpSpPr bwMode="auto">
        <a:xfrm>
          <a:off x="14573250" y="8251031"/>
          <a:ext cx="312963" cy="270443"/>
          <a:chOff x="5475762" y="47760700"/>
          <a:chExt cx="314325" cy="230209"/>
        </a:xfrm>
      </xdr:grpSpPr>
      <xdr:cxnSp macro="">
        <xdr:nvCxnSpPr>
          <xdr:cNvPr id="2941" name="Straight Connector 2940">
            <a:extLst>
              <a:ext uri="{FF2B5EF4-FFF2-40B4-BE49-F238E27FC236}">
                <a16:creationId xmlns:a16="http://schemas.microsoft.com/office/drawing/2014/main" id="{00000000-0008-0000-0300-00007D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2" name="Straight Connector 529">
            <a:extLst>
              <a:ext uri="{FF2B5EF4-FFF2-40B4-BE49-F238E27FC236}">
                <a16:creationId xmlns:a16="http://schemas.microsoft.com/office/drawing/2014/main" id="{00000000-0008-0000-0300-00007E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1">
            <a:extLst>
              <a:ext uri="{FF2B5EF4-FFF2-40B4-BE49-F238E27FC236}">
                <a16:creationId xmlns:a16="http://schemas.microsoft.com/office/drawing/2014/main" id="{00000000-0008-0000-0300-00007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3">
            <a:extLst>
              <a:ext uri="{FF2B5EF4-FFF2-40B4-BE49-F238E27FC236}">
                <a16:creationId xmlns:a16="http://schemas.microsoft.com/office/drawing/2014/main" id="{00000000-0008-0000-0300-00008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5" name="Straight Connector 535">
            <a:extLst>
              <a:ext uri="{FF2B5EF4-FFF2-40B4-BE49-F238E27FC236}">
                <a16:creationId xmlns:a16="http://schemas.microsoft.com/office/drawing/2014/main" id="{00000000-0008-0000-0300-00008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6" name="Straight Connector 537">
            <a:extLst>
              <a:ext uri="{FF2B5EF4-FFF2-40B4-BE49-F238E27FC236}">
                <a16:creationId xmlns:a16="http://schemas.microsoft.com/office/drawing/2014/main" id="{00000000-0008-0000-0300-00008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33</xdr:row>
      <xdr:rowOff>0</xdr:rowOff>
    </xdr:from>
    <xdr:to>
      <xdr:col>24</xdr:col>
      <xdr:colOff>312963</xdr:colOff>
      <xdr:row>34</xdr:row>
      <xdr:rowOff>68036</xdr:rowOff>
    </xdr:to>
    <xdr:grpSp>
      <xdr:nvGrpSpPr>
        <xdr:cNvPr id="2947" name="Group 1008">
          <a:extLst>
            <a:ext uri="{FF2B5EF4-FFF2-40B4-BE49-F238E27FC236}">
              <a16:creationId xmlns:a16="http://schemas.microsoft.com/office/drawing/2014/main" id="{00000000-0008-0000-0300-0000830B0000}"/>
            </a:ext>
          </a:extLst>
        </xdr:cNvPr>
        <xdr:cNvGrpSpPr>
          <a:grpSpLocks/>
        </xdr:cNvGrpSpPr>
      </xdr:nvGrpSpPr>
      <xdr:grpSpPr bwMode="auto">
        <a:xfrm>
          <a:off x="15942469" y="8251031"/>
          <a:ext cx="312963" cy="270443"/>
          <a:chOff x="5475762" y="47760700"/>
          <a:chExt cx="314325" cy="230209"/>
        </a:xfrm>
      </xdr:grpSpPr>
      <xdr:cxnSp macro="">
        <xdr:nvCxnSpPr>
          <xdr:cNvPr id="2948" name="Straight Connector 2947">
            <a:extLst>
              <a:ext uri="{FF2B5EF4-FFF2-40B4-BE49-F238E27FC236}">
                <a16:creationId xmlns:a16="http://schemas.microsoft.com/office/drawing/2014/main" id="{00000000-0008-0000-0300-000084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9" name="Straight Connector 529">
            <a:extLst>
              <a:ext uri="{FF2B5EF4-FFF2-40B4-BE49-F238E27FC236}">
                <a16:creationId xmlns:a16="http://schemas.microsoft.com/office/drawing/2014/main" id="{00000000-0008-0000-0300-000085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1">
            <a:extLst>
              <a:ext uri="{FF2B5EF4-FFF2-40B4-BE49-F238E27FC236}">
                <a16:creationId xmlns:a16="http://schemas.microsoft.com/office/drawing/2014/main" id="{00000000-0008-0000-0300-000086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3">
            <a:extLst>
              <a:ext uri="{FF2B5EF4-FFF2-40B4-BE49-F238E27FC236}">
                <a16:creationId xmlns:a16="http://schemas.microsoft.com/office/drawing/2014/main" id="{00000000-0008-0000-0300-00008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2" name="Straight Connector 535">
            <a:extLst>
              <a:ext uri="{FF2B5EF4-FFF2-40B4-BE49-F238E27FC236}">
                <a16:creationId xmlns:a16="http://schemas.microsoft.com/office/drawing/2014/main" id="{00000000-0008-0000-0300-00008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3" name="Straight Connector 537">
            <a:extLst>
              <a:ext uri="{FF2B5EF4-FFF2-40B4-BE49-F238E27FC236}">
                <a16:creationId xmlns:a16="http://schemas.microsoft.com/office/drawing/2014/main" id="{00000000-0008-0000-0300-00008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26</xdr:row>
      <xdr:rowOff>0</xdr:rowOff>
    </xdr:from>
    <xdr:to>
      <xdr:col>22</xdr:col>
      <xdr:colOff>312963</xdr:colOff>
      <xdr:row>27</xdr:row>
      <xdr:rowOff>68036</xdr:rowOff>
    </xdr:to>
    <xdr:grpSp>
      <xdr:nvGrpSpPr>
        <xdr:cNvPr id="2954" name="Group 1008">
          <a:extLst>
            <a:ext uri="{FF2B5EF4-FFF2-40B4-BE49-F238E27FC236}">
              <a16:creationId xmlns:a16="http://schemas.microsoft.com/office/drawing/2014/main" id="{00000000-0008-0000-0300-00008A0B0000}"/>
            </a:ext>
          </a:extLst>
        </xdr:cNvPr>
        <xdr:cNvGrpSpPr>
          <a:grpSpLocks/>
        </xdr:cNvGrpSpPr>
      </xdr:nvGrpSpPr>
      <xdr:grpSpPr bwMode="auto">
        <a:xfrm>
          <a:off x="14573250" y="6798469"/>
          <a:ext cx="312963" cy="270442"/>
          <a:chOff x="5475762" y="47760700"/>
          <a:chExt cx="314325" cy="230209"/>
        </a:xfrm>
      </xdr:grpSpPr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00000000-0008-0000-0300-00008B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6" name="Straight Connector 529">
            <a:extLst>
              <a:ext uri="{FF2B5EF4-FFF2-40B4-BE49-F238E27FC236}">
                <a16:creationId xmlns:a16="http://schemas.microsoft.com/office/drawing/2014/main" id="{00000000-0008-0000-0300-00008C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1">
            <a:extLst>
              <a:ext uri="{FF2B5EF4-FFF2-40B4-BE49-F238E27FC236}">
                <a16:creationId xmlns:a16="http://schemas.microsoft.com/office/drawing/2014/main" id="{00000000-0008-0000-0300-00008D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3">
            <a:extLst>
              <a:ext uri="{FF2B5EF4-FFF2-40B4-BE49-F238E27FC236}">
                <a16:creationId xmlns:a16="http://schemas.microsoft.com/office/drawing/2014/main" id="{00000000-0008-0000-0300-00008E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9" name="Straight Connector 535">
            <a:extLst>
              <a:ext uri="{FF2B5EF4-FFF2-40B4-BE49-F238E27FC236}">
                <a16:creationId xmlns:a16="http://schemas.microsoft.com/office/drawing/2014/main" id="{00000000-0008-0000-0300-00008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0" name="Straight Connector 537">
            <a:extLst>
              <a:ext uri="{FF2B5EF4-FFF2-40B4-BE49-F238E27FC236}">
                <a16:creationId xmlns:a16="http://schemas.microsoft.com/office/drawing/2014/main" id="{00000000-0008-0000-0300-00009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312963</xdr:colOff>
      <xdr:row>34</xdr:row>
      <xdr:rowOff>68036</xdr:rowOff>
    </xdr:to>
    <xdr:grpSp>
      <xdr:nvGrpSpPr>
        <xdr:cNvPr id="2968" name="Group 1008">
          <a:extLst>
            <a:ext uri="{FF2B5EF4-FFF2-40B4-BE49-F238E27FC236}">
              <a16:creationId xmlns:a16="http://schemas.microsoft.com/office/drawing/2014/main" id="{00000000-0008-0000-0300-0000980B0000}"/>
            </a:ext>
          </a:extLst>
        </xdr:cNvPr>
        <xdr:cNvGrpSpPr>
          <a:grpSpLocks/>
        </xdr:cNvGrpSpPr>
      </xdr:nvGrpSpPr>
      <xdr:grpSpPr bwMode="auto">
        <a:xfrm>
          <a:off x="4179094" y="8251031"/>
          <a:ext cx="312963" cy="270443"/>
          <a:chOff x="5475762" y="47760700"/>
          <a:chExt cx="314325" cy="230209"/>
        </a:xfrm>
      </xdr:grpSpPr>
      <xdr:cxnSp macro="">
        <xdr:nvCxnSpPr>
          <xdr:cNvPr id="2969" name="Straight Connector 2968">
            <a:extLst>
              <a:ext uri="{FF2B5EF4-FFF2-40B4-BE49-F238E27FC236}">
                <a16:creationId xmlns:a16="http://schemas.microsoft.com/office/drawing/2014/main" id="{00000000-0008-0000-0300-000099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0" name="Straight Connector 529">
            <a:extLst>
              <a:ext uri="{FF2B5EF4-FFF2-40B4-BE49-F238E27FC236}">
                <a16:creationId xmlns:a16="http://schemas.microsoft.com/office/drawing/2014/main" id="{00000000-0008-0000-0300-00009A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1">
            <a:extLst>
              <a:ext uri="{FF2B5EF4-FFF2-40B4-BE49-F238E27FC236}">
                <a16:creationId xmlns:a16="http://schemas.microsoft.com/office/drawing/2014/main" id="{00000000-0008-0000-0300-00009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3">
            <a:extLst>
              <a:ext uri="{FF2B5EF4-FFF2-40B4-BE49-F238E27FC236}">
                <a16:creationId xmlns:a16="http://schemas.microsoft.com/office/drawing/2014/main" id="{00000000-0008-0000-0300-00009C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3" name="Straight Connector 535">
            <a:extLst>
              <a:ext uri="{FF2B5EF4-FFF2-40B4-BE49-F238E27FC236}">
                <a16:creationId xmlns:a16="http://schemas.microsoft.com/office/drawing/2014/main" id="{00000000-0008-0000-0300-00009D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4" name="Straight Connector 537">
            <a:extLst>
              <a:ext uri="{FF2B5EF4-FFF2-40B4-BE49-F238E27FC236}">
                <a16:creationId xmlns:a16="http://schemas.microsoft.com/office/drawing/2014/main" id="{00000000-0008-0000-0300-00009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54</xdr:row>
      <xdr:rowOff>0</xdr:rowOff>
    </xdr:from>
    <xdr:to>
      <xdr:col>4</xdr:col>
      <xdr:colOff>312963</xdr:colOff>
      <xdr:row>55</xdr:row>
      <xdr:rowOff>68037</xdr:rowOff>
    </xdr:to>
    <xdr:grpSp>
      <xdr:nvGrpSpPr>
        <xdr:cNvPr id="2975" name="Group 1008">
          <a:extLst>
            <a:ext uri="{FF2B5EF4-FFF2-40B4-BE49-F238E27FC236}">
              <a16:creationId xmlns:a16="http://schemas.microsoft.com/office/drawing/2014/main" id="{00000000-0008-0000-0300-00009F0B0000}"/>
            </a:ext>
          </a:extLst>
        </xdr:cNvPr>
        <xdr:cNvGrpSpPr>
          <a:grpSpLocks/>
        </xdr:cNvGrpSpPr>
      </xdr:nvGrpSpPr>
      <xdr:grpSpPr bwMode="auto">
        <a:xfrm>
          <a:off x="2809875" y="12608719"/>
          <a:ext cx="312963" cy="270443"/>
          <a:chOff x="5475762" y="47760700"/>
          <a:chExt cx="314325" cy="230209"/>
        </a:xfrm>
      </xdr:grpSpPr>
      <xdr:cxnSp macro="">
        <xdr:nvCxnSpPr>
          <xdr:cNvPr id="2976" name="Straight Connector 2975">
            <a:extLst>
              <a:ext uri="{FF2B5EF4-FFF2-40B4-BE49-F238E27FC236}">
                <a16:creationId xmlns:a16="http://schemas.microsoft.com/office/drawing/2014/main" id="{00000000-0008-0000-0300-0000A0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7" name="Straight Connector 529">
            <a:extLst>
              <a:ext uri="{FF2B5EF4-FFF2-40B4-BE49-F238E27FC236}">
                <a16:creationId xmlns:a16="http://schemas.microsoft.com/office/drawing/2014/main" id="{00000000-0008-0000-0300-0000A1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1">
            <a:extLst>
              <a:ext uri="{FF2B5EF4-FFF2-40B4-BE49-F238E27FC236}">
                <a16:creationId xmlns:a16="http://schemas.microsoft.com/office/drawing/2014/main" id="{00000000-0008-0000-0300-0000A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3">
            <a:extLst>
              <a:ext uri="{FF2B5EF4-FFF2-40B4-BE49-F238E27FC236}">
                <a16:creationId xmlns:a16="http://schemas.microsoft.com/office/drawing/2014/main" id="{00000000-0008-0000-0300-0000A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0" name="Straight Connector 535">
            <a:extLst>
              <a:ext uri="{FF2B5EF4-FFF2-40B4-BE49-F238E27FC236}">
                <a16:creationId xmlns:a16="http://schemas.microsoft.com/office/drawing/2014/main" id="{00000000-0008-0000-0300-0000A4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1" name="Straight Connector 537">
            <a:extLst>
              <a:ext uri="{FF2B5EF4-FFF2-40B4-BE49-F238E27FC236}">
                <a16:creationId xmlns:a16="http://schemas.microsoft.com/office/drawing/2014/main" id="{00000000-0008-0000-0300-0000A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26</xdr:row>
      <xdr:rowOff>0</xdr:rowOff>
    </xdr:from>
    <xdr:to>
      <xdr:col>12</xdr:col>
      <xdr:colOff>312963</xdr:colOff>
      <xdr:row>27</xdr:row>
      <xdr:rowOff>68037</xdr:rowOff>
    </xdr:to>
    <xdr:grpSp>
      <xdr:nvGrpSpPr>
        <xdr:cNvPr id="2961" name="Group 1008">
          <a:extLst>
            <a:ext uri="{FF2B5EF4-FFF2-40B4-BE49-F238E27FC236}">
              <a16:creationId xmlns:a16="http://schemas.microsoft.com/office/drawing/2014/main" id="{00000000-0008-0000-0300-0000910B0000}"/>
            </a:ext>
          </a:extLst>
        </xdr:cNvPr>
        <xdr:cNvGrpSpPr>
          <a:grpSpLocks/>
        </xdr:cNvGrpSpPr>
      </xdr:nvGrpSpPr>
      <xdr:grpSpPr bwMode="auto">
        <a:xfrm>
          <a:off x="8251031" y="6798469"/>
          <a:ext cx="312963" cy="270443"/>
          <a:chOff x="5475762" y="47760700"/>
          <a:chExt cx="314325" cy="230209"/>
        </a:xfrm>
      </xdr:grpSpPr>
      <xdr:cxnSp macro="">
        <xdr:nvCxnSpPr>
          <xdr:cNvPr id="2962" name="Straight Connector 2961">
            <a:extLst>
              <a:ext uri="{FF2B5EF4-FFF2-40B4-BE49-F238E27FC236}">
                <a16:creationId xmlns:a16="http://schemas.microsoft.com/office/drawing/2014/main" id="{00000000-0008-0000-0300-000092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3" name="Straight Connector 529">
            <a:extLst>
              <a:ext uri="{FF2B5EF4-FFF2-40B4-BE49-F238E27FC236}">
                <a16:creationId xmlns:a16="http://schemas.microsoft.com/office/drawing/2014/main" id="{00000000-0008-0000-0300-000093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1">
            <a:extLst>
              <a:ext uri="{FF2B5EF4-FFF2-40B4-BE49-F238E27FC236}">
                <a16:creationId xmlns:a16="http://schemas.microsoft.com/office/drawing/2014/main" id="{00000000-0008-0000-0300-000094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3">
            <a:extLst>
              <a:ext uri="{FF2B5EF4-FFF2-40B4-BE49-F238E27FC236}">
                <a16:creationId xmlns:a16="http://schemas.microsoft.com/office/drawing/2014/main" id="{00000000-0008-0000-0300-000095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6" name="Straight Connector 535">
            <a:extLst>
              <a:ext uri="{FF2B5EF4-FFF2-40B4-BE49-F238E27FC236}">
                <a16:creationId xmlns:a16="http://schemas.microsoft.com/office/drawing/2014/main" id="{00000000-0008-0000-0300-000096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7" name="Straight Connector 537">
            <a:extLst>
              <a:ext uri="{FF2B5EF4-FFF2-40B4-BE49-F238E27FC236}">
                <a16:creationId xmlns:a16="http://schemas.microsoft.com/office/drawing/2014/main" id="{00000000-0008-0000-0300-000097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312963</xdr:colOff>
      <xdr:row>34</xdr:row>
      <xdr:rowOff>68036</xdr:rowOff>
    </xdr:to>
    <xdr:grpSp>
      <xdr:nvGrpSpPr>
        <xdr:cNvPr id="2982" name="Group 1008">
          <a:extLst>
            <a:ext uri="{FF2B5EF4-FFF2-40B4-BE49-F238E27FC236}">
              <a16:creationId xmlns:a16="http://schemas.microsoft.com/office/drawing/2014/main" id="{00000000-0008-0000-0300-0000A60B0000}"/>
            </a:ext>
          </a:extLst>
        </xdr:cNvPr>
        <xdr:cNvGrpSpPr>
          <a:grpSpLocks/>
        </xdr:cNvGrpSpPr>
      </xdr:nvGrpSpPr>
      <xdr:grpSpPr bwMode="auto">
        <a:xfrm>
          <a:off x="9489281" y="8251031"/>
          <a:ext cx="312963" cy="270443"/>
          <a:chOff x="5475762" y="47760700"/>
          <a:chExt cx="314325" cy="230209"/>
        </a:xfrm>
      </xdr:grpSpPr>
      <xdr:cxnSp macro="">
        <xdr:nvCxnSpPr>
          <xdr:cNvPr id="2983" name="Straight Connector 2982">
            <a:extLst>
              <a:ext uri="{FF2B5EF4-FFF2-40B4-BE49-F238E27FC236}">
                <a16:creationId xmlns:a16="http://schemas.microsoft.com/office/drawing/2014/main" id="{00000000-0008-0000-0300-0000A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4" name="Straight Connector 529">
            <a:extLst>
              <a:ext uri="{FF2B5EF4-FFF2-40B4-BE49-F238E27FC236}">
                <a16:creationId xmlns:a16="http://schemas.microsoft.com/office/drawing/2014/main" id="{00000000-0008-0000-0300-0000A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1">
            <a:extLst>
              <a:ext uri="{FF2B5EF4-FFF2-40B4-BE49-F238E27FC236}">
                <a16:creationId xmlns:a16="http://schemas.microsoft.com/office/drawing/2014/main" id="{00000000-0008-0000-0300-0000A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3">
            <a:extLst>
              <a:ext uri="{FF2B5EF4-FFF2-40B4-BE49-F238E27FC236}">
                <a16:creationId xmlns:a16="http://schemas.microsoft.com/office/drawing/2014/main" id="{00000000-0008-0000-0300-0000A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7" name="Straight Connector 535">
            <a:extLst>
              <a:ext uri="{FF2B5EF4-FFF2-40B4-BE49-F238E27FC236}">
                <a16:creationId xmlns:a16="http://schemas.microsoft.com/office/drawing/2014/main" id="{00000000-0008-0000-0300-0000A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8" name="Straight Connector 537">
            <a:extLst>
              <a:ext uri="{FF2B5EF4-FFF2-40B4-BE49-F238E27FC236}">
                <a16:creationId xmlns:a16="http://schemas.microsoft.com/office/drawing/2014/main" id="{00000000-0008-0000-0300-0000A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33</xdr:row>
      <xdr:rowOff>0</xdr:rowOff>
    </xdr:from>
    <xdr:to>
      <xdr:col>16</xdr:col>
      <xdr:colOff>312963</xdr:colOff>
      <xdr:row>34</xdr:row>
      <xdr:rowOff>68036</xdr:rowOff>
    </xdr:to>
    <xdr:grpSp>
      <xdr:nvGrpSpPr>
        <xdr:cNvPr id="2989" name="Group 1008">
          <a:extLst>
            <a:ext uri="{FF2B5EF4-FFF2-40B4-BE49-F238E27FC236}">
              <a16:creationId xmlns:a16="http://schemas.microsoft.com/office/drawing/2014/main" id="{00000000-0008-0000-0300-0000AD0B0000}"/>
            </a:ext>
          </a:extLst>
        </xdr:cNvPr>
        <xdr:cNvGrpSpPr>
          <a:grpSpLocks/>
        </xdr:cNvGrpSpPr>
      </xdr:nvGrpSpPr>
      <xdr:grpSpPr bwMode="auto">
        <a:xfrm>
          <a:off x="10775156" y="8251031"/>
          <a:ext cx="312963" cy="270443"/>
          <a:chOff x="5475762" y="47760700"/>
          <a:chExt cx="314325" cy="230209"/>
        </a:xfrm>
      </xdr:grpSpPr>
      <xdr:cxnSp macro="">
        <xdr:nvCxnSpPr>
          <xdr:cNvPr id="2990" name="Straight Connector 2989">
            <a:extLst>
              <a:ext uri="{FF2B5EF4-FFF2-40B4-BE49-F238E27FC236}">
                <a16:creationId xmlns:a16="http://schemas.microsoft.com/office/drawing/2014/main" id="{00000000-0008-0000-0300-0000AE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1" name="Straight Connector 529">
            <a:extLst>
              <a:ext uri="{FF2B5EF4-FFF2-40B4-BE49-F238E27FC236}">
                <a16:creationId xmlns:a16="http://schemas.microsoft.com/office/drawing/2014/main" id="{00000000-0008-0000-0300-0000AF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1">
            <a:extLst>
              <a:ext uri="{FF2B5EF4-FFF2-40B4-BE49-F238E27FC236}">
                <a16:creationId xmlns:a16="http://schemas.microsoft.com/office/drawing/2014/main" id="{00000000-0008-0000-0300-0000B0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3">
            <a:extLst>
              <a:ext uri="{FF2B5EF4-FFF2-40B4-BE49-F238E27FC236}">
                <a16:creationId xmlns:a16="http://schemas.microsoft.com/office/drawing/2014/main" id="{00000000-0008-0000-0300-0000B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4" name="Straight Connector 535">
            <a:extLst>
              <a:ext uri="{FF2B5EF4-FFF2-40B4-BE49-F238E27FC236}">
                <a16:creationId xmlns:a16="http://schemas.microsoft.com/office/drawing/2014/main" id="{00000000-0008-0000-0300-0000B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5" name="Straight Connector 537">
            <a:extLst>
              <a:ext uri="{FF2B5EF4-FFF2-40B4-BE49-F238E27FC236}">
                <a16:creationId xmlns:a16="http://schemas.microsoft.com/office/drawing/2014/main" id="{00000000-0008-0000-0300-0000B3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33</xdr:row>
      <xdr:rowOff>0</xdr:rowOff>
    </xdr:from>
    <xdr:to>
      <xdr:col>18</xdr:col>
      <xdr:colOff>312963</xdr:colOff>
      <xdr:row>34</xdr:row>
      <xdr:rowOff>68036</xdr:rowOff>
    </xdr:to>
    <xdr:grpSp>
      <xdr:nvGrpSpPr>
        <xdr:cNvPr id="2996" name="Group 1008">
          <a:extLst>
            <a:ext uri="{FF2B5EF4-FFF2-40B4-BE49-F238E27FC236}">
              <a16:creationId xmlns:a16="http://schemas.microsoft.com/office/drawing/2014/main" id="{00000000-0008-0000-0300-0000B40B0000}"/>
            </a:ext>
          </a:extLst>
        </xdr:cNvPr>
        <xdr:cNvGrpSpPr>
          <a:grpSpLocks/>
        </xdr:cNvGrpSpPr>
      </xdr:nvGrpSpPr>
      <xdr:grpSpPr bwMode="auto">
        <a:xfrm>
          <a:off x="12108656" y="8251031"/>
          <a:ext cx="312963" cy="270443"/>
          <a:chOff x="5475762" y="47760700"/>
          <a:chExt cx="314325" cy="230209"/>
        </a:xfrm>
      </xdr:grpSpPr>
      <xdr:cxnSp macro="">
        <xdr:nvCxnSpPr>
          <xdr:cNvPr id="2997" name="Straight Connector 2996">
            <a:extLst>
              <a:ext uri="{FF2B5EF4-FFF2-40B4-BE49-F238E27FC236}">
                <a16:creationId xmlns:a16="http://schemas.microsoft.com/office/drawing/2014/main" id="{00000000-0008-0000-0300-0000B5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8" name="Straight Connector 529">
            <a:extLst>
              <a:ext uri="{FF2B5EF4-FFF2-40B4-BE49-F238E27FC236}">
                <a16:creationId xmlns:a16="http://schemas.microsoft.com/office/drawing/2014/main" id="{00000000-0008-0000-0300-0000B6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1">
            <a:extLst>
              <a:ext uri="{FF2B5EF4-FFF2-40B4-BE49-F238E27FC236}">
                <a16:creationId xmlns:a16="http://schemas.microsoft.com/office/drawing/2014/main" id="{00000000-0008-0000-0300-0000B7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3">
            <a:extLst>
              <a:ext uri="{FF2B5EF4-FFF2-40B4-BE49-F238E27FC236}">
                <a16:creationId xmlns:a16="http://schemas.microsoft.com/office/drawing/2014/main" id="{00000000-0008-0000-0300-0000B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1" name="Straight Connector 535">
            <a:extLst>
              <a:ext uri="{FF2B5EF4-FFF2-40B4-BE49-F238E27FC236}">
                <a16:creationId xmlns:a16="http://schemas.microsoft.com/office/drawing/2014/main" id="{00000000-0008-0000-0300-0000B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2" name="Straight Connector 537">
            <a:extLst>
              <a:ext uri="{FF2B5EF4-FFF2-40B4-BE49-F238E27FC236}">
                <a16:creationId xmlns:a16="http://schemas.microsoft.com/office/drawing/2014/main" id="{00000000-0008-0000-0300-0000BA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181</xdr:row>
      <xdr:rowOff>0</xdr:rowOff>
    </xdr:from>
    <xdr:to>
      <xdr:col>16</xdr:col>
      <xdr:colOff>312963</xdr:colOff>
      <xdr:row>182</xdr:row>
      <xdr:rowOff>68036</xdr:rowOff>
    </xdr:to>
    <xdr:grpSp>
      <xdr:nvGrpSpPr>
        <xdr:cNvPr id="3003" name="Group 1008">
          <a:extLst>
            <a:ext uri="{FF2B5EF4-FFF2-40B4-BE49-F238E27FC236}">
              <a16:creationId xmlns:a16="http://schemas.microsoft.com/office/drawing/2014/main" id="{00000000-0008-0000-0300-0000BB0B0000}"/>
            </a:ext>
          </a:extLst>
        </xdr:cNvPr>
        <xdr:cNvGrpSpPr>
          <a:grpSpLocks/>
        </xdr:cNvGrpSpPr>
      </xdr:nvGrpSpPr>
      <xdr:grpSpPr bwMode="auto">
        <a:xfrm>
          <a:off x="10775156" y="38969156"/>
          <a:ext cx="312963" cy="270443"/>
          <a:chOff x="5475762" y="47760700"/>
          <a:chExt cx="314325" cy="230209"/>
        </a:xfrm>
      </xdr:grpSpPr>
      <xdr:cxnSp macro="">
        <xdr:nvCxnSpPr>
          <xdr:cNvPr id="3004" name="Straight Connector 3003">
            <a:extLst>
              <a:ext uri="{FF2B5EF4-FFF2-40B4-BE49-F238E27FC236}">
                <a16:creationId xmlns:a16="http://schemas.microsoft.com/office/drawing/2014/main" id="{00000000-0008-0000-0300-0000BC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5" name="Straight Connector 529">
            <a:extLst>
              <a:ext uri="{FF2B5EF4-FFF2-40B4-BE49-F238E27FC236}">
                <a16:creationId xmlns:a16="http://schemas.microsoft.com/office/drawing/2014/main" id="{00000000-0008-0000-0300-0000BD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1">
            <a:extLst>
              <a:ext uri="{FF2B5EF4-FFF2-40B4-BE49-F238E27FC236}">
                <a16:creationId xmlns:a16="http://schemas.microsoft.com/office/drawing/2014/main" id="{00000000-0008-0000-0300-0000BE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3">
            <a:extLst>
              <a:ext uri="{FF2B5EF4-FFF2-40B4-BE49-F238E27FC236}">
                <a16:creationId xmlns:a16="http://schemas.microsoft.com/office/drawing/2014/main" id="{00000000-0008-0000-0300-0000B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8" name="Straight Connector 535">
            <a:extLst>
              <a:ext uri="{FF2B5EF4-FFF2-40B4-BE49-F238E27FC236}">
                <a16:creationId xmlns:a16="http://schemas.microsoft.com/office/drawing/2014/main" id="{00000000-0008-0000-0300-0000C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9" name="Straight Connector 537">
            <a:extLst>
              <a:ext uri="{FF2B5EF4-FFF2-40B4-BE49-F238E27FC236}">
                <a16:creationId xmlns:a16="http://schemas.microsoft.com/office/drawing/2014/main" id="{00000000-0008-0000-0300-0000C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188</xdr:row>
      <xdr:rowOff>0</xdr:rowOff>
    </xdr:from>
    <xdr:to>
      <xdr:col>20</xdr:col>
      <xdr:colOff>312963</xdr:colOff>
      <xdr:row>189</xdr:row>
      <xdr:rowOff>68037</xdr:rowOff>
    </xdr:to>
    <xdr:grpSp>
      <xdr:nvGrpSpPr>
        <xdr:cNvPr id="3010" name="Group 1008">
          <a:extLst>
            <a:ext uri="{FF2B5EF4-FFF2-40B4-BE49-F238E27FC236}">
              <a16:creationId xmlns:a16="http://schemas.microsoft.com/office/drawing/2014/main" id="{00000000-0008-0000-0300-0000C20B0000}"/>
            </a:ext>
          </a:extLst>
        </xdr:cNvPr>
        <xdr:cNvGrpSpPr>
          <a:grpSpLocks/>
        </xdr:cNvGrpSpPr>
      </xdr:nvGrpSpPr>
      <xdr:grpSpPr bwMode="auto">
        <a:xfrm>
          <a:off x="13251656" y="40421719"/>
          <a:ext cx="312963" cy="270443"/>
          <a:chOff x="5475762" y="47760700"/>
          <a:chExt cx="314325" cy="230209"/>
        </a:xfrm>
      </xdr:grpSpPr>
      <xdr:cxnSp macro="">
        <xdr:nvCxnSpPr>
          <xdr:cNvPr id="3011" name="Straight Connector 3010">
            <a:extLst>
              <a:ext uri="{FF2B5EF4-FFF2-40B4-BE49-F238E27FC236}">
                <a16:creationId xmlns:a16="http://schemas.microsoft.com/office/drawing/2014/main" id="{00000000-0008-0000-0300-0000C3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12" name="Straight Connector 529">
            <a:extLst>
              <a:ext uri="{FF2B5EF4-FFF2-40B4-BE49-F238E27FC236}">
                <a16:creationId xmlns:a16="http://schemas.microsoft.com/office/drawing/2014/main" id="{00000000-0008-0000-0300-0000C4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3" name="Straight Connector 531">
            <a:extLst>
              <a:ext uri="{FF2B5EF4-FFF2-40B4-BE49-F238E27FC236}">
                <a16:creationId xmlns:a16="http://schemas.microsoft.com/office/drawing/2014/main" id="{00000000-0008-0000-0300-0000C5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4" name="Straight Connector 533">
            <a:extLst>
              <a:ext uri="{FF2B5EF4-FFF2-40B4-BE49-F238E27FC236}">
                <a16:creationId xmlns:a16="http://schemas.microsoft.com/office/drawing/2014/main" id="{00000000-0008-0000-0300-0000C6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5" name="Straight Connector 535">
            <a:extLst>
              <a:ext uri="{FF2B5EF4-FFF2-40B4-BE49-F238E27FC236}">
                <a16:creationId xmlns:a16="http://schemas.microsoft.com/office/drawing/2014/main" id="{00000000-0008-0000-0300-0000C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6" name="Straight Connector 537">
            <a:extLst>
              <a:ext uri="{FF2B5EF4-FFF2-40B4-BE49-F238E27FC236}">
                <a16:creationId xmlns:a16="http://schemas.microsoft.com/office/drawing/2014/main" id="{00000000-0008-0000-0300-0000C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19</xdr:col>
      <xdr:colOff>326572</xdr:colOff>
      <xdr:row>141</xdr:row>
      <xdr:rowOff>190500</xdr:rowOff>
    </xdr:from>
    <xdr:to>
      <xdr:col>21</xdr:col>
      <xdr:colOff>408215</xdr:colOff>
      <xdr:row>142</xdr:row>
      <xdr:rowOff>149679</xdr:rowOff>
    </xdr:to>
    <xdr:sp macro="" textlink="">
      <xdr:nvSpPr>
        <xdr:cNvPr id="301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117286" y="30371143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367393</xdr:colOff>
      <xdr:row>142</xdr:row>
      <xdr:rowOff>13607</xdr:rowOff>
    </xdr:from>
    <xdr:to>
      <xdr:col>23</xdr:col>
      <xdr:colOff>367393</xdr:colOff>
      <xdr:row>142</xdr:row>
      <xdr:rowOff>176893</xdr:rowOff>
    </xdr:to>
    <xdr:sp macro="" textlink="">
      <xdr:nvSpPr>
        <xdr:cNvPr id="301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409964" y="30398357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340179</xdr:colOff>
      <xdr:row>142</xdr:row>
      <xdr:rowOff>40820</xdr:rowOff>
    </xdr:from>
    <xdr:to>
      <xdr:col>25</xdr:col>
      <xdr:colOff>40822</xdr:colOff>
      <xdr:row>142</xdr:row>
      <xdr:rowOff>190499</xdr:rowOff>
    </xdr:to>
    <xdr:sp macro="" textlink="">
      <xdr:nvSpPr>
        <xdr:cNvPr id="301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716250" y="30425570"/>
          <a:ext cx="1034143" cy="14967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489857</xdr:colOff>
      <xdr:row>149</xdr:row>
      <xdr:rowOff>0</xdr:rowOff>
    </xdr:from>
    <xdr:to>
      <xdr:col>3</xdr:col>
      <xdr:colOff>272142</xdr:colOff>
      <xdr:row>149</xdr:row>
      <xdr:rowOff>163286</xdr:rowOff>
    </xdr:to>
    <xdr:sp macro="" textlink="">
      <xdr:nvSpPr>
        <xdr:cNvPr id="302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88571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367393</xdr:colOff>
      <xdr:row>148</xdr:row>
      <xdr:rowOff>190500</xdr:rowOff>
    </xdr:from>
    <xdr:to>
      <xdr:col>5</xdr:col>
      <xdr:colOff>353786</xdr:colOff>
      <xdr:row>149</xdr:row>
      <xdr:rowOff>149679</xdr:rowOff>
    </xdr:to>
    <xdr:sp macro="" textlink="">
      <xdr:nvSpPr>
        <xdr:cNvPr id="302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17322" y="31799893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394607</xdr:colOff>
      <xdr:row>149</xdr:row>
      <xdr:rowOff>0</xdr:rowOff>
    </xdr:from>
    <xdr:to>
      <xdr:col>7</xdr:col>
      <xdr:colOff>408214</xdr:colOff>
      <xdr:row>149</xdr:row>
      <xdr:rowOff>163286</xdr:rowOff>
    </xdr:to>
    <xdr:sp macro="" textlink="">
      <xdr:nvSpPr>
        <xdr:cNvPr id="302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91643" y="31813500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408214</xdr:colOff>
      <xdr:row>149</xdr:row>
      <xdr:rowOff>27214</xdr:rowOff>
    </xdr:from>
    <xdr:to>
      <xdr:col>9</xdr:col>
      <xdr:colOff>394607</xdr:colOff>
      <xdr:row>149</xdr:row>
      <xdr:rowOff>190500</xdr:rowOff>
    </xdr:to>
    <xdr:sp macro="" textlink="">
      <xdr:nvSpPr>
        <xdr:cNvPr id="302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25143" y="31840714"/>
          <a:ext cx="1333500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167</xdr:row>
      <xdr:rowOff>0</xdr:rowOff>
    </xdr:from>
    <xdr:to>
      <xdr:col>6</xdr:col>
      <xdr:colOff>312963</xdr:colOff>
      <xdr:row>168</xdr:row>
      <xdr:rowOff>68037</xdr:rowOff>
    </xdr:to>
    <xdr:grpSp>
      <xdr:nvGrpSpPr>
        <xdr:cNvPr id="3030" name="Group 1008">
          <a:extLst>
            <a:ext uri="{FF2B5EF4-FFF2-40B4-BE49-F238E27FC236}">
              <a16:creationId xmlns:a16="http://schemas.microsoft.com/office/drawing/2014/main" id="{00000000-0008-0000-0300-0000D60B0000}"/>
            </a:ext>
          </a:extLst>
        </xdr:cNvPr>
        <xdr:cNvGrpSpPr>
          <a:grpSpLocks/>
        </xdr:cNvGrpSpPr>
      </xdr:nvGrpSpPr>
      <xdr:grpSpPr bwMode="auto">
        <a:xfrm>
          <a:off x="4179094" y="36064031"/>
          <a:ext cx="312963" cy="270444"/>
          <a:chOff x="5475762" y="47760700"/>
          <a:chExt cx="314325" cy="230209"/>
        </a:xfrm>
      </xdr:grpSpPr>
      <xdr:cxnSp macro="">
        <xdr:nvCxnSpPr>
          <xdr:cNvPr id="3031" name="Straight Connector 3030">
            <a:extLst>
              <a:ext uri="{FF2B5EF4-FFF2-40B4-BE49-F238E27FC236}">
                <a16:creationId xmlns:a16="http://schemas.microsoft.com/office/drawing/2014/main" id="{00000000-0008-0000-0300-0000D7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32" name="Straight Connector 529">
            <a:extLst>
              <a:ext uri="{FF2B5EF4-FFF2-40B4-BE49-F238E27FC236}">
                <a16:creationId xmlns:a16="http://schemas.microsoft.com/office/drawing/2014/main" id="{00000000-0008-0000-0300-0000D8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3" name="Straight Connector 531">
            <a:extLst>
              <a:ext uri="{FF2B5EF4-FFF2-40B4-BE49-F238E27FC236}">
                <a16:creationId xmlns:a16="http://schemas.microsoft.com/office/drawing/2014/main" id="{00000000-0008-0000-0300-0000D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4" name="Straight Connector 533">
            <a:extLst>
              <a:ext uri="{FF2B5EF4-FFF2-40B4-BE49-F238E27FC236}">
                <a16:creationId xmlns:a16="http://schemas.microsoft.com/office/drawing/2014/main" id="{00000000-0008-0000-0300-0000D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5" name="Straight Connector 535">
            <a:extLst>
              <a:ext uri="{FF2B5EF4-FFF2-40B4-BE49-F238E27FC236}">
                <a16:creationId xmlns:a16="http://schemas.microsoft.com/office/drawing/2014/main" id="{00000000-0008-0000-0300-0000DB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6" name="Straight Connector 537">
            <a:extLst>
              <a:ext uri="{FF2B5EF4-FFF2-40B4-BE49-F238E27FC236}">
                <a16:creationId xmlns:a16="http://schemas.microsoft.com/office/drawing/2014/main" id="{00000000-0008-0000-0300-0000DC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139</xdr:row>
      <xdr:rowOff>0</xdr:rowOff>
    </xdr:from>
    <xdr:to>
      <xdr:col>10</xdr:col>
      <xdr:colOff>312963</xdr:colOff>
      <xdr:row>140</xdr:row>
      <xdr:rowOff>68036</xdr:rowOff>
    </xdr:to>
    <xdr:grpSp>
      <xdr:nvGrpSpPr>
        <xdr:cNvPr id="3038" name="Group 1008">
          <a:extLst>
            <a:ext uri="{FF2B5EF4-FFF2-40B4-BE49-F238E27FC236}">
              <a16:creationId xmlns:a16="http://schemas.microsoft.com/office/drawing/2014/main" id="{00000000-0008-0000-0300-0000DE0B0000}"/>
            </a:ext>
          </a:extLst>
        </xdr:cNvPr>
        <xdr:cNvGrpSpPr>
          <a:grpSpLocks/>
        </xdr:cNvGrpSpPr>
      </xdr:nvGrpSpPr>
      <xdr:grpSpPr bwMode="auto">
        <a:xfrm>
          <a:off x="6929438" y="30253781"/>
          <a:ext cx="312963" cy="270443"/>
          <a:chOff x="5475762" y="47760700"/>
          <a:chExt cx="314325" cy="230209"/>
        </a:xfrm>
      </xdr:grpSpPr>
      <xdr:cxnSp macro="">
        <xdr:nvCxnSpPr>
          <xdr:cNvPr id="3039" name="Straight Connector 3038">
            <a:extLst>
              <a:ext uri="{FF2B5EF4-FFF2-40B4-BE49-F238E27FC236}">
                <a16:creationId xmlns:a16="http://schemas.microsoft.com/office/drawing/2014/main" id="{00000000-0008-0000-0300-0000DF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00000000-0008-0000-0300-0000E0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1" name="Straight Connector 531">
            <a:extLst>
              <a:ext uri="{FF2B5EF4-FFF2-40B4-BE49-F238E27FC236}">
                <a16:creationId xmlns:a16="http://schemas.microsoft.com/office/drawing/2014/main" id="{00000000-0008-0000-0300-0000E1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2" name="Straight Connector 533">
            <a:extLst>
              <a:ext uri="{FF2B5EF4-FFF2-40B4-BE49-F238E27FC236}">
                <a16:creationId xmlns:a16="http://schemas.microsoft.com/office/drawing/2014/main" id="{00000000-0008-0000-0300-0000E2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5">
            <a:extLst>
              <a:ext uri="{FF2B5EF4-FFF2-40B4-BE49-F238E27FC236}">
                <a16:creationId xmlns:a16="http://schemas.microsoft.com/office/drawing/2014/main" id="{00000000-0008-0000-0300-0000E3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4" name="Straight Connector 537">
            <a:extLst>
              <a:ext uri="{FF2B5EF4-FFF2-40B4-BE49-F238E27FC236}">
                <a16:creationId xmlns:a16="http://schemas.microsoft.com/office/drawing/2014/main" id="{00000000-0008-0000-0300-0000E4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26</xdr:row>
      <xdr:rowOff>0</xdr:rowOff>
    </xdr:from>
    <xdr:to>
      <xdr:col>6</xdr:col>
      <xdr:colOff>312963</xdr:colOff>
      <xdr:row>27</xdr:row>
      <xdr:rowOff>68035</xdr:rowOff>
    </xdr:to>
    <xdr:grpSp>
      <xdr:nvGrpSpPr>
        <xdr:cNvPr id="3045" name="Group 1008">
          <a:extLst>
            <a:ext uri="{FF2B5EF4-FFF2-40B4-BE49-F238E27FC236}">
              <a16:creationId xmlns:a16="http://schemas.microsoft.com/office/drawing/2014/main" id="{00000000-0008-0000-0300-0000E50B0000}"/>
            </a:ext>
          </a:extLst>
        </xdr:cNvPr>
        <xdr:cNvGrpSpPr>
          <a:grpSpLocks/>
        </xdr:cNvGrpSpPr>
      </xdr:nvGrpSpPr>
      <xdr:grpSpPr bwMode="auto">
        <a:xfrm>
          <a:off x="4179094" y="6798469"/>
          <a:ext cx="312963" cy="270441"/>
          <a:chOff x="5475762" y="47760700"/>
          <a:chExt cx="314325" cy="230209"/>
        </a:xfrm>
      </xdr:grpSpPr>
      <xdr:cxnSp macro="">
        <xdr:nvCxnSpPr>
          <xdr:cNvPr id="3046" name="Straight Connector 3045">
            <a:extLst>
              <a:ext uri="{FF2B5EF4-FFF2-40B4-BE49-F238E27FC236}">
                <a16:creationId xmlns:a16="http://schemas.microsoft.com/office/drawing/2014/main" id="{00000000-0008-0000-0300-0000E6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7" name="Straight Connector 529">
            <a:extLst>
              <a:ext uri="{FF2B5EF4-FFF2-40B4-BE49-F238E27FC236}">
                <a16:creationId xmlns:a16="http://schemas.microsoft.com/office/drawing/2014/main" id="{00000000-0008-0000-0300-0000E7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8" name="Straight Connector 531">
            <a:extLst>
              <a:ext uri="{FF2B5EF4-FFF2-40B4-BE49-F238E27FC236}">
                <a16:creationId xmlns:a16="http://schemas.microsoft.com/office/drawing/2014/main" id="{00000000-0008-0000-0300-0000E8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9" name="Straight Connector 533">
            <a:extLst>
              <a:ext uri="{FF2B5EF4-FFF2-40B4-BE49-F238E27FC236}">
                <a16:creationId xmlns:a16="http://schemas.microsoft.com/office/drawing/2014/main" id="{00000000-0008-0000-0300-0000E9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0" name="Straight Connector 535">
            <a:extLst>
              <a:ext uri="{FF2B5EF4-FFF2-40B4-BE49-F238E27FC236}">
                <a16:creationId xmlns:a16="http://schemas.microsoft.com/office/drawing/2014/main" id="{00000000-0008-0000-0300-0000EA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1" name="Straight Connector 537">
            <a:extLst>
              <a:ext uri="{FF2B5EF4-FFF2-40B4-BE49-F238E27FC236}">
                <a16:creationId xmlns:a16="http://schemas.microsoft.com/office/drawing/2014/main" id="{00000000-0008-0000-0300-0000EB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4082</xdr:colOff>
      <xdr:row>20</xdr:row>
      <xdr:rowOff>8164</xdr:rowOff>
    </xdr:from>
    <xdr:to>
      <xdr:col>10</xdr:col>
      <xdr:colOff>317045</xdr:colOff>
      <xdr:row>21</xdr:row>
      <xdr:rowOff>89807</xdr:rowOff>
    </xdr:to>
    <xdr:grpSp>
      <xdr:nvGrpSpPr>
        <xdr:cNvPr id="3052" name="Group 1008">
          <a:extLst>
            <a:ext uri="{FF2B5EF4-FFF2-40B4-BE49-F238E27FC236}">
              <a16:creationId xmlns:a16="http://schemas.microsoft.com/office/drawing/2014/main" id="{00000000-0008-0000-0300-0000EC0B0000}"/>
            </a:ext>
          </a:extLst>
        </xdr:cNvPr>
        <xdr:cNvGrpSpPr>
          <a:grpSpLocks/>
        </xdr:cNvGrpSpPr>
      </xdr:nvGrpSpPr>
      <xdr:grpSpPr bwMode="auto">
        <a:xfrm>
          <a:off x="6933520" y="5568383"/>
          <a:ext cx="312963" cy="272143"/>
          <a:chOff x="5475762" y="47760700"/>
          <a:chExt cx="314325" cy="230209"/>
        </a:xfrm>
      </xdr:grpSpPr>
      <xdr:cxnSp macro="">
        <xdr:nvCxnSpPr>
          <xdr:cNvPr id="3053" name="Straight Connector 3052">
            <a:extLst>
              <a:ext uri="{FF2B5EF4-FFF2-40B4-BE49-F238E27FC236}">
                <a16:creationId xmlns:a16="http://schemas.microsoft.com/office/drawing/2014/main" id="{00000000-0008-0000-0300-0000ED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54" name="Straight Connector 529">
            <a:extLst>
              <a:ext uri="{FF2B5EF4-FFF2-40B4-BE49-F238E27FC236}">
                <a16:creationId xmlns:a16="http://schemas.microsoft.com/office/drawing/2014/main" id="{00000000-0008-0000-0300-0000EE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5" name="Straight Connector 531">
            <a:extLst>
              <a:ext uri="{FF2B5EF4-FFF2-40B4-BE49-F238E27FC236}">
                <a16:creationId xmlns:a16="http://schemas.microsoft.com/office/drawing/2014/main" id="{00000000-0008-0000-0300-0000EF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6" name="Straight Connector 533">
            <a:extLst>
              <a:ext uri="{FF2B5EF4-FFF2-40B4-BE49-F238E27FC236}">
                <a16:creationId xmlns:a16="http://schemas.microsoft.com/office/drawing/2014/main" id="{00000000-0008-0000-0300-0000F0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7" name="Straight Connector 535">
            <a:extLst>
              <a:ext uri="{FF2B5EF4-FFF2-40B4-BE49-F238E27FC236}">
                <a16:creationId xmlns:a16="http://schemas.microsoft.com/office/drawing/2014/main" id="{00000000-0008-0000-0300-0000F1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58" name="Straight Connector 537">
            <a:extLst>
              <a:ext uri="{FF2B5EF4-FFF2-40B4-BE49-F238E27FC236}">
                <a16:creationId xmlns:a16="http://schemas.microsoft.com/office/drawing/2014/main" id="{00000000-0008-0000-0300-0000F2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26</xdr:row>
      <xdr:rowOff>0</xdr:rowOff>
    </xdr:from>
    <xdr:to>
      <xdr:col>14</xdr:col>
      <xdr:colOff>312963</xdr:colOff>
      <xdr:row>27</xdr:row>
      <xdr:rowOff>68035</xdr:rowOff>
    </xdr:to>
    <xdr:grpSp>
      <xdr:nvGrpSpPr>
        <xdr:cNvPr id="3059" name="Group 1008">
          <a:extLst>
            <a:ext uri="{FF2B5EF4-FFF2-40B4-BE49-F238E27FC236}">
              <a16:creationId xmlns:a16="http://schemas.microsoft.com/office/drawing/2014/main" id="{00000000-0008-0000-0300-0000F30B0000}"/>
            </a:ext>
          </a:extLst>
        </xdr:cNvPr>
        <xdr:cNvGrpSpPr>
          <a:grpSpLocks/>
        </xdr:cNvGrpSpPr>
      </xdr:nvGrpSpPr>
      <xdr:grpSpPr bwMode="auto">
        <a:xfrm>
          <a:off x="9489281" y="6798469"/>
          <a:ext cx="312963" cy="270441"/>
          <a:chOff x="5475762" y="47760700"/>
          <a:chExt cx="314325" cy="230209"/>
        </a:xfrm>
      </xdr:grpSpPr>
      <xdr:cxnSp macro="">
        <xdr:nvCxnSpPr>
          <xdr:cNvPr id="3060" name="Straight Connector 3059">
            <a:extLst>
              <a:ext uri="{FF2B5EF4-FFF2-40B4-BE49-F238E27FC236}">
                <a16:creationId xmlns:a16="http://schemas.microsoft.com/office/drawing/2014/main" id="{00000000-0008-0000-0300-0000F4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1" name="Straight Connector 529">
            <a:extLst>
              <a:ext uri="{FF2B5EF4-FFF2-40B4-BE49-F238E27FC236}">
                <a16:creationId xmlns:a16="http://schemas.microsoft.com/office/drawing/2014/main" id="{00000000-0008-0000-0300-0000F5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2" name="Straight Connector 531">
            <a:extLst>
              <a:ext uri="{FF2B5EF4-FFF2-40B4-BE49-F238E27FC236}">
                <a16:creationId xmlns:a16="http://schemas.microsoft.com/office/drawing/2014/main" id="{00000000-0008-0000-0300-0000F6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3" name="Straight Connector 533">
            <a:extLst>
              <a:ext uri="{FF2B5EF4-FFF2-40B4-BE49-F238E27FC236}">
                <a16:creationId xmlns:a16="http://schemas.microsoft.com/office/drawing/2014/main" id="{00000000-0008-0000-0300-0000F7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4" name="Straight Connector 535">
            <a:extLst>
              <a:ext uri="{FF2B5EF4-FFF2-40B4-BE49-F238E27FC236}">
                <a16:creationId xmlns:a16="http://schemas.microsoft.com/office/drawing/2014/main" id="{00000000-0008-0000-0300-0000F8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5" name="Straight Connector 537">
            <a:extLst>
              <a:ext uri="{FF2B5EF4-FFF2-40B4-BE49-F238E27FC236}">
                <a16:creationId xmlns:a16="http://schemas.microsoft.com/office/drawing/2014/main" id="{00000000-0008-0000-0300-0000F9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54</xdr:row>
      <xdr:rowOff>0</xdr:rowOff>
    </xdr:from>
    <xdr:to>
      <xdr:col>6</xdr:col>
      <xdr:colOff>312963</xdr:colOff>
      <xdr:row>55</xdr:row>
      <xdr:rowOff>68035</xdr:rowOff>
    </xdr:to>
    <xdr:grpSp>
      <xdr:nvGrpSpPr>
        <xdr:cNvPr id="3066" name="Group 1008">
          <a:extLst>
            <a:ext uri="{FF2B5EF4-FFF2-40B4-BE49-F238E27FC236}">
              <a16:creationId xmlns:a16="http://schemas.microsoft.com/office/drawing/2014/main" id="{00000000-0008-0000-0300-0000FA0B0000}"/>
            </a:ext>
          </a:extLst>
        </xdr:cNvPr>
        <xdr:cNvGrpSpPr>
          <a:grpSpLocks/>
        </xdr:cNvGrpSpPr>
      </xdr:nvGrpSpPr>
      <xdr:grpSpPr bwMode="auto">
        <a:xfrm>
          <a:off x="4179094" y="12608719"/>
          <a:ext cx="312963" cy="270441"/>
          <a:chOff x="5475762" y="47760700"/>
          <a:chExt cx="314325" cy="230209"/>
        </a:xfrm>
      </xdr:grpSpPr>
      <xdr:cxnSp macro="">
        <xdr:nvCxnSpPr>
          <xdr:cNvPr id="3067" name="Straight Connector 3066">
            <a:extLst>
              <a:ext uri="{FF2B5EF4-FFF2-40B4-BE49-F238E27FC236}">
                <a16:creationId xmlns:a16="http://schemas.microsoft.com/office/drawing/2014/main" id="{00000000-0008-0000-0300-0000FB0B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8" name="Straight Connector 529">
            <a:extLst>
              <a:ext uri="{FF2B5EF4-FFF2-40B4-BE49-F238E27FC236}">
                <a16:creationId xmlns:a16="http://schemas.microsoft.com/office/drawing/2014/main" id="{00000000-0008-0000-0300-0000FC0B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69" name="Straight Connector 531">
            <a:extLst>
              <a:ext uri="{FF2B5EF4-FFF2-40B4-BE49-F238E27FC236}">
                <a16:creationId xmlns:a16="http://schemas.microsoft.com/office/drawing/2014/main" id="{00000000-0008-0000-0300-0000FD0B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0" name="Straight Connector 533">
            <a:extLst>
              <a:ext uri="{FF2B5EF4-FFF2-40B4-BE49-F238E27FC236}">
                <a16:creationId xmlns:a16="http://schemas.microsoft.com/office/drawing/2014/main" id="{00000000-0008-0000-0300-0000FE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1" name="Straight Connector 535">
            <a:extLst>
              <a:ext uri="{FF2B5EF4-FFF2-40B4-BE49-F238E27FC236}">
                <a16:creationId xmlns:a16="http://schemas.microsoft.com/office/drawing/2014/main" id="{00000000-0008-0000-0300-0000FF0B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2" name="Straight Connector 537">
            <a:extLst>
              <a:ext uri="{FF2B5EF4-FFF2-40B4-BE49-F238E27FC236}">
                <a16:creationId xmlns:a16="http://schemas.microsoft.com/office/drawing/2014/main" id="{00000000-0008-0000-0300-00000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26</xdr:row>
      <xdr:rowOff>0</xdr:rowOff>
    </xdr:from>
    <xdr:to>
      <xdr:col>4</xdr:col>
      <xdr:colOff>312963</xdr:colOff>
      <xdr:row>27</xdr:row>
      <xdr:rowOff>68035</xdr:rowOff>
    </xdr:to>
    <xdr:grpSp>
      <xdr:nvGrpSpPr>
        <xdr:cNvPr id="3073" name="Group 1008">
          <a:extLst>
            <a:ext uri="{FF2B5EF4-FFF2-40B4-BE49-F238E27FC236}">
              <a16:creationId xmlns:a16="http://schemas.microsoft.com/office/drawing/2014/main" id="{00000000-0008-0000-0300-0000010C0000}"/>
            </a:ext>
          </a:extLst>
        </xdr:cNvPr>
        <xdr:cNvGrpSpPr>
          <a:grpSpLocks/>
        </xdr:cNvGrpSpPr>
      </xdr:nvGrpSpPr>
      <xdr:grpSpPr bwMode="auto">
        <a:xfrm>
          <a:off x="2809875" y="6798469"/>
          <a:ext cx="312963" cy="270441"/>
          <a:chOff x="5475762" y="47760700"/>
          <a:chExt cx="314325" cy="230209"/>
        </a:xfrm>
      </xdr:grpSpPr>
      <xdr:cxnSp macro="">
        <xdr:nvCxnSpPr>
          <xdr:cNvPr id="3074" name="Straight Connector 3073">
            <a:extLst>
              <a:ext uri="{FF2B5EF4-FFF2-40B4-BE49-F238E27FC236}">
                <a16:creationId xmlns:a16="http://schemas.microsoft.com/office/drawing/2014/main" id="{00000000-0008-0000-0300-000002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75" name="Straight Connector 529">
            <a:extLst>
              <a:ext uri="{FF2B5EF4-FFF2-40B4-BE49-F238E27FC236}">
                <a16:creationId xmlns:a16="http://schemas.microsoft.com/office/drawing/2014/main" id="{00000000-0008-0000-0300-000003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6" name="Straight Connector 531">
            <a:extLst>
              <a:ext uri="{FF2B5EF4-FFF2-40B4-BE49-F238E27FC236}">
                <a16:creationId xmlns:a16="http://schemas.microsoft.com/office/drawing/2014/main" id="{00000000-0008-0000-0300-00000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7" name="Straight Connector 533">
            <a:extLst>
              <a:ext uri="{FF2B5EF4-FFF2-40B4-BE49-F238E27FC236}">
                <a16:creationId xmlns:a16="http://schemas.microsoft.com/office/drawing/2014/main" id="{00000000-0008-0000-0300-00000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8" name="Straight Connector 535">
            <a:extLst>
              <a:ext uri="{FF2B5EF4-FFF2-40B4-BE49-F238E27FC236}">
                <a16:creationId xmlns:a16="http://schemas.microsoft.com/office/drawing/2014/main" id="{00000000-0008-0000-0300-00000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9" name="Straight Connector 537">
            <a:extLst>
              <a:ext uri="{FF2B5EF4-FFF2-40B4-BE49-F238E27FC236}">
                <a16:creationId xmlns:a16="http://schemas.microsoft.com/office/drawing/2014/main" id="{00000000-0008-0000-0300-00000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26</xdr:row>
      <xdr:rowOff>0</xdr:rowOff>
    </xdr:from>
    <xdr:to>
      <xdr:col>8</xdr:col>
      <xdr:colOff>312963</xdr:colOff>
      <xdr:row>27</xdr:row>
      <xdr:rowOff>68035</xdr:rowOff>
    </xdr:to>
    <xdr:grpSp>
      <xdr:nvGrpSpPr>
        <xdr:cNvPr id="3080" name="Group 1008">
          <a:extLst>
            <a:ext uri="{FF2B5EF4-FFF2-40B4-BE49-F238E27FC236}">
              <a16:creationId xmlns:a16="http://schemas.microsoft.com/office/drawing/2014/main" id="{00000000-0008-0000-0300-0000080C0000}"/>
            </a:ext>
          </a:extLst>
        </xdr:cNvPr>
        <xdr:cNvGrpSpPr>
          <a:grpSpLocks/>
        </xdr:cNvGrpSpPr>
      </xdr:nvGrpSpPr>
      <xdr:grpSpPr bwMode="auto">
        <a:xfrm>
          <a:off x="5500688" y="6798469"/>
          <a:ext cx="312963" cy="270441"/>
          <a:chOff x="5475762" y="47760700"/>
          <a:chExt cx="314325" cy="230209"/>
        </a:xfrm>
      </xdr:grpSpPr>
      <xdr:cxnSp macro="">
        <xdr:nvCxnSpPr>
          <xdr:cNvPr id="3081" name="Straight Connector 3080">
            <a:extLst>
              <a:ext uri="{FF2B5EF4-FFF2-40B4-BE49-F238E27FC236}">
                <a16:creationId xmlns:a16="http://schemas.microsoft.com/office/drawing/2014/main" id="{00000000-0008-0000-0300-000009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82" name="Straight Connector 529">
            <a:extLst>
              <a:ext uri="{FF2B5EF4-FFF2-40B4-BE49-F238E27FC236}">
                <a16:creationId xmlns:a16="http://schemas.microsoft.com/office/drawing/2014/main" id="{00000000-0008-0000-0300-00000A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3" name="Straight Connector 531">
            <a:extLst>
              <a:ext uri="{FF2B5EF4-FFF2-40B4-BE49-F238E27FC236}">
                <a16:creationId xmlns:a16="http://schemas.microsoft.com/office/drawing/2014/main" id="{00000000-0008-0000-0300-00000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4" name="Straight Connector 533">
            <a:extLst>
              <a:ext uri="{FF2B5EF4-FFF2-40B4-BE49-F238E27FC236}">
                <a16:creationId xmlns:a16="http://schemas.microsoft.com/office/drawing/2014/main" id="{00000000-0008-0000-0300-00000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5" name="Straight Connector 535">
            <a:extLst>
              <a:ext uri="{FF2B5EF4-FFF2-40B4-BE49-F238E27FC236}">
                <a16:creationId xmlns:a16="http://schemas.microsoft.com/office/drawing/2014/main" id="{00000000-0008-0000-0300-00000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6" name="Straight Connector 537">
            <a:extLst>
              <a:ext uri="{FF2B5EF4-FFF2-40B4-BE49-F238E27FC236}">
                <a16:creationId xmlns:a16="http://schemas.microsoft.com/office/drawing/2014/main" id="{00000000-0008-0000-0300-00000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26</xdr:row>
      <xdr:rowOff>0</xdr:rowOff>
    </xdr:from>
    <xdr:to>
      <xdr:col>10</xdr:col>
      <xdr:colOff>312963</xdr:colOff>
      <xdr:row>27</xdr:row>
      <xdr:rowOff>68035</xdr:rowOff>
    </xdr:to>
    <xdr:grpSp>
      <xdr:nvGrpSpPr>
        <xdr:cNvPr id="3087" name="Group 1008">
          <a:extLst>
            <a:ext uri="{FF2B5EF4-FFF2-40B4-BE49-F238E27FC236}">
              <a16:creationId xmlns:a16="http://schemas.microsoft.com/office/drawing/2014/main" id="{00000000-0008-0000-0300-00000F0C0000}"/>
            </a:ext>
          </a:extLst>
        </xdr:cNvPr>
        <xdr:cNvGrpSpPr>
          <a:grpSpLocks/>
        </xdr:cNvGrpSpPr>
      </xdr:nvGrpSpPr>
      <xdr:grpSpPr bwMode="auto">
        <a:xfrm>
          <a:off x="6929438" y="6798469"/>
          <a:ext cx="312963" cy="270441"/>
          <a:chOff x="5475762" y="47760700"/>
          <a:chExt cx="314325" cy="230209"/>
        </a:xfrm>
      </xdr:grpSpPr>
      <xdr:cxnSp macro="">
        <xdr:nvCxnSpPr>
          <xdr:cNvPr id="3088" name="Straight Connector 3087">
            <a:extLst>
              <a:ext uri="{FF2B5EF4-FFF2-40B4-BE49-F238E27FC236}">
                <a16:creationId xmlns:a16="http://schemas.microsoft.com/office/drawing/2014/main" id="{00000000-0008-0000-0300-000010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89" name="Straight Connector 529">
            <a:extLst>
              <a:ext uri="{FF2B5EF4-FFF2-40B4-BE49-F238E27FC236}">
                <a16:creationId xmlns:a16="http://schemas.microsoft.com/office/drawing/2014/main" id="{00000000-0008-0000-0300-000011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0" name="Straight Connector 531">
            <a:extLst>
              <a:ext uri="{FF2B5EF4-FFF2-40B4-BE49-F238E27FC236}">
                <a16:creationId xmlns:a16="http://schemas.microsoft.com/office/drawing/2014/main" id="{00000000-0008-0000-0300-000012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1" name="Straight Connector 533">
            <a:extLst>
              <a:ext uri="{FF2B5EF4-FFF2-40B4-BE49-F238E27FC236}">
                <a16:creationId xmlns:a16="http://schemas.microsoft.com/office/drawing/2014/main" id="{00000000-0008-0000-0300-00001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2" name="Straight Connector 535">
            <a:extLst>
              <a:ext uri="{FF2B5EF4-FFF2-40B4-BE49-F238E27FC236}">
                <a16:creationId xmlns:a16="http://schemas.microsoft.com/office/drawing/2014/main" id="{00000000-0008-0000-0300-00001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3" name="Straight Connector 537">
            <a:extLst>
              <a:ext uri="{FF2B5EF4-FFF2-40B4-BE49-F238E27FC236}">
                <a16:creationId xmlns:a16="http://schemas.microsoft.com/office/drawing/2014/main" id="{00000000-0008-0000-0300-00001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188</xdr:row>
      <xdr:rowOff>0</xdr:rowOff>
    </xdr:from>
    <xdr:to>
      <xdr:col>18</xdr:col>
      <xdr:colOff>312963</xdr:colOff>
      <xdr:row>189</xdr:row>
      <xdr:rowOff>68036</xdr:rowOff>
    </xdr:to>
    <xdr:grpSp>
      <xdr:nvGrpSpPr>
        <xdr:cNvPr id="3094" name="Group 1008">
          <a:extLst>
            <a:ext uri="{FF2B5EF4-FFF2-40B4-BE49-F238E27FC236}">
              <a16:creationId xmlns:a16="http://schemas.microsoft.com/office/drawing/2014/main" id="{00000000-0008-0000-0300-0000160C0000}"/>
            </a:ext>
          </a:extLst>
        </xdr:cNvPr>
        <xdr:cNvGrpSpPr>
          <a:grpSpLocks/>
        </xdr:cNvGrpSpPr>
      </xdr:nvGrpSpPr>
      <xdr:grpSpPr bwMode="auto">
        <a:xfrm>
          <a:off x="12108656" y="40421719"/>
          <a:ext cx="312963" cy="270442"/>
          <a:chOff x="5475762" y="47760700"/>
          <a:chExt cx="314325" cy="230209"/>
        </a:xfrm>
      </xdr:grpSpPr>
      <xdr:cxnSp macro="">
        <xdr:nvCxnSpPr>
          <xdr:cNvPr id="3095" name="Straight Connector 3094">
            <a:extLst>
              <a:ext uri="{FF2B5EF4-FFF2-40B4-BE49-F238E27FC236}">
                <a16:creationId xmlns:a16="http://schemas.microsoft.com/office/drawing/2014/main" id="{00000000-0008-0000-0300-000017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96" name="Straight Connector 529">
            <a:extLst>
              <a:ext uri="{FF2B5EF4-FFF2-40B4-BE49-F238E27FC236}">
                <a16:creationId xmlns:a16="http://schemas.microsoft.com/office/drawing/2014/main" id="{00000000-0008-0000-0300-000018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7" name="Straight Connector 531">
            <a:extLst>
              <a:ext uri="{FF2B5EF4-FFF2-40B4-BE49-F238E27FC236}">
                <a16:creationId xmlns:a16="http://schemas.microsoft.com/office/drawing/2014/main" id="{00000000-0008-0000-0300-000019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8" name="Straight Connector 533">
            <a:extLst>
              <a:ext uri="{FF2B5EF4-FFF2-40B4-BE49-F238E27FC236}">
                <a16:creationId xmlns:a16="http://schemas.microsoft.com/office/drawing/2014/main" id="{00000000-0008-0000-0300-00001A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9" name="Straight Connector 535">
            <a:extLst>
              <a:ext uri="{FF2B5EF4-FFF2-40B4-BE49-F238E27FC236}">
                <a16:creationId xmlns:a16="http://schemas.microsoft.com/office/drawing/2014/main" id="{00000000-0008-0000-0300-00001B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0" name="Straight Connector 537">
            <a:extLst>
              <a:ext uri="{FF2B5EF4-FFF2-40B4-BE49-F238E27FC236}">
                <a16:creationId xmlns:a16="http://schemas.microsoft.com/office/drawing/2014/main" id="{00000000-0008-0000-0300-00001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20</xdr:row>
      <xdr:rowOff>0</xdr:rowOff>
    </xdr:from>
    <xdr:to>
      <xdr:col>8</xdr:col>
      <xdr:colOff>312963</xdr:colOff>
      <xdr:row>21</xdr:row>
      <xdr:rowOff>81643</xdr:rowOff>
    </xdr:to>
    <xdr:grpSp>
      <xdr:nvGrpSpPr>
        <xdr:cNvPr id="3101" name="Group 1008">
          <a:extLst>
            <a:ext uri="{FF2B5EF4-FFF2-40B4-BE49-F238E27FC236}">
              <a16:creationId xmlns:a16="http://schemas.microsoft.com/office/drawing/2014/main" id="{00000000-0008-0000-0300-00001D0C0000}"/>
            </a:ext>
          </a:extLst>
        </xdr:cNvPr>
        <xdr:cNvGrpSpPr>
          <a:grpSpLocks/>
        </xdr:cNvGrpSpPr>
      </xdr:nvGrpSpPr>
      <xdr:grpSpPr bwMode="auto">
        <a:xfrm>
          <a:off x="5500688" y="5560219"/>
          <a:ext cx="312963" cy="272143"/>
          <a:chOff x="5475762" y="47760700"/>
          <a:chExt cx="314325" cy="230209"/>
        </a:xfrm>
      </xdr:grpSpPr>
      <xdr:cxnSp macro="">
        <xdr:nvCxnSpPr>
          <xdr:cNvPr id="3102" name="Straight Connector 3101">
            <a:extLst>
              <a:ext uri="{FF2B5EF4-FFF2-40B4-BE49-F238E27FC236}">
                <a16:creationId xmlns:a16="http://schemas.microsoft.com/office/drawing/2014/main" id="{00000000-0008-0000-0300-00001E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03" name="Straight Connector 529">
            <a:extLst>
              <a:ext uri="{FF2B5EF4-FFF2-40B4-BE49-F238E27FC236}">
                <a16:creationId xmlns:a16="http://schemas.microsoft.com/office/drawing/2014/main" id="{00000000-0008-0000-0300-00001F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4" name="Straight Connector 531">
            <a:extLst>
              <a:ext uri="{FF2B5EF4-FFF2-40B4-BE49-F238E27FC236}">
                <a16:creationId xmlns:a16="http://schemas.microsoft.com/office/drawing/2014/main" id="{00000000-0008-0000-0300-00002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5" name="Straight Connector 533">
            <a:extLst>
              <a:ext uri="{FF2B5EF4-FFF2-40B4-BE49-F238E27FC236}">
                <a16:creationId xmlns:a16="http://schemas.microsoft.com/office/drawing/2014/main" id="{00000000-0008-0000-0300-000021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6" name="Straight Connector 535">
            <a:extLst>
              <a:ext uri="{FF2B5EF4-FFF2-40B4-BE49-F238E27FC236}">
                <a16:creationId xmlns:a16="http://schemas.microsoft.com/office/drawing/2014/main" id="{00000000-0008-0000-0300-00002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7" name="Straight Connector 537">
            <a:extLst>
              <a:ext uri="{FF2B5EF4-FFF2-40B4-BE49-F238E27FC236}">
                <a16:creationId xmlns:a16="http://schemas.microsoft.com/office/drawing/2014/main" id="{00000000-0008-0000-0300-00002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75</xdr:row>
      <xdr:rowOff>0</xdr:rowOff>
    </xdr:from>
    <xdr:to>
      <xdr:col>2</xdr:col>
      <xdr:colOff>312963</xdr:colOff>
      <xdr:row>76</xdr:row>
      <xdr:rowOff>68036</xdr:rowOff>
    </xdr:to>
    <xdr:grpSp>
      <xdr:nvGrpSpPr>
        <xdr:cNvPr id="3108" name="Group 1008">
          <a:extLst>
            <a:ext uri="{FF2B5EF4-FFF2-40B4-BE49-F238E27FC236}">
              <a16:creationId xmlns:a16="http://schemas.microsoft.com/office/drawing/2014/main" id="{00000000-0008-0000-0300-0000240C0000}"/>
            </a:ext>
          </a:extLst>
        </xdr:cNvPr>
        <xdr:cNvGrpSpPr>
          <a:grpSpLocks/>
        </xdr:cNvGrpSpPr>
      </xdr:nvGrpSpPr>
      <xdr:grpSpPr bwMode="auto">
        <a:xfrm>
          <a:off x="1535906" y="16966406"/>
          <a:ext cx="312963" cy="270443"/>
          <a:chOff x="5475762" y="47760700"/>
          <a:chExt cx="314325" cy="230209"/>
        </a:xfrm>
      </xdr:grpSpPr>
      <xdr:cxnSp macro="">
        <xdr:nvCxnSpPr>
          <xdr:cNvPr id="3109" name="Straight Connector 3108">
            <a:extLst>
              <a:ext uri="{FF2B5EF4-FFF2-40B4-BE49-F238E27FC236}">
                <a16:creationId xmlns:a16="http://schemas.microsoft.com/office/drawing/2014/main" id="{00000000-0008-0000-0300-000025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0" name="Straight Connector 529">
            <a:extLst>
              <a:ext uri="{FF2B5EF4-FFF2-40B4-BE49-F238E27FC236}">
                <a16:creationId xmlns:a16="http://schemas.microsoft.com/office/drawing/2014/main" id="{00000000-0008-0000-0300-000026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1" name="Straight Connector 531">
            <a:extLst>
              <a:ext uri="{FF2B5EF4-FFF2-40B4-BE49-F238E27FC236}">
                <a16:creationId xmlns:a16="http://schemas.microsoft.com/office/drawing/2014/main" id="{00000000-0008-0000-0300-00002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2" name="Straight Connector 533">
            <a:extLst>
              <a:ext uri="{FF2B5EF4-FFF2-40B4-BE49-F238E27FC236}">
                <a16:creationId xmlns:a16="http://schemas.microsoft.com/office/drawing/2014/main" id="{00000000-0008-0000-0300-00002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3" name="Straight Connector 535">
            <a:extLst>
              <a:ext uri="{FF2B5EF4-FFF2-40B4-BE49-F238E27FC236}">
                <a16:creationId xmlns:a16="http://schemas.microsoft.com/office/drawing/2014/main" id="{00000000-0008-0000-0300-00002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4" name="Straight Connector 537">
            <a:extLst>
              <a:ext uri="{FF2B5EF4-FFF2-40B4-BE49-F238E27FC236}">
                <a16:creationId xmlns:a16="http://schemas.microsoft.com/office/drawing/2014/main" id="{00000000-0008-0000-0300-00002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160</xdr:row>
      <xdr:rowOff>0</xdr:rowOff>
    </xdr:from>
    <xdr:to>
      <xdr:col>2</xdr:col>
      <xdr:colOff>312963</xdr:colOff>
      <xdr:row>161</xdr:row>
      <xdr:rowOff>68037</xdr:rowOff>
    </xdr:to>
    <xdr:grpSp>
      <xdr:nvGrpSpPr>
        <xdr:cNvPr id="3115" name="Group 1008">
          <a:extLst>
            <a:ext uri="{FF2B5EF4-FFF2-40B4-BE49-F238E27FC236}">
              <a16:creationId xmlns:a16="http://schemas.microsoft.com/office/drawing/2014/main" id="{00000000-0008-0000-0300-00002B0C0000}"/>
            </a:ext>
          </a:extLst>
        </xdr:cNvPr>
        <xdr:cNvGrpSpPr>
          <a:grpSpLocks/>
        </xdr:cNvGrpSpPr>
      </xdr:nvGrpSpPr>
      <xdr:grpSpPr bwMode="auto">
        <a:xfrm>
          <a:off x="1535906" y="34611469"/>
          <a:ext cx="312963" cy="270443"/>
          <a:chOff x="5475762" y="47760700"/>
          <a:chExt cx="314325" cy="230209"/>
        </a:xfrm>
      </xdr:grpSpPr>
      <xdr:cxnSp macro="">
        <xdr:nvCxnSpPr>
          <xdr:cNvPr id="3116" name="Straight Connector 3115">
            <a:extLst>
              <a:ext uri="{FF2B5EF4-FFF2-40B4-BE49-F238E27FC236}">
                <a16:creationId xmlns:a16="http://schemas.microsoft.com/office/drawing/2014/main" id="{00000000-0008-0000-0300-00002C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17" name="Straight Connector 529">
            <a:extLst>
              <a:ext uri="{FF2B5EF4-FFF2-40B4-BE49-F238E27FC236}">
                <a16:creationId xmlns:a16="http://schemas.microsoft.com/office/drawing/2014/main" id="{00000000-0008-0000-0300-00002D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8" name="Straight Connector 531">
            <a:extLst>
              <a:ext uri="{FF2B5EF4-FFF2-40B4-BE49-F238E27FC236}">
                <a16:creationId xmlns:a16="http://schemas.microsoft.com/office/drawing/2014/main" id="{00000000-0008-0000-0300-00002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19" name="Straight Connector 533">
            <a:extLst>
              <a:ext uri="{FF2B5EF4-FFF2-40B4-BE49-F238E27FC236}">
                <a16:creationId xmlns:a16="http://schemas.microsoft.com/office/drawing/2014/main" id="{00000000-0008-0000-0300-00002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0" name="Straight Connector 535">
            <a:extLst>
              <a:ext uri="{FF2B5EF4-FFF2-40B4-BE49-F238E27FC236}">
                <a16:creationId xmlns:a16="http://schemas.microsoft.com/office/drawing/2014/main" id="{00000000-0008-0000-0300-00003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1" name="Straight Connector 537">
            <a:extLst>
              <a:ext uri="{FF2B5EF4-FFF2-40B4-BE49-F238E27FC236}">
                <a16:creationId xmlns:a16="http://schemas.microsoft.com/office/drawing/2014/main" id="{00000000-0008-0000-0300-00003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188</xdr:row>
      <xdr:rowOff>0</xdr:rowOff>
    </xdr:from>
    <xdr:to>
      <xdr:col>22</xdr:col>
      <xdr:colOff>312963</xdr:colOff>
      <xdr:row>189</xdr:row>
      <xdr:rowOff>68036</xdr:rowOff>
    </xdr:to>
    <xdr:grpSp>
      <xdr:nvGrpSpPr>
        <xdr:cNvPr id="3122" name="Group 1008">
          <a:extLst>
            <a:ext uri="{FF2B5EF4-FFF2-40B4-BE49-F238E27FC236}">
              <a16:creationId xmlns:a16="http://schemas.microsoft.com/office/drawing/2014/main" id="{00000000-0008-0000-0300-0000320C0000}"/>
            </a:ext>
          </a:extLst>
        </xdr:cNvPr>
        <xdr:cNvGrpSpPr>
          <a:grpSpLocks/>
        </xdr:cNvGrpSpPr>
      </xdr:nvGrpSpPr>
      <xdr:grpSpPr bwMode="auto">
        <a:xfrm>
          <a:off x="14573250" y="40421719"/>
          <a:ext cx="312963" cy="270442"/>
          <a:chOff x="5475762" y="47760700"/>
          <a:chExt cx="314325" cy="230209"/>
        </a:xfrm>
      </xdr:grpSpPr>
      <xdr:cxnSp macro="">
        <xdr:nvCxnSpPr>
          <xdr:cNvPr id="3123" name="Straight Connector 3122">
            <a:extLst>
              <a:ext uri="{FF2B5EF4-FFF2-40B4-BE49-F238E27FC236}">
                <a16:creationId xmlns:a16="http://schemas.microsoft.com/office/drawing/2014/main" id="{00000000-0008-0000-0300-000033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24" name="Straight Connector 529">
            <a:extLst>
              <a:ext uri="{FF2B5EF4-FFF2-40B4-BE49-F238E27FC236}">
                <a16:creationId xmlns:a16="http://schemas.microsoft.com/office/drawing/2014/main" id="{00000000-0008-0000-0300-000034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5" name="Straight Connector 531">
            <a:extLst>
              <a:ext uri="{FF2B5EF4-FFF2-40B4-BE49-F238E27FC236}">
                <a16:creationId xmlns:a16="http://schemas.microsoft.com/office/drawing/2014/main" id="{00000000-0008-0000-0300-00003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6" name="Straight Connector 533">
            <a:extLst>
              <a:ext uri="{FF2B5EF4-FFF2-40B4-BE49-F238E27FC236}">
                <a16:creationId xmlns:a16="http://schemas.microsoft.com/office/drawing/2014/main" id="{00000000-0008-0000-0300-00003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7" name="Straight Connector 535">
            <a:extLst>
              <a:ext uri="{FF2B5EF4-FFF2-40B4-BE49-F238E27FC236}">
                <a16:creationId xmlns:a16="http://schemas.microsoft.com/office/drawing/2014/main" id="{00000000-0008-0000-0300-00003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28" name="Straight Connector 537">
            <a:extLst>
              <a:ext uri="{FF2B5EF4-FFF2-40B4-BE49-F238E27FC236}">
                <a16:creationId xmlns:a16="http://schemas.microsoft.com/office/drawing/2014/main" id="{00000000-0008-0000-0300-00003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195</xdr:row>
      <xdr:rowOff>0</xdr:rowOff>
    </xdr:from>
    <xdr:to>
      <xdr:col>8</xdr:col>
      <xdr:colOff>312963</xdr:colOff>
      <xdr:row>196</xdr:row>
      <xdr:rowOff>68036</xdr:rowOff>
    </xdr:to>
    <xdr:grpSp>
      <xdr:nvGrpSpPr>
        <xdr:cNvPr id="3129" name="Group 1008">
          <a:extLst>
            <a:ext uri="{FF2B5EF4-FFF2-40B4-BE49-F238E27FC236}">
              <a16:creationId xmlns:a16="http://schemas.microsoft.com/office/drawing/2014/main" id="{00000000-0008-0000-0300-0000390C0000}"/>
            </a:ext>
          </a:extLst>
        </xdr:cNvPr>
        <xdr:cNvGrpSpPr>
          <a:grpSpLocks/>
        </xdr:cNvGrpSpPr>
      </xdr:nvGrpSpPr>
      <xdr:grpSpPr bwMode="auto">
        <a:xfrm>
          <a:off x="5500688" y="41874281"/>
          <a:ext cx="312963" cy="270443"/>
          <a:chOff x="5475762" y="47760700"/>
          <a:chExt cx="314325" cy="230209"/>
        </a:xfrm>
      </xdr:grpSpPr>
      <xdr:cxnSp macro="">
        <xdr:nvCxnSpPr>
          <xdr:cNvPr id="3130" name="Straight Connector 3129">
            <a:extLst>
              <a:ext uri="{FF2B5EF4-FFF2-40B4-BE49-F238E27FC236}">
                <a16:creationId xmlns:a16="http://schemas.microsoft.com/office/drawing/2014/main" id="{00000000-0008-0000-0300-00003A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1" name="Straight Connector 529">
            <a:extLst>
              <a:ext uri="{FF2B5EF4-FFF2-40B4-BE49-F238E27FC236}">
                <a16:creationId xmlns:a16="http://schemas.microsoft.com/office/drawing/2014/main" id="{00000000-0008-0000-0300-00003B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2" name="Straight Connector 531">
            <a:extLst>
              <a:ext uri="{FF2B5EF4-FFF2-40B4-BE49-F238E27FC236}">
                <a16:creationId xmlns:a16="http://schemas.microsoft.com/office/drawing/2014/main" id="{00000000-0008-0000-0300-00003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3" name="Straight Connector 533">
            <a:extLst>
              <a:ext uri="{FF2B5EF4-FFF2-40B4-BE49-F238E27FC236}">
                <a16:creationId xmlns:a16="http://schemas.microsoft.com/office/drawing/2014/main" id="{00000000-0008-0000-0300-00003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4" name="Straight Connector 535">
            <a:extLst>
              <a:ext uri="{FF2B5EF4-FFF2-40B4-BE49-F238E27FC236}">
                <a16:creationId xmlns:a16="http://schemas.microsoft.com/office/drawing/2014/main" id="{00000000-0008-0000-0300-00003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5" name="Straight Connector 537">
            <a:extLst>
              <a:ext uri="{FF2B5EF4-FFF2-40B4-BE49-F238E27FC236}">
                <a16:creationId xmlns:a16="http://schemas.microsoft.com/office/drawing/2014/main" id="{00000000-0008-0000-0300-00003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195</xdr:row>
      <xdr:rowOff>0</xdr:rowOff>
    </xdr:from>
    <xdr:to>
      <xdr:col>10</xdr:col>
      <xdr:colOff>312963</xdr:colOff>
      <xdr:row>196</xdr:row>
      <xdr:rowOff>68036</xdr:rowOff>
    </xdr:to>
    <xdr:grpSp>
      <xdr:nvGrpSpPr>
        <xdr:cNvPr id="3136" name="Group 1008">
          <a:extLst>
            <a:ext uri="{FF2B5EF4-FFF2-40B4-BE49-F238E27FC236}">
              <a16:creationId xmlns:a16="http://schemas.microsoft.com/office/drawing/2014/main" id="{00000000-0008-0000-0300-0000400C0000}"/>
            </a:ext>
          </a:extLst>
        </xdr:cNvPr>
        <xdr:cNvGrpSpPr>
          <a:grpSpLocks/>
        </xdr:cNvGrpSpPr>
      </xdr:nvGrpSpPr>
      <xdr:grpSpPr bwMode="auto">
        <a:xfrm>
          <a:off x="6929438" y="41874281"/>
          <a:ext cx="312963" cy="270443"/>
          <a:chOff x="5475762" y="47760700"/>
          <a:chExt cx="314325" cy="230209"/>
        </a:xfrm>
      </xdr:grpSpPr>
      <xdr:cxnSp macro="">
        <xdr:nvCxnSpPr>
          <xdr:cNvPr id="3137" name="Straight Connector 3136">
            <a:extLst>
              <a:ext uri="{FF2B5EF4-FFF2-40B4-BE49-F238E27FC236}">
                <a16:creationId xmlns:a16="http://schemas.microsoft.com/office/drawing/2014/main" id="{00000000-0008-0000-0300-000041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8" name="Straight Connector 529">
            <a:extLst>
              <a:ext uri="{FF2B5EF4-FFF2-40B4-BE49-F238E27FC236}">
                <a16:creationId xmlns:a16="http://schemas.microsoft.com/office/drawing/2014/main" id="{00000000-0008-0000-0300-000042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39" name="Straight Connector 531">
            <a:extLst>
              <a:ext uri="{FF2B5EF4-FFF2-40B4-BE49-F238E27FC236}">
                <a16:creationId xmlns:a16="http://schemas.microsoft.com/office/drawing/2014/main" id="{00000000-0008-0000-0300-00004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0" name="Straight Connector 533">
            <a:extLst>
              <a:ext uri="{FF2B5EF4-FFF2-40B4-BE49-F238E27FC236}">
                <a16:creationId xmlns:a16="http://schemas.microsoft.com/office/drawing/2014/main" id="{00000000-0008-0000-0300-00004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1" name="Straight Connector 535">
            <a:extLst>
              <a:ext uri="{FF2B5EF4-FFF2-40B4-BE49-F238E27FC236}">
                <a16:creationId xmlns:a16="http://schemas.microsoft.com/office/drawing/2014/main" id="{00000000-0008-0000-0300-00004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2" name="Straight Connector 537">
            <a:extLst>
              <a:ext uri="{FF2B5EF4-FFF2-40B4-BE49-F238E27FC236}">
                <a16:creationId xmlns:a16="http://schemas.microsoft.com/office/drawing/2014/main" id="{00000000-0008-0000-0300-000046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20</xdr:row>
      <xdr:rowOff>0</xdr:rowOff>
    </xdr:from>
    <xdr:to>
      <xdr:col>4</xdr:col>
      <xdr:colOff>312963</xdr:colOff>
      <xdr:row>21</xdr:row>
      <xdr:rowOff>81643</xdr:rowOff>
    </xdr:to>
    <xdr:grpSp>
      <xdr:nvGrpSpPr>
        <xdr:cNvPr id="3143" name="Group 1008">
          <a:extLst>
            <a:ext uri="{FF2B5EF4-FFF2-40B4-BE49-F238E27FC236}">
              <a16:creationId xmlns:a16="http://schemas.microsoft.com/office/drawing/2014/main" id="{00000000-0008-0000-0300-0000470C0000}"/>
            </a:ext>
          </a:extLst>
        </xdr:cNvPr>
        <xdr:cNvGrpSpPr>
          <a:grpSpLocks/>
        </xdr:cNvGrpSpPr>
      </xdr:nvGrpSpPr>
      <xdr:grpSpPr bwMode="auto">
        <a:xfrm>
          <a:off x="2809875" y="5560219"/>
          <a:ext cx="312963" cy="272143"/>
          <a:chOff x="5475762" y="47760700"/>
          <a:chExt cx="314325" cy="230209"/>
        </a:xfrm>
      </xdr:grpSpPr>
      <xdr:cxnSp macro="">
        <xdr:nvCxnSpPr>
          <xdr:cNvPr id="3144" name="Straight Connector 3143">
            <a:extLst>
              <a:ext uri="{FF2B5EF4-FFF2-40B4-BE49-F238E27FC236}">
                <a16:creationId xmlns:a16="http://schemas.microsoft.com/office/drawing/2014/main" id="{00000000-0008-0000-0300-000048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45" name="Straight Connector 529">
            <a:extLst>
              <a:ext uri="{FF2B5EF4-FFF2-40B4-BE49-F238E27FC236}">
                <a16:creationId xmlns:a16="http://schemas.microsoft.com/office/drawing/2014/main" id="{00000000-0008-0000-0300-000049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6" name="Straight Connector 531">
            <a:extLst>
              <a:ext uri="{FF2B5EF4-FFF2-40B4-BE49-F238E27FC236}">
                <a16:creationId xmlns:a16="http://schemas.microsoft.com/office/drawing/2014/main" id="{00000000-0008-0000-0300-00004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7" name="Straight Connector 533">
            <a:extLst>
              <a:ext uri="{FF2B5EF4-FFF2-40B4-BE49-F238E27FC236}">
                <a16:creationId xmlns:a16="http://schemas.microsoft.com/office/drawing/2014/main" id="{00000000-0008-0000-0300-00004B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8" name="Straight Connector 535">
            <a:extLst>
              <a:ext uri="{FF2B5EF4-FFF2-40B4-BE49-F238E27FC236}">
                <a16:creationId xmlns:a16="http://schemas.microsoft.com/office/drawing/2014/main" id="{00000000-0008-0000-0300-00004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9" name="Straight Connector 537">
            <a:extLst>
              <a:ext uri="{FF2B5EF4-FFF2-40B4-BE49-F238E27FC236}">
                <a16:creationId xmlns:a16="http://schemas.microsoft.com/office/drawing/2014/main" id="{00000000-0008-0000-0300-00004D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26</xdr:row>
      <xdr:rowOff>0</xdr:rowOff>
    </xdr:from>
    <xdr:to>
      <xdr:col>18</xdr:col>
      <xdr:colOff>312963</xdr:colOff>
      <xdr:row>27</xdr:row>
      <xdr:rowOff>68035</xdr:rowOff>
    </xdr:to>
    <xdr:grpSp>
      <xdr:nvGrpSpPr>
        <xdr:cNvPr id="3150" name="Group 1008">
          <a:extLst>
            <a:ext uri="{FF2B5EF4-FFF2-40B4-BE49-F238E27FC236}">
              <a16:creationId xmlns:a16="http://schemas.microsoft.com/office/drawing/2014/main" id="{00000000-0008-0000-0300-00004E0C0000}"/>
            </a:ext>
          </a:extLst>
        </xdr:cNvPr>
        <xdr:cNvGrpSpPr>
          <a:grpSpLocks/>
        </xdr:cNvGrpSpPr>
      </xdr:nvGrpSpPr>
      <xdr:grpSpPr bwMode="auto">
        <a:xfrm>
          <a:off x="12108656" y="6798469"/>
          <a:ext cx="312963" cy="270441"/>
          <a:chOff x="5475762" y="47760700"/>
          <a:chExt cx="314325" cy="230209"/>
        </a:xfrm>
      </xdr:grpSpPr>
      <xdr:cxnSp macro="">
        <xdr:nvCxnSpPr>
          <xdr:cNvPr id="3151" name="Straight Connector 3150">
            <a:extLst>
              <a:ext uri="{FF2B5EF4-FFF2-40B4-BE49-F238E27FC236}">
                <a16:creationId xmlns:a16="http://schemas.microsoft.com/office/drawing/2014/main" id="{00000000-0008-0000-0300-00004F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52" name="Straight Connector 529">
            <a:extLst>
              <a:ext uri="{FF2B5EF4-FFF2-40B4-BE49-F238E27FC236}">
                <a16:creationId xmlns:a16="http://schemas.microsoft.com/office/drawing/2014/main" id="{00000000-0008-0000-0300-000050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3" name="Straight Connector 531">
            <a:extLst>
              <a:ext uri="{FF2B5EF4-FFF2-40B4-BE49-F238E27FC236}">
                <a16:creationId xmlns:a16="http://schemas.microsoft.com/office/drawing/2014/main" id="{00000000-0008-0000-0300-00005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4" name="Straight Connector 533">
            <a:extLst>
              <a:ext uri="{FF2B5EF4-FFF2-40B4-BE49-F238E27FC236}">
                <a16:creationId xmlns:a16="http://schemas.microsoft.com/office/drawing/2014/main" id="{00000000-0008-0000-0300-00005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5">
            <a:extLst>
              <a:ext uri="{FF2B5EF4-FFF2-40B4-BE49-F238E27FC236}">
                <a16:creationId xmlns:a16="http://schemas.microsoft.com/office/drawing/2014/main" id="{00000000-0008-0000-0300-00005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6" name="Straight Connector 537">
            <a:extLst>
              <a:ext uri="{FF2B5EF4-FFF2-40B4-BE49-F238E27FC236}">
                <a16:creationId xmlns:a16="http://schemas.microsoft.com/office/drawing/2014/main" id="{00000000-0008-0000-0300-00005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153</xdr:row>
      <xdr:rowOff>0</xdr:rowOff>
    </xdr:from>
    <xdr:to>
      <xdr:col>10</xdr:col>
      <xdr:colOff>312963</xdr:colOff>
      <xdr:row>154</xdr:row>
      <xdr:rowOff>68037</xdr:rowOff>
    </xdr:to>
    <xdr:grpSp>
      <xdr:nvGrpSpPr>
        <xdr:cNvPr id="3157" name="Group 1008">
          <a:extLst>
            <a:ext uri="{FF2B5EF4-FFF2-40B4-BE49-F238E27FC236}">
              <a16:creationId xmlns:a16="http://schemas.microsoft.com/office/drawing/2014/main" id="{00000000-0008-0000-0300-0000550C0000}"/>
            </a:ext>
          </a:extLst>
        </xdr:cNvPr>
        <xdr:cNvGrpSpPr>
          <a:grpSpLocks/>
        </xdr:cNvGrpSpPr>
      </xdr:nvGrpSpPr>
      <xdr:grpSpPr bwMode="auto">
        <a:xfrm>
          <a:off x="6929438" y="33158906"/>
          <a:ext cx="312963" cy="270444"/>
          <a:chOff x="5475762" y="47760700"/>
          <a:chExt cx="314325" cy="230209"/>
        </a:xfrm>
      </xdr:grpSpPr>
      <xdr:cxnSp macro="">
        <xdr:nvCxnSpPr>
          <xdr:cNvPr id="3158" name="Straight Connector 3157">
            <a:extLst>
              <a:ext uri="{FF2B5EF4-FFF2-40B4-BE49-F238E27FC236}">
                <a16:creationId xmlns:a16="http://schemas.microsoft.com/office/drawing/2014/main" id="{00000000-0008-0000-0300-000056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59" name="Straight Connector 529">
            <a:extLst>
              <a:ext uri="{FF2B5EF4-FFF2-40B4-BE49-F238E27FC236}">
                <a16:creationId xmlns:a16="http://schemas.microsoft.com/office/drawing/2014/main" id="{00000000-0008-0000-0300-000057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0" name="Straight Connector 531">
            <a:extLst>
              <a:ext uri="{FF2B5EF4-FFF2-40B4-BE49-F238E27FC236}">
                <a16:creationId xmlns:a16="http://schemas.microsoft.com/office/drawing/2014/main" id="{00000000-0008-0000-0300-00005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1" name="Straight Connector 533">
            <a:extLst>
              <a:ext uri="{FF2B5EF4-FFF2-40B4-BE49-F238E27FC236}">
                <a16:creationId xmlns:a16="http://schemas.microsoft.com/office/drawing/2014/main" id="{00000000-0008-0000-0300-00005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2" name="Straight Connector 535">
            <a:extLst>
              <a:ext uri="{FF2B5EF4-FFF2-40B4-BE49-F238E27FC236}">
                <a16:creationId xmlns:a16="http://schemas.microsoft.com/office/drawing/2014/main" id="{00000000-0008-0000-0300-00005A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3" name="Straight Connector 537">
            <a:extLst>
              <a:ext uri="{FF2B5EF4-FFF2-40B4-BE49-F238E27FC236}">
                <a16:creationId xmlns:a16="http://schemas.microsoft.com/office/drawing/2014/main" id="{00000000-0008-0000-0300-00005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22</xdr:col>
      <xdr:colOff>0</xdr:colOff>
      <xdr:row>20</xdr:row>
      <xdr:rowOff>0</xdr:rowOff>
    </xdr:from>
    <xdr:to>
      <xdr:col>22</xdr:col>
      <xdr:colOff>312963</xdr:colOff>
      <xdr:row>21</xdr:row>
      <xdr:rowOff>81643</xdr:rowOff>
    </xdr:to>
    <xdr:grpSp>
      <xdr:nvGrpSpPr>
        <xdr:cNvPr id="3164" name="Group 1008">
          <a:extLst>
            <a:ext uri="{FF2B5EF4-FFF2-40B4-BE49-F238E27FC236}">
              <a16:creationId xmlns:a16="http://schemas.microsoft.com/office/drawing/2014/main" id="{00000000-0008-0000-0300-00005C0C0000}"/>
            </a:ext>
          </a:extLst>
        </xdr:cNvPr>
        <xdr:cNvGrpSpPr>
          <a:grpSpLocks/>
        </xdr:cNvGrpSpPr>
      </xdr:nvGrpSpPr>
      <xdr:grpSpPr bwMode="auto">
        <a:xfrm>
          <a:off x="14573250" y="5560219"/>
          <a:ext cx="312963" cy="272143"/>
          <a:chOff x="5475762" y="47760700"/>
          <a:chExt cx="314325" cy="230209"/>
        </a:xfrm>
      </xdr:grpSpPr>
      <xdr:cxnSp macro="">
        <xdr:nvCxnSpPr>
          <xdr:cNvPr id="3165" name="Straight Connector 3164">
            <a:extLst>
              <a:ext uri="{FF2B5EF4-FFF2-40B4-BE49-F238E27FC236}">
                <a16:creationId xmlns:a16="http://schemas.microsoft.com/office/drawing/2014/main" id="{00000000-0008-0000-0300-00005D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66" name="Straight Connector 529">
            <a:extLst>
              <a:ext uri="{FF2B5EF4-FFF2-40B4-BE49-F238E27FC236}">
                <a16:creationId xmlns:a16="http://schemas.microsoft.com/office/drawing/2014/main" id="{00000000-0008-0000-0300-00005E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7" name="Straight Connector 531">
            <a:extLst>
              <a:ext uri="{FF2B5EF4-FFF2-40B4-BE49-F238E27FC236}">
                <a16:creationId xmlns:a16="http://schemas.microsoft.com/office/drawing/2014/main" id="{00000000-0008-0000-0300-00005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8" name="Straight Connector 533">
            <a:extLst>
              <a:ext uri="{FF2B5EF4-FFF2-40B4-BE49-F238E27FC236}">
                <a16:creationId xmlns:a16="http://schemas.microsoft.com/office/drawing/2014/main" id="{00000000-0008-0000-0300-00006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9" name="Straight Connector 535">
            <a:extLst>
              <a:ext uri="{FF2B5EF4-FFF2-40B4-BE49-F238E27FC236}">
                <a16:creationId xmlns:a16="http://schemas.microsoft.com/office/drawing/2014/main" id="{00000000-0008-0000-0300-000061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0" name="Straight Connector 537">
            <a:extLst>
              <a:ext uri="{FF2B5EF4-FFF2-40B4-BE49-F238E27FC236}">
                <a16:creationId xmlns:a16="http://schemas.microsoft.com/office/drawing/2014/main" id="{00000000-0008-0000-0300-000062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146</xdr:row>
      <xdr:rowOff>0</xdr:rowOff>
    </xdr:from>
    <xdr:to>
      <xdr:col>20</xdr:col>
      <xdr:colOff>312963</xdr:colOff>
      <xdr:row>147</xdr:row>
      <xdr:rowOff>68037</xdr:rowOff>
    </xdr:to>
    <xdr:grpSp>
      <xdr:nvGrpSpPr>
        <xdr:cNvPr id="3171" name="Group 1008">
          <a:extLst>
            <a:ext uri="{FF2B5EF4-FFF2-40B4-BE49-F238E27FC236}">
              <a16:creationId xmlns:a16="http://schemas.microsoft.com/office/drawing/2014/main" id="{00000000-0008-0000-0300-0000630C0000}"/>
            </a:ext>
          </a:extLst>
        </xdr:cNvPr>
        <xdr:cNvGrpSpPr>
          <a:grpSpLocks/>
        </xdr:cNvGrpSpPr>
      </xdr:nvGrpSpPr>
      <xdr:grpSpPr bwMode="auto">
        <a:xfrm>
          <a:off x="13251656" y="31706344"/>
          <a:ext cx="312963" cy="270443"/>
          <a:chOff x="5475762" y="47760700"/>
          <a:chExt cx="314325" cy="230209"/>
        </a:xfrm>
      </xdr:grpSpPr>
      <xdr:cxnSp macro="">
        <xdr:nvCxnSpPr>
          <xdr:cNvPr id="3172" name="Straight Connector 3171">
            <a:extLst>
              <a:ext uri="{FF2B5EF4-FFF2-40B4-BE49-F238E27FC236}">
                <a16:creationId xmlns:a16="http://schemas.microsoft.com/office/drawing/2014/main" id="{00000000-0008-0000-0300-000064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73" name="Straight Connector 529">
            <a:extLst>
              <a:ext uri="{FF2B5EF4-FFF2-40B4-BE49-F238E27FC236}">
                <a16:creationId xmlns:a16="http://schemas.microsoft.com/office/drawing/2014/main" id="{00000000-0008-0000-0300-000065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4" name="Straight Connector 531">
            <a:extLst>
              <a:ext uri="{FF2B5EF4-FFF2-40B4-BE49-F238E27FC236}">
                <a16:creationId xmlns:a16="http://schemas.microsoft.com/office/drawing/2014/main" id="{00000000-0008-0000-0300-000066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5" name="Straight Connector 533">
            <a:extLst>
              <a:ext uri="{FF2B5EF4-FFF2-40B4-BE49-F238E27FC236}">
                <a16:creationId xmlns:a16="http://schemas.microsoft.com/office/drawing/2014/main" id="{00000000-0008-0000-0300-00006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6" name="Straight Connector 535">
            <a:extLst>
              <a:ext uri="{FF2B5EF4-FFF2-40B4-BE49-F238E27FC236}">
                <a16:creationId xmlns:a16="http://schemas.microsoft.com/office/drawing/2014/main" id="{00000000-0008-0000-0300-00006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7" name="Straight Connector 537">
            <a:extLst>
              <a:ext uri="{FF2B5EF4-FFF2-40B4-BE49-F238E27FC236}">
                <a16:creationId xmlns:a16="http://schemas.microsoft.com/office/drawing/2014/main" id="{00000000-0008-0000-0300-000069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20</xdr:row>
      <xdr:rowOff>0</xdr:rowOff>
    </xdr:from>
    <xdr:to>
      <xdr:col>6</xdr:col>
      <xdr:colOff>312963</xdr:colOff>
      <xdr:row>21</xdr:row>
      <xdr:rowOff>81643</xdr:rowOff>
    </xdr:to>
    <xdr:grpSp>
      <xdr:nvGrpSpPr>
        <xdr:cNvPr id="3178" name="Group 1008">
          <a:extLst>
            <a:ext uri="{FF2B5EF4-FFF2-40B4-BE49-F238E27FC236}">
              <a16:creationId xmlns:a16="http://schemas.microsoft.com/office/drawing/2014/main" id="{00000000-0008-0000-0300-00006A0C0000}"/>
            </a:ext>
          </a:extLst>
        </xdr:cNvPr>
        <xdr:cNvGrpSpPr>
          <a:grpSpLocks/>
        </xdr:cNvGrpSpPr>
      </xdr:nvGrpSpPr>
      <xdr:grpSpPr bwMode="auto">
        <a:xfrm>
          <a:off x="4179094" y="5560219"/>
          <a:ext cx="312963" cy="272143"/>
          <a:chOff x="5475762" y="47760700"/>
          <a:chExt cx="314325" cy="230209"/>
        </a:xfrm>
      </xdr:grpSpPr>
      <xdr:cxnSp macro="">
        <xdr:nvCxnSpPr>
          <xdr:cNvPr id="3179" name="Straight Connector 3178">
            <a:extLst>
              <a:ext uri="{FF2B5EF4-FFF2-40B4-BE49-F238E27FC236}">
                <a16:creationId xmlns:a16="http://schemas.microsoft.com/office/drawing/2014/main" id="{00000000-0008-0000-0300-00006B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80" name="Straight Connector 529">
            <a:extLst>
              <a:ext uri="{FF2B5EF4-FFF2-40B4-BE49-F238E27FC236}">
                <a16:creationId xmlns:a16="http://schemas.microsoft.com/office/drawing/2014/main" id="{00000000-0008-0000-0300-00006C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1" name="Straight Connector 531">
            <a:extLst>
              <a:ext uri="{FF2B5EF4-FFF2-40B4-BE49-F238E27FC236}">
                <a16:creationId xmlns:a16="http://schemas.microsoft.com/office/drawing/2014/main" id="{00000000-0008-0000-0300-00006D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2" name="Straight Connector 533">
            <a:extLst>
              <a:ext uri="{FF2B5EF4-FFF2-40B4-BE49-F238E27FC236}">
                <a16:creationId xmlns:a16="http://schemas.microsoft.com/office/drawing/2014/main" id="{00000000-0008-0000-0300-00006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3" name="Straight Connector 535">
            <a:extLst>
              <a:ext uri="{FF2B5EF4-FFF2-40B4-BE49-F238E27FC236}">
                <a16:creationId xmlns:a16="http://schemas.microsoft.com/office/drawing/2014/main" id="{00000000-0008-0000-0300-00006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4" name="Straight Connector 537">
            <a:extLst>
              <a:ext uri="{FF2B5EF4-FFF2-40B4-BE49-F238E27FC236}">
                <a16:creationId xmlns:a16="http://schemas.microsoft.com/office/drawing/2014/main" id="{00000000-0008-0000-0300-00007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188</xdr:row>
      <xdr:rowOff>0</xdr:rowOff>
    </xdr:from>
    <xdr:to>
      <xdr:col>24</xdr:col>
      <xdr:colOff>312963</xdr:colOff>
      <xdr:row>189</xdr:row>
      <xdr:rowOff>68036</xdr:rowOff>
    </xdr:to>
    <xdr:grpSp>
      <xdr:nvGrpSpPr>
        <xdr:cNvPr id="3185" name="Group 1008">
          <a:extLst>
            <a:ext uri="{FF2B5EF4-FFF2-40B4-BE49-F238E27FC236}">
              <a16:creationId xmlns:a16="http://schemas.microsoft.com/office/drawing/2014/main" id="{00000000-0008-0000-0300-0000710C0000}"/>
            </a:ext>
          </a:extLst>
        </xdr:cNvPr>
        <xdr:cNvGrpSpPr>
          <a:grpSpLocks/>
        </xdr:cNvGrpSpPr>
      </xdr:nvGrpSpPr>
      <xdr:grpSpPr bwMode="auto">
        <a:xfrm>
          <a:off x="15942469" y="40421719"/>
          <a:ext cx="312963" cy="270442"/>
          <a:chOff x="5475762" y="47760700"/>
          <a:chExt cx="314325" cy="230209"/>
        </a:xfrm>
      </xdr:grpSpPr>
      <xdr:cxnSp macro="">
        <xdr:nvCxnSpPr>
          <xdr:cNvPr id="3186" name="Straight Connector 3185">
            <a:extLst>
              <a:ext uri="{FF2B5EF4-FFF2-40B4-BE49-F238E27FC236}">
                <a16:creationId xmlns:a16="http://schemas.microsoft.com/office/drawing/2014/main" id="{00000000-0008-0000-0300-000072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87" name="Straight Connector 529">
            <a:extLst>
              <a:ext uri="{FF2B5EF4-FFF2-40B4-BE49-F238E27FC236}">
                <a16:creationId xmlns:a16="http://schemas.microsoft.com/office/drawing/2014/main" id="{00000000-0008-0000-0300-000073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8" name="Straight Connector 531">
            <a:extLst>
              <a:ext uri="{FF2B5EF4-FFF2-40B4-BE49-F238E27FC236}">
                <a16:creationId xmlns:a16="http://schemas.microsoft.com/office/drawing/2014/main" id="{00000000-0008-0000-0300-00007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89" name="Straight Connector 533">
            <a:extLst>
              <a:ext uri="{FF2B5EF4-FFF2-40B4-BE49-F238E27FC236}">
                <a16:creationId xmlns:a16="http://schemas.microsoft.com/office/drawing/2014/main" id="{00000000-0008-0000-0300-00007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0" name="Straight Connector 535">
            <a:extLst>
              <a:ext uri="{FF2B5EF4-FFF2-40B4-BE49-F238E27FC236}">
                <a16:creationId xmlns:a16="http://schemas.microsoft.com/office/drawing/2014/main" id="{00000000-0008-0000-0300-00007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1" name="Straight Connector 537">
            <a:extLst>
              <a:ext uri="{FF2B5EF4-FFF2-40B4-BE49-F238E27FC236}">
                <a16:creationId xmlns:a16="http://schemas.microsoft.com/office/drawing/2014/main" id="{00000000-0008-0000-0300-00007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181</xdr:row>
      <xdr:rowOff>0</xdr:rowOff>
    </xdr:from>
    <xdr:to>
      <xdr:col>14</xdr:col>
      <xdr:colOff>312963</xdr:colOff>
      <xdr:row>182</xdr:row>
      <xdr:rowOff>68037</xdr:rowOff>
    </xdr:to>
    <xdr:grpSp>
      <xdr:nvGrpSpPr>
        <xdr:cNvPr id="3192" name="Group 1008">
          <a:extLst>
            <a:ext uri="{FF2B5EF4-FFF2-40B4-BE49-F238E27FC236}">
              <a16:creationId xmlns:a16="http://schemas.microsoft.com/office/drawing/2014/main" id="{00000000-0008-0000-0300-0000780C0000}"/>
            </a:ext>
          </a:extLst>
        </xdr:cNvPr>
        <xdr:cNvGrpSpPr>
          <a:grpSpLocks/>
        </xdr:cNvGrpSpPr>
      </xdr:nvGrpSpPr>
      <xdr:grpSpPr bwMode="auto">
        <a:xfrm>
          <a:off x="9489281" y="38969156"/>
          <a:ext cx="312963" cy="270444"/>
          <a:chOff x="5475762" y="47760700"/>
          <a:chExt cx="314325" cy="230209"/>
        </a:xfrm>
      </xdr:grpSpPr>
      <xdr:cxnSp macro="">
        <xdr:nvCxnSpPr>
          <xdr:cNvPr id="3193" name="Straight Connector 3192">
            <a:extLst>
              <a:ext uri="{FF2B5EF4-FFF2-40B4-BE49-F238E27FC236}">
                <a16:creationId xmlns:a16="http://schemas.microsoft.com/office/drawing/2014/main" id="{00000000-0008-0000-0300-000079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94" name="Straight Connector 529">
            <a:extLst>
              <a:ext uri="{FF2B5EF4-FFF2-40B4-BE49-F238E27FC236}">
                <a16:creationId xmlns:a16="http://schemas.microsoft.com/office/drawing/2014/main" id="{00000000-0008-0000-0300-00007A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5" name="Straight Connector 531">
            <a:extLst>
              <a:ext uri="{FF2B5EF4-FFF2-40B4-BE49-F238E27FC236}">
                <a16:creationId xmlns:a16="http://schemas.microsoft.com/office/drawing/2014/main" id="{00000000-0008-0000-0300-00007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6" name="Straight Connector 533">
            <a:extLst>
              <a:ext uri="{FF2B5EF4-FFF2-40B4-BE49-F238E27FC236}">
                <a16:creationId xmlns:a16="http://schemas.microsoft.com/office/drawing/2014/main" id="{00000000-0008-0000-0300-00007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7" name="Straight Connector 535">
            <a:extLst>
              <a:ext uri="{FF2B5EF4-FFF2-40B4-BE49-F238E27FC236}">
                <a16:creationId xmlns:a16="http://schemas.microsoft.com/office/drawing/2014/main" id="{00000000-0008-0000-0300-00007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98" name="Straight Connector 537">
            <a:extLst>
              <a:ext uri="{FF2B5EF4-FFF2-40B4-BE49-F238E27FC236}">
                <a16:creationId xmlns:a16="http://schemas.microsoft.com/office/drawing/2014/main" id="{00000000-0008-0000-0300-00007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47</xdr:row>
      <xdr:rowOff>0</xdr:rowOff>
    </xdr:from>
    <xdr:to>
      <xdr:col>12</xdr:col>
      <xdr:colOff>312963</xdr:colOff>
      <xdr:row>48</xdr:row>
      <xdr:rowOff>68036</xdr:rowOff>
    </xdr:to>
    <xdr:grpSp>
      <xdr:nvGrpSpPr>
        <xdr:cNvPr id="3199" name="Group 1008">
          <a:extLst>
            <a:ext uri="{FF2B5EF4-FFF2-40B4-BE49-F238E27FC236}">
              <a16:creationId xmlns:a16="http://schemas.microsoft.com/office/drawing/2014/main" id="{00000000-0008-0000-0300-00007F0C0000}"/>
            </a:ext>
          </a:extLst>
        </xdr:cNvPr>
        <xdr:cNvGrpSpPr>
          <a:grpSpLocks/>
        </xdr:cNvGrpSpPr>
      </xdr:nvGrpSpPr>
      <xdr:grpSpPr bwMode="auto">
        <a:xfrm>
          <a:off x="8251031" y="11156156"/>
          <a:ext cx="312963" cy="270443"/>
          <a:chOff x="5475762" y="47760700"/>
          <a:chExt cx="314325" cy="230209"/>
        </a:xfrm>
      </xdr:grpSpPr>
      <xdr:cxnSp macro="">
        <xdr:nvCxnSpPr>
          <xdr:cNvPr id="3200" name="Straight Connector 3199">
            <a:extLst>
              <a:ext uri="{FF2B5EF4-FFF2-40B4-BE49-F238E27FC236}">
                <a16:creationId xmlns:a16="http://schemas.microsoft.com/office/drawing/2014/main" id="{00000000-0008-0000-0300-000080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1" name="Straight Connector 529">
            <a:extLst>
              <a:ext uri="{FF2B5EF4-FFF2-40B4-BE49-F238E27FC236}">
                <a16:creationId xmlns:a16="http://schemas.microsoft.com/office/drawing/2014/main" id="{00000000-0008-0000-0300-000081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2" name="Straight Connector 531">
            <a:extLst>
              <a:ext uri="{FF2B5EF4-FFF2-40B4-BE49-F238E27FC236}">
                <a16:creationId xmlns:a16="http://schemas.microsoft.com/office/drawing/2014/main" id="{00000000-0008-0000-0300-000082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3" name="Straight Connector 533">
            <a:extLst>
              <a:ext uri="{FF2B5EF4-FFF2-40B4-BE49-F238E27FC236}">
                <a16:creationId xmlns:a16="http://schemas.microsoft.com/office/drawing/2014/main" id="{00000000-0008-0000-0300-00008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4" name="Straight Connector 535">
            <a:extLst>
              <a:ext uri="{FF2B5EF4-FFF2-40B4-BE49-F238E27FC236}">
                <a16:creationId xmlns:a16="http://schemas.microsoft.com/office/drawing/2014/main" id="{00000000-0008-0000-0300-00008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05" name="Straight Connector 537">
            <a:extLst>
              <a:ext uri="{FF2B5EF4-FFF2-40B4-BE49-F238E27FC236}">
                <a16:creationId xmlns:a16="http://schemas.microsoft.com/office/drawing/2014/main" id="{00000000-0008-0000-0300-00008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7</xdr:col>
      <xdr:colOff>333375</xdr:colOff>
      <xdr:row>141</xdr:row>
      <xdr:rowOff>190500</xdr:rowOff>
    </xdr:from>
    <xdr:to>
      <xdr:col>9</xdr:col>
      <xdr:colOff>440532</xdr:colOff>
      <xdr:row>142</xdr:row>
      <xdr:rowOff>149680</xdr:rowOff>
    </xdr:to>
    <xdr:sp macro="" textlink="">
      <xdr:nvSpPr>
        <xdr:cNvPr id="320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43500" y="30849094"/>
          <a:ext cx="1452563" cy="1615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408214</xdr:colOff>
      <xdr:row>141</xdr:row>
      <xdr:rowOff>190499</xdr:rowOff>
    </xdr:from>
    <xdr:to>
      <xdr:col>11</xdr:col>
      <xdr:colOff>340179</xdr:colOff>
      <xdr:row>142</xdr:row>
      <xdr:rowOff>149678</xdr:rowOff>
    </xdr:to>
    <xdr:sp macro="" textlink="">
      <xdr:nvSpPr>
        <xdr:cNvPr id="320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72250" y="30371142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326571</xdr:colOff>
      <xdr:row>142</xdr:row>
      <xdr:rowOff>0</xdr:rowOff>
    </xdr:from>
    <xdr:to>
      <xdr:col>13</xdr:col>
      <xdr:colOff>435428</xdr:colOff>
      <xdr:row>142</xdr:row>
      <xdr:rowOff>163286</xdr:rowOff>
    </xdr:to>
    <xdr:sp macro="" textlink="">
      <xdr:nvSpPr>
        <xdr:cNvPr id="32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64928" y="30384750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421822</xdr:colOff>
      <xdr:row>142</xdr:row>
      <xdr:rowOff>0</xdr:rowOff>
    </xdr:from>
    <xdr:to>
      <xdr:col>15</xdr:col>
      <xdr:colOff>367394</xdr:colOff>
      <xdr:row>142</xdr:row>
      <xdr:rowOff>163286</xdr:rowOff>
    </xdr:to>
    <xdr:sp macro="" textlink="">
      <xdr:nvSpPr>
        <xdr:cNvPr id="320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57608" y="30384750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340179</xdr:colOff>
      <xdr:row>142</xdr:row>
      <xdr:rowOff>40822</xdr:rowOff>
    </xdr:from>
    <xdr:to>
      <xdr:col>17</xdr:col>
      <xdr:colOff>285751</xdr:colOff>
      <xdr:row>143</xdr:row>
      <xdr:rowOff>1</xdr:rowOff>
    </xdr:to>
    <xdr:sp macro="" textlink="">
      <xdr:nvSpPr>
        <xdr:cNvPr id="321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36679" y="30425572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312964</xdr:colOff>
      <xdr:row>142</xdr:row>
      <xdr:rowOff>13607</xdr:rowOff>
    </xdr:from>
    <xdr:to>
      <xdr:col>19</xdr:col>
      <xdr:colOff>340178</xdr:colOff>
      <xdr:row>142</xdr:row>
      <xdr:rowOff>176893</xdr:rowOff>
    </xdr:to>
    <xdr:sp macro="" textlink="">
      <xdr:nvSpPr>
        <xdr:cNvPr id="321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770178" y="30398357"/>
          <a:ext cx="1306286" cy="1632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20</xdr:row>
      <xdr:rowOff>0</xdr:rowOff>
    </xdr:from>
    <xdr:to>
      <xdr:col>14</xdr:col>
      <xdr:colOff>312963</xdr:colOff>
      <xdr:row>21</xdr:row>
      <xdr:rowOff>81643</xdr:rowOff>
    </xdr:to>
    <xdr:grpSp>
      <xdr:nvGrpSpPr>
        <xdr:cNvPr id="3213" name="Group 1008">
          <a:extLst>
            <a:ext uri="{FF2B5EF4-FFF2-40B4-BE49-F238E27FC236}">
              <a16:creationId xmlns:a16="http://schemas.microsoft.com/office/drawing/2014/main" id="{00000000-0008-0000-0300-00008D0C0000}"/>
            </a:ext>
          </a:extLst>
        </xdr:cNvPr>
        <xdr:cNvGrpSpPr>
          <a:grpSpLocks/>
        </xdr:cNvGrpSpPr>
      </xdr:nvGrpSpPr>
      <xdr:grpSpPr bwMode="auto">
        <a:xfrm>
          <a:off x="9489281" y="5560219"/>
          <a:ext cx="312963" cy="272143"/>
          <a:chOff x="5475762" y="47760700"/>
          <a:chExt cx="314325" cy="230209"/>
        </a:xfrm>
      </xdr:grpSpPr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00000000-0008-0000-0300-00008E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15" name="Straight Connector 529">
            <a:extLst>
              <a:ext uri="{FF2B5EF4-FFF2-40B4-BE49-F238E27FC236}">
                <a16:creationId xmlns:a16="http://schemas.microsoft.com/office/drawing/2014/main" id="{00000000-0008-0000-0300-00008F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6" name="Straight Connector 531">
            <a:extLst>
              <a:ext uri="{FF2B5EF4-FFF2-40B4-BE49-F238E27FC236}">
                <a16:creationId xmlns:a16="http://schemas.microsoft.com/office/drawing/2014/main" id="{00000000-0008-0000-0300-000090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7" name="Straight Connector 533">
            <a:extLst>
              <a:ext uri="{FF2B5EF4-FFF2-40B4-BE49-F238E27FC236}">
                <a16:creationId xmlns:a16="http://schemas.microsoft.com/office/drawing/2014/main" id="{00000000-0008-0000-0300-000091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8" name="Straight Connector 535">
            <a:extLst>
              <a:ext uri="{FF2B5EF4-FFF2-40B4-BE49-F238E27FC236}">
                <a16:creationId xmlns:a16="http://schemas.microsoft.com/office/drawing/2014/main" id="{00000000-0008-0000-0300-00009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9" name="Straight Connector 537">
            <a:extLst>
              <a:ext uri="{FF2B5EF4-FFF2-40B4-BE49-F238E27FC236}">
                <a16:creationId xmlns:a16="http://schemas.microsoft.com/office/drawing/2014/main" id="{00000000-0008-0000-0300-00009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20</xdr:row>
      <xdr:rowOff>0</xdr:rowOff>
    </xdr:from>
    <xdr:to>
      <xdr:col>20</xdr:col>
      <xdr:colOff>312963</xdr:colOff>
      <xdr:row>21</xdr:row>
      <xdr:rowOff>81643</xdr:rowOff>
    </xdr:to>
    <xdr:grpSp>
      <xdr:nvGrpSpPr>
        <xdr:cNvPr id="3220" name="Group 1008">
          <a:extLst>
            <a:ext uri="{FF2B5EF4-FFF2-40B4-BE49-F238E27FC236}">
              <a16:creationId xmlns:a16="http://schemas.microsoft.com/office/drawing/2014/main" id="{00000000-0008-0000-0300-0000940C0000}"/>
            </a:ext>
          </a:extLst>
        </xdr:cNvPr>
        <xdr:cNvGrpSpPr>
          <a:grpSpLocks/>
        </xdr:cNvGrpSpPr>
      </xdr:nvGrpSpPr>
      <xdr:grpSpPr bwMode="auto">
        <a:xfrm>
          <a:off x="13251656" y="5560219"/>
          <a:ext cx="312963" cy="272143"/>
          <a:chOff x="5475762" y="47760700"/>
          <a:chExt cx="314325" cy="230209"/>
        </a:xfrm>
      </xdr:grpSpPr>
      <xdr:cxnSp macro="">
        <xdr:nvCxnSpPr>
          <xdr:cNvPr id="3221" name="Straight Connector 3220">
            <a:extLst>
              <a:ext uri="{FF2B5EF4-FFF2-40B4-BE49-F238E27FC236}">
                <a16:creationId xmlns:a16="http://schemas.microsoft.com/office/drawing/2014/main" id="{00000000-0008-0000-0300-000095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22" name="Straight Connector 529">
            <a:extLst>
              <a:ext uri="{FF2B5EF4-FFF2-40B4-BE49-F238E27FC236}">
                <a16:creationId xmlns:a16="http://schemas.microsoft.com/office/drawing/2014/main" id="{00000000-0008-0000-0300-000096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3" name="Straight Connector 531">
            <a:extLst>
              <a:ext uri="{FF2B5EF4-FFF2-40B4-BE49-F238E27FC236}">
                <a16:creationId xmlns:a16="http://schemas.microsoft.com/office/drawing/2014/main" id="{00000000-0008-0000-0300-00009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4" name="Straight Connector 533">
            <a:extLst>
              <a:ext uri="{FF2B5EF4-FFF2-40B4-BE49-F238E27FC236}">
                <a16:creationId xmlns:a16="http://schemas.microsoft.com/office/drawing/2014/main" id="{00000000-0008-0000-0300-00009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5" name="Straight Connector 535">
            <a:extLst>
              <a:ext uri="{FF2B5EF4-FFF2-40B4-BE49-F238E27FC236}">
                <a16:creationId xmlns:a16="http://schemas.microsoft.com/office/drawing/2014/main" id="{00000000-0008-0000-0300-00009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6" name="Straight Connector 537">
            <a:extLst>
              <a:ext uri="{FF2B5EF4-FFF2-40B4-BE49-F238E27FC236}">
                <a16:creationId xmlns:a16="http://schemas.microsoft.com/office/drawing/2014/main" id="{00000000-0008-0000-0300-00009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47</xdr:row>
      <xdr:rowOff>0</xdr:rowOff>
    </xdr:from>
    <xdr:to>
      <xdr:col>16</xdr:col>
      <xdr:colOff>312963</xdr:colOff>
      <xdr:row>48</xdr:row>
      <xdr:rowOff>68036</xdr:rowOff>
    </xdr:to>
    <xdr:grpSp>
      <xdr:nvGrpSpPr>
        <xdr:cNvPr id="3227" name="Group 1008">
          <a:extLst>
            <a:ext uri="{FF2B5EF4-FFF2-40B4-BE49-F238E27FC236}">
              <a16:creationId xmlns:a16="http://schemas.microsoft.com/office/drawing/2014/main" id="{00000000-0008-0000-0300-00009B0C0000}"/>
            </a:ext>
          </a:extLst>
        </xdr:cNvPr>
        <xdr:cNvGrpSpPr>
          <a:grpSpLocks/>
        </xdr:cNvGrpSpPr>
      </xdr:nvGrpSpPr>
      <xdr:grpSpPr bwMode="auto">
        <a:xfrm>
          <a:off x="10775156" y="11156156"/>
          <a:ext cx="312963" cy="270443"/>
          <a:chOff x="5475762" y="47760700"/>
          <a:chExt cx="314325" cy="230209"/>
        </a:xfrm>
      </xdr:grpSpPr>
      <xdr:cxnSp macro="">
        <xdr:nvCxnSpPr>
          <xdr:cNvPr id="3228" name="Straight Connector 3227">
            <a:extLst>
              <a:ext uri="{FF2B5EF4-FFF2-40B4-BE49-F238E27FC236}">
                <a16:creationId xmlns:a16="http://schemas.microsoft.com/office/drawing/2014/main" id="{00000000-0008-0000-0300-00009C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29" name="Straight Connector 529">
            <a:extLst>
              <a:ext uri="{FF2B5EF4-FFF2-40B4-BE49-F238E27FC236}">
                <a16:creationId xmlns:a16="http://schemas.microsoft.com/office/drawing/2014/main" id="{00000000-0008-0000-0300-00009D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0" name="Straight Connector 531">
            <a:extLst>
              <a:ext uri="{FF2B5EF4-FFF2-40B4-BE49-F238E27FC236}">
                <a16:creationId xmlns:a16="http://schemas.microsoft.com/office/drawing/2014/main" id="{00000000-0008-0000-0300-00009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1" name="Straight Connector 533">
            <a:extLst>
              <a:ext uri="{FF2B5EF4-FFF2-40B4-BE49-F238E27FC236}">
                <a16:creationId xmlns:a16="http://schemas.microsoft.com/office/drawing/2014/main" id="{00000000-0008-0000-0300-00009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2" name="Straight Connector 535">
            <a:extLst>
              <a:ext uri="{FF2B5EF4-FFF2-40B4-BE49-F238E27FC236}">
                <a16:creationId xmlns:a16="http://schemas.microsoft.com/office/drawing/2014/main" id="{00000000-0008-0000-0300-0000A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3" name="Straight Connector 537">
            <a:extLst>
              <a:ext uri="{FF2B5EF4-FFF2-40B4-BE49-F238E27FC236}">
                <a16:creationId xmlns:a16="http://schemas.microsoft.com/office/drawing/2014/main" id="{00000000-0008-0000-0300-0000A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188</xdr:row>
      <xdr:rowOff>0</xdr:rowOff>
    </xdr:from>
    <xdr:to>
      <xdr:col>12</xdr:col>
      <xdr:colOff>312963</xdr:colOff>
      <xdr:row>189</xdr:row>
      <xdr:rowOff>68036</xdr:rowOff>
    </xdr:to>
    <xdr:grpSp>
      <xdr:nvGrpSpPr>
        <xdr:cNvPr id="3234" name="Group 1008">
          <a:extLst>
            <a:ext uri="{FF2B5EF4-FFF2-40B4-BE49-F238E27FC236}">
              <a16:creationId xmlns:a16="http://schemas.microsoft.com/office/drawing/2014/main" id="{00000000-0008-0000-0300-0000A20C0000}"/>
            </a:ext>
          </a:extLst>
        </xdr:cNvPr>
        <xdr:cNvGrpSpPr>
          <a:grpSpLocks/>
        </xdr:cNvGrpSpPr>
      </xdr:nvGrpSpPr>
      <xdr:grpSpPr bwMode="auto">
        <a:xfrm>
          <a:off x="8251031" y="40421719"/>
          <a:ext cx="312963" cy="270442"/>
          <a:chOff x="5475762" y="47760700"/>
          <a:chExt cx="314325" cy="230209"/>
        </a:xfrm>
      </xdr:grpSpPr>
      <xdr:cxnSp macro="">
        <xdr:nvCxnSpPr>
          <xdr:cNvPr id="3235" name="Straight Connector 3234">
            <a:extLst>
              <a:ext uri="{FF2B5EF4-FFF2-40B4-BE49-F238E27FC236}">
                <a16:creationId xmlns:a16="http://schemas.microsoft.com/office/drawing/2014/main" id="{00000000-0008-0000-0300-0000A3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36" name="Straight Connector 529">
            <a:extLst>
              <a:ext uri="{FF2B5EF4-FFF2-40B4-BE49-F238E27FC236}">
                <a16:creationId xmlns:a16="http://schemas.microsoft.com/office/drawing/2014/main" id="{00000000-0008-0000-0300-0000A4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7" name="Straight Connector 531">
            <a:extLst>
              <a:ext uri="{FF2B5EF4-FFF2-40B4-BE49-F238E27FC236}">
                <a16:creationId xmlns:a16="http://schemas.microsoft.com/office/drawing/2014/main" id="{00000000-0008-0000-0300-0000A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8" name="Straight Connector 533">
            <a:extLst>
              <a:ext uri="{FF2B5EF4-FFF2-40B4-BE49-F238E27FC236}">
                <a16:creationId xmlns:a16="http://schemas.microsoft.com/office/drawing/2014/main" id="{00000000-0008-0000-0300-0000A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9" name="Straight Connector 535">
            <a:extLst>
              <a:ext uri="{FF2B5EF4-FFF2-40B4-BE49-F238E27FC236}">
                <a16:creationId xmlns:a16="http://schemas.microsoft.com/office/drawing/2014/main" id="{00000000-0008-0000-0300-0000A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0" name="Straight Connector 537">
            <a:extLst>
              <a:ext uri="{FF2B5EF4-FFF2-40B4-BE49-F238E27FC236}">
                <a16:creationId xmlns:a16="http://schemas.microsoft.com/office/drawing/2014/main" id="{00000000-0008-0000-0300-0000A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188</xdr:row>
      <xdr:rowOff>0</xdr:rowOff>
    </xdr:from>
    <xdr:to>
      <xdr:col>16</xdr:col>
      <xdr:colOff>312963</xdr:colOff>
      <xdr:row>189</xdr:row>
      <xdr:rowOff>68036</xdr:rowOff>
    </xdr:to>
    <xdr:grpSp>
      <xdr:nvGrpSpPr>
        <xdr:cNvPr id="3241" name="Group 1008">
          <a:extLst>
            <a:ext uri="{FF2B5EF4-FFF2-40B4-BE49-F238E27FC236}">
              <a16:creationId xmlns:a16="http://schemas.microsoft.com/office/drawing/2014/main" id="{00000000-0008-0000-0300-0000A90C0000}"/>
            </a:ext>
          </a:extLst>
        </xdr:cNvPr>
        <xdr:cNvGrpSpPr>
          <a:grpSpLocks/>
        </xdr:cNvGrpSpPr>
      </xdr:nvGrpSpPr>
      <xdr:grpSpPr bwMode="auto">
        <a:xfrm>
          <a:off x="10775156" y="40421719"/>
          <a:ext cx="312963" cy="270442"/>
          <a:chOff x="5475762" y="47760700"/>
          <a:chExt cx="314325" cy="230209"/>
        </a:xfrm>
      </xdr:grpSpPr>
      <xdr:cxnSp macro="">
        <xdr:nvCxnSpPr>
          <xdr:cNvPr id="3242" name="Straight Connector 3241">
            <a:extLst>
              <a:ext uri="{FF2B5EF4-FFF2-40B4-BE49-F238E27FC236}">
                <a16:creationId xmlns:a16="http://schemas.microsoft.com/office/drawing/2014/main" id="{00000000-0008-0000-0300-0000AA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43" name="Straight Connector 529">
            <a:extLst>
              <a:ext uri="{FF2B5EF4-FFF2-40B4-BE49-F238E27FC236}">
                <a16:creationId xmlns:a16="http://schemas.microsoft.com/office/drawing/2014/main" id="{00000000-0008-0000-0300-0000AB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4" name="Straight Connector 531">
            <a:extLst>
              <a:ext uri="{FF2B5EF4-FFF2-40B4-BE49-F238E27FC236}">
                <a16:creationId xmlns:a16="http://schemas.microsoft.com/office/drawing/2014/main" id="{00000000-0008-0000-0300-0000A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5" name="Straight Connector 533">
            <a:extLst>
              <a:ext uri="{FF2B5EF4-FFF2-40B4-BE49-F238E27FC236}">
                <a16:creationId xmlns:a16="http://schemas.microsoft.com/office/drawing/2014/main" id="{00000000-0008-0000-0300-0000A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6" name="Straight Connector 535">
            <a:extLst>
              <a:ext uri="{FF2B5EF4-FFF2-40B4-BE49-F238E27FC236}">
                <a16:creationId xmlns:a16="http://schemas.microsoft.com/office/drawing/2014/main" id="{00000000-0008-0000-0300-0000A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7" name="Straight Connector 537">
            <a:extLst>
              <a:ext uri="{FF2B5EF4-FFF2-40B4-BE49-F238E27FC236}">
                <a16:creationId xmlns:a16="http://schemas.microsoft.com/office/drawing/2014/main" id="{00000000-0008-0000-0300-0000A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11</xdr:col>
      <xdr:colOff>381001</xdr:colOff>
      <xdr:row>135</xdr:row>
      <xdr:rowOff>35718</xdr:rowOff>
    </xdr:from>
    <xdr:to>
      <xdr:col>13</xdr:col>
      <xdr:colOff>428626</xdr:colOff>
      <xdr:row>135</xdr:row>
      <xdr:rowOff>185397</xdr:rowOff>
    </xdr:to>
    <xdr:sp macro="" textlink="">
      <xdr:nvSpPr>
        <xdr:cNvPr id="324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05751" y="29444156"/>
          <a:ext cx="1250156" cy="14967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369094</xdr:colOff>
      <xdr:row>135</xdr:row>
      <xdr:rowOff>35719</xdr:rowOff>
    </xdr:from>
    <xdr:to>
      <xdr:col>15</xdr:col>
      <xdr:colOff>316366</xdr:colOff>
      <xdr:row>135</xdr:row>
      <xdr:rowOff>197304</xdr:rowOff>
    </xdr:to>
    <xdr:sp macro="" textlink="">
      <xdr:nvSpPr>
        <xdr:cNvPr id="324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096375" y="29444157"/>
          <a:ext cx="1304585" cy="1615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369093</xdr:colOff>
      <xdr:row>135</xdr:row>
      <xdr:rowOff>0</xdr:rowOff>
    </xdr:from>
    <xdr:to>
      <xdr:col>17</xdr:col>
      <xdr:colOff>292553</xdr:colOff>
      <xdr:row>135</xdr:row>
      <xdr:rowOff>161585</xdr:rowOff>
    </xdr:to>
    <xdr:sp macro="" textlink="">
      <xdr:nvSpPr>
        <xdr:cNvPr id="325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53687" y="29408438"/>
          <a:ext cx="1304585" cy="1615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309562</xdr:colOff>
      <xdr:row>135</xdr:row>
      <xdr:rowOff>35719</xdr:rowOff>
    </xdr:from>
    <xdr:to>
      <xdr:col>19</xdr:col>
      <xdr:colOff>321469</xdr:colOff>
      <xdr:row>136</xdr:row>
      <xdr:rowOff>6805</xdr:rowOff>
    </xdr:to>
    <xdr:sp macro="" textlink="">
      <xdr:nvSpPr>
        <xdr:cNvPr id="325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775281" y="29444157"/>
          <a:ext cx="1250157" cy="17349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261937</xdr:colOff>
      <xdr:row>135</xdr:row>
      <xdr:rowOff>23812</xdr:rowOff>
    </xdr:from>
    <xdr:to>
      <xdr:col>21</xdr:col>
      <xdr:colOff>352085</xdr:colOff>
      <xdr:row>135</xdr:row>
      <xdr:rowOff>185397</xdr:rowOff>
    </xdr:to>
    <xdr:sp macro="" textlink="">
      <xdr:nvSpPr>
        <xdr:cNvPr id="325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2965906" y="29432250"/>
          <a:ext cx="1304585" cy="1615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297657</xdr:colOff>
      <xdr:row>135</xdr:row>
      <xdr:rowOff>35719</xdr:rowOff>
    </xdr:from>
    <xdr:to>
      <xdr:col>23</xdr:col>
      <xdr:colOff>392907</xdr:colOff>
      <xdr:row>136</xdr:row>
      <xdr:rowOff>6805</xdr:rowOff>
    </xdr:to>
    <xdr:sp macro="" textlink="">
      <xdr:nvSpPr>
        <xdr:cNvPr id="325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16063" y="29444157"/>
          <a:ext cx="1428750" cy="17349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345282</xdr:colOff>
      <xdr:row>135</xdr:row>
      <xdr:rowOff>1</xdr:rowOff>
    </xdr:from>
    <xdr:to>
      <xdr:col>25</xdr:col>
      <xdr:colOff>35719</xdr:colOff>
      <xdr:row>136</xdr:row>
      <xdr:rowOff>6805</xdr:rowOff>
    </xdr:to>
    <xdr:sp macro="" textlink="">
      <xdr:nvSpPr>
        <xdr:cNvPr id="325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597188" y="29408439"/>
          <a:ext cx="1023937" cy="20921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500061</xdr:colOff>
      <xdr:row>142</xdr:row>
      <xdr:rowOff>0</xdr:rowOff>
    </xdr:from>
    <xdr:to>
      <xdr:col>3</xdr:col>
      <xdr:colOff>345280</xdr:colOff>
      <xdr:row>142</xdr:row>
      <xdr:rowOff>137773</xdr:rowOff>
    </xdr:to>
    <xdr:sp macro="" textlink="">
      <xdr:nvSpPr>
        <xdr:cNvPr id="325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95374" y="30861000"/>
          <a:ext cx="1393031" cy="1377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381000</xdr:colOff>
      <xdr:row>142</xdr:row>
      <xdr:rowOff>11907</xdr:rowOff>
    </xdr:from>
    <xdr:to>
      <xdr:col>5</xdr:col>
      <xdr:colOff>345282</xdr:colOff>
      <xdr:row>142</xdr:row>
      <xdr:rowOff>173493</xdr:rowOff>
    </xdr:to>
    <xdr:sp macro="" textlink="">
      <xdr:nvSpPr>
        <xdr:cNvPr id="325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24125" y="30872907"/>
          <a:ext cx="1309688" cy="1615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416719</xdr:colOff>
      <xdr:row>142</xdr:row>
      <xdr:rowOff>11907</xdr:rowOff>
    </xdr:from>
    <xdr:to>
      <xdr:col>7</xdr:col>
      <xdr:colOff>345281</xdr:colOff>
      <xdr:row>142</xdr:row>
      <xdr:rowOff>161586</xdr:rowOff>
    </xdr:to>
    <xdr:sp macro="" textlink="">
      <xdr:nvSpPr>
        <xdr:cNvPr id="325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905250" y="30872907"/>
          <a:ext cx="1250156" cy="14967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312963</xdr:colOff>
      <xdr:row>21</xdr:row>
      <xdr:rowOff>79943</xdr:rowOff>
    </xdr:to>
    <xdr:grpSp>
      <xdr:nvGrpSpPr>
        <xdr:cNvPr id="3268" name="Group 1008">
          <a:extLst>
            <a:ext uri="{FF2B5EF4-FFF2-40B4-BE49-F238E27FC236}">
              <a16:creationId xmlns:a16="http://schemas.microsoft.com/office/drawing/2014/main" id="{00000000-0008-0000-0300-0000C40C0000}"/>
            </a:ext>
          </a:extLst>
        </xdr:cNvPr>
        <xdr:cNvGrpSpPr>
          <a:grpSpLocks/>
        </xdr:cNvGrpSpPr>
      </xdr:nvGrpSpPr>
      <xdr:grpSpPr bwMode="auto">
        <a:xfrm>
          <a:off x="12108656" y="5560219"/>
          <a:ext cx="312963" cy="270443"/>
          <a:chOff x="5475762" y="47760700"/>
          <a:chExt cx="314325" cy="230209"/>
        </a:xfrm>
      </xdr:grpSpPr>
      <xdr:cxnSp macro="">
        <xdr:nvCxnSpPr>
          <xdr:cNvPr id="3269" name="Straight Connector 3268">
            <a:extLst>
              <a:ext uri="{FF2B5EF4-FFF2-40B4-BE49-F238E27FC236}">
                <a16:creationId xmlns:a16="http://schemas.microsoft.com/office/drawing/2014/main" id="{00000000-0008-0000-0300-0000C5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0" name="Straight Connector 529">
            <a:extLst>
              <a:ext uri="{FF2B5EF4-FFF2-40B4-BE49-F238E27FC236}">
                <a16:creationId xmlns:a16="http://schemas.microsoft.com/office/drawing/2014/main" id="{00000000-0008-0000-0300-0000C6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1" name="Straight Connector 531">
            <a:extLst>
              <a:ext uri="{FF2B5EF4-FFF2-40B4-BE49-F238E27FC236}">
                <a16:creationId xmlns:a16="http://schemas.microsoft.com/office/drawing/2014/main" id="{00000000-0008-0000-0300-0000C7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2" name="Straight Connector 533">
            <a:extLst>
              <a:ext uri="{FF2B5EF4-FFF2-40B4-BE49-F238E27FC236}">
                <a16:creationId xmlns:a16="http://schemas.microsoft.com/office/drawing/2014/main" id="{00000000-0008-0000-0300-0000C8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3" name="Straight Connector 535">
            <a:extLst>
              <a:ext uri="{FF2B5EF4-FFF2-40B4-BE49-F238E27FC236}">
                <a16:creationId xmlns:a16="http://schemas.microsoft.com/office/drawing/2014/main" id="{00000000-0008-0000-0300-0000C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4" name="Straight Connector 537">
            <a:extLst>
              <a:ext uri="{FF2B5EF4-FFF2-40B4-BE49-F238E27FC236}">
                <a16:creationId xmlns:a16="http://schemas.microsoft.com/office/drawing/2014/main" id="{00000000-0008-0000-0300-0000C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20</xdr:col>
      <xdr:colOff>0</xdr:colOff>
      <xdr:row>33</xdr:row>
      <xdr:rowOff>0</xdr:rowOff>
    </xdr:from>
    <xdr:to>
      <xdr:col>20</xdr:col>
      <xdr:colOff>312963</xdr:colOff>
      <xdr:row>34</xdr:row>
      <xdr:rowOff>68036</xdr:rowOff>
    </xdr:to>
    <xdr:grpSp>
      <xdr:nvGrpSpPr>
        <xdr:cNvPr id="3275" name="Group 1008">
          <a:extLst>
            <a:ext uri="{FF2B5EF4-FFF2-40B4-BE49-F238E27FC236}">
              <a16:creationId xmlns:a16="http://schemas.microsoft.com/office/drawing/2014/main" id="{00000000-0008-0000-0300-0000CB0C0000}"/>
            </a:ext>
          </a:extLst>
        </xdr:cNvPr>
        <xdr:cNvGrpSpPr>
          <a:grpSpLocks/>
        </xdr:cNvGrpSpPr>
      </xdr:nvGrpSpPr>
      <xdr:grpSpPr bwMode="auto">
        <a:xfrm>
          <a:off x="13251656" y="8251031"/>
          <a:ext cx="312963" cy="270443"/>
          <a:chOff x="5475762" y="47760700"/>
          <a:chExt cx="314325" cy="230209"/>
        </a:xfrm>
      </xdr:grpSpPr>
      <xdr:cxnSp macro="">
        <xdr:nvCxnSpPr>
          <xdr:cNvPr id="3276" name="Straight Connector 3275">
            <a:extLst>
              <a:ext uri="{FF2B5EF4-FFF2-40B4-BE49-F238E27FC236}">
                <a16:creationId xmlns:a16="http://schemas.microsoft.com/office/drawing/2014/main" id="{00000000-0008-0000-0300-0000CC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7" name="Straight Connector 529">
            <a:extLst>
              <a:ext uri="{FF2B5EF4-FFF2-40B4-BE49-F238E27FC236}">
                <a16:creationId xmlns:a16="http://schemas.microsoft.com/office/drawing/2014/main" id="{00000000-0008-0000-0300-0000CD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8" name="Straight Connector 531">
            <a:extLst>
              <a:ext uri="{FF2B5EF4-FFF2-40B4-BE49-F238E27FC236}">
                <a16:creationId xmlns:a16="http://schemas.microsoft.com/office/drawing/2014/main" id="{00000000-0008-0000-0300-0000CE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79" name="Straight Connector 533">
            <a:extLst>
              <a:ext uri="{FF2B5EF4-FFF2-40B4-BE49-F238E27FC236}">
                <a16:creationId xmlns:a16="http://schemas.microsoft.com/office/drawing/2014/main" id="{00000000-0008-0000-0300-0000CF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0" name="Straight Connector 535">
            <a:extLst>
              <a:ext uri="{FF2B5EF4-FFF2-40B4-BE49-F238E27FC236}">
                <a16:creationId xmlns:a16="http://schemas.microsoft.com/office/drawing/2014/main" id="{00000000-0008-0000-0300-0000D0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7">
            <a:extLst>
              <a:ext uri="{FF2B5EF4-FFF2-40B4-BE49-F238E27FC236}">
                <a16:creationId xmlns:a16="http://schemas.microsoft.com/office/drawing/2014/main" id="{00000000-0008-0000-0300-0000D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24</xdr:col>
      <xdr:colOff>0</xdr:colOff>
      <xdr:row>20</xdr:row>
      <xdr:rowOff>0</xdr:rowOff>
    </xdr:from>
    <xdr:to>
      <xdr:col>24</xdr:col>
      <xdr:colOff>312963</xdr:colOff>
      <xdr:row>21</xdr:row>
      <xdr:rowOff>81643</xdr:rowOff>
    </xdr:to>
    <xdr:grpSp>
      <xdr:nvGrpSpPr>
        <xdr:cNvPr id="3282" name="Group 1008">
          <a:extLst>
            <a:ext uri="{FF2B5EF4-FFF2-40B4-BE49-F238E27FC236}">
              <a16:creationId xmlns:a16="http://schemas.microsoft.com/office/drawing/2014/main" id="{00000000-0008-0000-0300-0000D20C0000}"/>
            </a:ext>
          </a:extLst>
        </xdr:cNvPr>
        <xdr:cNvGrpSpPr>
          <a:grpSpLocks/>
        </xdr:cNvGrpSpPr>
      </xdr:nvGrpSpPr>
      <xdr:grpSpPr bwMode="auto">
        <a:xfrm>
          <a:off x="15942469" y="5560219"/>
          <a:ext cx="312963" cy="272143"/>
          <a:chOff x="5475762" y="47760700"/>
          <a:chExt cx="314325" cy="230209"/>
        </a:xfrm>
      </xdr:grpSpPr>
      <xdr:cxnSp macro="">
        <xdr:nvCxnSpPr>
          <xdr:cNvPr id="3283" name="Straight Connector 3282">
            <a:extLst>
              <a:ext uri="{FF2B5EF4-FFF2-40B4-BE49-F238E27FC236}">
                <a16:creationId xmlns:a16="http://schemas.microsoft.com/office/drawing/2014/main" id="{00000000-0008-0000-0300-0000D3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4" name="Straight Connector 529">
            <a:extLst>
              <a:ext uri="{FF2B5EF4-FFF2-40B4-BE49-F238E27FC236}">
                <a16:creationId xmlns:a16="http://schemas.microsoft.com/office/drawing/2014/main" id="{00000000-0008-0000-0300-0000D4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5" name="Straight Connector 531">
            <a:extLst>
              <a:ext uri="{FF2B5EF4-FFF2-40B4-BE49-F238E27FC236}">
                <a16:creationId xmlns:a16="http://schemas.microsoft.com/office/drawing/2014/main" id="{00000000-0008-0000-0300-0000D5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6" name="Straight Connector 533">
            <a:extLst>
              <a:ext uri="{FF2B5EF4-FFF2-40B4-BE49-F238E27FC236}">
                <a16:creationId xmlns:a16="http://schemas.microsoft.com/office/drawing/2014/main" id="{00000000-0008-0000-0300-0000D6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7" name="Straight Connector 535">
            <a:extLst>
              <a:ext uri="{FF2B5EF4-FFF2-40B4-BE49-F238E27FC236}">
                <a16:creationId xmlns:a16="http://schemas.microsoft.com/office/drawing/2014/main" id="{00000000-0008-0000-0300-0000D7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7">
            <a:extLst>
              <a:ext uri="{FF2B5EF4-FFF2-40B4-BE49-F238E27FC236}">
                <a16:creationId xmlns:a16="http://schemas.microsoft.com/office/drawing/2014/main" id="{00000000-0008-0000-0300-0000D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96</xdr:row>
      <xdr:rowOff>0</xdr:rowOff>
    </xdr:from>
    <xdr:to>
      <xdr:col>10</xdr:col>
      <xdr:colOff>312963</xdr:colOff>
      <xdr:row>97</xdr:row>
      <xdr:rowOff>68036</xdr:rowOff>
    </xdr:to>
    <xdr:grpSp>
      <xdr:nvGrpSpPr>
        <xdr:cNvPr id="3289" name="Group 1008">
          <a:extLst>
            <a:ext uri="{FF2B5EF4-FFF2-40B4-BE49-F238E27FC236}">
              <a16:creationId xmlns:a16="http://schemas.microsoft.com/office/drawing/2014/main" id="{00000000-0008-0000-0300-0000D90C0000}"/>
            </a:ext>
          </a:extLst>
        </xdr:cNvPr>
        <xdr:cNvGrpSpPr>
          <a:grpSpLocks/>
        </xdr:cNvGrpSpPr>
      </xdr:nvGrpSpPr>
      <xdr:grpSpPr bwMode="auto">
        <a:xfrm>
          <a:off x="6929438" y="21312188"/>
          <a:ext cx="312963" cy="270442"/>
          <a:chOff x="5475762" y="47760700"/>
          <a:chExt cx="314325" cy="230209"/>
        </a:xfrm>
      </xdr:grpSpPr>
      <xdr:cxnSp macro="">
        <xdr:nvCxnSpPr>
          <xdr:cNvPr id="3290" name="Straight Connector 3289">
            <a:extLst>
              <a:ext uri="{FF2B5EF4-FFF2-40B4-BE49-F238E27FC236}">
                <a16:creationId xmlns:a16="http://schemas.microsoft.com/office/drawing/2014/main" id="{00000000-0008-0000-0300-0000DA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1" name="Straight Connector 529">
            <a:extLst>
              <a:ext uri="{FF2B5EF4-FFF2-40B4-BE49-F238E27FC236}">
                <a16:creationId xmlns:a16="http://schemas.microsoft.com/office/drawing/2014/main" id="{00000000-0008-0000-0300-0000DB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2" name="Straight Connector 531">
            <a:extLst>
              <a:ext uri="{FF2B5EF4-FFF2-40B4-BE49-F238E27FC236}">
                <a16:creationId xmlns:a16="http://schemas.microsoft.com/office/drawing/2014/main" id="{00000000-0008-0000-0300-0000DC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3" name="Straight Connector 533">
            <a:extLst>
              <a:ext uri="{FF2B5EF4-FFF2-40B4-BE49-F238E27FC236}">
                <a16:creationId xmlns:a16="http://schemas.microsoft.com/office/drawing/2014/main" id="{00000000-0008-0000-0300-0000DD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4" name="Straight Connector 535">
            <a:extLst>
              <a:ext uri="{FF2B5EF4-FFF2-40B4-BE49-F238E27FC236}">
                <a16:creationId xmlns:a16="http://schemas.microsoft.com/office/drawing/2014/main" id="{00000000-0008-0000-0300-0000DE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7">
            <a:extLst>
              <a:ext uri="{FF2B5EF4-FFF2-40B4-BE49-F238E27FC236}">
                <a16:creationId xmlns:a16="http://schemas.microsoft.com/office/drawing/2014/main" id="{00000000-0008-0000-0300-0000D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96</xdr:row>
      <xdr:rowOff>0</xdr:rowOff>
    </xdr:from>
    <xdr:to>
      <xdr:col>12</xdr:col>
      <xdr:colOff>312963</xdr:colOff>
      <xdr:row>97</xdr:row>
      <xdr:rowOff>68036</xdr:rowOff>
    </xdr:to>
    <xdr:grpSp>
      <xdr:nvGrpSpPr>
        <xdr:cNvPr id="3296" name="Group 1008">
          <a:extLst>
            <a:ext uri="{FF2B5EF4-FFF2-40B4-BE49-F238E27FC236}">
              <a16:creationId xmlns:a16="http://schemas.microsoft.com/office/drawing/2014/main" id="{00000000-0008-0000-0300-0000E00C0000}"/>
            </a:ext>
          </a:extLst>
        </xdr:cNvPr>
        <xdr:cNvGrpSpPr>
          <a:grpSpLocks/>
        </xdr:cNvGrpSpPr>
      </xdr:nvGrpSpPr>
      <xdr:grpSpPr bwMode="auto">
        <a:xfrm>
          <a:off x="8251031" y="21312188"/>
          <a:ext cx="312963" cy="270442"/>
          <a:chOff x="5475762" y="47760700"/>
          <a:chExt cx="314325" cy="230209"/>
        </a:xfrm>
      </xdr:grpSpPr>
      <xdr:cxnSp macro="">
        <xdr:nvCxnSpPr>
          <xdr:cNvPr id="3297" name="Straight Connector 3296">
            <a:extLst>
              <a:ext uri="{FF2B5EF4-FFF2-40B4-BE49-F238E27FC236}">
                <a16:creationId xmlns:a16="http://schemas.microsoft.com/office/drawing/2014/main" id="{00000000-0008-0000-0300-0000E1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8" name="Straight Connector 529">
            <a:extLst>
              <a:ext uri="{FF2B5EF4-FFF2-40B4-BE49-F238E27FC236}">
                <a16:creationId xmlns:a16="http://schemas.microsoft.com/office/drawing/2014/main" id="{00000000-0008-0000-0300-0000E2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9" name="Straight Connector 531">
            <a:extLst>
              <a:ext uri="{FF2B5EF4-FFF2-40B4-BE49-F238E27FC236}">
                <a16:creationId xmlns:a16="http://schemas.microsoft.com/office/drawing/2014/main" id="{00000000-0008-0000-0300-0000E3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0" name="Straight Connector 533">
            <a:extLst>
              <a:ext uri="{FF2B5EF4-FFF2-40B4-BE49-F238E27FC236}">
                <a16:creationId xmlns:a16="http://schemas.microsoft.com/office/drawing/2014/main" id="{00000000-0008-0000-0300-0000E4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1" name="Straight Connector 535">
            <a:extLst>
              <a:ext uri="{FF2B5EF4-FFF2-40B4-BE49-F238E27FC236}">
                <a16:creationId xmlns:a16="http://schemas.microsoft.com/office/drawing/2014/main" id="{00000000-0008-0000-0300-0000E5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7">
            <a:extLst>
              <a:ext uri="{FF2B5EF4-FFF2-40B4-BE49-F238E27FC236}">
                <a16:creationId xmlns:a16="http://schemas.microsoft.com/office/drawing/2014/main" id="{00000000-0008-0000-0300-0000E6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20</xdr:row>
      <xdr:rowOff>0</xdr:rowOff>
    </xdr:from>
    <xdr:to>
      <xdr:col>16</xdr:col>
      <xdr:colOff>312963</xdr:colOff>
      <xdr:row>21</xdr:row>
      <xdr:rowOff>81643</xdr:rowOff>
    </xdr:to>
    <xdr:grpSp>
      <xdr:nvGrpSpPr>
        <xdr:cNvPr id="3303" name="Group 1008">
          <a:extLst>
            <a:ext uri="{FF2B5EF4-FFF2-40B4-BE49-F238E27FC236}">
              <a16:creationId xmlns:a16="http://schemas.microsoft.com/office/drawing/2014/main" id="{00000000-0008-0000-0300-0000E70C0000}"/>
            </a:ext>
          </a:extLst>
        </xdr:cNvPr>
        <xdr:cNvGrpSpPr>
          <a:grpSpLocks/>
        </xdr:cNvGrpSpPr>
      </xdr:nvGrpSpPr>
      <xdr:grpSpPr bwMode="auto">
        <a:xfrm>
          <a:off x="10775156" y="5560219"/>
          <a:ext cx="312963" cy="272143"/>
          <a:chOff x="5475762" y="47760700"/>
          <a:chExt cx="314325" cy="230209"/>
        </a:xfrm>
      </xdr:grpSpPr>
      <xdr:cxnSp macro="">
        <xdr:nvCxnSpPr>
          <xdr:cNvPr id="3304" name="Straight Connector 3303">
            <a:extLst>
              <a:ext uri="{FF2B5EF4-FFF2-40B4-BE49-F238E27FC236}">
                <a16:creationId xmlns:a16="http://schemas.microsoft.com/office/drawing/2014/main" id="{00000000-0008-0000-0300-0000E8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5" name="Straight Connector 529">
            <a:extLst>
              <a:ext uri="{FF2B5EF4-FFF2-40B4-BE49-F238E27FC236}">
                <a16:creationId xmlns:a16="http://schemas.microsoft.com/office/drawing/2014/main" id="{00000000-0008-0000-0300-0000E9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6" name="Straight Connector 531">
            <a:extLst>
              <a:ext uri="{FF2B5EF4-FFF2-40B4-BE49-F238E27FC236}">
                <a16:creationId xmlns:a16="http://schemas.microsoft.com/office/drawing/2014/main" id="{00000000-0008-0000-0300-0000EA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7" name="Straight Connector 533">
            <a:extLst>
              <a:ext uri="{FF2B5EF4-FFF2-40B4-BE49-F238E27FC236}">
                <a16:creationId xmlns:a16="http://schemas.microsoft.com/office/drawing/2014/main" id="{00000000-0008-0000-0300-0000EB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8" name="Straight Connector 535">
            <a:extLst>
              <a:ext uri="{FF2B5EF4-FFF2-40B4-BE49-F238E27FC236}">
                <a16:creationId xmlns:a16="http://schemas.microsoft.com/office/drawing/2014/main" id="{00000000-0008-0000-0300-0000EC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7">
            <a:extLst>
              <a:ext uri="{FF2B5EF4-FFF2-40B4-BE49-F238E27FC236}">
                <a16:creationId xmlns:a16="http://schemas.microsoft.com/office/drawing/2014/main" id="{00000000-0008-0000-0300-0000ED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195</xdr:row>
      <xdr:rowOff>0</xdr:rowOff>
    </xdr:from>
    <xdr:to>
      <xdr:col>2</xdr:col>
      <xdr:colOff>312963</xdr:colOff>
      <xdr:row>196</xdr:row>
      <xdr:rowOff>68036</xdr:rowOff>
    </xdr:to>
    <xdr:grpSp>
      <xdr:nvGrpSpPr>
        <xdr:cNvPr id="3310" name="Group 1008">
          <a:extLst>
            <a:ext uri="{FF2B5EF4-FFF2-40B4-BE49-F238E27FC236}">
              <a16:creationId xmlns:a16="http://schemas.microsoft.com/office/drawing/2014/main" id="{00000000-0008-0000-0300-0000EE0C0000}"/>
            </a:ext>
          </a:extLst>
        </xdr:cNvPr>
        <xdr:cNvGrpSpPr>
          <a:grpSpLocks/>
        </xdr:cNvGrpSpPr>
      </xdr:nvGrpSpPr>
      <xdr:grpSpPr bwMode="auto">
        <a:xfrm>
          <a:off x="1535906" y="41874281"/>
          <a:ext cx="312963" cy="270443"/>
          <a:chOff x="5475762" y="47760700"/>
          <a:chExt cx="314325" cy="230209"/>
        </a:xfrm>
      </xdr:grpSpPr>
      <xdr:cxnSp macro="">
        <xdr:nvCxnSpPr>
          <xdr:cNvPr id="3311" name="Straight Connector 3310">
            <a:extLst>
              <a:ext uri="{FF2B5EF4-FFF2-40B4-BE49-F238E27FC236}">
                <a16:creationId xmlns:a16="http://schemas.microsoft.com/office/drawing/2014/main" id="{00000000-0008-0000-0300-0000EF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2" name="Straight Connector 529">
            <a:extLst>
              <a:ext uri="{FF2B5EF4-FFF2-40B4-BE49-F238E27FC236}">
                <a16:creationId xmlns:a16="http://schemas.microsoft.com/office/drawing/2014/main" id="{00000000-0008-0000-0300-0000F0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3" name="Straight Connector 531">
            <a:extLst>
              <a:ext uri="{FF2B5EF4-FFF2-40B4-BE49-F238E27FC236}">
                <a16:creationId xmlns:a16="http://schemas.microsoft.com/office/drawing/2014/main" id="{00000000-0008-0000-0300-0000F1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4" name="Straight Connector 533">
            <a:extLst>
              <a:ext uri="{FF2B5EF4-FFF2-40B4-BE49-F238E27FC236}">
                <a16:creationId xmlns:a16="http://schemas.microsoft.com/office/drawing/2014/main" id="{00000000-0008-0000-0300-0000F2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5" name="Straight Connector 535">
            <a:extLst>
              <a:ext uri="{FF2B5EF4-FFF2-40B4-BE49-F238E27FC236}">
                <a16:creationId xmlns:a16="http://schemas.microsoft.com/office/drawing/2014/main" id="{00000000-0008-0000-0300-0000F3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7">
            <a:extLst>
              <a:ext uri="{FF2B5EF4-FFF2-40B4-BE49-F238E27FC236}">
                <a16:creationId xmlns:a16="http://schemas.microsoft.com/office/drawing/2014/main" id="{00000000-0008-0000-0300-0000F4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53</xdr:row>
      <xdr:rowOff>95250</xdr:rowOff>
    </xdr:from>
    <xdr:to>
      <xdr:col>10</xdr:col>
      <xdr:colOff>312963</xdr:colOff>
      <xdr:row>54</xdr:row>
      <xdr:rowOff>151379</xdr:rowOff>
    </xdr:to>
    <xdr:grpSp>
      <xdr:nvGrpSpPr>
        <xdr:cNvPr id="3317" name="Group 1008">
          <a:extLst>
            <a:ext uri="{FF2B5EF4-FFF2-40B4-BE49-F238E27FC236}">
              <a16:creationId xmlns:a16="http://schemas.microsoft.com/office/drawing/2014/main" id="{00000000-0008-0000-0300-0000F50C0000}"/>
            </a:ext>
          </a:extLst>
        </xdr:cNvPr>
        <xdr:cNvGrpSpPr>
          <a:grpSpLocks/>
        </xdr:cNvGrpSpPr>
      </xdr:nvGrpSpPr>
      <xdr:grpSpPr bwMode="auto">
        <a:xfrm>
          <a:off x="6929438" y="12489656"/>
          <a:ext cx="312963" cy="270442"/>
          <a:chOff x="5475762" y="47760700"/>
          <a:chExt cx="314325" cy="230209"/>
        </a:xfrm>
      </xdr:grpSpPr>
      <xdr:cxnSp macro="">
        <xdr:nvCxnSpPr>
          <xdr:cNvPr id="3318" name="Straight Connector 3317">
            <a:extLst>
              <a:ext uri="{FF2B5EF4-FFF2-40B4-BE49-F238E27FC236}">
                <a16:creationId xmlns:a16="http://schemas.microsoft.com/office/drawing/2014/main" id="{00000000-0008-0000-0300-0000F6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9" name="Straight Connector 529">
            <a:extLst>
              <a:ext uri="{FF2B5EF4-FFF2-40B4-BE49-F238E27FC236}">
                <a16:creationId xmlns:a16="http://schemas.microsoft.com/office/drawing/2014/main" id="{00000000-0008-0000-0300-0000F7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0" name="Straight Connector 531">
            <a:extLst>
              <a:ext uri="{FF2B5EF4-FFF2-40B4-BE49-F238E27FC236}">
                <a16:creationId xmlns:a16="http://schemas.microsoft.com/office/drawing/2014/main" id="{00000000-0008-0000-0300-0000F8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1" name="Straight Connector 533">
            <a:extLst>
              <a:ext uri="{FF2B5EF4-FFF2-40B4-BE49-F238E27FC236}">
                <a16:creationId xmlns:a16="http://schemas.microsoft.com/office/drawing/2014/main" id="{00000000-0008-0000-0300-0000F9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2" name="Straight Connector 535">
            <a:extLst>
              <a:ext uri="{FF2B5EF4-FFF2-40B4-BE49-F238E27FC236}">
                <a16:creationId xmlns:a16="http://schemas.microsoft.com/office/drawing/2014/main" id="{00000000-0008-0000-0300-0000FA0C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7">
            <a:extLst>
              <a:ext uri="{FF2B5EF4-FFF2-40B4-BE49-F238E27FC236}">
                <a16:creationId xmlns:a16="http://schemas.microsoft.com/office/drawing/2014/main" id="{00000000-0008-0000-0300-0000FB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12</xdr:col>
      <xdr:colOff>0</xdr:colOff>
      <xdr:row>40</xdr:row>
      <xdr:rowOff>0</xdr:rowOff>
    </xdr:from>
    <xdr:to>
      <xdr:col>12</xdr:col>
      <xdr:colOff>312963</xdr:colOff>
      <xdr:row>41</xdr:row>
      <xdr:rowOff>68036</xdr:rowOff>
    </xdr:to>
    <xdr:grpSp>
      <xdr:nvGrpSpPr>
        <xdr:cNvPr id="3324" name="Group 1008">
          <a:extLst>
            <a:ext uri="{FF2B5EF4-FFF2-40B4-BE49-F238E27FC236}">
              <a16:creationId xmlns:a16="http://schemas.microsoft.com/office/drawing/2014/main" id="{00000000-0008-0000-0300-0000FC0C0000}"/>
            </a:ext>
          </a:extLst>
        </xdr:cNvPr>
        <xdr:cNvGrpSpPr>
          <a:grpSpLocks/>
        </xdr:cNvGrpSpPr>
      </xdr:nvGrpSpPr>
      <xdr:grpSpPr bwMode="auto">
        <a:xfrm>
          <a:off x="8251031" y="9703594"/>
          <a:ext cx="312963" cy="270442"/>
          <a:chOff x="5475762" y="47760700"/>
          <a:chExt cx="314325" cy="230209"/>
        </a:xfrm>
      </xdr:grpSpPr>
      <xdr:cxnSp macro="">
        <xdr:nvCxnSpPr>
          <xdr:cNvPr id="3325" name="Straight Connector 3324">
            <a:extLst>
              <a:ext uri="{FF2B5EF4-FFF2-40B4-BE49-F238E27FC236}">
                <a16:creationId xmlns:a16="http://schemas.microsoft.com/office/drawing/2014/main" id="{00000000-0008-0000-0300-0000FD0C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6" name="Straight Connector 529">
            <a:extLst>
              <a:ext uri="{FF2B5EF4-FFF2-40B4-BE49-F238E27FC236}">
                <a16:creationId xmlns:a16="http://schemas.microsoft.com/office/drawing/2014/main" id="{00000000-0008-0000-0300-0000FE0C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7" name="Straight Connector 531">
            <a:extLst>
              <a:ext uri="{FF2B5EF4-FFF2-40B4-BE49-F238E27FC236}">
                <a16:creationId xmlns:a16="http://schemas.microsoft.com/office/drawing/2014/main" id="{00000000-0008-0000-0300-0000FF0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8" name="Straight Connector 533">
            <a:extLst>
              <a:ext uri="{FF2B5EF4-FFF2-40B4-BE49-F238E27FC236}">
                <a16:creationId xmlns:a16="http://schemas.microsoft.com/office/drawing/2014/main" id="{00000000-0008-0000-0300-000000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9" name="Straight Connector 535">
            <a:extLst>
              <a:ext uri="{FF2B5EF4-FFF2-40B4-BE49-F238E27FC236}">
                <a16:creationId xmlns:a16="http://schemas.microsoft.com/office/drawing/2014/main" id="{00000000-0008-0000-0300-000001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7">
            <a:extLst>
              <a:ext uri="{FF2B5EF4-FFF2-40B4-BE49-F238E27FC236}">
                <a16:creationId xmlns:a16="http://schemas.microsoft.com/office/drawing/2014/main" id="{00000000-0008-0000-0300-000002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14</xdr:col>
      <xdr:colOff>0</xdr:colOff>
      <xdr:row>40</xdr:row>
      <xdr:rowOff>0</xdr:rowOff>
    </xdr:from>
    <xdr:to>
      <xdr:col>14</xdr:col>
      <xdr:colOff>312963</xdr:colOff>
      <xdr:row>41</xdr:row>
      <xdr:rowOff>68036</xdr:rowOff>
    </xdr:to>
    <xdr:grpSp>
      <xdr:nvGrpSpPr>
        <xdr:cNvPr id="3331" name="Group 1008">
          <a:extLst>
            <a:ext uri="{FF2B5EF4-FFF2-40B4-BE49-F238E27FC236}">
              <a16:creationId xmlns:a16="http://schemas.microsoft.com/office/drawing/2014/main" id="{00000000-0008-0000-0300-0000030D0000}"/>
            </a:ext>
          </a:extLst>
        </xdr:cNvPr>
        <xdr:cNvGrpSpPr>
          <a:grpSpLocks/>
        </xdr:cNvGrpSpPr>
      </xdr:nvGrpSpPr>
      <xdr:grpSpPr bwMode="auto">
        <a:xfrm>
          <a:off x="9489281" y="9703594"/>
          <a:ext cx="312963" cy="270442"/>
          <a:chOff x="5475762" y="47760700"/>
          <a:chExt cx="314325" cy="230209"/>
        </a:xfrm>
      </xdr:grpSpPr>
      <xdr:cxnSp macro="">
        <xdr:nvCxnSpPr>
          <xdr:cNvPr id="3332" name="Straight Connector 3331">
            <a:extLst>
              <a:ext uri="{FF2B5EF4-FFF2-40B4-BE49-F238E27FC236}">
                <a16:creationId xmlns:a16="http://schemas.microsoft.com/office/drawing/2014/main" id="{00000000-0008-0000-0300-000004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3" name="Straight Connector 529">
            <a:extLst>
              <a:ext uri="{FF2B5EF4-FFF2-40B4-BE49-F238E27FC236}">
                <a16:creationId xmlns:a16="http://schemas.microsoft.com/office/drawing/2014/main" id="{00000000-0008-0000-0300-000005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4" name="Straight Connector 531">
            <a:extLst>
              <a:ext uri="{FF2B5EF4-FFF2-40B4-BE49-F238E27FC236}">
                <a16:creationId xmlns:a16="http://schemas.microsoft.com/office/drawing/2014/main" id="{00000000-0008-0000-0300-000006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5" name="Straight Connector 533">
            <a:extLst>
              <a:ext uri="{FF2B5EF4-FFF2-40B4-BE49-F238E27FC236}">
                <a16:creationId xmlns:a16="http://schemas.microsoft.com/office/drawing/2014/main" id="{00000000-0008-0000-0300-000007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6" name="Straight Connector 535">
            <a:extLst>
              <a:ext uri="{FF2B5EF4-FFF2-40B4-BE49-F238E27FC236}">
                <a16:creationId xmlns:a16="http://schemas.microsoft.com/office/drawing/2014/main" id="{00000000-0008-0000-0300-000008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7">
            <a:extLst>
              <a:ext uri="{FF2B5EF4-FFF2-40B4-BE49-F238E27FC236}">
                <a16:creationId xmlns:a16="http://schemas.microsoft.com/office/drawing/2014/main" id="{00000000-0008-0000-0300-000009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726281</xdr:colOff>
      <xdr:row>47</xdr:row>
      <xdr:rowOff>11907</xdr:rowOff>
    </xdr:from>
    <xdr:to>
      <xdr:col>14</xdr:col>
      <xdr:colOff>277244</xdr:colOff>
      <xdr:row>48</xdr:row>
      <xdr:rowOff>79943</xdr:rowOff>
    </xdr:to>
    <xdr:grpSp>
      <xdr:nvGrpSpPr>
        <xdr:cNvPr id="3338" name="Group 1008">
          <a:extLst>
            <a:ext uri="{FF2B5EF4-FFF2-40B4-BE49-F238E27FC236}">
              <a16:creationId xmlns:a16="http://schemas.microsoft.com/office/drawing/2014/main" id="{00000000-0008-0000-0300-00000A0D0000}"/>
            </a:ext>
          </a:extLst>
        </xdr:cNvPr>
        <xdr:cNvGrpSpPr>
          <a:grpSpLocks/>
        </xdr:cNvGrpSpPr>
      </xdr:nvGrpSpPr>
      <xdr:grpSpPr bwMode="auto">
        <a:xfrm>
          <a:off x="9453562" y="11168063"/>
          <a:ext cx="312963" cy="270443"/>
          <a:chOff x="5475762" y="47760700"/>
          <a:chExt cx="314325" cy="230209"/>
        </a:xfrm>
      </xdr:grpSpPr>
      <xdr:cxnSp macro="">
        <xdr:nvCxnSpPr>
          <xdr:cNvPr id="3339" name="Straight Connector 3338">
            <a:extLst>
              <a:ext uri="{FF2B5EF4-FFF2-40B4-BE49-F238E27FC236}">
                <a16:creationId xmlns:a16="http://schemas.microsoft.com/office/drawing/2014/main" id="{00000000-0008-0000-0300-00000B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0" name="Straight Connector 529">
            <a:extLst>
              <a:ext uri="{FF2B5EF4-FFF2-40B4-BE49-F238E27FC236}">
                <a16:creationId xmlns:a16="http://schemas.microsoft.com/office/drawing/2014/main" id="{00000000-0008-0000-0300-00000C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1" name="Straight Connector 531">
            <a:extLst>
              <a:ext uri="{FF2B5EF4-FFF2-40B4-BE49-F238E27FC236}">
                <a16:creationId xmlns:a16="http://schemas.microsoft.com/office/drawing/2014/main" id="{00000000-0008-0000-0300-00000D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2" name="Straight Connector 533">
            <a:extLst>
              <a:ext uri="{FF2B5EF4-FFF2-40B4-BE49-F238E27FC236}">
                <a16:creationId xmlns:a16="http://schemas.microsoft.com/office/drawing/2014/main" id="{00000000-0008-0000-0300-00000E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3" name="Straight Connector 535">
            <a:extLst>
              <a:ext uri="{FF2B5EF4-FFF2-40B4-BE49-F238E27FC236}">
                <a16:creationId xmlns:a16="http://schemas.microsoft.com/office/drawing/2014/main" id="{00000000-0008-0000-0300-00000F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7">
            <a:extLst>
              <a:ext uri="{FF2B5EF4-FFF2-40B4-BE49-F238E27FC236}">
                <a16:creationId xmlns:a16="http://schemas.microsoft.com/office/drawing/2014/main" id="{00000000-0008-0000-0300-000010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312963</xdr:colOff>
      <xdr:row>48</xdr:row>
      <xdr:rowOff>68035</xdr:rowOff>
    </xdr:to>
    <xdr:grpSp>
      <xdr:nvGrpSpPr>
        <xdr:cNvPr id="3345" name="Group 1008">
          <a:extLst>
            <a:ext uri="{FF2B5EF4-FFF2-40B4-BE49-F238E27FC236}">
              <a16:creationId xmlns:a16="http://schemas.microsoft.com/office/drawing/2014/main" id="{00000000-0008-0000-0300-0000110D0000}"/>
            </a:ext>
          </a:extLst>
        </xdr:cNvPr>
        <xdr:cNvGrpSpPr>
          <a:grpSpLocks/>
        </xdr:cNvGrpSpPr>
      </xdr:nvGrpSpPr>
      <xdr:grpSpPr bwMode="auto">
        <a:xfrm>
          <a:off x="6929438" y="11156156"/>
          <a:ext cx="312963" cy="270442"/>
          <a:chOff x="5475762" y="47760700"/>
          <a:chExt cx="314325" cy="230209"/>
        </a:xfrm>
      </xdr:grpSpPr>
      <xdr:cxnSp macro="">
        <xdr:nvCxnSpPr>
          <xdr:cNvPr id="3346" name="Straight Connector 3345">
            <a:extLst>
              <a:ext uri="{FF2B5EF4-FFF2-40B4-BE49-F238E27FC236}">
                <a16:creationId xmlns:a16="http://schemas.microsoft.com/office/drawing/2014/main" id="{00000000-0008-0000-0300-000012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7" name="Straight Connector 529">
            <a:extLst>
              <a:ext uri="{FF2B5EF4-FFF2-40B4-BE49-F238E27FC236}">
                <a16:creationId xmlns:a16="http://schemas.microsoft.com/office/drawing/2014/main" id="{00000000-0008-0000-0300-000013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8" name="Straight Connector 531">
            <a:extLst>
              <a:ext uri="{FF2B5EF4-FFF2-40B4-BE49-F238E27FC236}">
                <a16:creationId xmlns:a16="http://schemas.microsoft.com/office/drawing/2014/main" id="{00000000-0008-0000-0300-000014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9" name="Straight Connector 533">
            <a:extLst>
              <a:ext uri="{FF2B5EF4-FFF2-40B4-BE49-F238E27FC236}">
                <a16:creationId xmlns:a16="http://schemas.microsoft.com/office/drawing/2014/main" id="{00000000-0008-0000-0300-000015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0" name="Straight Connector 535">
            <a:extLst>
              <a:ext uri="{FF2B5EF4-FFF2-40B4-BE49-F238E27FC236}">
                <a16:creationId xmlns:a16="http://schemas.microsoft.com/office/drawing/2014/main" id="{00000000-0008-0000-0300-000016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7">
            <a:extLst>
              <a:ext uri="{FF2B5EF4-FFF2-40B4-BE49-F238E27FC236}">
                <a16:creationId xmlns:a16="http://schemas.microsoft.com/office/drawing/2014/main" id="{00000000-0008-0000-0300-000017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40</xdr:row>
      <xdr:rowOff>0</xdr:rowOff>
    </xdr:from>
    <xdr:to>
      <xdr:col>8</xdr:col>
      <xdr:colOff>312963</xdr:colOff>
      <xdr:row>41</xdr:row>
      <xdr:rowOff>68037</xdr:rowOff>
    </xdr:to>
    <xdr:grpSp>
      <xdr:nvGrpSpPr>
        <xdr:cNvPr id="3356" name="Group 1008">
          <a:extLst>
            <a:ext uri="{FF2B5EF4-FFF2-40B4-BE49-F238E27FC236}">
              <a16:creationId xmlns:a16="http://schemas.microsoft.com/office/drawing/2014/main" id="{00000000-0008-0000-0300-00001C0D0000}"/>
            </a:ext>
          </a:extLst>
        </xdr:cNvPr>
        <xdr:cNvGrpSpPr>
          <a:grpSpLocks/>
        </xdr:cNvGrpSpPr>
      </xdr:nvGrpSpPr>
      <xdr:grpSpPr bwMode="auto">
        <a:xfrm>
          <a:off x="5500688" y="9703594"/>
          <a:ext cx="312963" cy="270443"/>
          <a:chOff x="5475762" y="47760700"/>
          <a:chExt cx="314325" cy="230209"/>
        </a:xfrm>
      </xdr:grpSpPr>
      <xdr:cxnSp macro="">
        <xdr:nvCxnSpPr>
          <xdr:cNvPr id="3357" name="Straight Connector 3356">
            <a:extLst>
              <a:ext uri="{FF2B5EF4-FFF2-40B4-BE49-F238E27FC236}">
                <a16:creationId xmlns:a16="http://schemas.microsoft.com/office/drawing/2014/main" id="{00000000-0008-0000-0300-00001D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8" name="Straight Connector 529">
            <a:extLst>
              <a:ext uri="{FF2B5EF4-FFF2-40B4-BE49-F238E27FC236}">
                <a16:creationId xmlns:a16="http://schemas.microsoft.com/office/drawing/2014/main" id="{00000000-0008-0000-0300-00001E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1">
            <a:extLst>
              <a:ext uri="{FF2B5EF4-FFF2-40B4-BE49-F238E27FC236}">
                <a16:creationId xmlns:a16="http://schemas.microsoft.com/office/drawing/2014/main" id="{00000000-0008-0000-0300-00001F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3">
            <a:extLst>
              <a:ext uri="{FF2B5EF4-FFF2-40B4-BE49-F238E27FC236}">
                <a16:creationId xmlns:a16="http://schemas.microsoft.com/office/drawing/2014/main" id="{00000000-0008-0000-0300-000020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5">
            <a:extLst>
              <a:ext uri="{FF2B5EF4-FFF2-40B4-BE49-F238E27FC236}">
                <a16:creationId xmlns:a16="http://schemas.microsoft.com/office/drawing/2014/main" id="{00000000-0008-0000-0300-000021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2" name="Straight Connector 537">
            <a:extLst>
              <a:ext uri="{FF2B5EF4-FFF2-40B4-BE49-F238E27FC236}">
                <a16:creationId xmlns:a16="http://schemas.microsoft.com/office/drawing/2014/main" id="{00000000-0008-0000-0300-000022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7</xdr:col>
      <xdr:colOff>381000</xdr:colOff>
      <xdr:row>142</xdr:row>
      <xdr:rowOff>0</xdr:rowOff>
    </xdr:from>
    <xdr:to>
      <xdr:col>9</xdr:col>
      <xdr:colOff>351942</xdr:colOff>
      <xdr:row>143</xdr:row>
      <xdr:rowOff>90024</xdr:rowOff>
    </xdr:to>
    <xdr:sp macro="" textlink="">
      <xdr:nvSpPr>
        <xdr:cNvPr id="336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91125" y="30861000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428625</xdr:colOff>
      <xdr:row>142</xdr:row>
      <xdr:rowOff>47625</xdr:rowOff>
    </xdr:from>
    <xdr:to>
      <xdr:col>11</xdr:col>
      <xdr:colOff>423379</xdr:colOff>
      <xdr:row>143</xdr:row>
      <xdr:rowOff>42399</xdr:rowOff>
    </xdr:to>
    <xdr:sp macro="" textlink="">
      <xdr:nvSpPr>
        <xdr:cNvPr id="336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84156" y="30908625"/>
          <a:ext cx="1363973" cy="19718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357187</xdr:colOff>
      <xdr:row>142</xdr:row>
      <xdr:rowOff>35719</xdr:rowOff>
    </xdr:from>
    <xdr:to>
      <xdr:col>13</xdr:col>
      <xdr:colOff>392907</xdr:colOff>
      <xdr:row>143</xdr:row>
      <xdr:rowOff>66211</xdr:rowOff>
    </xdr:to>
    <xdr:sp macro="" textlink="">
      <xdr:nvSpPr>
        <xdr:cNvPr id="336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81937" y="30896719"/>
          <a:ext cx="1238251" cy="23289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369094</xdr:colOff>
      <xdr:row>142</xdr:row>
      <xdr:rowOff>0</xdr:rowOff>
    </xdr:from>
    <xdr:to>
      <xdr:col>15</xdr:col>
      <xdr:colOff>351941</xdr:colOff>
      <xdr:row>143</xdr:row>
      <xdr:rowOff>90024</xdr:rowOff>
    </xdr:to>
    <xdr:sp macro="" textlink="">
      <xdr:nvSpPr>
        <xdr:cNvPr id="336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096375" y="30861000"/>
          <a:ext cx="1340160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297656</xdr:colOff>
      <xdr:row>142</xdr:row>
      <xdr:rowOff>11906</xdr:rowOff>
    </xdr:from>
    <xdr:to>
      <xdr:col>17</xdr:col>
      <xdr:colOff>363848</xdr:colOff>
      <xdr:row>143</xdr:row>
      <xdr:rowOff>90024</xdr:rowOff>
    </xdr:to>
    <xdr:sp macro="" textlink="">
      <xdr:nvSpPr>
        <xdr:cNvPr id="336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382250" y="30872906"/>
          <a:ext cx="1447317" cy="28052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404812</xdr:colOff>
      <xdr:row>142</xdr:row>
      <xdr:rowOff>35720</xdr:rowOff>
    </xdr:from>
    <xdr:to>
      <xdr:col>19</xdr:col>
      <xdr:colOff>357187</xdr:colOff>
      <xdr:row>143</xdr:row>
      <xdr:rowOff>125744</xdr:rowOff>
    </xdr:to>
    <xdr:sp macro="" textlink="">
      <xdr:nvSpPr>
        <xdr:cNvPr id="336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70531" y="30896720"/>
          <a:ext cx="1190625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273844</xdr:colOff>
      <xdr:row>142</xdr:row>
      <xdr:rowOff>35719</xdr:rowOff>
    </xdr:from>
    <xdr:to>
      <xdr:col>21</xdr:col>
      <xdr:colOff>423379</xdr:colOff>
      <xdr:row>143</xdr:row>
      <xdr:rowOff>78117</xdr:rowOff>
    </xdr:to>
    <xdr:sp macro="" textlink="">
      <xdr:nvSpPr>
        <xdr:cNvPr id="337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2977813" y="30896719"/>
          <a:ext cx="1363972" cy="24480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369093</xdr:colOff>
      <xdr:row>142</xdr:row>
      <xdr:rowOff>47625</xdr:rowOff>
    </xdr:from>
    <xdr:to>
      <xdr:col>23</xdr:col>
      <xdr:colOff>340034</xdr:colOff>
      <xdr:row>143</xdr:row>
      <xdr:rowOff>113836</xdr:rowOff>
    </xdr:to>
    <xdr:sp macro="" textlink="">
      <xdr:nvSpPr>
        <xdr:cNvPr id="337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87499" y="30908625"/>
          <a:ext cx="1304441" cy="26861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345282</xdr:colOff>
      <xdr:row>142</xdr:row>
      <xdr:rowOff>11905</xdr:rowOff>
    </xdr:from>
    <xdr:to>
      <xdr:col>25</xdr:col>
      <xdr:colOff>71438</xdr:colOff>
      <xdr:row>143</xdr:row>
      <xdr:rowOff>95250</xdr:rowOff>
    </xdr:to>
    <xdr:sp macro="" textlink="">
      <xdr:nvSpPr>
        <xdr:cNvPr id="337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597188" y="30872905"/>
          <a:ext cx="1059656" cy="28575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464343</xdr:colOff>
      <xdr:row>148</xdr:row>
      <xdr:rowOff>190500</xdr:rowOff>
    </xdr:from>
    <xdr:to>
      <xdr:col>3</xdr:col>
      <xdr:colOff>351942</xdr:colOff>
      <xdr:row>150</xdr:row>
      <xdr:rowOff>113836</xdr:rowOff>
    </xdr:to>
    <xdr:sp macro="" textlink="">
      <xdr:nvSpPr>
        <xdr:cNvPr id="337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9656" y="32301656"/>
          <a:ext cx="1435411" cy="32814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392907</xdr:colOff>
      <xdr:row>149</xdr:row>
      <xdr:rowOff>23812</xdr:rowOff>
    </xdr:from>
    <xdr:to>
      <xdr:col>5</xdr:col>
      <xdr:colOff>345283</xdr:colOff>
      <xdr:row>150</xdr:row>
      <xdr:rowOff>78117</xdr:rowOff>
    </xdr:to>
    <xdr:sp macro="" textlink="">
      <xdr:nvSpPr>
        <xdr:cNvPr id="337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36032" y="32337375"/>
          <a:ext cx="1297782" cy="25671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369095</xdr:colOff>
      <xdr:row>149</xdr:row>
      <xdr:rowOff>23812</xdr:rowOff>
    </xdr:from>
    <xdr:to>
      <xdr:col>7</xdr:col>
      <xdr:colOff>357189</xdr:colOff>
      <xdr:row>150</xdr:row>
      <xdr:rowOff>107155</xdr:rowOff>
    </xdr:to>
    <xdr:sp macro="" textlink="">
      <xdr:nvSpPr>
        <xdr:cNvPr id="337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57626" y="32337375"/>
          <a:ext cx="1309688" cy="28574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369094</xdr:colOff>
      <xdr:row>149</xdr:row>
      <xdr:rowOff>23811</xdr:rowOff>
    </xdr:from>
    <xdr:to>
      <xdr:col>9</xdr:col>
      <xdr:colOff>387661</xdr:colOff>
      <xdr:row>150</xdr:row>
      <xdr:rowOff>142874</xdr:rowOff>
    </xdr:to>
    <xdr:sp macro="" textlink="">
      <xdr:nvSpPr>
        <xdr:cNvPr id="337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79219" y="32337374"/>
          <a:ext cx="1363973" cy="32146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321469</xdr:colOff>
      <xdr:row>106</xdr:row>
      <xdr:rowOff>166687</xdr:rowOff>
    </xdr:from>
    <xdr:to>
      <xdr:col>23</xdr:col>
      <xdr:colOff>304317</xdr:colOff>
      <xdr:row>108</xdr:row>
      <xdr:rowOff>54305</xdr:rowOff>
    </xdr:to>
    <xdr:sp macro="" textlink="">
      <xdr:nvSpPr>
        <xdr:cNvPr id="336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39875" y="23538656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333376</xdr:colOff>
      <xdr:row>106</xdr:row>
      <xdr:rowOff>142875</xdr:rowOff>
    </xdr:from>
    <xdr:to>
      <xdr:col>25</xdr:col>
      <xdr:colOff>47625</xdr:colOff>
      <xdr:row>108</xdr:row>
      <xdr:rowOff>78118</xdr:rowOff>
    </xdr:to>
    <xdr:sp macro="" textlink="">
      <xdr:nvSpPr>
        <xdr:cNvPr id="337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585282" y="23514844"/>
          <a:ext cx="1047749" cy="34005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523875</xdr:colOff>
      <xdr:row>114</xdr:row>
      <xdr:rowOff>35719</xdr:rowOff>
    </xdr:from>
    <xdr:to>
      <xdr:col>3</xdr:col>
      <xdr:colOff>292411</xdr:colOff>
      <xdr:row>115</xdr:row>
      <xdr:rowOff>125743</xdr:rowOff>
    </xdr:to>
    <xdr:sp macro="" textlink="">
      <xdr:nvSpPr>
        <xdr:cNvPr id="337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19188" y="2507456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297656</xdr:colOff>
      <xdr:row>114</xdr:row>
      <xdr:rowOff>35719</xdr:rowOff>
    </xdr:from>
    <xdr:to>
      <xdr:col>5</xdr:col>
      <xdr:colOff>268598</xdr:colOff>
      <xdr:row>115</xdr:row>
      <xdr:rowOff>125743</xdr:rowOff>
    </xdr:to>
    <xdr:sp macro="" textlink="">
      <xdr:nvSpPr>
        <xdr:cNvPr id="337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440781" y="2507456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381000</xdr:colOff>
      <xdr:row>113</xdr:row>
      <xdr:rowOff>178593</xdr:rowOff>
    </xdr:from>
    <xdr:to>
      <xdr:col>7</xdr:col>
      <xdr:colOff>333375</xdr:colOff>
      <xdr:row>115</xdr:row>
      <xdr:rowOff>107156</xdr:rowOff>
    </xdr:to>
    <xdr:sp macro="" textlink="">
      <xdr:nvSpPr>
        <xdr:cNvPr id="338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69531" y="25015031"/>
          <a:ext cx="1273969" cy="3333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440532</xdr:colOff>
      <xdr:row>114</xdr:row>
      <xdr:rowOff>71437</xdr:rowOff>
    </xdr:from>
    <xdr:to>
      <xdr:col>9</xdr:col>
      <xdr:colOff>333375</xdr:colOff>
      <xdr:row>115</xdr:row>
      <xdr:rowOff>161461</xdr:rowOff>
    </xdr:to>
    <xdr:sp macro="" textlink="">
      <xdr:nvSpPr>
        <xdr:cNvPr id="338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50657" y="25110281"/>
          <a:ext cx="1238249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464344</xdr:colOff>
      <xdr:row>114</xdr:row>
      <xdr:rowOff>47625</xdr:rowOff>
    </xdr:from>
    <xdr:to>
      <xdr:col>11</xdr:col>
      <xdr:colOff>345281</xdr:colOff>
      <xdr:row>115</xdr:row>
      <xdr:rowOff>173368</xdr:rowOff>
    </xdr:to>
    <xdr:sp macro="" textlink="">
      <xdr:nvSpPr>
        <xdr:cNvPr id="338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619875" y="25086469"/>
          <a:ext cx="1250156" cy="32814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416718</xdr:colOff>
      <xdr:row>114</xdr:row>
      <xdr:rowOff>71437</xdr:rowOff>
    </xdr:from>
    <xdr:to>
      <xdr:col>13</xdr:col>
      <xdr:colOff>392907</xdr:colOff>
      <xdr:row>116</xdr:row>
      <xdr:rowOff>30492</xdr:rowOff>
    </xdr:to>
    <xdr:sp macro="" textlink="">
      <xdr:nvSpPr>
        <xdr:cNvPr id="338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41468" y="25110281"/>
          <a:ext cx="1178720" cy="37577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547687</xdr:colOff>
      <xdr:row>114</xdr:row>
      <xdr:rowOff>95250</xdr:rowOff>
    </xdr:from>
    <xdr:to>
      <xdr:col>15</xdr:col>
      <xdr:colOff>369094</xdr:colOff>
      <xdr:row>116</xdr:row>
      <xdr:rowOff>54304</xdr:rowOff>
    </xdr:to>
    <xdr:sp macro="" textlink="">
      <xdr:nvSpPr>
        <xdr:cNvPr id="338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274968" y="25134094"/>
          <a:ext cx="1178720" cy="3757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428625</xdr:colOff>
      <xdr:row>114</xdr:row>
      <xdr:rowOff>83344</xdr:rowOff>
    </xdr:from>
    <xdr:to>
      <xdr:col>17</xdr:col>
      <xdr:colOff>273844</xdr:colOff>
      <xdr:row>115</xdr:row>
      <xdr:rowOff>178594</xdr:rowOff>
    </xdr:to>
    <xdr:sp macro="" textlink="">
      <xdr:nvSpPr>
        <xdr:cNvPr id="338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513219" y="25122188"/>
          <a:ext cx="1226344" cy="29765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452436</xdr:colOff>
      <xdr:row>114</xdr:row>
      <xdr:rowOff>71437</xdr:rowOff>
    </xdr:from>
    <xdr:to>
      <xdr:col>19</xdr:col>
      <xdr:colOff>226219</xdr:colOff>
      <xdr:row>115</xdr:row>
      <xdr:rowOff>185274</xdr:rowOff>
    </xdr:to>
    <xdr:sp macro="" textlink="">
      <xdr:nvSpPr>
        <xdr:cNvPr id="338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918155" y="25110281"/>
          <a:ext cx="1012033" cy="31624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333375</xdr:colOff>
      <xdr:row>114</xdr:row>
      <xdr:rowOff>71437</xdr:rowOff>
    </xdr:from>
    <xdr:to>
      <xdr:col>21</xdr:col>
      <xdr:colOff>321469</xdr:colOff>
      <xdr:row>115</xdr:row>
      <xdr:rowOff>185274</xdr:rowOff>
    </xdr:to>
    <xdr:sp macro="" textlink="">
      <xdr:nvSpPr>
        <xdr:cNvPr id="338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37344" y="25110281"/>
          <a:ext cx="1202531" cy="31624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440531</xdr:colOff>
      <xdr:row>114</xdr:row>
      <xdr:rowOff>59531</xdr:rowOff>
    </xdr:from>
    <xdr:to>
      <xdr:col>23</xdr:col>
      <xdr:colOff>273844</xdr:colOff>
      <xdr:row>116</xdr:row>
      <xdr:rowOff>30492</xdr:rowOff>
    </xdr:to>
    <xdr:sp macro="" textlink="">
      <xdr:nvSpPr>
        <xdr:cNvPr id="338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358937" y="25098375"/>
          <a:ext cx="1166813" cy="38768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428625</xdr:colOff>
      <xdr:row>114</xdr:row>
      <xdr:rowOff>95250</xdr:rowOff>
    </xdr:from>
    <xdr:to>
      <xdr:col>24</xdr:col>
      <xdr:colOff>619125</xdr:colOff>
      <xdr:row>115</xdr:row>
      <xdr:rowOff>185274</xdr:rowOff>
    </xdr:to>
    <xdr:sp macro="" textlink="">
      <xdr:nvSpPr>
        <xdr:cNvPr id="338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80531" y="25134094"/>
          <a:ext cx="881063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571500</xdr:colOff>
      <xdr:row>121</xdr:row>
      <xdr:rowOff>47625</xdr:rowOff>
    </xdr:from>
    <xdr:to>
      <xdr:col>3</xdr:col>
      <xdr:colOff>357188</xdr:colOff>
      <xdr:row>122</xdr:row>
      <xdr:rowOff>197180</xdr:rowOff>
    </xdr:to>
    <xdr:sp macro="" textlink="">
      <xdr:nvSpPr>
        <xdr:cNvPr id="339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66813" y="26539031"/>
          <a:ext cx="1333500" cy="35196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404812</xdr:colOff>
      <xdr:row>121</xdr:row>
      <xdr:rowOff>59532</xdr:rowOff>
    </xdr:from>
    <xdr:to>
      <xdr:col>5</xdr:col>
      <xdr:colOff>309563</xdr:colOff>
      <xdr:row>122</xdr:row>
      <xdr:rowOff>161461</xdr:rowOff>
    </xdr:to>
    <xdr:sp macro="" textlink="">
      <xdr:nvSpPr>
        <xdr:cNvPr id="339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47937" y="26550938"/>
          <a:ext cx="1250157" cy="30433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440532</xdr:colOff>
      <xdr:row>121</xdr:row>
      <xdr:rowOff>83344</xdr:rowOff>
    </xdr:from>
    <xdr:to>
      <xdr:col>7</xdr:col>
      <xdr:colOff>250031</xdr:colOff>
      <xdr:row>122</xdr:row>
      <xdr:rowOff>197180</xdr:rowOff>
    </xdr:to>
    <xdr:sp macro="" textlink="">
      <xdr:nvSpPr>
        <xdr:cNvPr id="339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929063" y="26574750"/>
          <a:ext cx="1131093" cy="31624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321469</xdr:colOff>
      <xdr:row>121</xdr:row>
      <xdr:rowOff>11907</xdr:rowOff>
    </xdr:from>
    <xdr:to>
      <xdr:col>9</xdr:col>
      <xdr:colOff>292411</xdr:colOff>
      <xdr:row>122</xdr:row>
      <xdr:rowOff>101930</xdr:rowOff>
    </xdr:to>
    <xdr:sp macro="" textlink="">
      <xdr:nvSpPr>
        <xdr:cNvPr id="339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31594" y="2650331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369095</xdr:colOff>
      <xdr:row>121</xdr:row>
      <xdr:rowOff>0</xdr:rowOff>
    </xdr:from>
    <xdr:to>
      <xdr:col>11</xdr:col>
      <xdr:colOff>416720</xdr:colOff>
      <xdr:row>122</xdr:row>
      <xdr:rowOff>161463</xdr:rowOff>
    </xdr:to>
    <xdr:sp macro="" textlink="">
      <xdr:nvSpPr>
        <xdr:cNvPr id="339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24626" y="26491406"/>
          <a:ext cx="1416844" cy="36387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416718</xdr:colOff>
      <xdr:row>121</xdr:row>
      <xdr:rowOff>35719</xdr:rowOff>
    </xdr:from>
    <xdr:to>
      <xdr:col>13</xdr:col>
      <xdr:colOff>416719</xdr:colOff>
      <xdr:row>122</xdr:row>
      <xdr:rowOff>71437</xdr:rowOff>
    </xdr:to>
    <xdr:sp macro="" textlink="">
      <xdr:nvSpPr>
        <xdr:cNvPr id="339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41468" y="26527125"/>
          <a:ext cx="1202532" cy="2381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481352</xdr:colOff>
      <xdr:row>107</xdr:row>
      <xdr:rowOff>34018</xdr:rowOff>
    </xdr:from>
    <xdr:to>
      <xdr:col>3</xdr:col>
      <xdr:colOff>381000</xdr:colOff>
      <xdr:row>107</xdr:row>
      <xdr:rowOff>154781</xdr:rowOff>
    </xdr:to>
    <xdr:sp macro="" textlink="">
      <xdr:nvSpPr>
        <xdr:cNvPr id="339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76665" y="23608393"/>
          <a:ext cx="1447460" cy="12076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340178</xdr:colOff>
      <xdr:row>107</xdr:row>
      <xdr:rowOff>0</xdr:rowOff>
    </xdr:from>
    <xdr:to>
      <xdr:col>5</xdr:col>
      <xdr:colOff>367392</xdr:colOff>
      <xdr:row>108</xdr:row>
      <xdr:rowOff>20288</xdr:rowOff>
    </xdr:to>
    <xdr:sp macro="" textlink="">
      <xdr:nvSpPr>
        <xdr:cNvPr id="339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490107" y="23241000"/>
          <a:ext cx="1374321" cy="22439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340178</xdr:colOff>
      <xdr:row>107</xdr:row>
      <xdr:rowOff>27214</xdr:rowOff>
    </xdr:from>
    <xdr:to>
      <xdr:col>7</xdr:col>
      <xdr:colOff>323025</xdr:colOff>
      <xdr:row>108</xdr:row>
      <xdr:rowOff>6680</xdr:rowOff>
    </xdr:to>
    <xdr:sp macro="" textlink="">
      <xdr:nvSpPr>
        <xdr:cNvPr id="339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37214" y="23268214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367391</xdr:colOff>
      <xdr:row>106</xdr:row>
      <xdr:rowOff>190500</xdr:rowOff>
    </xdr:from>
    <xdr:to>
      <xdr:col>9</xdr:col>
      <xdr:colOff>340177</xdr:colOff>
      <xdr:row>107</xdr:row>
      <xdr:rowOff>197180</xdr:rowOff>
    </xdr:to>
    <xdr:sp macro="" textlink="">
      <xdr:nvSpPr>
        <xdr:cNvPr id="339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184320" y="23227393"/>
          <a:ext cx="1319893" cy="21078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421821</xdr:colOff>
      <xdr:row>106</xdr:row>
      <xdr:rowOff>163286</xdr:rowOff>
    </xdr:from>
    <xdr:to>
      <xdr:col>11</xdr:col>
      <xdr:colOff>350240</xdr:colOff>
      <xdr:row>107</xdr:row>
      <xdr:rowOff>142752</xdr:rowOff>
    </xdr:to>
    <xdr:sp macro="" textlink="">
      <xdr:nvSpPr>
        <xdr:cNvPr id="340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585857" y="23200179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408215</xdr:colOff>
      <xdr:row>106</xdr:row>
      <xdr:rowOff>122464</xdr:rowOff>
    </xdr:from>
    <xdr:to>
      <xdr:col>13</xdr:col>
      <xdr:colOff>462643</xdr:colOff>
      <xdr:row>107</xdr:row>
      <xdr:rowOff>156358</xdr:rowOff>
    </xdr:to>
    <xdr:sp macro="" textlink="">
      <xdr:nvSpPr>
        <xdr:cNvPr id="340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946572" y="23159357"/>
          <a:ext cx="1251857" cy="23800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462642</xdr:colOff>
      <xdr:row>106</xdr:row>
      <xdr:rowOff>149678</xdr:rowOff>
    </xdr:from>
    <xdr:to>
      <xdr:col>15</xdr:col>
      <xdr:colOff>404668</xdr:colOff>
      <xdr:row>107</xdr:row>
      <xdr:rowOff>129144</xdr:rowOff>
    </xdr:to>
    <xdr:sp macro="" textlink="">
      <xdr:nvSpPr>
        <xdr:cNvPr id="340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98428" y="23186571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367392</xdr:colOff>
      <xdr:row>106</xdr:row>
      <xdr:rowOff>176893</xdr:rowOff>
    </xdr:from>
    <xdr:to>
      <xdr:col>17</xdr:col>
      <xdr:colOff>295811</xdr:colOff>
      <xdr:row>107</xdr:row>
      <xdr:rowOff>156359</xdr:rowOff>
    </xdr:to>
    <xdr:sp macro="" textlink="">
      <xdr:nvSpPr>
        <xdr:cNvPr id="340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63892" y="23213786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353786</xdr:colOff>
      <xdr:row>107</xdr:row>
      <xdr:rowOff>13607</xdr:rowOff>
    </xdr:from>
    <xdr:to>
      <xdr:col>19</xdr:col>
      <xdr:colOff>299357</xdr:colOff>
      <xdr:row>107</xdr:row>
      <xdr:rowOff>156358</xdr:rowOff>
    </xdr:to>
    <xdr:sp macro="" textlink="">
      <xdr:nvSpPr>
        <xdr:cNvPr id="340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24607" y="23254607"/>
          <a:ext cx="1197429" cy="14275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299357</xdr:colOff>
      <xdr:row>106</xdr:row>
      <xdr:rowOff>190499</xdr:rowOff>
    </xdr:from>
    <xdr:to>
      <xdr:col>21</xdr:col>
      <xdr:colOff>377455</xdr:colOff>
      <xdr:row>107</xdr:row>
      <xdr:rowOff>169965</xdr:rowOff>
    </xdr:to>
    <xdr:sp macro="" textlink="">
      <xdr:nvSpPr>
        <xdr:cNvPr id="340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22036" y="23227392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449035</xdr:colOff>
      <xdr:row>121</xdr:row>
      <xdr:rowOff>27214</xdr:rowOff>
    </xdr:from>
    <xdr:to>
      <xdr:col>15</xdr:col>
      <xdr:colOff>312964</xdr:colOff>
      <xdr:row>122</xdr:row>
      <xdr:rowOff>90146</xdr:rowOff>
    </xdr:to>
    <xdr:sp macro="" textlink="">
      <xdr:nvSpPr>
        <xdr:cNvPr id="340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84821" y="26125714"/>
          <a:ext cx="1224643" cy="2670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394606</xdr:colOff>
      <xdr:row>121</xdr:row>
      <xdr:rowOff>40821</xdr:rowOff>
    </xdr:from>
    <xdr:to>
      <xdr:col>17</xdr:col>
      <xdr:colOff>340178</xdr:colOff>
      <xdr:row>122</xdr:row>
      <xdr:rowOff>76539</xdr:rowOff>
    </xdr:to>
    <xdr:sp macro="" textlink="">
      <xdr:nvSpPr>
        <xdr:cNvPr id="340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91106" y="26139321"/>
          <a:ext cx="1319893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367393</xdr:colOff>
      <xdr:row>121</xdr:row>
      <xdr:rowOff>27214</xdr:rowOff>
    </xdr:from>
    <xdr:to>
      <xdr:col>19</xdr:col>
      <xdr:colOff>312965</xdr:colOff>
      <xdr:row>122</xdr:row>
      <xdr:rowOff>62932</xdr:rowOff>
    </xdr:to>
    <xdr:sp macro="" textlink="">
      <xdr:nvSpPr>
        <xdr:cNvPr id="340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838214" y="26125714"/>
          <a:ext cx="1197430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326571</xdr:colOff>
      <xdr:row>121</xdr:row>
      <xdr:rowOff>13607</xdr:rowOff>
    </xdr:from>
    <xdr:to>
      <xdr:col>21</xdr:col>
      <xdr:colOff>299359</xdr:colOff>
      <xdr:row>122</xdr:row>
      <xdr:rowOff>49325</xdr:rowOff>
    </xdr:to>
    <xdr:sp macro="" textlink="">
      <xdr:nvSpPr>
        <xdr:cNvPr id="340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49250" y="26112107"/>
          <a:ext cx="1197430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421821</xdr:colOff>
      <xdr:row>121</xdr:row>
      <xdr:rowOff>81643</xdr:rowOff>
    </xdr:from>
    <xdr:to>
      <xdr:col>23</xdr:col>
      <xdr:colOff>285751</xdr:colOff>
      <xdr:row>122</xdr:row>
      <xdr:rowOff>117361</xdr:rowOff>
    </xdr:to>
    <xdr:sp macro="" textlink="">
      <xdr:nvSpPr>
        <xdr:cNvPr id="341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369142" y="26180143"/>
          <a:ext cx="1197430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367393</xdr:colOff>
      <xdr:row>121</xdr:row>
      <xdr:rowOff>40822</xdr:rowOff>
    </xdr:from>
    <xdr:to>
      <xdr:col>25</xdr:col>
      <xdr:colOff>68036</xdr:colOff>
      <xdr:row>122</xdr:row>
      <xdr:rowOff>90147</xdr:rowOff>
    </xdr:to>
    <xdr:sp macro="" textlink="">
      <xdr:nvSpPr>
        <xdr:cNvPr id="341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48214" y="26139322"/>
          <a:ext cx="1034143" cy="25343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449036</xdr:colOff>
      <xdr:row>128</xdr:row>
      <xdr:rowOff>68035</xdr:rowOff>
    </xdr:from>
    <xdr:to>
      <xdr:col>3</xdr:col>
      <xdr:colOff>272142</xdr:colOff>
      <xdr:row>129</xdr:row>
      <xdr:rowOff>158181</xdr:rowOff>
    </xdr:to>
    <xdr:sp macro="" textlink="">
      <xdr:nvSpPr>
        <xdr:cNvPr id="341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7750" y="27595285"/>
          <a:ext cx="1374321" cy="2942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517071</xdr:colOff>
      <xdr:row>128</xdr:row>
      <xdr:rowOff>108857</xdr:rowOff>
    </xdr:from>
    <xdr:to>
      <xdr:col>5</xdr:col>
      <xdr:colOff>190500</xdr:colOff>
      <xdr:row>129</xdr:row>
      <xdr:rowOff>144575</xdr:rowOff>
    </xdr:to>
    <xdr:sp macro="" textlink="">
      <xdr:nvSpPr>
        <xdr:cNvPr id="341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667000" y="27636107"/>
          <a:ext cx="1020536" cy="23982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421821</xdr:colOff>
      <xdr:row>128</xdr:row>
      <xdr:rowOff>54429</xdr:rowOff>
    </xdr:from>
    <xdr:to>
      <xdr:col>7</xdr:col>
      <xdr:colOff>244930</xdr:colOff>
      <xdr:row>129</xdr:row>
      <xdr:rowOff>144575</xdr:rowOff>
    </xdr:to>
    <xdr:sp macro="" textlink="">
      <xdr:nvSpPr>
        <xdr:cNvPr id="341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918857" y="27581679"/>
          <a:ext cx="1143002" cy="2942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435428</xdr:colOff>
      <xdr:row>128</xdr:row>
      <xdr:rowOff>68035</xdr:rowOff>
    </xdr:from>
    <xdr:to>
      <xdr:col>9</xdr:col>
      <xdr:colOff>285751</xdr:colOff>
      <xdr:row>129</xdr:row>
      <xdr:rowOff>176892</xdr:rowOff>
    </xdr:to>
    <xdr:sp macro="" textlink="">
      <xdr:nvSpPr>
        <xdr:cNvPr id="341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52357" y="27595285"/>
          <a:ext cx="1197430" cy="31296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557892</xdr:colOff>
      <xdr:row>128</xdr:row>
      <xdr:rowOff>1</xdr:rowOff>
    </xdr:from>
    <xdr:to>
      <xdr:col>11</xdr:col>
      <xdr:colOff>326572</xdr:colOff>
      <xdr:row>129</xdr:row>
      <xdr:rowOff>76540</xdr:rowOff>
    </xdr:to>
    <xdr:sp macro="" textlink="">
      <xdr:nvSpPr>
        <xdr:cNvPr id="341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721928" y="27527251"/>
          <a:ext cx="1143001" cy="28064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</xdr:col>
      <xdr:colOff>0</xdr:colOff>
      <xdr:row>20</xdr:row>
      <xdr:rowOff>0</xdr:rowOff>
    </xdr:from>
    <xdr:to>
      <xdr:col>2</xdr:col>
      <xdr:colOff>312963</xdr:colOff>
      <xdr:row>21</xdr:row>
      <xdr:rowOff>81643</xdr:rowOff>
    </xdr:to>
    <xdr:grpSp>
      <xdr:nvGrpSpPr>
        <xdr:cNvPr id="3431" name="Group 1008">
          <a:extLst>
            <a:ext uri="{FF2B5EF4-FFF2-40B4-BE49-F238E27FC236}">
              <a16:creationId xmlns:a16="http://schemas.microsoft.com/office/drawing/2014/main" id="{00000000-0008-0000-0300-0000670D0000}"/>
            </a:ext>
          </a:extLst>
        </xdr:cNvPr>
        <xdr:cNvGrpSpPr>
          <a:grpSpLocks/>
        </xdr:cNvGrpSpPr>
      </xdr:nvGrpSpPr>
      <xdr:grpSpPr bwMode="auto">
        <a:xfrm>
          <a:off x="1535906" y="5560219"/>
          <a:ext cx="312963" cy="272143"/>
          <a:chOff x="5475762" y="47760700"/>
          <a:chExt cx="314325" cy="230209"/>
        </a:xfrm>
      </xdr:grpSpPr>
      <xdr:cxnSp macro="">
        <xdr:nvCxnSpPr>
          <xdr:cNvPr id="3432" name="Straight Connector 3431">
            <a:extLst>
              <a:ext uri="{FF2B5EF4-FFF2-40B4-BE49-F238E27FC236}">
                <a16:creationId xmlns:a16="http://schemas.microsoft.com/office/drawing/2014/main" id="{00000000-0008-0000-0300-0000680D0000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3" name="Straight Connector 529">
            <a:extLst>
              <a:ext uri="{FF2B5EF4-FFF2-40B4-BE49-F238E27FC236}">
                <a16:creationId xmlns:a16="http://schemas.microsoft.com/office/drawing/2014/main" id="{00000000-0008-0000-0300-0000690D00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4" name="Straight Connector 531">
            <a:extLst>
              <a:ext uri="{FF2B5EF4-FFF2-40B4-BE49-F238E27FC236}">
                <a16:creationId xmlns:a16="http://schemas.microsoft.com/office/drawing/2014/main" id="{00000000-0008-0000-0300-00006A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3">
            <a:extLst>
              <a:ext uri="{FF2B5EF4-FFF2-40B4-BE49-F238E27FC236}">
                <a16:creationId xmlns:a16="http://schemas.microsoft.com/office/drawing/2014/main" id="{00000000-0008-0000-0300-00006B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5">
            <a:extLst>
              <a:ext uri="{FF2B5EF4-FFF2-40B4-BE49-F238E27FC236}">
                <a16:creationId xmlns:a16="http://schemas.microsoft.com/office/drawing/2014/main" id="{00000000-0008-0000-0300-00006C0D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7">
            <a:extLst>
              <a:ext uri="{FF2B5EF4-FFF2-40B4-BE49-F238E27FC236}">
                <a16:creationId xmlns:a16="http://schemas.microsoft.com/office/drawing/2014/main" id="{00000000-0008-0000-0300-00006D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23</xdr:col>
      <xdr:colOff>379299</xdr:colOff>
      <xdr:row>100</xdr:row>
      <xdr:rowOff>13608</xdr:rowOff>
    </xdr:from>
    <xdr:to>
      <xdr:col>25</xdr:col>
      <xdr:colOff>11907</xdr:colOff>
      <xdr:row>101</xdr:row>
      <xdr:rowOff>13607</xdr:rowOff>
    </xdr:to>
    <xdr:sp macro="" textlink="">
      <xdr:nvSpPr>
        <xdr:cNvPr id="343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31205" y="22135421"/>
          <a:ext cx="966108" cy="2024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100</xdr:row>
      <xdr:rowOff>13607</xdr:rowOff>
    </xdr:from>
    <xdr:to>
      <xdr:col>23</xdr:col>
      <xdr:colOff>353786</xdr:colOff>
      <xdr:row>100</xdr:row>
      <xdr:rowOff>190500</xdr:rowOff>
    </xdr:to>
    <xdr:sp macro="" textlink="">
      <xdr:nvSpPr>
        <xdr:cNvPr id="343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328321" y="21825857"/>
          <a:ext cx="1306286" cy="17689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489857</xdr:colOff>
      <xdr:row>71</xdr:row>
      <xdr:rowOff>27214</xdr:rowOff>
    </xdr:from>
    <xdr:to>
      <xdr:col>11</xdr:col>
      <xdr:colOff>418276</xdr:colOff>
      <xdr:row>72</xdr:row>
      <xdr:rowOff>6680</xdr:rowOff>
    </xdr:to>
    <xdr:sp macro="" textlink="">
      <xdr:nvSpPr>
        <xdr:cNvPr id="341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6653893" y="15920357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353786</xdr:colOff>
      <xdr:row>71</xdr:row>
      <xdr:rowOff>27214</xdr:rowOff>
    </xdr:from>
    <xdr:to>
      <xdr:col>13</xdr:col>
      <xdr:colOff>459097</xdr:colOff>
      <xdr:row>72</xdr:row>
      <xdr:rowOff>6680</xdr:rowOff>
    </xdr:to>
    <xdr:sp macro="" textlink="">
      <xdr:nvSpPr>
        <xdr:cNvPr id="341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7892143" y="15920357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421821</xdr:colOff>
      <xdr:row>71</xdr:row>
      <xdr:rowOff>27214</xdr:rowOff>
    </xdr:from>
    <xdr:to>
      <xdr:col>15</xdr:col>
      <xdr:colOff>363847</xdr:colOff>
      <xdr:row>72</xdr:row>
      <xdr:rowOff>6680</xdr:rowOff>
    </xdr:to>
    <xdr:sp macro="" textlink="">
      <xdr:nvSpPr>
        <xdr:cNvPr id="3419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9157607" y="15920357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381000</xdr:colOff>
      <xdr:row>71</xdr:row>
      <xdr:rowOff>35718</xdr:rowOff>
    </xdr:from>
    <xdr:to>
      <xdr:col>17</xdr:col>
      <xdr:colOff>363847</xdr:colOff>
      <xdr:row>71</xdr:row>
      <xdr:rowOff>183573</xdr:rowOff>
    </xdr:to>
    <xdr:sp macro="" textlink="">
      <xdr:nvSpPr>
        <xdr:cNvPr id="3420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0465594" y="16156781"/>
          <a:ext cx="1363972" cy="14785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285750</xdr:colOff>
      <xdr:row>71</xdr:row>
      <xdr:rowOff>13607</xdr:rowOff>
    </xdr:from>
    <xdr:to>
      <xdr:col>19</xdr:col>
      <xdr:colOff>336632</xdr:colOff>
      <xdr:row>71</xdr:row>
      <xdr:rowOff>197180</xdr:rowOff>
    </xdr:to>
    <xdr:sp macro="" textlink="">
      <xdr:nvSpPr>
        <xdr:cNvPr id="3421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756571" y="15906750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326571</xdr:colOff>
      <xdr:row>71</xdr:row>
      <xdr:rowOff>27215</xdr:rowOff>
    </xdr:from>
    <xdr:to>
      <xdr:col>21</xdr:col>
      <xdr:colOff>404669</xdr:colOff>
      <xdr:row>72</xdr:row>
      <xdr:rowOff>6681</xdr:rowOff>
    </xdr:to>
    <xdr:sp macro="" textlink="">
      <xdr:nvSpPr>
        <xdr:cNvPr id="3422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3049250" y="15920358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299356</xdr:colOff>
      <xdr:row>71</xdr:row>
      <xdr:rowOff>47624</xdr:rowOff>
    </xdr:from>
    <xdr:to>
      <xdr:col>23</xdr:col>
      <xdr:colOff>357187</xdr:colOff>
      <xdr:row>72</xdr:row>
      <xdr:rowOff>6680</xdr:rowOff>
    </xdr:to>
    <xdr:sp macro="" textlink="">
      <xdr:nvSpPr>
        <xdr:cNvPr id="3423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4217762" y="16168687"/>
          <a:ext cx="1391331" cy="16146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367393</xdr:colOff>
      <xdr:row>71</xdr:row>
      <xdr:rowOff>54427</xdr:rowOff>
    </xdr:from>
    <xdr:to>
      <xdr:col>25</xdr:col>
      <xdr:colOff>0</xdr:colOff>
      <xdr:row>71</xdr:row>
      <xdr:rowOff>197180</xdr:rowOff>
    </xdr:to>
    <xdr:sp macro="" textlink="">
      <xdr:nvSpPr>
        <xdr:cNvPr id="3424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5648214" y="15947570"/>
          <a:ext cx="966107" cy="1427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503464</xdr:colOff>
      <xdr:row>78</xdr:row>
      <xdr:rowOff>13607</xdr:rowOff>
    </xdr:from>
    <xdr:to>
      <xdr:col>3</xdr:col>
      <xdr:colOff>254989</xdr:colOff>
      <xdr:row>78</xdr:row>
      <xdr:rowOff>197180</xdr:rowOff>
    </xdr:to>
    <xdr:sp macro="" textlink="">
      <xdr:nvSpPr>
        <xdr:cNvPr id="3425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1102178" y="17335500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381000</xdr:colOff>
      <xdr:row>77</xdr:row>
      <xdr:rowOff>190500</xdr:rowOff>
    </xdr:from>
    <xdr:to>
      <xdr:col>5</xdr:col>
      <xdr:colOff>336633</xdr:colOff>
      <xdr:row>78</xdr:row>
      <xdr:rowOff>169966</xdr:rowOff>
    </xdr:to>
    <xdr:sp macro="" textlink="">
      <xdr:nvSpPr>
        <xdr:cNvPr id="3426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2530929" y="17308286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367393</xdr:colOff>
      <xdr:row>77</xdr:row>
      <xdr:rowOff>176892</xdr:rowOff>
    </xdr:from>
    <xdr:to>
      <xdr:col>7</xdr:col>
      <xdr:colOff>350240</xdr:colOff>
      <xdr:row>78</xdr:row>
      <xdr:rowOff>156358</xdr:rowOff>
    </xdr:to>
    <xdr:sp macro="" textlink="">
      <xdr:nvSpPr>
        <xdr:cNvPr id="3427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3864429" y="17294678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421822</xdr:colOff>
      <xdr:row>77</xdr:row>
      <xdr:rowOff>176893</xdr:rowOff>
    </xdr:from>
    <xdr:to>
      <xdr:col>9</xdr:col>
      <xdr:colOff>377455</xdr:colOff>
      <xdr:row>78</xdr:row>
      <xdr:rowOff>156359</xdr:rowOff>
    </xdr:to>
    <xdr:sp macro="" textlink="">
      <xdr:nvSpPr>
        <xdr:cNvPr id="3428" name="Freeform 152">
          <a:extLst>
            <a:ext uri="{FF2B5EF4-FFF2-40B4-BE49-F238E27FC236}">
              <a16:creationId xmlns:a16="http://schemas.microsoft.com/office/drawing/2014/main" id="{00000000-0008-0000-0E00-00002B0A0000}"/>
            </a:ext>
          </a:extLst>
        </xdr:cNvPr>
        <xdr:cNvSpPr/>
      </xdr:nvSpPr>
      <xdr:spPr>
        <a:xfrm>
          <a:off x="5238751" y="17294679"/>
          <a:ext cx="1302740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392906</xdr:colOff>
      <xdr:row>57</xdr:row>
      <xdr:rowOff>0</xdr:rowOff>
    </xdr:from>
    <xdr:to>
      <xdr:col>15</xdr:col>
      <xdr:colOff>333231</xdr:colOff>
      <xdr:row>57</xdr:row>
      <xdr:rowOff>181872</xdr:rowOff>
    </xdr:to>
    <xdr:sp macro="" textlink="">
      <xdr:nvSpPr>
        <xdr:cNvPr id="131" name="Freeform 152">
          <a:extLst>
            <a:ext uri="{FF2B5EF4-FFF2-40B4-BE49-F238E27FC236}">
              <a16:creationId xmlns:a16="http://schemas.microsoft.com/office/drawing/2014/main" id="{6FF7BA5C-E277-486F-A82E-A45BD946BA83}"/>
            </a:ext>
          </a:extLst>
        </xdr:cNvPr>
        <xdr:cNvSpPr/>
      </xdr:nvSpPr>
      <xdr:spPr>
        <a:xfrm>
          <a:off x="9120187" y="1321593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392906</xdr:colOff>
      <xdr:row>57</xdr:row>
      <xdr:rowOff>0</xdr:rowOff>
    </xdr:from>
    <xdr:to>
      <xdr:col>17</xdr:col>
      <xdr:colOff>309419</xdr:colOff>
      <xdr:row>57</xdr:row>
      <xdr:rowOff>181872</xdr:rowOff>
    </xdr:to>
    <xdr:sp macro="" textlink="">
      <xdr:nvSpPr>
        <xdr:cNvPr id="132" name="Freeform 152">
          <a:extLst>
            <a:ext uri="{FF2B5EF4-FFF2-40B4-BE49-F238E27FC236}">
              <a16:creationId xmlns:a16="http://schemas.microsoft.com/office/drawing/2014/main" id="{263092CC-146D-4C99-ABE8-3A1634E23FDA}"/>
            </a:ext>
          </a:extLst>
        </xdr:cNvPr>
        <xdr:cNvSpPr/>
      </xdr:nvSpPr>
      <xdr:spPr>
        <a:xfrm>
          <a:off x="10477500" y="1321593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333375</xdr:colOff>
      <xdr:row>57</xdr:row>
      <xdr:rowOff>11906</xdr:rowOff>
    </xdr:from>
    <xdr:to>
      <xdr:col>19</xdr:col>
      <xdr:colOff>297656</xdr:colOff>
      <xdr:row>58</xdr:row>
      <xdr:rowOff>23812</xdr:rowOff>
    </xdr:to>
    <xdr:sp macro="" textlink="">
      <xdr:nvSpPr>
        <xdr:cNvPr id="2935" name="Freeform 152">
          <a:extLst>
            <a:ext uri="{FF2B5EF4-FFF2-40B4-BE49-F238E27FC236}">
              <a16:creationId xmlns:a16="http://schemas.microsoft.com/office/drawing/2014/main" id="{88F734E8-1EAA-4C96-89F7-EEEAEE561A37}"/>
            </a:ext>
          </a:extLst>
        </xdr:cNvPr>
        <xdr:cNvSpPr/>
      </xdr:nvSpPr>
      <xdr:spPr>
        <a:xfrm>
          <a:off x="11799094" y="13227844"/>
          <a:ext cx="1202531" cy="21431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273843</xdr:colOff>
      <xdr:row>57</xdr:row>
      <xdr:rowOff>35718</xdr:rowOff>
    </xdr:from>
    <xdr:to>
      <xdr:col>21</xdr:col>
      <xdr:colOff>357044</xdr:colOff>
      <xdr:row>58</xdr:row>
      <xdr:rowOff>15184</xdr:rowOff>
    </xdr:to>
    <xdr:sp macro="" textlink="">
      <xdr:nvSpPr>
        <xdr:cNvPr id="2936" name="Freeform 152">
          <a:extLst>
            <a:ext uri="{FF2B5EF4-FFF2-40B4-BE49-F238E27FC236}">
              <a16:creationId xmlns:a16="http://schemas.microsoft.com/office/drawing/2014/main" id="{2EEA2259-CF55-437B-95E3-7B6B5B64D681}"/>
            </a:ext>
          </a:extLst>
        </xdr:cNvPr>
        <xdr:cNvSpPr/>
      </xdr:nvSpPr>
      <xdr:spPr>
        <a:xfrm>
          <a:off x="12977812" y="13251656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369094</xdr:colOff>
      <xdr:row>57</xdr:row>
      <xdr:rowOff>35719</xdr:rowOff>
    </xdr:from>
    <xdr:to>
      <xdr:col>23</xdr:col>
      <xdr:colOff>333232</xdr:colOff>
      <xdr:row>58</xdr:row>
      <xdr:rowOff>15185</xdr:rowOff>
    </xdr:to>
    <xdr:sp macro="" textlink="">
      <xdr:nvSpPr>
        <xdr:cNvPr id="2937" name="Freeform 152">
          <a:extLst>
            <a:ext uri="{FF2B5EF4-FFF2-40B4-BE49-F238E27FC236}">
              <a16:creationId xmlns:a16="http://schemas.microsoft.com/office/drawing/2014/main" id="{DEDCC05D-F25D-4352-9612-4FA2B71F26B0}"/>
            </a:ext>
          </a:extLst>
        </xdr:cNvPr>
        <xdr:cNvSpPr/>
      </xdr:nvSpPr>
      <xdr:spPr>
        <a:xfrm>
          <a:off x="14287500" y="13251657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357188</xdr:colOff>
      <xdr:row>57</xdr:row>
      <xdr:rowOff>59531</xdr:rowOff>
    </xdr:from>
    <xdr:to>
      <xdr:col>24</xdr:col>
      <xdr:colOff>619125</xdr:colOff>
      <xdr:row>58</xdr:row>
      <xdr:rowOff>27091</xdr:rowOff>
    </xdr:to>
    <xdr:sp macro="" textlink="">
      <xdr:nvSpPr>
        <xdr:cNvPr id="2938" name="Freeform 152">
          <a:extLst>
            <a:ext uri="{FF2B5EF4-FFF2-40B4-BE49-F238E27FC236}">
              <a16:creationId xmlns:a16="http://schemas.microsoft.com/office/drawing/2014/main" id="{E6BBBDC9-6D81-4EAF-93A0-A26204A96389}"/>
            </a:ext>
          </a:extLst>
        </xdr:cNvPr>
        <xdr:cNvSpPr/>
      </xdr:nvSpPr>
      <xdr:spPr>
        <a:xfrm>
          <a:off x="15609094" y="13275469"/>
          <a:ext cx="952500" cy="16996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476249</xdr:colOff>
      <xdr:row>64</xdr:row>
      <xdr:rowOff>35719</xdr:rowOff>
    </xdr:from>
    <xdr:to>
      <xdr:col>3</xdr:col>
      <xdr:colOff>273844</xdr:colOff>
      <xdr:row>65</xdr:row>
      <xdr:rowOff>3279</xdr:rowOff>
    </xdr:to>
    <xdr:sp macro="" textlink="">
      <xdr:nvSpPr>
        <xdr:cNvPr id="2939" name="Freeform 152">
          <a:extLst>
            <a:ext uri="{FF2B5EF4-FFF2-40B4-BE49-F238E27FC236}">
              <a16:creationId xmlns:a16="http://schemas.microsoft.com/office/drawing/2014/main" id="{903C3BC5-1B85-48EB-A413-908FC6038E2F}"/>
            </a:ext>
          </a:extLst>
        </xdr:cNvPr>
        <xdr:cNvSpPr/>
      </xdr:nvSpPr>
      <xdr:spPr>
        <a:xfrm>
          <a:off x="1071562" y="14704219"/>
          <a:ext cx="1345407" cy="16996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369094</xdr:colOff>
      <xdr:row>64</xdr:row>
      <xdr:rowOff>0</xdr:rowOff>
    </xdr:from>
    <xdr:to>
      <xdr:col>5</xdr:col>
      <xdr:colOff>321326</xdr:colOff>
      <xdr:row>64</xdr:row>
      <xdr:rowOff>181872</xdr:rowOff>
    </xdr:to>
    <xdr:sp macro="" textlink="">
      <xdr:nvSpPr>
        <xdr:cNvPr id="241" name="Freeform 152">
          <a:extLst>
            <a:ext uri="{FF2B5EF4-FFF2-40B4-BE49-F238E27FC236}">
              <a16:creationId xmlns:a16="http://schemas.microsoft.com/office/drawing/2014/main" id="{38445F80-CD1B-4ADE-B164-3EEEAE3D51C1}"/>
            </a:ext>
          </a:extLst>
        </xdr:cNvPr>
        <xdr:cNvSpPr/>
      </xdr:nvSpPr>
      <xdr:spPr>
        <a:xfrm>
          <a:off x="2512219" y="14668500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357188</xdr:colOff>
      <xdr:row>64</xdr:row>
      <xdr:rowOff>0</xdr:rowOff>
    </xdr:from>
    <xdr:to>
      <xdr:col>7</xdr:col>
      <xdr:colOff>333232</xdr:colOff>
      <xdr:row>64</xdr:row>
      <xdr:rowOff>181872</xdr:rowOff>
    </xdr:to>
    <xdr:sp macro="" textlink="">
      <xdr:nvSpPr>
        <xdr:cNvPr id="242" name="Freeform 152">
          <a:extLst>
            <a:ext uri="{FF2B5EF4-FFF2-40B4-BE49-F238E27FC236}">
              <a16:creationId xmlns:a16="http://schemas.microsoft.com/office/drawing/2014/main" id="{C8AFE6E5-F316-41EB-B271-B1216AF3A604}"/>
            </a:ext>
          </a:extLst>
        </xdr:cNvPr>
        <xdr:cNvSpPr/>
      </xdr:nvSpPr>
      <xdr:spPr>
        <a:xfrm>
          <a:off x="3845719" y="14668500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309562</xdr:colOff>
      <xdr:row>64</xdr:row>
      <xdr:rowOff>0</xdr:rowOff>
    </xdr:from>
    <xdr:to>
      <xdr:col>9</xdr:col>
      <xdr:colOff>357188</xdr:colOff>
      <xdr:row>64</xdr:row>
      <xdr:rowOff>181872</xdr:rowOff>
    </xdr:to>
    <xdr:sp macro="" textlink="">
      <xdr:nvSpPr>
        <xdr:cNvPr id="3024" name="Freeform 152">
          <a:extLst>
            <a:ext uri="{FF2B5EF4-FFF2-40B4-BE49-F238E27FC236}">
              <a16:creationId xmlns:a16="http://schemas.microsoft.com/office/drawing/2014/main" id="{D81D8A03-95A9-455D-B659-01CAAD5C5C91}"/>
            </a:ext>
          </a:extLst>
        </xdr:cNvPr>
        <xdr:cNvSpPr/>
      </xdr:nvSpPr>
      <xdr:spPr>
        <a:xfrm>
          <a:off x="5119687" y="14668500"/>
          <a:ext cx="1393032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195</xdr:row>
      <xdr:rowOff>0</xdr:rowOff>
    </xdr:from>
    <xdr:to>
      <xdr:col>16</xdr:col>
      <xdr:colOff>312963</xdr:colOff>
      <xdr:row>196</xdr:row>
      <xdr:rowOff>68036</xdr:rowOff>
    </xdr:to>
    <xdr:grpSp>
      <xdr:nvGrpSpPr>
        <xdr:cNvPr id="2816" name="Group 1008">
          <a:extLst>
            <a:ext uri="{FF2B5EF4-FFF2-40B4-BE49-F238E27FC236}">
              <a16:creationId xmlns:a16="http://schemas.microsoft.com/office/drawing/2014/main" id="{2EC8EB75-3565-42F0-9492-9554216B7073}"/>
            </a:ext>
          </a:extLst>
        </xdr:cNvPr>
        <xdr:cNvGrpSpPr>
          <a:grpSpLocks/>
        </xdr:cNvGrpSpPr>
      </xdr:nvGrpSpPr>
      <xdr:grpSpPr bwMode="auto">
        <a:xfrm>
          <a:off x="10775156" y="41874281"/>
          <a:ext cx="312963" cy="270443"/>
          <a:chOff x="5475762" y="47760700"/>
          <a:chExt cx="314325" cy="230209"/>
        </a:xfrm>
      </xdr:grpSpPr>
      <xdr:cxnSp macro="">
        <xdr:nvCxnSpPr>
          <xdr:cNvPr id="2817" name="Straight Connector 2816">
            <a:extLst>
              <a:ext uri="{FF2B5EF4-FFF2-40B4-BE49-F238E27FC236}">
                <a16:creationId xmlns:a16="http://schemas.microsoft.com/office/drawing/2014/main" id="{B2D1D516-EAE9-8705-6843-3CF67456C433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8" name="Straight Connector 529">
            <a:extLst>
              <a:ext uri="{FF2B5EF4-FFF2-40B4-BE49-F238E27FC236}">
                <a16:creationId xmlns:a16="http://schemas.microsoft.com/office/drawing/2014/main" id="{0622CD30-FF10-F7EB-A649-9107BC02AB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9" name="Straight Connector 531">
            <a:extLst>
              <a:ext uri="{FF2B5EF4-FFF2-40B4-BE49-F238E27FC236}">
                <a16:creationId xmlns:a16="http://schemas.microsoft.com/office/drawing/2014/main" id="{294F71BE-284C-812F-222E-240DE67DEC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0" name="Straight Connector 533">
            <a:extLst>
              <a:ext uri="{FF2B5EF4-FFF2-40B4-BE49-F238E27FC236}">
                <a16:creationId xmlns:a16="http://schemas.microsoft.com/office/drawing/2014/main" id="{B2AF328A-5FC6-C980-E6B6-8A23E08C10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1" name="Straight Connector 535">
            <a:extLst>
              <a:ext uri="{FF2B5EF4-FFF2-40B4-BE49-F238E27FC236}">
                <a16:creationId xmlns:a16="http://schemas.microsoft.com/office/drawing/2014/main" id="{FCC59423-E836-3274-8F2A-5B0284570D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7">
            <a:extLst>
              <a:ext uri="{FF2B5EF4-FFF2-40B4-BE49-F238E27FC236}">
                <a16:creationId xmlns:a16="http://schemas.microsoft.com/office/drawing/2014/main" id="{F7CEA50E-3B23-E43F-A811-75E010C5CB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26</xdr:row>
      <xdr:rowOff>0</xdr:rowOff>
    </xdr:from>
    <xdr:to>
      <xdr:col>16</xdr:col>
      <xdr:colOff>312963</xdr:colOff>
      <xdr:row>27</xdr:row>
      <xdr:rowOff>68037</xdr:rowOff>
    </xdr:to>
    <xdr:grpSp>
      <xdr:nvGrpSpPr>
        <xdr:cNvPr id="2837" name="Group 1008">
          <a:extLst>
            <a:ext uri="{FF2B5EF4-FFF2-40B4-BE49-F238E27FC236}">
              <a16:creationId xmlns:a16="http://schemas.microsoft.com/office/drawing/2014/main" id="{948FA485-269D-44E9-919F-D9B5DEDD38E4}"/>
            </a:ext>
          </a:extLst>
        </xdr:cNvPr>
        <xdr:cNvGrpSpPr>
          <a:grpSpLocks/>
        </xdr:cNvGrpSpPr>
      </xdr:nvGrpSpPr>
      <xdr:grpSpPr bwMode="auto">
        <a:xfrm>
          <a:off x="10775156" y="6798469"/>
          <a:ext cx="312963" cy="270443"/>
          <a:chOff x="5475762" y="47760700"/>
          <a:chExt cx="314325" cy="230209"/>
        </a:xfrm>
      </xdr:grpSpPr>
      <xdr:cxnSp macro="">
        <xdr:nvCxnSpPr>
          <xdr:cNvPr id="2838" name="Straight Connector 2837">
            <a:extLst>
              <a:ext uri="{FF2B5EF4-FFF2-40B4-BE49-F238E27FC236}">
                <a16:creationId xmlns:a16="http://schemas.microsoft.com/office/drawing/2014/main" id="{EF86842B-BB25-628C-B656-39C4ED6FC4FA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9" name="Straight Connector 529">
            <a:extLst>
              <a:ext uri="{FF2B5EF4-FFF2-40B4-BE49-F238E27FC236}">
                <a16:creationId xmlns:a16="http://schemas.microsoft.com/office/drawing/2014/main" id="{C275BCB6-F82A-D227-6F0A-A9C69D7EC0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5" name="Straight Connector 531">
            <a:extLst>
              <a:ext uri="{FF2B5EF4-FFF2-40B4-BE49-F238E27FC236}">
                <a16:creationId xmlns:a16="http://schemas.microsoft.com/office/drawing/2014/main" id="{679D24F2-C494-5BA9-452B-39C0605B73C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6" name="Straight Connector 533">
            <a:extLst>
              <a:ext uri="{FF2B5EF4-FFF2-40B4-BE49-F238E27FC236}">
                <a16:creationId xmlns:a16="http://schemas.microsoft.com/office/drawing/2014/main" id="{F0E0C289-1FA2-F6AD-8E20-2308B09AAB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7" name="Straight Connector 535">
            <a:extLst>
              <a:ext uri="{FF2B5EF4-FFF2-40B4-BE49-F238E27FC236}">
                <a16:creationId xmlns:a16="http://schemas.microsoft.com/office/drawing/2014/main" id="{4E5B0976-FF41-8387-F8A8-E1774DFA7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8" name="Straight Connector 537">
            <a:extLst>
              <a:ext uri="{FF2B5EF4-FFF2-40B4-BE49-F238E27FC236}">
                <a16:creationId xmlns:a16="http://schemas.microsoft.com/office/drawing/2014/main" id="{6841E88B-C1E3-0DF2-00CB-8CD64F7FF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21</xdr:col>
      <xdr:colOff>369094</xdr:colOff>
      <xdr:row>100</xdr:row>
      <xdr:rowOff>47625</xdr:rowOff>
    </xdr:from>
    <xdr:to>
      <xdr:col>23</xdr:col>
      <xdr:colOff>351942</xdr:colOff>
      <xdr:row>101</xdr:row>
      <xdr:rowOff>137649</xdr:rowOff>
    </xdr:to>
    <xdr:sp macro="" textlink="">
      <xdr:nvSpPr>
        <xdr:cNvPr id="3029" name="Freeform 152">
          <a:extLst>
            <a:ext uri="{FF2B5EF4-FFF2-40B4-BE49-F238E27FC236}">
              <a16:creationId xmlns:a16="http://schemas.microsoft.com/office/drawing/2014/main" id="{0706AE99-A5A6-4E4B-900B-B65D08A11726}"/>
            </a:ext>
          </a:extLst>
        </xdr:cNvPr>
        <xdr:cNvSpPr/>
      </xdr:nvSpPr>
      <xdr:spPr>
        <a:xfrm>
          <a:off x="14287500" y="22169438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380999</xdr:colOff>
      <xdr:row>100</xdr:row>
      <xdr:rowOff>35718</xdr:rowOff>
    </xdr:from>
    <xdr:to>
      <xdr:col>25</xdr:col>
      <xdr:colOff>23812</xdr:colOff>
      <xdr:row>101</xdr:row>
      <xdr:rowOff>125743</xdr:rowOff>
    </xdr:to>
    <xdr:sp macro="" textlink="">
      <xdr:nvSpPr>
        <xdr:cNvPr id="3037" name="Freeform 152">
          <a:extLst>
            <a:ext uri="{FF2B5EF4-FFF2-40B4-BE49-F238E27FC236}">
              <a16:creationId xmlns:a16="http://schemas.microsoft.com/office/drawing/2014/main" id="{8FC0526C-40F6-4B2E-B8C6-251CA565853E}"/>
            </a:ext>
          </a:extLst>
        </xdr:cNvPr>
        <xdr:cNvSpPr/>
      </xdr:nvSpPr>
      <xdr:spPr>
        <a:xfrm>
          <a:off x="15632905" y="22157531"/>
          <a:ext cx="976313" cy="29243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535780</xdr:colOff>
      <xdr:row>107</xdr:row>
      <xdr:rowOff>83344</xdr:rowOff>
    </xdr:from>
    <xdr:to>
      <xdr:col>3</xdr:col>
      <xdr:colOff>304316</xdr:colOff>
      <xdr:row>108</xdr:row>
      <xdr:rowOff>173368</xdr:rowOff>
    </xdr:to>
    <xdr:sp macro="" textlink="">
      <xdr:nvSpPr>
        <xdr:cNvPr id="332" name="Freeform 152">
          <a:extLst>
            <a:ext uri="{FF2B5EF4-FFF2-40B4-BE49-F238E27FC236}">
              <a16:creationId xmlns:a16="http://schemas.microsoft.com/office/drawing/2014/main" id="{7E683AA5-18F8-47DB-A040-165A029B454E}"/>
            </a:ext>
          </a:extLst>
        </xdr:cNvPr>
        <xdr:cNvSpPr/>
      </xdr:nvSpPr>
      <xdr:spPr>
        <a:xfrm>
          <a:off x="1131093" y="23657719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381000</xdr:colOff>
      <xdr:row>107</xdr:row>
      <xdr:rowOff>11906</xdr:rowOff>
    </xdr:from>
    <xdr:to>
      <xdr:col>5</xdr:col>
      <xdr:colOff>351942</xdr:colOff>
      <xdr:row>108</xdr:row>
      <xdr:rowOff>101930</xdr:rowOff>
    </xdr:to>
    <xdr:sp macro="" textlink="">
      <xdr:nvSpPr>
        <xdr:cNvPr id="333" name="Freeform 152">
          <a:extLst>
            <a:ext uri="{FF2B5EF4-FFF2-40B4-BE49-F238E27FC236}">
              <a16:creationId xmlns:a16="http://schemas.microsoft.com/office/drawing/2014/main" id="{A4F46FAA-4698-41C2-B60B-965704332D9D}"/>
            </a:ext>
          </a:extLst>
        </xdr:cNvPr>
        <xdr:cNvSpPr/>
      </xdr:nvSpPr>
      <xdr:spPr>
        <a:xfrm>
          <a:off x="2524125" y="23586281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357188</xdr:colOff>
      <xdr:row>107</xdr:row>
      <xdr:rowOff>35719</xdr:rowOff>
    </xdr:from>
    <xdr:to>
      <xdr:col>7</xdr:col>
      <xdr:colOff>351942</xdr:colOff>
      <xdr:row>108</xdr:row>
      <xdr:rowOff>125743</xdr:rowOff>
    </xdr:to>
    <xdr:sp macro="" textlink="">
      <xdr:nvSpPr>
        <xdr:cNvPr id="418" name="Freeform 152">
          <a:extLst>
            <a:ext uri="{FF2B5EF4-FFF2-40B4-BE49-F238E27FC236}">
              <a16:creationId xmlns:a16="http://schemas.microsoft.com/office/drawing/2014/main" id="{9559387C-9BAE-4836-97C8-19B2E151834C}"/>
            </a:ext>
          </a:extLst>
        </xdr:cNvPr>
        <xdr:cNvSpPr/>
      </xdr:nvSpPr>
      <xdr:spPr>
        <a:xfrm>
          <a:off x="3845719" y="23610094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369095</xdr:colOff>
      <xdr:row>107</xdr:row>
      <xdr:rowOff>0</xdr:rowOff>
    </xdr:from>
    <xdr:to>
      <xdr:col>9</xdr:col>
      <xdr:colOff>340037</xdr:colOff>
      <xdr:row>108</xdr:row>
      <xdr:rowOff>90024</xdr:rowOff>
    </xdr:to>
    <xdr:sp macro="" textlink="">
      <xdr:nvSpPr>
        <xdr:cNvPr id="462" name="Freeform 152">
          <a:extLst>
            <a:ext uri="{FF2B5EF4-FFF2-40B4-BE49-F238E27FC236}">
              <a16:creationId xmlns:a16="http://schemas.microsoft.com/office/drawing/2014/main" id="{CD996D26-CEA8-4D4B-94D3-B4A25BE9959B}"/>
            </a:ext>
          </a:extLst>
        </xdr:cNvPr>
        <xdr:cNvSpPr/>
      </xdr:nvSpPr>
      <xdr:spPr>
        <a:xfrm>
          <a:off x="5179220" y="23574375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442232</xdr:colOff>
      <xdr:row>106</xdr:row>
      <xdr:rowOff>173491</xdr:rowOff>
    </xdr:from>
    <xdr:to>
      <xdr:col>11</xdr:col>
      <xdr:colOff>297656</xdr:colOff>
      <xdr:row>108</xdr:row>
      <xdr:rowOff>61109</xdr:rowOff>
    </xdr:to>
    <xdr:sp macro="" textlink="">
      <xdr:nvSpPr>
        <xdr:cNvPr id="464" name="Freeform 152">
          <a:extLst>
            <a:ext uri="{FF2B5EF4-FFF2-40B4-BE49-F238E27FC236}">
              <a16:creationId xmlns:a16="http://schemas.microsoft.com/office/drawing/2014/main" id="{83C6441F-1D78-44DA-A068-56BA8F3F58C4}"/>
            </a:ext>
          </a:extLst>
        </xdr:cNvPr>
        <xdr:cNvSpPr/>
      </xdr:nvSpPr>
      <xdr:spPr>
        <a:xfrm>
          <a:off x="6597763" y="23545460"/>
          <a:ext cx="1224643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381000</xdr:colOff>
      <xdr:row>106</xdr:row>
      <xdr:rowOff>142874</xdr:rowOff>
    </xdr:from>
    <xdr:to>
      <xdr:col>13</xdr:col>
      <xdr:colOff>494817</xdr:colOff>
      <xdr:row>108</xdr:row>
      <xdr:rowOff>30492</xdr:rowOff>
    </xdr:to>
    <xdr:sp macro="" textlink="">
      <xdr:nvSpPr>
        <xdr:cNvPr id="3212" name="Freeform 152">
          <a:extLst>
            <a:ext uri="{FF2B5EF4-FFF2-40B4-BE49-F238E27FC236}">
              <a16:creationId xmlns:a16="http://schemas.microsoft.com/office/drawing/2014/main" id="{A95AED4C-7B96-4DBA-BD52-D046EBAF9E58}"/>
            </a:ext>
          </a:extLst>
        </xdr:cNvPr>
        <xdr:cNvSpPr/>
      </xdr:nvSpPr>
      <xdr:spPr>
        <a:xfrm>
          <a:off x="7905750" y="23514843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440532</xdr:colOff>
      <xdr:row>106</xdr:row>
      <xdr:rowOff>202405</xdr:rowOff>
    </xdr:from>
    <xdr:to>
      <xdr:col>15</xdr:col>
      <xdr:colOff>357187</xdr:colOff>
      <xdr:row>108</xdr:row>
      <xdr:rowOff>78116</xdr:rowOff>
    </xdr:to>
    <xdr:sp macro="" textlink="">
      <xdr:nvSpPr>
        <xdr:cNvPr id="3258" name="Freeform 152">
          <a:extLst>
            <a:ext uri="{FF2B5EF4-FFF2-40B4-BE49-F238E27FC236}">
              <a16:creationId xmlns:a16="http://schemas.microsoft.com/office/drawing/2014/main" id="{85CFE93C-D3FA-4BCD-BBA9-3BC7BB152AF7}"/>
            </a:ext>
          </a:extLst>
        </xdr:cNvPr>
        <xdr:cNvSpPr/>
      </xdr:nvSpPr>
      <xdr:spPr>
        <a:xfrm>
          <a:off x="9167813" y="23574374"/>
          <a:ext cx="1273968" cy="28052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404812</xdr:colOff>
      <xdr:row>106</xdr:row>
      <xdr:rowOff>202405</xdr:rowOff>
    </xdr:from>
    <xdr:to>
      <xdr:col>17</xdr:col>
      <xdr:colOff>340035</xdr:colOff>
      <xdr:row>108</xdr:row>
      <xdr:rowOff>90023</xdr:rowOff>
    </xdr:to>
    <xdr:sp macro="" textlink="">
      <xdr:nvSpPr>
        <xdr:cNvPr id="3259" name="Freeform 152">
          <a:extLst>
            <a:ext uri="{FF2B5EF4-FFF2-40B4-BE49-F238E27FC236}">
              <a16:creationId xmlns:a16="http://schemas.microsoft.com/office/drawing/2014/main" id="{04811F6C-2889-4B37-A99D-1989BE395206}"/>
            </a:ext>
          </a:extLst>
        </xdr:cNvPr>
        <xdr:cNvSpPr/>
      </xdr:nvSpPr>
      <xdr:spPr>
        <a:xfrm>
          <a:off x="10489406" y="23574374"/>
          <a:ext cx="1316348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345281</xdr:colOff>
      <xdr:row>107</xdr:row>
      <xdr:rowOff>47625</xdr:rowOff>
    </xdr:from>
    <xdr:to>
      <xdr:col>19</xdr:col>
      <xdr:colOff>273843</xdr:colOff>
      <xdr:row>108</xdr:row>
      <xdr:rowOff>137649</xdr:rowOff>
    </xdr:to>
    <xdr:sp macro="" textlink="">
      <xdr:nvSpPr>
        <xdr:cNvPr id="3260" name="Freeform 152">
          <a:extLst>
            <a:ext uri="{FF2B5EF4-FFF2-40B4-BE49-F238E27FC236}">
              <a16:creationId xmlns:a16="http://schemas.microsoft.com/office/drawing/2014/main" id="{E542B5C1-A3BB-414C-99BF-2614DACD69C7}"/>
            </a:ext>
          </a:extLst>
        </xdr:cNvPr>
        <xdr:cNvSpPr/>
      </xdr:nvSpPr>
      <xdr:spPr>
        <a:xfrm>
          <a:off x="11811000" y="23622000"/>
          <a:ext cx="1166812" cy="2924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333375</xdr:colOff>
      <xdr:row>107</xdr:row>
      <xdr:rowOff>47625</xdr:rowOff>
    </xdr:from>
    <xdr:to>
      <xdr:col>21</xdr:col>
      <xdr:colOff>273844</xdr:colOff>
      <xdr:row>108</xdr:row>
      <xdr:rowOff>113837</xdr:rowOff>
    </xdr:to>
    <xdr:sp macro="" textlink="">
      <xdr:nvSpPr>
        <xdr:cNvPr id="3261" name="Freeform 152">
          <a:extLst>
            <a:ext uri="{FF2B5EF4-FFF2-40B4-BE49-F238E27FC236}">
              <a16:creationId xmlns:a16="http://schemas.microsoft.com/office/drawing/2014/main" id="{F471EBC3-28C9-4E92-BABF-8265EBF7783A}"/>
            </a:ext>
          </a:extLst>
        </xdr:cNvPr>
        <xdr:cNvSpPr/>
      </xdr:nvSpPr>
      <xdr:spPr>
        <a:xfrm>
          <a:off x="13037344" y="23622000"/>
          <a:ext cx="1154906" cy="26861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9</xdr:col>
      <xdr:colOff>488156</xdr:colOff>
      <xdr:row>71</xdr:row>
      <xdr:rowOff>47625</xdr:rowOff>
    </xdr:from>
    <xdr:to>
      <xdr:col>11</xdr:col>
      <xdr:colOff>340180</xdr:colOff>
      <xdr:row>72</xdr:row>
      <xdr:rowOff>134371</xdr:rowOff>
    </xdr:to>
    <xdr:sp macro="" textlink="">
      <xdr:nvSpPr>
        <xdr:cNvPr id="3262" name="Freeform 152">
          <a:extLst>
            <a:ext uri="{FF2B5EF4-FFF2-40B4-BE49-F238E27FC236}">
              <a16:creationId xmlns:a16="http://schemas.microsoft.com/office/drawing/2014/main" id="{F79B5EB6-06B5-4486-92F1-1D789FDF6D46}"/>
            </a:ext>
          </a:extLst>
        </xdr:cNvPr>
        <xdr:cNvSpPr/>
      </xdr:nvSpPr>
      <xdr:spPr>
        <a:xfrm>
          <a:off x="6643687" y="16168688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11</xdr:col>
      <xdr:colOff>428624</xdr:colOff>
      <xdr:row>71</xdr:row>
      <xdr:rowOff>83344</xdr:rowOff>
    </xdr:from>
    <xdr:to>
      <xdr:col>13</xdr:col>
      <xdr:colOff>333375</xdr:colOff>
      <xdr:row>72</xdr:row>
      <xdr:rowOff>158184</xdr:rowOff>
    </xdr:to>
    <xdr:sp macro="" textlink="">
      <xdr:nvSpPr>
        <xdr:cNvPr id="3263" name="Freeform 152">
          <a:extLst>
            <a:ext uri="{FF2B5EF4-FFF2-40B4-BE49-F238E27FC236}">
              <a16:creationId xmlns:a16="http://schemas.microsoft.com/office/drawing/2014/main" id="{CAE44DFF-2DC1-46ED-B48F-4B0A91C5360A}"/>
            </a:ext>
          </a:extLst>
        </xdr:cNvPr>
        <xdr:cNvSpPr/>
      </xdr:nvSpPr>
      <xdr:spPr>
        <a:xfrm>
          <a:off x="7953374" y="16204407"/>
          <a:ext cx="1107282" cy="27724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13</xdr:col>
      <xdr:colOff>404812</xdr:colOff>
      <xdr:row>71</xdr:row>
      <xdr:rowOff>59530</xdr:rowOff>
    </xdr:from>
    <xdr:to>
      <xdr:col>15</xdr:col>
      <xdr:colOff>268741</xdr:colOff>
      <xdr:row>72</xdr:row>
      <xdr:rowOff>122463</xdr:rowOff>
    </xdr:to>
    <xdr:sp macro="" textlink="">
      <xdr:nvSpPr>
        <xdr:cNvPr id="537" name="Freeform 152">
          <a:extLst>
            <a:ext uri="{FF2B5EF4-FFF2-40B4-BE49-F238E27FC236}">
              <a16:creationId xmlns:a16="http://schemas.microsoft.com/office/drawing/2014/main" id="{B7628525-ACC4-43F1-961B-E6DCFF116416}"/>
            </a:ext>
          </a:extLst>
        </xdr:cNvPr>
        <xdr:cNvSpPr/>
      </xdr:nvSpPr>
      <xdr:spPr>
        <a:xfrm>
          <a:off x="9132093" y="16180593"/>
          <a:ext cx="1221242" cy="2653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404812</xdr:colOff>
      <xdr:row>71</xdr:row>
      <xdr:rowOff>59531</xdr:rowOff>
    </xdr:from>
    <xdr:to>
      <xdr:col>17</xdr:col>
      <xdr:colOff>244929</xdr:colOff>
      <xdr:row>72</xdr:row>
      <xdr:rowOff>122464</xdr:rowOff>
    </xdr:to>
    <xdr:sp macro="" textlink="">
      <xdr:nvSpPr>
        <xdr:cNvPr id="564" name="Freeform 152">
          <a:extLst>
            <a:ext uri="{FF2B5EF4-FFF2-40B4-BE49-F238E27FC236}">
              <a16:creationId xmlns:a16="http://schemas.microsoft.com/office/drawing/2014/main" id="{EB87327F-8550-4551-8035-557DAED7B58E}"/>
            </a:ext>
          </a:extLst>
        </xdr:cNvPr>
        <xdr:cNvSpPr/>
      </xdr:nvSpPr>
      <xdr:spPr>
        <a:xfrm>
          <a:off x="10489406" y="16180594"/>
          <a:ext cx="1221242" cy="2653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345281</xdr:colOff>
      <xdr:row>71</xdr:row>
      <xdr:rowOff>59531</xdr:rowOff>
    </xdr:from>
    <xdr:to>
      <xdr:col>19</xdr:col>
      <xdr:colOff>261937</xdr:colOff>
      <xdr:row>72</xdr:row>
      <xdr:rowOff>122464</xdr:rowOff>
    </xdr:to>
    <xdr:sp macro="" textlink="">
      <xdr:nvSpPr>
        <xdr:cNvPr id="565" name="Freeform 152">
          <a:extLst>
            <a:ext uri="{FF2B5EF4-FFF2-40B4-BE49-F238E27FC236}">
              <a16:creationId xmlns:a16="http://schemas.microsoft.com/office/drawing/2014/main" id="{9878FE8E-BAAD-4123-B5FE-CC8C9995102C}"/>
            </a:ext>
          </a:extLst>
        </xdr:cNvPr>
        <xdr:cNvSpPr/>
      </xdr:nvSpPr>
      <xdr:spPr>
        <a:xfrm>
          <a:off x="11811000" y="16180594"/>
          <a:ext cx="1154906" cy="26533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345281</xdr:colOff>
      <xdr:row>71</xdr:row>
      <xdr:rowOff>71437</xdr:rowOff>
    </xdr:from>
    <xdr:to>
      <xdr:col>21</xdr:col>
      <xdr:colOff>333375</xdr:colOff>
      <xdr:row>72</xdr:row>
      <xdr:rowOff>146276</xdr:rowOff>
    </xdr:to>
    <xdr:sp macro="" textlink="">
      <xdr:nvSpPr>
        <xdr:cNvPr id="3264" name="Freeform 152">
          <a:extLst>
            <a:ext uri="{FF2B5EF4-FFF2-40B4-BE49-F238E27FC236}">
              <a16:creationId xmlns:a16="http://schemas.microsoft.com/office/drawing/2014/main" id="{80E5DE1A-17C3-4148-ABF7-FCF42A34C611}"/>
            </a:ext>
          </a:extLst>
        </xdr:cNvPr>
        <xdr:cNvSpPr/>
      </xdr:nvSpPr>
      <xdr:spPr>
        <a:xfrm>
          <a:off x="13049250" y="16192500"/>
          <a:ext cx="1202531" cy="27724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369093</xdr:colOff>
      <xdr:row>71</xdr:row>
      <xdr:rowOff>47624</xdr:rowOff>
    </xdr:from>
    <xdr:to>
      <xdr:col>23</xdr:col>
      <xdr:colOff>428624</xdr:colOff>
      <xdr:row>72</xdr:row>
      <xdr:rowOff>146277</xdr:rowOff>
    </xdr:to>
    <xdr:sp macro="" textlink="">
      <xdr:nvSpPr>
        <xdr:cNvPr id="3265" name="Freeform 152">
          <a:extLst>
            <a:ext uri="{FF2B5EF4-FFF2-40B4-BE49-F238E27FC236}">
              <a16:creationId xmlns:a16="http://schemas.microsoft.com/office/drawing/2014/main" id="{3544C154-C756-40BA-827D-4C11CE49AFA4}"/>
            </a:ext>
          </a:extLst>
        </xdr:cNvPr>
        <xdr:cNvSpPr/>
      </xdr:nvSpPr>
      <xdr:spPr>
        <a:xfrm>
          <a:off x="14287499" y="16168687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381001</xdr:colOff>
      <xdr:row>71</xdr:row>
      <xdr:rowOff>107156</xdr:rowOff>
    </xdr:from>
    <xdr:to>
      <xdr:col>25</xdr:col>
      <xdr:colOff>1</xdr:colOff>
      <xdr:row>72</xdr:row>
      <xdr:rowOff>158184</xdr:rowOff>
    </xdr:to>
    <xdr:sp macro="" textlink="">
      <xdr:nvSpPr>
        <xdr:cNvPr id="3266" name="Freeform 152">
          <a:extLst>
            <a:ext uri="{FF2B5EF4-FFF2-40B4-BE49-F238E27FC236}">
              <a16:creationId xmlns:a16="http://schemas.microsoft.com/office/drawing/2014/main" id="{6AD90A22-3523-4BB8-8150-108378AD6A93}"/>
            </a:ext>
          </a:extLst>
        </xdr:cNvPr>
        <xdr:cNvSpPr/>
      </xdr:nvSpPr>
      <xdr:spPr>
        <a:xfrm>
          <a:off x="15632907" y="16228219"/>
          <a:ext cx="952500" cy="25343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488156</xdr:colOff>
      <xdr:row>78</xdr:row>
      <xdr:rowOff>11907</xdr:rowOff>
    </xdr:from>
    <xdr:to>
      <xdr:col>3</xdr:col>
      <xdr:colOff>333375</xdr:colOff>
      <xdr:row>79</xdr:row>
      <xdr:rowOff>110560</xdr:rowOff>
    </xdr:to>
    <xdr:sp macro="" textlink="">
      <xdr:nvSpPr>
        <xdr:cNvPr id="3267" name="Freeform 152">
          <a:extLst>
            <a:ext uri="{FF2B5EF4-FFF2-40B4-BE49-F238E27FC236}">
              <a16:creationId xmlns:a16="http://schemas.microsoft.com/office/drawing/2014/main" id="{1AD6D863-4D75-406C-99AF-EC38D8CD1B3E}"/>
            </a:ext>
          </a:extLst>
        </xdr:cNvPr>
        <xdr:cNvSpPr/>
      </xdr:nvSpPr>
      <xdr:spPr>
        <a:xfrm>
          <a:off x="1083469" y="17585532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321469</xdr:colOff>
      <xdr:row>78</xdr:row>
      <xdr:rowOff>0</xdr:rowOff>
    </xdr:from>
    <xdr:to>
      <xdr:col>5</xdr:col>
      <xdr:colOff>369094</xdr:colOff>
      <xdr:row>79</xdr:row>
      <xdr:rowOff>98653</xdr:rowOff>
    </xdr:to>
    <xdr:sp macro="" textlink="">
      <xdr:nvSpPr>
        <xdr:cNvPr id="647" name="Freeform 152">
          <a:extLst>
            <a:ext uri="{FF2B5EF4-FFF2-40B4-BE49-F238E27FC236}">
              <a16:creationId xmlns:a16="http://schemas.microsoft.com/office/drawing/2014/main" id="{80CB847D-BC30-4C81-887E-F3DD8CFA5192}"/>
            </a:ext>
          </a:extLst>
        </xdr:cNvPr>
        <xdr:cNvSpPr/>
      </xdr:nvSpPr>
      <xdr:spPr>
        <a:xfrm>
          <a:off x="2464594" y="17573625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381001</xdr:colOff>
      <xdr:row>78</xdr:row>
      <xdr:rowOff>23812</xdr:rowOff>
    </xdr:from>
    <xdr:to>
      <xdr:col>7</xdr:col>
      <xdr:colOff>285751</xdr:colOff>
      <xdr:row>79</xdr:row>
      <xdr:rowOff>110560</xdr:rowOff>
    </xdr:to>
    <xdr:sp macro="" textlink="">
      <xdr:nvSpPr>
        <xdr:cNvPr id="648" name="Freeform 152">
          <a:extLst>
            <a:ext uri="{FF2B5EF4-FFF2-40B4-BE49-F238E27FC236}">
              <a16:creationId xmlns:a16="http://schemas.microsoft.com/office/drawing/2014/main" id="{A940F5A2-E8D4-429F-BC40-0EFD9A2EDF54}"/>
            </a:ext>
          </a:extLst>
        </xdr:cNvPr>
        <xdr:cNvSpPr/>
      </xdr:nvSpPr>
      <xdr:spPr>
        <a:xfrm>
          <a:off x="3869532" y="17597437"/>
          <a:ext cx="1226344" cy="28915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369095</xdr:colOff>
      <xdr:row>77</xdr:row>
      <xdr:rowOff>178594</xdr:rowOff>
    </xdr:from>
    <xdr:to>
      <xdr:col>9</xdr:col>
      <xdr:colOff>416720</xdr:colOff>
      <xdr:row>79</xdr:row>
      <xdr:rowOff>74841</xdr:rowOff>
    </xdr:to>
    <xdr:sp macro="" textlink="">
      <xdr:nvSpPr>
        <xdr:cNvPr id="664" name="Freeform 152">
          <a:extLst>
            <a:ext uri="{FF2B5EF4-FFF2-40B4-BE49-F238E27FC236}">
              <a16:creationId xmlns:a16="http://schemas.microsoft.com/office/drawing/2014/main" id="{5B79FF57-49CC-442D-B38A-BB575C0967BA}"/>
            </a:ext>
          </a:extLst>
        </xdr:cNvPr>
        <xdr:cNvSpPr/>
      </xdr:nvSpPr>
      <xdr:spPr>
        <a:xfrm>
          <a:off x="5179220" y="17549813"/>
          <a:ext cx="1393031" cy="30105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357187</xdr:colOff>
      <xdr:row>50</xdr:row>
      <xdr:rowOff>11906</xdr:rowOff>
    </xdr:from>
    <xdr:to>
      <xdr:col>17</xdr:col>
      <xdr:colOff>273700</xdr:colOff>
      <xdr:row>50</xdr:row>
      <xdr:rowOff>193778</xdr:rowOff>
    </xdr:to>
    <xdr:sp macro="" textlink="">
      <xdr:nvSpPr>
        <xdr:cNvPr id="3429" name="Freeform 152">
          <a:extLst>
            <a:ext uri="{FF2B5EF4-FFF2-40B4-BE49-F238E27FC236}">
              <a16:creationId xmlns:a16="http://schemas.microsoft.com/office/drawing/2014/main" id="{09B3B592-2DA9-4241-8B2F-0FEC22C6E04D}"/>
            </a:ext>
          </a:extLst>
        </xdr:cNvPr>
        <xdr:cNvSpPr/>
      </xdr:nvSpPr>
      <xdr:spPr>
        <a:xfrm>
          <a:off x="10441781" y="11775281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285749</xdr:colOff>
      <xdr:row>50</xdr:row>
      <xdr:rowOff>23813</xdr:rowOff>
    </xdr:from>
    <xdr:to>
      <xdr:col>19</xdr:col>
      <xdr:colOff>345137</xdr:colOff>
      <xdr:row>51</xdr:row>
      <xdr:rowOff>3279</xdr:rowOff>
    </xdr:to>
    <xdr:sp macro="" textlink="">
      <xdr:nvSpPr>
        <xdr:cNvPr id="3430" name="Freeform 152">
          <a:extLst>
            <a:ext uri="{FF2B5EF4-FFF2-40B4-BE49-F238E27FC236}">
              <a16:creationId xmlns:a16="http://schemas.microsoft.com/office/drawing/2014/main" id="{83D317E3-B223-4971-A373-68F2BCD31B3F}"/>
            </a:ext>
          </a:extLst>
        </xdr:cNvPr>
        <xdr:cNvSpPr/>
      </xdr:nvSpPr>
      <xdr:spPr>
        <a:xfrm>
          <a:off x="11751468" y="1178718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309562</xdr:colOff>
      <xdr:row>50</xdr:row>
      <xdr:rowOff>35719</xdr:rowOff>
    </xdr:from>
    <xdr:to>
      <xdr:col>21</xdr:col>
      <xdr:colOff>392763</xdr:colOff>
      <xdr:row>51</xdr:row>
      <xdr:rowOff>15185</xdr:rowOff>
    </xdr:to>
    <xdr:sp macro="" textlink="">
      <xdr:nvSpPr>
        <xdr:cNvPr id="3440" name="Freeform 152">
          <a:extLst>
            <a:ext uri="{FF2B5EF4-FFF2-40B4-BE49-F238E27FC236}">
              <a16:creationId xmlns:a16="http://schemas.microsoft.com/office/drawing/2014/main" id="{4C9FEC9E-82F5-4ACA-968E-3AD234DADEB7}"/>
            </a:ext>
          </a:extLst>
        </xdr:cNvPr>
        <xdr:cNvSpPr/>
      </xdr:nvSpPr>
      <xdr:spPr>
        <a:xfrm>
          <a:off x="13013531" y="11799094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369094</xdr:colOff>
      <xdr:row>50</xdr:row>
      <xdr:rowOff>35719</xdr:rowOff>
    </xdr:from>
    <xdr:to>
      <xdr:col>23</xdr:col>
      <xdr:colOff>333232</xdr:colOff>
      <xdr:row>51</xdr:row>
      <xdr:rowOff>15185</xdr:rowOff>
    </xdr:to>
    <xdr:sp macro="" textlink="">
      <xdr:nvSpPr>
        <xdr:cNvPr id="3441" name="Freeform 152">
          <a:extLst>
            <a:ext uri="{FF2B5EF4-FFF2-40B4-BE49-F238E27FC236}">
              <a16:creationId xmlns:a16="http://schemas.microsoft.com/office/drawing/2014/main" id="{DDE525A3-A610-44E3-B382-CBC68BD106C4}"/>
            </a:ext>
          </a:extLst>
        </xdr:cNvPr>
        <xdr:cNvSpPr/>
      </xdr:nvSpPr>
      <xdr:spPr>
        <a:xfrm>
          <a:off x="14287500" y="11799094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321469</xdr:colOff>
      <xdr:row>50</xdr:row>
      <xdr:rowOff>47624</xdr:rowOff>
    </xdr:from>
    <xdr:to>
      <xdr:col>25</xdr:col>
      <xdr:colOff>59531</xdr:colOff>
      <xdr:row>50</xdr:row>
      <xdr:rowOff>193777</xdr:rowOff>
    </xdr:to>
    <xdr:sp macro="" textlink="">
      <xdr:nvSpPr>
        <xdr:cNvPr id="3442" name="Freeform 152">
          <a:extLst>
            <a:ext uri="{FF2B5EF4-FFF2-40B4-BE49-F238E27FC236}">
              <a16:creationId xmlns:a16="http://schemas.microsoft.com/office/drawing/2014/main" id="{ACC610A7-9060-4BF5-9D16-75740741A41E}"/>
            </a:ext>
          </a:extLst>
        </xdr:cNvPr>
        <xdr:cNvSpPr/>
      </xdr:nvSpPr>
      <xdr:spPr>
        <a:xfrm>
          <a:off x="15573375" y="11810999"/>
          <a:ext cx="1071562" cy="14615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488156</xdr:colOff>
      <xdr:row>57</xdr:row>
      <xdr:rowOff>47624</xdr:rowOff>
    </xdr:from>
    <xdr:to>
      <xdr:col>3</xdr:col>
      <xdr:colOff>285750</xdr:colOff>
      <xdr:row>58</xdr:row>
      <xdr:rowOff>50904</xdr:rowOff>
    </xdr:to>
    <xdr:sp macro="" textlink="">
      <xdr:nvSpPr>
        <xdr:cNvPr id="3443" name="Freeform 152">
          <a:extLst>
            <a:ext uri="{FF2B5EF4-FFF2-40B4-BE49-F238E27FC236}">
              <a16:creationId xmlns:a16="http://schemas.microsoft.com/office/drawing/2014/main" id="{D4A4293E-8C13-4544-83B4-E91E796CCA9C}"/>
            </a:ext>
          </a:extLst>
        </xdr:cNvPr>
        <xdr:cNvSpPr/>
      </xdr:nvSpPr>
      <xdr:spPr>
        <a:xfrm>
          <a:off x="1083469" y="13263562"/>
          <a:ext cx="1345406" cy="20568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357188</xdr:colOff>
      <xdr:row>56</xdr:row>
      <xdr:rowOff>178595</xdr:rowOff>
    </xdr:from>
    <xdr:to>
      <xdr:col>5</xdr:col>
      <xdr:colOff>309420</xdr:colOff>
      <xdr:row>57</xdr:row>
      <xdr:rowOff>158060</xdr:rowOff>
    </xdr:to>
    <xdr:sp macro="" textlink="">
      <xdr:nvSpPr>
        <xdr:cNvPr id="3444" name="Freeform 152">
          <a:extLst>
            <a:ext uri="{FF2B5EF4-FFF2-40B4-BE49-F238E27FC236}">
              <a16:creationId xmlns:a16="http://schemas.microsoft.com/office/drawing/2014/main" id="{C1FDB698-1E71-4B8A-A0E5-288A868F03FE}"/>
            </a:ext>
          </a:extLst>
        </xdr:cNvPr>
        <xdr:cNvSpPr/>
      </xdr:nvSpPr>
      <xdr:spPr>
        <a:xfrm>
          <a:off x="2500313" y="13192126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381001</xdr:colOff>
      <xdr:row>56</xdr:row>
      <xdr:rowOff>178595</xdr:rowOff>
    </xdr:from>
    <xdr:to>
      <xdr:col>7</xdr:col>
      <xdr:colOff>357045</xdr:colOff>
      <xdr:row>57</xdr:row>
      <xdr:rowOff>158060</xdr:rowOff>
    </xdr:to>
    <xdr:sp macro="" textlink="">
      <xdr:nvSpPr>
        <xdr:cNvPr id="3445" name="Freeform 152">
          <a:extLst>
            <a:ext uri="{FF2B5EF4-FFF2-40B4-BE49-F238E27FC236}">
              <a16:creationId xmlns:a16="http://schemas.microsoft.com/office/drawing/2014/main" id="{E37EF26B-E6DC-4553-801C-BCFCD6677473}"/>
            </a:ext>
          </a:extLst>
        </xdr:cNvPr>
        <xdr:cNvSpPr/>
      </xdr:nvSpPr>
      <xdr:spPr>
        <a:xfrm>
          <a:off x="3869532" y="13192126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381000</xdr:colOff>
      <xdr:row>56</xdr:row>
      <xdr:rowOff>190500</xdr:rowOff>
    </xdr:from>
    <xdr:to>
      <xdr:col>9</xdr:col>
      <xdr:colOff>381000</xdr:colOff>
      <xdr:row>57</xdr:row>
      <xdr:rowOff>146153</xdr:rowOff>
    </xdr:to>
    <xdr:sp macro="" textlink="">
      <xdr:nvSpPr>
        <xdr:cNvPr id="3446" name="Freeform 152">
          <a:extLst>
            <a:ext uri="{FF2B5EF4-FFF2-40B4-BE49-F238E27FC236}">
              <a16:creationId xmlns:a16="http://schemas.microsoft.com/office/drawing/2014/main" id="{A6A64B6E-5FB6-4EE9-A70B-43E8A986B9E7}"/>
            </a:ext>
          </a:extLst>
        </xdr:cNvPr>
        <xdr:cNvSpPr/>
      </xdr:nvSpPr>
      <xdr:spPr>
        <a:xfrm>
          <a:off x="5191125" y="13204031"/>
          <a:ext cx="1345406" cy="15806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452439</xdr:colOff>
      <xdr:row>57</xdr:row>
      <xdr:rowOff>-1</xdr:rowOff>
    </xdr:from>
    <xdr:to>
      <xdr:col>11</xdr:col>
      <xdr:colOff>380858</xdr:colOff>
      <xdr:row>57</xdr:row>
      <xdr:rowOff>181871</xdr:rowOff>
    </xdr:to>
    <xdr:sp macro="" textlink="">
      <xdr:nvSpPr>
        <xdr:cNvPr id="3447" name="Freeform 152">
          <a:extLst>
            <a:ext uri="{FF2B5EF4-FFF2-40B4-BE49-F238E27FC236}">
              <a16:creationId xmlns:a16="http://schemas.microsoft.com/office/drawing/2014/main" id="{27489081-6EA4-4D60-A5EB-B9A470B9CEFD}"/>
            </a:ext>
          </a:extLst>
        </xdr:cNvPr>
        <xdr:cNvSpPr/>
      </xdr:nvSpPr>
      <xdr:spPr>
        <a:xfrm>
          <a:off x="6607970" y="13215937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357187</xdr:colOff>
      <xdr:row>57</xdr:row>
      <xdr:rowOff>0</xdr:rowOff>
    </xdr:from>
    <xdr:to>
      <xdr:col>13</xdr:col>
      <xdr:colOff>452294</xdr:colOff>
      <xdr:row>57</xdr:row>
      <xdr:rowOff>181872</xdr:rowOff>
    </xdr:to>
    <xdr:sp macro="" textlink="">
      <xdr:nvSpPr>
        <xdr:cNvPr id="3448" name="Freeform 152">
          <a:extLst>
            <a:ext uri="{FF2B5EF4-FFF2-40B4-BE49-F238E27FC236}">
              <a16:creationId xmlns:a16="http://schemas.microsoft.com/office/drawing/2014/main" id="{906EC5C8-F0F7-41AB-AEDF-3BACFF810B9D}"/>
            </a:ext>
          </a:extLst>
        </xdr:cNvPr>
        <xdr:cNvSpPr/>
      </xdr:nvSpPr>
      <xdr:spPr>
        <a:xfrm>
          <a:off x="7881937" y="13215938"/>
          <a:ext cx="1297638" cy="1818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452438</xdr:colOff>
      <xdr:row>77</xdr:row>
      <xdr:rowOff>190500</xdr:rowOff>
    </xdr:from>
    <xdr:to>
      <xdr:col>11</xdr:col>
      <xdr:colOff>345281</xdr:colOff>
      <xdr:row>79</xdr:row>
      <xdr:rowOff>3</xdr:rowOff>
    </xdr:to>
    <xdr:sp macro="" textlink="">
      <xdr:nvSpPr>
        <xdr:cNvPr id="3449" name="Freeform 152">
          <a:extLst>
            <a:ext uri="{FF2B5EF4-FFF2-40B4-BE49-F238E27FC236}">
              <a16:creationId xmlns:a16="http://schemas.microsoft.com/office/drawing/2014/main" id="{7079A9A8-2CFE-4730-87A1-D43474F59A2D}"/>
            </a:ext>
          </a:extLst>
        </xdr:cNvPr>
        <xdr:cNvSpPr/>
      </xdr:nvSpPr>
      <xdr:spPr>
        <a:xfrm>
          <a:off x="6607969" y="17561719"/>
          <a:ext cx="1262062" cy="21431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11</xdr:col>
      <xdr:colOff>380999</xdr:colOff>
      <xdr:row>77</xdr:row>
      <xdr:rowOff>166687</xdr:rowOff>
    </xdr:from>
    <xdr:to>
      <xdr:col>13</xdr:col>
      <xdr:colOff>416718</xdr:colOff>
      <xdr:row>79</xdr:row>
      <xdr:rowOff>2</xdr:rowOff>
    </xdr:to>
    <xdr:sp macro="" textlink="">
      <xdr:nvSpPr>
        <xdr:cNvPr id="3450" name="Freeform 152">
          <a:extLst>
            <a:ext uri="{FF2B5EF4-FFF2-40B4-BE49-F238E27FC236}">
              <a16:creationId xmlns:a16="http://schemas.microsoft.com/office/drawing/2014/main" id="{49F57EC0-0DA1-4AC0-AD28-E59926F307F1}"/>
            </a:ext>
          </a:extLst>
        </xdr:cNvPr>
        <xdr:cNvSpPr/>
      </xdr:nvSpPr>
      <xdr:spPr>
        <a:xfrm>
          <a:off x="7905749" y="17537906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13</xdr:col>
      <xdr:colOff>440530</xdr:colOff>
      <xdr:row>77</xdr:row>
      <xdr:rowOff>154781</xdr:rowOff>
    </xdr:from>
    <xdr:to>
      <xdr:col>15</xdr:col>
      <xdr:colOff>369092</xdr:colOff>
      <xdr:row>79</xdr:row>
      <xdr:rowOff>11906</xdr:rowOff>
    </xdr:to>
    <xdr:sp macro="" textlink="">
      <xdr:nvSpPr>
        <xdr:cNvPr id="3451" name="Freeform 152">
          <a:extLst>
            <a:ext uri="{FF2B5EF4-FFF2-40B4-BE49-F238E27FC236}">
              <a16:creationId xmlns:a16="http://schemas.microsoft.com/office/drawing/2014/main" id="{4D487728-B90A-410C-A528-3FA3A881E9C3}"/>
            </a:ext>
          </a:extLst>
        </xdr:cNvPr>
        <xdr:cNvSpPr/>
      </xdr:nvSpPr>
      <xdr:spPr>
        <a:xfrm>
          <a:off x="9167811" y="17526000"/>
          <a:ext cx="1285875" cy="26193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15</xdr:col>
      <xdr:colOff>464343</xdr:colOff>
      <xdr:row>78</xdr:row>
      <xdr:rowOff>11906</xdr:rowOff>
    </xdr:from>
    <xdr:to>
      <xdr:col>17</xdr:col>
      <xdr:colOff>321468</xdr:colOff>
      <xdr:row>79</xdr:row>
      <xdr:rowOff>47627</xdr:rowOff>
    </xdr:to>
    <xdr:sp macro="" textlink="">
      <xdr:nvSpPr>
        <xdr:cNvPr id="3452" name="Freeform 152">
          <a:extLst>
            <a:ext uri="{FF2B5EF4-FFF2-40B4-BE49-F238E27FC236}">
              <a16:creationId xmlns:a16="http://schemas.microsoft.com/office/drawing/2014/main" id="{FD3D2E8C-6223-4F1E-9ABA-7640BAAED245}"/>
            </a:ext>
          </a:extLst>
        </xdr:cNvPr>
        <xdr:cNvSpPr/>
      </xdr:nvSpPr>
      <xdr:spPr>
        <a:xfrm>
          <a:off x="10548937" y="17585531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17</xdr:col>
      <xdr:colOff>392905</xdr:colOff>
      <xdr:row>78</xdr:row>
      <xdr:rowOff>11906</xdr:rowOff>
    </xdr:from>
    <xdr:to>
      <xdr:col>19</xdr:col>
      <xdr:colOff>392905</xdr:colOff>
      <xdr:row>79</xdr:row>
      <xdr:rowOff>47627</xdr:rowOff>
    </xdr:to>
    <xdr:sp macro="" textlink="">
      <xdr:nvSpPr>
        <xdr:cNvPr id="3453" name="Freeform 152">
          <a:extLst>
            <a:ext uri="{FF2B5EF4-FFF2-40B4-BE49-F238E27FC236}">
              <a16:creationId xmlns:a16="http://schemas.microsoft.com/office/drawing/2014/main" id="{4B707C40-C258-478C-9D91-656D028F023F}"/>
            </a:ext>
          </a:extLst>
        </xdr:cNvPr>
        <xdr:cNvSpPr/>
      </xdr:nvSpPr>
      <xdr:spPr>
        <a:xfrm>
          <a:off x="11858624" y="17585531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19</xdr:col>
      <xdr:colOff>285749</xdr:colOff>
      <xdr:row>78</xdr:row>
      <xdr:rowOff>11907</xdr:rowOff>
    </xdr:from>
    <xdr:to>
      <xdr:col>21</xdr:col>
      <xdr:colOff>309562</xdr:colOff>
      <xdr:row>79</xdr:row>
      <xdr:rowOff>47628</xdr:rowOff>
    </xdr:to>
    <xdr:sp macro="" textlink="">
      <xdr:nvSpPr>
        <xdr:cNvPr id="3454" name="Freeform 152">
          <a:extLst>
            <a:ext uri="{FF2B5EF4-FFF2-40B4-BE49-F238E27FC236}">
              <a16:creationId xmlns:a16="http://schemas.microsoft.com/office/drawing/2014/main" id="{7C22206A-AB0F-4C1D-9918-D211D3BE1E5A}"/>
            </a:ext>
          </a:extLst>
        </xdr:cNvPr>
        <xdr:cNvSpPr/>
      </xdr:nvSpPr>
      <xdr:spPr>
        <a:xfrm>
          <a:off x="12989718" y="17585532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404813</xdr:colOff>
      <xdr:row>78</xdr:row>
      <xdr:rowOff>0</xdr:rowOff>
    </xdr:from>
    <xdr:to>
      <xdr:col>23</xdr:col>
      <xdr:colOff>309563</xdr:colOff>
      <xdr:row>79</xdr:row>
      <xdr:rowOff>35721</xdr:rowOff>
    </xdr:to>
    <xdr:sp macro="" textlink="">
      <xdr:nvSpPr>
        <xdr:cNvPr id="3455" name="Freeform 152">
          <a:extLst>
            <a:ext uri="{FF2B5EF4-FFF2-40B4-BE49-F238E27FC236}">
              <a16:creationId xmlns:a16="http://schemas.microsoft.com/office/drawing/2014/main" id="{783CF8E5-046F-46E6-AEFB-005F7A2395E3}"/>
            </a:ext>
          </a:extLst>
        </xdr:cNvPr>
        <xdr:cNvSpPr/>
      </xdr:nvSpPr>
      <xdr:spPr>
        <a:xfrm>
          <a:off x="14323219" y="17573625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23</xdr:col>
      <xdr:colOff>369094</xdr:colOff>
      <xdr:row>78</xdr:row>
      <xdr:rowOff>0</xdr:rowOff>
    </xdr:from>
    <xdr:to>
      <xdr:col>24</xdr:col>
      <xdr:colOff>619125</xdr:colOff>
      <xdr:row>79</xdr:row>
      <xdr:rowOff>23814</xdr:rowOff>
    </xdr:to>
    <xdr:sp macro="" textlink="">
      <xdr:nvSpPr>
        <xdr:cNvPr id="2680" name="Freeform 152">
          <a:extLst>
            <a:ext uri="{FF2B5EF4-FFF2-40B4-BE49-F238E27FC236}">
              <a16:creationId xmlns:a16="http://schemas.microsoft.com/office/drawing/2014/main" id="{160696F2-E034-4466-AC94-320FBCA86596}"/>
            </a:ext>
          </a:extLst>
        </xdr:cNvPr>
        <xdr:cNvSpPr/>
      </xdr:nvSpPr>
      <xdr:spPr>
        <a:xfrm>
          <a:off x="15621000" y="17573625"/>
          <a:ext cx="940594" cy="2262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535780</xdr:colOff>
      <xdr:row>85</xdr:row>
      <xdr:rowOff>1</xdr:rowOff>
    </xdr:from>
    <xdr:to>
      <xdr:col>3</xdr:col>
      <xdr:colOff>309561</xdr:colOff>
      <xdr:row>86</xdr:row>
      <xdr:rowOff>0</xdr:rowOff>
    </xdr:to>
    <xdr:sp macro="" textlink="">
      <xdr:nvSpPr>
        <xdr:cNvPr id="2681" name="Freeform 152">
          <a:extLst>
            <a:ext uri="{FF2B5EF4-FFF2-40B4-BE49-F238E27FC236}">
              <a16:creationId xmlns:a16="http://schemas.microsoft.com/office/drawing/2014/main" id="{E5839A2A-9485-4EDD-8FF2-97740C2F9353}"/>
            </a:ext>
          </a:extLst>
        </xdr:cNvPr>
        <xdr:cNvSpPr/>
      </xdr:nvSpPr>
      <xdr:spPr>
        <a:xfrm>
          <a:off x="1131093" y="19014282"/>
          <a:ext cx="1321593" cy="20240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381000</xdr:colOff>
      <xdr:row>84</xdr:row>
      <xdr:rowOff>154781</xdr:rowOff>
    </xdr:from>
    <xdr:to>
      <xdr:col>5</xdr:col>
      <xdr:colOff>392906</xdr:colOff>
      <xdr:row>86</xdr:row>
      <xdr:rowOff>47624</xdr:rowOff>
    </xdr:to>
    <xdr:sp macro="" textlink="">
      <xdr:nvSpPr>
        <xdr:cNvPr id="2682" name="Freeform 152">
          <a:extLst>
            <a:ext uri="{FF2B5EF4-FFF2-40B4-BE49-F238E27FC236}">
              <a16:creationId xmlns:a16="http://schemas.microsoft.com/office/drawing/2014/main" id="{C442F085-06BA-4377-ADC9-79C1DC76E331}"/>
            </a:ext>
          </a:extLst>
        </xdr:cNvPr>
        <xdr:cNvSpPr/>
      </xdr:nvSpPr>
      <xdr:spPr>
        <a:xfrm>
          <a:off x="2524125" y="18966656"/>
          <a:ext cx="1357312" cy="29765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5</xdr:col>
      <xdr:colOff>404813</xdr:colOff>
      <xdr:row>84</xdr:row>
      <xdr:rowOff>166687</xdr:rowOff>
    </xdr:from>
    <xdr:to>
      <xdr:col>7</xdr:col>
      <xdr:colOff>321469</xdr:colOff>
      <xdr:row>86</xdr:row>
      <xdr:rowOff>1</xdr:rowOff>
    </xdr:to>
    <xdr:sp macro="" textlink="">
      <xdr:nvSpPr>
        <xdr:cNvPr id="2683" name="Freeform 152">
          <a:extLst>
            <a:ext uri="{FF2B5EF4-FFF2-40B4-BE49-F238E27FC236}">
              <a16:creationId xmlns:a16="http://schemas.microsoft.com/office/drawing/2014/main" id="{C64D45FD-D48A-4950-B852-E39A39816F23}"/>
            </a:ext>
          </a:extLst>
        </xdr:cNvPr>
        <xdr:cNvSpPr/>
      </xdr:nvSpPr>
      <xdr:spPr>
        <a:xfrm>
          <a:off x="3893344" y="18978562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404812</xdr:colOff>
      <xdr:row>84</xdr:row>
      <xdr:rowOff>190500</xdr:rowOff>
    </xdr:from>
    <xdr:to>
      <xdr:col>9</xdr:col>
      <xdr:colOff>369093</xdr:colOff>
      <xdr:row>86</xdr:row>
      <xdr:rowOff>35718</xdr:rowOff>
    </xdr:to>
    <xdr:sp macro="" textlink="">
      <xdr:nvSpPr>
        <xdr:cNvPr id="2684" name="Freeform 152">
          <a:extLst>
            <a:ext uri="{FF2B5EF4-FFF2-40B4-BE49-F238E27FC236}">
              <a16:creationId xmlns:a16="http://schemas.microsoft.com/office/drawing/2014/main" id="{2ECE0F8F-1FC4-4731-BD43-1DFBCE7388B5}"/>
            </a:ext>
          </a:extLst>
        </xdr:cNvPr>
        <xdr:cNvSpPr/>
      </xdr:nvSpPr>
      <xdr:spPr>
        <a:xfrm>
          <a:off x="5214937" y="19002375"/>
          <a:ext cx="1309687" cy="25003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13</xdr:col>
      <xdr:colOff>476251</xdr:colOff>
      <xdr:row>57</xdr:row>
      <xdr:rowOff>71437</xdr:rowOff>
    </xdr:from>
    <xdr:to>
      <xdr:col>15</xdr:col>
      <xdr:colOff>273844</xdr:colOff>
      <xdr:row>58</xdr:row>
      <xdr:rowOff>134371</xdr:rowOff>
    </xdr:to>
    <xdr:sp macro="" textlink="">
      <xdr:nvSpPr>
        <xdr:cNvPr id="2685" name="Freeform 152">
          <a:extLst>
            <a:ext uri="{FF2B5EF4-FFF2-40B4-BE49-F238E27FC236}">
              <a16:creationId xmlns:a16="http://schemas.microsoft.com/office/drawing/2014/main" id="{762670B4-1EDF-4A7A-8A65-2717E88DABBD}"/>
            </a:ext>
          </a:extLst>
        </xdr:cNvPr>
        <xdr:cNvSpPr/>
      </xdr:nvSpPr>
      <xdr:spPr>
        <a:xfrm>
          <a:off x="9203532" y="13287375"/>
          <a:ext cx="1154906" cy="26534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15</xdr:col>
      <xdr:colOff>369093</xdr:colOff>
      <xdr:row>57</xdr:row>
      <xdr:rowOff>11905</xdr:rowOff>
    </xdr:from>
    <xdr:to>
      <xdr:col>17</xdr:col>
      <xdr:colOff>214312</xdr:colOff>
      <xdr:row>58</xdr:row>
      <xdr:rowOff>98650</xdr:rowOff>
    </xdr:to>
    <xdr:sp macro="" textlink="">
      <xdr:nvSpPr>
        <xdr:cNvPr id="2686" name="Freeform 152">
          <a:extLst>
            <a:ext uri="{FF2B5EF4-FFF2-40B4-BE49-F238E27FC236}">
              <a16:creationId xmlns:a16="http://schemas.microsoft.com/office/drawing/2014/main" id="{35B2B3B1-B0CA-49E2-979A-FBF80F48830B}"/>
            </a:ext>
          </a:extLst>
        </xdr:cNvPr>
        <xdr:cNvSpPr/>
      </xdr:nvSpPr>
      <xdr:spPr>
        <a:xfrm>
          <a:off x="10453687" y="13227843"/>
          <a:ext cx="1226344" cy="28915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17</xdr:col>
      <xdr:colOff>381000</xdr:colOff>
      <xdr:row>57</xdr:row>
      <xdr:rowOff>59531</xdr:rowOff>
    </xdr:from>
    <xdr:to>
      <xdr:col>19</xdr:col>
      <xdr:colOff>261937</xdr:colOff>
      <xdr:row>58</xdr:row>
      <xdr:rowOff>134371</xdr:rowOff>
    </xdr:to>
    <xdr:sp macro="" textlink="">
      <xdr:nvSpPr>
        <xdr:cNvPr id="2687" name="Freeform 152">
          <a:extLst>
            <a:ext uri="{FF2B5EF4-FFF2-40B4-BE49-F238E27FC236}">
              <a16:creationId xmlns:a16="http://schemas.microsoft.com/office/drawing/2014/main" id="{D7A2BCE2-B4F1-429D-831B-1CC4C6DE8D50}"/>
            </a:ext>
          </a:extLst>
        </xdr:cNvPr>
        <xdr:cNvSpPr/>
      </xdr:nvSpPr>
      <xdr:spPr>
        <a:xfrm>
          <a:off x="11846719" y="13275469"/>
          <a:ext cx="1119187" cy="27724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19</xdr:col>
      <xdr:colOff>309562</xdr:colOff>
      <xdr:row>57</xdr:row>
      <xdr:rowOff>59530</xdr:rowOff>
    </xdr:from>
    <xdr:to>
      <xdr:col>21</xdr:col>
      <xdr:colOff>316368</xdr:colOff>
      <xdr:row>58</xdr:row>
      <xdr:rowOff>146276</xdr:rowOff>
    </xdr:to>
    <xdr:sp macro="" textlink="">
      <xdr:nvSpPr>
        <xdr:cNvPr id="2688" name="Freeform 152">
          <a:extLst>
            <a:ext uri="{FF2B5EF4-FFF2-40B4-BE49-F238E27FC236}">
              <a16:creationId xmlns:a16="http://schemas.microsoft.com/office/drawing/2014/main" id="{B3941643-5971-4A9A-B49A-AF30B175DDB5}"/>
            </a:ext>
          </a:extLst>
        </xdr:cNvPr>
        <xdr:cNvSpPr/>
      </xdr:nvSpPr>
      <xdr:spPr>
        <a:xfrm>
          <a:off x="13013531" y="13275468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21</xdr:col>
      <xdr:colOff>381001</xdr:colOff>
      <xdr:row>57</xdr:row>
      <xdr:rowOff>71437</xdr:rowOff>
    </xdr:from>
    <xdr:to>
      <xdr:col>23</xdr:col>
      <xdr:colOff>268744</xdr:colOff>
      <xdr:row>58</xdr:row>
      <xdr:rowOff>158183</xdr:rowOff>
    </xdr:to>
    <xdr:sp macro="" textlink="">
      <xdr:nvSpPr>
        <xdr:cNvPr id="3456" name="Freeform 152">
          <a:extLst>
            <a:ext uri="{FF2B5EF4-FFF2-40B4-BE49-F238E27FC236}">
              <a16:creationId xmlns:a16="http://schemas.microsoft.com/office/drawing/2014/main" id="{CB0426CE-B2B2-4A46-9E25-593D568CA844}"/>
            </a:ext>
          </a:extLst>
        </xdr:cNvPr>
        <xdr:cNvSpPr/>
      </xdr:nvSpPr>
      <xdr:spPr>
        <a:xfrm>
          <a:off x="14299407" y="13287375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23</xdr:col>
      <xdr:colOff>428627</xdr:colOff>
      <xdr:row>57</xdr:row>
      <xdr:rowOff>71437</xdr:rowOff>
    </xdr:from>
    <xdr:to>
      <xdr:col>25</xdr:col>
      <xdr:colOff>11907</xdr:colOff>
      <xdr:row>58</xdr:row>
      <xdr:rowOff>193902</xdr:rowOff>
    </xdr:to>
    <xdr:sp macro="" textlink="">
      <xdr:nvSpPr>
        <xdr:cNvPr id="3457" name="Freeform 152">
          <a:extLst>
            <a:ext uri="{FF2B5EF4-FFF2-40B4-BE49-F238E27FC236}">
              <a16:creationId xmlns:a16="http://schemas.microsoft.com/office/drawing/2014/main" id="{4CBCBF4C-16AD-421C-BC69-BC0129DE9830}"/>
            </a:ext>
          </a:extLst>
        </xdr:cNvPr>
        <xdr:cNvSpPr/>
      </xdr:nvSpPr>
      <xdr:spPr>
        <a:xfrm>
          <a:off x="15680533" y="13287375"/>
          <a:ext cx="916780" cy="324871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1</xdr:col>
      <xdr:colOff>595311</xdr:colOff>
      <xdr:row>64</xdr:row>
      <xdr:rowOff>83345</xdr:rowOff>
    </xdr:from>
    <xdr:to>
      <xdr:col>3</xdr:col>
      <xdr:colOff>261937</xdr:colOff>
      <xdr:row>65</xdr:row>
      <xdr:rowOff>130969</xdr:rowOff>
    </xdr:to>
    <xdr:sp macro="" textlink="">
      <xdr:nvSpPr>
        <xdr:cNvPr id="3458" name="Freeform 152">
          <a:extLst>
            <a:ext uri="{FF2B5EF4-FFF2-40B4-BE49-F238E27FC236}">
              <a16:creationId xmlns:a16="http://schemas.microsoft.com/office/drawing/2014/main" id="{B59D2615-EFDC-4A5B-88BB-F9220C46E1D6}"/>
            </a:ext>
          </a:extLst>
        </xdr:cNvPr>
        <xdr:cNvSpPr/>
      </xdr:nvSpPr>
      <xdr:spPr>
        <a:xfrm>
          <a:off x="1190624" y="14751845"/>
          <a:ext cx="1214438" cy="25003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3</xdr:col>
      <xdr:colOff>381000</xdr:colOff>
      <xdr:row>64</xdr:row>
      <xdr:rowOff>23812</xdr:rowOff>
    </xdr:from>
    <xdr:to>
      <xdr:col>5</xdr:col>
      <xdr:colOff>256837</xdr:colOff>
      <xdr:row>65</xdr:row>
      <xdr:rowOff>110558</xdr:rowOff>
    </xdr:to>
    <xdr:sp macro="" textlink="">
      <xdr:nvSpPr>
        <xdr:cNvPr id="3459" name="Freeform 152">
          <a:extLst>
            <a:ext uri="{FF2B5EF4-FFF2-40B4-BE49-F238E27FC236}">
              <a16:creationId xmlns:a16="http://schemas.microsoft.com/office/drawing/2014/main" id="{CFF949C8-81D5-43C2-B648-A8C5AE9427F8}"/>
            </a:ext>
          </a:extLst>
        </xdr:cNvPr>
        <xdr:cNvSpPr/>
      </xdr:nvSpPr>
      <xdr:spPr>
        <a:xfrm>
          <a:off x="2524125" y="14692312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392906</xdr:colOff>
      <xdr:row>64</xdr:row>
      <xdr:rowOff>47626</xdr:rowOff>
    </xdr:from>
    <xdr:to>
      <xdr:col>7</xdr:col>
      <xdr:colOff>292555</xdr:colOff>
      <xdr:row>65</xdr:row>
      <xdr:rowOff>134372</xdr:rowOff>
    </xdr:to>
    <xdr:sp macro="" textlink="">
      <xdr:nvSpPr>
        <xdr:cNvPr id="3460" name="Freeform 152">
          <a:extLst>
            <a:ext uri="{FF2B5EF4-FFF2-40B4-BE49-F238E27FC236}">
              <a16:creationId xmlns:a16="http://schemas.microsoft.com/office/drawing/2014/main" id="{28791904-41B7-4C3F-8294-31DEB56C7DD8}"/>
            </a:ext>
          </a:extLst>
        </xdr:cNvPr>
        <xdr:cNvSpPr/>
      </xdr:nvSpPr>
      <xdr:spPr>
        <a:xfrm>
          <a:off x="3881437" y="14716126"/>
          <a:ext cx="1221243" cy="28915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7</xdr:col>
      <xdr:colOff>345282</xdr:colOff>
      <xdr:row>64</xdr:row>
      <xdr:rowOff>47625</xdr:rowOff>
    </xdr:from>
    <xdr:to>
      <xdr:col>9</xdr:col>
      <xdr:colOff>297656</xdr:colOff>
      <xdr:row>65</xdr:row>
      <xdr:rowOff>110559</xdr:rowOff>
    </xdr:to>
    <xdr:sp macro="" textlink="">
      <xdr:nvSpPr>
        <xdr:cNvPr id="3461" name="Freeform 152">
          <a:extLst>
            <a:ext uri="{FF2B5EF4-FFF2-40B4-BE49-F238E27FC236}">
              <a16:creationId xmlns:a16="http://schemas.microsoft.com/office/drawing/2014/main" id="{3DD23443-83B0-42D2-AC9B-2271980B3D66}"/>
            </a:ext>
          </a:extLst>
        </xdr:cNvPr>
        <xdr:cNvSpPr/>
      </xdr:nvSpPr>
      <xdr:spPr>
        <a:xfrm>
          <a:off x="5155407" y="14716125"/>
          <a:ext cx="1297780" cy="26534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sp>
    <xdr:clientData/>
  </xdr:twoCellAnchor>
  <xdr:twoCellAnchor>
    <xdr:from>
      <xdr:col>5</xdr:col>
      <xdr:colOff>381001</xdr:colOff>
      <xdr:row>99</xdr:row>
      <xdr:rowOff>178595</xdr:rowOff>
    </xdr:from>
    <xdr:to>
      <xdr:col>7</xdr:col>
      <xdr:colOff>360446</xdr:colOff>
      <xdr:row>100</xdr:row>
      <xdr:rowOff>159761</xdr:rowOff>
    </xdr:to>
    <xdr:sp macro="" textlink="">
      <xdr:nvSpPr>
        <xdr:cNvPr id="3462" name="Freeform 152">
          <a:extLst>
            <a:ext uri="{FF2B5EF4-FFF2-40B4-BE49-F238E27FC236}">
              <a16:creationId xmlns:a16="http://schemas.microsoft.com/office/drawing/2014/main" id="{C7AC23C3-1001-403D-B08F-3B52E186A247}"/>
            </a:ext>
          </a:extLst>
        </xdr:cNvPr>
        <xdr:cNvSpPr/>
      </xdr:nvSpPr>
      <xdr:spPr>
        <a:xfrm>
          <a:off x="3869532" y="22098001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369094</xdr:colOff>
      <xdr:row>100</xdr:row>
      <xdr:rowOff>23812</xdr:rowOff>
    </xdr:from>
    <xdr:to>
      <xdr:col>9</xdr:col>
      <xdr:colOff>324727</xdr:colOff>
      <xdr:row>101</xdr:row>
      <xdr:rowOff>4979</xdr:rowOff>
    </xdr:to>
    <xdr:sp macro="" textlink="">
      <xdr:nvSpPr>
        <xdr:cNvPr id="3463" name="Freeform 152">
          <a:extLst>
            <a:ext uri="{FF2B5EF4-FFF2-40B4-BE49-F238E27FC236}">
              <a16:creationId xmlns:a16="http://schemas.microsoft.com/office/drawing/2014/main" id="{77719170-6C2A-4C4B-B621-9610FDF95CFC}"/>
            </a:ext>
          </a:extLst>
        </xdr:cNvPr>
        <xdr:cNvSpPr/>
      </xdr:nvSpPr>
      <xdr:spPr>
        <a:xfrm>
          <a:off x="5179219" y="22145625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464344</xdr:colOff>
      <xdr:row>100</xdr:row>
      <xdr:rowOff>35718</xdr:rowOff>
    </xdr:from>
    <xdr:to>
      <xdr:col>11</xdr:col>
      <xdr:colOff>396164</xdr:colOff>
      <xdr:row>101</xdr:row>
      <xdr:rowOff>16885</xdr:rowOff>
    </xdr:to>
    <xdr:sp macro="" textlink="">
      <xdr:nvSpPr>
        <xdr:cNvPr id="3464" name="Freeform 152">
          <a:extLst>
            <a:ext uri="{FF2B5EF4-FFF2-40B4-BE49-F238E27FC236}">
              <a16:creationId xmlns:a16="http://schemas.microsoft.com/office/drawing/2014/main" id="{F698D1F5-ABA3-4D94-9B3E-C4ECE73668EA}"/>
            </a:ext>
          </a:extLst>
        </xdr:cNvPr>
        <xdr:cNvSpPr/>
      </xdr:nvSpPr>
      <xdr:spPr>
        <a:xfrm>
          <a:off x="6619875" y="22157531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11</xdr:col>
      <xdr:colOff>404812</xdr:colOff>
      <xdr:row>100</xdr:row>
      <xdr:rowOff>11906</xdr:rowOff>
    </xdr:from>
    <xdr:to>
      <xdr:col>13</xdr:col>
      <xdr:colOff>381000</xdr:colOff>
      <xdr:row>101</xdr:row>
      <xdr:rowOff>16885</xdr:rowOff>
    </xdr:to>
    <xdr:sp macro="" textlink="">
      <xdr:nvSpPr>
        <xdr:cNvPr id="3465" name="Freeform 152">
          <a:extLst>
            <a:ext uri="{FF2B5EF4-FFF2-40B4-BE49-F238E27FC236}">
              <a16:creationId xmlns:a16="http://schemas.microsoft.com/office/drawing/2014/main" id="{AD9283DB-C68C-47CB-AD34-6FEF1D2438DA}"/>
            </a:ext>
          </a:extLst>
        </xdr:cNvPr>
        <xdr:cNvSpPr/>
      </xdr:nvSpPr>
      <xdr:spPr>
        <a:xfrm>
          <a:off x="7929562" y="22133719"/>
          <a:ext cx="1178719" cy="20738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404813</xdr:colOff>
      <xdr:row>100</xdr:row>
      <xdr:rowOff>-1</xdr:rowOff>
    </xdr:from>
    <xdr:to>
      <xdr:col>15</xdr:col>
      <xdr:colOff>348539</xdr:colOff>
      <xdr:row>100</xdr:row>
      <xdr:rowOff>183572</xdr:rowOff>
    </xdr:to>
    <xdr:sp macro="" textlink="">
      <xdr:nvSpPr>
        <xdr:cNvPr id="3466" name="Freeform 152">
          <a:extLst>
            <a:ext uri="{FF2B5EF4-FFF2-40B4-BE49-F238E27FC236}">
              <a16:creationId xmlns:a16="http://schemas.microsoft.com/office/drawing/2014/main" id="{D2E9FE98-2F81-489B-BA1A-2E0E9594B0B9}"/>
            </a:ext>
          </a:extLst>
        </xdr:cNvPr>
        <xdr:cNvSpPr/>
      </xdr:nvSpPr>
      <xdr:spPr>
        <a:xfrm>
          <a:off x="9132094" y="22121812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392905</xdr:colOff>
      <xdr:row>100</xdr:row>
      <xdr:rowOff>11906</xdr:rowOff>
    </xdr:from>
    <xdr:to>
      <xdr:col>17</xdr:col>
      <xdr:colOff>312819</xdr:colOff>
      <xdr:row>100</xdr:row>
      <xdr:rowOff>195479</xdr:rowOff>
    </xdr:to>
    <xdr:sp macro="" textlink="">
      <xdr:nvSpPr>
        <xdr:cNvPr id="3467" name="Freeform 152">
          <a:extLst>
            <a:ext uri="{FF2B5EF4-FFF2-40B4-BE49-F238E27FC236}">
              <a16:creationId xmlns:a16="http://schemas.microsoft.com/office/drawing/2014/main" id="{F1956F14-A2C8-43F2-973D-F22B1EC6FAB7}"/>
            </a:ext>
          </a:extLst>
        </xdr:cNvPr>
        <xdr:cNvSpPr/>
      </xdr:nvSpPr>
      <xdr:spPr>
        <a:xfrm>
          <a:off x="10477499" y="22133719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321468</xdr:colOff>
      <xdr:row>100</xdr:row>
      <xdr:rowOff>23812</xdr:rowOff>
    </xdr:from>
    <xdr:to>
      <xdr:col>19</xdr:col>
      <xdr:colOff>273843</xdr:colOff>
      <xdr:row>100</xdr:row>
      <xdr:rowOff>195479</xdr:rowOff>
    </xdr:to>
    <xdr:sp macro="" textlink="">
      <xdr:nvSpPr>
        <xdr:cNvPr id="3468" name="Freeform 152">
          <a:extLst>
            <a:ext uri="{FF2B5EF4-FFF2-40B4-BE49-F238E27FC236}">
              <a16:creationId xmlns:a16="http://schemas.microsoft.com/office/drawing/2014/main" id="{F1B61ECD-2D69-44CC-AD08-0E6BD6D9853A}"/>
            </a:ext>
          </a:extLst>
        </xdr:cNvPr>
        <xdr:cNvSpPr/>
      </xdr:nvSpPr>
      <xdr:spPr>
        <a:xfrm>
          <a:off x="11787187" y="22145625"/>
          <a:ext cx="1190625" cy="17166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250031</xdr:colOff>
      <xdr:row>100</xdr:row>
      <xdr:rowOff>0</xdr:rowOff>
    </xdr:from>
    <xdr:to>
      <xdr:col>21</xdr:col>
      <xdr:colOff>336633</xdr:colOff>
      <xdr:row>100</xdr:row>
      <xdr:rowOff>183573</xdr:rowOff>
    </xdr:to>
    <xdr:sp macro="" textlink="">
      <xdr:nvSpPr>
        <xdr:cNvPr id="3469" name="Freeform 152">
          <a:extLst>
            <a:ext uri="{FF2B5EF4-FFF2-40B4-BE49-F238E27FC236}">
              <a16:creationId xmlns:a16="http://schemas.microsoft.com/office/drawing/2014/main" id="{C5A77968-E00E-4BAF-98E1-EDACE28F99C8}"/>
            </a:ext>
          </a:extLst>
        </xdr:cNvPr>
        <xdr:cNvSpPr/>
      </xdr:nvSpPr>
      <xdr:spPr>
        <a:xfrm>
          <a:off x="12954000" y="22121813"/>
          <a:ext cx="1301039" cy="18357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440532</xdr:colOff>
      <xdr:row>92</xdr:row>
      <xdr:rowOff>23813</xdr:rowOff>
    </xdr:from>
    <xdr:to>
      <xdr:col>23</xdr:col>
      <xdr:colOff>345282</xdr:colOff>
      <xdr:row>93</xdr:row>
      <xdr:rowOff>59534</xdr:rowOff>
    </xdr:to>
    <xdr:sp macro="" textlink="">
      <xdr:nvSpPr>
        <xdr:cNvPr id="2813" name="Freeform 152">
          <a:extLst>
            <a:ext uri="{FF2B5EF4-FFF2-40B4-BE49-F238E27FC236}">
              <a16:creationId xmlns:a16="http://schemas.microsoft.com/office/drawing/2014/main" id="{3F5B0A55-0E2C-47CF-84D1-D82348513512}"/>
            </a:ext>
          </a:extLst>
        </xdr:cNvPr>
        <xdr:cNvSpPr/>
      </xdr:nvSpPr>
      <xdr:spPr>
        <a:xfrm>
          <a:off x="14358938" y="20490657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23</xdr:col>
      <xdr:colOff>381001</xdr:colOff>
      <xdr:row>92</xdr:row>
      <xdr:rowOff>71437</xdr:rowOff>
    </xdr:from>
    <xdr:to>
      <xdr:col>24</xdr:col>
      <xdr:colOff>595312</xdr:colOff>
      <xdr:row>93</xdr:row>
      <xdr:rowOff>59533</xdr:rowOff>
    </xdr:to>
    <xdr:sp macro="" textlink="">
      <xdr:nvSpPr>
        <xdr:cNvPr id="2814" name="Freeform 152">
          <a:extLst>
            <a:ext uri="{FF2B5EF4-FFF2-40B4-BE49-F238E27FC236}">
              <a16:creationId xmlns:a16="http://schemas.microsoft.com/office/drawing/2014/main" id="{A1CE3BA6-C57E-47C5-B9BB-67C388162176}"/>
            </a:ext>
          </a:extLst>
        </xdr:cNvPr>
        <xdr:cNvSpPr/>
      </xdr:nvSpPr>
      <xdr:spPr>
        <a:xfrm>
          <a:off x="15632907" y="20538281"/>
          <a:ext cx="904874" cy="19050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571499</xdr:colOff>
      <xdr:row>99</xdr:row>
      <xdr:rowOff>178594</xdr:rowOff>
    </xdr:from>
    <xdr:to>
      <xdr:col>3</xdr:col>
      <xdr:colOff>261937</xdr:colOff>
      <xdr:row>101</xdr:row>
      <xdr:rowOff>11908</xdr:rowOff>
    </xdr:to>
    <xdr:sp macro="" textlink="">
      <xdr:nvSpPr>
        <xdr:cNvPr id="2815" name="Freeform 152">
          <a:extLst>
            <a:ext uri="{FF2B5EF4-FFF2-40B4-BE49-F238E27FC236}">
              <a16:creationId xmlns:a16="http://schemas.microsoft.com/office/drawing/2014/main" id="{5C2478BE-53C4-4AE0-B560-C1A6616F2750}"/>
            </a:ext>
          </a:extLst>
        </xdr:cNvPr>
        <xdr:cNvSpPr/>
      </xdr:nvSpPr>
      <xdr:spPr>
        <a:xfrm>
          <a:off x="1166812" y="22098000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488156</xdr:colOff>
      <xdr:row>100</xdr:row>
      <xdr:rowOff>0</xdr:rowOff>
    </xdr:from>
    <xdr:to>
      <xdr:col>5</xdr:col>
      <xdr:colOff>381000</xdr:colOff>
      <xdr:row>101</xdr:row>
      <xdr:rowOff>35721</xdr:rowOff>
    </xdr:to>
    <xdr:sp macro="" textlink="">
      <xdr:nvSpPr>
        <xdr:cNvPr id="100" name="Freeform 152">
          <a:extLst>
            <a:ext uri="{FF2B5EF4-FFF2-40B4-BE49-F238E27FC236}">
              <a16:creationId xmlns:a16="http://schemas.microsoft.com/office/drawing/2014/main" id="{E9DEF0A2-6E9C-4B78-ACFE-8743A30B9198}"/>
            </a:ext>
          </a:extLst>
        </xdr:cNvPr>
        <xdr:cNvSpPr/>
      </xdr:nvSpPr>
      <xdr:spPr>
        <a:xfrm>
          <a:off x="2631281" y="22121813"/>
          <a:ext cx="1238250" cy="238127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ln w="381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678657</xdr:colOff>
      <xdr:row>32</xdr:row>
      <xdr:rowOff>178594</xdr:rowOff>
    </xdr:from>
    <xdr:to>
      <xdr:col>8</xdr:col>
      <xdr:colOff>301057</xdr:colOff>
      <xdr:row>34</xdr:row>
      <xdr:rowOff>32318</xdr:rowOff>
    </xdr:to>
    <xdr:grpSp>
      <xdr:nvGrpSpPr>
        <xdr:cNvPr id="3352" name="Group 1008">
          <a:extLst>
            <a:ext uri="{FF2B5EF4-FFF2-40B4-BE49-F238E27FC236}">
              <a16:creationId xmlns:a16="http://schemas.microsoft.com/office/drawing/2014/main" id="{669B8AC9-E25C-4A2A-8A20-E24FEA715592}"/>
            </a:ext>
          </a:extLst>
        </xdr:cNvPr>
        <xdr:cNvGrpSpPr>
          <a:grpSpLocks/>
        </xdr:cNvGrpSpPr>
      </xdr:nvGrpSpPr>
      <xdr:grpSpPr bwMode="auto">
        <a:xfrm>
          <a:off x="5488782" y="8215313"/>
          <a:ext cx="312963" cy="270443"/>
          <a:chOff x="5475762" y="47760700"/>
          <a:chExt cx="314325" cy="230209"/>
        </a:xfrm>
      </xdr:grpSpPr>
      <xdr:cxnSp macro="">
        <xdr:nvCxnSpPr>
          <xdr:cNvPr id="3353" name="Straight Connector 3352">
            <a:extLst>
              <a:ext uri="{FF2B5EF4-FFF2-40B4-BE49-F238E27FC236}">
                <a16:creationId xmlns:a16="http://schemas.microsoft.com/office/drawing/2014/main" id="{89D60FC6-0E9D-6D74-D437-1C8CC77A6288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4" name="Straight Connector 529">
            <a:extLst>
              <a:ext uri="{FF2B5EF4-FFF2-40B4-BE49-F238E27FC236}">
                <a16:creationId xmlns:a16="http://schemas.microsoft.com/office/drawing/2014/main" id="{06F971E4-289C-80D5-91C1-003005DF69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5" name="Straight Connector 531">
            <a:extLst>
              <a:ext uri="{FF2B5EF4-FFF2-40B4-BE49-F238E27FC236}">
                <a16:creationId xmlns:a16="http://schemas.microsoft.com/office/drawing/2014/main" id="{7D11E353-6CD3-5AD6-8086-BC68D5576C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0" name="Straight Connector 533">
            <a:extLst>
              <a:ext uri="{FF2B5EF4-FFF2-40B4-BE49-F238E27FC236}">
                <a16:creationId xmlns:a16="http://schemas.microsoft.com/office/drawing/2014/main" id="{837D087C-CF7B-7664-DE02-FBD7E6FD2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1" name="Straight Connector 535">
            <a:extLst>
              <a:ext uri="{FF2B5EF4-FFF2-40B4-BE49-F238E27FC236}">
                <a16:creationId xmlns:a16="http://schemas.microsoft.com/office/drawing/2014/main" id="{D4D8C29E-82B1-81AF-FB03-EC9EC7E7BC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2" name="Straight Connector 537">
            <a:extLst>
              <a:ext uri="{FF2B5EF4-FFF2-40B4-BE49-F238E27FC236}">
                <a16:creationId xmlns:a16="http://schemas.microsoft.com/office/drawing/2014/main" id="{20CCB6CA-B711-657B-67A1-AAAFA90F60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23812</xdr:colOff>
      <xdr:row>195</xdr:row>
      <xdr:rowOff>0</xdr:rowOff>
    </xdr:from>
    <xdr:to>
      <xdr:col>4</xdr:col>
      <xdr:colOff>336775</xdr:colOff>
      <xdr:row>196</xdr:row>
      <xdr:rowOff>68036</xdr:rowOff>
    </xdr:to>
    <xdr:grpSp>
      <xdr:nvGrpSpPr>
        <xdr:cNvPr id="3473" name="Group 1008">
          <a:extLst>
            <a:ext uri="{FF2B5EF4-FFF2-40B4-BE49-F238E27FC236}">
              <a16:creationId xmlns:a16="http://schemas.microsoft.com/office/drawing/2014/main" id="{1D5CD488-92EC-47A7-B719-239FDE852862}"/>
            </a:ext>
          </a:extLst>
        </xdr:cNvPr>
        <xdr:cNvGrpSpPr>
          <a:grpSpLocks/>
        </xdr:cNvGrpSpPr>
      </xdr:nvGrpSpPr>
      <xdr:grpSpPr bwMode="auto">
        <a:xfrm>
          <a:off x="2833687" y="41874281"/>
          <a:ext cx="312963" cy="270443"/>
          <a:chOff x="5475762" y="47760700"/>
          <a:chExt cx="314325" cy="230209"/>
        </a:xfrm>
      </xdr:grpSpPr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7594D7E5-8338-AD9E-23CB-0CDFD806F739}"/>
              </a:ext>
            </a:extLst>
          </xdr:cNvPr>
          <xdr:cNvCxnSpPr/>
        </xdr:nvCxnSpPr>
        <xdr:spPr>
          <a:xfrm>
            <a:off x="5501111" y="47760700"/>
            <a:ext cx="131814" cy="0"/>
          </a:xfrm>
          <a:prstGeom prst="line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5" name="Straight Connector 529">
            <a:extLst>
              <a:ext uri="{FF2B5EF4-FFF2-40B4-BE49-F238E27FC236}">
                <a16:creationId xmlns:a16="http://schemas.microsoft.com/office/drawing/2014/main" id="{A493F7B5-E6FC-4681-8496-6AAEB1C810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561821" y="47827041"/>
            <a:ext cx="132682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1">
            <a:extLst>
              <a:ext uri="{FF2B5EF4-FFF2-40B4-BE49-F238E27FC236}">
                <a16:creationId xmlns:a16="http://schemas.microsoft.com/office/drawing/2014/main" id="{3FA2A2E1-FCA4-962C-D64C-21BD94D16E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475762" y="47903507"/>
            <a:ext cx="3143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7" name="Straight Connector 533">
            <a:extLst>
              <a:ext uri="{FF2B5EF4-FFF2-40B4-BE49-F238E27FC236}">
                <a16:creationId xmlns:a16="http://schemas.microsoft.com/office/drawing/2014/main" id="{6CF8C765-7D1F-7E51-0E66-ED2C1C1DDE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02975" y="47927519"/>
            <a:ext cx="245836" cy="130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8" name="Straight Connector 535">
            <a:extLst>
              <a:ext uri="{FF2B5EF4-FFF2-40B4-BE49-F238E27FC236}">
                <a16:creationId xmlns:a16="http://schemas.microsoft.com/office/drawing/2014/main" id="{3B84696D-A5A4-61BB-EE21-85C695359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539262" y="47956051"/>
            <a:ext cx="159657" cy="1734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9" name="Straight Connector 537">
            <a:extLst>
              <a:ext uri="{FF2B5EF4-FFF2-40B4-BE49-F238E27FC236}">
                <a16:creationId xmlns:a16="http://schemas.microsoft.com/office/drawing/2014/main" id="{5D8BFDC2-8AC9-1466-3237-BE39F0947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590969" y="47990909"/>
            <a:ext cx="47625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p\AOP%202009-10%20FINAL1\MKTG\BKS\APDRP-PO-al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s\c\cm8\NS\EHV-SUBSTATIONS-B\EVA-SUBSTATION-PACKAGE-B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G\AppData\Local\Microsoft\Windows\Temporary%20Internet%20Files\Content.Outlook\S2E86Z62\d\cwco\CWCOMAR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PU\Civil-Stru\POWER\msh\OPERATING%20JOBS\TL%20TOWERS\66kV%20DC%20TL%20BRUNEI\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lcont\IPU\Civil-Stru\POWER\msh\OPERATING%20JOBS\TL%20TOWERS\66kV%20DC%20TL%20BRUNEI\2%20Pile%20capacity%20Calculation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3\Design\Elec-Mech\Electrical\meena\O2168-E-SY-BIHAR-ARRAH\ACTIVITIES\DOC,CAL,WRITEUP\DES%20CAL\l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NJ\HVPNL\Costing\REC-037\REC-037A-Schedul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TN\O5101-E-SY(Koldam)\DOC,calc,write-up\Design%20Calculation\Copy%20of%20Battery%20Sizing%20-%20Workin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EANDI\Electrical\Electrical\Design\VTN\O5101-E-SY(Koldam)\DOC,calc,write-up\Design%20Calculation\DSLP%20Calculatio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rpn\HVPNL-REC-042-A-Nilokheri\Nilokheri-Schedule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VTN\KOLDAM\Copy%20of%20Battery%20Sizing%20-%20Workin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VTN\KOLDAM\DSLP-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O6012-E-OS\PGCIL-MYSORE\doc,%20cal\DSLP%20Calculations-my%20R.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6C6325A\LOTE%20F%20-%20Expans&#227;o%20da%20Interliga&#231;&#227;o%20Norte%20-%20Nordeste%20C4%20-%20500k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PTS\NTPC%20LOHARI\Schedules\Attachmen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3\Activeprj\Documents%20and%20Settings\mav\Local%20Settings\Temp\Sag%20Tension%20calculation-span%20111.5-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nthilmani\D\0405pms\03.Performance\02.Jun04\01.PMS\WC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695543C\Jindal-Control%20Cable%20Sch-%20400KV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tlcont\CONTRACT\ES\BOOM%20Projects\RRVPNL%20BOOT\GMR\Cost%20working\Working-October\user\singaiah\KILN%20PIER\footing%20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jp\FIN\FI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sa\outmail\batteryB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WINDOWS\TEMP\Dslp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3\Activeprj\devi\FR\SR\STREN-3\FR3q2001SR-3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owergrid.net\dfs1\unzipped\KAIGA%203&amp;4\devi\FR\SR\STREN-3\FR3q2001SR-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RP%20PC%20AFFECTIONATELY\INVOICES%20&amp;%20bills\Erection%20PV%20Final\A1\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%20project-Ladakh%20PKG-05\DPR\Documents%20and%20Settings\497\Local%20Settings\Temporary%20Internet%20Files\Content.Outlook\LD872K96\BP%202008%202009\Revised%20Export-BP-Costings-07-0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lanning-TN-06\RA%20BILLS%20SUBMISION\Planning-TN-06\PCA\TN-06%20ACE-16.07.07\HO_FINAL_PCA_06-08-07(Net)-Final\hari_FIANL_PCA_TN_06_16_07_07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xjpp\MIS2001\reports010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ns\400gridco\client\package-c\400-CRB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1\design\user\Housing\Binod\saihous\saihous.ele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UTHRA\O4056-E-SY%20-BAHARDURGARH\DOC,calc,write-up\BENDING%20STRESS%20CALCULATION%20FOR%20220KV%20SYSTEM%2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%20project-Ladakh%20PKG-05\DPR\Documents%20and%20Settings\497\Local%20Settings\Temporary%20Internet%20Files\Content.Outlook\LD872K96\BP%202008%202009\Revised%20General%20Costin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497\Local%20Settings\Temporary%20Internet%20Files\Content.Outlook\LD872K96\BP%202008%202009\Revised%20General%20Costing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ANAY\PranayonD\DOCUME~1\ADMIN\LOCALS~1\Temp\notesE1EF34\RMprice%20comp%20June%2006%20mi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R\C\PED-PGCIL\windows\TEMP\number2text-form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DS%20BACKUP\sds%20s\SDS\IPTC\AOP\AOP-SEP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epak\d\data%20spic\My%20Documents\SUBTOT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VTN\O4091-E-SY(Kahalgaon-ST-II)\DOC,calc,write-up\400\400KV%20short%20circuit%20force%20calculation-Qua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3\01.1314%20PMS\03.Budget%202013-14\01%20Revenue\00a%20PT&amp;D(Domestic)_13-14%20050613%20Final%20Job%20wise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ags\rpn\PGCIL-Pugalur-400%20kV\PGCIL-Pugalur-Sch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ank\BLRO%20REPORTS\WINDOWS\TEMP\FORM6&amp;7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Iyer\HVPNL\Internal%20review\3w%20Action%20Plan\3W%20Action%20PlanGP-Aug'0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Pavithra\PGCIL\PGCIL%20-%20Jamshedpur\Enquiry\Section%20Project\Vol-II-SecProject-Annex-I-%20Break-up%20of%20mandatory%20spare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RGK\O5062-E-SY%20(JINDAL%20MAIN%20PLANT)\DOC,calc,write-up\220KV\Cantilever\CANTILIVER%20STRENGTH%20CAL.%20BPI%20-220KV%20system%20IEC-Rev%20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intex\AppData\Roaming\Microsoft\Excel\Documents%20and%20Settings\NISHIKANT1\My%20Documents\GUJARAT%20RETURNS%202008-09\Gujarat%20Monthly%20Returns%2008-09\e-return%20Gujarat%20New%20Forms%20form%20OCT-08\Copy%20of%20sales_details_500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dhakar\kshirsagar\ELEC\SC%20Comparison\sc%20copm%203_3_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lvsizing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WINDOWS\TEMP\Dslp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3\Design\EandI\Electrical\Electrical\Krv\T2328-E-BE-DMRC\T1399-E-SY-CPCL\Battery\BATR0003a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GD\Copy%20of%20RA%20BILL%20874C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server3\Design\JOB%20DIRECTORY\TENDER\T3223-E-SY-Balco\BalcoREVE660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27AD4F\Balance%20quantity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REF_CALCS\CWpump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buserver\domcont\ns\400gridco\mnl-civil\400-CRB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iskarray\ISO\EDRC%20Standards\GN-ST-06(2)(Design%20Sheet-Ruled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Tenders\PGCIL\Tenders%20Submitted\Jabalpur-orai%20(Erection)\Official\Costing\TW-05%20(11)\010%20Workings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\Activeprj\EANDI\Electrical\Electrical\Design\MNS\ISHURDI\Final%20docs%20for%20review\DELIVERABLES\final%20battery\Battery%20size\modifiedbattery%20size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ank\BLRO%20REPORTS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tende%20file\CERC\final%20bench%20marking%20of%20tr.line%20dt.10.05\T.LModel_9.0_75%20deg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jttspm\SLID-TND\PRASHANT\SLID-TND\ord_recd_lost_98'99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Documents%20and%20Settings\mjttsrrs\Desktop\BA%20format%20SA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domcont\office_3\substations\giridih\220KV_substation\giridih_estimate_boq\c_old%20data\ZZZZZZZ-REPORTS\2003\200308\0308det-1720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497\Local%20Settings\Temporary%20Internet%20Files\Content.Outlook\LD872K96\BP%202008%202009\Revised%20Export-BP-Costings-07-08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neptune\RECON%20AS%20ON%2030.06.05\releases\released-S4(04-05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dserver\user\singaiah\KILN%20PIER\footing%20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jk\AJK\Documents%20and%20Settings\sujay\Local%20Settings\Temporary%20Internet%20Files\Content.IE5\O52FKPMZ\1Jitendra\Reports\Structures\StrStatusq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rln\C\Documents%20and%20Settings\ECCCNRO\Local%20Settings\Temporary%20Internet%20Files\Content.IE5\D9QB049M\Share\SMC\SMC-09\DLRO-%20Dec%202003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t-server\nt%20server-d\DATA\EXCEL\AOP-SEPT-00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8.182.18\Users\SDSHIKERKAR\AppData\Local\Microsoft\Windows\Temporary%20Internet%20Files\Content.IE5\3LGLLJG3\SVW%20(D)%20DRIVE\AS%20ON%2001.01.2007-LATEST\SW-DOCUMENTS\WORKING%20-%20AS%20ON%2026.03.2009\AOP\AOP-SEP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itendra\jitendra\AOP%2004\SDS\AOP\AOP-SEP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sb\E\VHB%20Reports\Major%20P&amp;M%20Deployment-Regionwise-for%20Daily%20Check%20List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9008\Design\Fdn\AT\at-stb-fin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rcdatacenter1\Activeprj\EANDI\Electrical\Electrical\Design\GSWAMY\OPERATING\O5117-e-sy(Malbase)\Activities\Doc-cal-write-up\Calculation\Cantilever%20Strength220kv(1of%202)%20-%20Bus%20span%20calculation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ttse\vg\users\Rm%20Planning%20Users\RMPLAN\PPC\VHGRMPLAN\IEEMA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tappa\AppData\Local\Microsoft\Windows\Temporary%20Internet%20Files\Content.Outlook\N4K4AKPS\Civil-Stru\Chimneys\msh\DEVELOPMENTAL%20WORKS\DRAFT\DESIGN%20OF%20FOOTING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himneys\msh\DEVELOPMENTAL%20WORKS\DRAFT\DESIGN%20OF%20FOOTING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sa\outmail\batteryBw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AppData\Roaming\Microsoft\Excel\BMTL%20-%2022-0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-Char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/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-FLOW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GSS_PSS_FEEDER"/>
      <sheetName val="BOQ (2)"/>
      <sheetName val="288-1"/>
      <sheetName val="Dayworks Bill"/>
      <sheetName val="Bills of Quantities"/>
      <sheetName val="Vcap1500"/>
      <sheetName val="LoadCapa"/>
      <sheetName val="Back_Cal_for OMC"/>
      <sheetName val="AmbPtrlCrn"/>
      <sheetName val="MaintOH"/>
      <sheetName val="TollOH"/>
      <sheetName val="SKMD__32"/>
      <sheetName val="DIR_USED_ITEMS"/>
      <sheetName val="12_8_I_(M-40)"/>
      <sheetName val="banilad"/>
      <sheetName val="Mactan"/>
      <sheetName val="Mandaue"/>
      <sheetName val="BASIC RATES"/>
      <sheetName val="Definitions"/>
      <sheetName val="Mechanical"/>
      <sheetName val="Formulas"/>
      <sheetName val="6공구(당초)"/>
      <sheetName val="Progress"/>
      <sheetName val="no."/>
      <sheetName val="BOQ DIS"/>
      <sheetName val="Cover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VARIABLE"/>
      <sheetName val="PACK (B)"/>
      <sheetName val="HB CEC schd 6.2"/>
      <sheetName val="train cash"/>
      <sheetName val="accom cash"/>
      <sheetName val="M-Book for Conc"/>
      <sheetName val="M-Book for FW"/>
      <sheetName val="Sheet6"/>
      <sheetName val="Gen Info"/>
      <sheetName val="Qty Report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estimate"/>
      <sheetName val="CROSS-SECTION"/>
      <sheetName val="QTY-CRUST-MCW"/>
      <sheetName val="QTY-CRUST-SR"/>
      <sheetName val="MATERIAL COST"/>
      <sheetName val="C-data"/>
      <sheetName val="Lead statement"/>
      <sheetName val="Pro_Pavement1"/>
      <sheetName val="Pro_Pavement2"/>
      <sheetName val="BOQ_(2)"/>
      <sheetName val="DetEst"/>
      <sheetName val="steam outlet"/>
      <sheetName val="Cost Summary"/>
      <sheetName val="Rising Main"/>
      <sheetName val="Design_basis-C"/>
      <sheetName val="Labor_abs-NMR"/>
      <sheetName val="SAP架設-2005_12_3110"/>
      <sheetName val="balance_Work9"/>
      <sheetName val="LOCAL_RATES9"/>
      <sheetName val="S-Curve_(2)9"/>
      <sheetName val="Final_Basic_rate8"/>
      <sheetName val="Materials_Cost8"/>
      <sheetName val="C_&amp;_G_RHS9"/>
      <sheetName val="Material_9"/>
      <sheetName val="21-Rate_Analysis-18"/>
      <sheetName val="final_abstract9"/>
      <sheetName val="Materials_Cost(PCC)9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HSD_LUB_6"/>
      <sheetName val="Rate_Analysis7"/>
      <sheetName val="BUD_07-086"/>
      <sheetName val="schedule_nos6"/>
      <sheetName val="Materials_6"/>
      <sheetName val="01_11_20046"/>
      <sheetName val="UNP-NCW_6"/>
      <sheetName val="9_Major_Bridge6"/>
      <sheetName val="8__ROB6"/>
      <sheetName val="10_Minor_Structure6"/>
      <sheetName val="7__FLYOVER6"/>
      <sheetName val="2__Earthwork6"/>
      <sheetName val="02_10_066"/>
      <sheetName val="P-Ins_&amp;_Bonds6"/>
      <sheetName val="USB_16"/>
      <sheetName val="220Kv_(2)6"/>
      <sheetName val="DETAILED__BOQ7"/>
      <sheetName val="SPT_vs_PHI6"/>
      <sheetName val="MN_T_B_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A_O_R_6"/>
      <sheetName val="Ave_wtd_rates6"/>
      <sheetName val="Data_Validation6"/>
      <sheetName val="Progressin_Next_mon-AP-176"/>
      <sheetName val="Input_Data6"/>
      <sheetName val="Input_Data_R6"/>
      <sheetName val="Input_Data_F6"/>
      <sheetName val="Qty_SR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_AnalysisPCC6"/>
      <sheetName val="Data_16"/>
      <sheetName val="SS_MH6"/>
      <sheetName val="Bus_Ways6"/>
      <sheetName val="Major_Br__Statement6"/>
      <sheetName val="Site_clearance6"/>
      <sheetName val="4_Annex_1_Basic_rate6"/>
      <sheetName val="BOQ_Distribution6"/>
      <sheetName val="33628-Rev__A6"/>
      <sheetName val="gen_ledger_data6"/>
      <sheetName val="General_input6"/>
      <sheetName val="Design_sheet6"/>
      <sheetName val="footing_for_SP6"/>
      <sheetName val="ESOP_ECAL_TABLES6"/>
      <sheetName val="Fee_Rate_Summary6"/>
      <sheetName val="precast_RC_element6"/>
      <sheetName val="Labour_&amp;_Plant6"/>
      <sheetName val="Core_Data6"/>
      <sheetName val="GLEVEL_RHS6"/>
      <sheetName val="General_Analysis6"/>
      <sheetName val="RA_Civil6"/>
      <sheetName val="E_&amp;_R6"/>
      <sheetName val="except_wiring6"/>
      <sheetName val="Appendix_A6"/>
      <sheetName val="JCR_TOP6"/>
      <sheetName val="Analysis-Drains_&amp;_Misc6"/>
      <sheetName val="Lead_Statement_(PCC)6"/>
      <sheetName val="Analysis-NH-Traf_&amp;_Trans6"/>
      <sheetName val="abs_road6"/>
      <sheetName val="road_est6"/>
      <sheetName val="Road_data6"/>
      <sheetName val="INPUT_SHEET6"/>
      <sheetName val="12__Ins_&amp;_Bonds6"/>
      <sheetName val="Non_debit-RMC6"/>
      <sheetName val="RATE_COMPILATION6"/>
      <sheetName val="DATA-DEP_(13-17)6"/>
      <sheetName val="DATA-GCC(25-34_7)6"/>
      <sheetName val="St_-Con(0-17)6"/>
      <sheetName val="St_-Con_(17-34)6"/>
      <sheetName val="Elect_4"/>
      <sheetName val="Plant_&amp;__Machinery4"/>
      <sheetName val="POCOS_제출및납품일정4"/>
      <sheetName val="Pile_cap4"/>
      <sheetName val="PIPING_LINE_LIST4"/>
      <sheetName val="Doha_Farm3"/>
      <sheetName val="Cost_of_O_&amp;_O3"/>
      <sheetName val="Rollup_Summary3"/>
      <sheetName val="Sheet3_(2)3"/>
      <sheetName val="Diesel_Analysis3"/>
      <sheetName val="SC_revtrgt3"/>
      <sheetName val="NLD_-_Assum3"/>
      <sheetName val="Sub_con_List3"/>
      <sheetName val="KM_wise_Quantity3"/>
      <sheetName val="SCH_103"/>
      <sheetName val="doq_13"/>
      <sheetName val="doq_93"/>
      <sheetName val="Load_Calculation3"/>
      <sheetName val="EAW Final Accounts - 99"/>
      <sheetName val="XREF"/>
      <sheetName val="Monthly Turnover (Final)"/>
      <sheetName val="Monthly Programme"/>
      <sheetName val="Cube_BOQ"/>
      <sheetName val="conc-foot-gradeslab"/>
      <sheetName val="head loss calc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Date"/>
      <sheetName val="전기"/>
      <sheetName val="BM_SF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1St_certified_RA_bill"/>
      <sheetName val="Qty_Report"/>
      <sheetName val="Dayworks_Bill"/>
      <sheetName val="Bills_of_Quantities"/>
      <sheetName val="Back_Cal_for_OMC"/>
      <sheetName val="BASIC_RATES"/>
      <sheetName val="Cont.Wt."/>
      <sheetName val="factor_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Vendor Na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/>
      <sheetData sheetId="119"/>
      <sheetData sheetId="120" refreshError="1"/>
      <sheetData sheetId="121" refreshError="1"/>
      <sheetData sheetId="122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 refreshError="1"/>
      <sheetData sheetId="916" refreshError="1"/>
      <sheetData sheetId="917" refreshError="1"/>
      <sheetData sheetId="918"/>
      <sheetData sheetId="919"/>
      <sheetData sheetId="920"/>
      <sheetData sheetId="92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/>
      <sheetData sheetId="1174" refreshError="1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/>
      <sheetData sheetId="136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 refreshError="1"/>
      <sheetData sheetId="1406" refreshError="1"/>
      <sheetData sheetId="1407" refreshError="1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 refreshError="1"/>
      <sheetData sheetId="1591"/>
      <sheetData sheetId="1592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/>
      <sheetData sheetId="1723"/>
      <sheetData sheetId="1724"/>
      <sheetData sheetId="1725" refreshError="1"/>
      <sheetData sheetId="1726" refreshError="1"/>
      <sheetData sheetId="1727" refreshError="1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/>
      <sheetData sheetId="1953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/>
      <sheetData sheetId="2005"/>
      <sheetData sheetId="2006" refreshError="1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UNP-NCW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2)"/>
      <sheetName val="B2(10)"/>
      <sheetName val="B2 (0)"/>
      <sheetName val="Load Details_B2_"/>
      <sheetName val="Report"/>
      <sheetName val="Basis"/>
      <sheetName val="Design"/>
      <sheetName val="Load_Details(B2)"/>
      <sheetName val="B2_(0)"/>
      <sheetName val="Load_Details_B2_"/>
      <sheetName val="CLAY"/>
      <sheetName val="main1"/>
      <sheetName val="DETAILED ENGG PROG"/>
      <sheetName val="Sheet1"/>
      <sheetName val="IDCCALHYD-GOO"/>
      <sheetName val="A1-Continuous"/>
      <sheetName val="Load_Details(B2)1"/>
      <sheetName val="B2_(0)1"/>
      <sheetName val="Load_Details(B2)2"/>
      <sheetName val="B2_(0)2"/>
      <sheetName val="Load_Details(B2)3"/>
      <sheetName val="B2_(0)3"/>
      <sheetName val="final abstract"/>
      <sheetName val="UK"/>
      <sheetName val="Cond data"/>
      <sheetName val="Kalk_90_H2"/>
      <sheetName val="Load_Details(B2)4"/>
      <sheetName val="B2_(0)4"/>
      <sheetName val="Load_Details_B2_1"/>
      <sheetName val="DETAILED_ENGG_PROG"/>
      <sheetName val="final_abstract"/>
      <sheetName val="Cond_data"/>
      <sheetName val="Load_Details(B2)5"/>
      <sheetName val="B2_(0)5"/>
      <sheetName val="Load_Details_B2_2"/>
      <sheetName val="DETAILED_ENGG_PROG1"/>
      <sheetName val="final_abstract1"/>
      <sheetName val="Cond_data1"/>
      <sheetName val="Load_Details(B2)6"/>
      <sheetName val="B2_(0)6"/>
      <sheetName val="Load_Details_B2_3"/>
      <sheetName val="DETAILED_ENGG_PROG2"/>
      <sheetName val="final_abstract2"/>
      <sheetName val="Cond_data2"/>
      <sheetName val="Load_Details(B2)7"/>
      <sheetName val="B2_(0)7"/>
      <sheetName val="Load_Details_B2_4"/>
      <sheetName val="DETAILED_ENGG_PROG3"/>
      <sheetName val="final_abstract3"/>
      <sheetName val="Cond_data3"/>
      <sheetName val="MAINBS1"/>
      <sheetName val="Assumptions"/>
      <sheetName val="@risk rents and incentives"/>
      <sheetName val="Car park lease"/>
      <sheetName val="Net rent analysis"/>
      <sheetName val="28"/>
      <sheetName val="26"/>
      <sheetName val="3"/>
      <sheetName val="Load Summary"/>
      <sheetName val="AH cal"/>
      <sheetName val="Detail In Door Stad"/>
      <sheetName val="TABLES"/>
      <sheetName val="AH_Rating"/>
      <sheetName val="Charger"/>
      <sheetName val="Cell_Sizing"/>
      <sheetName val="Load_Cycle"/>
      <sheetName val="Load_Details(B2)8"/>
      <sheetName val="B2_(0)8"/>
      <sheetName val="Load_Details_B2_5"/>
      <sheetName val="DETAILED_ENGG_PROG4"/>
      <sheetName val="final_abstract4"/>
      <sheetName val="Detail_In_Door_Stad"/>
      <sheetName val="Cond_data4"/>
      <sheetName val="@risk_rents_and_incentives"/>
      <sheetName val="Car_park_lease"/>
      <sheetName val="Net_rent_analysis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DL,WL,EQL"/>
      <sheetName val="ANGLE"/>
      <sheetName val="Addl.40"/>
      <sheetName val="District Rates"/>
      <sheetName val="ASSAm Gua PBC"/>
      <sheetName val="Beam-design exp"/>
      <sheetName val="mom cap"/>
      <sheetName val="sheet2 (Layout)"/>
      <sheetName val="BOQ"/>
      <sheetName val="#REF"/>
      <sheetName val="BASIC RATES"/>
      <sheetName val="eqpmt"/>
      <sheetName val="mat'ls"/>
      <sheetName val="hauling"/>
      <sheetName val="IO's"/>
      <sheetName val="SICAM"/>
      <sheetName val="Prices"/>
      <sheetName val="Daten"/>
      <sheetName val="Input"/>
      <sheetName val="Top Sheet "/>
      <sheetName val="GAE8'97"/>
      <sheetName val="PRECAST lightconc-II"/>
      <sheetName val="表六 "/>
      <sheetName val="INFO"/>
      <sheetName val="NOTES "/>
      <sheetName val="NLD - Assum"/>
      <sheetName val="DCS"/>
      <sheetName val="ANALYSER"/>
      <sheetName val="wordsdata"/>
      <sheetName val="表六_"/>
      <sheetName val="CONTENTS"/>
      <sheetName val="ENG"/>
      <sheetName val="갑지"/>
      <sheetName val="concrete"/>
      <sheetName val="foot-slab reinft"/>
      <sheetName val="upa"/>
      <sheetName val="ANALYSIS"/>
      <sheetName val="beam-reinft-machine rm"/>
      <sheetName val="MTL$-INTER"/>
      <sheetName val="R2"/>
      <sheetName val="CASH-FLOW"/>
      <sheetName val="Addl_40"/>
      <sheetName val="Code"/>
      <sheetName val="data sheet"/>
      <sheetName val="Abstract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  <sheetName val="Load Details(B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L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CCALHYD-GOO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  <sheetName val="CLAY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son"/>
      <sheetName val="CARDINAL"/>
      <sheetName val="Sulphur (2)"/>
      <sheetName val="150Wolf  (Final)"/>
      <sheetName val="75Racoon(Tender 2007) (3)"/>
      <sheetName val="Pheasant"/>
      <sheetName val="CURLEW"/>
      <sheetName val="Bear GR"/>
      <sheetName val="AAAC (Exclusive offer to JS (3)"/>
      <sheetName val="AAAC413.50"/>
      <sheetName val="50sqmmaaac(BP)"/>
      <sheetName val="95sqmmaaac(BP)"/>
      <sheetName val="24x40 (BP)"/>
      <sheetName val="ASTER (BP)"/>
      <sheetName val="ASTER (KPTL)) (BP)"/>
      <sheetName val="ASTER (NCC) (BP)"/>
      <sheetName val="ASTER (INEO) (BP)"/>
      <sheetName val="ASTER (ASSOCIATE) (BP)"/>
      <sheetName val="PHOLX-TRANS (BP)"/>
      <sheetName val="PHOLX-NCC (BP)"/>
      <sheetName val="Bear (BP)"/>
      <sheetName val="37x4.176-Bogra230kV (BP)"/>
      <sheetName val="Revised Export-BP-Costings-07-0"/>
      <sheetName val="Presentation"/>
      <sheetName val="Conductor Parameter"/>
      <sheetName val="Sales &amp;Sale Cost"/>
      <sheetName val="ITEMS"/>
      <sheetName val="Indices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-Other strs"/>
      <sheetName val="Top Sheet  "/>
      <sheetName val="Top Sheet -1"/>
      <sheetName val="SUMMARY_"/>
      <sheetName val="Escalation"/>
      <sheetName val="ABS-SOH"/>
      <sheetName val="Salaries"/>
      <sheetName val="Off-Veh Exp"/>
      <sheetName val="BOQ "/>
      <sheetName val="Lead"/>
      <sheetName val="T.KM"/>
      <sheetName val="RA - WMM"/>
      <sheetName val="DC - WMM Plant"/>
      <sheetName val="DC - HMP Plant"/>
      <sheetName val="BP- FOs-Itchgs"/>
      <sheetName val="DIR USED ITEMS"/>
      <sheetName val="Concrete works"/>
      <sheetName val="SUMMARY"/>
      <sheetName val="2"/>
      <sheetName val="3"/>
      <sheetName val="4"/>
      <sheetName val="5"/>
      <sheetName val="8"/>
      <sheetName val="9"/>
      <sheetName val="10"/>
      <sheetName val="12"/>
      <sheetName val="13"/>
      <sheetName val="15"/>
      <sheetName val="Exc items"/>
      <sheetName val="Hire chares of Machinery"/>
      <sheetName val="Land Lease-NH "/>
      <sheetName val="INPUT"/>
      <sheetName val="Major qty"/>
      <sheetName val="BOQ  (2)"/>
      <sheetName val="SUMMARY_ (2)"/>
      <sheetName val="Conc Qty"/>
      <sheetName val="ESC"/>
      <sheetName val="WO Rates"/>
      <sheetName val="s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lphur (2)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-Other strs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B"/>
      <sheetName val="cf"/>
      <sheetName val="order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PV"/>
      <sheetName val="PV Multi Stranding"/>
      <sheetName val="Multi Stranding Costing"/>
      <sheetName val="LME"/>
      <sheetName val="PV Seven Stranding"/>
      <sheetName val="Seven Stranding Costing"/>
      <sheetName val="Raw Material Costs"/>
      <sheetName val="Conductor Parameter"/>
      <sheetName val="costing sheet rev 25102010"/>
      <sheetName val="DETAILED  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PV"/>
      <sheetName val="PV Multi Stranding"/>
      <sheetName val="Multi Stranding Costing"/>
      <sheetName val="LME"/>
      <sheetName val="PV Seven Stranding"/>
      <sheetName val="Seven Stranding Costing"/>
      <sheetName val="Raw Material Costs"/>
      <sheetName val="Conductor Parameter"/>
      <sheetName val="costing sheet rev 25102010"/>
      <sheetName val="Staff Acco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Parameter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conver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KIM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-3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 13-14"/>
      <sheetName val="IE 13-14"/>
      <sheetName val="FORM7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ALES DETAILS"/>
      <sheetName val="3BPA00132-5-3 W plan HVPNL"/>
    </sheetNames>
    <sheetDataSet>
      <sheetData sheetId="0">
        <row r="1">
          <cell r="B1" t="str">
            <v>CST-Form C</v>
          </cell>
        </row>
      </sheetData>
      <sheetData sheetId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</sheet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NPUT"/>
      <sheetName val="SIZING"/>
      <sheetName val="SUMMARY"/>
      <sheetName val="LENGTH"/>
      <sheetName val="CU R and X  "/>
      <sheetName val="PROG_DATA"/>
      <sheetName val="MOT_DATA"/>
      <sheetName val="Module2"/>
      <sheetName val="DETAILED  BOQ"/>
      <sheetName val="2B for Sub_Station_F_I_"/>
      <sheetName val="M.S."/>
      <sheetName val="main1"/>
      <sheetName val="except wiring"/>
      <sheetName val="Bill"/>
      <sheetName val="Timeshee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analysis"/>
      <sheetName val="horizontal"/>
      <sheetName val="COLUMN-CR"/>
      <sheetName val="FT-001_R0"/>
      <sheetName val="FT-05-02_R0"/>
      <sheetName val="e220-66kV_"/>
      <sheetName val="CU_R_and_X__"/>
      <sheetName val="concrete"/>
      <sheetName val="beam-reinft-IIInd floor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Cable data"/>
      <sheetName val="fin-city centre"/>
      <sheetName val="220KV CS"/>
      <sheetName val="QOSWS "/>
      <sheetName val="Design Sheet"/>
      <sheetName val="meas-wp"/>
      <sheetName val="FORM7"/>
      <sheetName val="ETC Plant Cost"/>
      <sheetName val="X rate"/>
      <sheetName val="LIST OF MAKES"/>
      <sheetName val="Scheme Area Details_Block__ C2"/>
      <sheetName val="New33KVSS_E3"/>
      <sheetName val="Prop aug of Ex 33KVSS_E3a"/>
      <sheetName val="FT-001_R01"/>
      <sheetName val="FT-05-02_R01"/>
      <sheetName val="e220-66kV_1"/>
      <sheetName val="CU_R_and_X__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except_wiring"/>
      <sheetName val="FT-001_R02"/>
      <sheetName val="FT-05-02_R02"/>
      <sheetName val="e220-66kV_2"/>
      <sheetName val="CU_R_and_X__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except_wiring1"/>
      <sheetName val="FT-001_R03"/>
      <sheetName val="FT-05-02_R03"/>
      <sheetName val="e220-66kV_3"/>
      <sheetName val="CU_R_and_X__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except_wiring2"/>
      <sheetName val="FT-001_R04"/>
      <sheetName val="FT-05-02_R04"/>
      <sheetName val="e220-66kV_4"/>
      <sheetName val="CU_R_and_X__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except_wiring3"/>
      <sheetName val="1"/>
      <sheetName val="STN WISE EMR"/>
      <sheetName val="Sum"/>
      <sheetName val="KALK"/>
      <sheetName val="SIN"/>
      <sheetName val="Legend"/>
      <sheetName val="LP"/>
      <sheetName val="girder"/>
      <sheetName val="Rocker"/>
      <sheetName val="Load Details(B1)"/>
      <sheetName val="DETAILED__BOQ2"/>
      <sheetName val="2B_for_Sub_Station_F_I_2"/>
      <sheetName val="M_S_2"/>
      <sheetName val="DETAILED__BOQ1"/>
      <sheetName val="2B_for_Sub_Station_F_I_1"/>
      <sheetName val="M_S_1"/>
      <sheetName val="DETAILED__BOQ"/>
      <sheetName val="2B_for_Sub_Station_F_I_"/>
      <sheetName val="M_S_"/>
      <sheetName val="DETAILED__BOQ3"/>
      <sheetName val="2B_for_Sub_Station_F_I_3"/>
      <sheetName val="M_S_3"/>
      <sheetName val="beam-reinft-IIInd_floor"/>
      <sheetName val="gen"/>
      <sheetName val="Set"/>
      <sheetName val="Ass4"/>
      <sheetName val="DCF"/>
      <sheetName val="Discount Rate "/>
      <sheetName val="Data 1"/>
      <sheetName val="FT-001_R05"/>
      <sheetName val="FT-05-02_R05"/>
      <sheetName val="e220-66kV_5"/>
      <sheetName val="CU_R_and_X__5"/>
      <sheetName val="except_wiring4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Cable_data"/>
      <sheetName val="fin-city_centre"/>
      <sheetName val="220KV_CS"/>
      <sheetName val="QOSWS_"/>
      <sheetName val="Design_Sheet"/>
      <sheetName val="ETC_Plant_Cost"/>
      <sheetName val="X_rate"/>
      <sheetName val="LIST_OF_MAKES"/>
      <sheetName val="Scheme_Area_Details_Block___C2"/>
      <sheetName val="Prop_aug_of_Ex_33KVSS_E3a"/>
      <sheetName val="STN_WISE_EMR"/>
      <sheetName val="Load_Details(B1)"/>
      <sheetName val="Discount_Rate_"/>
      <sheetName val="Data_1"/>
      <sheetName val="BQ"/>
      <sheetName val="BQ External"/>
      <sheetName val="Lstsub"/>
      <sheetName val="Summary Rates From Contract"/>
      <sheetName val="Vind-BtB"/>
      <sheetName val="3BPA00132-5-3 W plan HVPNL"/>
      <sheetName val="Format - 4"/>
      <sheetName val="3 - MATERIAL"/>
      <sheetName val="Budget (Jun 07)"/>
      <sheetName val="1-LABOUR"/>
      <sheetName val="Design"/>
      <sheetName val="General input"/>
      <sheetName val="BOQ"/>
      <sheetName val="FDn Wet"/>
      <sheetName val="Tower Erection"/>
      <sheetName val="hydraulical model"/>
      <sheetName val="Vind - BtB"/>
      <sheetName val="IDC"/>
      <sheetName val="REL"/>
      <sheetName val="Labour"/>
      <sheetName val="Material"/>
      <sheetName val="Plant &amp;  Machinery"/>
      <sheetName val="Pavement Crust"/>
      <sheetName val="Section_by_layers_old"/>
      <sheetName val="Link"/>
      <sheetName val="beam-reinft"/>
      <sheetName val="H.Satuan"/>
      <sheetName val="Parameters"/>
      <sheetName val="HPL"/>
      <sheetName val="fcstdwld"/>
      <sheetName val="Plandwld"/>
      <sheetName val="Msht-Int-Msht-GF"/>
      <sheetName val="Codes"/>
      <sheetName val="BLOCK-E"/>
      <sheetName val="S1BOQ"/>
      <sheetName val="july-I"/>
      <sheetName val="beam-reinft-IIInd_floor1"/>
      <sheetName val="Design_Sheet1"/>
      <sheetName val="ETC_Plant_Cost1"/>
      <sheetName val="X_rate1"/>
      <sheetName val="LIST_OF_MAKES1"/>
      <sheetName val="fin-city_centre1"/>
      <sheetName val="Load_Details(B1)1"/>
      <sheetName val="FT-001_R07"/>
      <sheetName val="FT-05-02_R07"/>
      <sheetName val="e220-66kV_7"/>
      <sheetName val="CU_R_and_X__7"/>
      <sheetName val="DETAILED__BOQ6"/>
      <sheetName val="2B_for_Sub_Station_F_I_6"/>
      <sheetName val="M_S_6"/>
      <sheetName val="except_wiring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beam-reinft-IIInd_floor6"/>
      <sheetName val="Design_Sheet6"/>
      <sheetName val="ETC_Plant_Cost6"/>
      <sheetName val="X_rate6"/>
      <sheetName val="LIST_OF_MAKES6"/>
      <sheetName val="fin-city_centre6"/>
      <sheetName val="Load_Details(B1)6"/>
      <sheetName val="beam-reinft-IIInd_floor2"/>
      <sheetName val="Design_Sheet2"/>
      <sheetName val="ETC_Plant_Cost2"/>
      <sheetName val="X_rate2"/>
      <sheetName val="LIST_OF_MAKES2"/>
      <sheetName val="fin-city_centre2"/>
      <sheetName val="Load_Details(B1)2"/>
      <sheetName val="beam-reinft-IIInd_floor3"/>
      <sheetName val="Design_Sheet3"/>
      <sheetName val="ETC_Plant_Cost3"/>
      <sheetName val="X_rate3"/>
      <sheetName val="LIST_OF_MAKES3"/>
      <sheetName val="fin-city_centre3"/>
      <sheetName val="Load_Details(B1)3"/>
      <sheetName val="DETAILED__BOQ4"/>
      <sheetName val="2B_for_Sub_Station_F_I_4"/>
      <sheetName val="M_S_4"/>
      <sheetName val="beam-reinft-IIInd_floor4"/>
      <sheetName val="Design_Sheet4"/>
      <sheetName val="ETC_Plant_Cost4"/>
      <sheetName val="X_rate4"/>
      <sheetName val="LIST_OF_MAKES4"/>
      <sheetName val="fin-city_centre4"/>
      <sheetName val="Load_Details(B1)4"/>
      <sheetName val="FT-001_R06"/>
      <sheetName val="FT-05-02_R06"/>
      <sheetName val="e220-66kV_6"/>
      <sheetName val="CU_R_and_X__6"/>
      <sheetName val="DETAILED__BOQ5"/>
      <sheetName val="2B_for_Sub_Station_F_I_5"/>
      <sheetName val="M_S_5"/>
      <sheetName val="except_wiring5"/>
      <sheetName val="beam-reinft-IIInd_floor5"/>
      <sheetName val="Design_Sheet5"/>
      <sheetName val="ETC_Plant_Cost5"/>
      <sheetName val="X_rate5"/>
      <sheetName val="LIST_OF_MAKES5"/>
      <sheetName val="fin-city_centre5"/>
      <sheetName val="Load_Details(B1)5"/>
      <sheetName val="dBase"/>
      <sheetName val="Cable_data1"/>
      <sheetName val="220KV_CS1"/>
      <sheetName val="QOSWS_1"/>
      <sheetName val="Scheme_Area_Details_Block___C21"/>
      <sheetName val="Prop_aug_of_Ex_33KVSS_E3a1"/>
      <sheetName val="STN_WISE_EMR1"/>
      <sheetName val="Proposal"/>
      <sheetName val="Repor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Cable_data2"/>
      <sheetName val="220KV_CS2"/>
      <sheetName val="QOSWS_2"/>
      <sheetName val="Scheme_Area_Details_Block___C22"/>
      <sheetName val="Prop_aug_of_Ex_33KVSS_E3a2"/>
      <sheetName val="STN_WISE_EMR2"/>
      <sheetName val="BQ_External"/>
      <sheetName val="Summary_Rates_From_Contract"/>
      <sheetName val="H_Satuan"/>
      <sheetName val="lvsizing"/>
      <sheetName val="FEVA"/>
      <sheetName val="HO Costs"/>
      <sheetName val="설계조건"/>
      <sheetName val="단면검토"/>
      <sheetName val="Hardware"/>
      <sheetName val="Price List WIND Aferkat 2016"/>
      <sheetName val="경비2내역"/>
      <sheetName val="BUDGETINFO Läs först"/>
      <sheetName val="dpc cost"/>
      <sheetName val="SUMMERY"/>
      <sheetName val="definition"/>
      <sheetName val="220 11  BS "/>
      <sheetName val="Sweeper Machine"/>
      <sheetName val="sor"/>
      <sheetName val="B Sheetbajaj"/>
      <sheetName val="SP Break Up"/>
      <sheetName val="a1-continuous"/>
      <sheetName val="대비표"/>
      <sheetName val="water prop."/>
      <sheetName val="Materials Cost(PCC)"/>
      <sheetName val="COST SHEET"/>
      <sheetName val="cash-flow"/>
      <sheetName val="J"/>
      <sheetName val="Abstract"/>
      <sheetName val="cal"/>
      <sheetName val="Code"/>
    </sheetNames>
    <sheetDataSet>
      <sheetData sheetId="0">
        <row r="4">
          <cell r="B4">
            <v>0.2</v>
          </cell>
        </row>
      </sheetData>
      <sheetData sheetId="1">
        <row r="4">
          <cell r="B4">
            <v>0.2</v>
          </cell>
        </row>
      </sheetData>
      <sheetData sheetId="2">
        <row r="4">
          <cell r="B4">
            <v>0.2</v>
          </cell>
        </row>
      </sheetData>
      <sheetData sheetId="3">
        <row r="4">
          <cell r="B4">
            <v>0.2</v>
          </cell>
        </row>
      </sheetData>
      <sheetData sheetId="4">
        <row r="4">
          <cell r="B4">
            <v>0.2</v>
          </cell>
        </row>
      </sheetData>
      <sheetData sheetId="5">
        <row r="4">
          <cell r="B4">
            <v>0.2</v>
          </cell>
        </row>
      </sheetData>
      <sheetData sheetId="6">
        <row r="4">
          <cell r="B4">
            <v>0.2</v>
          </cell>
        </row>
      </sheetData>
      <sheetData sheetId="7">
        <row r="6">
          <cell r="B6">
            <v>0.59399999999999997</v>
          </cell>
        </row>
      </sheetData>
      <sheetData sheetId="8">
        <row r="6">
          <cell r="B6">
            <v>0.59399999999999997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</sheetNames>
    <sheetDataSet>
      <sheetData sheetId="0" refreshError="1"/>
      <sheetData sheetId="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 CS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 FDN"/>
      <sheetName val="annex Phulparas- Supaul (Pa (2)"/>
      <sheetName val="PGCIL RUNNING BILLxv "/>
      <sheetName val="Pile BILL JAN 06"/>
      <sheetName val="supply F&amp;I - 07 "/>
      <sheetName val="supply F&amp;I - 06"/>
      <sheetName val="PGCIL RUNNING BILLxiv"/>
      <sheetName val="PGCIL RUNNING BILLxiii"/>
      <sheetName val="Pile BILL Dec"/>
      <sheetName val="JMC- PILE (2)"/>
      <sheetName val="Pile BILL Nov"/>
      <sheetName val="ACD OCT"/>
      <sheetName val="stringing  annex oct"/>
      <sheetName val="FDN BILL OCT"/>
      <sheetName val="Fdn annex -OCT"/>
      <sheetName val="ERECTION OCTBILL "/>
      <sheetName val="PGCIL RUNNING BILLxi"/>
      <sheetName val="FDN BILL sep"/>
      <sheetName val="stringing  annex SEP"/>
      <sheetName val="Oct consumption "/>
      <sheetName val="Fdn annex -Sep"/>
      <sheetName val="PGCIL RUNNING BILLx "/>
      <sheetName val="PGCIL RUNNING BILL ix"/>
      <sheetName val="pile july"/>
      <sheetName val="June consumption"/>
      <sheetName val="stringing  annex june"/>
      <sheetName val="FDN BILL June"/>
      <sheetName val="Fdn annex -june"/>
      <sheetName val="PGCIL RUNNING BILL VIII"/>
      <sheetName val="pile April - Copy (2)"/>
      <sheetName val="pile April - Copy"/>
      <sheetName val="stringing  annex may"/>
      <sheetName val="FDN BILL May"/>
      <sheetName val="Fdn annex -may"/>
      <sheetName val="PGCIL RUNNING BILL VII"/>
      <sheetName val="Fdn annex -April"/>
      <sheetName val="annex Phulparas- Supaul (Part)"/>
      <sheetName val="SPT ANNEX (2)"/>
      <sheetName val="pile April"/>
      <sheetName val="fdn annexure (mar)"/>
      <sheetName val="STEEL BILL F&amp;I Mar"/>
      <sheetName val="STEEL BILL Mar"/>
      <sheetName val="PGCIL RUNNING BILL VI"/>
      <sheetName val="Pile BILL Sep"/>
      <sheetName val="FDN BILL Feb (2)"/>
      <sheetName val="JMC- PILE"/>
      <sheetName val="PGCIL RUNNING BILL (2)"/>
      <sheetName val="feb consumption"/>
      <sheetName val="fdn annexure (Feb)"/>
      <sheetName val="FDN BILL Feb"/>
      <sheetName val="MAY consumption"/>
      <sheetName val="PV"/>
      <sheetName val="only consumption fdn (2)"/>
      <sheetName val="consumption fdn RA"/>
      <sheetName val="Rev  &amp; Con."/>
      <sheetName val="PGCIL RUNNING BILL"/>
      <sheetName val="earthing bill"/>
      <sheetName val="fdn annexure (Dec)"/>
      <sheetName val="Jaynagar-Phulparas"/>
      <sheetName val="fdn annexure (2)"/>
      <sheetName val="Annex. MADHUBANI JAYANAGAR"/>
      <sheetName val="annex pandual madhubani (2)"/>
      <sheetName val=" pandual madhubanistringing"/>
      <sheetName val="bill survey-March"/>
      <sheetName val="fdn annexure"/>
      <sheetName val="FDN BILL april"/>
      <sheetName val="SPT&amp;EAR Annex"/>
      <sheetName val="SPT BILL"/>
      <sheetName val="tower ern annex"/>
      <sheetName val="ERECTION BILL"/>
      <sheetName val="Sheet2"/>
      <sheetName val="Sheet1"/>
      <sheetName val="CFL-KIM"/>
      <sheetName val="LOCAL RATES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_DATA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 summary"/>
      <sheetName val="table of contents"/>
      <sheetName val="CW SIZING (IDCT-2)"/>
      <sheetName val="IDCT-2 (C=120)"/>
      <sheetName val="Results"/>
      <sheetName val="Pipesizing - 2"/>
      <sheetName val="pipe thk. - 2"/>
      <sheetName val="resis. coeff"/>
      <sheetName val="water prop."/>
      <sheetName val="System Resistance (for spec)"/>
      <sheetName val="SR (IDCT-2)"/>
      <sheetName val="SR (IDCT-1)"/>
      <sheetName val="CW SIZING (IDCT-1)"/>
      <sheetName val="IDCT-1(C=120)"/>
      <sheetName val="Pipesizing - 1"/>
      <sheetName val="pipe thk. - 1"/>
      <sheetName val="Sheet1"/>
      <sheetName val="Codes"/>
      <sheetName val="220 11  BS "/>
      <sheetName val="Wordsdata"/>
      <sheetName val="item"/>
      <sheetName val="Timesheet"/>
      <sheetName val="DSLP"/>
      <sheetName val="P&amp;ID List"/>
      <sheetName val="Data base"/>
      <sheetName val="Staff Acco.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2"/>
      <sheetName val="Sheet3"/>
      <sheetName val="#REF"/>
      <sheetName val="inWords"/>
      <sheetName val="issue_summary"/>
      <sheetName val="table_of_contents"/>
      <sheetName val="CW_SIZING_(IDCT-2)"/>
      <sheetName val="IDCT-2_(C=120)"/>
      <sheetName val="Pipesizing_-_2"/>
      <sheetName val="pipe_thk__-_2"/>
      <sheetName val="resis__coeff"/>
      <sheetName val="water_prop_"/>
      <sheetName val="System_Resistance_(for_spec)"/>
      <sheetName val="SR_(IDCT-2)"/>
      <sheetName val="SR_(IDCT-1)"/>
      <sheetName val="CW_SIZING_(IDCT-1)"/>
      <sheetName val="Pipesizing_-_1"/>
      <sheetName val="pipe_thk__-_1"/>
      <sheetName val="IO LIST"/>
      <sheetName val="Basement Budget"/>
      <sheetName val="water prop_"/>
      <sheetName val="water_prop_1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LP"/>
      <sheetName val="working"/>
      <sheetName val="Report"/>
      <sheetName val="Dropdown Menus"/>
      <sheetName val="loadcal"/>
      <sheetName val="Calendar"/>
      <sheetName val="estimate"/>
      <sheetName val="beam-reinft"/>
      <sheetName val="Indices"/>
      <sheetName val="월선수금"/>
      <sheetName val="Data"/>
      <sheetName val="04REL"/>
      <sheetName val="issue_summary1"/>
      <sheetName val="table_of_contents1"/>
      <sheetName val="CW_SIZING_(IDCT-2)1"/>
      <sheetName val="IDCT-2_(C=120)1"/>
      <sheetName val="Pipesizing_-_21"/>
      <sheetName val="pipe_thk__-_21"/>
      <sheetName val="resis__coeff1"/>
      <sheetName val="water_prop_2"/>
      <sheetName val="System_Resistance_(for_spec)1"/>
      <sheetName val="SR_(IDCT-2)1"/>
      <sheetName val="SR_(IDCT-1)1"/>
      <sheetName val="CW_SIZING_(IDCT-1)1"/>
      <sheetName val="Pipesizing_-_11"/>
      <sheetName val="pipe_thk__-_1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water_prop_3"/>
      <sheetName val="issue_summary2"/>
      <sheetName val="table_of_contents2"/>
      <sheetName val="CW_SIZING_(IDCT-2)2"/>
      <sheetName val="IDCT-2_(C=120)2"/>
      <sheetName val="Pipesizing_-_22"/>
      <sheetName val="pipe_thk__-_22"/>
      <sheetName val="resis__coeff2"/>
      <sheetName val="water_prop_4"/>
      <sheetName val="System_Resistance_(for_spec)2"/>
      <sheetName val="SR_(IDCT-2)2"/>
      <sheetName val="SR_(IDCT-1)2"/>
      <sheetName val="CW_SIZING_(IDCT-1)2"/>
      <sheetName val="Pipesizing_-_12"/>
      <sheetName val="pipe_thk__-_1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water_prop_5"/>
      <sheetName val="issue_summary3"/>
      <sheetName val="table_of_contents3"/>
      <sheetName val="CW_SIZING_(IDCT-2)3"/>
      <sheetName val="IDCT-2_(C=120)3"/>
      <sheetName val="Pipesizing_-_23"/>
      <sheetName val="pipe_thk__-_23"/>
      <sheetName val="resis__coeff3"/>
      <sheetName val="water_prop_6"/>
      <sheetName val="System_Resistance_(for_spec)3"/>
      <sheetName val="SR_(IDCT-2)3"/>
      <sheetName val="SR_(IDCT-1)3"/>
      <sheetName val="CW_SIZING_(IDCT-1)3"/>
      <sheetName val="Pipesizing_-_13"/>
      <sheetName val="pipe_thk__-_1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water_prop_7"/>
      <sheetName val="issue_summary4"/>
      <sheetName val="table_of_contents4"/>
      <sheetName val="CW_SIZING_(IDCT-2)4"/>
      <sheetName val="IDCT-2_(C=120)4"/>
      <sheetName val="Pipesizing_-_24"/>
      <sheetName val="pipe_thk__-_24"/>
      <sheetName val="resis__coeff4"/>
      <sheetName val="water_prop_8"/>
      <sheetName val="System_Resistance_(for_spec)4"/>
      <sheetName val="SR_(IDCT-2)4"/>
      <sheetName val="SR_(IDCT-1)4"/>
      <sheetName val="CW_SIZING_(IDCT-1)4"/>
      <sheetName val="Pipesizing_-_14"/>
      <sheetName val="pipe_thk__-_1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water_prop_9"/>
      <sheetName val="FdN"/>
      <sheetName val="Tower"/>
      <sheetName val="220Kv"/>
      <sheetName val="Formulas"/>
      <sheetName val="4 Annex 1 Basic rate"/>
      <sheetName val="220_11__BS_2"/>
      <sheetName val="P&amp;ID_List2"/>
      <sheetName val="Data_base2"/>
      <sheetName val="220_11__BS_1"/>
      <sheetName val="P&amp;ID_List1"/>
      <sheetName val="Data_base1"/>
      <sheetName val="220_11__BS_"/>
      <sheetName val="P&amp;ID_List"/>
      <sheetName val="Data_base"/>
      <sheetName val="Scenarios"/>
      <sheetName val="FTE Sales"/>
      <sheetName val="Price Working -Mar'06"/>
      <sheetName val="220_11__BS_3"/>
      <sheetName val="P&amp;ID_List3"/>
      <sheetName val="Data_base3"/>
      <sheetName val="Staff_Acco_"/>
      <sheetName val="IO_LIST"/>
      <sheetName val="Basement_Budget"/>
      <sheetName val="_DDList"/>
      <sheetName val="_UOM"/>
      <sheetName val="PROG_DATA"/>
      <sheetName val="Fin. Assumpt. - Sensitivities"/>
      <sheetName val="Global Assm."/>
      <sheetName val="analysis"/>
      <sheetName val="maing1"/>
      <sheetName val="basdat"/>
      <sheetName val="Code"/>
      <sheetName val="Conductor Size"/>
      <sheetName val="Rate Analysis"/>
      <sheetName val="Montaje"/>
      <sheetName val="Assumptions"/>
      <sheetName val="issue_summary5"/>
      <sheetName val="table_of_contents5"/>
      <sheetName val="CW_SIZING_(IDCT-2)5"/>
      <sheetName val="IDCT-2_(C=120)5"/>
      <sheetName val="Pipesizing_-_25"/>
      <sheetName val="pipe_thk__-_25"/>
      <sheetName val="resis__coeff5"/>
      <sheetName val="water_prop_10"/>
      <sheetName val="System_Resistance_(for_spec)5"/>
      <sheetName val="SR_(IDCT-2)5"/>
      <sheetName val="SR_(IDCT-1)5"/>
      <sheetName val="CW_SIZING_(IDCT-1)5"/>
      <sheetName val="Pipesizing_-_15"/>
      <sheetName val="pipe_thk__-_1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water_prop_11"/>
      <sheetName val="Dropdown_Menus"/>
      <sheetName val="4_Annex_1_Basic_rate"/>
      <sheetName val="Fin__Assumpt__-_Sensitivities"/>
      <sheetName val="Global_Assm_"/>
      <sheetName val="Hidden"/>
      <sheetName val="1. Data Entry"/>
      <sheetName val="97 사업추정(WEKI)"/>
      <sheetName val="Testing"/>
      <sheetName val="QUOTE_E"/>
      <sheetName val="1-LABOUR"/>
      <sheetName val="Budget (Jun 07)"/>
      <sheetName val="lc 11"/>
      <sheetName val="lc 21"/>
      <sheetName val="A 3.7"/>
      <sheetName val="Material"/>
      <sheetName val="Anl"/>
      <sheetName val="Contents"/>
      <sheetName val="FT-05-02IsoBOM"/>
      <sheetName val="FORM7"/>
      <sheetName val="Conversion"/>
      <sheetName val="Front Page 01"/>
      <sheetName val="water_prop_12"/>
      <sheetName val="issue_summary6"/>
      <sheetName val="table_of_contents6"/>
      <sheetName val="CW_SIZING_(IDCT-2)6"/>
      <sheetName val="IDCT-2_(C=120)6"/>
      <sheetName val="Pipesizing_-_26"/>
      <sheetName val="pipe_thk__-_26"/>
      <sheetName val="resis__coeff6"/>
      <sheetName val="System_Resistance_(for_spec)6"/>
      <sheetName val="SR_(IDCT-2)6"/>
      <sheetName val="SR_(IDCT-1)6"/>
      <sheetName val="CW_SIZING_(IDCT-1)6"/>
      <sheetName val="Pipesizing_-_16"/>
      <sheetName val="pipe_thk__-_16"/>
      <sheetName val="220_11__BS_4"/>
      <sheetName val="P&amp;ID_List4"/>
      <sheetName val="Data_base4"/>
      <sheetName val="Staff_Acco_1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IO_LIST1"/>
      <sheetName val="Basement_Budget1"/>
      <sheetName val="water_prop_13"/>
      <sheetName val="Dropdown_Menus1"/>
      <sheetName val="pds"/>
      <sheetName val="Weightage Factor"/>
      <sheetName val="final abstract"/>
      <sheetName val="issue_summary7"/>
      <sheetName val="table_of_contents7"/>
      <sheetName val="CW_SIZING_(IDCT-2)7"/>
      <sheetName val="IDCT-2_(C=120)7"/>
      <sheetName val="Pipesizing_-_27"/>
      <sheetName val="pipe_thk__-_27"/>
      <sheetName val="resis__coeff7"/>
      <sheetName val="System_Resistance_(for_spec)7"/>
      <sheetName val="SR_(IDCT-2)7"/>
      <sheetName val="SR_(IDCT-1)7"/>
      <sheetName val="CW_SIZING_(IDCT-1)7"/>
      <sheetName val="Pipesizing_-_17"/>
      <sheetName val="pipe_thk__-_17"/>
      <sheetName val="220_11__BS_6"/>
      <sheetName val="P&amp;ID_List6"/>
      <sheetName val="Data_base6"/>
      <sheetName val="Staff_Acco_6"/>
      <sheetName val="IO_LIST6"/>
      <sheetName val="Basement_Budget6"/>
      <sheetName val="Dropdown_Menus6"/>
      <sheetName val="water_prop_14"/>
      <sheetName val="Staff_Acco_2"/>
      <sheetName val="IO_LIST2"/>
      <sheetName val="Basement_Budget2"/>
      <sheetName val="Dropdown_Menus2"/>
      <sheetName val="Staff_Acco_3"/>
      <sheetName val="IO_LIST3"/>
      <sheetName val="Basement_Budget3"/>
      <sheetName val="Dropdown_Menus3"/>
      <sheetName val="Staff_Acco_4"/>
      <sheetName val="IO_LIST4"/>
      <sheetName val="Basement_Budget4"/>
      <sheetName val="Dropdown_Menus4"/>
      <sheetName val="220_11__BS_5"/>
      <sheetName val="P&amp;ID_List5"/>
      <sheetName val="Data_base5"/>
      <sheetName val="Staff_Acco_5"/>
      <sheetName val="IO_LIST5"/>
      <sheetName val="Basement_Budget5"/>
      <sheetName val="Dropdown_Menus5"/>
      <sheetName val="installation cost"/>
      <sheetName val="PAYITEMS"/>
      <sheetName val="PCS"/>
      <sheetName val="purpose&amp;inpu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water_prop_15"/>
      <sheetName val="Price_Working_-Mar'06"/>
      <sheetName val="Conductor_Size"/>
      <sheetName val="Rate_Analysis"/>
      <sheetName val="Front_Page_01"/>
      <sheetName val="97_사업추정(WEKI)"/>
      <sheetName val="LC#1"/>
      <sheetName val="ETC Plant Cost"/>
      <sheetName val="DELTA-H"/>
      <sheetName val="OCT.FDN"/>
      <sheetName val="CWpump"/>
      <sheetName val="MMR"/>
      <sheetName val="precast rc element"/>
      <sheetName val="SUMMARY"/>
      <sheetName val="EAM TP 2007"/>
      <sheetName val="2007 Calendar"/>
      <sheetName val="NameRange"/>
      <sheetName val="pack (b)"/>
      <sheetName val="cal"/>
    </sheetNames>
    <sheetDataSet>
      <sheetData sheetId="0">
        <row r="1">
          <cell r="A1" t="str">
            <v>Choices:</v>
          </cell>
        </row>
      </sheetData>
      <sheetData sheetId="1">
        <row r="1">
          <cell r="A1" t="str">
            <v>Choices:</v>
          </cell>
        </row>
      </sheetData>
      <sheetData sheetId="2">
        <row r="1">
          <cell r="A1" t="str">
            <v>Choices:</v>
          </cell>
        </row>
      </sheetData>
      <sheetData sheetId="3">
        <row r="1">
          <cell r="A1" t="str">
            <v>Choices:</v>
          </cell>
        </row>
      </sheetData>
      <sheetData sheetId="4">
        <row r="1">
          <cell r="A1" t="str">
            <v>Choices:</v>
          </cell>
        </row>
      </sheetData>
      <sheetData sheetId="5">
        <row r="1">
          <cell r="A1" t="str">
            <v>Choices:</v>
          </cell>
        </row>
      </sheetData>
      <sheetData sheetId="6">
        <row r="1">
          <cell r="A1" t="str">
            <v>Choices:</v>
          </cell>
        </row>
      </sheetData>
      <sheetData sheetId="7">
        <row r="1">
          <cell r="A1" t="str">
            <v>Choices:</v>
          </cell>
        </row>
      </sheetData>
      <sheetData sheetId="8" refreshError="1"/>
      <sheetData sheetId="9">
        <row r="1">
          <cell r="A1" t="str">
            <v>Choices:</v>
          </cell>
        </row>
      </sheetData>
      <sheetData sheetId="10">
        <row r="1">
          <cell r="A1" t="str">
            <v>Choices:</v>
          </cell>
        </row>
      </sheetData>
      <sheetData sheetId="11">
        <row r="1">
          <cell r="A1" t="str">
            <v>Choices:</v>
          </cell>
        </row>
      </sheetData>
      <sheetData sheetId="12">
        <row r="1">
          <cell r="A1" t="str">
            <v>Choices:</v>
          </cell>
        </row>
      </sheetData>
      <sheetData sheetId="13">
        <row r="1">
          <cell r="A1" t="str">
            <v>Choices:</v>
          </cell>
        </row>
      </sheetData>
      <sheetData sheetId="14">
        <row r="1">
          <cell r="A1" t="str">
            <v>Choices:</v>
          </cell>
        </row>
      </sheetData>
      <sheetData sheetId="15">
        <row r="1">
          <cell r="A1" t="str">
            <v>Choices:</v>
          </cell>
        </row>
      </sheetData>
      <sheetData sheetId="16">
        <row r="1">
          <cell r="A1" t="str">
            <v>Choices: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1">
          <cell r="A1" t="str">
            <v>Choices:</v>
          </cell>
        </row>
      </sheetData>
      <sheetData sheetId="57">
        <row r="1">
          <cell r="A1" t="str">
            <v>Choices:</v>
          </cell>
        </row>
      </sheetData>
      <sheetData sheetId="58">
        <row r="1">
          <cell r="A1" t="str">
            <v>Choices: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1">
          <cell r="A1" t="str">
            <v>Choices:</v>
          </cell>
        </row>
      </sheetData>
      <sheetData sheetId="77">
        <row r="1">
          <cell r="A1" t="str">
            <v>Choices:</v>
          </cell>
        </row>
      </sheetData>
      <sheetData sheetId="78">
        <row r="1">
          <cell r="A1" t="str">
            <v>Choices:</v>
          </cell>
        </row>
      </sheetData>
      <sheetData sheetId="79">
        <row r="1">
          <cell r="A1" t="str">
            <v>Choices:</v>
          </cell>
        </row>
      </sheetData>
      <sheetData sheetId="80">
        <row r="1">
          <cell r="A1" t="str">
            <v>Choices:</v>
          </cell>
        </row>
      </sheetData>
      <sheetData sheetId="81">
        <row r="1">
          <cell r="A1" t="str">
            <v>Choices:</v>
          </cell>
        </row>
      </sheetData>
      <sheetData sheetId="82">
        <row r="1">
          <cell r="A1" t="str">
            <v>Choices:</v>
          </cell>
        </row>
      </sheetData>
      <sheetData sheetId="83">
        <row r="1">
          <cell r="A1" t="str">
            <v>Choices:</v>
          </cell>
        </row>
      </sheetData>
      <sheetData sheetId="84">
        <row r="1">
          <cell r="A1" t="str">
            <v>Choices:</v>
          </cell>
        </row>
      </sheetData>
      <sheetData sheetId="85">
        <row r="1">
          <cell r="A1" t="str">
            <v>Choices:</v>
          </cell>
        </row>
      </sheetData>
      <sheetData sheetId="86">
        <row r="1">
          <cell r="A1" t="str">
            <v>Choices:</v>
          </cell>
        </row>
      </sheetData>
      <sheetData sheetId="87">
        <row r="1">
          <cell r="A1" t="str">
            <v>Choices:</v>
          </cell>
        </row>
      </sheetData>
      <sheetData sheetId="88">
        <row r="1">
          <cell r="A1" t="str">
            <v>Choices:</v>
          </cell>
        </row>
      </sheetData>
      <sheetData sheetId="89">
        <row r="1">
          <cell r="A1" t="str">
            <v>Choices: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>
        <row r="1">
          <cell r="A1" t="str">
            <v>Choices:</v>
          </cell>
        </row>
      </sheetData>
      <sheetData sheetId="114">
        <row r="1">
          <cell r="A1" t="str">
            <v>Choices:</v>
          </cell>
        </row>
      </sheetData>
      <sheetData sheetId="115">
        <row r="1">
          <cell r="A1" t="str">
            <v>Choices:</v>
          </cell>
        </row>
      </sheetData>
      <sheetData sheetId="116">
        <row r="1">
          <cell r="A1" t="str">
            <v>Choices:</v>
          </cell>
        </row>
      </sheetData>
      <sheetData sheetId="117">
        <row r="1">
          <cell r="A1" t="str">
            <v>Choices:</v>
          </cell>
        </row>
      </sheetData>
      <sheetData sheetId="118">
        <row r="1">
          <cell r="A1" t="str">
            <v>Choices:</v>
          </cell>
        </row>
      </sheetData>
      <sheetData sheetId="119">
        <row r="1">
          <cell r="A1" t="str">
            <v>Choices:</v>
          </cell>
        </row>
      </sheetData>
      <sheetData sheetId="120">
        <row r="1">
          <cell r="A1" t="str">
            <v>Choices:</v>
          </cell>
        </row>
      </sheetData>
      <sheetData sheetId="121">
        <row r="1">
          <cell r="A1" t="str">
            <v>Choices:</v>
          </cell>
        </row>
      </sheetData>
      <sheetData sheetId="122">
        <row r="1">
          <cell r="A1" t="str">
            <v>Choices:</v>
          </cell>
        </row>
      </sheetData>
      <sheetData sheetId="123">
        <row r="1">
          <cell r="A1" t="str">
            <v>Choices:</v>
          </cell>
        </row>
      </sheetData>
      <sheetData sheetId="124">
        <row r="1">
          <cell r="A1" t="str">
            <v>Choices:</v>
          </cell>
        </row>
      </sheetData>
      <sheetData sheetId="125">
        <row r="1">
          <cell r="A1" t="str">
            <v>Choices:</v>
          </cell>
        </row>
      </sheetData>
      <sheetData sheetId="126">
        <row r="1">
          <cell r="A1" t="str">
            <v>Choices:</v>
          </cell>
        </row>
      </sheetData>
      <sheetData sheetId="127">
        <row r="1">
          <cell r="A1" t="str">
            <v>Choices:</v>
          </cell>
        </row>
      </sheetData>
      <sheetData sheetId="128">
        <row r="1">
          <cell r="A1" t="str">
            <v>Choices:</v>
          </cell>
        </row>
      </sheetData>
      <sheetData sheetId="129">
        <row r="1">
          <cell r="A1" t="str">
            <v>Choices:</v>
          </cell>
        </row>
      </sheetData>
      <sheetData sheetId="130">
        <row r="1">
          <cell r="A1" t="str">
            <v>Choices:</v>
          </cell>
        </row>
      </sheetData>
      <sheetData sheetId="131">
        <row r="1">
          <cell r="A1" t="str">
            <v>Choices:</v>
          </cell>
        </row>
      </sheetData>
      <sheetData sheetId="132">
        <row r="1">
          <cell r="A1" t="str">
            <v>Choices:</v>
          </cell>
        </row>
      </sheetData>
      <sheetData sheetId="133">
        <row r="1">
          <cell r="A1" t="str">
            <v>Choices:</v>
          </cell>
        </row>
      </sheetData>
      <sheetData sheetId="134">
        <row r="1">
          <cell r="A1" t="str">
            <v>Choices:</v>
          </cell>
        </row>
      </sheetData>
      <sheetData sheetId="135">
        <row r="1">
          <cell r="A1" t="str">
            <v>Choices:</v>
          </cell>
        </row>
      </sheetData>
      <sheetData sheetId="136">
        <row r="1">
          <cell r="A1" t="str">
            <v>Choices:</v>
          </cell>
        </row>
      </sheetData>
      <sheetData sheetId="137">
        <row r="1">
          <cell r="A1" t="str">
            <v>Choices:</v>
          </cell>
        </row>
      </sheetData>
      <sheetData sheetId="138">
        <row r="1">
          <cell r="A1" t="str">
            <v>Choices:</v>
          </cell>
        </row>
      </sheetData>
      <sheetData sheetId="139">
        <row r="1">
          <cell r="A1" t="str">
            <v>Choices:</v>
          </cell>
        </row>
      </sheetData>
      <sheetData sheetId="140">
        <row r="1">
          <cell r="A1" t="str">
            <v>Choices:</v>
          </cell>
        </row>
      </sheetData>
      <sheetData sheetId="141">
        <row r="1">
          <cell r="A1" t="str">
            <v>Choices:</v>
          </cell>
        </row>
      </sheetData>
      <sheetData sheetId="142">
        <row r="1">
          <cell r="A1" t="str">
            <v>Choices:</v>
          </cell>
        </row>
      </sheetData>
      <sheetData sheetId="143">
        <row r="1">
          <cell r="A1" t="str">
            <v>Choices:</v>
          </cell>
        </row>
      </sheetData>
      <sheetData sheetId="144">
        <row r="1">
          <cell r="A1" t="str">
            <v>Choices:</v>
          </cell>
        </row>
      </sheetData>
      <sheetData sheetId="145">
        <row r="1">
          <cell r="A1" t="str">
            <v>Choices:</v>
          </cell>
        </row>
      </sheetData>
      <sheetData sheetId="146">
        <row r="1">
          <cell r="A1" t="str">
            <v>Choices:</v>
          </cell>
        </row>
      </sheetData>
      <sheetData sheetId="147">
        <row r="1">
          <cell r="A1" t="str">
            <v>Choices:</v>
          </cell>
        </row>
      </sheetData>
      <sheetData sheetId="148">
        <row r="1">
          <cell r="A1" t="str">
            <v>Choices:</v>
          </cell>
        </row>
      </sheetData>
      <sheetData sheetId="149">
        <row r="1">
          <cell r="A1" t="str">
            <v>Choices:</v>
          </cell>
        </row>
      </sheetData>
      <sheetData sheetId="150">
        <row r="1">
          <cell r="A1" t="str">
            <v>Choices:</v>
          </cell>
        </row>
      </sheetData>
      <sheetData sheetId="151">
        <row r="1">
          <cell r="A1" t="str">
            <v>Choices:</v>
          </cell>
        </row>
      </sheetData>
      <sheetData sheetId="152">
        <row r="1">
          <cell r="A1" t="str">
            <v>Choices:</v>
          </cell>
        </row>
      </sheetData>
      <sheetData sheetId="153">
        <row r="1">
          <cell r="A1" t="str">
            <v>Choices:</v>
          </cell>
        </row>
      </sheetData>
      <sheetData sheetId="154">
        <row r="1">
          <cell r="A1" t="str">
            <v>Choices:</v>
          </cell>
        </row>
      </sheetData>
      <sheetData sheetId="155">
        <row r="1">
          <cell r="A1" t="str">
            <v>Choices:</v>
          </cell>
        </row>
      </sheetData>
      <sheetData sheetId="156">
        <row r="1">
          <cell r="A1" t="str">
            <v>Choices:</v>
          </cell>
        </row>
      </sheetData>
      <sheetData sheetId="157">
        <row r="1">
          <cell r="A1" t="str">
            <v>Choices:</v>
          </cell>
        </row>
      </sheetData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1">
          <cell r="A1" t="str">
            <v>Choices:</v>
          </cell>
        </row>
      </sheetData>
      <sheetData sheetId="175">
        <row r="1">
          <cell r="A1" t="str">
            <v>Choices:</v>
          </cell>
        </row>
      </sheetData>
      <sheetData sheetId="176">
        <row r="1">
          <cell r="A1" t="str">
            <v>Choices:</v>
          </cell>
        </row>
      </sheetData>
      <sheetData sheetId="177">
        <row r="1">
          <cell r="A1" t="str">
            <v>Choices:</v>
          </cell>
        </row>
      </sheetData>
      <sheetData sheetId="178">
        <row r="1">
          <cell r="A1" t="str">
            <v>Choices:</v>
          </cell>
        </row>
      </sheetData>
      <sheetData sheetId="179">
        <row r="1">
          <cell r="A1" t="str">
            <v>Choices:</v>
          </cell>
        </row>
      </sheetData>
      <sheetData sheetId="180">
        <row r="1">
          <cell r="A1" t="str">
            <v>Choices:</v>
          </cell>
        </row>
      </sheetData>
      <sheetData sheetId="181">
        <row r="1">
          <cell r="A1" t="str">
            <v>Choices:</v>
          </cell>
        </row>
      </sheetData>
      <sheetData sheetId="182">
        <row r="1">
          <cell r="A1" t="str">
            <v>Choices:</v>
          </cell>
        </row>
      </sheetData>
      <sheetData sheetId="183" refreshError="1"/>
      <sheetData sheetId="184" refreshError="1"/>
      <sheetData sheetId="185" refreshError="1"/>
      <sheetData sheetId="186">
        <row r="1">
          <cell r="A1" t="str">
            <v>Choices:</v>
          </cell>
        </row>
      </sheetData>
      <sheetData sheetId="187">
        <row r="1">
          <cell r="A1" t="str">
            <v>Choices:</v>
          </cell>
        </row>
      </sheetData>
      <sheetData sheetId="188">
        <row r="1">
          <cell r="A1" t="str">
            <v>Choices:</v>
          </cell>
        </row>
      </sheetData>
      <sheetData sheetId="189">
        <row r="1">
          <cell r="A1" t="str">
            <v>Choices:</v>
          </cell>
        </row>
      </sheetData>
      <sheetData sheetId="190"/>
      <sheetData sheetId="191"/>
      <sheetData sheetId="192" refreshError="1"/>
      <sheetData sheetId="193" refreshError="1"/>
      <sheetData sheetId="194">
        <row r="1">
          <cell r="A1" t="str">
            <v>Choices:</v>
          </cell>
        </row>
      </sheetData>
      <sheetData sheetId="195">
        <row r="1">
          <cell r="A1" t="str">
            <v>Choices:</v>
          </cell>
        </row>
      </sheetData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>
        <row r="1">
          <cell r="A1" t="str">
            <v>Choices:</v>
          </cell>
        </row>
      </sheetData>
      <sheetData sheetId="206">
        <row r="1">
          <cell r="A1" t="str">
            <v>Choices:</v>
          </cell>
        </row>
      </sheetData>
      <sheetData sheetId="207">
        <row r="1">
          <cell r="A1" t="str">
            <v>Choices:</v>
          </cell>
        </row>
      </sheetData>
      <sheetData sheetId="208">
        <row r="1">
          <cell r="A1" t="str">
            <v>Choices:</v>
          </cell>
        </row>
      </sheetData>
      <sheetData sheetId="209">
        <row r="1">
          <cell r="A1" t="str">
            <v>Choices:</v>
          </cell>
        </row>
      </sheetData>
      <sheetData sheetId="210">
        <row r="1">
          <cell r="A1" t="str">
            <v>Choices:</v>
          </cell>
        </row>
      </sheetData>
      <sheetData sheetId="211">
        <row r="1">
          <cell r="A1" t="str">
            <v>Choices:</v>
          </cell>
        </row>
      </sheetData>
      <sheetData sheetId="212">
        <row r="1">
          <cell r="A1" t="str">
            <v>Choices:</v>
          </cell>
        </row>
      </sheetData>
      <sheetData sheetId="213">
        <row r="1">
          <cell r="A1" t="str">
            <v>Choices:</v>
          </cell>
        </row>
      </sheetData>
      <sheetData sheetId="214">
        <row r="1">
          <cell r="A1" t="str">
            <v>Choices:</v>
          </cell>
        </row>
      </sheetData>
      <sheetData sheetId="215">
        <row r="1">
          <cell r="A1" t="str">
            <v>Choices:</v>
          </cell>
        </row>
      </sheetData>
      <sheetData sheetId="216">
        <row r="1">
          <cell r="A1" t="str">
            <v>Choices:</v>
          </cell>
        </row>
      </sheetData>
      <sheetData sheetId="217">
        <row r="1">
          <cell r="A1" t="str">
            <v>Choices:</v>
          </cell>
        </row>
      </sheetData>
      <sheetData sheetId="218">
        <row r="1">
          <cell r="A1" t="str">
            <v>Choices:</v>
          </cell>
        </row>
      </sheetData>
      <sheetData sheetId="219">
        <row r="1">
          <cell r="A1" t="str">
            <v>Choices:</v>
          </cell>
        </row>
      </sheetData>
      <sheetData sheetId="220">
        <row r="1">
          <cell r="A1" t="str">
            <v>Choices:</v>
          </cell>
        </row>
      </sheetData>
      <sheetData sheetId="221">
        <row r="1">
          <cell r="A1" t="str">
            <v>Choices:</v>
          </cell>
        </row>
      </sheetData>
      <sheetData sheetId="222">
        <row r="1">
          <cell r="A1" t="str">
            <v>Choices:</v>
          </cell>
        </row>
      </sheetData>
      <sheetData sheetId="223">
        <row r="1">
          <cell r="A1" t="str">
            <v>Choices:</v>
          </cell>
        </row>
      </sheetData>
      <sheetData sheetId="224">
        <row r="1">
          <cell r="A1" t="str">
            <v>Choices:</v>
          </cell>
        </row>
      </sheetData>
      <sheetData sheetId="225">
        <row r="1">
          <cell r="A1" t="str">
            <v>Choices:</v>
          </cell>
        </row>
      </sheetData>
      <sheetData sheetId="226">
        <row r="1">
          <cell r="A1" t="str">
            <v>Choices:</v>
          </cell>
        </row>
      </sheetData>
      <sheetData sheetId="227">
        <row r="1">
          <cell r="A1" t="str">
            <v>Choices:</v>
          </cell>
        </row>
      </sheetData>
      <sheetData sheetId="228">
        <row r="1">
          <cell r="A1" t="str">
            <v>Choices:</v>
          </cell>
        </row>
      </sheetData>
      <sheetData sheetId="229">
        <row r="1">
          <cell r="A1" t="str">
            <v>Choices:</v>
          </cell>
        </row>
      </sheetData>
      <sheetData sheetId="230">
        <row r="1">
          <cell r="A1" t="str">
            <v>Choices:</v>
          </cell>
        </row>
      </sheetData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1">
          <cell r="A1" t="str">
            <v>Choices:</v>
          </cell>
        </row>
      </sheetData>
      <sheetData sheetId="250">
        <row r="1">
          <cell r="A1" t="str">
            <v>Choices:</v>
          </cell>
        </row>
      </sheetData>
      <sheetData sheetId="251">
        <row r="1">
          <cell r="A1" t="str">
            <v>Choices:</v>
          </cell>
        </row>
      </sheetData>
      <sheetData sheetId="252">
        <row r="1">
          <cell r="A1" t="str">
            <v>Choices:</v>
          </cell>
        </row>
      </sheetData>
      <sheetData sheetId="253">
        <row r="1">
          <cell r="A1" t="str">
            <v>Choices:</v>
          </cell>
        </row>
      </sheetData>
      <sheetData sheetId="254">
        <row r="1">
          <cell r="A1" t="str">
            <v>Choices:</v>
          </cell>
        </row>
      </sheetData>
      <sheetData sheetId="255">
        <row r="1">
          <cell r="A1" t="str">
            <v>Choices:</v>
          </cell>
        </row>
      </sheetData>
      <sheetData sheetId="256">
        <row r="1">
          <cell r="A1" t="str">
            <v>Choices:</v>
          </cell>
        </row>
      </sheetData>
      <sheetData sheetId="257">
        <row r="1">
          <cell r="A1" t="str">
            <v>Choices:</v>
          </cell>
        </row>
      </sheetData>
      <sheetData sheetId="258">
        <row r="1">
          <cell r="A1" t="str">
            <v>Choices:</v>
          </cell>
        </row>
      </sheetData>
      <sheetData sheetId="259">
        <row r="1">
          <cell r="A1" t="str">
            <v>Choices:</v>
          </cell>
        </row>
      </sheetData>
      <sheetData sheetId="260">
        <row r="1">
          <cell r="A1" t="str">
            <v>Choices:</v>
          </cell>
        </row>
      </sheetData>
      <sheetData sheetId="261">
        <row r="1">
          <cell r="A1" t="str">
            <v>Choices:</v>
          </cell>
        </row>
      </sheetData>
      <sheetData sheetId="262">
        <row r="1">
          <cell r="A1" t="str">
            <v>Choices:</v>
          </cell>
        </row>
      </sheetData>
      <sheetData sheetId="263">
        <row r="1">
          <cell r="A1" t="str">
            <v>Choices:</v>
          </cell>
        </row>
      </sheetData>
      <sheetData sheetId="264">
        <row r="1">
          <cell r="A1" t="str">
            <v>Choices:</v>
          </cell>
        </row>
      </sheetData>
      <sheetData sheetId="265">
        <row r="1">
          <cell r="A1" t="str">
            <v>Choices:</v>
          </cell>
        </row>
      </sheetData>
      <sheetData sheetId="266">
        <row r="1">
          <cell r="A1" t="str">
            <v>Choices:</v>
          </cell>
        </row>
      </sheetData>
      <sheetData sheetId="267">
        <row r="1">
          <cell r="A1" t="str">
            <v>Choices:</v>
          </cell>
        </row>
      </sheetData>
      <sheetData sheetId="268">
        <row r="1">
          <cell r="A1" t="str">
            <v>Choices:</v>
          </cell>
        </row>
      </sheetData>
      <sheetData sheetId="269">
        <row r="1">
          <cell r="A1" t="str">
            <v>Choices:</v>
          </cell>
        </row>
      </sheetData>
      <sheetData sheetId="270">
        <row r="1">
          <cell r="A1" t="str">
            <v>Choices:</v>
          </cell>
        </row>
      </sheetData>
      <sheetData sheetId="271">
        <row r="1">
          <cell r="A1" t="str">
            <v>Choices:</v>
          </cell>
        </row>
      </sheetData>
      <sheetData sheetId="272">
        <row r="1">
          <cell r="A1" t="str">
            <v>Choices:</v>
          </cell>
        </row>
      </sheetData>
      <sheetData sheetId="273">
        <row r="1">
          <cell r="A1" t="str">
            <v>Choices:</v>
          </cell>
        </row>
      </sheetData>
      <sheetData sheetId="274">
        <row r="1">
          <cell r="A1" t="str">
            <v>Choices:</v>
          </cell>
        </row>
      </sheetData>
      <sheetData sheetId="275">
        <row r="1">
          <cell r="A1" t="str">
            <v>Choices:</v>
          </cell>
        </row>
      </sheetData>
      <sheetData sheetId="276">
        <row r="1">
          <cell r="A1" t="str">
            <v>Choices:</v>
          </cell>
        </row>
      </sheetData>
      <sheetData sheetId="277">
        <row r="1">
          <cell r="A1" t="str">
            <v>Choices:</v>
          </cell>
        </row>
      </sheetData>
      <sheetData sheetId="278">
        <row r="1">
          <cell r="A1" t="str">
            <v>Choices:</v>
          </cell>
        </row>
      </sheetData>
      <sheetData sheetId="279" refreshError="1"/>
      <sheetData sheetId="280" refreshError="1"/>
      <sheetData sheetId="281" refreshError="1"/>
      <sheetData sheetId="282">
        <row r="1">
          <cell r="A1" t="str">
            <v>Choices:</v>
          </cell>
        </row>
      </sheetData>
      <sheetData sheetId="283">
        <row r="1">
          <cell r="A1" t="str">
            <v>Choices:</v>
          </cell>
        </row>
      </sheetData>
      <sheetData sheetId="284">
        <row r="1">
          <cell r="A1" t="str">
            <v>Choices:</v>
          </cell>
        </row>
      </sheetData>
      <sheetData sheetId="285">
        <row r="1">
          <cell r="A1" t="str">
            <v>Choices:</v>
          </cell>
        </row>
      </sheetData>
      <sheetData sheetId="286">
        <row r="1">
          <cell r="A1" t="str">
            <v>Choices:</v>
          </cell>
        </row>
      </sheetData>
      <sheetData sheetId="287">
        <row r="1">
          <cell r="A1" t="str">
            <v>Choices:</v>
          </cell>
        </row>
      </sheetData>
      <sheetData sheetId="288">
        <row r="1">
          <cell r="A1" t="str">
            <v>Choices:</v>
          </cell>
        </row>
      </sheetData>
      <sheetData sheetId="289">
        <row r="1">
          <cell r="A1" t="str">
            <v>Choices:</v>
          </cell>
        </row>
      </sheetData>
      <sheetData sheetId="290">
        <row r="1">
          <cell r="A1" t="str">
            <v>Choices:</v>
          </cell>
        </row>
      </sheetData>
      <sheetData sheetId="291">
        <row r="1">
          <cell r="A1" t="str">
            <v>Choices:</v>
          </cell>
        </row>
      </sheetData>
      <sheetData sheetId="292">
        <row r="1">
          <cell r="A1" t="str">
            <v>Choices:</v>
          </cell>
        </row>
      </sheetData>
      <sheetData sheetId="293">
        <row r="1">
          <cell r="A1" t="str">
            <v>Choices:</v>
          </cell>
        </row>
      </sheetData>
      <sheetData sheetId="294">
        <row r="1">
          <cell r="A1" t="str">
            <v>Choices:</v>
          </cell>
        </row>
      </sheetData>
      <sheetData sheetId="295">
        <row r="1">
          <cell r="A1" t="str">
            <v>Choices:</v>
          </cell>
        </row>
      </sheetData>
      <sheetData sheetId="296">
        <row r="1">
          <cell r="A1" t="str">
            <v>Choices:</v>
          </cell>
        </row>
      </sheetData>
      <sheetData sheetId="297">
        <row r="1">
          <cell r="A1" t="str">
            <v>Choices:</v>
          </cell>
        </row>
      </sheetData>
      <sheetData sheetId="298">
        <row r="1">
          <cell r="A1" t="str">
            <v>Choices:</v>
          </cell>
        </row>
      </sheetData>
      <sheetData sheetId="299">
        <row r="1">
          <cell r="A1" t="str">
            <v>Choices:</v>
          </cell>
        </row>
      </sheetData>
      <sheetData sheetId="300">
        <row r="1">
          <cell r="A1" t="str">
            <v>Choices:</v>
          </cell>
        </row>
      </sheetData>
      <sheetData sheetId="301">
        <row r="1">
          <cell r="A1" t="str">
            <v>Choices:</v>
          </cell>
        </row>
      </sheetData>
      <sheetData sheetId="302">
        <row r="1">
          <cell r="A1" t="str">
            <v>Choices:</v>
          </cell>
        </row>
      </sheetData>
      <sheetData sheetId="303">
        <row r="1">
          <cell r="A1" t="str">
            <v>Choices:</v>
          </cell>
        </row>
      </sheetData>
      <sheetData sheetId="304">
        <row r="1">
          <cell r="A1" t="str">
            <v>Choices:</v>
          </cell>
        </row>
      </sheetData>
      <sheetData sheetId="305">
        <row r="1">
          <cell r="A1" t="str">
            <v>Choices:</v>
          </cell>
        </row>
      </sheetData>
      <sheetData sheetId="306">
        <row r="1">
          <cell r="A1" t="str">
            <v>Choices:</v>
          </cell>
        </row>
      </sheetData>
      <sheetData sheetId="307">
        <row r="1">
          <cell r="A1" t="str">
            <v>Choices:</v>
          </cell>
        </row>
      </sheetData>
      <sheetData sheetId="308">
        <row r="1">
          <cell r="A1" t="str">
            <v>Choices:</v>
          </cell>
        </row>
      </sheetData>
      <sheetData sheetId="309">
        <row r="1">
          <cell r="A1" t="str">
            <v>Choices:</v>
          </cell>
        </row>
      </sheetData>
      <sheetData sheetId="310">
        <row r="1">
          <cell r="A1" t="str">
            <v>Choices:</v>
          </cell>
        </row>
      </sheetData>
      <sheetData sheetId="311">
        <row r="1">
          <cell r="A1" t="str">
            <v>Choices:</v>
          </cell>
        </row>
      </sheetData>
      <sheetData sheetId="312">
        <row r="1">
          <cell r="A1" t="str">
            <v>Choices:</v>
          </cell>
        </row>
      </sheetData>
      <sheetData sheetId="313">
        <row r="1">
          <cell r="A1" t="str">
            <v>Choices:</v>
          </cell>
        </row>
      </sheetData>
      <sheetData sheetId="314">
        <row r="1">
          <cell r="A1" t="str">
            <v>Choices:</v>
          </cell>
        </row>
      </sheetData>
      <sheetData sheetId="315">
        <row r="1">
          <cell r="A1" t="str">
            <v>Choices:</v>
          </cell>
        </row>
      </sheetData>
      <sheetData sheetId="316">
        <row r="1">
          <cell r="A1" t="str">
            <v>Choices:</v>
          </cell>
        </row>
      </sheetData>
      <sheetData sheetId="317">
        <row r="1">
          <cell r="A1" t="str">
            <v>Choices:</v>
          </cell>
        </row>
      </sheetData>
      <sheetData sheetId="318">
        <row r="1">
          <cell r="A1" t="str">
            <v>Choices:</v>
          </cell>
        </row>
      </sheetData>
      <sheetData sheetId="319">
        <row r="1">
          <cell r="A1" t="str">
            <v>Choices:</v>
          </cell>
        </row>
      </sheetData>
      <sheetData sheetId="320">
        <row r="1">
          <cell r="A1" t="str">
            <v>Choices:</v>
          </cell>
        </row>
      </sheetData>
      <sheetData sheetId="321">
        <row r="1">
          <cell r="A1" t="str">
            <v>Choices:</v>
          </cell>
        </row>
      </sheetData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 FDN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-Sch-1"/>
      <sheetName val="07-Sch-2"/>
      <sheetName val="08-Sch-1"/>
      <sheetName val="08-Sch-2"/>
      <sheetName val="09-Sch-1"/>
      <sheetName val="09-Sch-2"/>
      <sheetName val="10-Top Sheet"/>
      <sheetName val="10-Sch-1"/>
      <sheetName val="10-Sch-2"/>
      <sheetName val="11-Sch-1"/>
      <sheetName val="11-Sch-2"/>
      <sheetName val="10-Sch-3"/>
      <sheetName val="Pile_FND"/>
      <sheetName val="10-Sch-7"/>
      <sheetName val="OPGW"/>
      <sheetName val="HF"/>
      <sheetName val="Earthwire"/>
      <sheetName val="OPGW Qty per kM"/>
      <sheetName val="IS"/>
      <sheetName val="Fnd"/>
      <sheetName val="Steel"/>
      <sheetName val="Ere"/>
      <sheetName val="Str_Machine"/>
      <sheetName val="Str_Manual"/>
      <sheetName val="Oh"/>
      <sheetName val="Salary"/>
      <sheetName val="OH Template"/>
      <sheetName val="OH_Comparison"/>
      <sheetName val="Stores working"/>
      <sheetName val="Workings"/>
      <sheetName val="010 Workings"/>
      <sheetName val="FdN"/>
      <sheetName val="T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ter prop.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"/>
      <sheetName val="L"/>
      <sheetName val="User Guide"/>
      <sheetName val="Computation_Sheet"/>
      <sheetName val="Search"/>
      <sheetName val="Database"/>
      <sheetName val="Actual Cost"/>
      <sheetName val="Indices &amp; PV"/>
      <sheetName val="Escalated Cost"/>
      <sheetName val="Average Rates"/>
      <sheetName val="Bersi-Std-Hilly"/>
      <sheetName val="Bersi-Std-Plain"/>
      <sheetName val="Moose-Std-Hilly"/>
      <sheetName val="Moose-Std-Plain"/>
      <sheetName val="Moose-Antifog-Hilly"/>
      <sheetName val="Moose-Antifog-Plain"/>
      <sheetName val="Bersi-Antifog-Plain"/>
      <sheetName val="Bersi-Antifog-Hilly"/>
      <sheetName val="Abs-Wts.-Bersimis"/>
      <sheetName val="Assumptions made"/>
      <sheetName val="Wts of towers-Bersms"/>
      <sheetName val="Weights of Towers-Moose"/>
      <sheetName val="Wind on Tower"/>
      <sheetName val="Abstract"/>
      <sheetName val="Abstract of Weights- Moose"/>
      <sheetName val="400 kV DC"/>
      <sheetName val="400 kV SC"/>
      <sheetName val="765 kV SC"/>
      <sheetName val="Loading calculations"/>
      <sheetName val="Sagten"/>
      <sheetName val="Sagten calculations"/>
      <sheetName val="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_FEB97"/>
      <sheetName val="site fab&amp;ernstr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08det-1720"/>
    </sheetNames>
    <definedNames>
      <definedName name="Number_of_Payments"/>
      <definedName name="Values_Entered"/>
    </defined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son"/>
      <sheetName val="CARDINAL"/>
      <sheetName val="Sulphur (2)"/>
      <sheetName val="150Wolf  (Final)"/>
      <sheetName val="75Racoon(Tender 2007) (3)"/>
      <sheetName val="Pheasant"/>
      <sheetName val="CURLEW"/>
      <sheetName val="Bear GR"/>
      <sheetName val="AAAC (Exclusive offer to JS (3)"/>
      <sheetName val="AAAC413.50"/>
      <sheetName val="50sqmmaaac(BP)"/>
      <sheetName val="95sqmmaaac(BP)"/>
      <sheetName val="24x40 (BP)"/>
      <sheetName val="ASTER (BP)"/>
      <sheetName val="ASTER (KPTL)) (BP)"/>
      <sheetName val="ASTER (NCC) (BP)"/>
      <sheetName val="ASTER (INEO) (BP)"/>
      <sheetName val="ASTER (ASSOCIATE) (BP)"/>
      <sheetName val="PHOLX-TRANS (BP)"/>
      <sheetName val="PHOLX-NCC (BP)"/>
      <sheetName val="Bear (BP)"/>
      <sheetName val="37x4.176-Bogra230kV (BP)"/>
      <sheetName val="Revised Export-BP-Costings-07-0"/>
      <sheetName val="Presentation"/>
      <sheetName val="Conductor Parameter"/>
      <sheetName val="Sales &amp;Sale Cost"/>
      <sheetName val="ITEMS"/>
      <sheetName val="Sheet2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ess Graphs"/>
      <sheetName val="REL"/>
      <sheetName val="Progress Sheet - OPTL"/>
      <sheetName val="tower wt.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pose&amp;input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-lost_98&amp;99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BP 04 S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S &amp; B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lphur (2)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  <sheetName val="R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l_detail"/>
    </sheetNames>
    <sheetDataSet>
      <sheetData sheetId="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Cul_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1)"/>
      <sheetName val="SGV"/>
      <sheetName val="B1(10)"/>
      <sheetName val="B1 (0)"/>
      <sheetName val="Load Details_B1_"/>
      <sheetName val="220 11  BS "/>
      <sheetName val="Vind-BtB"/>
      <sheetName val="Load_Details(B1)"/>
      <sheetName val="B1_(0)"/>
      <sheetName val="Load_Details_B1_"/>
      <sheetName val="220_11__BS_"/>
      <sheetName val="Sheet2"/>
      <sheetName val="CLAY"/>
      <sheetName val="WAGES"/>
      <sheetName val="Sheet1"/>
      <sheetName val="Sheet3"/>
      <sheetName val="gen"/>
      <sheetName val="dummy"/>
      <sheetName val="Cover sheet"/>
      <sheetName val="Report"/>
      <sheetName val="DSLP"/>
      <sheetName val="Timesheet"/>
      <sheetName val="Codes"/>
      <sheetName val="AT-3"/>
      <sheetName val="Anex-1 Con Load"/>
      <sheetName val="wordsdata"/>
      <sheetName val="SBI(Siliguri)"/>
      <sheetName val="Break up Sheet"/>
      <sheetName val="Conductor Size"/>
      <sheetName val="SCF"/>
      <sheetName val="FORM7"/>
      <sheetName val="Construction"/>
      <sheetName val="Generic Format"/>
      <sheetName val="FDn Wet"/>
      <sheetName val="Tower Erection"/>
      <sheetName val="Load_Details(B1)4"/>
      <sheetName val="B1_(0)4"/>
      <sheetName val="Load_Details_B1_4"/>
      <sheetName val="220_11__BS_4"/>
      <sheetName val="Load_Details(B1)3"/>
      <sheetName val="B1_(0)3"/>
      <sheetName val="Load_Details_B1_3"/>
      <sheetName val="220_11__BS_3"/>
      <sheetName val="Load_Details(B1)2"/>
      <sheetName val="B1_(0)2"/>
      <sheetName val="Load_Details_B1_2"/>
      <sheetName val="220_11__BS_2"/>
      <sheetName val="Load_Details(B1)1"/>
      <sheetName val="B1_(0)1"/>
      <sheetName val="Load_Details_B1_1"/>
      <sheetName val="220_11__BS_1"/>
      <sheetName val="2B for Sub_Station_F_I_"/>
      <sheetName val="sag-ten"/>
      <sheetName val="PROG_DATA"/>
      <sheetName val="Basis"/>
      <sheetName val="DESIGN BASIS "/>
      <sheetName val="final abstract"/>
      <sheetName val="Load_Details(B1)5"/>
      <sheetName val="B1_(0)5"/>
      <sheetName val="Load_Details_B1_5"/>
      <sheetName val="220_11__BS_5"/>
      <sheetName val="Cover_sheet"/>
      <sheetName val="DESIGN_BASIS_"/>
      <sheetName val="final_abstract"/>
      <sheetName val="Anex-1_Con_Load"/>
      <sheetName val="Break_up_Sheet"/>
      <sheetName val="Conductor_Size"/>
      <sheetName val="Generic_Format"/>
      <sheetName val="REL"/>
      <sheetName val="1994"/>
      <sheetName val="1995"/>
      <sheetName val="1993"/>
      <sheetName val="BHANDUP"/>
      <sheetName val="Civil Boq"/>
      <sheetName val="Cover_sheet1"/>
      <sheetName val="Calc"/>
      <sheetName val="Parameters"/>
      <sheetName val="P B B"/>
      <sheetName val="KG-PG"/>
      <sheetName val="floor slab-RS2"/>
      <sheetName val="sheet2 (Layout)"/>
      <sheetName val="FLOOR beam design"/>
      <sheetName val="costing_CV"/>
      <sheetName val="parts-V2"/>
      <sheetName val="1"/>
      <sheetName val="BURDEN"/>
      <sheetName val="1999-2000 MONTHLY CASHFLOW"/>
      <sheetName val="CW-table-Beam"/>
      <sheetName val="Parameter"/>
      <sheetName val="water prop."/>
      <sheetName val="PRECAST lightconc-II"/>
      <sheetName val="RateAnalysis"/>
      <sheetName val="nxR8i"/>
      <sheetName val="trafo-size"/>
      <sheetName val="00001-00200"/>
      <sheetName val="purpose&amp;input"/>
      <sheetName val="SUMMERY"/>
      <sheetName val="C-5"/>
      <sheetName val="Inputs"/>
      <sheetName val="Hardware"/>
      <sheetName val="DETAILED  BOQ"/>
      <sheetName val="表二甲机务F型"/>
      <sheetName val="fco"/>
      <sheetName val="FT-05-02IsoBOM"/>
      <sheetName val="DATA"/>
      <sheetName val="TPL"/>
      <sheetName val="Data 1"/>
      <sheetName val="Contents and intro"/>
      <sheetName val="GBW"/>
      <sheetName val="Input"/>
      <sheetName val="SCH"/>
      <sheetName val="Excavation"/>
      <sheetName val="Tong hop"/>
      <sheetName val="Design"/>
      <sheetName val="Break Dw"/>
      <sheetName val="TblPriceDB"/>
      <sheetName val="C1C2"/>
      <sheetName val="LIFE &amp; REP PROVN"/>
      <sheetName val="O&amp;M CREW"/>
      <sheetName val="CUMMMEAS"/>
      <sheetName val="CFL-KIM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Sheet"/>
      <sheetName val="TA-421"/>
      <sheetName val="SuPPLY "/>
      <sheetName val="visual Chart  "/>
    </sheetNames>
    <sheetDataSet>
      <sheetData sheetId="0" refreshError="1">
        <row r="15">
          <cell r="B15" t="str">
            <v>Activity</v>
          </cell>
          <cell r="K15" t="str">
            <v>Progress For Month</v>
          </cell>
          <cell r="L15" t="str">
            <v>Approved till Current Month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E@rthwire" TargetMode="External"/><Relationship Id="rId1" Type="http://schemas.openxmlformats.org/officeDocument/2006/relationships/hyperlink" Target="mailto:F!n@L%20sA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06B0-98B4-4A1B-901C-A93E98FA8C87}">
  <dimension ref="A1:K13"/>
  <sheetViews>
    <sheetView workbookViewId="0">
      <selection activeCell="A19" sqref="A14:XFD19"/>
    </sheetView>
  </sheetViews>
  <sheetFormatPr defaultRowHeight="12.75" x14ac:dyDescent="0.2"/>
  <cols>
    <col min="1" max="1" width="17.85546875" style="225" customWidth="1"/>
    <col min="2" max="2" width="48.42578125" style="225" customWidth="1"/>
    <col min="3" max="3" width="23.85546875" style="225" customWidth="1"/>
    <col min="4" max="4" width="15.5703125" style="225" customWidth="1"/>
    <col min="5" max="5" width="14.140625" style="225" customWidth="1"/>
    <col min="6" max="6" width="16.5703125" style="225" customWidth="1"/>
    <col min="7" max="7" width="20.140625" style="225" customWidth="1"/>
    <col min="8" max="8" width="16.85546875" style="225" customWidth="1"/>
    <col min="9" max="9" width="15.7109375" style="225" customWidth="1"/>
    <col min="10" max="11" width="19.28515625" style="225" customWidth="1"/>
    <col min="12" max="16384" width="9.140625" style="225"/>
  </cols>
  <sheetData>
    <row r="1" spans="1:11" ht="30.75" customHeight="1" x14ac:dyDescent="0.2">
      <c r="A1" s="651" t="s">
        <v>518</v>
      </c>
      <c r="B1" s="651" t="s">
        <v>110</v>
      </c>
      <c r="C1" s="651" t="s">
        <v>106</v>
      </c>
      <c r="D1" s="651" t="s">
        <v>108</v>
      </c>
      <c r="E1" s="651" t="s">
        <v>104</v>
      </c>
      <c r="F1" s="651" t="s">
        <v>526</v>
      </c>
      <c r="G1" s="651" t="s">
        <v>522</v>
      </c>
      <c r="H1" s="651" t="s">
        <v>524</v>
      </c>
      <c r="I1" s="651" t="s">
        <v>528</v>
      </c>
      <c r="J1" s="651" t="s">
        <v>922</v>
      </c>
      <c r="K1" s="651" t="s">
        <v>931</v>
      </c>
    </row>
    <row r="2" spans="1:11" ht="12.75" customHeight="1" x14ac:dyDescent="0.2">
      <c r="A2" s="676" t="s">
        <v>923</v>
      </c>
      <c r="B2" s="643" t="s">
        <v>925</v>
      </c>
      <c r="C2" s="643" t="s">
        <v>952</v>
      </c>
      <c r="D2" s="678">
        <v>45337</v>
      </c>
      <c r="E2" s="678">
        <v>45975</v>
      </c>
      <c r="F2" s="678" t="s">
        <v>926</v>
      </c>
      <c r="G2" s="678" t="s">
        <v>928</v>
      </c>
      <c r="H2" s="631" t="s">
        <v>927</v>
      </c>
      <c r="I2" s="631" t="s">
        <v>529</v>
      </c>
      <c r="J2" s="631" t="s">
        <v>929</v>
      </c>
      <c r="K2" s="644" t="s">
        <v>932</v>
      </c>
    </row>
    <row r="3" spans="1:11" x14ac:dyDescent="0.2">
      <c r="A3" s="677"/>
      <c r="B3" s="643" t="s">
        <v>924</v>
      </c>
      <c r="C3" s="643" t="s">
        <v>953</v>
      </c>
      <c r="D3" s="679"/>
      <c r="E3" s="679"/>
      <c r="F3" s="679"/>
      <c r="G3" s="679"/>
      <c r="H3" s="643"/>
      <c r="I3" s="643"/>
      <c r="J3" s="643" t="s">
        <v>930</v>
      </c>
      <c r="K3" s="646" t="s">
        <v>933</v>
      </c>
    </row>
    <row r="4" spans="1:11" x14ac:dyDescent="0.2">
      <c r="A4" s="645"/>
      <c r="B4" s="643"/>
      <c r="C4" s="643"/>
      <c r="D4" s="643"/>
      <c r="E4" s="643"/>
      <c r="F4" s="643"/>
      <c r="G4" s="643"/>
      <c r="H4" s="643"/>
      <c r="I4" s="643"/>
      <c r="J4" s="643"/>
      <c r="K4" s="646" t="s">
        <v>934</v>
      </c>
    </row>
    <row r="5" spans="1:11" x14ac:dyDescent="0.2">
      <c r="A5" s="645"/>
      <c r="B5" s="643"/>
      <c r="C5" s="643"/>
      <c r="D5" s="643"/>
      <c r="E5" s="643"/>
      <c r="F5" s="643"/>
      <c r="G5" s="643"/>
      <c r="H5" s="643"/>
      <c r="I5" s="643"/>
      <c r="J5" s="643"/>
      <c r="K5" s="646" t="s">
        <v>935</v>
      </c>
    </row>
    <row r="6" spans="1:11" x14ac:dyDescent="0.2">
      <c r="A6" s="645"/>
      <c r="B6" s="643"/>
      <c r="C6" s="643"/>
      <c r="D6" s="643"/>
      <c r="E6" s="643"/>
      <c r="F6" s="643"/>
      <c r="G6" s="643"/>
      <c r="H6" s="643"/>
      <c r="I6" s="643"/>
      <c r="J6" s="643"/>
      <c r="K6" s="646" t="s">
        <v>936</v>
      </c>
    </row>
    <row r="7" spans="1:11" x14ac:dyDescent="0.2">
      <c r="A7" s="645"/>
      <c r="B7" s="643"/>
      <c r="C7" s="643"/>
      <c r="D7" s="643"/>
      <c r="E7" s="643"/>
      <c r="F7" s="643"/>
      <c r="G7" s="643"/>
      <c r="H7" s="643"/>
      <c r="I7" s="643"/>
      <c r="J7" s="643"/>
      <c r="K7" s="646" t="s">
        <v>937</v>
      </c>
    </row>
    <row r="8" spans="1:11" x14ac:dyDescent="0.2">
      <c r="A8" s="645"/>
      <c r="B8" s="643"/>
      <c r="C8" s="643"/>
      <c r="D8" s="643"/>
      <c r="E8" s="643"/>
      <c r="F8" s="643"/>
      <c r="G8" s="643"/>
      <c r="H8" s="643"/>
      <c r="I8" s="643"/>
      <c r="J8" s="643"/>
      <c r="K8" s="646" t="s">
        <v>938</v>
      </c>
    </row>
    <row r="9" spans="1:11" x14ac:dyDescent="0.2">
      <c r="A9" s="645"/>
      <c r="B9" s="643"/>
      <c r="C9" s="643"/>
      <c r="D9" s="643"/>
      <c r="E9" s="643"/>
      <c r="F9" s="643"/>
      <c r="G9" s="643"/>
      <c r="H9" s="643"/>
      <c r="I9" s="643"/>
      <c r="J9" s="643"/>
      <c r="K9" s="646" t="s">
        <v>939</v>
      </c>
    </row>
    <row r="10" spans="1:11" x14ac:dyDescent="0.2">
      <c r="A10" s="645"/>
      <c r="B10" s="643"/>
      <c r="C10" s="643"/>
      <c r="D10" s="643"/>
      <c r="E10" s="643"/>
      <c r="F10" s="643"/>
      <c r="G10" s="643"/>
      <c r="H10" s="643"/>
      <c r="I10" s="643"/>
      <c r="J10" s="643"/>
      <c r="K10" s="646" t="s">
        <v>940</v>
      </c>
    </row>
    <row r="11" spans="1:11" x14ac:dyDescent="0.2">
      <c r="A11" s="645"/>
      <c r="B11" s="643"/>
      <c r="C11" s="643"/>
      <c r="D11" s="643"/>
      <c r="E11" s="643"/>
      <c r="F11" s="643"/>
      <c r="G11" s="643"/>
      <c r="H11" s="643"/>
      <c r="I11" s="643"/>
      <c r="K11" s="646" t="s">
        <v>941</v>
      </c>
    </row>
    <row r="12" spans="1:11" x14ac:dyDescent="0.2">
      <c r="A12" s="647"/>
      <c r="K12" s="646" t="s">
        <v>942</v>
      </c>
    </row>
    <row r="13" spans="1:11" x14ac:dyDescent="0.2">
      <c r="A13" s="648"/>
      <c r="B13" s="649"/>
      <c r="C13" s="649"/>
      <c r="D13" s="649"/>
      <c r="E13" s="649"/>
      <c r="F13" s="649"/>
      <c r="G13" s="649"/>
      <c r="H13" s="649"/>
      <c r="I13" s="649"/>
      <c r="J13" s="649"/>
      <c r="K13" s="650" t="s">
        <v>943</v>
      </c>
    </row>
  </sheetData>
  <mergeCells count="5">
    <mergeCell ref="A2:A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C1:S51"/>
  <sheetViews>
    <sheetView showZeros="0" tabSelected="1" zoomScale="86" zoomScaleNormal="86" workbookViewId="0">
      <selection activeCell="Q32" sqref="C2:Q32"/>
    </sheetView>
  </sheetViews>
  <sheetFormatPr defaultColWidth="9.140625" defaultRowHeight="12.75" x14ac:dyDescent="0.2"/>
  <cols>
    <col min="1" max="2" width="9.140625" style="225"/>
    <col min="3" max="3" width="24.28515625" style="263" customWidth="1"/>
    <col min="4" max="4" width="21.5703125" style="263" customWidth="1"/>
    <col min="5" max="5" width="19.140625" style="263" customWidth="1"/>
    <col min="6" max="6" width="20" style="263" customWidth="1"/>
    <col min="7" max="7" width="16" style="263" customWidth="1"/>
    <col min="8" max="8" width="19.28515625" style="263" customWidth="1"/>
    <col min="9" max="9" width="19.140625" style="263" customWidth="1"/>
    <col min="10" max="10" width="19.7109375" style="263" customWidth="1"/>
    <col min="11" max="11" width="22.42578125" style="263" customWidth="1"/>
    <col min="12" max="12" width="12.7109375" style="263" customWidth="1"/>
    <col min="13" max="13" width="14.5703125" style="263" customWidth="1"/>
    <col min="14" max="14" width="35.28515625" style="263" customWidth="1"/>
    <col min="15" max="15" width="10.7109375" style="263" customWidth="1"/>
    <col min="16" max="16" width="9.140625" style="263"/>
    <col min="17" max="17" width="83.140625" style="263" customWidth="1"/>
    <col min="18" max="18" width="27.42578125" style="225" customWidth="1"/>
    <col min="19" max="16384" width="9.140625" style="225"/>
  </cols>
  <sheetData>
    <row r="1" spans="3:19" ht="30.75" customHeight="1" x14ac:dyDescent="0.2"/>
    <row r="2" spans="3:19" ht="35.25" customHeight="1" x14ac:dyDescent="0.2">
      <c r="C2" s="876"/>
      <c r="D2" s="641" t="s">
        <v>518</v>
      </c>
      <c r="E2" s="879" t="s">
        <v>519</v>
      </c>
      <c r="F2" s="880"/>
      <c r="G2" s="881"/>
      <c r="H2" s="641" t="s">
        <v>111</v>
      </c>
      <c r="I2" s="477">
        <f ca="1">TODAY()</f>
        <v>45971</v>
      </c>
      <c r="J2" s="641" t="s">
        <v>520</v>
      </c>
      <c r="K2" s="479" t="s">
        <v>521</v>
      </c>
      <c r="L2" s="4"/>
      <c r="N2" s="4"/>
      <c r="O2" s="4"/>
      <c r="P2" s="4"/>
      <c r="Q2" s="4"/>
    </row>
    <row r="3" spans="3:19" ht="30" customHeight="1" x14ac:dyDescent="0.2">
      <c r="C3" s="877"/>
      <c r="D3" s="641" t="s">
        <v>110</v>
      </c>
      <c r="E3" s="690" t="s">
        <v>109</v>
      </c>
      <c r="F3" s="691"/>
      <c r="G3" s="692"/>
      <c r="H3" s="641" t="s">
        <v>108</v>
      </c>
      <c r="I3" s="478" t="s">
        <v>107</v>
      </c>
      <c r="J3" s="641" t="s">
        <v>522</v>
      </c>
      <c r="K3" s="479" t="s">
        <v>523</v>
      </c>
      <c r="L3" s="4"/>
      <c r="N3" s="4"/>
      <c r="O3" s="4"/>
      <c r="P3" s="4"/>
      <c r="Q3" s="4"/>
    </row>
    <row r="4" spans="3:19" ht="30" customHeight="1" x14ac:dyDescent="0.2">
      <c r="C4" s="877"/>
      <c r="D4" s="641" t="s">
        <v>106</v>
      </c>
      <c r="E4" s="690" t="s">
        <v>105</v>
      </c>
      <c r="F4" s="691"/>
      <c r="G4" s="692"/>
      <c r="H4" s="641" t="s">
        <v>104</v>
      </c>
      <c r="I4" s="478" t="s">
        <v>102</v>
      </c>
      <c r="J4" s="641" t="s">
        <v>524</v>
      </c>
      <c r="K4" s="479" t="s">
        <v>525</v>
      </c>
      <c r="L4" s="4"/>
      <c r="N4" s="4"/>
      <c r="O4" s="4"/>
      <c r="P4" s="4"/>
      <c r="Q4" s="4"/>
    </row>
    <row r="5" spans="3:19" ht="36" customHeight="1" x14ac:dyDescent="0.2">
      <c r="C5" s="878"/>
      <c r="D5" s="641" t="s">
        <v>103</v>
      </c>
      <c r="E5" s="690" t="s">
        <v>102</v>
      </c>
      <c r="F5" s="691"/>
      <c r="G5" s="692"/>
      <c r="H5" s="641" t="s">
        <v>526</v>
      </c>
      <c r="I5" s="478" t="s">
        <v>527</v>
      </c>
      <c r="J5" s="641" t="s">
        <v>528</v>
      </c>
      <c r="K5" s="479" t="s">
        <v>529</v>
      </c>
      <c r="M5" s="263">
        <v>0</v>
      </c>
      <c r="Q5" s="5"/>
      <c r="R5" s="480"/>
    </row>
    <row r="6" spans="3:19" ht="15.75" hidden="1" customHeight="1" thickBot="1" x14ac:dyDescent="0.25">
      <c r="C6" s="688" t="s">
        <v>101</v>
      </c>
      <c r="D6" s="689"/>
      <c r="E6" s="689"/>
      <c r="F6" s="689"/>
      <c r="G6" s="689"/>
      <c r="H6" s="689"/>
      <c r="I6" s="689"/>
      <c r="J6" s="689"/>
      <c r="K6" s="689"/>
      <c r="L6" s="689"/>
      <c r="M6" s="689"/>
      <c r="N6" s="689"/>
      <c r="Q6" s="5"/>
      <c r="R6" s="480"/>
    </row>
    <row r="7" spans="3:19" ht="39" hidden="1" customHeight="1" thickBot="1" x14ac:dyDescent="0.25">
      <c r="C7" s="6" t="s">
        <v>0</v>
      </c>
      <c r="D7" s="7" t="s">
        <v>1</v>
      </c>
      <c r="E7" s="7" t="s">
        <v>2</v>
      </c>
      <c r="F7" s="7" t="s">
        <v>3</v>
      </c>
      <c r="G7" s="7" t="s">
        <v>6</v>
      </c>
      <c r="H7" s="7" t="s">
        <v>100</v>
      </c>
      <c r="I7" s="7" t="s">
        <v>99</v>
      </c>
      <c r="J7" s="7" t="s">
        <v>98</v>
      </c>
      <c r="K7" s="7" t="s">
        <v>97</v>
      </c>
      <c r="L7" s="7" t="s">
        <v>12</v>
      </c>
      <c r="M7" s="7" t="s">
        <v>96</v>
      </c>
      <c r="N7" s="8" t="s">
        <v>4</v>
      </c>
      <c r="R7" s="480"/>
      <c r="S7" s="480"/>
    </row>
    <row r="8" spans="3:19" ht="15.75" hidden="1" customHeight="1" thickBot="1" x14ac:dyDescent="0.25">
      <c r="C8" s="9" t="s">
        <v>95</v>
      </c>
      <c r="D8" s="10" t="s">
        <v>93</v>
      </c>
      <c r="E8" s="10"/>
      <c r="F8" s="11"/>
      <c r="G8" s="10"/>
      <c r="H8" s="10"/>
      <c r="I8" s="11"/>
      <c r="J8" s="10"/>
      <c r="K8" s="10"/>
      <c r="L8" s="10"/>
      <c r="M8" s="10"/>
      <c r="N8" s="686"/>
      <c r="R8" s="480"/>
      <c r="S8" s="480"/>
    </row>
    <row r="9" spans="3:19" ht="15.75" hidden="1" customHeight="1" thickBot="1" x14ac:dyDescent="0.25">
      <c r="C9" s="12" t="s">
        <v>94</v>
      </c>
      <c r="D9" s="10" t="s">
        <v>93</v>
      </c>
      <c r="E9" s="10"/>
      <c r="F9" s="11"/>
      <c r="G9" s="10"/>
      <c r="H9" s="10"/>
      <c r="I9" s="11"/>
      <c r="J9" s="10"/>
      <c r="K9" s="10"/>
      <c r="L9" s="10"/>
      <c r="M9" s="10"/>
      <c r="N9" s="687"/>
      <c r="R9" s="480"/>
      <c r="S9" s="480"/>
    </row>
    <row r="10" spans="3:19" ht="15.75" hidden="1" customHeight="1" thickBot="1" x14ac:dyDescent="0.2">
      <c r="Q10" s="5"/>
      <c r="R10" s="480"/>
    </row>
    <row r="11" spans="3:19" ht="19.5" customHeight="1" thickBot="1" x14ac:dyDescent="0.25">
      <c r="Q11" s="5"/>
      <c r="R11" s="480"/>
    </row>
    <row r="12" spans="3:19" ht="32.25" customHeight="1" x14ac:dyDescent="0.2">
      <c r="C12" s="882" t="s">
        <v>5</v>
      </c>
      <c r="D12" s="883"/>
      <c r="E12" s="883"/>
      <c r="F12" s="883"/>
      <c r="G12" s="883"/>
      <c r="H12" s="883"/>
      <c r="I12" s="883"/>
      <c r="J12" s="883"/>
      <c r="K12" s="883"/>
      <c r="L12" s="883"/>
      <c r="M12" s="883"/>
      <c r="N12" s="884"/>
      <c r="O12" s="261"/>
      <c r="P12" s="261"/>
      <c r="Q12" s="262"/>
      <c r="R12" s="480"/>
    </row>
    <row r="13" spans="3:19" ht="50.25" customHeight="1" x14ac:dyDescent="0.2">
      <c r="C13" s="632" t="s">
        <v>0</v>
      </c>
      <c r="D13" s="633" t="s">
        <v>1</v>
      </c>
      <c r="E13" s="633" t="s">
        <v>2</v>
      </c>
      <c r="F13" s="633" t="s">
        <v>3</v>
      </c>
      <c r="G13" s="633" t="s">
        <v>6</v>
      </c>
      <c r="H13" s="633" t="s">
        <v>7</v>
      </c>
      <c r="I13" s="633" t="s">
        <v>8</v>
      </c>
      <c r="J13" s="633" t="s">
        <v>9</v>
      </c>
      <c r="K13" s="633" t="s">
        <v>10</v>
      </c>
      <c r="L13" s="633" t="s">
        <v>11</v>
      </c>
      <c r="M13" s="633" t="s">
        <v>139</v>
      </c>
      <c r="N13" s="633" t="s">
        <v>4</v>
      </c>
      <c r="Q13" s="264"/>
      <c r="R13" s="480"/>
    </row>
    <row r="14" spans="3:19" ht="43.5" customHeight="1" x14ac:dyDescent="0.2">
      <c r="C14" s="269" t="s">
        <v>13</v>
      </c>
      <c r="D14" s="267" t="s">
        <v>92</v>
      </c>
      <c r="E14" s="265">
        <v>121.342</v>
      </c>
      <c r="F14" s="265">
        <v>121.342</v>
      </c>
      <c r="G14" s="636">
        <v>121.342</v>
      </c>
      <c r="H14" s="636">
        <v>121.342</v>
      </c>
      <c r="I14" s="265"/>
      <c r="J14" s="265"/>
      <c r="K14" s="266"/>
      <c r="L14" s="449"/>
      <c r="M14" s="637">
        <f>G14</f>
        <v>121.342</v>
      </c>
      <c r="N14" s="267"/>
      <c r="Q14" s="268"/>
    </row>
    <row r="15" spans="3:19" ht="28.5" customHeight="1" x14ac:dyDescent="0.2">
      <c r="C15" s="269" t="s">
        <v>15</v>
      </c>
      <c r="D15" s="267" t="s">
        <v>92</v>
      </c>
      <c r="E15" s="265">
        <v>121.342</v>
      </c>
      <c r="F15" s="265">
        <v>121.342</v>
      </c>
      <c r="G15" s="636">
        <v>121.342</v>
      </c>
      <c r="H15" s="636">
        <v>121.342</v>
      </c>
      <c r="I15" s="265"/>
      <c r="J15" s="265"/>
      <c r="K15" s="266"/>
      <c r="L15" s="449"/>
      <c r="M15" s="637">
        <v>121.342</v>
      </c>
      <c r="N15" s="448"/>
      <c r="Q15" s="268"/>
    </row>
    <row r="16" spans="3:19" ht="13.5" thickBot="1" x14ac:dyDescent="0.25">
      <c r="C16" s="345"/>
      <c r="N16" s="268"/>
      <c r="Q16" s="268"/>
      <c r="R16" s="481"/>
    </row>
    <row r="17" spans="3:18" ht="33.75" customHeight="1" thickBot="1" x14ac:dyDescent="0.25">
      <c r="C17" s="873" t="s">
        <v>91</v>
      </c>
      <c r="D17" s="874"/>
      <c r="E17" s="874"/>
      <c r="F17" s="874"/>
      <c r="G17" s="874"/>
      <c r="H17" s="874"/>
      <c r="I17" s="874"/>
      <c r="J17" s="874"/>
      <c r="K17" s="874"/>
      <c r="L17" s="874"/>
      <c r="M17" s="874"/>
      <c r="N17" s="874"/>
      <c r="O17" s="874"/>
      <c r="P17" s="874"/>
      <c r="Q17" s="875"/>
      <c r="R17" s="481"/>
    </row>
    <row r="18" spans="3:18" ht="43.5" customHeight="1" x14ac:dyDescent="0.2">
      <c r="C18" s="634" t="s">
        <v>0</v>
      </c>
      <c r="D18" s="635" t="s">
        <v>90</v>
      </c>
      <c r="E18" s="635" t="s">
        <v>89</v>
      </c>
      <c r="F18" s="635" t="s">
        <v>88</v>
      </c>
      <c r="G18" s="635" t="s">
        <v>87</v>
      </c>
      <c r="H18" s="635" t="s">
        <v>86</v>
      </c>
      <c r="I18" s="635" t="s">
        <v>85</v>
      </c>
      <c r="J18" s="635" t="s">
        <v>84</v>
      </c>
      <c r="K18" s="635" t="s">
        <v>83</v>
      </c>
      <c r="L18" s="635" t="s">
        <v>82</v>
      </c>
      <c r="M18" s="635" t="s">
        <v>81</v>
      </c>
      <c r="N18" s="635" t="s">
        <v>80</v>
      </c>
      <c r="O18" s="635" t="s">
        <v>79</v>
      </c>
      <c r="P18" s="871" t="s">
        <v>4</v>
      </c>
      <c r="Q18" s="872"/>
      <c r="R18" s="481"/>
    </row>
    <row r="19" spans="3:18" s="337" customFormat="1" ht="38.25" customHeight="1" x14ac:dyDescent="0.25">
      <c r="C19" s="539" t="s">
        <v>16</v>
      </c>
      <c r="D19" s="267">
        <v>309</v>
      </c>
      <c r="E19" s="270">
        <v>309</v>
      </c>
      <c r="F19" s="270">
        <v>307</v>
      </c>
      <c r="G19" s="267"/>
      <c r="H19" s="267">
        <v>2</v>
      </c>
      <c r="I19" s="636"/>
      <c r="J19" s="636"/>
      <c r="K19" s="267">
        <v>309</v>
      </c>
      <c r="L19" s="636">
        <f>F19+J19</f>
        <v>307</v>
      </c>
      <c r="M19" s="267">
        <f t="shared" ref="M19:M21" si="0">D19-L19</f>
        <v>2</v>
      </c>
      <c r="N19" s="267"/>
      <c r="O19" s="267">
        <v>1</v>
      </c>
      <c r="P19" s="684" t="s">
        <v>967</v>
      </c>
      <c r="Q19" s="685"/>
      <c r="R19" s="481"/>
    </row>
    <row r="20" spans="3:18" s="642" customFormat="1" ht="38.25" customHeight="1" x14ac:dyDescent="0.25">
      <c r="C20" s="611" t="s">
        <v>67</v>
      </c>
      <c r="D20" s="267">
        <v>309</v>
      </c>
      <c r="E20" s="270">
        <v>309</v>
      </c>
      <c r="F20" s="271">
        <v>289</v>
      </c>
      <c r="G20" s="273"/>
      <c r="H20" s="273">
        <v>20</v>
      </c>
      <c r="I20" s="636"/>
      <c r="J20" s="636">
        <v>1</v>
      </c>
      <c r="K20" s="267">
        <v>309</v>
      </c>
      <c r="L20" s="640">
        <f>J20+F20</f>
        <v>290</v>
      </c>
      <c r="M20" s="267">
        <f t="shared" si="0"/>
        <v>19</v>
      </c>
      <c r="N20" s="267"/>
      <c r="O20" s="267"/>
      <c r="P20" s="680"/>
      <c r="Q20" s="681"/>
    </row>
    <row r="21" spans="3:18" s="337" customFormat="1" ht="33.75" customHeight="1" x14ac:dyDescent="0.25">
      <c r="C21" s="539" t="s">
        <v>78</v>
      </c>
      <c r="D21" s="267">
        <v>309</v>
      </c>
      <c r="E21" s="270">
        <v>309</v>
      </c>
      <c r="F21" s="267">
        <v>256</v>
      </c>
      <c r="G21" s="267"/>
      <c r="H21" s="267">
        <v>30</v>
      </c>
      <c r="I21" s="636">
        <v>1</v>
      </c>
      <c r="J21" s="636">
        <v>5</v>
      </c>
      <c r="K21" s="267">
        <v>309</v>
      </c>
      <c r="L21" s="636">
        <f>F21+J21</f>
        <v>261</v>
      </c>
      <c r="M21" s="267">
        <f t="shared" si="0"/>
        <v>48</v>
      </c>
      <c r="N21" s="267">
        <v>5</v>
      </c>
      <c r="O21" s="267">
        <v>5</v>
      </c>
      <c r="P21" s="682" t="s">
        <v>990</v>
      </c>
      <c r="Q21" s="683"/>
    </row>
    <row r="22" spans="3:18" s="337" customFormat="1" ht="36" customHeight="1" x14ac:dyDescent="0.25">
      <c r="C22" s="269" t="s">
        <v>771</v>
      </c>
      <c r="D22" s="267">
        <v>309</v>
      </c>
      <c r="E22" s="270"/>
      <c r="F22" s="670">
        <v>124</v>
      </c>
      <c r="G22" s="267"/>
      <c r="H22" s="267"/>
      <c r="I22" s="636"/>
      <c r="J22" s="636"/>
      <c r="K22" s="267"/>
      <c r="L22" s="640">
        <v>124</v>
      </c>
      <c r="M22" s="267">
        <f>309-L22</f>
        <v>185</v>
      </c>
      <c r="N22" s="267"/>
      <c r="O22" s="267"/>
      <c r="P22" s="693"/>
      <c r="Q22" s="694"/>
    </row>
    <row r="23" spans="3:18" s="337" customFormat="1" ht="33.75" customHeight="1" x14ac:dyDescent="0.25">
      <c r="C23" s="269" t="s">
        <v>772</v>
      </c>
      <c r="D23" s="267">
        <v>309</v>
      </c>
      <c r="E23" s="270"/>
      <c r="F23" s="272">
        <v>129</v>
      </c>
      <c r="G23" s="267"/>
      <c r="H23" s="267"/>
      <c r="I23" s="636"/>
      <c r="J23" s="636"/>
      <c r="K23" s="267"/>
      <c r="L23" s="636">
        <v>129</v>
      </c>
      <c r="M23" s="267">
        <f>309-L23</f>
        <v>180</v>
      </c>
      <c r="N23" s="267">
        <v>3</v>
      </c>
      <c r="O23" s="267">
        <v>2</v>
      </c>
      <c r="P23" s="693" t="s">
        <v>978</v>
      </c>
      <c r="Q23" s="694"/>
    </row>
    <row r="24" spans="3:18" s="337" customFormat="1" ht="38.25" customHeight="1" x14ac:dyDescent="0.25">
      <c r="C24" s="539" t="s">
        <v>77</v>
      </c>
      <c r="D24" s="265">
        <v>121.342</v>
      </c>
      <c r="E24" s="265">
        <v>121.342</v>
      </c>
      <c r="F24" s="265">
        <v>43.743000000000002</v>
      </c>
      <c r="G24" s="267"/>
      <c r="H24" s="274">
        <v>19.285</v>
      </c>
      <c r="I24" s="636"/>
      <c r="J24" s="637"/>
      <c r="K24" s="267">
        <v>121.342</v>
      </c>
      <c r="L24" s="637">
        <f>F24+J24</f>
        <v>43.743000000000002</v>
      </c>
      <c r="M24" s="265">
        <f t="shared" ref="M24:M28" si="1">D24-L24</f>
        <v>77.59899999999999</v>
      </c>
      <c r="N24" s="601">
        <f>1.539+4.9</f>
        <v>6.4390000000000001</v>
      </c>
      <c r="O24" s="267">
        <v>2</v>
      </c>
      <c r="P24" s="684" t="s">
        <v>991</v>
      </c>
      <c r="Q24" s="685"/>
    </row>
    <row r="25" spans="3:18" s="337" customFormat="1" ht="32.25" customHeight="1" x14ac:dyDescent="0.25">
      <c r="C25" s="539" t="s">
        <v>76</v>
      </c>
      <c r="D25" s="265">
        <v>121.342</v>
      </c>
      <c r="E25" s="265">
        <v>121.342</v>
      </c>
      <c r="F25" s="265">
        <v>43.743000000000002</v>
      </c>
      <c r="G25" s="267"/>
      <c r="H25" s="274">
        <v>19.285</v>
      </c>
      <c r="I25" s="636"/>
      <c r="J25" s="637"/>
      <c r="K25" s="267">
        <v>121.342</v>
      </c>
      <c r="L25" s="636">
        <f>F25+J25</f>
        <v>43.743000000000002</v>
      </c>
      <c r="M25" s="267">
        <f t="shared" si="1"/>
        <v>77.59899999999999</v>
      </c>
      <c r="N25" s="272"/>
      <c r="O25" s="267"/>
      <c r="P25" s="699"/>
      <c r="Q25" s="700"/>
    </row>
    <row r="26" spans="3:18" s="337" customFormat="1" ht="30" customHeight="1" x14ac:dyDescent="0.25">
      <c r="C26" s="539" t="s">
        <v>75</v>
      </c>
      <c r="D26" s="265">
        <v>121.342</v>
      </c>
      <c r="E26" s="265">
        <v>121.342</v>
      </c>
      <c r="F26" s="265">
        <v>34.281999999999996</v>
      </c>
      <c r="G26" s="267"/>
      <c r="H26" s="274"/>
      <c r="I26" s="637"/>
      <c r="J26" s="637"/>
      <c r="K26" s="273">
        <v>121.342</v>
      </c>
      <c r="L26" s="636">
        <f>F26+J26</f>
        <v>34.281999999999996</v>
      </c>
      <c r="M26" s="267">
        <f t="shared" si="1"/>
        <v>87.06</v>
      </c>
      <c r="N26" s="265"/>
      <c r="O26" s="267"/>
      <c r="P26" s="682"/>
      <c r="Q26" s="683"/>
    </row>
    <row r="27" spans="3:18" s="337" customFormat="1" ht="36.75" customHeight="1" x14ac:dyDescent="0.25">
      <c r="C27" s="612" t="s">
        <v>667</v>
      </c>
      <c r="D27" s="613">
        <v>3</v>
      </c>
      <c r="E27" s="613"/>
      <c r="F27" s="613">
        <v>3</v>
      </c>
      <c r="G27" s="613"/>
      <c r="H27" s="613"/>
      <c r="I27" s="657"/>
      <c r="J27" s="636"/>
      <c r="K27" s="613"/>
      <c r="L27" s="636">
        <v>3</v>
      </c>
      <c r="M27" s="613"/>
      <c r="N27" s="613"/>
      <c r="O27" s="613"/>
      <c r="P27" s="699"/>
      <c r="Q27" s="700"/>
    </row>
    <row r="28" spans="3:18" s="337" customFormat="1" ht="28.5" customHeight="1" thickBot="1" x14ac:dyDescent="0.3">
      <c r="C28" s="614" t="s">
        <v>74</v>
      </c>
      <c r="D28" s="541">
        <v>5</v>
      </c>
      <c r="E28" s="541"/>
      <c r="F28" s="542">
        <v>5</v>
      </c>
      <c r="G28" s="541"/>
      <c r="H28" s="541"/>
      <c r="I28" s="658"/>
      <c r="J28" s="636"/>
      <c r="K28" s="543"/>
      <c r="L28" s="656">
        <v>5</v>
      </c>
      <c r="M28" s="542"/>
      <c r="N28" s="544"/>
      <c r="O28" s="541"/>
      <c r="P28" s="697"/>
      <c r="Q28" s="698"/>
    </row>
    <row r="29" spans="3:18" ht="25.5" customHeight="1" thickBot="1" x14ac:dyDescent="0.25">
      <c r="C29" s="885" t="s">
        <v>741</v>
      </c>
      <c r="D29" s="886"/>
      <c r="E29" s="886"/>
      <c r="F29" s="886"/>
      <c r="G29" s="886"/>
      <c r="H29" s="886"/>
      <c r="I29" s="886"/>
      <c r="J29" s="886"/>
      <c r="K29" s="886"/>
      <c r="L29" s="886"/>
      <c r="M29" s="886"/>
      <c r="N29" s="887"/>
      <c r="P29" s="888"/>
      <c r="Q29" s="888"/>
    </row>
    <row r="30" spans="3:18" ht="38.25" customHeight="1" x14ac:dyDescent="0.2">
      <c r="C30" s="671" t="s">
        <v>0</v>
      </c>
      <c r="D30" s="672" t="s">
        <v>1</v>
      </c>
      <c r="E30" s="672" t="s">
        <v>2</v>
      </c>
      <c r="F30" s="672" t="s">
        <v>3</v>
      </c>
      <c r="G30" s="672" t="s">
        <v>141</v>
      </c>
      <c r="H30" s="672" t="s">
        <v>100</v>
      </c>
      <c r="I30" s="672" t="s">
        <v>99</v>
      </c>
      <c r="J30" s="672" t="s">
        <v>98</v>
      </c>
      <c r="K30" s="672" t="s">
        <v>97</v>
      </c>
      <c r="L30" s="672" t="s">
        <v>140</v>
      </c>
      <c r="M30" s="672" t="s">
        <v>96</v>
      </c>
      <c r="N30" s="673" t="s">
        <v>4</v>
      </c>
      <c r="O30" s="4"/>
      <c r="P30" s="4"/>
      <c r="Q30" s="4"/>
      <c r="R30" s="482"/>
    </row>
    <row r="31" spans="3:18" ht="45.75" customHeight="1" x14ac:dyDescent="0.2">
      <c r="C31" s="638" t="s">
        <v>95</v>
      </c>
      <c r="D31" s="277" t="s">
        <v>153</v>
      </c>
      <c r="E31" s="277">
        <v>312</v>
      </c>
      <c r="F31" s="277">
        <v>312</v>
      </c>
      <c r="G31" s="277">
        <v>312</v>
      </c>
      <c r="H31" s="277"/>
      <c r="I31" s="278"/>
      <c r="J31" s="278"/>
      <c r="K31" s="277"/>
      <c r="L31" s="278">
        <f>G31+K31</f>
        <v>312</v>
      </c>
      <c r="M31" s="278">
        <f>F31-L31</f>
        <v>0</v>
      </c>
      <c r="N31" s="483"/>
    </row>
    <row r="32" spans="3:18" ht="36" customHeight="1" thickBot="1" x14ac:dyDescent="0.25">
      <c r="C32" s="639" t="s">
        <v>94</v>
      </c>
      <c r="D32" s="484" t="s">
        <v>93</v>
      </c>
      <c r="E32" s="484">
        <v>312</v>
      </c>
      <c r="F32" s="484">
        <v>312</v>
      </c>
      <c r="G32" s="484">
        <v>311</v>
      </c>
      <c r="H32" s="484"/>
      <c r="I32" s="485"/>
      <c r="J32" s="485">
        <v>1</v>
      </c>
      <c r="K32" s="484">
        <v>1</v>
      </c>
      <c r="L32" s="485">
        <f>G32+K32</f>
        <v>312</v>
      </c>
      <c r="M32" s="485">
        <f>312-L32</f>
        <v>0</v>
      </c>
      <c r="N32" s="486"/>
    </row>
    <row r="33" spans="3:17" ht="36.75" customHeight="1" x14ac:dyDescent="0.2">
      <c r="C33" s="695"/>
      <c r="D33" s="696"/>
      <c r="E33" s="696"/>
      <c r="F33" s="696"/>
      <c r="G33" s="696"/>
      <c r="H33" s="696"/>
      <c r="I33" s="696"/>
      <c r="J33" s="696"/>
      <c r="K33" s="696"/>
    </row>
    <row r="34" spans="3:17" ht="36.75" customHeight="1" x14ac:dyDescent="0.2">
      <c r="C34" s="696"/>
      <c r="D34" s="696"/>
      <c r="E34" s="696"/>
      <c r="F34" s="696"/>
      <c r="G34" s="696"/>
      <c r="H34" s="696"/>
      <c r="I34" s="696"/>
      <c r="J34" s="696"/>
      <c r="K34" s="696"/>
    </row>
    <row r="35" spans="3:17" ht="36.75" customHeight="1" x14ac:dyDescent="0.2"/>
    <row r="36" spans="3:17" ht="36.75" customHeight="1" x14ac:dyDescent="0.2">
      <c r="L36" s="190"/>
      <c r="Q36" s="191"/>
    </row>
    <row r="51" spans="17:17" x14ac:dyDescent="0.2">
      <c r="Q51" s="263" t="s">
        <v>536</v>
      </c>
    </row>
  </sheetData>
  <mergeCells count="24">
    <mergeCell ref="P22:Q22"/>
    <mergeCell ref="C33:K33"/>
    <mergeCell ref="C34:K34"/>
    <mergeCell ref="P26:Q26"/>
    <mergeCell ref="P28:Q28"/>
    <mergeCell ref="P29:Q29"/>
    <mergeCell ref="C29:N29"/>
    <mergeCell ref="P27:Q27"/>
    <mergeCell ref="P23:Q23"/>
    <mergeCell ref="P25:Q25"/>
    <mergeCell ref="P24:Q24"/>
    <mergeCell ref="C12:N12"/>
    <mergeCell ref="E2:G2"/>
    <mergeCell ref="E3:G3"/>
    <mergeCell ref="E4:G4"/>
    <mergeCell ref="N8:N9"/>
    <mergeCell ref="C6:N6"/>
    <mergeCell ref="C2:C5"/>
    <mergeCell ref="E5:G5"/>
    <mergeCell ref="C17:Q17"/>
    <mergeCell ref="P20:Q20"/>
    <mergeCell ref="P21:Q21"/>
    <mergeCell ref="P18:Q18"/>
    <mergeCell ref="P19:Q19"/>
  </mergeCells>
  <pageMargins left="0.27559055118110237" right="0.31496062992125984" top="0.35433070866141736" bottom="0.39370078740157483" header="0.31496062992125984" footer="0.31496062992125984"/>
  <pageSetup paperSize="9" scale="45" orientation="landscape" r:id="rId1"/>
  <colBreaks count="1" manualBreakCount="1">
    <brk id="17" min="1" max="2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Q913"/>
  <sheetViews>
    <sheetView showZeros="0" topLeftCell="A558" zoomScale="86" zoomScaleNormal="86" workbookViewId="0">
      <selection activeCell="E602" sqref="E602"/>
    </sheetView>
  </sheetViews>
  <sheetFormatPr defaultColWidth="9.140625" defaultRowHeight="12.75" x14ac:dyDescent="0.2"/>
  <cols>
    <col min="1" max="1" width="9.140625" style="225"/>
    <col min="2" max="2" width="16.5703125" style="221" customWidth="1"/>
    <col min="3" max="3" width="14.85546875" style="224" customWidth="1"/>
    <col min="4" max="4" width="17" style="224" bestFit="1" customWidth="1"/>
    <col min="5" max="5" width="19" style="224" customWidth="1"/>
    <col min="6" max="6" width="15.140625" style="224" customWidth="1"/>
    <col min="7" max="7" width="13.7109375" style="224" customWidth="1"/>
    <col min="8" max="8" width="24" style="224" customWidth="1"/>
    <col min="9" max="9" width="14" style="224" customWidth="1"/>
    <col min="10" max="10" width="15" style="224" customWidth="1"/>
    <col min="11" max="11" width="37" style="224" customWidth="1"/>
    <col min="12" max="12" width="30.85546875" style="224" customWidth="1"/>
    <col min="13" max="13" width="36.28515625" style="224" customWidth="1"/>
    <col min="14" max="14" width="30.28515625" style="224" customWidth="1"/>
    <col min="15" max="15" width="25" style="224" customWidth="1"/>
    <col min="16" max="16" width="15" style="225" customWidth="1"/>
    <col min="17" max="17" width="20" style="225" customWidth="1"/>
    <col min="18" max="16384" width="9.140625" style="225"/>
  </cols>
  <sheetData>
    <row r="1" spans="2:16" ht="13.5" thickBot="1" x14ac:dyDescent="0.25"/>
    <row r="2" spans="2:16" ht="13.5" thickBot="1" x14ac:dyDescent="0.25">
      <c r="B2" s="739" t="s">
        <v>5</v>
      </c>
      <c r="C2" s="740"/>
      <c r="D2" s="740"/>
      <c r="E2" s="740"/>
      <c r="F2" s="740"/>
      <c r="G2" s="740"/>
      <c r="H2" s="740"/>
      <c r="I2" s="740"/>
      <c r="J2" s="740"/>
      <c r="K2" s="740"/>
      <c r="L2" s="740"/>
      <c r="M2" s="741"/>
    </row>
    <row r="3" spans="2:16" ht="65.25" customHeight="1" x14ac:dyDescent="0.2">
      <c r="B3" s="458" t="s">
        <v>0</v>
      </c>
      <c r="C3" s="459" t="s">
        <v>1</v>
      </c>
      <c r="D3" s="459" t="s">
        <v>2</v>
      </c>
      <c r="E3" s="459" t="s">
        <v>3</v>
      </c>
      <c r="F3" s="459" t="s">
        <v>6</v>
      </c>
      <c r="G3" s="459" t="s">
        <v>7</v>
      </c>
      <c r="H3" s="459" t="s">
        <v>8</v>
      </c>
      <c r="I3" s="459" t="s">
        <v>9</v>
      </c>
      <c r="J3" s="459" t="s">
        <v>10</v>
      </c>
      <c r="K3" s="459" t="str">
        <f>'[90]Master Sheet'!K15</f>
        <v>Progress For Month</v>
      </c>
      <c r="L3" s="459" t="str">
        <f>'[90]Master Sheet'!L15</f>
        <v>Approved till Current Month</v>
      </c>
      <c r="M3" s="460" t="s">
        <v>4</v>
      </c>
    </row>
    <row r="4" spans="2:16" ht="27.75" customHeight="1" x14ac:dyDescent="0.2">
      <c r="B4" s="269" t="s">
        <v>13</v>
      </c>
      <c r="C4" s="267" t="s">
        <v>92</v>
      </c>
      <c r="D4" s="265">
        <v>121.342</v>
      </c>
      <c r="E4" s="265">
        <v>121.342</v>
      </c>
      <c r="F4" s="450">
        <v>121.342</v>
      </c>
      <c r="G4" s="450">
        <v>121.342</v>
      </c>
      <c r="H4" s="265"/>
      <c r="I4" s="265"/>
      <c r="J4" s="266"/>
      <c r="K4" s="449"/>
      <c r="L4" s="451">
        <f>F4</f>
        <v>121.342</v>
      </c>
      <c r="M4" s="461"/>
      <c r="N4" s="336"/>
    </row>
    <row r="5" spans="2:16" ht="26.25" customHeight="1" thickBot="1" x14ac:dyDescent="0.25">
      <c r="B5" s="462" t="s">
        <v>15</v>
      </c>
      <c r="C5" s="275" t="s">
        <v>92</v>
      </c>
      <c r="D5" s="463">
        <v>121.342</v>
      </c>
      <c r="E5" s="463">
        <v>121.342</v>
      </c>
      <c r="F5" s="464">
        <v>121.342</v>
      </c>
      <c r="G5" s="464">
        <v>121.342</v>
      </c>
      <c r="H5" s="463"/>
      <c r="I5" s="463"/>
      <c r="J5" s="465"/>
      <c r="K5" s="466"/>
      <c r="L5" s="467">
        <v>121.342</v>
      </c>
      <c r="M5" s="468"/>
    </row>
    <row r="6" spans="2:16" ht="13.5" thickBot="1" x14ac:dyDescent="0.25">
      <c r="I6" s="457"/>
    </row>
    <row r="7" spans="2:16" ht="13.5" thickBot="1" x14ac:dyDescent="0.25">
      <c r="B7" s="742" t="s">
        <v>468</v>
      </c>
      <c r="C7" s="743"/>
      <c r="D7" s="743"/>
      <c r="E7" s="743"/>
      <c r="F7" s="743"/>
      <c r="G7" s="743"/>
      <c r="H7" s="743"/>
      <c r="I7" s="743"/>
      <c r="J7" s="743"/>
      <c r="K7" s="743"/>
      <c r="L7" s="743"/>
      <c r="M7" s="743"/>
      <c r="N7" s="743"/>
      <c r="O7" s="743"/>
      <c r="P7" s="744"/>
    </row>
    <row r="8" spans="2:16" x14ac:dyDescent="0.2">
      <c r="B8" s="452" t="s">
        <v>17</v>
      </c>
      <c r="C8" s="452" t="s">
        <v>18</v>
      </c>
      <c r="D8" s="452" t="s">
        <v>19</v>
      </c>
      <c r="E8" s="452" t="s">
        <v>20</v>
      </c>
      <c r="F8" s="452" t="s">
        <v>21</v>
      </c>
      <c r="G8" s="452" t="s">
        <v>22</v>
      </c>
      <c r="H8" s="733" t="s">
        <v>469</v>
      </c>
      <c r="I8" s="733"/>
      <c r="J8" s="733"/>
      <c r="K8" s="733"/>
      <c r="L8" s="452" t="s">
        <v>24</v>
      </c>
      <c r="M8" s="452" t="s">
        <v>25</v>
      </c>
      <c r="N8" s="452" t="s">
        <v>470</v>
      </c>
      <c r="O8" s="452" t="s">
        <v>26</v>
      </c>
      <c r="P8" s="452" t="s">
        <v>646</v>
      </c>
    </row>
    <row r="9" spans="2:16" s="224" customFormat="1" x14ac:dyDescent="0.2">
      <c r="B9" s="317">
        <f>1</f>
        <v>1</v>
      </c>
      <c r="C9" s="260" t="s">
        <v>28</v>
      </c>
      <c r="D9" s="317" t="s">
        <v>29</v>
      </c>
      <c r="E9" s="317" t="s">
        <v>30</v>
      </c>
      <c r="F9" s="257">
        <v>45415</v>
      </c>
      <c r="G9" s="514">
        <v>25.577999999999999</v>
      </c>
      <c r="H9" s="702" t="s">
        <v>31</v>
      </c>
      <c r="I9" s="702"/>
      <c r="J9" s="702"/>
      <c r="K9" s="702"/>
      <c r="L9" s="257">
        <v>45434</v>
      </c>
      <c r="M9" s="317" t="s">
        <v>32</v>
      </c>
      <c r="N9" s="323" t="s">
        <v>172</v>
      </c>
      <c r="O9" s="228">
        <v>13</v>
      </c>
      <c r="P9" s="228"/>
    </row>
    <row r="10" spans="2:16" s="337" customFormat="1" ht="13.5" customHeight="1" x14ac:dyDescent="0.25">
      <c r="B10" s="317">
        <f t="shared" ref="B10:B73" si="0">B9+1</f>
        <v>2</v>
      </c>
      <c r="C10" s="288" t="s">
        <v>33</v>
      </c>
      <c r="D10" s="317" t="s">
        <v>34</v>
      </c>
      <c r="E10" s="317" t="s">
        <v>30</v>
      </c>
      <c r="F10" s="257">
        <v>45435</v>
      </c>
      <c r="G10" s="514">
        <v>25.577999999999999</v>
      </c>
      <c r="H10" s="702" t="s">
        <v>31</v>
      </c>
      <c r="I10" s="702"/>
      <c r="J10" s="702"/>
      <c r="K10" s="702"/>
      <c r="L10" s="257">
        <v>45445</v>
      </c>
      <c r="M10" s="317" t="s">
        <v>32</v>
      </c>
      <c r="N10" s="323" t="s">
        <v>172</v>
      </c>
      <c r="O10" s="228">
        <v>13</v>
      </c>
      <c r="P10" s="228"/>
    </row>
    <row r="11" spans="2:16" s="337" customFormat="1" ht="13.5" customHeight="1" x14ac:dyDescent="0.25">
      <c r="B11" s="317">
        <f t="shared" si="0"/>
        <v>3</v>
      </c>
      <c r="C11" s="288" t="s">
        <v>35</v>
      </c>
      <c r="D11" s="317" t="s">
        <v>29</v>
      </c>
      <c r="E11" s="317" t="s">
        <v>30</v>
      </c>
      <c r="F11" s="257">
        <v>45418</v>
      </c>
      <c r="G11" s="514">
        <v>25.577999999999999</v>
      </c>
      <c r="H11" s="702" t="s">
        <v>31</v>
      </c>
      <c r="I11" s="702"/>
      <c r="J11" s="702"/>
      <c r="K11" s="702"/>
      <c r="L11" s="257">
        <v>45450</v>
      </c>
      <c r="M11" s="317" t="s">
        <v>32</v>
      </c>
      <c r="N11" s="323" t="s">
        <v>172</v>
      </c>
      <c r="O11" s="228">
        <v>13</v>
      </c>
      <c r="P11" s="228"/>
    </row>
    <row r="12" spans="2:16" ht="15" customHeight="1" x14ac:dyDescent="0.2">
      <c r="B12" s="317">
        <f t="shared" si="0"/>
        <v>4</v>
      </c>
      <c r="C12" s="260" t="s">
        <v>36</v>
      </c>
      <c r="D12" s="317" t="s">
        <v>29</v>
      </c>
      <c r="E12" s="317" t="s">
        <v>30</v>
      </c>
      <c r="F12" s="257">
        <v>45421</v>
      </c>
      <c r="G12" s="514">
        <v>25.577999999999999</v>
      </c>
      <c r="H12" s="702" t="s">
        <v>31</v>
      </c>
      <c r="I12" s="702"/>
      <c r="J12" s="702"/>
      <c r="K12" s="702"/>
      <c r="L12" s="257">
        <v>45454</v>
      </c>
      <c r="M12" s="317" t="s">
        <v>32</v>
      </c>
      <c r="N12" s="323" t="s">
        <v>172</v>
      </c>
      <c r="O12" s="228">
        <v>13</v>
      </c>
      <c r="P12" s="228"/>
    </row>
    <row r="13" spans="2:16" ht="15" customHeight="1" x14ac:dyDescent="0.2">
      <c r="B13" s="317">
        <f t="shared" si="0"/>
        <v>5</v>
      </c>
      <c r="C13" s="260" t="s">
        <v>37</v>
      </c>
      <c r="D13" s="317" t="s">
        <v>29</v>
      </c>
      <c r="E13" s="317" t="s">
        <v>30</v>
      </c>
      <c r="F13" s="257">
        <v>45437</v>
      </c>
      <c r="G13" s="514">
        <v>25.577999999999999</v>
      </c>
      <c r="H13" s="702" t="s">
        <v>31</v>
      </c>
      <c r="I13" s="702"/>
      <c r="J13" s="702"/>
      <c r="K13" s="702"/>
      <c r="L13" s="257">
        <v>45458</v>
      </c>
      <c r="M13" s="317" t="s">
        <v>32</v>
      </c>
      <c r="N13" s="323" t="s">
        <v>172</v>
      </c>
      <c r="O13" s="228">
        <v>13</v>
      </c>
      <c r="P13" s="228"/>
    </row>
    <row r="14" spans="2:16" ht="15" customHeight="1" x14ac:dyDescent="0.2">
      <c r="B14" s="317">
        <f t="shared" si="0"/>
        <v>6</v>
      </c>
      <c r="C14" s="260" t="s">
        <v>38</v>
      </c>
      <c r="D14" s="317" t="s">
        <v>29</v>
      </c>
      <c r="E14" s="317" t="s">
        <v>30</v>
      </c>
      <c r="F14" s="257">
        <v>45437</v>
      </c>
      <c r="G14" s="514">
        <v>25.577999999999999</v>
      </c>
      <c r="H14" s="702" t="s">
        <v>31</v>
      </c>
      <c r="I14" s="702"/>
      <c r="J14" s="702"/>
      <c r="K14" s="702"/>
      <c r="L14" s="257">
        <v>45462</v>
      </c>
      <c r="M14" s="317" t="s">
        <v>32</v>
      </c>
      <c r="N14" s="323" t="s">
        <v>172</v>
      </c>
      <c r="O14" s="317">
        <v>13</v>
      </c>
      <c r="P14" s="228"/>
    </row>
    <row r="15" spans="2:16" ht="15" customHeight="1" x14ac:dyDescent="0.2">
      <c r="B15" s="317">
        <f t="shared" si="0"/>
        <v>7</v>
      </c>
      <c r="C15" s="260" t="s">
        <v>39</v>
      </c>
      <c r="D15" s="317" t="s">
        <v>29</v>
      </c>
      <c r="E15" s="317" t="s">
        <v>30</v>
      </c>
      <c r="F15" s="257">
        <v>45443</v>
      </c>
      <c r="G15" s="514">
        <v>25.577999999999999</v>
      </c>
      <c r="H15" s="702" t="s">
        <v>31</v>
      </c>
      <c r="I15" s="702"/>
      <c r="J15" s="702"/>
      <c r="K15" s="702"/>
      <c r="L15" s="257">
        <v>45463</v>
      </c>
      <c r="M15" s="228" t="s">
        <v>40</v>
      </c>
      <c r="N15" s="323" t="s">
        <v>172</v>
      </c>
      <c r="O15" s="228">
        <v>14</v>
      </c>
      <c r="P15" s="317"/>
    </row>
    <row r="16" spans="2:16" s="221" customFormat="1" ht="15" customHeight="1" x14ac:dyDescent="0.2">
      <c r="B16" s="317">
        <f t="shared" si="0"/>
        <v>8</v>
      </c>
      <c r="C16" s="260" t="s">
        <v>41</v>
      </c>
      <c r="D16" s="317" t="s">
        <v>29</v>
      </c>
      <c r="E16" s="317" t="s">
        <v>30</v>
      </c>
      <c r="F16" s="257">
        <v>45456</v>
      </c>
      <c r="G16" s="514">
        <v>25.577999999999999</v>
      </c>
      <c r="H16" s="702" t="s">
        <v>31</v>
      </c>
      <c r="I16" s="702"/>
      <c r="J16" s="702"/>
      <c r="K16" s="702"/>
      <c r="L16" s="257">
        <v>45465</v>
      </c>
      <c r="M16" s="317" t="s">
        <v>32</v>
      </c>
      <c r="N16" s="323" t="s">
        <v>172</v>
      </c>
      <c r="O16" s="317">
        <v>15</v>
      </c>
      <c r="P16" s="228"/>
    </row>
    <row r="17" spans="2:16" ht="15" customHeight="1" x14ac:dyDescent="0.2">
      <c r="B17" s="317">
        <f t="shared" si="0"/>
        <v>9</v>
      </c>
      <c r="C17" s="260" t="s">
        <v>42</v>
      </c>
      <c r="D17" s="317" t="s">
        <v>43</v>
      </c>
      <c r="E17" s="317" t="s">
        <v>30</v>
      </c>
      <c r="F17" s="257">
        <v>45460</v>
      </c>
      <c r="G17" s="514">
        <v>26.872</v>
      </c>
      <c r="H17" s="702" t="s">
        <v>31</v>
      </c>
      <c r="I17" s="702"/>
      <c r="J17" s="702"/>
      <c r="K17" s="702"/>
      <c r="L17" s="257">
        <v>45468</v>
      </c>
      <c r="M17" s="228" t="s">
        <v>32</v>
      </c>
      <c r="N17" s="323" t="s">
        <v>172</v>
      </c>
      <c r="O17" s="228">
        <v>14</v>
      </c>
      <c r="P17" s="228"/>
    </row>
    <row r="18" spans="2:16" ht="15" customHeight="1" x14ac:dyDescent="0.2">
      <c r="B18" s="317">
        <f t="shared" si="0"/>
        <v>10</v>
      </c>
      <c r="C18" s="260" t="s">
        <v>44</v>
      </c>
      <c r="D18" s="317" t="s">
        <v>29</v>
      </c>
      <c r="E18" s="317" t="s">
        <v>30</v>
      </c>
      <c r="F18" s="257">
        <v>45446</v>
      </c>
      <c r="G18" s="514">
        <v>25.577999999999999</v>
      </c>
      <c r="H18" s="702" t="s">
        <v>31</v>
      </c>
      <c r="I18" s="702"/>
      <c r="J18" s="702"/>
      <c r="K18" s="702"/>
      <c r="L18" s="257">
        <v>45470</v>
      </c>
      <c r="M18" s="317" t="s">
        <v>40</v>
      </c>
      <c r="N18" s="323" t="s">
        <v>172</v>
      </c>
      <c r="O18" s="317">
        <v>13</v>
      </c>
      <c r="P18" s="228"/>
    </row>
    <row r="19" spans="2:16" ht="15" customHeight="1" x14ac:dyDescent="0.2">
      <c r="B19" s="317">
        <f t="shared" si="0"/>
        <v>11</v>
      </c>
      <c r="C19" s="260" t="s">
        <v>46</v>
      </c>
      <c r="D19" s="317" t="s">
        <v>47</v>
      </c>
      <c r="E19" s="317" t="s">
        <v>30</v>
      </c>
      <c r="F19" s="257">
        <v>45458</v>
      </c>
      <c r="G19" s="514">
        <v>26.872</v>
      </c>
      <c r="H19" s="702" t="s">
        <v>31</v>
      </c>
      <c r="I19" s="702"/>
      <c r="J19" s="702"/>
      <c r="K19" s="702"/>
      <c r="L19" s="257">
        <v>45472</v>
      </c>
      <c r="M19" s="317" t="s">
        <v>48</v>
      </c>
      <c r="N19" s="323" t="s">
        <v>172</v>
      </c>
      <c r="O19" s="317">
        <v>21</v>
      </c>
      <c r="P19" s="317"/>
    </row>
    <row r="20" spans="2:16" ht="15.75" customHeight="1" x14ac:dyDescent="0.2">
      <c r="B20" s="317">
        <f t="shared" si="0"/>
        <v>12</v>
      </c>
      <c r="C20" s="260" t="s">
        <v>45</v>
      </c>
      <c r="D20" s="317" t="s">
        <v>29</v>
      </c>
      <c r="E20" s="317" t="s">
        <v>30</v>
      </c>
      <c r="F20" s="257">
        <v>45463</v>
      </c>
      <c r="G20" s="514">
        <v>25.577999999999999</v>
      </c>
      <c r="H20" s="702" t="s">
        <v>31</v>
      </c>
      <c r="I20" s="702"/>
      <c r="J20" s="702"/>
      <c r="K20" s="702"/>
      <c r="L20" s="257">
        <v>45471</v>
      </c>
      <c r="M20" s="317" t="s">
        <v>32</v>
      </c>
      <c r="N20" s="323" t="s">
        <v>172</v>
      </c>
      <c r="O20" s="317">
        <v>14</v>
      </c>
      <c r="P20" s="317"/>
    </row>
    <row r="21" spans="2:16" ht="15" customHeight="1" x14ac:dyDescent="0.2">
      <c r="B21" s="317">
        <f t="shared" si="0"/>
        <v>13</v>
      </c>
      <c r="C21" s="260" t="s">
        <v>49</v>
      </c>
      <c r="D21" s="317" t="s">
        <v>34</v>
      </c>
      <c r="E21" s="317" t="s">
        <v>30</v>
      </c>
      <c r="F21" s="257">
        <v>45464</v>
      </c>
      <c r="G21" s="514">
        <v>26.872</v>
      </c>
      <c r="H21" s="702" t="s">
        <v>31</v>
      </c>
      <c r="I21" s="702"/>
      <c r="J21" s="702"/>
      <c r="K21" s="702"/>
      <c r="L21" s="257">
        <v>45472</v>
      </c>
      <c r="M21" s="317" t="s">
        <v>32</v>
      </c>
      <c r="N21" s="323" t="s">
        <v>172</v>
      </c>
      <c r="O21" s="317">
        <v>14</v>
      </c>
      <c r="P21" s="228"/>
    </row>
    <row r="22" spans="2:16" ht="15" customHeight="1" x14ac:dyDescent="0.2">
      <c r="B22" s="317">
        <f t="shared" si="0"/>
        <v>14</v>
      </c>
      <c r="C22" s="260" t="s">
        <v>50</v>
      </c>
      <c r="D22" s="317" t="s">
        <v>34</v>
      </c>
      <c r="E22" s="317" t="s">
        <v>30</v>
      </c>
      <c r="F22" s="257">
        <v>45466</v>
      </c>
      <c r="G22" s="514">
        <v>26.872</v>
      </c>
      <c r="H22" s="702" t="s">
        <v>31</v>
      </c>
      <c r="I22" s="702"/>
      <c r="J22" s="702"/>
      <c r="K22" s="702"/>
      <c r="L22" s="257">
        <v>45472</v>
      </c>
      <c r="M22" s="317" t="s">
        <v>40</v>
      </c>
      <c r="N22" s="323" t="s">
        <v>172</v>
      </c>
      <c r="O22" s="317">
        <v>13</v>
      </c>
      <c r="P22" s="317"/>
    </row>
    <row r="23" spans="2:16" s="221" customFormat="1" ht="15" customHeight="1" x14ac:dyDescent="0.2">
      <c r="B23" s="317">
        <f t="shared" si="0"/>
        <v>15</v>
      </c>
      <c r="C23" s="260" t="s">
        <v>51</v>
      </c>
      <c r="D23" s="317" t="s">
        <v>34</v>
      </c>
      <c r="E23" s="317" t="s">
        <v>30</v>
      </c>
      <c r="F23" s="257">
        <v>45465</v>
      </c>
      <c r="G23" s="514">
        <v>26.872</v>
      </c>
      <c r="H23" s="702" t="s">
        <v>31</v>
      </c>
      <c r="I23" s="702"/>
      <c r="J23" s="702"/>
      <c r="K23" s="702"/>
      <c r="L23" s="257">
        <v>45473</v>
      </c>
      <c r="M23" s="317" t="s">
        <v>52</v>
      </c>
      <c r="N23" s="323" t="s">
        <v>172</v>
      </c>
      <c r="O23" s="317">
        <v>12</v>
      </c>
      <c r="P23" s="228"/>
    </row>
    <row r="24" spans="2:16" s="221" customFormat="1" ht="15" customHeight="1" x14ac:dyDescent="0.2">
      <c r="B24" s="317">
        <f t="shared" si="0"/>
        <v>16</v>
      </c>
      <c r="C24" s="260" t="s">
        <v>56</v>
      </c>
      <c r="D24" s="317" t="s">
        <v>29</v>
      </c>
      <c r="E24" s="317" t="s">
        <v>30</v>
      </c>
      <c r="F24" s="257">
        <v>45468</v>
      </c>
      <c r="G24" s="514">
        <v>25.577999999999999</v>
      </c>
      <c r="H24" s="702" t="s">
        <v>31</v>
      </c>
      <c r="I24" s="702"/>
      <c r="J24" s="702"/>
      <c r="K24" s="702"/>
      <c r="L24" s="257">
        <v>45477</v>
      </c>
      <c r="M24" s="317" t="s">
        <v>32</v>
      </c>
      <c r="N24" s="323" t="s">
        <v>172</v>
      </c>
      <c r="O24" s="317">
        <v>14</v>
      </c>
      <c r="P24" s="317"/>
    </row>
    <row r="25" spans="2:16" s="221" customFormat="1" ht="15" customHeight="1" x14ac:dyDescent="0.2">
      <c r="B25" s="317">
        <f t="shared" si="0"/>
        <v>17</v>
      </c>
      <c r="C25" s="260" t="s">
        <v>54</v>
      </c>
      <c r="D25" s="317" t="s">
        <v>34</v>
      </c>
      <c r="E25" s="317" t="s">
        <v>30</v>
      </c>
      <c r="F25" s="257">
        <v>45462</v>
      </c>
      <c r="G25" s="514">
        <v>26.872</v>
      </c>
      <c r="H25" s="702" t="s">
        <v>31</v>
      </c>
      <c r="I25" s="702"/>
      <c r="J25" s="702"/>
      <c r="K25" s="702"/>
      <c r="L25" s="257">
        <v>45478</v>
      </c>
      <c r="M25" s="317" t="s">
        <v>52</v>
      </c>
      <c r="N25" s="323" t="s">
        <v>172</v>
      </c>
      <c r="O25" s="317">
        <v>12</v>
      </c>
      <c r="P25" s="228"/>
    </row>
    <row r="26" spans="2:16" s="221" customFormat="1" ht="15" customHeight="1" x14ac:dyDescent="0.2">
      <c r="B26" s="317">
        <f t="shared" si="0"/>
        <v>18</v>
      </c>
      <c r="C26" s="260" t="s">
        <v>59</v>
      </c>
      <c r="D26" s="317" t="s">
        <v>29</v>
      </c>
      <c r="E26" s="317" t="s">
        <v>30</v>
      </c>
      <c r="F26" s="257">
        <v>45470</v>
      </c>
      <c r="G26" s="514">
        <v>25.577999999999999</v>
      </c>
      <c r="H26" s="702" t="s">
        <v>31</v>
      </c>
      <c r="I26" s="702"/>
      <c r="J26" s="702"/>
      <c r="K26" s="702"/>
      <c r="L26" s="257">
        <v>45479</v>
      </c>
      <c r="M26" s="317" t="s">
        <v>40</v>
      </c>
      <c r="N26" s="323" t="s">
        <v>172</v>
      </c>
      <c r="O26" s="317">
        <v>13</v>
      </c>
      <c r="P26" s="228"/>
    </row>
    <row r="27" spans="2:16" s="221" customFormat="1" ht="15" customHeight="1" x14ac:dyDescent="0.2">
      <c r="B27" s="317">
        <f t="shared" si="0"/>
        <v>19</v>
      </c>
      <c r="C27" s="260" t="s">
        <v>66</v>
      </c>
      <c r="D27" s="317" t="s">
        <v>29</v>
      </c>
      <c r="E27" s="317" t="s">
        <v>30</v>
      </c>
      <c r="F27" s="257">
        <v>45474</v>
      </c>
      <c r="G27" s="514">
        <v>25.577999999999999</v>
      </c>
      <c r="H27" s="702" t="s">
        <v>31</v>
      </c>
      <c r="I27" s="702"/>
      <c r="J27" s="702"/>
      <c r="K27" s="702"/>
      <c r="L27" s="257">
        <v>45480</v>
      </c>
      <c r="M27" s="317" t="s">
        <v>32</v>
      </c>
      <c r="N27" s="323" t="s">
        <v>172</v>
      </c>
      <c r="O27" s="317">
        <v>14</v>
      </c>
      <c r="P27" s="228"/>
    </row>
    <row r="28" spans="2:16" s="221" customFormat="1" ht="15" customHeight="1" x14ac:dyDescent="0.2">
      <c r="B28" s="317">
        <f t="shared" si="0"/>
        <v>20</v>
      </c>
      <c r="C28" s="260" t="s">
        <v>53</v>
      </c>
      <c r="D28" s="317" t="s">
        <v>29</v>
      </c>
      <c r="E28" s="317" t="s">
        <v>30</v>
      </c>
      <c r="F28" s="257">
        <v>45476</v>
      </c>
      <c r="G28" s="514">
        <v>25.577999999999999</v>
      </c>
      <c r="H28" s="702" t="s">
        <v>31</v>
      </c>
      <c r="I28" s="702"/>
      <c r="J28" s="702"/>
      <c r="K28" s="702"/>
      <c r="L28" s="257">
        <v>45483</v>
      </c>
      <c r="M28" s="317" t="s">
        <v>40</v>
      </c>
      <c r="N28" s="323" t="s">
        <v>172</v>
      </c>
      <c r="O28" s="317">
        <v>13</v>
      </c>
      <c r="P28" s="228"/>
    </row>
    <row r="29" spans="2:16" s="221" customFormat="1" ht="15" customHeight="1" x14ac:dyDescent="0.2">
      <c r="B29" s="317">
        <f t="shared" si="0"/>
        <v>21</v>
      </c>
      <c r="C29" s="260" t="s">
        <v>55</v>
      </c>
      <c r="D29" s="317" t="s">
        <v>34</v>
      </c>
      <c r="E29" s="317" t="s">
        <v>30</v>
      </c>
      <c r="F29" s="257">
        <v>45467</v>
      </c>
      <c r="G29" s="514">
        <v>27.872</v>
      </c>
      <c r="H29" s="702" t="s">
        <v>31</v>
      </c>
      <c r="I29" s="702"/>
      <c r="J29" s="702"/>
      <c r="K29" s="702"/>
      <c r="L29" s="257">
        <v>45483</v>
      </c>
      <c r="M29" s="317" t="s">
        <v>52</v>
      </c>
      <c r="N29" s="323" t="s">
        <v>172</v>
      </c>
      <c r="O29" s="317">
        <v>13</v>
      </c>
      <c r="P29" s="317"/>
    </row>
    <row r="30" spans="2:16" s="221" customFormat="1" ht="15" customHeight="1" x14ac:dyDescent="0.2">
      <c r="B30" s="317">
        <f t="shared" si="0"/>
        <v>22</v>
      </c>
      <c r="C30" s="260" t="s">
        <v>62</v>
      </c>
      <c r="D30" s="317" t="s">
        <v>29</v>
      </c>
      <c r="E30" s="317" t="s">
        <v>30</v>
      </c>
      <c r="F30" s="257">
        <v>45468</v>
      </c>
      <c r="G30" s="514">
        <v>25.577999999999999</v>
      </c>
      <c r="H30" s="702" t="s">
        <v>31</v>
      </c>
      <c r="I30" s="702"/>
      <c r="J30" s="702"/>
      <c r="K30" s="702"/>
      <c r="L30" s="257">
        <v>45483</v>
      </c>
      <c r="M30" s="317" t="s">
        <v>32</v>
      </c>
      <c r="N30" s="323" t="s">
        <v>172</v>
      </c>
      <c r="O30" s="317">
        <v>14</v>
      </c>
      <c r="P30" s="317"/>
    </row>
    <row r="31" spans="2:16" s="221" customFormat="1" ht="15" customHeight="1" x14ac:dyDescent="0.2">
      <c r="B31" s="317">
        <f t="shared" si="0"/>
        <v>23</v>
      </c>
      <c r="C31" s="260" t="s">
        <v>60</v>
      </c>
      <c r="D31" s="317" t="s">
        <v>43</v>
      </c>
      <c r="E31" s="317" t="s">
        <v>30</v>
      </c>
      <c r="F31" s="257">
        <v>45471</v>
      </c>
      <c r="G31" s="514">
        <v>26.872</v>
      </c>
      <c r="H31" s="702" t="s">
        <v>31</v>
      </c>
      <c r="I31" s="702"/>
      <c r="J31" s="702"/>
      <c r="K31" s="702"/>
      <c r="L31" s="257">
        <v>45484</v>
      </c>
      <c r="M31" s="317" t="s">
        <v>61</v>
      </c>
      <c r="N31" s="323" t="s">
        <v>172</v>
      </c>
      <c r="O31" s="317">
        <v>12</v>
      </c>
      <c r="P31" s="228"/>
    </row>
    <row r="32" spans="2:16" s="221" customFormat="1" ht="15" customHeight="1" x14ac:dyDescent="0.2">
      <c r="B32" s="317">
        <f t="shared" si="0"/>
        <v>24</v>
      </c>
      <c r="C32" s="260" t="s">
        <v>116</v>
      </c>
      <c r="D32" s="317" t="s">
        <v>29</v>
      </c>
      <c r="E32" s="317" t="s">
        <v>30</v>
      </c>
      <c r="F32" s="257">
        <v>45480</v>
      </c>
      <c r="G32" s="323">
        <v>25.577999999999999</v>
      </c>
      <c r="H32" s="702" t="s">
        <v>31</v>
      </c>
      <c r="I32" s="702"/>
      <c r="J32" s="702"/>
      <c r="K32" s="702"/>
      <c r="L32" s="257">
        <v>45486</v>
      </c>
      <c r="M32" s="317" t="s">
        <v>32</v>
      </c>
      <c r="N32" s="323" t="s">
        <v>172</v>
      </c>
      <c r="O32" s="317">
        <v>19</v>
      </c>
      <c r="P32" s="317"/>
    </row>
    <row r="33" spans="2:16" s="221" customFormat="1" ht="15" customHeight="1" x14ac:dyDescent="0.2">
      <c r="B33" s="317">
        <f t="shared" si="0"/>
        <v>25</v>
      </c>
      <c r="C33" s="260" t="s">
        <v>65</v>
      </c>
      <c r="D33" s="317" t="s">
        <v>43</v>
      </c>
      <c r="E33" s="317" t="s">
        <v>30</v>
      </c>
      <c r="F33" s="257">
        <v>45475</v>
      </c>
      <c r="G33" s="323">
        <v>26.872</v>
      </c>
      <c r="H33" s="702" t="s">
        <v>31</v>
      </c>
      <c r="I33" s="702"/>
      <c r="J33" s="702"/>
      <c r="K33" s="702"/>
      <c r="L33" s="257">
        <v>45487</v>
      </c>
      <c r="M33" s="317" t="s">
        <v>40</v>
      </c>
      <c r="N33" s="323" t="s">
        <v>172</v>
      </c>
      <c r="O33" s="317">
        <v>13</v>
      </c>
      <c r="P33" s="317"/>
    </row>
    <row r="34" spans="2:16" s="221" customFormat="1" ht="15" customHeight="1" x14ac:dyDescent="0.2">
      <c r="B34" s="317">
        <f t="shared" si="0"/>
        <v>26</v>
      </c>
      <c r="C34" s="260" t="s">
        <v>118</v>
      </c>
      <c r="D34" s="317" t="s">
        <v>43</v>
      </c>
      <c r="E34" s="317" t="s">
        <v>30</v>
      </c>
      <c r="F34" s="257">
        <v>45483</v>
      </c>
      <c r="G34" s="323">
        <v>26.872</v>
      </c>
      <c r="H34" s="702" t="s">
        <v>31</v>
      </c>
      <c r="I34" s="702"/>
      <c r="J34" s="702"/>
      <c r="K34" s="702"/>
      <c r="L34" s="257">
        <v>45489</v>
      </c>
      <c r="M34" s="317" t="s">
        <v>32</v>
      </c>
      <c r="N34" s="323" t="s">
        <v>172</v>
      </c>
      <c r="O34" s="317">
        <v>19</v>
      </c>
      <c r="P34" s="317"/>
    </row>
    <row r="35" spans="2:16" s="221" customFormat="1" ht="15" customHeight="1" x14ac:dyDescent="0.2">
      <c r="B35" s="317">
        <f t="shared" si="0"/>
        <v>27</v>
      </c>
      <c r="C35" s="260" t="s">
        <v>64</v>
      </c>
      <c r="D35" s="317" t="s">
        <v>29</v>
      </c>
      <c r="E35" s="317" t="s">
        <v>30</v>
      </c>
      <c r="F35" s="257">
        <v>45471</v>
      </c>
      <c r="G35" s="514">
        <v>25.577999999999999</v>
      </c>
      <c r="H35" s="702" t="s">
        <v>31</v>
      </c>
      <c r="I35" s="702"/>
      <c r="J35" s="702"/>
      <c r="K35" s="702"/>
      <c r="L35" s="257">
        <v>45490</v>
      </c>
      <c r="M35" s="317" t="s">
        <v>61</v>
      </c>
      <c r="N35" s="323" t="s">
        <v>172</v>
      </c>
      <c r="O35" s="317">
        <v>12</v>
      </c>
      <c r="P35" s="317"/>
    </row>
    <row r="36" spans="2:16" s="221" customFormat="1" ht="15" customHeight="1" x14ac:dyDescent="0.2">
      <c r="B36" s="317">
        <f t="shared" si="0"/>
        <v>28</v>
      </c>
      <c r="C36" s="260" t="s">
        <v>114</v>
      </c>
      <c r="D36" s="317" t="s">
        <v>29</v>
      </c>
      <c r="E36" s="317" t="s">
        <v>30</v>
      </c>
      <c r="F36" s="257">
        <v>45481</v>
      </c>
      <c r="G36" s="323">
        <v>25.577999999999999</v>
      </c>
      <c r="H36" s="702" t="s">
        <v>31</v>
      </c>
      <c r="I36" s="702"/>
      <c r="J36" s="702"/>
      <c r="K36" s="702"/>
      <c r="L36" s="257">
        <v>45490</v>
      </c>
      <c r="M36" s="317" t="s">
        <v>40</v>
      </c>
      <c r="N36" s="323" t="s">
        <v>172</v>
      </c>
      <c r="O36" s="317">
        <v>13</v>
      </c>
      <c r="P36" s="317"/>
    </row>
    <row r="37" spans="2:16" s="221" customFormat="1" ht="15" customHeight="1" x14ac:dyDescent="0.2">
      <c r="B37" s="317">
        <f t="shared" si="0"/>
        <v>29</v>
      </c>
      <c r="C37" s="260" t="s">
        <v>117</v>
      </c>
      <c r="D37" s="317" t="s">
        <v>29</v>
      </c>
      <c r="E37" s="317" t="s">
        <v>30</v>
      </c>
      <c r="F37" s="257">
        <v>45483</v>
      </c>
      <c r="G37" s="323">
        <v>25.577999999999999</v>
      </c>
      <c r="H37" s="702" t="s">
        <v>31</v>
      </c>
      <c r="I37" s="702"/>
      <c r="J37" s="702"/>
      <c r="K37" s="702"/>
      <c r="L37" s="257">
        <v>45492</v>
      </c>
      <c r="M37" s="317" t="s">
        <v>32</v>
      </c>
      <c r="N37" s="323" t="s">
        <v>172</v>
      </c>
      <c r="O37" s="317">
        <v>19</v>
      </c>
      <c r="P37" s="317"/>
    </row>
    <row r="38" spans="2:16" s="221" customFormat="1" ht="15" customHeight="1" x14ac:dyDescent="0.2">
      <c r="B38" s="317">
        <f t="shared" si="0"/>
        <v>30</v>
      </c>
      <c r="C38" s="260" t="s">
        <v>123</v>
      </c>
      <c r="D38" s="317" t="s">
        <v>29</v>
      </c>
      <c r="E38" s="317" t="s">
        <v>30</v>
      </c>
      <c r="F38" s="257">
        <v>45485</v>
      </c>
      <c r="G38" s="323">
        <v>25.577999999999999</v>
      </c>
      <c r="H38" s="702" t="s">
        <v>31</v>
      </c>
      <c r="I38" s="702"/>
      <c r="J38" s="702"/>
      <c r="K38" s="702"/>
      <c r="L38" s="257">
        <v>45495</v>
      </c>
      <c r="M38" s="317" t="s">
        <v>127</v>
      </c>
      <c r="N38" s="323" t="s">
        <v>172</v>
      </c>
      <c r="O38" s="317">
        <v>13</v>
      </c>
      <c r="P38" s="317"/>
    </row>
    <row r="39" spans="2:16" s="221" customFormat="1" ht="15" customHeight="1" x14ac:dyDescent="0.2">
      <c r="B39" s="317">
        <f t="shared" si="0"/>
        <v>31</v>
      </c>
      <c r="C39" s="260" t="s">
        <v>115</v>
      </c>
      <c r="D39" s="317" t="s">
        <v>29</v>
      </c>
      <c r="E39" s="317" t="s">
        <v>30</v>
      </c>
      <c r="F39" s="257">
        <v>45482</v>
      </c>
      <c r="G39" s="323">
        <v>25.577999999999999</v>
      </c>
      <c r="H39" s="702" t="s">
        <v>31</v>
      </c>
      <c r="I39" s="702"/>
      <c r="J39" s="702"/>
      <c r="K39" s="702"/>
      <c r="L39" s="257">
        <v>45496</v>
      </c>
      <c r="M39" s="317" t="s">
        <v>61</v>
      </c>
      <c r="N39" s="323" t="s">
        <v>172</v>
      </c>
      <c r="O39" s="317">
        <v>12</v>
      </c>
      <c r="P39" s="317"/>
    </row>
    <row r="40" spans="2:16" s="221" customFormat="1" ht="15" customHeight="1" x14ac:dyDescent="0.2">
      <c r="B40" s="317">
        <f t="shared" si="0"/>
        <v>32</v>
      </c>
      <c r="C40" s="260" t="s">
        <v>138</v>
      </c>
      <c r="D40" s="317" t="s">
        <v>29</v>
      </c>
      <c r="E40" s="317" t="s">
        <v>30</v>
      </c>
      <c r="F40" s="257">
        <v>45497</v>
      </c>
      <c r="G40" s="323">
        <v>25.577999999999999</v>
      </c>
      <c r="H40" s="702" t="s">
        <v>31</v>
      </c>
      <c r="I40" s="702"/>
      <c r="J40" s="702"/>
      <c r="K40" s="702"/>
      <c r="L40" s="257">
        <v>45503</v>
      </c>
      <c r="M40" s="317" t="s">
        <v>127</v>
      </c>
      <c r="N40" s="323" t="s">
        <v>172</v>
      </c>
      <c r="O40" s="317">
        <v>13</v>
      </c>
      <c r="P40" s="317"/>
    </row>
    <row r="41" spans="2:16" s="221" customFormat="1" ht="15" customHeight="1" x14ac:dyDescent="0.2">
      <c r="B41" s="317">
        <f t="shared" si="0"/>
        <v>33</v>
      </c>
      <c r="C41" s="260" t="s">
        <v>133</v>
      </c>
      <c r="D41" s="317" t="s">
        <v>29</v>
      </c>
      <c r="E41" s="317" t="s">
        <v>30</v>
      </c>
      <c r="F41" s="257">
        <v>45492</v>
      </c>
      <c r="G41" s="323">
        <v>25.577999999999999</v>
      </c>
      <c r="H41" s="702" t="s">
        <v>31</v>
      </c>
      <c r="I41" s="702"/>
      <c r="J41" s="702"/>
      <c r="K41" s="702"/>
      <c r="L41" s="257">
        <v>45504</v>
      </c>
      <c r="M41" s="317" t="s">
        <v>127</v>
      </c>
      <c r="N41" s="323" t="s">
        <v>172</v>
      </c>
      <c r="O41" s="317">
        <v>13</v>
      </c>
      <c r="P41" s="317"/>
    </row>
    <row r="42" spans="2:16" s="221" customFormat="1" ht="15" customHeight="1" x14ac:dyDescent="0.2">
      <c r="B42" s="317">
        <f t="shared" si="0"/>
        <v>34</v>
      </c>
      <c r="C42" s="260" t="s">
        <v>58</v>
      </c>
      <c r="D42" s="317" t="s">
        <v>29</v>
      </c>
      <c r="E42" s="317" t="s">
        <v>30</v>
      </c>
      <c r="F42" s="257">
        <v>45469</v>
      </c>
      <c r="G42" s="514">
        <v>25.577999999999999</v>
      </c>
      <c r="H42" s="702" t="s">
        <v>31</v>
      </c>
      <c r="I42" s="702"/>
      <c r="J42" s="702"/>
      <c r="K42" s="702"/>
      <c r="L42" s="257">
        <v>45504</v>
      </c>
      <c r="M42" s="317" t="s">
        <v>48</v>
      </c>
      <c r="N42" s="323" t="s">
        <v>172</v>
      </c>
      <c r="O42" s="317">
        <v>22</v>
      </c>
      <c r="P42" s="511"/>
    </row>
    <row r="43" spans="2:16" s="221" customFormat="1" ht="15" customHeight="1" x14ac:dyDescent="0.2">
      <c r="B43" s="317">
        <f t="shared" si="0"/>
        <v>35</v>
      </c>
      <c r="C43" s="260" t="s">
        <v>126</v>
      </c>
      <c r="D43" s="317" t="s">
        <v>29</v>
      </c>
      <c r="E43" s="317" t="s">
        <v>30</v>
      </c>
      <c r="F43" s="257">
        <v>45487</v>
      </c>
      <c r="G43" s="323">
        <v>25.577999999999999</v>
      </c>
      <c r="H43" s="702" t="s">
        <v>31</v>
      </c>
      <c r="I43" s="702"/>
      <c r="J43" s="702"/>
      <c r="K43" s="702"/>
      <c r="L43" s="257">
        <v>45504</v>
      </c>
      <c r="M43" s="317" t="s">
        <v>61</v>
      </c>
      <c r="N43" s="323" t="s">
        <v>172</v>
      </c>
      <c r="O43" s="317">
        <v>12</v>
      </c>
      <c r="P43" s="317"/>
    </row>
    <row r="44" spans="2:16" ht="15" customHeight="1" x14ac:dyDescent="0.2">
      <c r="B44" s="317">
        <f t="shared" si="0"/>
        <v>36</v>
      </c>
      <c r="C44" s="260" t="s">
        <v>119</v>
      </c>
      <c r="D44" s="317" t="s">
        <v>29</v>
      </c>
      <c r="E44" s="317" t="s">
        <v>30</v>
      </c>
      <c r="F44" s="257">
        <v>45484</v>
      </c>
      <c r="G44" s="323">
        <v>25.577999999999999</v>
      </c>
      <c r="H44" s="702" t="s">
        <v>31</v>
      </c>
      <c r="I44" s="702"/>
      <c r="J44" s="702"/>
      <c r="K44" s="702"/>
      <c r="L44" s="257">
        <v>45509</v>
      </c>
      <c r="M44" s="317" t="s">
        <v>32</v>
      </c>
      <c r="N44" s="323" t="s">
        <v>172</v>
      </c>
      <c r="O44" s="317">
        <v>19</v>
      </c>
      <c r="P44" s="228"/>
    </row>
    <row r="45" spans="2:16" s="337" customFormat="1" ht="15" customHeight="1" x14ac:dyDescent="0.25">
      <c r="B45" s="317">
        <f t="shared" si="0"/>
        <v>37</v>
      </c>
      <c r="C45" s="260" t="s">
        <v>164</v>
      </c>
      <c r="D45" s="317" t="s">
        <v>165</v>
      </c>
      <c r="E45" s="317" t="s">
        <v>30</v>
      </c>
      <c r="F45" s="257">
        <v>45507</v>
      </c>
      <c r="G45" s="323">
        <v>25.577999999999999</v>
      </c>
      <c r="H45" s="702" t="s">
        <v>31</v>
      </c>
      <c r="I45" s="702"/>
      <c r="J45" s="702"/>
      <c r="K45" s="702"/>
      <c r="L45" s="257">
        <v>45512</v>
      </c>
      <c r="M45" s="317" t="s">
        <v>32</v>
      </c>
      <c r="N45" s="323" t="s">
        <v>172</v>
      </c>
      <c r="O45" s="317">
        <v>14</v>
      </c>
      <c r="P45" s="317"/>
    </row>
    <row r="46" spans="2:16" s="224" customFormat="1" ht="15" customHeight="1" x14ac:dyDescent="0.2">
      <c r="B46" s="317">
        <f t="shared" si="0"/>
        <v>38</v>
      </c>
      <c r="C46" s="260" t="s">
        <v>112</v>
      </c>
      <c r="D46" s="317" t="s">
        <v>34</v>
      </c>
      <c r="E46" s="317" t="s">
        <v>30</v>
      </c>
      <c r="F46" s="257">
        <v>45478</v>
      </c>
      <c r="G46" s="323">
        <v>26.872</v>
      </c>
      <c r="H46" s="702" t="s">
        <v>31</v>
      </c>
      <c r="I46" s="702"/>
      <c r="J46" s="702"/>
      <c r="K46" s="702"/>
      <c r="L46" s="257">
        <v>45515</v>
      </c>
      <c r="M46" s="317" t="s">
        <v>61</v>
      </c>
      <c r="N46" s="323" t="s">
        <v>172</v>
      </c>
      <c r="O46" s="317">
        <v>12</v>
      </c>
      <c r="P46" s="317"/>
    </row>
    <row r="47" spans="2:16" s="224" customFormat="1" ht="15.75" customHeight="1" x14ac:dyDescent="0.2">
      <c r="B47" s="317">
        <f t="shared" si="0"/>
        <v>39</v>
      </c>
      <c r="C47" s="260" t="s">
        <v>160</v>
      </c>
      <c r="D47" s="317" t="s">
        <v>131</v>
      </c>
      <c r="E47" s="317" t="s">
        <v>30</v>
      </c>
      <c r="F47" s="257">
        <v>45506</v>
      </c>
      <c r="G47" s="323">
        <v>45.764000000000003</v>
      </c>
      <c r="H47" s="702" t="s">
        <v>31</v>
      </c>
      <c r="I47" s="702"/>
      <c r="J47" s="702"/>
      <c r="K47" s="702"/>
      <c r="L47" s="257">
        <v>45515</v>
      </c>
      <c r="M47" s="317" t="s">
        <v>124</v>
      </c>
      <c r="N47" s="323" t="s">
        <v>172</v>
      </c>
      <c r="O47" s="317">
        <v>13</v>
      </c>
      <c r="P47" s="317"/>
    </row>
    <row r="48" spans="2:16" s="224" customFormat="1" ht="15" customHeight="1" x14ac:dyDescent="0.2">
      <c r="B48" s="317">
        <f t="shared" si="0"/>
        <v>40</v>
      </c>
      <c r="C48" s="287" t="s">
        <v>134</v>
      </c>
      <c r="D48" s="317" t="s">
        <v>135</v>
      </c>
      <c r="E48" s="317" t="s">
        <v>30</v>
      </c>
      <c r="F48" s="257">
        <v>45492</v>
      </c>
      <c r="G48" s="323">
        <v>43.667999999999999</v>
      </c>
      <c r="H48" s="702" t="s">
        <v>31</v>
      </c>
      <c r="I48" s="702"/>
      <c r="J48" s="702"/>
      <c r="K48" s="702"/>
      <c r="L48" s="257">
        <v>45515</v>
      </c>
      <c r="M48" s="317" t="s">
        <v>32</v>
      </c>
      <c r="N48" s="323" t="s">
        <v>172</v>
      </c>
      <c r="O48" s="317">
        <v>19</v>
      </c>
      <c r="P48" s="317"/>
    </row>
    <row r="49" spans="2:16" s="224" customFormat="1" ht="15" customHeight="1" x14ac:dyDescent="0.2">
      <c r="B49" s="317">
        <f t="shared" si="0"/>
        <v>41</v>
      </c>
      <c r="C49" s="260" t="s">
        <v>57</v>
      </c>
      <c r="D49" s="317" t="s">
        <v>29</v>
      </c>
      <c r="E49" s="317" t="s">
        <v>30</v>
      </c>
      <c r="F49" s="257">
        <v>45468</v>
      </c>
      <c r="G49" s="514">
        <v>25.577999999999999</v>
      </c>
      <c r="H49" s="702" t="s">
        <v>31</v>
      </c>
      <c r="I49" s="702"/>
      <c r="J49" s="702"/>
      <c r="K49" s="702"/>
      <c r="L49" s="257">
        <v>45517</v>
      </c>
      <c r="M49" s="317" t="s">
        <v>175</v>
      </c>
      <c r="N49" s="323" t="s">
        <v>172</v>
      </c>
      <c r="O49" s="317">
        <v>22</v>
      </c>
      <c r="P49" s="511"/>
    </row>
    <row r="50" spans="2:16" s="224" customFormat="1" ht="15" customHeight="1" x14ac:dyDescent="0.2">
      <c r="B50" s="317">
        <f t="shared" si="0"/>
        <v>42</v>
      </c>
      <c r="C50" s="260" t="s">
        <v>120</v>
      </c>
      <c r="D50" s="317" t="s">
        <v>29</v>
      </c>
      <c r="E50" s="317" t="s">
        <v>30</v>
      </c>
      <c r="F50" s="257">
        <v>45484</v>
      </c>
      <c r="G50" s="323">
        <v>25.577999999999999</v>
      </c>
      <c r="H50" s="702" t="s">
        <v>31</v>
      </c>
      <c r="I50" s="702"/>
      <c r="J50" s="702"/>
      <c r="K50" s="702"/>
      <c r="L50" s="257">
        <v>45517</v>
      </c>
      <c r="M50" s="317" t="s">
        <v>32</v>
      </c>
      <c r="N50" s="323" t="s">
        <v>172</v>
      </c>
      <c r="O50" s="317">
        <v>19</v>
      </c>
      <c r="P50" s="317"/>
    </row>
    <row r="51" spans="2:16" s="224" customFormat="1" ht="15" customHeight="1" x14ac:dyDescent="0.2">
      <c r="B51" s="317">
        <f t="shared" si="0"/>
        <v>43</v>
      </c>
      <c r="C51" s="287" t="s">
        <v>137</v>
      </c>
      <c r="D51" s="317" t="s">
        <v>131</v>
      </c>
      <c r="E51" s="317" t="s">
        <v>30</v>
      </c>
      <c r="F51" s="257">
        <v>45495</v>
      </c>
      <c r="G51" s="323">
        <v>45.764000000000003</v>
      </c>
      <c r="H51" s="702" t="s">
        <v>31</v>
      </c>
      <c r="I51" s="702"/>
      <c r="J51" s="702"/>
      <c r="K51" s="702"/>
      <c r="L51" s="286">
        <v>45518</v>
      </c>
      <c r="M51" s="317" t="s">
        <v>32</v>
      </c>
      <c r="N51" s="323" t="s">
        <v>172</v>
      </c>
      <c r="O51" s="317">
        <v>13</v>
      </c>
      <c r="P51" s="317"/>
    </row>
    <row r="52" spans="2:16" s="224" customFormat="1" ht="15" customHeight="1" x14ac:dyDescent="0.2">
      <c r="B52" s="317">
        <f t="shared" si="0"/>
        <v>44</v>
      </c>
      <c r="C52" s="260" t="s">
        <v>166</v>
      </c>
      <c r="D52" s="317" t="s">
        <v>167</v>
      </c>
      <c r="E52" s="317" t="s">
        <v>336</v>
      </c>
      <c r="F52" s="257">
        <v>45509</v>
      </c>
      <c r="G52" s="323">
        <v>40.405999999999999</v>
      </c>
      <c r="H52" s="702" t="s">
        <v>31</v>
      </c>
      <c r="I52" s="702"/>
      <c r="J52" s="702"/>
      <c r="K52" s="702"/>
      <c r="L52" s="286">
        <v>45520</v>
      </c>
      <c r="M52" s="317" t="s">
        <v>124</v>
      </c>
      <c r="N52" s="323" t="s">
        <v>172</v>
      </c>
      <c r="O52" s="317">
        <v>13</v>
      </c>
      <c r="P52" s="317"/>
    </row>
    <row r="53" spans="2:16" s="224" customFormat="1" ht="15" customHeight="1" x14ac:dyDescent="0.2">
      <c r="B53" s="317">
        <f t="shared" si="0"/>
        <v>45</v>
      </c>
      <c r="C53" s="260" t="s">
        <v>130</v>
      </c>
      <c r="D53" s="317" t="s">
        <v>131</v>
      </c>
      <c r="E53" s="317" t="s">
        <v>30</v>
      </c>
      <c r="F53" s="257">
        <v>45490</v>
      </c>
      <c r="G53" s="323">
        <v>45.764000000000003</v>
      </c>
      <c r="H53" s="702" t="s">
        <v>31</v>
      </c>
      <c r="I53" s="702"/>
      <c r="J53" s="702"/>
      <c r="K53" s="702"/>
      <c r="L53" s="286">
        <v>45520</v>
      </c>
      <c r="M53" s="317" t="s">
        <v>32</v>
      </c>
      <c r="N53" s="323" t="s">
        <v>172</v>
      </c>
      <c r="O53" s="317">
        <v>19</v>
      </c>
      <c r="P53" s="317"/>
    </row>
    <row r="54" spans="2:16" s="224" customFormat="1" ht="15" customHeight="1" x14ac:dyDescent="0.2">
      <c r="B54" s="317">
        <f t="shared" si="0"/>
        <v>46</v>
      </c>
      <c r="C54" s="260" t="s">
        <v>158</v>
      </c>
      <c r="D54" s="317" t="s">
        <v>135</v>
      </c>
      <c r="E54" s="317" t="s">
        <v>30</v>
      </c>
      <c r="F54" s="257">
        <v>45501</v>
      </c>
      <c r="G54" s="323">
        <v>43.667999999999999</v>
      </c>
      <c r="H54" s="702" t="s">
        <v>31</v>
      </c>
      <c r="I54" s="702"/>
      <c r="J54" s="702"/>
      <c r="K54" s="702"/>
      <c r="L54" s="286">
        <v>45521</v>
      </c>
      <c r="M54" s="317" t="s">
        <v>124</v>
      </c>
      <c r="N54" s="323" t="s">
        <v>172</v>
      </c>
      <c r="O54" s="317">
        <v>13</v>
      </c>
      <c r="P54" s="317"/>
    </row>
    <row r="55" spans="2:16" s="224" customFormat="1" ht="15" customHeight="1" x14ac:dyDescent="0.2">
      <c r="B55" s="317">
        <f t="shared" si="0"/>
        <v>47</v>
      </c>
      <c r="C55" s="260" t="s">
        <v>136</v>
      </c>
      <c r="D55" s="317" t="s">
        <v>29</v>
      </c>
      <c r="E55" s="317" t="s">
        <v>30</v>
      </c>
      <c r="F55" s="257">
        <v>45493</v>
      </c>
      <c r="G55" s="323">
        <v>25.577999999999999</v>
      </c>
      <c r="H55" s="702" t="s">
        <v>31</v>
      </c>
      <c r="I55" s="702"/>
      <c r="J55" s="702"/>
      <c r="K55" s="702"/>
      <c r="L55" s="286">
        <v>45523</v>
      </c>
      <c r="M55" s="317" t="s">
        <v>32</v>
      </c>
      <c r="N55" s="323" t="s">
        <v>172</v>
      </c>
      <c r="O55" s="317">
        <v>19</v>
      </c>
      <c r="P55" s="317"/>
    </row>
    <row r="56" spans="2:16" s="224" customFormat="1" ht="15" customHeight="1" x14ac:dyDescent="0.2">
      <c r="B56" s="317">
        <f t="shared" si="0"/>
        <v>48</v>
      </c>
      <c r="C56" s="260" t="s">
        <v>125</v>
      </c>
      <c r="D56" s="317" t="s">
        <v>34</v>
      </c>
      <c r="E56" s="317" t="s">
        <v>30</v>
      </c>
      <c r="F56" s="257">
        <v>45486</v>
      </c>
      <c r="G56" s="323">
        <v>26.872</v>
      </c>
      <c r="H56" s="702" t="s">
        <v>31</v>
      </c>
      <c r="I56" s="702"/>
      <c r="J56" s="702"/>
      <c r="K56" s="702"/>
      <c r="L56" s="286">
        <v>45526</v>
      </c>
      <c r="M56" s="317" t="s">
        <v>61</v>
      </c>
      <c r="N56" s="323" t="s">
        <v>172</v>
      </c>
      <c r="O56" s="317">
        <v>12</v>
      </c>
      <c r="P56" s="317"/>
    </row>
    <row r="57" spans="2:16" s="224" customFormat="1" ht="15" customHeight="1" x14ac:dyDescent="0.2">
      <c r="B57" s="317">
        <f t="shared" si="0"/>
        <v>49</v>
      </c>
      <c r="C57" s="260" t="s">
        <v>176</v>
      </c>
      <c r="D57" s="317" t="s">
        <v>167</v>
      </c>
      <c r="E57" s="317" t="s">
        <v>30</v>
      </c>
      <c r="F57" s="257">
        <v>45515</v>
      </c>
      <c r="G57" s="323">
        <v>26.872</v>
      </c>
      <c r="H57" s="702" t="s">
        <v>31</v>
      </c>
      <c r="I57" s="702"/>
      <c r="J57" s="702"/>
      <c r="K57" s="702"/>
      <c r="L57" s="286">
        <v>45527</v>
      </c>
      <c r="M57" s="317" t="s">
        <v>175</v>
      </c>
      <c r="N57" s="323" t="s">
        <v>172</v>
      </c>
      <c r="O57" s="317">
        <v>11</v>
      </c>
      <c r="P57" s="317"/>
    </row>
    <row r="58" spans="2:16" s="224" customFormat="1" ht="15" customHeight="1" x14ac:dyDescent="0.2">
      <c r="B58" s="317">
        <f t="shared" si="0"/>
        <v>50</v>
      </c>
      <c r="C58" s="260" t="s">
        <v>113</v>
      </c>
      <c r="D58" s="317" t="s">
        <v>29</v>
      </c>
      <c r="E58" s="317" t="s">
        <v>432</v>
      </c>
      <c r="F58" s="257">
        <v>45479</v>
      </c>
      <c r="G58" s="323">
        <v>39.527000000000001</v>
      </c>
      <c r="H58" s="702" t="s">
        <v>31</v>
      </c>
      <c r="I58" s="702"/>
      <c r="J58" s="702"/>
      <c r="K58" s="702"/>
      <c r="L58" s="286">
        <v>45527</v>
      </c>
      <c r="M58" s="317" t="s">
        <v>40</v>
      </c>
      <c r="N58" s="323" t="s">
        <v>172</v>
      </c>
      <c r="O58" s="317">
        <v>13</v>
      </c>
      <c r="P58" s="317"/>
    </row>
    <row r="59" spans="2:16" s="224" customFormat="1" ht="15" customHeight="1" x14ac:dyDescent="0.2">
      <c r="B59" s="317">
        <f t="shared" si="0"/>
        <v>51</v>
      </c>
      <c r="C59" s="260" t="s">
        <v>170</v>
      </c>
      <c r="D59" s="317" t="s">
        <v>29</v>
      </c>
      <c r="E59" s="317" t="s">
        <v>30</v>
      </c>
      <c r="F59" s="257">
        <v>45512</v>
      </c>
      <c r="G59" s="323">
        <v>25.577999999999999</v>
      </c>
      <c r="H59" s="702" t="s">
        <v>31</v>
      </c>
      <c r="I59" s="702"/>
      <c r="J59" s="702"/>
      <c r="K59" s="702"/>
      <c r="L59" s="286">
        <v>45528</v>
      </c>
      <c r="M59" s="317" t="s">
        <v>32</v>
      </c>
      <c r="N59" s="323" t="s">
        <v>172</v>
      </c>
      <c r="O59" s="317">
        <v>12</v>
      </c>
      <c r="P59" s="317"/>
    </row>
    <row r="60" spans="2:16" s="224" customFormat="1" ht="15" customHeight="1" x14ac:dyDescent="0.2">
      <c r="B60" s="317">
        <f t="shared" si="0"/>
        <v>52</v>
      </c>
      <c r="C60" s="260" t="s">
        <v>177</v>
      </c>
      <c r="D60" s="317" t="s">
        <v>135</v>
      </c>
      <c r="E60" s="317" t="s">
        <v>30</v>
      </c>
      <c r="F60" s="257">
        <v>45517</v>
      </c>
      <c r="G60" s="323">
        <v>43.667999999999999</v>
      </c>
      <c r="H60" s="702" t="s">
        <v>31</v>
      </c>
      <c r="I60" s="702"/>
      <c r="J60" s="702"/>
      <c r="K60" s="702"/>
      <c r="L60" s="286">
        <v>45529</v>
      </c>
      <c r="M60" s="317" t="s">
        <v>124</v>
      </c>
      <c r="N60" s="323" t="s">
        <v>172</v>
      </c>
      <c r="O60" s="317">
        <v>13</v>
      </c>
      <c r="P60" s="317"/>
    </row>
    <row r="61" spans="2:16" s="224" customFormat="1" ht="15" customHeight="1" x14ac:dyDescent="0.2">
      <c r="B61" s="317">
        <f t="shared" si="0"/>
        <v>53</v>
      </c>
      <c r="C61" s="260" t="s">
        <v>181</v>
      </c>
      <c r="D61" s="323" t="s">
        <v>167</v>
      </c>
      <c r="E61" s="323" t="s">
        <v>30</v>
      </c>
      <c r="F61" s="257">
        <v>45524</v>
      </c>
      <c r="G61" s="323">
        <v>26.872</v>
      </c>
      <c r="H61" s="702" t="s">
        <v>31</v>
      </c>
      <c r="I61" s="702"/>
      <c r="J61" s="702"/>
      <c r="K61" s="702"/>
      <c r="L61" s="286">
        <v>45531</v>
      </c>
      <c r="M61" s="317" t="s">
        <v>32</v>
      </c>
      <c r="N61" s="323" t="s">
        <v>172</v>
      </c>
      <c r="O61" s="317">
        <v>19</v>
      </c>
      <c r="P61" s="317"/>
    </row>
    <row r="62" spans="2:16" s="224" customFormat="1" ht="15" customHeight="1" x14ac:dyDescent="0.2">
      <c r="B62" s="317">
        <f t="shared" si="0"/>
        <v>54</v>
      </c>
      <c r="C62" s="260" t="s">
        <v>182</v>
      </c>
      <c r="D62" s="323" t="s">
        <v>167</v>
      </c>
      <c r="E62" s="317" t="s">
        <v>30</v>
      </c>
      <c r="F62" s="257">
        <v>45524</v>
      </c>
      <c r="G62" s="323">
        <v>26.872</v>
      </c>
      <c r="H62" s="702" t="s">
        <v>31</v>
      </c>
      <c r="I62" s="702"/>
      <c r="J62" s="702"/>
      <c r="K62" s="702"/>
      <c r="L62" s="286">
        <v>45532</v>
      </c>
      <c r="M62" s="317" t="s">
        <v>61</v>
      </c>
      <c r="N62" s="323" t="s">
        <v>172</v>
      </c>
      <c r="O62" s="317">
        <v>12</v>
      </c>
      <c r="P62" s="317"/>
    </row>
    <row r="63" spans="2:16" s="224" customFormat="1" ht="15" customHeight="1" x14ac:dyDescent="0.2">
      <c r="B63" s="317">
        <f t="shared" si="0"/>
        <v>55</v>
      </c>
      <c r="C63" s="260" t="s">
        <v>345</v>
      </c>
      <c r="D63" s="317" t="s">
        <v>29</v>
      </c>
      <c r="E63" s="317" t="s">
        <v>30</v>
      </c>
      <c r="F63" s="257">
        <v>45529</v>
      </c>
      <c r="G63" s="323">
        <v>25.577999999999999</v>
      </c>
      <c r="H63" s="702" t="s">
        <v>31</v>
      </c>
      <c r="I63" s="702"/>
      <c r="J63" s="702"/>
      <c r="K63" s="702"/>
      <c r="L63" s="286">
        <v>45534</v>
      </c>
      <c r="M63" s="257" t="s">
        <v>32</v>
      </c>
      <c r="N63" s="323" t="s">
        <v>172</v>
      </c>
      <c r="O63" s="317">
        <v>19</v>
      </c>
      <c r="P63" s="317"/>
    </row>
    <row r="64" spans="2:16" s="224" customFormat="1" ht="15" customHeight="1" x14ac:dyDescent="0.2">
      <c r="B64" s="317">
        <f t="shared" si="0"/>
        <v>56</v>
      </c>
      <c r="C64" s="260" t="s">
        <v>171</v>
      </c>
      <c r="D64" s="317" t="s">
        <v>29</v>
      </c>
      <c r="E64" s="317" t="s">
        <v>432</v>
      </c>
      <c r="F64" s="257">
        <v>45512</v>
      </c>
      <c r="G64" s="323">
        <v>39.527000000000001</v>
      </c>
      <c r="H64" s="702" t="s">
        <v>31</v>
      </c>
      <c r="I64" s="702"/>
      <c r="J64" s="702"/>
      <c r="K64" s="702"/>
      <c r="L64" s="286">
        <v>45535</v>
      </c>
      <c r="M64" s="317" t="s">
        <v>124</v>
      </c>
      <c r="N64" s="323" t="s">
        <v>172</v>
      </c>
      <c r="O64" s="317">
        <v>13</v>
      </c>
      <c r="P64" s="317"/>
    </row>
    <row r="65" spans="2:16" s="221" customFormat="1" ht="15" customHeight="1" x14ac:dyDescent="0.2">
      <c r="B65" s="317">
        <f t="shared" si="0"/>
        <v>57</v>
      </c>
      <c r="C65" s="260" t="s">
        <v>178</v>
      </c>
      <c r="D65" s="323" t="s">
        <v>131</v>
      </c>
      <c r="E65" s="323" t="s">
        <v>30</v>
      </c>
      <c r="F65" s="257">
        <v>45520</v>
      </c>
      <c r="G65" s="323">
        <v>45.764000000000003</v>
      </c>
      <c r="H65" s="702" t="s">
        <v>31</v>
      </c>
      <c r="I65" s="702"/>
      <c r="J65" s="702"/>
      <c r="K65" s="702"/>
      <c r="L65" s="286">
        <v>45543</v>
      </c>
      <c r="M65" s="317" t="s">
        <v>61</v>
      </c>
      <c r="N65" s="323" t="s">
        <v>172</v>
      </c>
      <c r="O65" s="317">
        <v>12</v>
      </c>
      <c r="P65" s="317"/>
    </row>
    <row r="66" spans="2:16" s="224" customFormat="1" ht="15" customHeight="1" x14ac:dyDescent="0.2">
      <c r="B66" s="317">
        <f t="shared" si="0"/>
        <v>58</v>
      </c>
      <c r="C66" s="260" t="s">
        <v>356</v>
      </c>
      <c r="D66" s="317" t="s">
        <v>167</v>
      </c>
      <c r="E66" s="317" t="s">
        <v>432</v>
      </c>
      <c r="F66" s="257">
        <v>45528</v>
      </c>
      <c r="G66" s="323">
        <v>40.405999999999999</v>
      </c>
      <c r="H66" s="702" t="s">
        <v>31</v>
      </c>
      <c r="I66" s="702"/>
      <c r="J66" s="702"/>
      <c r="K66" s="702"/>
      <c r="L66" s="257">
        <v>45546</v>
      </c>
      <c r="M66" s="317" t="s">
        <v>175</v>
      </c>
      <c r="N66" s="323" t="s">
        <v>172</v>
      </c>
      <c r="O66" s="317">
        <v>11</v>
      </c>
      <c r="P66" s="317"/>
    </row>
    <row r="67" spans="2:16" s="220" customFormat="1" ht="14.25" customHeight="1" x14ac:dyDescent="0.25">
      <c r="B67" s="317">
        <f t="shared" si="0"/>
        <v>59</v>
      </c>
      <c r="C67" s="260" t="s">
        <v>349</v>
      </c>
      <c r="D67" s="317" t="s">
        <v>352</v>
      </c>
      <c r="E67" s="317" t="s">
        <v>30</v>
      </c>
      <c r="F67" s="257">
        <v>45540</v>
      </c>
      <c r="G67" s="317">
        <v>47.610999999999997</v>
      </c>
      <c r="H67" s="702" t="s">
        <v>31</v>
      </c>
      <c r="I67" s="702"/>
      <c r="J67" s="702"/>
      <c r="K67" s="702"/>
      <c r="L67" s="257">
        <v>45546</v>
      </c>
      <c r="M67" s="257" t="s">
        <v>32</v>
      </c>
      <c r="N67" s="323" t="s">
        <v>172</v>
      </c>
      <c r="O67" s="317">
        <v>19</v>
      </c>
      <c r="P67" s="317"/>
    </row>
    <row r="68" spans="2:16" ht="15" customHeight="1" x14ac:dyDescent="0.2">
      <c r="B68" s="317">
        <f t="shared" si="0"/>
        <v>60</v>
      </c>
      <c r="C68" s="260" t="s">
        <v>348</v>
      </c>
      <c r="D68" s="317" t="s">
        <v>29</v>
      </c>
      <c r="E68" s="317" t="s">
        <v>30</v>
      </c>
      <c r="F68" s="257" t="s">
        <v>435</v>
      </c>
      <c r="G68" s="317">
        <v>26.872</v>
      </c>
      <c r="H68" s="702" t="s">
        <v>31</v>
      </c>
      <c r="I68" s="702"/>
      <c r="J68" s="702"/>
      <c r="K68" s="702"/>
      <c r="L68" s="317" t="s">
        <v>439</v>
      </c>
      <c r="M68" s="257" t="s">
        <v>32</v>
      </c>
      <c r="N68" s="323" t="s">
        <v>172</v>
      </c>
      <c r="O68" s="317">
        <v>19</v>
      </c>
      <c r="P68" s="317"/>
    </row>
    <row r="69" spans="2:16" ht="15" customHeight="1" x14ac:dyDescent="0.2">
      <c r="B69" s="317">
        <f t="shared" si="0"/>
        <v>61</v>
      </c>
      <c r="C69" s="260" t="s">
        <v>63</v>
      </c>
      <c r="D69" s="317" t="s">
        <v>43</v>
      </c>
      <c r="E69" s="317" t="s">
        <v>336</v>
      </c>
      <c r="F69" s="257">
        <v>45470</v>
      </c>
      <c r="G69" s="323">
        <v>40.405999999999999</v>
      </c>
      <c r="H69" s="702" t="s">
        <v>31</v>
      </c>
      <c r="I69" s="702"/>
      <c r="J69" s="702"/>
      <c r="K69" s="702"/>
      <c r="L69" s="257" t="s">
        <v>441</v>
      </c>
      <c r="M69" s="317" t="s">
        <v>40</v>
      </c>
      <c r="N69" s="323" t="s">
        <v>172</v>
      </c>
      <c r="O69" s="317">
        <v>13</v>
      </c>
      <c r="P69" s="228"/>
    </row>
    <row r="70" spans="2:16" ht="15" customHeight="1" x14ac:dyDescent="0.2">
      <c r="B70" s="317">
        <f t="shared" si="0"/>
        <v>62</v>
      </c>
      <c r="C70" s="260" t="s">
        <v>357</v>
      </c>
      <c r="D70" s="317" t="s">
        <v>29</v>
      </c>
      <c r="E70" s="317" t="s">
        <v>30</v>
      </c>
      <c r="F70" s="257">
        <v>45546</v>
      </c>
      <c r="G70" s="317">
        <v>25.577999999999999</v>
      </c>
      <c r="H70" s="702" t="s">
        <v>31</v>
      </c>
      <c r="I70" s="702"/>
      <c r="J70" s="702"/>
      <c r="K70" s="702"/>
      <c r="L70" s="257" t="s">
        <v>441</v>
      </c>
      <c r="M70" s="317" t="s">
        <v>175</v>
      </c>
      <c r="N70" s="323" t="s">
        <v>172</v>
      </c>
      <c r="O70" s="317">
        <v>12</v>
      </c>
      <c r="P70" s="228"/>
    </row>
    <row r="71" spans="2:16" ht="15" customHeight="1" x14ac:dyDescent="0.2">
      <c r="B71" s="317">
        <f t="shared" si="0"/>
        <v>63</v>
      </c>
      <c r="C71" s="260" t="s">
        <v>346</v>
      </c>
      <c r="D71" s="317" t="s">
        <v>29</v>
      </c>
      <c r="E71" s="317" t="s">
        <v>30</v>
      </c>
      <c r="F71" s="257">
        <v>45532</v>
      </c>
      <c r="G71" s="323">
        <v>25.577999999999999</v>
      </c>
      <c r="H71" s="702" t="s">
        <v>31</v>
      </c>
      <c r="I71" s="702"/>
      <c r="J71" s="702"/>
      <c r="K71" s="702"/>
      <c r="L71" s="257" t="s">
        <v>441</v>
      </c>
      <c r="M71" s="257" t="s">
        <v>32</v>
      </c>
      <c r="N71" s="323" t="s">
        <v>172</v>
      </c>
      <c r="O71" s="317">
        <v>19</v>
      </c>
      <c r="P71" s="317"/>
    </row>
    <row r="72" spans="2:16" s="338" customFormat="1" ht="14.25" customHeight="1" x14ac:dyDescent="0.25">
      <c r="B72" s="317">
        <f>B71+1</f>
        <v>64</v>
      </c>
      <c r="C72" s="260" t="s">
        <v>287</v>
      </c>
      <c r="D72" s="317" t="s">
        <v>29</v>
      </c>
      <c r="E72" s="317" t="s">
        <v>30</v>
      </c>
      <c r="F72" s="257">
        <v>45528</v>
      </c>
      <c r="G72" s="323">
        <v>25.577999999999999</v>
      </c>
      <c r="H72" s="702" t="s">
        <v>31</v>
      </c>
      <c r="I72" s="702"/>
      <c r="J72" s="702"/>
      <c r="K72" s="702"/>
      <c r="L72" s="257" t="s">
        <v>440</v>
      </c>
      <c r="M72" s="317" t="s">
        <v>61</v>
      </c>
      <c r="N72" s="323" t="s">
        <v>172</v>
      </c>
      <c r="O72" s="317">
        <v>11</v>
      </c>
      <c r="P72" s="317"/>
    </row>
    <row r="73" spans="2:16" s="220" customFormat="1" ht="14.25" customHeight="1" x14ac:dyDescent="0.25">
      <c r="B73" s="317">
        <f t="shared" si="0"/>
        <v>65</v>
      </c>
      <c r="C73" s="260" t="s">
        <v>351</v>
      </c>
      <c r="D73" s="317" t="s">
        <v>34</v>
      </c>
      <c r="E73" s="317" t="s">
        <v>30</v>
      </c>
      <c r="F73" s="257">
        <v>45558</v>
      </c>
      <c r="G73" s="317">
        <v>25.577999999999999</v>
      </c>
      <c r="H73" s="702" t="s">
        <v>31</v>
      </c>
      <c r="I73" s="702"/>
      <c r="J73" s="702"/>
      <c r="K73" s="702"/>
      <c r="L73" s="257">
        <v>45562</v>
      </c>
      <c r="M73" s="257" t="s">
        <v>32</v>
      </c>
      <c r="N73" s="323" t="s">
        <v>172</v>
      </c>
      <c r="O73" s="317">
        <v>19</v>
      </c>
      <c r="P73" s="317"/>
    </row>
    <row r="74" spans="2:16" s="220" customFormat="1" ht="14.25" customHeight="1" x14ac:dyDescent="0.25">
      <c r="B74" s="317">
        <f t="shared" ref="B74:B137" si="1">B73+1</f>
        <v>66</v>
      </c>
      <c r="C74" s="260" t="s">
        <v>288</v>
      </c>
      <c r="D74" s="317" t="s">
        <v>135</v>
      </c>
      <c r="E74" s="317" t="s">
        <v>30</v>
      </c>
      <c r="F74" s="257">
        <v>45558</v>
      </c>
      <c r="G74" s="323">
        <v>43.667999999999999</v>
      </c>
      <c r="H74" s="702" t="s">
        <v>31</v>
      </c>
      <c r="I74" s="702"/>
      <c r="J74" s="702"/>
      <c r="K74" s="702"/>
      <c r="L74" s="257">
        <v>45565</v>
      </c>
      <c r="M74" s="317" t="s">
        <v>61</v>
      </c>
      <c r="N74" s="323" t="s">
        <v>172</v>
      </c>
      <c r="O74" s="317">
        <v>11</v>
      </c>
      <c r="P74" s="317"/>
    </row>
    <row r="75" spans="2:16" s="220" customFormat="1" ht="14.25" customHeight="1" x14ac:dyDescent="0.25">
      <c r="B75" s="317">
        <f t="shared" si="1"/>
        <v>67</v>
      </c>
      <c r="C75" s="260" t="s">
        <v>355</v>
      </c>
      <c r="D75" s="317" t="s">
        <v>34</v>
      </c>
      <c r="E75" s="317" t="s">
        <v>30</v>
      </c>
      <c r="F75" s="257">
        <v>45535</v>
      </c>
      <c r="G75" s="317">
        <v>26.872</v>
      </c>
      <c r="H75" s="702" t="s">
        <v>31</v>
      </c>
      <c r="I75" s="702"/>
      <c r="J75" s="702"/>
      <c r="K75" s="702"/>
      <c r="L75" s="257">
        <v>45568</v>
      </c>
      <c r="M75" s="257" t="s">
        <v>32</v>
      </c>
      <c r="N75" s="323" t="s">
        <v>172</v>
      </c>
      <c r="O75" s="317">
        <v>19</v>
      </c>
      <c r="P75" s="228"/>
    </row>
    <row r="76" spans="2:16" s="220" customFormat="1" ht="14.25" customHeight="1" x14ac:dyDescent="0.25">
      <c r="B76" s="317">
        <f t="shared" si="1"/>
        <v>68</v>
      </c>
      <c r="C76" s="260" t="s">
        <v>442</v>
      </c>
      <c r="D76" s="317" t="s">
        <v>165</v>
      </c>
      <c r="E76" s="317" t="s">
        <v>432</v>
      </c>
      <c r="F76" s="257">
        <v>45559</v>
      </c>
      <c r="G76" s="317">
        <v>39.527000000000001</v>
      </c>
      <c r="H76" s="702" t="s">
        <v>31</v>
      </c>
      <c r="I76" s="702"/>
      <c r="J76" s="702"/>
      <c r="K76" s="702"/>
      <c r="L76" s="257">
        <v>45569</v>
      </c>
      <c r="M76" s="257" t="s">
        <v>124</v>
      </c>
      <c r="N76" s="323" t="s">
        <v>172</v>
      </c>
      <c r="O76" s="317">
        <v>13</v>
      </c>
      <c r="P76" s="228"/>
    </row>
    <row r="77" spans="2:16" s="220" customFormat="1" ht="14.25" customHeight="1" x14ac:dyDescent="0.25">
      <c r="B77" s="317">
        <f t="shared" si="1"/>
        <v>69</v>
      </c>
      <c r="C77" s="260" t="s">
        <v>330</v>
      </c>
      <c r="D77" s="317" t="s">
        <v>34</v>
      </c>
      <c r="E77" s="228" t="s">
        <v>30</v>
      </c>
      <c r="F77" s="333">
        <v>45557</v>
      </c>
      <c r="G77" s="228">
        <v>25.577999999999999</v>
      </c>
      <c r="H77" s="702" t="s">
        <v>31</v>
      </c>
      <c r="I77" s="702"/>
      <c r="J77" s="702"/>
      <c r="K77" s="702"/>
      <c r="L77" s="257">
        <v>45575</v>
      </c>
      <c r="M77" s="333" t="s">
        <v>124</v>
      </c>
      <c r="N77" s="323" t="s">
        <v>172</v>
      </c>
      <c r="O77" s="228">
        <v>13</v>
      </c>
      <c r="P77" s="228"/>
    </row>
    <row r="78" spans="2:16" s="220" customFormat="1" ht="14.25" customHeight="1" x14ac:dyDescent="0.25">
      <c r="B78" s="317">
        <f t="shared" si="1"/>
        <v>70</v>
      </c>
      <c r="C78" s="260" t="s">
        <v>350</v>
      </c>
      <c r="D78" s="317" t="s">
        <v>353</v>
      </c>
      <c r="E78" s="228" t="s">
        <v>30</v>
      </c>
      <c r="F78" s="333">
        <v>45570</v>
      </c>
      <c r="G78" s="228">
        <v>67.247</v>
      </c>
      <c r="H78" s="702" t="s">
        <v>31</v>
      </c>
      <c r="I78" s="702"/>
      <c r="J78" s="702"/>
      <c r="K78" s="702"/>
      <c r="L78" s="257">
        <v>45577</v>
      </c>
      <c r="M78" s="257" t="s">
        <v>32</v>
      </c>
      <c r="N78" s="323" t="s">
        <v>172</v>
      </c>
      <c r="O78" s="228">
        <v>19</v>
      </c>
      <c r="P78" s="228"/>
    </row>
    <row r="79" spans="2:16" s="220" customFormat="1" ht="14.25" customHeight="1" x14ac:dyDescent="0.25">
      <c r="B79" s="317">
        <f t="shared" si="1"/>
        <v>71</v>
      </c>
      <c r="C79" s="260" t="s">
        <v>286</v>
      </c>
      <c r="D79" s="317" t="s">
        <v>34</v>
      </c>
      <c r="E79" s="317" t="s">
        <v>432</v>
      </c>
      <c r="F79" s="257">
        <v>45535</v>
      </c>
      <c r="G79" s="323">
        <v>39.527000000000001</v>
      </c>
      <c r="H79" s="702" t="s">
        <v>31</v>
      </c>
      <c r="I79" s="702"/>
      <c r="J79" s="702"/>
      <c r="K79" s="702"/>
      <c r="L79" s="257">
        <v>45579</v>
      </c>
      <c r="M79" s="317" t="s">
        <v>61</v>
      </c>
      <c r="N79" s="323" t="s">
        <v>172</v>
      </c>
      <c r="O79" s="317">
        <v>12</v>
      </c>
      <c r="P79" s="317"/>
    </row>
    <row r="80" spans="2:16" s="220" customFormat="1" ht="14.25" customHeight="1" x14ac:dyDescent="0.25">
      <c r="B80" s="317">
        <f t="shared" si="1"/>
        <v>72</v>
      </c>
      <c r="C80" s="260" t="s">
        <v>329</v>
      </c>
      <c r="D80" s="288" t="s">
        <v>165</v>
      </c>
      <c r="E80" s="317" t="s">
        <v>30</v>
      </c>
      <c r="F80" s="257">
        <v>45575</v>
      </c>
      <c r="G80" s="317">
        <v>25.577999999999999</v>
      </c>
      <c r="H80" s="702" t="s">
        <v>31</v>
      </c>
      <c r="I80" s="702"/>
      <c r="J80" s="702"/>
      <c r="K80" s="702"/>
      <c r="L80" s="257">
        <v>45582</v>
      </c>
      <c r="M80" s="317" t="s">
        <v>449</v>
      </c>
      <c r="N80" s="323" t="s">
        <v>172</v>
      </c>
      <c r="O80" s="317">
        <v>13</v>
      </c>
      <c r="P80" s="317"/>
    </row>
    <row r="81" spans="2:16" s="220" customFormat="1" ht="14.25" customHeight="1" x14ac:dyDescent="0.25">
      <c r="B81" s="317">
        <f t="shared" si="1"/>
        <v>73</v>
      </c>
      <c r="C81" s="260" t="s">
        <v>340</v>
      </c>
      <c r="D81" s="288" t="s">
        <v>452</v>
      </c>
      <c r="E81" s="317" t="s">
        <v>30</v>
      </c>
      <c r="F81" s="257">
        <v>45579</v>
      </c>
      <c r="G81" s="317">
        <v>67.247</v>
      </c>
      <c r="H81" s="702" t="s">
        <v>31</v>
      </c>
      <c r="I81" s="702"/>
      <c r="J81" s="702"/>
      <c r="K81" s="702"/>
      <c r="L81" s="257">
        <v>45583</v>
      </c>
      <c r="M81" s="317" t="s">
        <v>448</v>
      </c>
      <c r="N81" s="323"/>
      <c r="O81" s="317">
        <v>19</v>
      </c>
      <c r="P81" s="228"/>
    </row>
    <row r="82" spans="2:16" s="220" customFormat="1" ht="14.25" customHeight="1" x14ac:dyDescent="0.25">
      <c r="B82" s="317">
        <f t="shared" si="1"/>
        <v>74</v>
      </c>
      <c r="C82" s="260" t="s">
        <v>359</v>
      </c>
      <c r="D82" s="317" t="s">
        <v>34</v>
      </c>
      <c r="E82" s="317" t="s">
        <v>30</v>
      </c>
      <c r="F82" s="257">
        <v>45552</v>
      </c>
      <c r="G82" s="317">
        <v>26.872</v>
      </c>
      <c r="H82" s="702" t="s">
        <v>31</v>
      </c>
      <c r="I82" s="702"/>
      <c r="J82" s="702"/>
      <c r="K82" s="702"/>
      <c r="L82" s="257">
        <v>45586</v>
      </c>
      <c r="M82" s="257" t="s">
        <v>454</v>
      </c>
      <c r="N82" s="323" t="s">
        <v>172</v>
      </c>
      <c r="O82" s="317">
        <v>14</v>
      </c>
      <c r="P82" s="228"/>
    </row>
    <row r="83" spans="2:16" s="220" customFormat="1" ht="14.25" customHeight="1" x14ac:dyDescent="0.25">
      <c r="B83" s="317">
        <f t="shared" si="1"/>
        <v>75</v>
      </c>
      <c r="C83" s="260" t="s">
        <v>409</v>
      </c>
      <c r="D83" s="317" t="s">
        <v>43</v>
      </c>
      <c r="E83" s="317" t="s">
        <v>432</v>
      </c>
      <c r="F83" s="257">
        <v>45565</v>
      </c>
      <c r="G83" s="317">
        <v>40.405999999999999</v>
      </c>
      <c r="H83" s="702" t="s">
        <v>31</v>
      </c>
      <c r="I83" s="702"/>
      <c r="J83" s="702"/>
      <c r="K83" s="702"/>
      <c r="L83" s="257">
        <v>45586</v>
      </c>
      <c r="M83" s="317" t="s">
        <v>451</v>
      </c>
      <c r="N83" s="323" t="s">
        <v>172</v>
      </c>
      <c r="O83" s="317">
        <v>14</v>
      </c>
      <c r="P83" s="228"/>
    </row>
    <row r="84" spans="2:16" s="220" customFormat="1" ht="14.25" customHeight="1" x14ac:dyDescent="0.25">
      <c r="B84" s="317">
        <f t="shared" si="1"/>
        <v>76</v>
      </c>
      <c r="C84" s="260" t="s">
        <v>322</v>
      </c>
      <c r="D84" s="288" t="s">
        <v>43</v>
      </c>
      <c r="E84" s="317" t="s">
        <v>30</v>
      </c>
      <c r="F84" s="257">
        <v>45579</v>
      </c>
      <c r="G84" s="317">
        <v>26.872</v>
      </c>
      <c r="H84" s="702" t="s">
        <v>31</v>
      </c>
      <c r="I84" s="702"/>
      <c r="J84" s="702"/>
      <c r="K84" s="702"/>
      <c r="L84" s="257">
        <v>45589</v>
      </c>
      <c r="M84" s="317" t="s">
        <v>449</v>
      </c>
      <c r="N84" s="323" t="s">
        <v>172</v>
      </c>
      <c r="O84" s="317">
        <v>13</v>
      </c>
      <c r="P84" s="228"/>
    </row>
    <row r="85" spans="2:16" s="220" customFormat="1" ht="14.25" customHeight="1" x14ac:dyDescent="0.25">
      <c r="B85" s="317">
        <f t="shared" si="1"/>
        <v>77</v>
      </c>
      <c r="C85" s="260" t="s">
        <v>129</v>
      </c>
      <c r="D85" s="317" t="s">
        <v>29</v>
      </c>
      <c r="E85" s="317" t="s">
        <v>30</v>
      </c>
      <c r="F85" s="257">
        <v>45587</v>
      </c>
      <c r="G85" s="317">
        <v>25.577999999999999</v>
      </c>
      <c r="H85" s="702" t="s">
        <v>31</v>
      </c>
      <c r="I85" s="702"/>
      <c r="J85" s="702"/>
      <c r="K85" s="702"/>
      <c r="L85" s="257">
        <v>45595</v>
      </c>
      <c r="M85" s="317" t="s">
        <v>449</v>
      </c>
      <c r="N85" s="323" t="s">
        <v>172</v>
      </c>
      <c r="O85" s="317">
        <v>13</v>
      </c>
      <c r="P85" s="317"/>
    </row>
    <row r="86" spans="2:16" s="220" customFormat="1" ht="14.25" customHeight="1" x14ac:dyDescent="0.25">
      <c r="B86" s="317">
        <f t="shared" si="1"/>
        <v>78</v>
      </c>
      <c r="C86" s="260" t="s">
        <v>289</v>
      </c>
      <c r="D86" s="317" t="s">
        <v>34</v>
      </c>
      <c r="E86" s="317" t="s">
        <v>455</v>
      </c>
      <c r="F86" s="257">
        <v>45564</v>
      </c>
      <c r="G86" s="317">
        <f>37.84+4.104</f>
        <v>41.944000000000003</v>
      </c>
      <c r="H86" s="702" t="s">
        <v>31</v>
      </c>
      <c r="I86" s="702"/>
      <c r="J86" s="702"/>
      <c r="K86" s="702"/>
      <c r="L86" s="257">
        <v>45595</v>
      </c>
      <c r="M86" s="257" t="s">
        <v>61</v>
      </c>
      <c r="N86" s="323" t="s">
        <v>172</v>
      </c>
      <c r="O86" s="317">
        <v>12</v>
      </c>
      <c r="P86" s="317"/>
    </row>
    <row r="87" spans="2:16" s="220" customFormat="1" ht="14.25" customHeight="1" x14ac:dyDescent="0.25">
      <c r="B87" s="317">
        <f t="shared" si="1"/>
        <v>79</v>
      </c>
      <c r="C87" s="260" t="s">
        <v>445</v>
      </c>
      <c r="D87" s="288" t="s">
        <v>446</v>
      </c>
      <c r="E87" s="317" t="s">
        <v>30</v>
      </c>
      <c r="F87" s="257">
        <v>45570</v>
      </c>
      <c r="G87" s="317">
        <v>47.610999999999997</v>
      </c>
      <c r="H87" s="702" t="s">
        <v>31</v>
      </c>
      <c r="I87" s="702"/>
      <c r="J87" s="702"/>
      <c r="K87" s="702"/>
      <c r="L87" s="257">
        <v>45595</v>
      </c>
      <c r="M87" s="317" t="s">
        <v>451</v>
      </c>
      <c r="N87" s="323" t="s">
        <v>172</v>
      </c>
      <c r="O87" s="317">
        <v>14</v>
      </c>
      <c r="P87" s="317"/>
    </row>
    <row r="88" spans="2:16" s="220" customFormat="1" ht="14.25" customHeight="1" x14ac:dyDescent="0.25">
      <c r="B88" s="317">
        <f t="shared" si="1"/>
        <v>80</v>
      </c>
      <c r="C88" s="260" t="s">
        <v>415</v>
      </c>
      <c r="D88" s="317" t="s">
        <v>165</v>
      </c>
      <c r="E88" s="317" t="s">
        <v>455</v>
      </c>
      <c r="F88" s="257">
        <v>45588</v>
      </c>
      <c r="G88" s="317">
        <v>41.042000000000002</v>
      </c>
      <c r="H88" s="702" t="s">
        <v>31</v>
      </c>
      <c r="I88" s="702"/>
      <c r="J88" s="702"/>
      <c r="K88" s="702"/>
      <c r="L88" s="257">
        <v>45603</v>
      </c>
      <c r="M88" s="317" t="s">
        <v>451</v>
      </c>
      <c r="N88" s="323" t="s">
        <v>172</v>
      </c>
      <c r="O88" s="317">
        <v>14</v>
      </c>
      <c r="P88" s="317"/>
    </row>
    <row r="89" spans="2:16" s="220" customFormat="1" ht="14.25" customHeight="1" x14ac:dyDescent="0.25">
      <c r="B89" s="317">
        <f t="shared" si="1"/>
        <v>81</v>
      </c>
      <c r="C89" s="260" t="s">
        <v>303</v>
      </c>
      <c r="D89" s="317" t="s">
        <v>34</v>
      </c>
      <c r="E89" s="317" t="s">
        <v>455</v>
      </c>
      <c r="F89" s="257">
        <v>45583</v>
      </c>
      <c r="G89" s="317">
        <v>41.944000000000003</v>
      </c>
      <c r="H89" s="702" t="s">
        <v>31</v>
      </c>
      <c r="I89" s="702"/>
      <c r="J89" s="702"/>
      <c r="K89" s="702"/>
      <c r="L89" s="257">
        <v>45604</v>
      </c>
      <c r="M89" s="317" t="s">
        <v>464</v>
      </c>
      <c r="N89" s="323" t="s">
        <v>172</v>
      </c>
      <c r="O89" s="317">
        <v>17</v>
      </c>
      <c r="P89" s="317"/>
    </row>
    <row r="90" spans="2:16" s="220" customFormat="1" ht="14.25" customHeight="1" x14ac:dyDescent="0.25">
      <c r="B90" s="317">
        <f t="shared" si="1"/>
        <v>82</v>
      </c>
      <c r="C90" s="260" t="s">
        <v>280</v>
      </c>
      <c r="D90" s="317" t="s">
        <v>165</v>
      </c>
      <c r="E90" s="317" t="s">
        <v>30</v>
      </c>
      <c r="F90" s="257">
        <v>45598</v>
      </c>
      <c r="G90" s="317">
        <v>25.577999999999999</v>
      </c>
      <c r="H90" s="702" t="s">
        <v>31</v>
      </c>
      <c r="I90" s="702"/>
      <c r="J90" s="702"/>
      <c r="K90" s="702"/>
      <c r="L90" s="257">
        <v>45609</v>
      </c>
      <c r="M90" s="317" t="s">
        <v>466</v>
      </c>
      <c r="N90" s="323" t="s">
        <v>172</v>
      </c>
      <c r="O90" s="317">
        <v>15</v>
      </c>
      <c r="P90" s="228"/>
    </row>
    <row r="91" spans="2:16" s="220" customFormat="1" ht="14.25" customHeight="1" x14ac:dyDescent="0.25">
      <c r="B91" s="317">
        <f t="shared" si="1"/>
        <v>83</v>
      </c>
      <c r="C91" s="260" t="s">
        <v>326</v>
      </c>
      <c r="D91" s="317" t="s">
        <v>165</v>
      </c>
      <c r="E91" s="317" t="s">
        <v>455</v>
      </c>
      <c r="F91" s="257">
        <v>45604</v>
      </c>
      <c r="G91" s="317">
        <v>41.042000000000002</v>
      </c>
      <c r="H91" s="702" t="s">
        <v>31</v>
      </c>
      <c r="I91" s="702"/>
      <c r="J91" s="702"/>
      <c r="K91" s="702"/>
      <c r="L91" s="257">
        <v>45611</v>
      </c>
      <c r="M91" s="257" t="s">
        <v>449</v>
      </c>
      <c r="N91" s="323" t="s">
        <v>172</v>
      </c>
      <c r="O91" s="317">
        <v>17</v>
      </c>
      <c r="P91" s="228"/>
    </row>
    <row r="92" spans="2:16" s="220" customFormat="1" ht="14.25" customHeight="1" x14ac:dyDescent="0.25">
      <c r="B92" s="317">
        <f t="shared" si="1"/>
        <v>84</v>
      </c>
      <c r="C92" s="260" t="s">
        <v>302</v>
      </c>
      <c r="D92" s="317" t="s">
        <v>29</v>
      </c>
      <c r="E92" s="317" t="s">
        <v>456</v>
      </c>
      <c r="F92" s="257">
        <v>45606</v>
      </c>
      <c r="G92" s="317">
        <v>68.906000000000006</v>
      </c>
      <c r="H92" s="702" t="s">
        <v>31</v>
      </c>
      <c r="I92" s="702"/>
      <c r="J92" s="702"/>
      <c r="K92" s="702"/>
      <c r="L92" s="257">
        <v>45612</v>
      </c>
      <c r="M92" s="257" t="s">
        <v>467</v>
      </c>
      <c r="N92" s="257" t="s">
        <v>172</v>
      </c>
      <c r="O92" s="317">
        <v>12</v>
      </c>
      <c r="P92" s="317"/>
    </row>
    <row r="93" spans="2:16" s="220" customFormat="1" ht="14.25" customHeight="1" x14ac:dyDescent="0.25">
      <c r="B93" s="317">
        <f t="shared" si="1"/>
        <v>85</v>
      </c>
      <c r="C93" s="260" t="s">
        <v>403</v>
      </c>
      <c r="D93" s="317" t="s">
        <v>43</v>
      </c>
      <c r="E93" s="317" t="s">
        <v>336</v>
      </c>
      <c r="F93" s="257">
        <v>45604</v>
      </c>
      <c r="G93" s="317">
        <v>40.405999999999999</v>
      </c>
      <c r="H93" s="702" t="s">
        <v>31</v>
      </c>
      <c r="I93" s="702"/>
      <c r="J93" s="702"/>
      <c r="K93" s="702"/>
      <c r="L93" s="257">
        <v>45614</v>
      </c>
      <c r="M93" s="317" t="s">
        <v>472</v>
      </c>
      <c r="N93" s="317" t="s">
        <v>172</v>
      </c>
      <c r="O93" s="317">
        <v>13</v>
      </c>
      <c r="P93" s="228"/>
    </row>
    <row r="94" spans="2:16" s="220" customFormat="1" ht="14.25" customHeight="1" x14ac:dyDescent="0.25">
      <c r="B94" s="317">
        <f t="shared" si="1"/>
        <v>86</v>
      </c>
      <c r="C94" s="260" t="s">
        <v>284</v>
      </c>
      <c r="D94" s="317" t="s">
        <v>165</v>
      </c>
      <c r="E94" s="317" t="s">
        <v>455</v>
      </c>
      <c r="F94" s="257">
        <v>45602</v>
      </c>
      <c r="G94" s="317">
        <v>41.042000000000002</v>
      </c>
      <c r="H94" s="702" t="s">
        <v>31</v>
      </c>
      <c r="I94" s="702"/>
      <c r="J94" s="702"/>
      <c r="K94" s="702"/>
      <c r="L94" s="257">
        <v>45615</v>
      </c>
      <c r="M94" s="317" t="s">
        <v>466</v>
      </c>
      <c r="N94" s="317" t="s">
        <v>172</v>
      </c>
      <c r="O94" s="317">
        <v>15</v>
      </c>
      <c r="P94" s="228"/>
    </row>
    <row r="95" spans="2:16" s="220" customFormat="1" ht="14.25" customHeight="1" x14ac:dyDescent="0.25">
      <c r="B95" s="317">
        <f t="shared" si="1"/>
        <v>87</v>
      </c>
      <c r="C95" s="260" t="s">
        <v>305</v>
      </c>
      <c r="D95" s="317" t="s">
        <v>34</v>
      </c>
      <c r="E95" s="317" t="s">
        <v>456</v>
      </c>
      <c r="F95" s="257">
        <v>45583</v>
      </c>
      <c r="G95" s="317">
        <v>71.655000000000001</v>
      </c>
      <c r="H95" s="702" t="s">
        <v>31</v>
      </c>
      <c r="I95" s="702"/>
      <c r="J95" s="702"/>
      <c r="K95" s="702"/>
      <c r="L95" s="257">
        <v>45619</v>
      </c>
      <c r="M95" s="317" t="s">
        <v>464</v>
      </c>
      <c r="N95" s="317" t="s">
        <v>172</v>
      </c>
      <c r="O95" s="317">
        <v>13</v>
      </c>
      <c r="P95" s="317"/>
    </row>
    <row r="96" spans="2:16" s="220" customFormat="1" ht="14.25" customHeight="1" x14ac:dyDescent="0.25">
      <c r="B96" s="317">
        <f t="shared" si="1"/>
        <v>88</v>
      </c>
      <c r="C96" s="260" t="s">
        <v>292</v>
      </c>
      <c r="D96" s="317" t="s">
        <v>34</v>
      </c>
      <c r="E96" s="317" t="s">
        <v>456</v>
      </c>
      <c r="F96" s="257">
        <v>45590</v>
      </c>
      <c r="G96" s="317">
        <v>71.655000000000001</v>
      </c>
      <c r="H96" s="702" t="s">
        <v>31</v>
      </c>
      <c r="I96" s="702"/>
      <c r="J96" s="702"/>
      <c r="K96" s="702"/>
      <c r="L96" s="257">
        <v>45620</v>
      </c>
      <c r="M96" s="317" t="s">
        <v>473</v>
      </c>
      <c r="N96" s="317" t="s">
        <v>172</v>
      </c>
      <c r="O96" s="317">
        <v>12</v>
      </c>
      <c r="P96" s="317"/>
    </row>
    <row r="97" spans="2:16" s="220" customFormat="1" ht="14.25" customHeight="1" x14ac:dyDescent="0.25">
      <c r="B97" s="317">
        <f t="shared" si="1"/>
        <v>89</v>
      </c>
      <c r="C97" s="287" t="s">
        <v>398</v>
      </c>
      <c r="D97" s="317" t="s">
        <v>34</v>
      </c>
      <c r="E97" s="317" t="s">
        <v>462</v>
      </c>
      <c r="F97" s="257">
        <v>45610</v>
      </c>
      <c r="G97" s="317">
        <f>37.84+4.104</f>
        <v>41.944000000000003</v>
      </c>
      <c r="H97" s="702" t="s">
        <v>31</v>
      </c>
      <c r="I97" s="702"/>
      <c r="J97" s="702"/>
      <c r="K97" s="702"/>
      <c r="L97" s="257">
        <v>45620</v>
      </c>
      <c r="M97" s="317" t="s">
        <v>472</v>
      </c>
      <c r="N97" s="317" t="s">
        <v>172</v>
      </c>
      <c r="O97" s="317">
        <v>11</v>
      </c>
      <c r="P97" s="317"/>
    </row>
    <row r="98" spans="2:16" s="220" customFormat="1" ht="14.25" customHeight="1" x14ac:dyDescent="0.25">
      <c r="B98" s="317">
        <f t="shared" si="1"/>
        <v>90</v>
      </c>
      <c r="C98" s="288" t="s">
        <v>283</v>
      </c>
      <c r="D98" s="317" t="s">
        <v>29</v>
      </c>
      <c r="E98" s="317" t="s">
        <v>455</v>
      </c>
      <c r="F98" s="257">
        <v>45609</v>
      </c>
      <c r="G98" s="317">
        <v>41.042000000000002</v>
      </c>
      <c r="H98" s="702" t="s">
        <v>31</v>
      </c>
      <c r="I98" s="702"/>
      <c r="J98" s="702"/>
      <c r="K98" s="702"/>
      <c r="L98" s="257">
        <v>45620</v>
      </c>
      <c r="M98" s="317" t="s">
        <v>466</v>
      </c>
      <c r="N98" s="317" t="s">
        <v>172</v>
      </c>
      <c r="O98" s="317">
        <v>14</v>
      </c>
      <c r="P98" s="317"/>
    </row>
    <row r="99" spans="2:16" s="220" customFormat="1" ht="14.25" customHeight="1" x14ac:dyDescent="0.25">
      <c r="B99" s="317">
        <f t="shared" si="1"/>
        <v>91</v>
      </c>
      <c r="C99" s="260" t="s">
        <v>320</v>
      </c>
      <c r="D99" s="317" t="s">
        <v>34</v>
      </c>
      <c r="E99" s="317" t="s">
        <v>455</v>
      </c>
      <c r="F99" s="257">
        <v>45583</v>
      </c>
      <c r="G99" s="317">
        <f>37.84+4.104</f>
        <v>41.944000000000003</v>
      </c>
      <c r="H99" s="702" t="s">
        <v>31</v>
      </c>
      <c r="I99" s="702"/>
      <c r="J99" s="702"/>
      <c r="K99" s="702"/>
      <c r="L99" s="257">
        <v>45622</v>
      </c>
      <c r="M99" s="317" t="s">
        <v>449</v>
      </c>
      <c r="N99" s="317" t="s">
        <v>172</v>
      </c>
      <c r="O99" s="317">
        <v>15</v>
      </c>
      <c r="P99" s="317"/>
    </row>
    <row r="100" spans="2:16" s="220" customFormat="1" ht="14.25" customHeight="1" x14ac:dyDescent="0.25">
      <c r="B100" s="317">
        <f t="shared" si="1"/>
        <v>92</v>
      </c>
      <c r="C100" s="260" t="s">
        <v>313</v>
      </c>
      <c r="D100" s="317" t="s">
        <v>165</v>
      </c>
      <c r="E100" s="317" t="s">
        <v>456</v>
      </c>
      <c r="F100" s="257">
        <v>45583</v>
      </c>
      <c r="G100" s="317">
        <v>68.906000000000006</v>
      </c>
      <c r="H100" s="702" t="s">
        <v>31</v>
      </c>
      <c r="I100" s="702"/>
      <c r="J100" s="702"/>
      <c r="K100" s="702"/>
      <c r="L100" s="257">
        <v>45622</v>
      </c>
      <c r="M100" s="317" t="s">
        <v>465</v>
      </c>
      <c r="N100" s="317" t="s">
        <v>172</v>
      </c>
      <c r="O100" s="317">
        <v>13</v>
      </c>
      <c r="P100" s="317"/>
    </row>
    <row r="101" spans="2:16" s="220" customFormat="1" ht="14.25" customHeight="1" x14ac:dyDescent="0.25">
      <c r="B101" s="317">
        <f t="shared" si="1"/>
        <v>93</v>
      </c>
      <c r="C101" s="260" t="s">
        <v>396</v>
      </c>
      <c r="D101" s="317" t="s">
        <v>29</v>
      </c>
      <c r="E101" s="317" t="s">
        <v>432</v>
      </c>
      <c r="F101" s="257">
        <v>45614</v>
      </c>
      <c r="G101" s="317">
        <v>39.527000000000001</v>
      </c>
      <c r="H101" s="702" t="s">
        <v>31</v>
      </c>
      <c r="I101" s="702"/>
      <c r="J101" s="702"/>
      <c r="K101" s="702"/>
      <c r="L101" s="257">
        <v>45624</v>
      </c>
      <c r="M101" s="317" t="s">
        <v>474</v>
      </c>
      <c r="N101" s="317" t="s">
        <v>172</v>
      </c>
      <c r="O101" s="317">
        <v>14</v>
      </c>
      <c r="P101" s="317"/>
    </row>
    <row r="102" spans="2:16" s="220" customFormat="1" ht="14.25" customHeight="1" x14ac:dyDescent="0.25">
      <c r="B102" s="317">
        <f t="shared" si="1"/>
        <v>94</v>
      </c>
      <c r="C102" s="287" t="s">
        <v>405</v>
      </c>
      <c r="D102" s="317" t="s">
        <v>34</v>
      </c>
      <c r="E102" s="317" t="s">
        <v>337</v>
      </c>
      <c r="F102" s="257">
        <v>45614</v>
      </c>
      <c r="G102" s="317">
        <v>26.872</v>
      </c>
      <c r="H102" s="702" t="s">
        <v>31</v>
      </c>
      <c r="I102" s="702"/>
      <c r="J102" s="702"/>
      <c r="K102" s="702"/>
      <c r="L102" s="257">
        <v>45625</v>
      </c>
      <c r="M102" s="317" t="s">
        <v>472</v>
      </c>
      <c r="N102" s="317" t="s">
        <v>172</v>
      </c>
      <c r="O102" s="317">
        <v>11</v>
      </c>
      <c r="P102" s="317"/>
    </row>
    <row r="103" spans="2:16" s="220" customFormat="1" ht="14.25" customHeight="1" x14ac:dyDescent="0.25">
      <c r="B103" s="317">
        <f t="shared" si="1"/>
        <v>95</v>
      </c>
      <c r="C103" s="260" t="s">
        <v>323</v>
      </c>
      <c r="D103" s="317" t="s">
        <v>131</v>
      </c>
      <c r="E103" s="317" t="s">
        <v>337</v>
      </c>
      <c r="F103" s="257">
        <v>45600</v>
      </c>
      <c r="G103" s="317">
        <v>45.764000000000003</v>
      </c>
      <c r="H103" s="702" t="s">
        <v>31</v>
      </c>
      <c r="I103" s="702"/>
      <c r="J103" s="702"/>
      <c r="K103" s="702"/>
      <c r="L103" s="257">
        <v>45625</v>
      </c>
      <c r="M103" s="257" t="s">
        <v>449</v>
      </c>
      <c r="N103" s="317" t="s">
        <v>172</v>
      </c>
      <c r="O103" s="317">
        <v>16</v>
      </c>
      <c r="P103" s="317"/>
    </row>
    <row r="104" spans="2:16" s="220" customFormat="1" ht="14.25" customHeight="1" x14ac:dyDescent="0.25">
      <c r="B104" s="317">
        <f t="shared" si="1"/>
        <v>96</v>
      </c>
      <c r="C104" s="260" t="s">
        <v>291</v>
      </c>
      <c r="D104" s="317" t="s">
        <v>43</v>
      </c>
      <c r="E104" s="317" t="s">
        <v>456</v>
      </c>
      <c r="F104" s="257">
        <v>45619</v>
      </c>
      <c r="G104" s="317">
        <v>71.655000000000001</v>
      </c>
      <c r="H104" s="702" t="s">
        <v>31</v>
      </c>
      <c r="I104" s="702"/>
      <c r="J104" s="702"/>
      <c r="K104" s="702"/>
      <c r="L104" s="257">
        <v>45625</v>
      </c>
      <c r="M104" s="257" t="s">
        <v>473</v>
      </c>
      <c r="N104" s="317" t="s">
        <v>172</v>
      </c>
      <c r="O104" s="317">
        <v>14</v>
      </c>
      <c r="P104" s="317"/>
    </row>
    <row r="105" spans="2:16" s="220" customFormat="1" ht="14.25" customHeight="1" x14ac:dyDescent="0.25">
      <c r="B105" s="317">
        <f t="shared" si="1"/>
        <v>97</v>
      </c>
      <c r="C105" s="260" t="s">
        <v>397</v>
      </c>
      <c r="D105" s="317" t="s">
        <v>29</v>
      </c>
      <c r="E105" s="317" t="s">
        <v>337</v>
      </c>
      <c r="F105" s="257">
        <v>45620</v>
      </c>
      <c r="G105" s="317">
        <v>25.577999999999999</v>
      </c>
      <c r="H105" s="702" t="s">
        <v>31</v>
      </c>
      <c r="I105" s="702"/>
      <c r="J105" s="702"/>
      <c r="K105" s="702"/>
      <c r="L105" s="257">
        <v>45626</v>
      </c>
      <c r="M105" s="317" t="s">
        <v>474</v>
      </c>
      <c r="N105" s="317" t="s">
        <v>172</v>
      </c>
      <c r="O105" s="317">
        <v>11</v>
      </c>
      <c r="P105" s="317"/>
    </row>
    <row r="106" spans="2:16" s="220" customFormat="1" ht="14.25" customHeight="1" x14ac:dyDescent="0.25">
      <c r="B106" s="317">
        <f t="shared" si="1"/>
        <v>98</v>
      </c>
      <c r="C106" s="260" t="s">
        <v>297</v>
      </c>
      <c r="D106" s="317" t="s">
        <v>34</v>
      </c>
      <c r="E106" s="317" t="s">
        <v>456</v>
      </c>
      <c r="F106" s="257">
        <v>45612</v>
      </c>
      <c r="G106" s="317">
        <v>71.655000000000001</v>
      </c>
      <c r="H106" s="702" t="s">
        <v>31</v>
      </c>
      <c r="I106" s="702"/>
      <c r="J106" s="702"/>
      <c r="K106" s="702"/>
      <c r="L106" s="257">
        <v>45626</v>
      </c>
      <c r="M106" s="317" t="s">
        <v>464</v>
      </c>
      <c r="N106" s="317" t="s">
        <v>172</v>
      </c>
      <c r="O106" s="317">
        <v>16</v>
      </c>
      <c r="P106" s="317"/>
    </row>
    <row r="107" spans="2:16" s="220" customFormat="1" ht="14.25" customHeight="1" x14ac:dyDescent="0.25">
      <c r="B107" s="317">
        <f t="shared" si="1"/>
        <v>99</v>
      </c>
      <c r="C107" s="260" t="s">
        <v>272</v>
      </c>
      <c r="D107" s="317" t="s">
        <v>34</v>
      </c>
      <c r="E107" s="317" t="s">
        <v>30</v>
      </c>
      <c r="F107" s="257">
        <v>45619</v>
      </c>
      <c r="G107" s="317">
        <v>40.405999999999999</v>
      </c>
      <c r="H107" s="702" t="s">
        <v>31</v>
      </c>
      <c r="I107" s="702"/>
      <c r="J107" s="702"/>
      <c r="K107" s="702"/>
      <c r="L107" s="257">
        <v>45626</v>
      </c>
      <c r="M107" s="317" t="s">
        <v>466</v>
      </c>
      <c r="N107" s="317" t="s">
        <v>172</v>
      </c>
      <c r="O107" s="317">
        <v>14</v>
      </c>
      <c r="P107" s="317"/>
    </row>
    <row r="108" spans="2:16" s="220" customFormat="1" ht="14.25" customHeight="1" x14ac:dyDescent="0.25">
      <c r="B108" s="317">
        <f t="shared" si="1"/>
        <v>100</v>
      </c>
      <c r="C108" s="260" t="s">
        <v>293</v>
      </c>
      <c r="D108" s="317" t="s">
        <v>29</v>
      </c>
      <c r="E108" s="317" t="s">
        <v>462</v>
      </c>
      <c r="F108" s="257">
        <v>45624</v>
      </c>
      <c r="G108" s="317">
        <v>41.042000000000002</v>
      </c>
      <c r="H108" s="702" t="s">
        <v>31</v>
      </c>
      <c r="I108" s="702"/>
      <c r="J108" s="702"/>
      <c r="K108" s="702"/>
      <c r="L108" s="257">
        <v>45626</v>
      </c>
      <c r="M108" s="317" t="s">
        <v>473</v>
      </c>
      <c r="N108" s="317" t="s">
        <v>172</v>
      </c>
      <c r="O108" s="317">
        <v>14</v>
      </c>
      <c r="P108" s="317"/>
    </row>
    <row r="109" spans="2:16" s="220" customFormat="1" ht="14.25" customHeight="1" x14ac:dyDescent="0.25">
      <c r="B109" s="317">
        <f t="shared" si="1"/>
        <v>101</v>
      </c>
      <c r="C109" s="260" t="s">
        <v>316</v>
      </c>
      <c r="D109" s="317" t="s">
        <v>29</v>
      </c>
      <c r="E109" s="317" t="s">
        <v>456</v>
      </c>
      <c r="F109" s="257">
        <v>45618</v>
      </c>
      <c r="G109" s="317">
        <v>68.906000000000006</v>
      </c>
      <c r="H109" s="702" t="s">
        <v>31</v>
      </c>
      <c r="I109" s="702"/>
      <c r="J109" s="702"/>
      <c r="K109" s="702"/>
      <c r="L109" s="257">
        <v>45631</v>
      </c>
      <c r="M109" s="317" t="s">
        <v>465</v>
      </c>
      <c r="N109" s="317" t="s">
        <v>172</v>
      </c>
      <c r="O109" s="317">
        <v>16</v>
      </c>
      <c r="P109" s="317"/>
    </row>
    <row r="110" spans="2:16" s="220" customFormat="1" ht="14.25" customHeight="1" x14ac:dyDescent="0.25">
      <c r="B110" s="317">
        <f t="shared" si="1"/>
        <v>102</v>
      </c>
      <c r="C110" s="260" t="s">
        <v>290</v>
      </c>
      <c r="D110" s="317" t="s">
        <v>29</v>
      </c>
      <c r="E110" s="317" t="s">
        <v>456</v>
      </c>
      <c r="F110" s="257">
        <v>45627</v>
      </c>
      <c r="G110" s="317">
        <v>68.906000000000006</v>
      </c>
      <c r="H110" s="702" t="s">
        <v>31</v>
      </c>
      <c r="I110" s="702"/>
      <c r="J110" s="702"/>
      <c r="K110" s="702"/>
      <c r="L110" s="257">
        <v>45632</v>
      </c>
      <c r="M110" s="317" t="s">
        <v>473</v>
      </c>
      <c r="N110" s="317" t="s">
        <v>172</v>
      </c>
      <c r="O110" s="317">
        <v>14</v>
      </c>
      <c r="P110" s="317"/>
    </row>
    <row r="111" spans="2:16" s="220" customFormat="1" ht="14.25" customHeight="1" x14ac:dyDescent="0.25">
      <c r="B111" s="317">
        <f t="shared" si="1"/>
        <v>103</v>
      </c>
      <c r="C111" s="260" t="s">
        <v>393</v>
      </c>
      <c r="D111" s="317" t="s">
        <v>29</v>
      </c>
      <c r="E111" s="317" t="s">
        <v>30</v>
      </c>
      <c r="F111" s="257">
        <v>45614</v>
      </c>
      <c r="G111" s="317">
        <v>25.577999999999999</v>
      </c>
      <c r="H111" s="702" t="s">
        <v>31</v>
      </c>
      <c r="I111" s="702"/>
      <c r="J111" s="702"/>
      <c r="K111" s="702"/>
      <c r="L111" s="257">
        <v>45633</v>
      </c>
      <c r="M111" s="317" t="s">
        <v>474</v>
      </c>
      <c r="N111" s="317" t="s">
        <v>172</v>
      </c>
      <c r="O111" s="317">
        <v>11</v>
      </c>
      <c r="P111" s="317"/>
    </row>
    <row r="112" spans="2:16" s="220" customFormat="1" ht="14.25" customHeight="1" x14ac:dyDescent="0.25">
      <c r="B112" s="317">
        <f t="shared" si="1"/>
        <v>104</v>
      </c>
      <c r="C112" s="260" t="s">
        <v>324</v>
      </c>
      <c r="D112" s="317" t="s">
        <v>29</v>
      </c>
      <c r="E112" s="317" t="s">
        <v>30</v>
      </c>
      <c r="F112" s="257">
        <v>45627</v>
      </c>
      <c r="G112" s="317">
        <v>25.577999999999999</v>
      </c>
      <c r="H112" s="702" t="s">
        <v>31</v>
      </c>
      <c r="I112" s="702"/>
      <c r="J112" s="702"/>
      <c r="K112" s="702"/>
      <c r="L112" s="257">
        <v>45633</v>
      </c>
      <c r="M112" s="257" t="s">
        <v>449</v>
      </c>
      <c r="N112" s="317" t="s">
        <v>172</v>
      </c>
      <c r="O112" s="317">
        <v>16</v>
      </c>
      <c r="P112" s="317"/>
    </row>
    <row r="113" spans="2:16" s="220" customFormat="1" ht="14.25" customHeight="1" x14ac:dyDescent="0.25">
      <c r="B113" s="317">
        <f t="shared" si="1"/>
        <v>105</v>
      </c>
      <c r="C113" s="260" t="s">
        <v>377</v>
      </c>
      <c r="D113" s="317" t="s">
        <v>29</v>
      </c>
      <c r="E113" s="317" t="s">
        <v>30</v>
      </c>
      <c r="F113" s="257">
        <v>45624</v>
      </c>
      <c r="G113" s="317">
        <v>25.577999999999999</v>
      </c>
      <c r="H113" s="702" t="s">
        <v>31</v>
      </c>
      <c r="I113" s="702"/>
      <c r="J113" s="702"/>
      <c r="K113" s="702"/>
      <c r="L113" s="257">
        <v>45634</v>
      </c>
      <c r="M113" s="317" t="s">
        <v>495</v>
      </c>
      <c r="N113" s="317" t="s">
        <v>172</v>
      </c>
      <c r="O113" s="317">
        <v>14</v>
      </c>
      <c r="P113" s="317"/>
    </row>
    <row r="114" spans="2:16" s="220" customFormat="1" ht="14.25" customHeight="1" x14ac:dyDescent="0.25">
      <c r="B114" s="317">
        <f t="shared" si="1"/>
        <v>106</v>
      </c>
      <c r="C114" s="260" t="s">
        <v>325</v>
      </c>
      <c r="D114" s="317" t="s">
        <v>29</v>
      </c>
      <c r="E114" s="317" t="s">
        <v>30</v>
      </c>
      <c r="F114" s="257">
        <v>45628</v>
      </c>
      <c r="G114" s="317">
        <v>25.577999999999999</v>
      </c>
      <c r="H114" s="702" t="s">
        <v>31</v>
      </c>
      <c r="I114" s="702"/>
      <c r="J114" s="702"/>
      <c r="K114" s="702"/>
      <c r="L114" s="257">
        <v>45635</v>
      </c>
      <c r="M114" s="257" t="s">
        <v>449</v>
      </c>
      <c r="N114" s="317" t="s">
        <v>172</v>
      </c>
      <c r="O114" s="317">
        <v>14</v>
      </c>
      <c r="P114" s="317"/>
    </row>
    <row r="115" spans="2:16" s="220" customFormat="1" ht="14.25" customHeight="1" x14ac:dyDescent="0.25">
      <c r="B115" s="317">
        <f t="shared" si="1"/>
        <v>107</v>
      </c>
      <c r="C115" s="260" t="s">
        <v>404</v>
      </c>
      <c r="D115" s="317" t="s">
        <v>29</v>
      </c>
      <c r="E115" s="317" t="s">
        <v>456</v>
      </c>
      <c r="F115" s="257">
        <v>45626</v>
      </c>
      <c r="G115" s="317">
        <v>68.906000000000006</v>
      </c>
      <c r="H115" s="702" t="s">
        <v>31</v>
      </c>
      <c r="I115" s="702"/>
      <c r="J115" s="702"/>
      <c r="K115" s="702"/>
      <c r="L115" s="257">
        <v>45636</v>
      </c>
      <c r="M115" s="317" t="s">
        <v>472</v>
      </c>
      <c r="N115" s="317"/>
      <c r="O115" s="317">
        <v>16</v>
      </c>
      <c r="P115" s="317"/>
    </row>
    <row r="116" spans="2:16" s="220" customFormat="1" ht="14.25" customHeight="1" x14ac:dyDescent="0.25">
      <c r="B116" s="317">
        <f t="shared" si="1"/>
        <v>108</v>
      </c>
      <c r="C116" s="260" t="s">
        <v>274</v>
      </c>
      <c r="D116" s="317" t="s">
        <v>275</v>
      </c>
      <c r="E116" s="317" t="s">
        <v>30</v>
      </c>
      <c r="F116" s="257">
        <v>45628</v>
      </c>
      <c r="G116" s="317">
        <v>67.247</v>
      </c>
      <c r="H116" s="702" t="s">
        <v>31</v>
      </c>
      <c r="I116" s="702"/>
      <c r="J116" s="702"/>
      <c r="K116" s="702"/>
      <c r="L116" s="257">
        <v>45637</v>
      </c>
      <c r="M116" s="317" t="s">
        <v>466</v>
      </c>
      <c r="N116" s="317" t="s">
        <v>172</v>
      </c>
      <c r="O116" s="317">
        <v>14</v>
      </c>
      <c r="P116" s="317"/>
    </row>
    <row r="117" spans="2:16" s="220" customFormat="1" ht="14.25" customHeight="1" x14ac:dyDescent="0.25">
      <c r="B117" s="317">
        <f t="shared" si="1"/>
        <v>109</v>
      </c>
      <c r="C117" s="260" t="s">
        <v>361</v>
      </c>
      <c r="D117" s="317" t="s">
        <v>285</v>
      </c>
      <c r="E117" s="317" t="s">
        <v>432</v>
      </c>
      <c r="F117" s="257">
        <v>45629</v>
      </c>
      <c r="G117" s="317">
        <v>39.527000000000001</v>
      </c>
      <c r="H117" s="702" t="s">
        <v>31</v>
      </c>
      <c r="I117" s="702"/>
      <c r="J117" s="702"/>
      <c r="K117" s="702"/>
      <c r="L117" s="257">
        <v>45637</v>
      </c>
      <c r="M117" s="317" t="s">
        <v>448</v>
      </c>
      <c r="N117" s="317" t="s">
        <v>172</v>
      </c>
      <c r="O117" s="317">
        <v>14</v>
      </c>
      <c r="P117" s="317"/>
    </row>
    <row r="118" spans="2:16" s="220" customFormat="1" ht="14.25" customHeight="1" x14ac:dyDescent="0.25">
      <c r="B118" s="317">
        <f t="shared" si="1"/>
        <v>110</v>
      </c>
      <c r="C118" s="260" t="s">
        <v>298</v>
      </c>
      <c r="D118" s="317" t="s">
        <v>29</v>
      </c>
      <c r="E118" s="317" t="s">
        <v>456</v>
      </c>
      <c r="F118" s="257">
        <v>45627</v>
      </c>
      <c r="G118" s="317">
        <v>68.906000000000006</v>
      </c>
      <c r="H118" s="702" t="s">
        <v>31</v>
      </c>
      <c r="I118" s="702"/>
      <c r="J118" s="702"/>
      <c r="K118" s="702"/>
      <c r="L118" s="257">
        <v>45638</v>
      </c>
      <c r="M118" s="317" t="s">
        <v>464</v>
      </c>
      <c r="N118" s="317" t="s">
        <v>172</v>
      </c>
      <c r="O118" s="317">
        <v>17</v>
      </c>
      <c r="P118" s="317"/>
    </row>
    <row r="119" spans="2:16" s="220" customFormat="1" ht="14.25" customHeight="1" x14ac:dyDescent="0.25">
      <c r="B119" s="317">
        <f t="shared" si="1"/>
        <v>111</v>
      </c>
      <c r="C119" s="260" t="s">
        <v>399</v>
      </c>
      <c r="D119" s="317" t="s">
        <v>29</v>
      </c>
      <c r="E119" s="317" t="s">
        <v>30</v>
      </c>
      <c r="F119" s="257">
        <v>45630</v>
      </c>
      <c r="G119" s="317">
        <v>25.577999999999999</v>
      </c>
      <c r="H119" s="702" t="s">
        <v>31</v>
      </c>
      <c r="I119" s="702"/>
      <c r="J119" s="702"/>
      <c r="K119" s="702"/>
      <c r="L119" s="257">
        <v>45638</v>
      </c>
      <c r="M119" s="317" t="s">
        <v>474</v>
      </c>
      <c r="N119" s="317" t="s">
        <v>172</v>
      </c>
      <c r="O119" s="317">
        <v>15</v>
      </c>
      <c r="P119" s="317"/>
    </row>
    <row r="120" spans="2:16" s="220" customFormat="1" ht="14.25" customHeight="1" x14ac:dyDescent="0.25">
      <c r="B120" s="317">
        <f t="shared" si="1"/>
        <v>112</v>
      </c>
      <c r="C120" s="260" t="s">
        <v>294</v>
      </c>
      <c r="D120" s="317" t="s">
        <v>43</v>
      </c>
      <c r="E120" s="317" t="s">
        <v>456</v>
      </c>
      <c r="F120" s="257">
        <v>45630</v>
      </c>
      <c r="G120" s="317">
        <v>71.655000000000001</v>
      </c>
      <c r="H120" s="702" t="s">
        <v>31</v>
      </c>
      <c r="I120" s="702"/>
      <c r="J120" s="702"/>
      <c r="K120" s="702"/>
      <c r="L120" s="257">
        <v>45639</v>
      </c>
      <c r="M120" s="317" t="s">
        <v>473</v>
      </c>
      <c r="N120" s="317" t="s">
        <v>172</v>
      </c>
      <c r="O120" s="317">
        <v>17</v>
      </c>
      <c r="P120" s="317"/>
    </row>
    <row r="121" spans="2:16" s="220" customFormat="1" ht="14.25" customHeight="1" x14ac:dyDescent="0.25">
      <c r="B121" s="317">
        <f t="shared" si="1"/>
        <v>113</v>
      </c>
      <c r="C121" s="260" t="s">
        <v>335</v>
      </c>
      <c r="D121" s="317" t="s">
        <v>285</v>
      </c>
      <c r="E121" s="317" t="s">
        <v>432</v>
      </c>
      <c r="F121" s="257">
        <v>45633</v>
      </c>
      <c r="G121" s="317">
        <v>39.527000000000001</v>
      </c>
      <c r="H121" s="702" t="s">
        <v>31</v>
      </c>
      <c r="I121" s="702"/>
      <c r="J121" s="702"/>
      <c r="K121" s="702"/>
      <c r="L121" s="257">
        <v>45639</v>
      </c>
      <c r="M121" s="317" t="s">
        <v>449</v>
      </c>
      <c r="N121" s="317" t="s">
        <v>172</v>
      </c>
      <c r="O121" s="317">
        <v>12</v>
      </c>
      <c r="P121" s="317"/>
    </row>
    <row r="122" spans="2:16" s="220" customFormat="1" ht="14.25" customHeight="1" x14ac:dyDescent="0.25">
      <c r="B122" s="317">
        <f t="shared" si="1"/>
        <v>114</v>
      </c>
      <c r="C122" s="260" t="s">
        <v>334</v>
      </c>
      <c r="D122" s="317" t="s">
        <v>29</v>
      </c>
      <c r="E122" s="317" t="s">
        <v>30</v>
      </c>
      <c r="F122" s="257">
        <v>45633</v>
      </c>
      <c r="G122" s="317">
        <v>25.577999999999999</v>
      </c>
      <c r="H122" s="702" t="s">
        <v>31</v>
      </c>
      <c r="I122" s="702"/>
      <c r="J122" s="702"/>
      <c r="K122" s="702"/>
      <c r="L122" s="257">
        <v>45640</v>
      </c>
      <c r="M122" s="317" t="s">
        <v>124</v>
      </c>
      <c r="N122" s="317" t="s">
        <v>172</v>
      </c>
      <c r="O122" s="317">
        <v>13</v>
      </c>
      <c r="P122" s="317"/>
    </row>
    <row r="123" spans="2:16" s="220" customFormat="1" ht="14.25" customHeight="1" x14ac:dyDescent="0.25">
      <c r="B123" s="317">
        <f t="shared" si="1"/>
        <v>115</v>
      </c>
      <c r="C123" s="260" t="s">
        <v>363</v>
      </c>
      <c r="D123" s="317" t="s">
        <v>29</v>
      </c>
      <c r="E123" s="317" t="s">
        <v>432</v>
      </c>
      <c r="F123" s="257">
        <v>45634</v>
      </c>
      <c r="G123" s="317">
        <v>39.527000000000001</v>
      </c>
      <c r="H123" s="702" t="s">
        <v>31</v>
      </c>
      <c r="I123" s="702"/>
      <c r="J123" s="702"/>
      <c r="K123" s="702"/>
      <c r="L123" s="257">
        <v>45641</v>
      </c>
      <c r="M123" s="317" t="s">
        <v>448</v>
      </c>
      <c r="N123" s="317" t="s">
        <v>172</v>
      </c>
      <c r="O123" s="317">
        <v>15</v>
      </c>
      <c r="P123" s="317"/>
    </row>
    <row r="124" spans="2:16" s="220" customFormat="1" ht="14.25" customHeight="1" x14ac:dyDescent="0.25">
      <c r="B124" s="317">
        <f t="shared" si="1"/>
        <v>116</v>
      </c>
      <c r="C124" s="260" t="s">
        <v>406</v>
      </c>
      <c r="D124" s="317" t="s">
        <v>34</v>
      </c>
      <c r="E124" s="317" t="s">
        <v>30</v>
      </c>
      <c r="F124" s="257">
        <v>45634</v>
      </c>
      <c r="G124" s="317">
        <v>26.872</v>
      </c>
      <c r="H124" s="702" t="s">
        <v>31</v>
      </c>
      <c r="I124" s="702"/>
      <c r="J124" s="702"/>
      <c r="K124" s="702"/>
      <c r="L124" s="257">
        <v>45641</v>
      </c>
      <c r="M124" s="317" t="s">
        <v>472</v>
      </c>
      <c r="N124" s="317" t="s">
        <v>172</v>
      </c>
      <c r="O124" s="317">
        <v>16</v>
      </c>
      <c r="P124" s="317"/>
    </row>
    <row r="125" spans="2:16" s="220" customFormat="1" ht="14.25" customHeight="1" x14ac:dyDescent="0.25">
      <c r="B125" s="317">
        <f t="shared" si="1"/>
        <v>117</v>
      </c>
      <c r="C125" s="260" t="s">
        <v>378</v>
      </c>
      <c r="D125" s="317" t="s">
        <v>29</v>
      </c>
      <c r="E125" s="317" t="s">
        <v>30</v>
      </c>
      <c r="F125" s="257">
        <v>45634</v>
      </c>
      <c r="G125" s="317">
        <v>25.577999999999999</v>
      </c>
      <c r="H125" s="702" t="s">
        <v>31</v>
      </c>
      <c r="I125" s="702"/>
      <c r="J125" s="702"/>
      <c r="K125" s="702"/>
      <c r="L125" s="257">
        <v>45642</v>
      </c>
      <c r="M125" s="317" t="s">
        <v>477</v>
      </c>
      <c r="N125" s="317"/>
      <c r="O125" s="317">
        <v>14</v>
      </c>
      <c r="P125" s="317"/>
    </row>
    <row r="126" spans="2:16" s="220" customFormat="1" ht="14.25" customHeight="1" x14ac:dyDescent="0.25">
      <c r="B126" s="317">
        <f t="shared" si="1"/>
        <v>118</v>
      </c>
      <c r="C126" s="260" t="s">
        <v>360</v>
      </c>
      <c r="D126" s="317" t="s">
        <v>29</v>
      </c>
      <c r="E126" s="317" t="s">
        <v>432</v>
      </c>
      <c r="F126" s="257">
        <v>45559</v>
      </c>
      <c r="G126" s="317">
        <v>39.527000000000001</v>
      </c>
      <c r="H126" s="702" t="s">
        <v>31</v>
      </c>
      <c r="I126" s="702"/>
      <c r="J126" s="702"/>
      <c r="K126" s="702"/>
      <c r="L126" s="257">
        <v>45645</v>
      </c>
      <c r="M126" s="317" t="s">
        <v>448</v>
      </c>
      <c r="N126" s="317" t="s">
        <v>172</v>
      </c>
      <c r="O126" s="317">
        <v>14</v>
      </c>
      <c r="P126" s="317"/>
    </row>
    <row r="127" spans="2:16" s="220" customFormat="1" ht="14.25" customHeight="1" x14ac:dyDescent="0.25">
      <c r="B127" s="317">
        <f t="shared" si="1"/>
        <v>119</v>
      </c>
      <c r="C127" s="260" t="s">
        <v>400</v>
      </c>
      <c r="D127" s="317" t="s">
        <v>29</v>
      </c>
      <c r="E127" s="317" t="s">
        <v>462</v>
      </c>
      <c r="F127" s="257">
        <v>45635</v>
      </c>
      <c r="G127" s="317">
        <v>41.042000000000002</v>
      </c>
      <c r="H127" s="702" t="s">
        <v>31</v>
      </c>
      <c r="I127" s="702"/>
      <c r="J127" s="702"/>
      <c r="K127" s="702"/>
      <c r="L127" s="257">
        <v>45646</v>
      </c>
      <c r="M127" s="317" t="s">
        <v>472</v>
      </c>
      <c r="N127" s="317" t="s">
        <v>172</v>
      </c>
      <c r="O127" s="317">
        <v>16</v>
      </c>
      <c r="P127" s="317"/>
    </row>
    <row r="128" spans="2:16" s="220" customFormat="1" ht="14.25" customHeight="1" x14ac:dyDescent="0.25">
      <c r="B128" s="317">
        <f t="shared" si="1"/>
        <v>120</v>
      </c>
      <c r="C128" s="260" t="s">
        <v>354</v>
      </c>
      <c r="D128" s="317" t="s">
        <v>34</v>
      </c>
      <c r="E128" s="317" t="s">
        <v>432</v>
      </c>
      <c r="F128" s="257">
        <v>45643</v>
      </c>
      <c r="G128" s="317">
        <v>40.405999999999999</v>
      </c>
      <c r="H128" s="702" t="s">
        <v>31</v>
      </c>
      <c r="I128" s="702"/>
      <c r="J128" s="702"/>
      <c r="K128" s="702"/>
      <c r="L128" s="257">
        <v>45647</v>
      </c>
      <c r="M128" s="317" t="s">
        <v>448</v>
      </c>
      <c r="N128" s="317" t="s">
        <v>172</v>
      </c>
      <c r="O128" s="317">
        <v>17</v>
      </c>
      <c r="P128" s="317"/>
    </row>
    <row r="129" spans="2:16" s="220" customFormat="1" ht="14.25" customHeight="1" x14ac:dyDescent="0.25">
      <c r="B129" s="317">
        <f t="shared" si="1"/>
        <v>121</v>
      </c>
      <c r="C129" s="260" t="s">
        <v>496</v>
      </c>
      <c r="D129" s="317" t="s">
        <v>29</v>
      </c>
      <c r="E129" s="317" t="s">
        <v>432</v>
      </c>
      <c r="F129" s="257">
        <v>45641</v>
      </c>
      <c r="G129" s="317">
        <v>39.527000000000001</v>
      </c>
      <c r="H129" s="702" t="s">
        <v>31</v>
      </c>
      <c r="I129" s="702"/>
      <c r="J129" s="702"/>
      <c r="K129" s="702"/>
      <c r="L129" s="257">
        <v>45648</v>
      </c>
      <c r="M129" s="317" t="s">
        <v>472</v>
      </c>
      <c r="N129" s="317"/>
      <c r="O129" s="317">
        <v>12</v>
      </c>
      <c r="P129" s="317"/>
    </row>
    <row r="130" spans="2:16" s="220" customFormat="1" ht="14.25" customHeight="1" x14ac:dyDescent="0.25">
      <c r="B130" s="317">
        <f t="shared" si="1"/>
        <v>122</v>
      </c>
      <c r="C130" s="260" t="s">
        <v>362</v>
      </c>
      <c r="D130" s="317" t="s">
        <v>29</v>
      </c>
      <c r="E130" s="317" t="s">
        <v>337</v>
      </c>
      <c r="F130" s="257">
        <v>45645</v>
      </c>
      <c r="G130" s="317">
        <v>25.577999999999999</v>
      </c>
      <c r="H130" s="702" t="s">
        <v>31</v>
      </c>
      <c r="I130" s="702"/>
      <c r="J130" s="702"/>
      <c r="K130" s="702"/>
      <c r="L130" s="257">
        <v>45649</v>
      </c>
      <c r="M130" s="317" t="s">
        <v>448</v>
      </c>
      <c r="N130" s="317" t="s">
        <v>172</v>
      </c>
      <c r="O130" s="317">
        <v>13</v>
      </c>
      <c r="P130" s="317"/>
    </row>
    <row r="131" spans="2:16" s="220" customFormat="1" ht="14.25" customHeight="1" x14ac:dyDescent="0.25">
      <c r="B131" s="317">
        <f t="shared" si="1"/>
        <v>123</v>
      </c>
      <c r="C131" s="260" t="s">
        <v>278</v>
      </c>
      <c r="D131" s="317" t="s">
        <v>285</v>
      </c>
      <c r="E131" s="317" t="s">
        <v>456</v>
      </c>
      <c r="F131" s="257">
        <v>45640</v>
      </c>
      <c r="G131" s="317">
        <v>68.906000000000006</v>
      </c>
      <c r="H131" s="702" t="s">
        <v>31</v>
      </c>
      <c r="I131" s="702"/>
      <c r="J131" s="702"/>
      <c r="K131" s="702"/>
      <c r="L131" s="257">
        <v>45649</v>
      </c>
      <c r="M131" s="317" t="s">
        <v>464</v>
      </c>
      <c r="N131" s="317" t="s">
        <v>172</v>
      </c>
      <c r="O131" s="317">
        <v>15</v>
      </c>
      <c r="P131" s="317"/>
    </row>
    <row r="132" spans="2:16" s="220" customFormat="1" ht="14.25" customHeight="1" x14ac:dyDescent="0.25">
      <c r="B132" s="317">
        <f t="shared" si="1"/>
        <v>124</v>
      </c>
      <c r="C132" s="260" t="s">
        <v>318</v>
      </c>
      <c r="D132" s="317" t="s">
        <v>34</v>
      </c>
      <c r="E132" s="317" t="s">
        <v>456</v>
      </c>
      <c r="F132" s="257">
        <v>45635</v>
      </c>
      <c r="G132" s="317">
        <v>71.655000000000001</v>
      </c>
      <c r="H132" s="702" t="s">
        <v>31</v>
      </c>
      <c r="I132" s="702"/>
      <c r="J132" s="702"/>
      <c r="K132" s="702"/>
      <c r="L132" s="257">
        <v>45649</v>
      </c>
      <c r="M132" s="317" t="s">
        <v>465</v>
      </c>
      <c r="N132" s="317"/>
      <c r="O132" s="317">
        <v>16</v>
      </c>
      <c r="P132" s="317"/>
    </row>
    <row r="133" spans="2:16" s="220" customFormat="1" ht="14.25" customHeight="1" x14ac:dyDescent="0.25">
      <c r="B133" s="317">
        <f t="shared" si="1"/>
        <v>125</v>
      </c>
      <c r="C133" s="260" t="s">
        <v>128</v>
      </c>
      <c r="D133" s="317" t="s">
        <v>43</v>
      </c>
      <c r="E133" s="317" t="s">
        <v>456</v>
      </c>
      <c r="F133" s="257">
        <v>45637</v>
      </c>
      <c r="G133" s="317">
        <v>71.655000000000001</v>
      </c>
      <c r="H133" s="702" t="s">
        <v>31</v>
      </c>
      <c r="I133" s="702"/>
      <c r="J133" s="702"/>
      <c r="K133" s="702"/>
      <c r="L133" s="257">
        <v>45648</v>
      </c>
      <c r="M133" s="317" t="s">
        <v>449</v>
      </c>
      <c r="N133" s="317" t="s">
        <v>172</v>
      </c>
      <c r="O133" s="317">
        <v>14</v>
      </c>
      <c r="P133" s="317"/>
    </row>
    <row r="134" spans="2:16" s="220" customFormat="1" ht="14.25" customHeight="1" x14ac:dyDescent="0.25">
      <c r="B134" s="317">
        <f t="shared" si="1"/>
        <v>126</v>
      </c>
      <c r="C134" s="260" t="s">
        <v>392</v>
      </c>
      <c r="D134" s="317" t="s">
        <v>43</v>
      </c>
      <c r="E134" s="317" t="s">
        <v>30</v>
      </c>
      <c r="F134" s="257">
        <v>45640</v>
      </c>
      <c r="G134" s="317">
        <v>26.872</v>
      </c>
      <c r="H134" s="702" t="s">
        <v>31</v>
      </c>
      <c r="I134" s="702"/>
      <c r="J134" s="702"/>
      <c r="K134" s="702"/>
      <c r="L134" s="257">
        <v>45650</v>
      </c>
      <c r="M134" s="317" t="s">
        <v>472</v>
      </c>
      <c r="N134" s="317" t="s">
        <v>172</v>
      </c>
      <c r="O134" s="317">
        <v>16</v>
      </c>
      <c r="P134" s="317"/>
    </row>
    <row r="135" spans="2:16" s="220" customFormat="1" ht="14.25" customHeight="1" x14ac:dyDescent="0.25">
      <c r="B135" s="317">
        <f t="shared" si="1"/>
        <v>127</v>
      </c>
      <c r="C135" s="260" t="s">
        <v>339</v>
      </c>
      <c r="D135" s="317" t="s">
        <v>29</v>
      </c>
      <c r="E135" s="317" t="s">
        <v>30</v>
      </c>
      <c r="F135" s="257">
        <v>45641</v>
      </c>
      <c r="G135" s="317">
        <v>25.577999999999999</v>
      </c>
      <c r="H135" s="702" t="s">
        <v>31</v>
      </c>
      <c r="I135" s="702"/>
      <c r="J135" s="702"/>
      <c r="K135" s="702"/>
      <c r="L135" s="257">
        <v>45651</v>
      </c>
      <c r="M135" s="317" t="s">
        <v>495</v>
      </c>
      <c r="N135" s="317" t="s">
        <v>172</v>
      </c>
      <c r="O135" s="317">
        <v>17</v>
      </c>
      <c r="P135" s="317"/>
    </row>
    <row r="136" spans="2:16" s="220" customFormat="1" ht="17.25" customHeight="1" x14ac:dyDescent="0.25">
      <c r="B136" s="317">
        <f t="shared" si="1"/>
        <v>128</v>
      </c>
      <c r="C136" s="549" t="s">
        <v>317</v>
      </c>
      <c r="D136" s="317" t="s">
        <v>34</v>
      </c>
      <c r="E136" s="308" t="s">
        <v>456</v>
      </c>
      <c r="F136" s="257">
        <v>45649</v>
      </c>
      <c r="G136" s="317">
        <v>71.655000000000001</v>
      </c>
      <c r="H136" s="702" t="s">
        <v>31</v>
      </c>
      <c r="I136" s="702"/>
      <c r="J136" s="702"/>
      <c r="K136" s="702"/>
      <c r="L136" s="257">
        <v>45653</v>
      </c>
      <c r="M136" s="317" t="s">
        <v>503</v>
      </c>
      <c r="N136" s="317" t="s">
        <v>172</v>
      </c>
      <c r="O136" s="317">
        <v>15</v>
      </c>
      <c r="P136" s="317"/>
    </row>
    <row r="137" spans="2:16" s="220" customFormat="1" ht="14.25" customHeight="1" x14ac:dyDescent="0.25">
      <c r="B137" s="317">
        <f t="shared" si="1"/>
        <v>129</v>
      </c>
      <c r="C137" s="260" t="s">
        <v>358</v>
      </c>
      <c r="D137" s="317" t="s">
        <v>131</v>
      </c>
      <c r="E137" s="317" t="s">
        <v>336</v>
      </c>
      <c r="F137" s="257">
        <v>45648</v>
      </c>
      <c r="G137" s="317">
        <v>67.774000000000001</v>
      </c>
      <c r="H137" s="702" t="s">
        <v>31</v>
      </c>
      <c r="I137" s="702"/>
      <c r="J137" s="702"/>
      <c r="K137" s="702"/>
      <c r="L137" s="257">
        <v>45654</v>
      </c>
      <c r="M137" s="317" t="s">
        <v>448</v>
      </c>
      <c r="N137" s="317" t="s">
        <v>172</v>
      </c>
      <c r="O137" s="317">
        <v>15</v>
      </c>
      <c r="P137" s="317"/>
    </row>
    <row r="138" spans="2:16" s="222" customFormat="1" ht="15.75" customHeight="1" x14ac:dyDescent="0.2">
      <c r="B138" s="317">
        <f t="shared" ref="B138:B180" si="2">B137+1</f>
        <v>130</v>
      </c>
      <c r="C138" s="549" t="s">
        <v>333</v>
      </c>
      <c r="D138" s="308" t="s">
        <v>502</v>
      </c>
      <c r="E138" s="308" t="s">
        <v>337</v>
      </c>
      <c r="F138" s="257">
        <v>45648</v>
      </c>
      <c r="G138" s="415">
        <v>79.707999999999998</v>
      </c>
      <c r="H138" s="702" t="s">
        <v>31</v>
      </c>
      <c r="I138" s="702"/>
      <c r="J138" s="702"/>
      <c r="K138" s="702"/>
      <c r="L138" s="257">
        <v>45656</v>
      </c>
      <c r="M138" s="317" t="s">
        <v>449</v>
      </c>
      <c r="N138" s="317" t="s">
        <v>172</v>
      </c>
      <c r="O138" s="317">
        <v>14</v>
      </c>
      <c r="P138" s="340"/>
    </row>
    <row r="139" spans="2:16" s="339" customFormat="1" ht="15" customHeight="1" x14ac:dyDescent="0.25">
      <c r="B139" s="317">
        <f t="shared" si="2"/>
        <v>131</v>
      </c>
      <c r="C139" s="260" t="s">
        <v>277</v>
      </c>
      <c r="D139" s="317" t="s">
        <v>29</v>
      </c>
      <c r="E139" s="317" t="s">
        <v>456</v>
      </c>
      <c r="F139" s="257">
        <v>45648</v>
      </c>
      <c r="G139" s="317">
        <v>68.906000000000006</v>
      </c>
      <c r="H139" s="702" t="s">
        <v>31</v>
      </c>
      <c r="I139" s="702"/>
      <c r="J139" s="702"/>
      <c r="K139" s="702"/>
      <c r="L139" s="257">
        <v>45656</v>
      </c>
      <c r="M139" s="317" t="s">
        <v>478</v>
      </c>
      <c r="N139" s="317" t="s">
        <v>172</v>
      </c>
      <c r="O139" s="317">
        <v>14</v>
      </c>
      <c r="P139" s="317"/>
    </row>
    <row r="140" spans="2:16" s="339" customFormat="1" ht="15" customHeight="1" x14ac:dyDescent="0.25">
      <c r="B140" s="317">
        <f t="shared" si="2"/>
        <v>132</v>
      </c>
      <c r="C140" s="549" t="s">
        <v>315</v>
      </c>
      <c r="D140" s="317" t="s">
        <v>34</v>
      </c>
      <c r="E140" s="308" t="s">
        <v>455</v>
      </c>
      <c r="F140" s="257">
        <v>45650</v>
      </c>
      <c r="G140" s="317">
        <f>37.84+4.104</f>
        <v>41.944000000000003</v>
      </c>
      <c r="H140" s="702" t="s">
        <v>31</v>
      </c>
      <c r="I140" s="702"/>
      <c r="J140" s="702"/>
      <c r="K140" s="702"/>
      <c r="L140" s="257">
        <v>45657</v>
      </c>
      <c r="M140" s="317" t="s">
        <v>509</v>
      </c>
      <c r="N140" s="317" t="s">
        <v>172</v>
      </c>
      <c r="O140" s="317">
        <v>16</v>
      </c>
      <c r="P140" s="317"/>
    </row>
    <row r="141" spans="2:16" s="339" customFormat="1" ht="15" customHeight="1" x14ac:dyDescent="0.25">
      <c r="B141" s="317">
        <f t="shared" si="2"/>
        <v>133</v>
      </c>
      <c r="C141" s="549" t="s">
        <v>401</v>
      </c>
      <c r="D141" s="317" t="s">
        <v>29</v>
      </c>
      <c r="E141" s="308" t="s">
        <v>456</v>
      </c>
      <c r="F141" s="257">
        <v>45650</v>
      </c>
      <c r="G141" s="317">
        <v>68.906000000000006</v>
      </c>
      <c r="H141" s="702" t="s">
        <v>31</v>
      </c>
      <c r="I141" s="702"/>
      <c r="J141" s="702"/>
      <c r="K141" s="702"/>
      <c r="L141" s="257">
        <v>45657</v>
      </c>
      <c r="M141" s="317" t="s">
        <v>510</v>
      </c>
      <c r="N141" s="317" t="s">
        <v>172</v>
      </c>
      <c r="O141" s="317">
        <v>14</v>
      </c>
      <c r="P141" s="317"/>
    </row>
    <row r="142" spans="2:16" s="339" customFormat="1" ht="14.25" customHeight="1" x14ac:dyDescent="0.25">
      <c r="B142" s="317">
        <f t="shared" si="2"/>
        <v>134</v>
      </c>
      <c r="C142" s="549" t="s">
        <v>341</v>
      </c>
      <c r="D142" s="308" t="s">
        <v>275</v>
      </c>
      <c r="E142" s="308" t="s">
        <v>30</v>
      </c>
      <c r="F142" s="314">
        <v>45650</v>
      </c>
      <c r="G142" s="308">
        <v>67.247</v>
      </c>
      <c r="H142" s="738" t="s">
        <v>31</v>
      </c>
      <c r="I142" s="738"/>
      <c r="J142" s="738"/>
      <c r="K142" s="738"/>
      <c r="L142" s="314">
        <v>45657</v>
      </c>
      <c r="M142" s="308" t="s">
        <v>448</v>
      </c>
      <c r="N142" s="308" t="s">
        <v>172</v>
      </c>
      <c r="O142" s="308">
        <v>16</v>
      </c>
      <c r="P142" s="317"/>
    </row>
    <row r="143" spans="2:16" s="339" customFormat="1" ht="15" customHeight="1" x14ac:dyDescent="0.25">
      <c r="B143" s="317">
        <f t="shared" si="2"/>
        <v>135</v>
      </c>
      <c r="C143" s="549" t="s">
        <v>344</v>
      </c>
      <c r="D143" s="317" t="s">
        <v>29</v>
      </c>
      <c r="E143" s="308" t="s">
        <v>432</v>
      </c>
      <c r="F143" s="314">
        <v>45655</v>
      </c>
      <c r="G143" s="415">
        <v>39.527000000000001</v>
      </c>
      <c r="H143" s="703" t="s">
        <v>31</v>
      </c>
      <c r="I143" s="704"/>
      <c r="J143" s="704"/>
      <c r="K143" s="705"/>
      <c r="L143" s="314">
        <v>45660</v>
      </c>
      <c r="M143" s="308" t="s">
        <v>448</v>
      </c>
      <c r="N143" s="317" t="s">
        <v>172</v>
      </c>
      <c r="O143" s="308">
        <v>17</v>
      </c>
      <c r="P143" s="340"/>
    </row>
    <row r="144" spans="2:16" s="339" customFormat="1" ht="15" customHeight="1" x14ac:dyDescent="0.25">
      <c r="B144" s="317">
        <f t="shared" si="2"/>
        <v>136</v>
      </c>
      <c r="C144" s="260" t="s">
        <v>386</v>
      </c>
      <c r="D144" s="317" t="s">
        <v>34</v>
      </c>
      <c r="E144" s="317" t="s">
        <v>432</v>
      </c>
      <c r="F144" s="257">
        <v>45644</v>
      </c>
      <c r="G144" s="317">
        <v>40.405999999999999</v>
      </c>
      <c r="H144" s="702" t="s">
        <v>31</v>
      </c>
      <c r="I144" s="702"/>
      <c r="J144" s="702"/>
      <c r="K144" s="702"/>
      <c r="L144" s="314">
        <v>45661</v>
      </c>
      <c r="M144" s="317" t="s">
        <v>516</v>
      </c>
      <c r="N144" s="317" t="s">
        <v>172</v>
      </c>
      <c r="O144" s="317">
        <v>15</v>
      </c>
      <c r="P144" s="317"/>
    </row>
    <row r="145" spans="2:16" s="339" customFormat="1" ht="15" customHeight="1" x14ac:dyDescent="0.25">
      <c r="B145" s="317">
        <f t="shared" si="2"/>
        <v>137</v>
      </c>
      <c r="C145" s="260" t="s">
        <v>328</v>
      </c>
      <c r="D145" s="317" t="s">
        <v>43</v>
      </c>
      <c r="E145" s="317" t="s">
        <v>456</v>
      </c>
      <c r="F145" s="257">
        <v>45653</v>
      </c>
      <c r="G145" s="317">
        <v>71.655000000000001</v>
      </c>
      <c r="H145" s="702" t="s">
        <v>31</v>
      </c>
      <c r="I145" s="702"/>
      <c r="J145" s="702"/>
      <c r="K145" s="702"/>
      <c r="L145" s="314">
        <v>45662</v>
      </c>
      <c r="M145" s="317" t="s">
        <v>457</v>
      </c>
      <c r="N145" s="317" t="s">
        <v>172</v>
      </c>
      <c r="O145" s="317">
        <v>14</v>
      </c>
      <c r="P145" s="317"/>
    </row>
    <row r="146" spans="2:16" s="339" customFormat="1" ht="15" customHeight="1" x14ac:dyDescent="0.25">
      <c r="B146" s="317">
        <f t="shared" si="2"/>
        <v>138</v>
      </c>
      <c r="C146" s="260" t="s">
        <v>279</v>
      </c>
      <c r="D146" s="288" t="s">
        <v>29</v>
      </c>
      <c r="E146" s="317" t="s">
        <v>30</v>
      </c>
      <c r="F146" s="257">
        <v>45657</v>
      </c>
      <c r="G146" s="317">
        <v>25.577999999999999</v>
      </c>
      <c r="H146" s="702" t="s">
        <v>31</v>
      </c>
      <c r="I146" s="702"/>
      <c r="J146" s="702"/>
      <c r="K146" s="702"/>
      <c r="L146" s="314">
        <v>45662</v>
      </c>
      <c r="M146" s="317" t="s">
        <v>513</v>
      </c>
      <c r="N146" s="317" t="s">
        <v>172</v>
      </c>
      <c r="O146" s="317">
        <v>14</v>
      </c>
      <c r="P146" s="317"/>
    </row>
    <row r="147" spans="2:16" s="339" customFormat="1" ht="15" customHeight="1" x14ac:dyDescent="0.25">
      <c r="B147" s="317">
        <f t="shared" si="2"/>
        <v>139</v>
      </c>
      <c r="C147" s="260" t="s">
        <v>314</v>
      </c>
      <c r="D147" s="288" t="s">
        <v>285</v>
      </c>
      <c r="E147" s="317" t="s">
        <v>462</v>
      </c>
      <c r="F147" s="257">
        <v>45650</v>
      </c>
      <c r="G147" s="317">
        <v>41.042000000000002</v>
      </c>
      <c r="H147" s="702" t="s">
        <v>31</v>
      </c>
      <c r="I147" s="702"/>
      <c r="J147" s="702"/>
      <c r="K147" s="702"/>
      <c r="L147" s="314">
        <v>45662</v>
      </c>
      <c r="M147" s="317" t="s">
        <v>514</v>
      </c>
      <c r="N147" s="317" t="s">
        <v>172</v>
      </c>
      <c r="O147" s="317">
        <v>16</v>
      </c>
      <c r="P147" s="317"/>
    </row>
    <row r="148" spans="2:16" s="339" customFormat="1" ht="15" customHeight="1" x14ac:dyDescent="0.25">
      <c r="B148" s="317">
        <f t="shared" si="2"/>
        <v>140</v>
      </c>
      <c r="C148" s="260" t="s">
        <v>387</v>
      </c>
      <c r="D148" s="317" t="s">
        <v>29</v>
      </c>
      <c r="E148" s="317" t="s">
        <v>336</v>
      </c>
      <c r="F148" s="257">
        <v>45652</v>
      </c>
      <c r="G148" s="317">
        <v>39.527000000000001</v>
      </c>
      <c r="H148" s="702" t="s">
        <v>31</v>
      </c>
      <c r="I148" s="702"/>
      <c r="J148" s="702"/>
      <c r="K148" s="702"/>
      <c r="L148" s="257">
        <v>45662</v>
      </c>
      <c r="M148" s="317" t="s">
        <v>515</v>
      </c>
      <c r="N148" s="317" t="s">
        <v>172</v>
      </c>
      <c r="O148" s="308">
        <v>17</v>
      </c>
      <c r="P148" s="317"/>
    </row>
    <row r="149" spans="2:16" s="339" customFormat="1" ht="15" customHeight="1" x14ac:dyDescent="0.25">
      <c r="B149" s="317">
        <f t="shared" si="2"/>
        <v>141</v>
      </c>
      <c r="C149" s="549" t="s">
        <v>347</v>
      </c>
      <c r="D149" s="308" t="s">
        <v>167</v>
      </c>
      <c r="E149" s="308" t="s">
        <v>432</v>
      </c>
      <c r="F149" s="314">
        <v>45660</v>
      </c>
      <c r="G149" s="317">
        <v>40.405999999999999</v>
      </c>
      <c r="H149" s="702" t="s">
        <v>31</v>
      </c>
      <c r="I149" s="702"/>
      <c r="J149" s="702"/>
      <c r="K149" s="702"/>
      <c r="L149" s="257">
        <v>45663</v>
      </c>
      <c r="M149" s="317" t="s">
        <v>448</v>
      </c>
      <c r="N149" s="317" t="s">
        <v>172</v>
      </c>
      <c r="O149" s="317">
        <v>14</v>
      </c>
      <c r="P149" s="317"/>
    </row>
    <row r="150" spans="2:16" s="339" customFormat="1" ht="15" customHeight="1" x14ac:dyDescent="0.25">
      <c r="B150" s="317">
        <f t="shared" si="2"/>
        <v>142</v>
      </c>
      <c r="C150" s="549" t="s">
        <v>385</v>
      </c>
      <c r="D150" s="308" t="s">
        <v>34</v>
      </c>
      <c r="E150" s="308" t="s">
        <v>337</v>
      </c>
      <c r="F150" s="314">
        <v>45655</v>
      </c>
      <c r="G150" s="415">
        <v>26.872</v>
      </c>
      <c r="H150" s="702" t="s">
        <v>31</v>
      </c>
      <c r="I150" s="702"/>
      <c r="J150" s="702"/>
      <c r="K150" s="702"/>
      <c r="L150" s="257">
        <v>45666</v>
      </c>
      <c r="M150" s="317" t="s">
        <v>516</v>
      </c>
      <c r="N150" s="317" t="s">
        <v>172</v>
      </c>
      <c r="O150" s="317">
        <v>15</v>
      </c>
      <c r="P150" s="317"/>
    </row>
    <row r="151" spans="2:16" s="339" customFormat="1" ht="15" customHeight="1" x14ac:dyDescent="0.25">
      <c r="B151" s="317">
        <f t="shared" si="2"/>
        <v>143</v>
      </c>
      <c r="C151" s="260" t="s">
        <v>169</v>
      </c>
      <c r="D151" s="317" t="s">
        <v>29</v>
      </c>
      <c r="E151" s="308" t="s">
        <v>337</v>
      </c>
      <c r="F151" s="314">
        <v>45660</v>
      </c>
      <c r="G151" s="415">
        <v>25.577999999999999</v>
      </c>
      <c r="H151" s="702" t="s">
        <v>31</v>
      </c>
      <c r="I151" s="702"/>
      <c r="J151" s="702"/>
      <c r="K151" s="702"/>
      <c r="L151" s="257">
        <v>45667</v>
      </c>
      <c r="M151" s="317" t="s">
        <v>513</v>
      </c>
      <c r="N151" s="317" t="s">
        <v>172</v>
      </c>
      <c r="O151" s="317">
        <v>16</v>
      </c>
      <c r="P151" s="317"/>
    </row>
    <row r="152" spans="2:16" s="339" customFormat="1" ht="15" customHeight="1" x14ac:dyDescent="0.25">
      <c r="B152" s="317">
        <f t="shared" si="2"/>
        <v>144</v>
      </c>
      <c r="C152" s="260" t="s">
        <v>364</v>
      </c>
      <c r="D152" s="308" t="s">
        <v>34</v>
      </c>
      <c r="E152" s="317" t="s">
        <v>30</v>
      </c>
      <c r="F152" s="314">
        <v>45662</v>
      </c>
      <c r="G152" s="415">
        <v>26.872</v>
      </c>
      <c r="H152" s="702" t="s">
        <v>31</v>
      </c>
      <c r="I152" s="702"/>
      <c r="J152" s="702"/>
      <c r="K152" s="702"/>
      <c r="L152" s="257">
        <v>45669</v>
      </c>
      <c r="M152" s="317" t="s">
        <v>448</v>
      </c>
      <c r="N152" s="317" t="s">
        <v>172</v>
      </c>
      <c r="O152" s="317">
        <v>17</v>
      </c>
      <c r="P152" s="317"/>
    </row>
    <row r="153" spans="2:16" s="339" customFormat="1" ht="15" customHeight="1" x14ac:dyDescent="0.25">
      <c r="B153" s="317">
        <f t="shared" si="2"/>
        <v>145</v>
      </c>
      <c r="C153" s="260" t="s">
        <v>295</v>
      </c>
      <c r="D153" s="317" t="s">
        <v>43</v>
      </c>
      <c r="E153" s="317" t="s">
        <v>462</v>
      </c>
      <c r="F153" s="257">
        <v>45662</v>
      </c>
      <c r="G153" s="317">
        <f>37.84+4.104</f>
        <v>41.944000000000003</v>
      </c>
      <c r="H153" s="702" t="s">
        <v>31</v>
      </c>
      <c r="I153" s="702"/>
      <c r="J153" s="702"/>
      <c r="K153" s="702"/>
      <c r="L153" s="257">
        <v>45670</v>
      </c>
      <c r="M153" s="317" t="s">
        <v>530</v>
      </c>
      <c r="N153" s="317" t="s">
        <v>172</v>
      </c>
      <c r="O153" s="317">
        <v>12</v>
      </c>
      <c r="P153" s="317"/>
    </row>
    <row r="154" spans="2:16" s="339" customFormat="1" ht="15" customHeight="1" x14ac:dyDescent="0.25">
      <c r="B154" s="317">
        <f t="shared" si="2"/>
        <v>146</v>
      </c>
      <c r="C154" s="260" t="s">
        <v>395</v>
      </c>
      <c r="D154" s="317" t="s">
        <v>531</v>
      </c>
      <c r="E154" s="317" t="s">
        <v>30</v>
      </c>
      <c r="F154" s="257">
        <v>45660</v>
      </c>
      <c r="G154" s="317">
        <v>67.247</v>
      </c>
      <c r="H154" s="702" t="s">
        <v>31</v>
      </c>
      <c r="I154" s="702"/>
      <c r="J154" s="702"/>
      <c r="K154" s="702"/>
      <c r="L154" s="257">
        <v>45672</v>
      </c>
      <c r="M154" s="317" t="s">
        <v>515</v>
      </c>
      <c r="N154" s="317"/>
      <c r="O154" s="317">
        <v>13</v>
      </c>
      <c r="P154" s="317"/>
    </row>
    <row r="155" spans="2:16" s="339" customFormat="1" ht="15" customHeight="1" x14ac:dyDescent="0.25">
      <c r="B155" s="317">
        <f t="shared" si="2"/>
        <v>147</v>
      </c>
      <c r="C155" s="260" t="s">
        <v>319</v>
      </c>
      <c r="D155" s="317" t="s">
        <v>531</v>
      </c>
      <c r="E155" s="317" t="s">
        <v>456</v>
      </c>
      <c r="F155" s="257">
        <v>45663</v>
      </c>
      <c r="G155" s="317">
        <v>157.93799999999999</v>
      </c>
      <c r="H155" s="702" t="s">
        <v>31</v>
      </c>
      <c r="I155" s="702"/>
      <c r="J155" s="702"/>
      <c r="K155" s="702"/>
      <c r="L155" s="257">
        <v>45673</v>
      </c>
      <c r="M155" s="317" t="s">
        <v>457</v>
      </c>
      <c r="N155" s="317"/>
      <c r="O155" s="317">
        <v>15</v>
      </c>
      <c r="P155" s="317"/>
    </row>
    <row r="156" spans="2:16" s="339" customFormat="1" ht="15" customHeight="1" x14ac:dyDescent="0.2">
      <c r="B156" s="317">
        <f t="shared" si="2"/>
        <v>148</v>
      </c>
      <c r="C156" s="260" t="s">
        <v>394</v>
      </c>
      <c r="D156" s="317" t="s">
        <v>29</v>
      </c>
      <c r="E156" s="317" t="s">
        <v>30</v>
      </c>
      <c r="F156" s="257">
        <v>45660</v>
      </c>
      <c r="G156" s="317">
        <v>25.577999999999999</v>
      </c>
      <c r="H156" s="702" t="s">
        <v>31</v>
      </c>
      <c r="I156" s="702"/>
      <c r="J156" s="702"/>
      <c r="K156" s="702"/>
      <c r="L156" s="257">
        <v>45673</v>
      </c>
      <c r="M156" s="550" t="s">
        <v>510</v>
      </c>
      <c r="N156" s="317" t="s">
        <v>172</v>
      </c>
      <c r="O156" s="317">
        <v>16</v>
      </c>
      <c r="P156" s="317"/>
    </row>
    <row r="157" spans="2:16" s="339" customFormat="1" ht="15" customHeight="1" x14ac:dyDescent="0.25">
      <c r="B157" s="317">
        <f t="shared" si="2"/>
        <v>149</v>
      </c>
      <c r="C157" s="260" t="s">
        <v>369</v>
      </c>
      <c r="D157" s="317" t="s">
        <v>499</v>
      </c>
      <c r="E157" s="317" t="s">
        <v>432</v>
      </c>
      <c r="F157" s="314">
        <v>45666</v>
      </c>
      <c r="G157" s="415">
        <v>102.566</v>
      </c>
      <c r="H157" s="702" t="s">
        <v>31</v>
      </c>
      <c r="I157" s="702"/>
      <c r="J157" s="702"/>
      <c r="K157" s="702"/>
      <c r="L157" s="257">
        <v>45673</v>
      </c>
      <c r="M157" s="317" t="s">
        <v>448</v>
      </c>
      <c r="N157" s="317" t="s">
        <v>172</v>
      </c>
      <c r="O157" s="317">
        <v>14</v>
      </c>
      <c r="P157" s="317"/>
    </row>
    <row r="158" spans="2:16" s="339" customFormat="1" ht="15" customHeight="1" x14ac:dyDescent="0.25">
      <c r="B158" s="317">
        <f t="shared" si="2"/>
        <v>150</v>
      </c>
      <c r="C158" s="260" t="s">
        <v>276</v>
      </c>
      <c r="D158" s="317" t="s">
        <v>29</v>
      </c>
      <c r="E158" s="317" t="s">
        <v>456</v>
      </c>
      <c r="F158" s="314">
        <v>45669</v>
      </c>
      <c r="G158" s="317">
        <v>68.906000000000006</v>
      </c>
      <c r="H158" s="702" t="s">
        <v>31</v>
      </c>
      <c r="I158" s="702"/>
      <c r="J158" s="702"/>
      <c r="K158" s="702"/>
      <c r="L158" s="257">
        <v>45674</v>
      </c>
      <c r="M158" s="317" t="s">
        <v>513</v>
      </c>
      <c r="N158" s="317" t="s">
        <v>172</v>
      </c>
      <c r="O158" s="317">
        <v>16</v>
      </c>
      <c r="P158" s="317"/>
    </row>
    <row r="159" spans="2:16" s="339" customFormat="1" ht="15" customHeight="1" x14ac:dyDescent="0.2">
      <c r="B159" s="317">
        <f t="shared" si="2"/>
        <v>151</v>
      </c>
      <c r="C159" s="291" t="s">
        <v>384</v>
      </c>
      <c r="D159" s="317" t="s">
        <v>29</v>
      </c>
      <c r="E159" s="317" t="s">
        <v>30</v>
      </c>
      <c r="F159" s="314">
        <v>45664</v>
      </c>
      <c r="G159" s="317">
        <v>25.577999999999999</v>
      </c>
      <c r="H159" s="702" t="s">
        <v>31</v>
      </c>
      <c r="I159" s="702"/>
      <c r="J159" s="702"/>
      <c r="K159" s="702"/>
      <c r="L159" s="257">
        <v>45675</v>
      </c>
      <c r="M159" s="317" t="s">
        <v>516</v>
      </c>
      <c r="N159" s="317" t="s">
        <v>172</v>
      </c>
      <c r="O159" s="317">
        <v>17</v>
      </c>
      <c r="P159" s="317"/>
    </row>
    <row r="160" spans="2:16" s="339" customFormat="1" ht="15" customHeight="1" x14ac:dyDescent="0.25">
      <c r="B160" s="317">
        <f t="shared" si="2"/>
        <v>152</v>
      </c>
      <c r="C160" s="260" t="s">
        <v>321</v>
      </c>
      <c r="D160" s="317" t="s">
        <v>167</v>
      </c>
      <c r="E160" s="317" t="s">
        <v>462</v>
      </c>
      <c r="F160" s="314">
        <v>45670</v>
      </c>
      <c r="G160" s="317">
        <f>37.84+4.104</f>
        <v>41.944000000000003</v>
      </c>
      <c r="H160" s="702" t="s">
        <v>31</v>
      </c>
      <c r="I160" s="702"/>
      <c r="J160" s="702"/>
      <c r="K160" s="702"/>
      <c r="L160" s="257">
        <v>45675</v>
      </c>
      <c r="M160" s="317" t="s">
        <v>457</v>
      </c>
      <c r="N160" s="317" t="s">
        <v>172</v>
      </c>
      <c r="O160" s="317">
        <v>15</v>
      </c>
      <c r="P160" s="317"/>
    </row>
    <row r="161" spans="2:16" s="339" customFormat="1" ht="15" customHeight="1" x14ac:dyDescent="0.25">
      <c r="B161" s="317">
        <f t="shared" si="2"/>
        <v>153</v>
      </c>
      <c r="C161" s="260" t="s">
        <v>343</v>
      </c>
      <c r="D161" s="317" t="s">
        <v>275</v>
      </c>
      <c r="E161" s="317" t="s">
        <v>30</v>
      </c>
      <c r="F161" s="257">
        <v>45665</v>
      </c>
      <c r="G161" s="317">
        <v>67.247</v>
      </c>
      <c r="H161" s="702" t="s">
        <v>31</v>
      </c>
      <c r="I161" s="702"/>
      <c r="J161" s="702"/>
      <c r="K161" s="702"/>
      <c r="L161" s="257">
        <v>45676</v>
      </c>
      <c r="M161" s="317" t="s">
        <v>448</v>
      </c>
      <c r="N161" s="317" t="s">
        <v>172</v>
      </c>
      <c r="O161" s="317">
        <v>15</v>
      </c>
      <c r="P161" s="317"/>
    </row>
    <row r="162" spans="2:16" s="339" customFormat="1" ht="15" customHeight="1" x14ac:dyDescent="0.25">
      <c r="B162" s="317">
        <f t="shared" si="2"/>
        <v>154</v>
      </c>
      <c r="C162" s="549" t="s">
        <v>308</v>
      </c>
      <c r="D162" s="308" t="s">
        <v>29</v>
      </c>
      <c r="E162" s="317" t="s">
        <v>462</v>
      </c>
      <c r="F162" s="257">
        <v>45663</v>
      </c>
      <c r="G162" s="317">
        <v>41.042000000000002</v>
      </c>
      <c r="H162" s="702" t="s">
        <v>31</v>
      </c>
      <c r="I162" s="702"/>
      <c r="J162" s="702"/>
      <c r="K162" s="702"/>
      <c r="L162" s="257">
        <v>45678</v>
      </c>
      <c r="M162" s="317" t="s">
        <v>514</v>
      </c>
      <c r="N162" s="317" t="s">
        <v>172</v>
      </c>
      <c r="O162" s="317">
        <v>15</v>
      </c>
      <c r="P162" s="317"/>
    </row>
    <row r="163" spans="2:16" s="339" customFormat="1" ht="15" customHeight="1" x14ac:dyDescent="0.25">
      <c r="B163" s="317">
        <f t="shared" si="2"/>
        <v>155</v>
      </c>
      <c r="C163" s="260" t="s">
        <v>371</v>
      </c>
      <c r="D163" s="317" t="s">
        <v>285</v>
      </c>
      <c r="E163" s="317" t="s">
        <v>30</v>
      </c>
      <c r="F163" s="257">
        <v>45674</v>
      </c>
      <c r="G163" s="317">
        <v>25.577999999999999</v>
      </c>
      <c r="H163" s="702" t="s">
        <v>31</v>
      </c>
      <c r="I163" s="702"/>
      <c r="J163" s="702"/>
      <c r="K163" s="702"/>
      <c r="L163" s="257">
        <v>45679</v>
      </c>
      <c r="M163" s="317" t="s">
        <v>448</v>
      </c>
      <c r="N163" s="317" t="s">
        <v>172</v>
      </c>
      <c r="O163" s="317">
        <v>16</v>
      </c>
      <c r="P163" s="317"/>
    </row>
    <row r="164" spans="2:16" s="339" customFormat="1" ht="15" customHeight="1" x14ac:dyDescent="0.25">
      <c r="B164" s="317">
        <f t="shared" si="2"/>
        <v>156</v>
      </c>
      <c r="C164" s="260" t="s">
        <v>383</v>
      </c>
      <c r="D164" s="317" t="s">
        <v>34</v>
      </c>
      <c r="E164" s="317" t="s">
        <v>30</v>
      </c>
      <c r="F164" s="257">
        <v>45669</v>
      </c>
      <c r="G164" s="415">
        <v>26.872</v>
      </c>
      <c r="H164" s="702" t="s">
        <v>31</v>
      </c>
      <c r="I164" s="702"/>
      <c r="J164" s="702"/>
      <c r="K164" s="702"/>
      <c r="L164" s="257">
        <v>45681</v>
      </c>
      <c r="M164" s="317" t="s">
        <v>516</v>
      </c>
      <c r="N164" s="317" t="s">
        <v>172</v>
      </c>
      <c r="O164" s="317">
        <v>16</v>
      </c>
      <c r="P164" s="317"/>
    </row>
    <row r="165" spans="2:16" s="339" customFormat="1" ht="15" customHeight="1" x14ac:dyDescent="0.25">
      <c r="B165" s="317">
        <f t="shared" si="2"/>
        <v>157</v>
      </c>
      <c r="C165" s="549" t="s">
        <v>407</v>
      </c>
      <c r="D165" s="317" t="s">
        <v>167</v>
      </c>
      <c r="E165" s="308" t="s">
        <v>30</v>
      </c>
      <c r="F165" s="314">
        <v>45674</v>
      </c>
      <c r="G165" s="415">
        <v>26.872</v>
      </c>
      <c r="H165" s="702" t="s">
        <v>31</v>
      </c>
      <c r="I165" s="702"/>
      <c r="J165" s="702"/>
      <c r="K165" s="702"/>
      <c r="L165" s="257">
        <v>45681</v>
      </c>
      <c r="M165" s="317" t="s">
        <v>515</v>
      </c>
      <c r="N165" s="317" t="s">
        <v>172</v>
      </c>
      <c r="O165" s="317">
        <v>15</v>
      </c>
      <c r="P165" s="317"/>
    </row>
    <row r="166" spans="2:16" s="339" customFormat="1" ht="15" customHeight="1" x14ac:dyDescent="0.25">
      <c r="B166" s="317">
        <f t="shared" si="2"/>
        <v>158</v>
      </c>
      <c r="C166" s="260" t="s">
        <v>370</v>
      </c>
      <c r="D166" s="317" t="s">
        <v>29</v>
      </c>
      <c r="E166" s="317" t="s">
        <v>30</v>
      </c>
      <c r="F166" s="257">
        <v>45670</v>
      </c>
      <c r="G166" s="317">
        <v>25.577999999999999</v>
      </c>
      <c r="H166" s="702" t="s">
        <v>31</v>
      </c>
      <c r="I166" s="702"/>
      <c r="J166" s="702"/>
      <c r="K166" s="702"/>
      <c r="L166" s="257">
        <v>45682</v>
      </c>
      <c r="M166" s="317" t="s">
        <v>448</v>
      </c>
      <c r="N166" s="317"/>
      <c r="O166" s="317">
        <v>14</v>
      </c>
      <c r="P166" s="317"/>
    </row>
    <row r="167" spans="2:16" s="339" customFormat="1" ht="15" customHeight="1" x14ac:dyDescent="0.2">
      <c r="B167" s="317">
        <f t="shared" si="2"/>
        <v>159</v>
      </c>
      <c r="C167" s="260" t="s">
        <v>389</v>
      </c>
      <c r="D167" s="317" t="s">
        <v>34</v>
      </c>
      <c r="E167" s="317" t="s">
        <v>30</v>
      </c>
      <c r="F167" s="257">
        <v>45664</v>
      </c>
      <c r="G167" s="415">
        <v>26.872</v>
      </c>
      <c r="H167" s="702" t="s">
        <v>31</v>
      </c>
      <c r="I167" s="702"/>
      <c r="J167" s="702"/>
      <c r="K167" s="702"/>
      <c r="L167" s="257">
        <v>45682</v>
      </c>
      <c r="M167" s="298" t="s">
        <v>510</v>
      </c>
      <c r="N167" s="317"/>
      <c r="O167" s="317">
        <v>15</v>
      </c>
      <c r="P167" s="340"/>
    </row>
    <row r="168" spans="2:16" s="339" customFormat="1" ht="14.25" customHeight="1" x14ac:dyDescent="0.25">
      <c r="B168" s="317">
        <f t="shared" si="2"/>
        <v>160</v>
      </c>
      <c r="C168" s="549" t="s">
        <v>264</v>
      </c>
      <c r="D168" s="308" t="s">
        <v>131</v>
      </c>
      <c r="E168" s="308" t="s">
        <v>30</v>
      </c>
      <c r="F168" s="314">
        <v>45676</v>
      </c>
      <c r="G168" s="415">
        <v>45.764000000000003</v>
      </c>
      <c r="H168" s="702" t="s">
        <v>31</v>
      </c>
      <c r="I168" s="702"/>
      <c r="J168" s="702"/>
      <c r="K168" s="702"/>
      <c r="L168" s="257">
        <v>45684</v>
      </c>
      <c r="M168" s="317" t="s">
        <v>513</v>
      </c>
      <c r="N168" s="317" t="s">
        <v>172</v>
      </c>
      <c r="O168" s="317">
        <v>13</v>
      </c>
      <c r="P168" s="317"/>
    </row>
    <row r="169" spans="2:16" s="339" customFormat="1" ht="15" customHeight="1" x14ac:dyDescent="0.25">
      <c r="B169" s="317">
        <f t="shared" si="2"/>
        <v>161</v>
      </c>
      <c r="C169" s="287" t="s">
        <v>366</v>
      </c>
      <c r="D169" s="283" t="s">
        <v>29</v>
      </c>
      <c r="E169" s="317" t="s">
        <v>432</v>
      </c>
      <c r="F169" s="257">
        <v>45679</v>
      </c>
      <c r="G169" s="415">
        <v>25.577999999999999</v>
      </c>
      <c r="H169" s="702" t="s">
        <v>31</v>
      </c>
      <c r="I169" s="702"/>
      <c r="J169" s="702"/>
      <c r="K169" s="702"/>
      <c r="L169" s="257">
        <v>45684</v>
      </c>
      <c r="M169" s="317" t="s">
        <v>448</v>
      </c>
      <c r="N169" s="317" t="s">
        <v>172</v>
      </c>
      <c r="O169" s="317">
        <v>16</v>
      </c>
      <c r="P169" s="317"/>
    </row>
    <row r="170" spans="2:16" s="339" customFormat="1" ht="15" customHeight="1" x14ac:dyDescent="0.25">
      <c r="B170" s="317">
        <f t="shared" si="2"/>
        <v>162</v>
      </c>
      <c r="C170" s="549" t="s">
        <v>408</v>
      </c>
      <c r="D170" s="317" t="s">
        <v>29</v>
      </c>
      <c r="E170" s="308" t="s">
        <v>432</v>
      </c>
      <c r="F170" s="314">
        <v>45674</v>
      </c>
      <c r="G170" s="415">
        <v>39.527000000000001</v>
      </c>
      <c r="H170" s="702" t="s">
        <v>31</v>
      </c>
      <c r="I170" s="702"/>
      <c r="J170" s="702"/>
      <c r="K170" s="702"/>
      <c r="L170" s="257">
        <v>45685</v>
      </c>
      <c r="M170" s="317" t="s">
        <v>515</v>
      </c>
      <c r="N170" s="317" t="s">
        <v>172</v>
      </c>
      <c r="O170" s="317">
        <v>14</v>
      </c>
      <c r="P170" s="317"/>
    </row>
    <row r="171" spans="2:16" s="339" customFormat="1" ht="15" customHeight="1" x14ac:dyDescent="0.25">
      <c r="B171" s="317">
        <f t="shared" si="2"/>
        <v>163</v>
      </c>
      <c r="C171" s="287" t="s">
        <v>367</v>
      </c>
      <c r="D171" s="283" t="s">
        <v>34</v>
      </c>
      <c r="E171" s="317" t="s">
        <v>30</v>
      </c>
      <c r="F171" s="257">
        <v>45679</v>
      </c>
      <c r="G171" s="415">
        <v>26.872</v>
      </c>
      <c r="H171" s="702" t="s">
        <v>31</v>
      </c>
      <c r="I171" s="702"/>
      <c r="J171" s="702"/>
      <c r="K171" s="702"/>
      <c r="L171" s="257">
        <v>45686</v>
      </c>
      <c r="M171" s="317" t="s">
        <v>448</v>
      </c>
      <c r="N171" s="317" t="s">
        <v>172</v>
      </c>
      <c r="O171" s="317">
        <v>16</v>
      </c>
      <c r="P171" s="317"/>
    </row>
    <row r="172" spans="2:16" s="339" customFormat="1" ht="15" customHeight="1" x14ac:dyDescent="0.25">
      <c r="B172" s="317">
        <f t="shared" si="2"/>
        <v>164</v>
      </c>
      <c r="C172" s="549" t="s">
        <v>300</v>
      </c>
      <c r="D172" s="308" t="s">
        <v>309</v>
      </c>
      <c r="E172" s="308" t="s">
        <v>462</v>
      </c>
      <c r="F172" s="314">
        <v>45675</v>
      </c>
      <c r="G172" s="415">
        <v>88.492000000000004</v>
      </c>
      <c r="H172" s="702" t="s">
        <v>31</v>
      </c>
      <c r="I172" s="702"/>
      <c r="J172" s="702"/>
      <c r="K172" s="702"/>
      <c r="L172" s="257">
        <v>45687</v>
      </c>
      <c r="M172" s="317" t="s">
        <v>530</v>
      </c>
      <c r="N172" s="317" t="s">
        <v>172</v>
      </c>
      <c r="O172" s="308">
        <v>16</v>
      </c>
      <c r="P172" s="317"/>
    </row>
    <row r="173" spans="2:16" s="339" customFormat="1" ht="15" customHeight="1" x14ac:dyDescent="0.25">
      <c r="B173" s="317">
        <f t="shared" si="2"/>
        <v>165</v>
      </c>
      <c r="C173" s="260" t="s">
        <v>266</v>
      </c>
      <c r="D173" s="283" t="s">
        <v>29</v>
      </c>
      <c r="E173" s="317" t="s">
        <v>337</v>
      </c>
      <c r="F173" s="257">
        <v>45681</v>
      </c>
      <c r="G173" s="415">
        <v>25.577999999999999</v>
      </c>
      <c r="H173" s="702" t="s">
        <v>31</v>
      </c>
      <c r="I173" s="702"/>
      <c r="J173" s="702"/>
      <c r="K173" s="702"/>
      <c r="L173" s="257">
        <v>45687</v>
      </c>
      <c r="M173" s="317" t="s">
        <v>513</v>
      </c>
      <c r="N173" s="317" t="s">
        <v>172</v>
      </c>
      <c r="O173" s="308">
        <v>17</v>
      </c>
      <c r="P173" s="317"/>
    </row>
    <row r="174" spans="2:16" s="339" customFormat="1" ht="15" customHeight="1" x14ac:dyDescent="0.2">
      <c r="B174" s="317">
        <f t="shared" si="2"/>
        <v>166</v>
      </c>
      <c r="C174" s="260" t="s">
        <v>390</v>
      </c>
      <c r="D174" s="283" t="s">
        <v>29</v>
      </c>
      <c r="E174" s="317" t="s">
        <v>337</v>
      </c>
      <c r="F174" s="257">
        <v>45681</v>
      </c>
      <c r="G174" s="415">
        <v>25.577999999999999</v>
      </c>
      <c r="H174" s="702" t="s">
        <v>31</v>
      </c>
      <c r="I174" s="702"/>
      <c r="J174" s="702"/>
      <c r="K174" s="702"/>
      <c r="L174" s="257">
        <v>45687</v>
      </c>
      <c r="M174" s="298" t="s">
        <v>510</v>
      </c>
      <c r="N174" s="317"/>
      <c r="O174" s="317">
        <v>15</v>
      </c>
      <c r="P174" s="317"/>
    </row>
    <row r="175" spans="2:16" s="339" customFormat="1" ht="15" customHeight="1" x14ac:dyDescent="0.25">
      <c r="B175" s="317">
        <f t="shared" si="2"/>
        <v>167</v>
      </c>
      <c r="C175" s="260" t="s">
        <v>382</v>
      </c>
      <c r="D175" s="317" t="s">
        <v>34</v>
      </c>
      <c r="E175" s="317" t="s">
        <v>30</v>
      </c>
      <c r="F175" s="257">
        <v>45677</v>
      </c>
      <c r="G175" s="415">
        <v>26.872</v>
      </c>
      <c r="H175" s="702" t="s">
        <v>31</v>
      </c>
      <c r="I175" s="702"/>
      <c r="J175" s="702"/>
      <c r="K175" s="702"/>
      <c r="L175" s="257">
        <v>45687</v>
      </c>
      <c r="M175" s="317" t="s">
        <v>532</v>
      </c>
      <c r="N175" s="317"/>
      <c r="O175" s="317">
        <v>14</v>
      </c>
      <c r="P175" s="317"/>
    </row>
    <row r="176" spans="2:16" s="339" customFormat="1" ht="15" customHeight="1" x14ac:dyDescent="0.25">
      <c r="B176" s="317">
        <f t="shared" si="2"/>
        <v>168</v>
      </c>
      <c r="C176" s="287" t="s">
        <v>376</v>
      </c>
      <c r="D176" s="317" t="s">
        <v>29</v>
      </c>
      <c r="E176" s="317" t="s">
        <v>30</v>
      </c>
      <c r="F176" s="257">
        <v>45684</v>
      </c>
      <c r="G176" s="415">
        <v>25.577999999999999</v>
      </c>
      <c r="H176" s="702" t="s">
        <v>31</v>
      </c>
      <c r="I176" s="702"/>
      <c r="J176" s="702"/>
      <c r="K176" s="702"/>
      <c r="L176" s="257">
        <v>45688</v>
      </c>
      <c r="M176" s="317" t="s">
        <v>448</v>
      </c>
      <c r="N176" s="317" t="s">
        <v>172</v>
      </c>
      <c r="O176" s="308">
        <v>16</v>
      </c>
      <c r="P176" s="317"/>
    </row>
    <row r="177" spans="2:16" s="339" customFormat="1" ht="15" customHeight="1" x14ac:dyDescent="0.25">
      <c r="B177" s="317">
        <f t="shared" si="2"/>
        <v>169</v>
      </c>
      <c r="C177" s="549" t="s">
        <v>327</v>
      </c>
      <c r="D177" s="317" t="s">
        <v>502</v>
      </c>
      <c r="E177" s="308" t="s">
        <v>462</v>
      </c>
      <c r="F177" s="314">
        <v>45676</v>
      </c>
      <c r="G177" s="415">
        <v>114.453</v>
      </c>
      <c r="H177" s="702" t="s">
        <v>31</v>
      </c>
      <c r="I177" s="702"/>
      <c r="J177" s="702"/>
      <c r="K177" s="702"/>
      <c r="L177" s="257">
        <v>45688</v>
      </c>
      <c r="M177" s="317" t="s">
        <v>457</v>
      </c>
      <c r="N177" s="317" t="s">
        <v>172</v>
      </c>
      <c r="O177" s="317">
        <v>18</v>
      </c>
      <c r="P177" s="317"/>
    </row>
    <row r="178" spans="2:16" s="339" customFormat="1" ht="15" customHeight="1" x14ac:dyDescent="0.25">
      <c r="B178" s="317">
        <f t="shared" si="2"/>
        <v>170</v>
      </c>
      <c r="C178" s="260" t="s">
        <v>410</v>
      </c>
      <c r="D178" s="317" t="s">
        <v>34</v>
      </c>
      <c r="E178" s="317" t="s">
        <v>30</v>
      </c>
      <c r="F178" s="257">
        <v>45682</v>
      </c>
      <c r="G178" s="415">
        <v>26.872</v>
      </c>
      <c r="H178" s="702" t="s">
        <v>31</v>
      </c>
      <c r="I178" s="702"/>
      <c r="J178" s="702"/>
      <c r="K178" s="702"/>
      <c r="L178" s="257">
        <v>45688</v>
      </c>
      <c r="M178" s="317" t="s">
        <v>515</v>
      </c>
      <c r="N178" s="317"/>
      <c r="O178" s="308">
        <v>20</v>
      </c>
      <c r="P178" s="317"/>
    </row>
    <row r="179" spans="2:16" s="339" customFormat="1" ht="15" customHeight="1" x14ac:dyDescent="0.25">
      <c r="B179" s="317">
        <f t="shared" si="2"/>
        <v>171</v>
      </c>
      <c r="C179" s="260" t="s">
        <v>500</v>
      </c>
      <c r="D179" s="317" t="s">
        <v>43</v>
      </c>
      <c r="E179" s="317" t="s">
        <v>30</v>
      </c>
      <c r="F179" s="257">
        <v>45687</v>
      </c>
      <c r="G179" s="415">
        <v>26.872</v>
      </c>
      <c r="H179" s="702" t="s">
        <v>31</v>
      </c>
      <c r="I179" s="702"/>
      <c r="J179" s="702"/>
      <c r="K179" s="702"/>
      <c r="L179" s="257">
        <v>45690</v>
      </c>
      <c r="M179" s="317" t="s">
        <v>448</v>
      </c>
      <c r="N179" s="317" t="s">
        <v>662</v>
      </c>
      <c r="O179" s="317">
        <v>15</v>
      </c>
      <c r="P179" s="317"/>
    </row>
    <row r="180" spans="2:16" s="339" customFormat="1" ht="15" customHeight="1" x14ac:dyDescent="0.25">
      <c r="B180" s="317">
        <f t="shared" si="2"/>
        <v>172</v>
      </c>
      <c r="C180" s="260" t="s">
        <v>265</v>
      </c>
      <c r="D180" s="317" t="s">
        <v>34</v>
      </c>
      <c r="E180" s="317" t="s">
        <v>337</v>
      </c>
      <c r="F180" s="257">
        <v>45682</v>
      </c>
      <c r="G180" s="415">
        <v>26.872</v>
      </c>
      <c r="H180" s="702" t="s">
        <v>31</v>
      </c>
      <c r="I180" s="702"/>
      <c r="J180" s="702"/>
      <c r="K180" s="702"/>
      <c r="L180" s="257">
        <v>45692</v>
      </c>
      <c r="M180" s="317" t="s">
        <v>513</v>
      </c>
      <c r="N180" s="317" t="s">
        <v>172</v>
      </c>
      <c r="O180" s="317">
        <v>13</v>
      </c>
      <c r="P180" s="317"/>
    </row>
    <row r="181" spans="2:16" s="339" customFormat="1" ht="15" customHeight="1" x14ac:dyDescent="0.25">
      <c r="B181" s="317">
        <f>B180+1</f>
        <v>173</v>
      </c>
      <c r="C181" s="287" t="s">
        <v>380</v>
      </c>
      <c r="D181" s="317" t="s">
        <v>29</v>
      </c>
      <c r="E181" s="317" t="s">
        <v>30</v>
      </c>
      <c r="F181" s="257">
        <v>45682</v>
      </c>
      <c r="G181" s="415">
        <v>25.577999999999999</v>
      </c>
      <c r="H181" s="702" t="s">
        <v>31</v>
      </c>
      <c r="I181" s="702"/>
      <c r="J181" s="702"/>
      <c r="K181" s="702"/>
      <c r="L181" s="257">
        <v>45694</v>
      </c>
      <c r="M181" s="317" t="s">
        <v>532</v>
      </c>
      <c r="N181" s="317" t="s">
        <v>172</v>
      </c>
      <c r="O181" s="317">
        <v>16</v>
      </c>
      <c r="P181" s="317"/>
    </row>
    <row r="182" spans="2:16" s="339" customFormat="1" ht="15" customHeight="1" x14ac:dyDescent="0.25">
      <c r="B182" s="317">
        <f t="shared" ref="B182:B245" si="3">B181+1</f>
        <v>174</v>
      </c>
      <c r="C182" s="260" t="s">
        <v>262</v>
      </c>
      <c r="D182" s="317" t="s">
        <v>205</v>
      </c>
      <c r="E182" s="317" t="s">
        <v>337</v>
      </c>
      <c r="F182" s="257">
        <v>45682</v>
      </c>
      <c r="G182" s="415">
        <v>19.143999999999998</v>
      </c>
      <c r="H182" s="702" t="s">
        <v>31</v>
      </c>
      <c r="I182" s="702"/>
      <c r="J182" s="702"/>
      <c r="K182" s="702"/>
      <c r="L182" s="257">
        <v>45694</v>
      </c>
      <c r="M182" s="317" t="s">
        <v>457</v>
      </c>
      <c r="N182" s="317" t="s">
        <v>172</v>
      </c>
      <c r="O182" s="317">
        <v>14</v>
      </c>
      <c r="P182" s="317"/>
    </row>
    <row r="183" spans="2:16" s="339" customFormat="1" ht="15" customHeight="1" x14ac:dyDescent="0.25">
      <c r="B183" s="317">
        <f t="shared" si="3"/>
        <v>175</v>
      </c>
      <c r="C183" s="260" t="s">
        <v>261</v>
      </c>
      <c r="D183" s="317" t="s">
        <v>206</v>
      </c>
      <c r="E183" s="317" t="s">
        <v>30</v>
      </c>
      <c r="F183" s="257">
        <v>45684</v>
      </c>
      <c r="G183" s="415">
        <v>18.591999999999999</v>
      </c>
      <c r="H183" s="702" t="s">
        <v>31</v>
      </c>
      <c r="I183" s="702"/>
      <c r="J183" s="702"/>
      <c r="K183" s="702"/>
      <c r="L183" s="257">
        <v>45697</v>
      </c>
      <c r="M183" s="317" t="s">
        <v>457</v>
      </c>
      <c r="N183" s="317" t="s">
        <v>172</v>
      </c>
      <c r="O183" s="317">
        <v>16</v>
      </c>
      <c r="P183" s="317"/>
    </row>
    <row r="184" spans="2:16" s="339" customFormat="1" ht="15" customHeight="1" x14ac:dyDescent="0.25">
      <c r="B184" s="317">
        <f t="shared" si="3"/>
        <v>176</v>
      </c>
      <c r="C184" s="260" t="s">
        <v>379</v>
      </c>
      <c r="D184" s="317" t="s">
        <v>501</v>
      </c>
      <c r="E184" s="317" t="s">
        <v>30</v>
      </c>
      <c r="F184" s="257">
        <v>45684</v>
      </c>
      <c r="G184" s="415">
        <v>144.452</v>
      </c>
      <c r="H184" s="702" t="s">
        <v>31</v>
      </c>
      <c r="I184" s="702"/>
      <c r="J184" s="702"/>
      <c r="K184" s="702"/>
      <c r="L184" s="257">
        <v>45697</v>
      </c>
      <c r="M184" s="317" t="s">
        <v>448</v>
      </c>
      <c r="N184" s="317"/>
      <c r="O184" s="308">
        <v>16</v>
      </c>
      <c r="P184" s="317"/>
    </row>
    <row r="185" spans="2:16" s="339" customFormat="1" ht="15" customHeight="1" x14ac:dyDescent="0.2">
      <c r="B185" s="317">
        <f t="shared" si="3"/>
        <v>177</v>
      </c>
      <c r="C185" s="549" t="s">
        <v>388</v>
      </c>
      <c r="D185" s="317" t="s">
        <v>131</v>
      </c>
      <c r="E185" s="308" t="s">
        <v>30</v>
      </c>
      <c r="F185" s="314">
        <v>45685</v>
      </c>
      <c r="G185" s="415">
        <v>45.764000000000003</v>
      </c>
      <c r="H185" s="702" t="s">
        <v>31</v>
      </c>
      <c r="I185" s="702"/>
      <c r="J185" s="702"/>
      <c r="K185" s="702"/>
      <c r="L185" s="314">
        <v>45698</v>
      </c>
      <c r="M185" s="551" t="s">
        <v>510</v>
      </c>
      <c r="N185" s="317"/>
      <c r="O185" s="308">
        <v>17</v>
      </c>
      <c r="P185" s="317"/>
    </row>
    <row r="186" spans="2:16" s="339" customFormat="1" ht="15" customHeight="1" x14ac:dyDescent="0.25">
      <c r="B186" s="317">
        <f t="shared" si="3"/>
        <v>178</v>
      </c>
      <c r="C186" s="260" t="s">
        <v>306</v>
      </c>
      <c r="D186" s="317" t="s">
        <v>502</v>
      </c>
      <c r="E186" s="308" t="s">
        <v>462</v>
      </c>
      <c r="F186" s="257">
        <v>45689</v>
      </c>
      <c r="G186" s="415">
        <v>114.453</v>
      </c>
      <c r="H186" s="702" t="s">
        <v>31</v>
      </c>
      <c r="I186" s="702"/>
      <c r="J186" s="702"/>
      <c r="K186" s="702"/>
      <c r="L186" s="314">
        <v>45698</v>
      </c>
      <c r="M186" s="317" t="s">
        <v>530</v>
      </c>
      <c r="N186" s="317" t="s">
        <v>172</v>
      </c>
      <c r="O186" s="317">
        <v>15</v>
      </c>
      <c r="P186" s="317"/>
    </row>
    <row r="187" spans="2:16" s="339" customFormat="1" ht="15" customHeight="1" x14ac:dyDescent="0.25">
      <c r="B187" s="317">
        <f t="shared" si="3"/>
        <v>179</v>
      </c>
      <c r="C187" s="260" t="s">
        <v>268</v>
      </c>
      <c r="D187" s="317" t="s">
        <v>34</v>
      </c>
      <c r="E187" s="317" t="s">
        <v>30</v>
      </c>
      <c r="F187" s="257">
        <v>45693</v>
      </c>
      <c r="G187" s="317">
        <v>26.872</v>
      </c>
      <c r="H187" s="702" t="s">
        <v>31</v>
      </c>
      <c r="I187" s="702"/>
      <c r="J187" s="702"/>
      <c r="K187" s="702"/>
      <c r="L187" s="314">
        <v>45700</v>
      </c>
      <c r="M187" s="317" t="s">
        <v>513</v>
      </c>
      <c r="N187" s="317" t="s">
        <v>172</v>
      </c>
      <c r="O187" s="317">
        <v>15</v>
      </c>
      <c r="P187" s="317"/>
    </row>
    <row r="188" spans="2:16" s="339" customFormat="1" ht="15" customHeight="1" x14ac:dyDescent="0.25">
      <c r="B188" s="317">
        <f t="shared" si="3"/>
        <v>180</v>
      </c>
      <c r="C188" s="288" t="s">
        <v>365</v>
      </c>
      <c r="D188" s="317" t="s">
        <v>531</v>
      </c>
      <c r="E188" s="317" t="s">
        <v>30</v>
      </c>
      <c r="F188" s="257">
        <v>45689</v>
      </c>
      <c r="G188" s="317">
        <v>67.247</v>
      </c>
      <c r="H188" s="702" t="s">
        <v>31</v>
      </c>
      <c r="I188" s="702"/>
      <c r="J188" s="702"/>
      <c r="K188" s="702"/>
      <c r="L188" s="314">
        <v>45701</v>
      </c>
      <c r="M188" s="317" t="s">
        <v>448</v>
      </c>
      <c r="N188" s="308" t="s">
        <v>172</v>
      </c>
      <c r="O188" s="308">
        <v>14</v>
      </c>
      <c r="P188" s="308"/>
    </row>
    <row r="189" spans="2:16" s="339" customFormat="1" ht="15" customHeight="1" x14ac:dyDescent="0.25">
      <c r="B189" s="317">
        <f t="shared" si="3"/>
        <v>181</v>
      </c>
      <c r="C189" s="287" t="s">
        <v>381</v>
      </c>
      <c r="D189" s="317" t="s">
        <v>34</v>
      </c>
      <c r="E189" s="317" t="s">
        <v>30</v>
      </c>
      <c r="F189" s="257">
        <v>45693</v>
      </c>
      <c r="G189" s="317">
        <v>26.872</v>
      </c>
      <c r="H189" s="702" t="s">
        <v>31</v>
      </c>
      <c r="I189" s="702"/>
      <c r="J189" s="702"/>
      <c r="K189" s="702"/>
      <c r="L189" s="314">
        <v>45702</v>
      </c>
      <c r="M189" s="317" t="s">
        <v>532</v>
      </c>
      <c r="N189" s="308" t="s">
        <v>172</v>
      </c>
      <c r="O189" s="317">
        <v>16</v>
      </c>
      <c r="P189" s="317"/>
    </row>
    <row r="190" spans="2:16" s="339" customFormat="1" ht="15" customHeight="1" x14ac:dyDescent="0.25">
      <c r="B190" s="317">
        <f t="shared" si="3"/>
        <v>182</v>
      </c>
      <c r="C190" s="260" t="s">
        <v>259</v>
      </c>
      <c r="D190" s="317" t="s">
        <v>205</v>
      </c>
      <c r="E190" s="317" t="s">
        <v>30</v>
      </c>
      <c r="F190" s="257">
        <v>45686</v>
      </c>
      <c r="G190" s="415">
        <v>19.143999999999998</v>
      </c>
      <c r="H190" s="702" t="s">
        <v>31</v>
      </c>
      <c r="I190" s="702"/>
      <c r="J190" s="702"/>
      <c r="K190" s="702"/>
      <c r="L190" s="314">
        <v>45702</v>
      </c>
      <c r="M190" s="317" t="s">
        <v>457</v>
      </c>
      <c r="N190" s="317" t="s">
        <v>172</v>
      </c>
      <c r="O190" s="317">
        <v>16</v>
      </c>
      <c r="P190" s="317"/>
    </row>
    <row r="191" spans="2:16" s="339" customFormat="1" ht="15" customHeight="1" x14ac:dyDescent="0.25">
      <c r="B191" s="317">
        <f t="shared" si="3"/>
        <v>183</v>
      </c>
      <c r="C191" s="260" t="s">
        <v>267</v>
      </c>
      <c r="D191" s="317" t="s">
        <v>34</v>
      </c>
      <c r="E191" s="317" t="s">
        <v>30</v>
      </c>
      <c r="F191" s="216">
        <v>45697</v>
      </c>
      <c r="G191" s="317">
        <v>26.872</v>
      </c>
      <c r="H191" s="702" t="s">
        <v>31</v>
      </c>
      <c r="I191" s="702"/>
      <c r="J191" s="702"/>
      <c r="K191" s="702"/>
      <c r="L191" s="314">
        <v>45703</v>
      </c>
      <c r="M191" s="317" t="s">
        <v>513</v>
      </c>
      <c r="N191" s="217" t="s">
        <v>172</v>
      </c>
      <c r="O191" s="317">
        <v>16</v>
      </c>
      <c r="P191" s="317"/>
    </row>
    <row r="192" spans="2:16" s="339" customFormat="1" ht="14.25" customHeight="1" x14ac:dyDescent="0.25">
      <c r="B192" s="317">
        <f t="shared" si="3"/>
        <v>184</v>
      </c>
      <c r="C192" s="260" t="s">
        <v>402</v>
      </c>
      <c r="D192" s="317" t="s">
        <v>608</v>
      </c>
      <c r="E192" s="317" t="s">
        <v>30</v>
      </c>
      <c r="F192" s="257">
        <v>45693</v>
      </c>
      <c r="G192" s="415">
        <v>67.247</v>
      </c>
      <c r="H192" s="702" t="s">
        <v>31</v>
      </c>
      <c r="I192" s="702"/>
      <c r="J192" s="702"/>
      <c r="K192" s="702"/>
      <c r="L192" s="314">
        <v>45704</v>
      </c>
      <c r="M192" s="317" t="s">
        <v>515</v>
      </c>
      <c r="N192" s="217" t="s">
        <v>172</v>
      </c>
      <c r="O192" s="317">
        <v>17</v>
      </c>
      <c r="P192" s="317"/>
    </row>
    <row r="193" spans="2:16" s="339" customFormat="1" ht="15" customHeight="1" x14ac:dyDescent="0.25">
      <c r="B193" s="317">
        <f t="shared" si="3"/>
        <v>185</v>
      </c>
      <c r="C193" s="260" t="s">
        <v>269</v>
      </c>
      <c r="D193" s="317" t="s">
        <v>34</v>
      </c>
      <c r="E193" s="317" t="s">
        <v>30</v>
      </c>
      <c r="F193" s="257">
        <v>45694</v>
      </c>
      <c r="G193" s="317">
        <v>26.872</v>
      </c>
      <c r="H193" s="702" t="s">
        <v>31</v>
      </c>
      <c r="I193" s="702"/>
      <c r="J193" s="702"/>
      <c r="K193" s="702"/>
      <c r="L193" s="314">
        <v>45704</v>
      </c>
      <c r="M193" s="317" t="s">
        <v>530</v>
      </c>
      <c r="N193" s="217" t="s">
        <v>172</v>
      </c>
      <c r="O193" s="317">
        <v>16</v>
      </c>
      <c r="P193" s="317"/>
    </row>
    <row r="194" spans="2:16" s="339" customFormat="1" ht="15" customHeight="1" x14ac:dyDescent="0.25">
      <c r="B194" s="317">
        <f t="shared" si="3"/>
        <v>186</v>
      </c>
      <c r="C194" s="260" t="s">
        <v>257</v>
      </c>
      <c r="D194" s="317" t="s">
        <v>206</v>
      </c>
      <c r="E194" s="317" t="s">
        <v>30</v>
      </c>
      <c r="F194" s="257">
        <v>45689</v>
      </c>
      <c r="G194" s="415">
        <v>18.591999999999999</v>
      </c>
      <c r="H194" s="702" t="s">
        <v>31</v>
      </c>
      <c r="I194" s="702"/>
      <c r="J194" s="702"/>
      <c r="K194" s="702"/>
      <c r="L194" s="314">
        <v>45704</v>
      </c>
      <c r="M194" s="317" t="s">
        <v>457</v>
      </c>
      <c r="N194" s="217" t="s">
        <v>172</v>
      </c>
      <c r="O194" s="308">
        <v>16</v>
      </c>
      <c r="P194" s="317"/>
    </row>
    <row r="195" spans="2:16" s="339" customFormat="1" ht="15" customHeight="1" x14ac:dyDescent="0.25">
      <c r="B195" s="317">
        <f t="shared" si="3"/>
        <v>187</v>
      </c>
      <c r="C195" s="260" t="s">
        <v>411</v>
      </c>
      <c r="D195" s="317" t="s">
        <v>47</v>
      </c>
      <c r="E195" s="317" t="s">
        <v>30</v>
      </c>
      <c r="F195" s="257">
        <v>45690</v>
      </c>
      <c r="G195" s="415">
        <v>26.872</v>
      </c>
      <c r="H195" s="702" t="s">
        <v>31</v>
      </c>
      <c r="I195" s="702"/>
      <c r="J195" s="702"/>
      <c r="K195" s="702"/>
      <c r="L195" s="314">
        <v>45706</v>
      </c>
      <c r="M195" s="317" t="s">
        <v>515</v>
      </c>
      <c r="N195" s="217"/>
      <c r="O195" s="308">
        <v>17</v>
      </c>
      <c r="P195" s="317"/>
    </row>
    <row r="196" spans="2:16" s="339" customFormat="1" ht="15" customHeight="1" x14ac:dyDescent="0.25">
      <c r="B196" s="317">
        <f t="shared" si="3"/>
        <v>188</v>
      </c>
      <c r="C196" s="260" t="s">
        <v>273</v>
      </c>
      <c r="D196" s="317" t="s">
        <v>43</v>
      </c>
      <c r="E196" s="317" t="s">
        <v>30</v>
      </c>
      <c r="F196" s="257">
        <v>45680</v>
      </c>
      <c r="G196" s="415">
        <v>26.872</v>
      </c>
      <c r="H196" s="702" t="s">
        <v>31</v>
      </c>
      <c r="I196" s="702"/>
      <c r="J196" s="702"/>
      <c r="K196" s="702"/>
      <c r="L196" s="314">
        <v>45707</v>
      </c>
      <c r="M196" s="317" t="s">
        <v>530</v>
      </c>
      <c r="N196" s="217" t="s">
        <v>172</v>
      </c>
      <c r="O196" s="308">
        <v>17</v>
      </c>
      <c r="P196" s="317"/>
    </row>
    <row r="197" spans="2:16" s="339" customFormat="1" ht="15" customHeight="1" x14ac:dyDescent="0.25">
      <c r="B197" s="317">
        <f t="shared" si="3"/>
        <v>189</v>
      </c>
      <c r="C197" s="260" t="s">
        <v>260</v>
      </c>
      <c r="D197" s="317" t="s">
        <v>206</v>
      </c>
      <c r="E197" s="317" t="s">
        <v>337</v>
      </c>
      <c r="F197" s="257">
        <v>45681</v>
      </c>
      <c r="G197" s="415">
        <v>18.591999999999999</v>
      </c>
      <c r="H197" s="702" t="s">
        <v>31</v>
      </c>
      <c r="I197" s="702"/>
      <c r="J197" s="702"/>
      <c r="K197" s="702"/>
      <c r="L197" s="257">
        <v>45708</v>
      </c>
      <c r="M197" s="317" t="s">
        <v>457</v>
      </c>
      <c r="N197" s="217" t="s">
        <v>172</v>
      </c>
      <c r="O197" s="317">
        <v>15</v>
      </c>
      <c r="P197" s="317"/>
    </row>
    <row r="198" spans="2:16" s="339" customFormat="1" ht="15" customHeight="1" x14ac:dyDescent="0.25">
      <c r="B198" s="317">
        <f t="shared" si="3"/>
        <v>190</v>
      </c>
      <c r="C198" s="260" t="s">
        <v>375</v>
      </c>
      <c r="D198" s="317" t="s">
        <v>352</v>
      </c>
      <c r="E198" s="317" t="s">
        <v>30</v>
      </c>
      <c r="F198" s="257">
        <v>45704</v>
      </c>
      <c r="G198" s="415">
        <v>47.610999999999997</v>
      </c>
      <c r="H198" s="702" t="s">
        <v>31</v>
      </c>
      <c r="I198" s="702"/>
      <c r="J198" s="702"/>
      <c r="K198" s="702"/>
      <c r="L198" s="257">
        <v>45708</v>
      </c>
      <c r="M198" s="317" t="s">
        <v>448</v>
      </c>
      <c r="N198" s="217" t="s">
        <v>172</v>
      </c>
      <c r="O198" s="317">
        <v>15</v>
      </c>
      <c r="P198" s="317"/>
    </row>
    <row r="199" spans="2:16" s="339" customFormat="1" ht="15" customHeight="1" x14ac:dyDescent="0.25">
      <c r="B199" s="317">
        <f t="shared" si="3"/>
        <v>191</v>
      </c>
      <c r="C199" s="287" t="s">
        <v>422</v>
      </c>
      <c r="D199" s="317" t="s">
        <v>29</v>
      </c>
      <c r="E199" s="317" t="s">
        <v>30</v>
      </c>
      <c r="F199" s="257">
        <v>45701</v>
      </c>
      <c r="G199" s="415">
        <v>25.577999999999999</v>
      </c>
      <c r="H199" s="702" t="s">
        <v>31</v>
      </c>
      <c r="I199" s="702"/>
      <c r="J199" s="702"/>
      <c r="K199" s="702"/>
      <c r="L199" s="257">
        <v>45709</v>
      </c>
      <c r="M199" s="317" t="s">
        <v>532</v>
      </c>
      <c r="N199" s="217" t="s">
        <v>172</v>
      </c>
      <c r="O199" s="308">
        <v>14</v>
      </c>
      <c r="P199" s="317"/>
    </row>
    <row r="200" spans="2:16" s="339" customFormat="1" ht="15" customHeight="1" x14ac:dyDescent="0.2">
      <c r="B200" s="317">
        <f t="shared" si="3"/>
        <v>192</v>
      </c>
      <c r="C200" s="260" t="s">
        <v>420</v>
      </c>
      <c r="D200" s="317" t="s">
        <v>34</v>
      </c>
      <c r="E200" s="317" t="s">
        <v>30</v>
      </c>
      <c r="F200" s="257">
        <v>45700</v>
      </c>
      <c r="G200" s="415">
        <v>26.872</v>
      </c>
      <c r="H200" s="702" t="s">
        <v>31</v>
      </c>
      <c r="I200" s="702"/>
      <c r="J200" s="702"/>
      <c r="K200" s="702"/>
      <c r="L200" s="257">
        <v>45709</v>
      </c>
      <c r="M200" s="551" t="s">
        <v>510</v>
      </c>
      <c r="N200" s="217" t="s">
        <v>172</v>
      </c>
      <c r="O200" s="317">
        <v>16</v>
      </c>
      <c r="P200" s="317"/>
    </row>
    <row r="201" spans="2:16" s="339" customFormat="1" ht="15" customHeight="1" x14ac:dyDescent="0.25">
      <c r="B201" s="317">
        <f t="shared" si="3"/>
        <v>193</v>
      </c>
      <c r="C201" s="260" t="s">
        <v>296</v>
      </c>
      <c r="D201" s="317" t="s">
        <v>29</v>
      </c>
      <c r="E201" s="317" t="s">
        <v>455</v>
      </c>
      <c r="F201" s="257">
        <v>45705</v>
      </c>
      <c r="G201" s="317">
        <v>41.042000000000002</v>
      </c>
      <c r="H201" s="702" t="s">
        <v>31</v>
      </c>
      <c r="I201" s="702"/>
      <c r="J201" s="702"/>
      <c r="K201" s="702"/>
      <c r="L201" s="257">
        <v>45709</v>
      </c>
      <c r="M201" s="317" t="s">
        <v>513</v>
      </c>
      <c r="N201" s="217" t="s">
        <v>172</v>
      </c>
      <c r="O201" s="317">
        <v>16</v>
      </c>
      <c r="P201" s="317"/>
    </row>
    <row r="202" spans="2:16" s="339" customFormat="1" ht="15" customHeight="1" x14ac:dyDescent="0.2">
      <c r="B202" s="317">
        <f t="shared" si="3"/>
        <v>194</v>
      </c>
      <c r="C202" s="260" t="s">
        <v>421</v>
      </c>
      <c r="D202" s="317" t="s">
        <v>34</v>
      </c>
      <c r="E202" s="317" t="s">
        <v>30</v>
      </c>
      <c r="F202" s="257">
        <v>45701</v>
      </c>
      <c r="G202" s="415">
        <v>26.872</v>
      </c>
      <c r="H202" s="702" t="s">
        <v>31</v>
      </c>
      <c r="I202" s="702"/>
      <c r="J202" s="702"/>
      <c r="K202" s="702"/>
      <c r="L202" s="257">
        <v>45711</v>
      </c>
      <c r="M202" s="551" t="s">
        <v>510</v>
      </c>
      <c r="N202" s="217" t="s">
        <v>172</v>
      </c>
      <c r="O202" s="308">
        <v>16</v>
      </c>
      <c r="P202" s="317"/>
    </row>
    <row r="203" spans="2:16" s="339" customFormat="1" ht="15" customHeight="1" x14ac:dyDescent="0.25">
      <c r="B203" s="317">
        <f t="shared" si="3"/>
        <v>195</v>
      </c>
      <c r="C203" s="260" t="s">
        <v>271</v>
      </c>
      <c r="D203" s="317" t="s">
        <v>34</v>
      </c>
      <c r="E203" s="317" t="s">
        <v>30</v>
      </c>
      <c r="F203" s="257">
        <v>45676</v>
      </c>
      <c r="G203" s="415">
        <v>26.872</v>
      </c>
      <c r="H203" s="702" t="s">
        <v>31</v>
      </c>
      <c r="I203" s="702"/>
      <c r="J203" s="702"/>
      <c r="K203" s="702"/>
      <c r="L203" s="257">
        <v>45711</v>
      </c>
      <c r="M203" s="317" t="s">
        <v>530</v>
      </c>
      <c r="N203" s="217" t="s">
        <v>172</v>
      </c>
      <c r="O203" s="308">
        <v>17</v>
      </c>
      <c r="P203" s="317"/>
    </row>
    <row r="204" spans="2:16" s="339" customFormat="1" ht="15" customHeight="1" x14ac:dyDescent="0.25">
      <c r="B204" s="317">
        <f t="shared" si="3"/>
        <v>196</v>
      </c>
      <c r="C204" s="260" t="s">
        <v>258</v>
      </c>
      <c r="D204" s="317" t="s">
        <v>205</v>
      </c>
      <c r="E204" s="317" t="s">
        <v>30</v>
      </c>
      <c r="F204" s="257">
        <v>45692</v>
      </c>
      <c r="G204" s="415">
        <v>19.143999999999998</v>
      </c>
      <c r="H204" s="702" t="s">
        <v>31</v>
      </c>
      <c r="I204" s="702"/>
      <c r="J204" s="702"/>
      <c r="K204" s="702"/>
      <c r="L204" s="257">
        <v>45712</v>
      </c>
      <c r="M204" s="317" t="s">
        <v>457</v>
      </c>
      <c r="N204" s="217" t="s">
        <v>172</v>
      </c>
      <c r="O204" s="308">
        <v>17</v>
      </c>
      <c r="P204" s="317"/>
    </row>
    <row r="205" spans="2:16" s="339" customFormat="1" ht="15" customHeight="1" x14ac:dyDescent="0.25">
      <c r="B205" s="317">
        <f t="shared" si="3"/>
        <v>197</v>
      </c>
      <c r="C205" s="260" t="s">
        <v>270</v>
      </c>
      <c r="D205" s="317" t="s">
        <v>43</v>
      </c>
      <c r="E205" s="317" t="s">
        <v>30</v>
      </c>
      <c r="F205" s="257">
        <v>45699</v>
      </c>
      <c r="G205" s="415">
        <v>26.872</v>
      </c>
      <c r="H205" s="702" t="s">
        <v>31</v>
      </c>
      <c r="I205" s="702"/>
      <c r="J205" s="702"/>
      <c r="K205" s="702"/>
      <c r="L205" s="257">
        <v>45713</v>
      </c>
      <c r="M205" s="317" t="s">
        <v>530</v>
      </c>
      <c r="N205" s="217" t="s">
        <v>172</v>
      </c>
      <c r="O205" s="317">
        <v>15</v>
      </c>
      <c r="P205" s="317"/>
    </row>
    <row r="206" spans="2:16" s="339" customFormat="1" ht="15" customHeight="1" x14ac:dyDescent="0.25">
      <c r="B206" s="317">
        <f t="shared" si="3"/>
        <v>198</v>
      </c>
      <c r="C206" s="260" t="s">
        <v>256</v>
      </c>
      <c r="D206" s="317" t="s">
        <v>206</v>
      </c>
      <c r="E206" s="317" t="s">
        <v>30</v>
      </c>
      <c r="F206" s="257">
        <v>45702</v>
      </c>
      <c r="G206" s="415">
        <v>18.591999999999999</v>
      </c>
      <c r="H206" s="702" t="s">
        <v>31</v>
      </c>
      <c r="I206" s="702"/>
      <c r="J206" s="702"/>
      <c r="K206" s="702"/>
      <c r="L206" s="257">
        <v>45715</v>
      </c>
      <c r="M206" s="317" t="s">
        <v>457</v>
      </c>
      <c r="N206" s="217" t="s">
        <v>172</v>
      </c>
      <c r="O206" s="317">
        <v>15</v>
      </c>
      <c r="P206" s="317"/>
    </row>
    <row r="207" spans="2:16" s="339" customFormat="1" ht="15" customHeight="1" x14ac:dyDescent="0.25">
      <c r="B207" s="317">
        <f t="shared" si="3"/>
        <v>199</v>
      </c>
      <c r="C207" s="260" t="s">
        <v>255</v>
      </c>
      <c r="D207" s="317" t="s">
        <v>615</v>
      </c>
      <c r="E207" s="317" t="s">
        <v>30</v>
      </c>
      <c r="F207" s="257">
        <v>45707</v>
      </c>
      <c r="G207" s="415">
        <v>19.143999999999998</v>
      </c>
      <c r="H207" s="702" t="s">
        <v>31</v>
      </c>
      <c r="I207" s="702"/>
      <c r="J207" s="702"/>
      <c r="K207" s="702"/>
      <c r="L207" s="257">
        <v>45716</v>
      </c>
      <c r="M207" s="317" t="s">
        <v>457</v>
      </c>
      <c r="N207" s="217" t="s">
        <v>172</v>
      </c>
      <c r="O207" s="317">
        <v>16</v>
      </c>
      <c r="P207" s="317"/>
    </row>
    <row r="208" spans="2:16" s="339" customFormat="1" ht="15" customHeight="1" x14ac:dyDescent="0.25">
      <c r="B208" s="317">
        <f t="shared" si="3"/>
        <v>200</v>
      </c>
      <c r="C208" s="287" t="s">
        <v>423</v>
      </c>
      <c r="D208" s="317" t="s">
        <v>47</v>
      </c>
      <c r="E208" s="317" t="s">
        <v>30</v>
      </c>
      <c r="F208" s="257">
        <v>45704</v>
      </c>
      <c r="G208" s="415">
        <v>26.872</v>
      </c>
      <c r="H208" s="702" t="s">
        <v>31</v>
      </c>
      <c r="I208" s="702"/>
      <c r="J208" s="702"/>
      <c r="K208" s="702"/>
      <c r="L208" s="257">
        <v>45716</v>
      </c>
      <c r="M208" s="317" t="s">
        <v>532</v>
      </c>
      <c r="N208" s="217" t="s">
        <v>172</v>
      </c>
      <c r="O208" s="308">
        <v>16</v>
      </c>
      <c r="P208" s="317"/>
    </row>
    <row r="209" spans="2:16" s="339" customFormat="1" ht="15" customHeight="1" x14ac:dyDescent="0.2">
      <c r="B209" s="317">
        <f t="shared" si="3"/>
        <v>201</v>
      </c>
      <c r="C209" s="260" t="s">
        <v>419</v>
      </c>
      <c r="D209" s="317" t="s">
        <v>34</v>
      </c>
      <c r="E209" s="317" t="s">
        <v>432</v>
      </c>
      <c r="F209" s="257">
        <v>45706</v>
      </c>
      <c r="G209" s="415">
        <v>40.405999999999999</v>
      </c>
      <c r="H209" s="702" t="s">
        <v>31</v>
      </c>
      <c r="I209" s="702"/>
      <c r="J209" s="702"/>
      <c r="K209" s="702"/>
      <c r="L209" s="257">
        <v>45717</v>
      </c>
      <c r="M209" s="551" t="s">
        <v>510</v>
      </c>
      <c r="N209" s="217" t="s">
        <v>172</v>
      </c>
      <c r="O209" s="308">
        <v>17</v>
      </c>
      <c r="P209" s="317"/>
    </row>
    <row r="210" spans="2:16" s="339" customFormat="1" ht="15" customHeight="1" x14ac:dyDescent="0.25">
      <c r="B210" s="317">
        <f t="shared" si="3"/>
        <v>202</v>
      </c>
      <c r="C210" s="260" t="s">
        <v>301</v>
      </c>
      <c r="D210" s="317" t="s">
        <v>612</v>
      </c>
      <c r="E210" s="317" t="s">
        <v>462</v>
      </c>
      <c r="F210" s="257">
        <v>45706</v>
      </c>
      <c r="G210" s="415">
        <v>112.797</v>
      </c>
      <c r="H210" s="702" t="s">
        <v>31</v>
      </c>
      <c r="I210" s="702"/>
      <c r="J210" s="702"/>
      <c r="K210" s="702"/>
      <c r="L210" s="257">
        <v>45720</v>
      </c>
      <c r="M210" s="317" t="s">
        <v>513</v>
      </c>
      <c r="N210" s="217" t="s">
        <v>172</v>
      </c>
      <c r="O210" s="308">
        <v>17</v>
      </c>
      <c r="P210" s="317"/>
    </row>
    <row r="211" spans="2:16" s="339" customFormat="1" ht="15" customHeight="1" x14ac:dyDescent="0.25">
      <c r="B211" s="317">
        <f t="shared" si="3"/>
        <v>203</v>
      </c>
      <c r="C211" s="260" t="s">
        <v>254</v>
      </c>
      <c r="D211" s="317" t="s">
        <v>206</v>
      </c>
      <c r="E211" s="317" t="s">
        <v>30</v>
      </c>
      <c r="F211" s="257">
        <v>45715</v>
      </c>
      <c r="G211" s="415">
        <v>18.591999999999999</v>
      </c>
      <c r="H211" s="702" t="s">
        <v>31</v>
      </c>
      <c r="I211" s="702"/>
      <c r="J211" s="702"/>
      <c r="K211" s="702"/>
      <c r="L211" s="257">
        <v>45720</v>
      </c>
      <c r="M211" s="317" t="s">
        <v>457</v>
      </c>
      <c r="N211" s="217" t="s">
        <v>172</v>
      </c>
      <c r="O211" s="317">
        <v>15</v>
      </c>
      <c r="P211" s="317"/>
    </row>
    <row r="212" spans="2:16" s="339" customFormat="1" ht="15" customHeight="1" x14ac:dyDescent="0.25">
      <c r="B212" s="317">
        <f t="shared" si="3"/>
        <v>204</v>
      </c>
      <c r="C212" s="260" t="s">
        <v>311</v>
      </c>
      <c r="D212" s="317" t="s">
        <v>29</v>
      </c>
      <c r="E212" s="317" t="s">
        <v>462</v>
      </c>
      <c r="F212" s="257">
        <v>45714</v>
      </c>
      <c r="G212" s="317">
        <v>41.042000000000002</v>
      </c>
      <c r="H212" s="702" t="s">
        <v>31</v>
      </c>
      <c r="I212" s="702"/>
      <c r="J212" s="702"/>
      <c r="K212" s="702"/>
      <c r="L212" s="257">
        <v>45720</v>
      </c>
      <c r="M212" s="317" t="s">
        <v>530</v>
      </c>
      <c r="N212" s="217" t="s">
        <v>172</v>
      </c>
      <c r="O212" s="317">
        <v>15</v>
      </c>
      <c r="P212" s="317"/>
    </row>
    <row r="213" spans="2:16" s="339" customFormat="1" ht="15" customHeight="1" x14ac:dyDescent="0.25">
      <c r="B213" s="317">
        <f t="shared" si="3"/>
        <v>205</v>
      </c>
      <c r="C213" s="260" t="s">
        <v>412</v>
      </c>
      <c r="D213" s="317" t="s">
        <v>613</v>
      </c>
      <c r="E213" s="317" t="s">
        <v>30</v>
      </c>
      <c r="F213" s="257">
        <v>45708</v>
      </c>
      <c r="G213" s="415">
        <v>49.777000000000001</v>
      </c>
      <c r="H213" s="702" t="s">
        <v>31</v>
      </c>
      <c r="I213" s="702"/>
      <c r="J213" s="702"/>
      <c r="K213" s="702"/>
      <c r="L213" s="257">
        <v>45722</v>
      </c>
      <c r="M213" s="317" t="s">
        <v>515</v>
      </c>
      <c r="N213" s="217" t="s">
        <v>172</v>
      </c>
      <c r="O213" s="317">
        <v>16</v>
      </c>
      <c r="P213" s="317"/>
    </row>
    <row r="214" spans="2:16" s="339" customFormat="1" ht="15" customHeight="1" x14ac:dyDescent="0.2">
      <c r="B214" s="317">
        <f t="shared" si="3"/>
        <v>206</v>
      </c>
      <c r="C214" s="260" t="s">
        <v>418</v>
      </c>
      <c r="D214" s="317" t="s">
        <v>29</v>
      </c>
      <c r="E214" s="317" t="s">
        <v>30</v>
      </c>
      <c r="F214" s="257">
        <v>45714</v>
      </c>
      <c r="G214" s="415">
        <v>25.577999999999999</v>
      </c>
      <c r="H214" s="702" t="s">
        <v>31</v>
      </c>
      <c r="I214" s="702"/>
      <c r="J214" s="702"/>
      <c r="K214" s="702"/>
      <c r="L214" s="257">
        <v>45723</v>
      </c>
      <c r="M214" s="551" t="s">
        <v>510</v>
      </c>
      <c r="N214" s="217" t="s">
        <v>172</v>
      </c>
      <c r="O214" s="317">
        <v>15</v>
      </c>
      <c r="P214" s="317"/>
    </row>
    <row r="215" spans="2:16" s="339" customFormat="1" ht="15" customHeight="1" x14ac:dyDescent="0.25">
      <c r="B215" s="317">
        <f t="shared" si="3"/>
        <v>207</v>
      </c>
      <c r="C215" s="260" t="s">
        <v>253</v>
      </c>
      <c r="D215" s="293" t="s">
        <v>205</v>
      </c>
      <c r="E215" s="317" t="s">
        <v>30</v>
      </c>
      <c r="F215" s="257">
        <v>45715</v>
      </c>
      <c r="G215" s="415">
        <v>19.143999999999998</v>
      </c>
      <c r="H215" s="702" t="s">
        <v>31</v>
      </c>
      <c r="I215" s="702"/>
      <c r="J215" s="702"/>
      <c r="K215" s="702"/>
      <c r="L215" s="257">
        <v>45723</v>
      </c>
      <c r="M215" s="317" t="s">
        <v>457</v>
      </c>
      <c r="N215" s="217" t="s">
        <v>172</v>
      </c>
      <c r="O215" s="317">
        <v>16</v>
      </c>
      <c r="P215" s="317"/>
    </row>
    <row r="216" spans="2:16" s="339" customFormat="1" ht="15" customHeight="1" x14ac:dyDescent="0.25">
      <c r="B216" s="317">
        <f t="shared" si="3"/>
        <v>208</v>
      </c>
      <c r="C216" s="260" t="s">
        <v>312</v>
      </c>
      <c r="D216" s="317" t="s">
        <v>29</v>
      </c>
      <c r="E216" s="317" t="s">
        <v>462</v>
      </c>
      <c r="F216" s="257">
        <v>45720</v>
      </c>
      <c r="G216" s="415">
        <v>41.042000000000002</v>
      </c>
      <c r="H216" s="702" t="s">
        <v>31</v>
      </c>
      <c r="I216" s="702"/>
      <c r="J216" s="702"/>
      <c r="K216" s="702"/>
      <c r="L216" s="257">
        <v>45724</v>
      </c>
      <c r="M216" s="317" t="s">
        <v>530</v>
      </c>
      <c r="N216" s="217" t="s">
        <v>172</v>
      </c>
      <c r="O216" s="308">
        <v>17</v>
      </c>
      <c r="P216" s="317"/>
    </row>
    <row r="217" spans="2:16" s="339" customFormat="1" ht="15" customHeight="1" x14ac:dyDescent="0.25">
      <c r="B217" s="317">
        <f t="shared" si="3"/>
        <v>209</v>
      </c>
      <c r="C217" s="260" t="s">
        <v>368</v>
      </c>
      <c r="D217" s="317" t="s">
        <v>43</v>
      </c>
      <c r="E217" s="317" t="s">
        <v>30</v>
      </c>
      <c r="F217" s="257">
        <v>45713</v>
      </c>
      <c r="G217" s="415">
        <v>26.872</v>
      </c>
      <c r="H217" s="702" t="s">
        <v>31</v>
      </c>
      <c r="I217" s="702"/>
      <c r="J217" s="702"/>
      <c r="K217" s="702"/>
      <c r="L217" s="257">
        <v>45724</v>
      </c>
      <c r="M217" s="317" t="s">
        <v>532</v>
      </c>
      <c r="N217" s="217" t="s">
        <v>172</v>
      </c>
      <c r="O217" s="317">
        <v>15</v>
      </c>
      <c r="P217" s="317"/>
    </row>
    <row r="218" spans="2:16" s="339" customFormat="1" x14ac:dyDescent="0.25">
      <c r="B218" s="317">
        <f t="shared" si="3"/>
        <v>210</v>
      </c>
      <c r="C218" s="260" t="s">
        <v>413</v>
      </c>
      <c r="D218" s="317" t="s">
        <v>637</v>
      </c>
      <c r="E218" s="317" t="s">
        <v>30</v>
      </c>
      <c r="F218" s="257">
        <v>45708</v>
      </c>
      <c r="G218" s="415">
        <v>34.753</v>
      </c>
      <c r="H218" s="702" t="s">
        <v>31</v>
      </c>
      <c r="I218" s="702"/>
      <c r="J218" s="702"/>
      <c r="K218" s="702"/>
      <c r="L218" s="257">
        <v>45728</v>
      </c>
      <c r="M218" s="317" t="s">
        <v>515</v>
      </c>
      <c r="N218" s="217"/>
      <c r="O218" s="308">
        <v>16</v>
      </c>
      <c r="P218" s="340"/>
    </row>
    <row r="219" spans="2:16" s="339" customFormat="1" ht="15" customHeight="1" x14ac:dyDescent="0.25">
      <c r="B219" s="317">
        <f t="shared" si="3"/>
        <v>211</v>
      </c>
      <c r="C219" s="260" t="s">
        <v>307</v>
      </c>
      <c r="D219" s="317" t="s">
        <v>29</v>
      </c>
      <c r="E219" s="317" t="s">
        <v>462</v>
      </c>
      <c r="F219" s="257">
        <v>45720</v>
      </c>
      <c r="G219" s="415">
        <v>41.042000000000002</v>
      </c>
      <c r="H219" s="702" t="s">
        <v>31</v>
      </c>
      <c r="I219" s="702"/>
      <c r="J219" s="702"/>
      <c r="K219" s="702"/>
      <c r="L219" s="257">
        <v>45729</v>
      </c>
      <c r="M219" s="317" t="s">
        <v>530</v>
      </c>
      <c r="N219" s="217"/>
      <c r="O219" s="308">
        <v>17</v>
      </c>
      <c r="P219" s="317"/>
    </row>
    <row r="220" spans="2:16" s="339" customFormat="1" ht="15" customHeight="1" x14ac:dyDescent="0.25">
      <c r="B220" s="317">
        <f t="shared" si="3"/>
        <v>212</v>
      </c>
      <c r="C220" s="260" t="s">
        <v>251</v>
      </c>
      <c r="D220" s="317" t="s">
        <v>205</v>
      </c>
      <c r="E220" s="317" t="s">
        <v>30</v>
      </c>
      <c r="F220" s="257">
        <v>45356</v>
      </c>
      <c r="G220" s="415">
        <v>19.143999999999998</v>
      </c>
      <c r="H220" s="702" t="s">
        <v>31</v>
      </c>
      <c r="I220" s="702"/>
      <c r="J220" s="702"/>
      <c r="K220" s="702"/>
      <c r="L220" s="257">
        <v>45729</v>
      </c>
      <c r="M220" s="317" t="s">
        <v>457</v>
      </c>
      <c r="N220" s="217" t="s">
        <v>172</v>
      </c>
      <c r="O220" s="308">
        <v>17</v>
      </c>
      <c r="P220" s="317"/>
    </row>
    <row r="221" spans="2:16" s="339" customFormat="1" ht="15" customHeight="1" x14ac:dyDescent="0.25">
      <c r="B221" s="317">
        <f t="shared" si="3"/>
        <v>213</v>
      </c>
      <c r="C221" s="260" t="s">
        <v>250</v>
      </c>
      <c r="D221" s="317" t="s">
        <v>205</v>
      </c>
      <c r="E221" s="317" t="s">
        <v>30</v>
      </c>
      <c r="F221" s="257">
        <v>45729</v>
      </c>
      <c r="G221" s="415">
        <v>19.143999999999998</v>
      </c>
      <c r="H221" s="702" t="s">
        <v>31</v>
      </c>
      <c r="I221" s="702"/>
      <c r="J221" s="702"/>
      <c r="K221" s="702"/>
      <c r="L221" s="257">
        <v>45734</v>
      </c>
      <c r="M221" s="317" t="s">
        <v>457</v>
      </c>
      <c r="N221" s="217" t="s">
        <v>172</v>
      </c>
      <c r="O221" s="308">
        <v>17</v>
      </c>
      <c r="P221" s="317"/>
    </row>
    <row r="222" spans="2:16" s="339" customFormat="1" ht="15" customHeight="1" x14ac:dyDescent="0.25">
      <c r="B222" s="317">
        <f t="shared" si="3"/>
        <v>214</v>
      </c>
      <c r="C222" s="260" t="s">
        <v>310</v>
      </c>
      <c r="D222" s="283" t="s">
        <v>34</v>
      </c>
      <c r="E222" s="317" t="s">
        <v>462</v>
      </c>
      <c r="F222" s="257">
        <v>45721</v>
      </c>
      <c r="G222" s="317">
        <f>37.84+4.104</f>
        <v>41.944000000000003</v>
      </c>
      <c r="H222" s="702" t="s">
        <v>31</v>
      </c>
      <c r="I222" s="702"/>
      <c r="J222" s="702"/>
      <c r="K222" s="702"/>
      <c r="L222" s="257">
        <v>45734</v>
      </c>
      <c r="M222" s="317" t="s">
        <v>530</v>
      </c>
      <c r="N222" s="217" t="s">
        <v>172</v>
      </c>
      <c r="O222" s="308">
        <v>18</v>
      </c>
      <c r="P222" s="317"/>
    </row>
    <row r="223" spans="2:16" s="339" customFormat="1" ht="15" customHeight="1" x14ac:dyDescent="0.25">
      <c r="B223" s="317">
        <f t="shared" si="3"/>
        <v>215</v>
      </c>
      <c r="C223" s="260" t="s">
        <v>281</v>
      </c>
      <c r="D223" s="317" t="s">
        <v>29</v>
      </c>
      <c r="E223" s="317" t="s">
        <v>462</v>
      </c>
      <c r="F223" s="257">
        <v>45722</v>
      </c>
      <c r="G223" s="415">
        <v>41.042000000000002</v>
      </c>
      <c r="H223" s="702" t="s">
        <v>31</v>
      </c>
      <c r="I223" s="702"/>
      <c r="J223" s="702"/>
      <c r="K223" s="702"/>
      <c r="L223" s="257">
        <v>45735</v>
      </c>
      <c r="M223" s="317" t="s">
        <v>513</v>
      </c>
      <c r="N223" s="217" t="s">
        <v>172</v>
      </c>
      <c r="O223" s="317">
        <v>15</v>
      </c>
      <c r="P223" s="317"/>
    </row>
    <row r="224" spans="2:16" s="339" customFormat="1" ht="15" customHeight="1" x14ac:dyDescent="0.25">
      <c r="B224" s="317">
        <f t="shared" si="3"/>
        <v>216</v>
      </c>
      <c r="C224" s="260" t="s">
        <v>252</v>
      </c>
      <c r="D224" s="283" t="s">
        <v>649</v>
      </c>
      <c r="E224" s="317" t="s">
        <v>30</v>
      </c>
      <c r="F224" s="257">
        <v>45724</v>
      </c>
      <c r="G224" s="415">
        <v>39.01</v>
      </c>
      <c r="H224" s="702" t="s">
        <v>31</v>
      </c>
      <c r="I224" s="702"/>
      <c r="J224" s="702"/>
      <c r="K224" s="702"/>
      <c r="L224" s="257">
        <v>45740</v>
      </c>
      <c r="M224" s="317" t="s">
        <v>457</v>
      </c>
      <c r="N224" s="217" t="s">
        <v>172</v>
      </c>
      <c r="O224" s="308">
        <v>16</v>
      </c>
      <c r="P224" s="317"/>
    </row>
    <row r="225" spans="2:16" s="339" customFormat="1" ht="15" customHeight="1" x14ac:dyDescent="0.25">
      <c r="B225" s="317">
        <f t="shared" si="3"/>
        <v>217</v>
      </c>
      <c r="C225" s="260" t="s">
        <v>373</v>
      </c>
      <c r="D225" s="317" t="s">
        <v>135</v>
      </c>
      <c r="E225" s="317" t="s">
        <v>30</v>
      </c>
      <c r="F225" s="257">
        <v>45356</v>
      </c>
      <c r="G225" s="415">
        <v>43.667999999999999</v>
      </c>
      <c r="H225" s="702" t="s">
        <v>31</v>
      </c>
      <c r="I225" s="702"/>
      <c r="J225" s="702"/>
      <c r="K225" s="702"/>
      <c r="L225" s="257">
        <v>45742</v>
      </c>
      <c r="M225" s="317" t="s">
        <v>532</v>
      </c>
      <c r="N225" s="217" t="s">
        <v>172</v>
      </c>
      <c r="O225" s="308">
        <v>17</v>
      </c>
      <c r="P225" s="317"/>
    </row>
    <row r="226" spans="2:16" s="339" customFormat="1" ht="15" customHeight="1" x14ac:dyDescent="0.25">
      <c r="B226" s="317">
        <f t="shared" si="3"/>
        <v>218</v>
      </c>
      <c r="C226" s="260" t="s">
        <v>248</v>
      </c>
      <c r="D226" s="283" t="s">
        <v>206</v>
      </c>
      <c r="E226" s="317" t="s">
        <v>30</v>
      </c>
      <c r="F226" s="257">
        <v>45733</v>
      </c>
      <c r="G226" s="415">
        <v>18.591999999999999</v>
      </c>
      <c r="H226" s="702" t="s">
        <v>31</v>
      </c>
      <c r="I226" s="702"/>
      <c r="J226" s="702"/>
      <c r="K226" s="702"/>
      <c r="L226" s="257">
        <v>45744</v>
      </c>
      <c r="M226" s="317" t="s">
        <v>457</v>
      </c>
      <c r="N226" s="217" t="s">
        <v>172</v>
      </c>
      <c r="O226" s="308">
        <v>17</v>
      </c>
      <c r="P226" s="317"/>
    </row>
    <row r="227" spans="2:16" s="339" customFormat="1" ht="15" customHeight="1" x14ac:dyDescent="0.2">
      <c r="B227" s="317">
        <f t="shared" si="3"/>
        <v>219</v>
      </c>
      <c r="C227" s="260" t="s">
        <v>299</v>
      </c>
      <c r="D227" s="488" t="s">
        <v>29</v>
      </c>
      <c r="E227" s="317" t="s">
        <v>462</v>
      </c>
      <c r="F227" s="257">
        <v>45738</v>
      </c>
      <c r="G227" s="415">
        <v>41.042000000000002</v>
      </c>
      <c r="H227" s="702" t="s">
        <v>31</v>
      </c>
      <c r="I227" s="702"/>
      <c r="J227" s="702"/>
      <c r="K227" s="702"/>
      <c r="L227" s="257">
        <v>45746</v>
      </c>
      <c r="M227" s="551" t="s">
        <v>510</v>
      </c>
      <c r="N227" s="217"/>
      <c r="O227" s="308">
        <v>18</v>
      </c>
      <c r="P227" s="317"/>
    </row>
    <row r="228" spans="2:16" s="339" customFormat="1" ht="15" customHeight="1" x14ac:dyDescent="0.2">
      <c r="B228" s="317">
        <f t="shared" si="3"/>
        <v>220</v>
      </c>
      <c r="C228" s="260" t="s">
        <v>304</v>
      </c>
      <c r="D228" s="488" t="s">
        <v>29</v>
      </c>
      <c r="E228" s="317" t="s">
        <v>456</v>
      </c>
      <c r="F228" s="257">
        <v>45743</v>
      </c>
      <c r="G228" s="415">
        <v>68.906000000000006</v>
      </c>
      <c r="H228" s="702" t="s">
        <v>31</v>
      </c>
      <c r="I228" s="702"/>
      <c r="J228" s="702"/>
      <c r="K228" s="702"/>
      <c r="L228" s="257">
        <v>45755</v>
      </c>
      <c r="M228" s="551" t="s">
        <v>510</v>
      </c>
      <c r="N228" s="217" t="s">
        <v>172</v>
      </c>
      <c r="O228" s="308">
        <v>18</v>
      </c>
      <c r="P228" s="317"/>
    </row>
    <row r="229" spans="2:16" s="339" customFormat="1" ht="15" customHeight="1" x14ac:dyDescent="0.25">
      <c r="B229" s="317">
        <f t="shared" si="3"/>
        <v>221</v>
      </c>
      <c r="C229" s="260" t="s">
        <v>374</v>
      </c>
      <c r="D229" s="283" t="s">
        <v>633</v>
      </c>
      <c r="E229" s="317" t="s">
        <v>30</v>
      </c>
      <c r="F229" s="257">
        <v>45726</v>
      </c>
      <c r="G229" s="415">
        <v>47.610999999999997</v>
      </c>
      <c r="H229" s="702" t="s">
        <v>31</v>
      </c>
      <c r="I229" s="702"/>
      <c r="J229" s="702"/>
      <c r="K229" s="702"/>
      <c r="L229" s="257">
        <v>45758</v>
      </c>
      <c r="M229" s="317" t="s">
        <v>532</v>
      </c>
      <c r="N229" s="217" t="s">
        <v>662</v>
      </c>
      <c r="O229" s="308">
        <v>17</v>
      </c>
      <c r="P229" s="317"/>
    </row>
    <row r="230" spans="2:16" s="339" customFormat="1" ht="15" customHeight="1" x14ac:dyDescent="0.2">
      <c r="B230" s="317">
        <f t="shared" si="3"/>
        <v>222</v>
      </c>
      <c r="C230" s="307" t="s">
        <v>282</v>
      </c>
      <c r="D230" s="283" t="s">
        <v>29</v>
      </c>
      <c r="E230" s="317" t="s">
        <v>455</v>
      </c>
      <c r="F230" s="257">
        <v>45756</v>
      </c>
      <c r="G230" s="317">
        <v>41.042000000000002</v>
      </c>
      <c r="H230" s="702" t="s">
        <v>31</v>
      </c>
      <c r="I230" s="702"/>
      <c r="J230" s="702"/>
      <c r="K230" s="702"/>
      <c r="L230" s="257">
        <v>45761</v>
      </c>
      <c r="M230" s="298" t="s">
        <v>510</v>
      </c>
      <c r="N230" s="217"/>
      <c r="O230" s="317">
        <v>15</v>
      </c>
      <c r="P230" s="317"/>
    </row>
    <row r="231" spans="2:16" s="339" customFormat="1" ht="15" customHeight="1" x14ac:dyDescent="0.2">
      <c r="B231" s="317">
        <f t="shared" si="3"/>
        <v>223</v>
      </c>
      <c r="C231" s="307" t="s">
        <v>228</v>
      </c>
      <c r="D231" s="283" t="s">
        <v>206</v>
      </c>
      <c r="E231" s="311" t="s">
        <v>30</v>
      </c>
      <c r="F231" s="312">
        <v>45755</v>
      </c>
      <c r="G231" s="415">
        <v>18.591999999999999</v>
      </c>
      <c r="H231" s="702" t="s">
        <v>31</v>
      </c>
      <c r="I231" s="702"/>
      <c r="J231" s="702"/>
      <c r="K231" s="702"/>
      <c r="L231" s="313">
        <v>45765</v>
      </c>
      <c r="M231" s="298" t="s">
        <v>510</v>
      </c>
      <c r="N231" s="309" t="s">
        <v>172</v>
      </c>
      <c r="O231" s="308">
        <v>16</v>
      </c>
      <c r="P231" s="309"/>
    </row>
    <row r="232" spans="2:16" s="339" customFormat="1" ht="15" customHeight="1" x14ac:dyDescent="0.25">
      <c r="B232" s="317">
        <f t="shared" si="3"/>
        <v>224</v>
      </c>
      <c r="C232" s="307" t="s">
        <v>391</v>
      </c>
      <c r="D232" s="283" t="s">
        <v>29</v>
      </c>
      <c r="E232" s="317" t="s">
        <v>30</v>
      </c>
      <c r="F232" s="314">
        <v>45754</v>
      </c>
      <c r="G232" s="315">
        <v>25.577999999999999</v>
      </c>
      <c r="H232" s="702" t="s">
        <v>31</v>
      </c>
      <c r="I232" s="702"/>
      <c r="J232" s="702"/>
      <c r="K232" s="702"/>
      <c r="L232" s="314">
        <v>45766</v>
      </c>
      <c r="M232" s="308" t="s">
        <v>532</v>
      </c>
      <c r="N232" s="308" t="s">
        <v>172</v>
      </c>
      <c r="O232" s="308">
        <v>17</v>
      </c>
      <c r="P232" s="308"/>
    </row>
    <row r="233" spans="2:16" s="339" customFormat="1" ht="15" customHeight="1" x14ac:dyDescent="0.2">
      <c r="B233" s="317">
        <f t="shared" si="3"/>
        <v>225</v>
      </c>
      <c r="C233" s="260" t="s">
        <v>227</v>
      </c>
      <c r="D233" s="488" t="s">
        <v>205</v>
      </c>
      <c r="E233" s="317" t="s">
        <v>30</v>
      </c>
      <c r="F233" s="257">
        <v>45761</v>
      </c>
      <c r="G233" s="317">
        <v>19.143999999999998</v>
      </c>
      <c r="H233" s="702" t="s">
        <v>31</v>
      </c>
      <c r="I233" s="702"/>
      <c r="J233" s="702"/>
      <c r="K233" s="702"/>
      <c r="L233" s="314">
        <v>45769</v>
      </c>
      <c r="M233" s="298" t="s">
        <v>510</v>
      </c>
      <c r="N233" s="317" t="s">
        <v>172</v>
      </c>
      <c r="O233" s="308">
        <v>17</v>
      </c>
      <c r="P233" s="317"/>
    </row>
    <row r="234" spans="2:16" s="339" customFormat="1" ht="15" customHeight="1" x14ac:dyDescent="0.25">
      <c r="B234" s="317">
        <f t="shared" si="3"/>
        <v>226</v>
      </c>
      <c r="C234" s="260" t="s">
        <v>331</v>
      </c>
      <c r="D234" s="331" t="s">
        <v>135</v>
      </c>
      <c r="E234" s="317" t="s">
        <v>30</v>
      </c>
      <c r="F234" s="257">
        <v>45748</v>
      </c>
      <c r="G234" s="323">
        <v>43.667999999999999</v>
      </c>
      <c r="H234" s="702" t="s">
        <v>31</v>
      </c>
      <c r="I234" s="702"/>
      <c r="J234" s="702"/>
      <c r="K234" s="702"/>
      <c r="L234" s="314">
        <v>45772</v>
      </c>
      <c r="M234" s="317" t="s">
        <v>448</v>
      </c>
      <c r="N234" s="317" t="s">
        <v>172</v>
      </c>
      <c r="O234" s="308">
        <v>17</v>
      </c>
      <c r="P234" s="317"/>
    </row>
    <row r="235" spans="2:16" s="339" customFormat="1" ht="15" customHeight="1" x14ac:dyDescent="0.2">
      <c r="B235" s="317">
        <f t="shared" si="3"/>
        <v>227</v>
      </c>
      <c r="C235" s="260" t="s">
        <v>232</v>
      </c>
      <c r="D235" s="331" t="s">
        <v>206</v>
      </c>
      <c r="E235" s="317" t="s">
        <v>30</v>
      </c>
      <c r="F235" s="257">
        <v>45770</v>
      </c>
      <c r="G235" s="323">
        <v>18.591999999999999</v>
      </c>
      <c r="H235" s="702" t="s">
        <v>31</v>
      </c>
      <c r="I235" s="702"/>
      <c r="J235" s="702"/>
      <c r="K235" s="702"/>
      <c r="L235" s="257">
        <v>45774</v>
      </c>
      <c r="M235" s="298" t="s">
        <v>510</v>
      </c>
      <c r="N235" s="217" t="s">
        <v>172</v>
      </c>
      <c r="O235" s="308">
        <v>16</v>
      </c>
      <c r="P235" s="317"/>
    </row>
    <row r="236" spans="2:16" s="339" customFormat="1" ht="15" customHeight="1" x14ac:dyDescent="0.25">
      <c r="B236" s="317">
        <f t="shared" si="3"/>
        <v>228</v>
      </c>
      <c r="C236" s="260" t="s">
        <v>417</v>
      </c>
      <c r="D236" s="488" t="s">
        <v>43</v>
      </c>
      <c r="E236" s="317" t="s">
        <v>30</v>
      </c>
      <c r="F236" s="257">
        <v>45768</v>
      </c>
      <c r="G236" s="317">
        <v>41.944000000000003</v>
      </c>
      <c r="H236" s="702" t="s">
        <v>31</v>
      </c>
      <c r="I236" s="702"/>
      <c r="J236" s="702"/>
      <c r="K236" s="702"/>
      <c r="L236" s="257">
        <v>45775</v>
      </c>
      <c r="M236" s="317" t="s">
        <v>515</v>
      </c>
      <c r="N236" s="317"/>
      <c r="O236" s="317">
        <v>18</v>
      </c>
      <c r="P236" s="317"/>
    </row>
    <row r="237" spans="2:16" s="339" customFormat="1" ht="15" customHeight="1" x14ac:dyDescent="0.2">
      <c r="B237" s="317">
        <f t="shared" si="3"/>
        <v>229</v>
      </c>
      <c r="C237" s="260" t="s">
        <v>233</v>
      </c>
      <c r="D237" s="342" t="s">
        <v>205</v>
      </c>
      <c r="E237" s="317" t="s">
        <v>30</v>
      </c>
      <c r="F237" s="257">
        <v>45764</v>
      </c>
      <c r="G237" s="317">
        <v>19.143999999999998</v>
      </c>
      <c r="H237" s="702" t="s">
        <v>31</v>
      </c>
      <c r="I237" s="702"/>
      <c r="J237" s="702"/>
      <c r="K237" s="702"/>
      <c r="L237" s="257">
        <v>45776</v>
      </c>
      <c r="M237" s="298" t="s">
        <v>510</v>
      </c>
      <c r="N237" s="217"/>
      <c r="O237" s="308">
        <v>17</v>
      </c>
      <c r="P237" s="317"/>
    </row>
    <row r="238" spans="2:16" s="339" customFormat="1" ht="15" customHeight="1" x14ac:dyDescent="0.25">
      <c r="B238" s="317">
        <f t="shared" si="3"/>
        <v>230</v>
      </c>
      <c r="C238" s="260" t="s">
        <v>332</v>
      </c>
      <c r="D238" s="283" t="s">
        <v>131</v>
      </c>
      <c r="E238" s="317" t="s">
        <v>30</v>
      </c>
      <c r="F238" s="257">
        <v>45754</v>
      </c>
      <c r="G238" s="317">
        <v>45.764000000000003</v>
      </c>
      <c r="H238" s="702" t="s">
        <v>31</v>
      </c>
      <c r="I238" s="702"/>
      <c r="J238" s="702"/>
      <c r="K238" s="702"/>
      <c r="L238" s="343">
        <v>45777</v>
      </c>
      <c r="M238" s="317" t="s">
        <v>704</v>
      </c>
      <c r="N238" s="317" t="s">
        <v>172</v>
      </c>
      <c r="O238" s="317">
        <v>17</v>
      </c>
      <c r="P238" s="317"/>
    </row>
    <row r="239" spans="2:16" s="339" customFormat="1" ht="15" customHeight="1" x14ac:dyDescent="0.25">
      <c r="B239" s="317">
        <f t="shared" si="3"/>
        <v>231</v>
      </c>
      <c r="C239" s="260" t="s">
        <v>372</v>
      </c>
      <c r="D239" s="283" t="s">
        <v>275</v>
      </c>
      <c r="E239" s="317" t="s">
        <v>30</v>
      </c>
      <c r="F239" s="257">
        <v>45729</v>
      </c>
      <c r="G239" s="317">
        <v>67.247</v>
      </c>
      <c r="H239" s="702" t="s">
        <v>31</v>
      </c>
      <c r="I239" s="702"/>
      <c r="J239" s="702"/>
      <c r="K239" s="702"/>
      <c r="L239" s="257">
        <v>45780</v>
      </c>
      <c r="M239" s="317" t="s">
        <v>532</v>
      </c>
      <c r="N239" s="217" t="s">
        <v>172</v>
      </c>
      <c r="O239" s="308">
        <v>17</v>
      </c>
      <c r="P239" s="317"/>
    </row>
    <row r="240" spans="2:16" s="339" customFormat="1" ht="15" customHeight="1" x14ac:dyDescent="0.25">
      <c r="B240" s="317">
        <f t="shared" si="3"/>
        <v>232</v>
      </c>
      <c r="C240" s="260" t="s">
        <v>244</v>
      </c>
      <c r="D240" s="283" t="s">
        <v>206</v>
      </c>
      <c r="E240" s="317" t="s">
        <v>30</v>
      </c>
      <c r="F240" s="257">
        <v>45734</v>
      </c>
      <c r="G240" s="415">
        <v>18.591999999999999</v>
      </c>
      <c r="H240" s="702" t="s">
        <v>31</v>
      </c>
      <c r="I240" s="702"/>
      <c r="J240" s="702"/>
      <c r="K240" s="702"/>
      <c r="L240" s="257">
        <v>45780</v>
      </c>
      <c r="M240" s="317" t="s">
        <v>457</v>
      </c>
      <c r="N240" s="217" t="s">
        <v>172</v>
      </c>
      <c r="O240" s="308">
        <v>15</v>
      </c>
      <c r="P240" s="317"/>
    </row>
    <row r="241" spans="2:16" s="339" customFormat="1" ht="15" customHeight="1" x14ac:dyDescent="0.25">
      <c r="B241" s="317">
        <f t="shared" si="3"/>
        <v>233</v>
      </c>
      <c r="C241" s="260" t="s">
        <v>208</v>
      </c>
      <c r="D241" s="283" t="s">
        <v>205</v>
      </c>
      <c r="E241" s="317" t="s">
        <v>30</v>
      </c>
      <c r="F241" s="257">
        <v>45766</v>
      </c>
      <c r="G241" s="415">
        <v>19.143999999999998</v>
      </c>
      <c r="H241" s="702" t="s">
        <v>31</v>
      </c>
      <c r="I241" s="702"/>
      <c r="J241" s="702"/>
      <c r="K241" s="702"/>
      <c r="L241" s="257">
        <v>45781</v>
      </c>
      <c r="M241" s="317" t="s">
        <v>530</v>
      </c>
      <c r="N241" s="217" t="s">
        <v>172</v>
      </c>
      <c r="O241" s="308">
        <v>17</v>
      </c>
      <c r="P241" s="317"/>
    </row>
    <row r="242" spans="2:16" s="339" customFormat="1" ht="15" customHeight="1" x14ac:dyDescent="0.25">
      <c r="B242" s="317">
        <f t="shared" si="3"/>
        <v>234</v>
      </c>
      <c r="C242" s="260" t="s">
        <v>243</v>
      </c>
      <c r="D242" s="342" t="s">
        <v>205</v>
      </c>
      <c r="E242" s="317" t="s">
        <v>30</v>
      </c>
      <c r="F242" s="257">
        <v>45754</v>
      </c>
      <c r="G242" s="415">
        <v>19.143999999999998</v>
      </c>
      <c r="H242" s="702" t="s">
        <v>31</v>
      </c>
      <c r="I242" s="702"/>
      <c r="J242" s="702"/>
      <c r="K242" s="702"/>
      <c r="L242" s="257">
        <v>45781</v>
      </c>
      <c r="M242" s="317" t="s">
        <v>448</v>
      </c>
      <c r="N242" s="217" t="s">
        <v>172</v>
      </c>
      <c r="O242" s="308">
        <v>18</v>
      </c>
      <c r="P242" s="317"/>
    </row>
    <row r="243" spans="2:16" s="339" customFormat="1" ht="15" customHeight="1" x14ac:dyDescent="0.25">
      <c r="B243" s="317">
        <f t="shared" si="3"/>
        <v>235</v>
      </c>
      <c r="C243" s="260" t="s">
        <v>221</v>
      </c>
      <c r="D243" s="488" t="s">
        <v>615</v>
      </c>
      <c r="E243" s="317" t="s">
        <v>30</v>
      </c>
      <c r="F243" s="257">
        <v>45758</v>
      </c>
      <c r="G243" s="317">
        <v>19.143999999999998</v>
      </c>
      <c r="H243" s="702" t="s">
        <v>31</v>
      </c>
      <c r="I243" s="702"/>
      <c r="J243" s="702"/>
      <c r="K243" s="702"/>
      <c r="L243" s="257">
        <v>45783</v>
      </c>
      <c r="M243" s="317" t="s">
        <v>448</v>
      </c>
      <c r="N243" s="217" t="s">
        <v>172</v>
      </c>
      <c r="O243" s="308">
        <v>17</v>
      </c>
      <c r="P243" s="317"/>
    </row>
    <row r="244" spans="2:16" s="339" customFormat="1" ht="15" customHeight="1" x14ac:dyDescent="0.25">
      <c r="B244" s="317">
        <f t="shared" si="3"/>
        <v>236</v>
      </c>
      <c r="C244" s="260" t="s">
        <v>209</v>
      </c>
      <c r="D244" s="488" t="s">
        <v>205</v>
      </c>
      <c r="E244" s="317" t="s">
        <v>30</v>
      </c>
      <c r="F244" s="257">
        <v>45778</v>
      </c>
      <c r="G244" s="317">
        <v>19.143999999999998</v>
      </c>
      <c r="H244" s="702" t="s">
        <v>31</v>
      </c>
      <c r="I244" s="702"/>
      <c r="J244" s="702"/>
      <c r="K244" s="702"/>
      <c r="L244" s="257">
        <v>45784</v>
      </c>
      <c r="M244" s="317" t="s">
        <v>530</v>
      </c>
      <c r="N244" s="217"/>
      <c r="O244" s="308">
        <v>17</v>
      </c>
      <c r="P244" s="317"/>
    </row>
    <row r="245" spans="2:16" s="339" customFormat="1" ht="15" customHeight="1" x14ac:dyDescent="0.25">
      <c r="B245" s="317">
        <f t="shared" si="3"/>
        <v>237</v>
      </c>
      <c r="C245" s="260" t="s">
        <v>245</v>
      </c>
      <c r="D245" s="488" t="s">
        <v>205</v>
      </c>
      <c r="E245" s="317" t="s">
        <v>30</v>
      </c>
      <c r="F245" s="257">
        <v>45757</v>
      </c>
      <c r="G245" s="317">
        <v>19.143999999999998</v>
      </c>
      <c r="H245" s="702" t="s">
        <v>31</v>
      </c>
      <c r="I245" s="702"/>
      <c r="J245" s="702"/>
      <c r="K245" s="702"/>
      <c r="L245" s="257">
        <v>45785</v>
      </c>
      <c r="M245" s="317" t="s">
        <v>457</v>
      </c>
      <c r="N245" s="217" t="s">
        <v>172</v>
      </c>
      <c r="O245" s="308">
        <v>16</v>
      </c>
      <c r="P245" s="317"/>
    </row>
    <row r="246" spans="2:16" s="339" customFormat="1" ht="15" customHeight="1" x14ac:dyDescent="0.25">
      <c r="B246" s="317">
        <f t="shared" ref="B246:B276" si="4">B245+1</f>
        <v>238</v>
      </c>
      <c r="C246" s="260" t="s">
        <v>414</v>
      </c>
      <c r="D246" s="283" t="s">
        <v>275</v>
      </c>
      <c r="E246" s="317" t="s">
        <v>455</v>
      </c>
      <c r="F246" s="257" t="s">
        <v>703</v>
      </c>
      <c r="G246" s="317">
        <v>100.373</v>
      </c>
      <c r="H246" s="702" t="s">
        <v>31</v>
      </c>
      <c r="I246" s="702"/>
      <c r="J246" s="702"/>
      <c r="K246" s="702"/>
      <c r="L246" s="423">
        <v>45788</v>
      </c>
      <c r="M246" s="317" t="s">
        <v>515</v>
      </c>
      <c r="N246" s="317" t="s">
        <v>172</v>
      </c>
      <c r="O246" s="308">
        <v>17</v>
      </c>
      <c r="P246" s="317"/>
    </row>
    <row r="247" spans="2:16" s="339" customFormat="1" ht="15" customHeight="1" x14ac:dyDescent="0.25">
      <c r="B247" s="317">
        <f t="shared" si="4"/>
        <v>239</v>
      </c>
      <c r="C247" s="260" t="s">
        <v>210</v>
      </c>
      <c r="D247" s="488" t="s">
        <v>206</v>
      </c>
      <c r="E247" s="317" t="s">
        <v>30</v>
      </c>
      <c r="F247" s="257">
        <v>45759</v>
      </c>
      <c r="G247" s="323">
        <v>18.591999999999999</v>
      </c>
      <c r="H247" s="702" t="s">
        <v>31</v>
      </c>
      <c r="I247" s="702"/>
      <c r="J247" s="702"/>
      <c r="K247" s="702"/>
      <c r="L247" s="257">
        <v>45788</v>
      </c>
      <c r="M247" s="317" t="s">
        <v>530</v>
      </c>
      <c r="N247" s="217" t="s">
        <v>172</v>
      </c>
      <c r="O247" s="308">
        <v>16</v>
      </c>
      <c r="P247" s="317"/>
    </row>
    <row r="248" spans="2:16" s="339" customFormat="1" ht="15" customHeight="1" x14ac:dyDescent="0.25">
      <c r="B248" s="317">
        <f t="shared" si="4"/>
        <v>240</v>
      </c>
      <c r="C248" s="260" t="s">
        <v>241</v>
      </c>
      <c r="D248" s="283" t="s">
        <v>206</v>
      </c>
      <c r="E248" s="317" t="s">
        <v>30</v>
      </c>
      <c r="F248" s="257">
        <v>45753</v>
      </c>
      <c r="G248" s="317">
        <v>27.13</v>
      </c>
      <c r="H248" s="702" t="s">
        <v>31</v>
      </c>
      <c r="I248" s="702"/>
      <c r="J248" s="702"/>
      <c r="K248" s="702"/>
      <c r="L248" s="423">
        <v>45789</v>
      </c>
      <c r="M248" s="317" t="s">
        <v>448</v>
      </c>
      <c r="N248" s="217"/>
      <c r="O248" s="317">
        <v>18</v>
      </c>
      <c r="P248" s="317" t="s">
        <v>669</v>
      </c>
    </row>
    <row r="249" spans="2:16" s="339" customFormat="1" ht="15" customHeight="1" x14ac:dyDescent="0.25">
      <c r="B249" s="317">
        <f t="shared" si="4"/>
        <v>241</v>
      </c>
      <c r="C249" s="260" t="s">
        <v>246</v>
      </c>
      <c r="D249" s="283" t="s">
        <v>206</v>
      </c>
      <c r="E249" s="317" t="s">
        <v>30</v>
      </c>
      <c r="F249" s="257">
        <v>45762</v>
      </c>
      <c r="G249" s="415">
        <v>18.591999999999999</v>
      </c>
      <c r="H249" s="702" t="s">
        <v>31</v>
      </c>
      <c r="I249" s="702"/>
      <c r="J249" s="702"/>
      <c r="K249" s="702"/>
      <c r="L249" s="257">
        <v>45790</v>
      </c>
      <c r="M249" s="317" t="s">
        <v>457</v>
      </c>
      <c r="N249" s="317"/>
      <c r="O249" s="317">
        <v>18</v>
      </c>
      <c r="P249" s="317"/>
    </row>
    <row r="250" spans="2:16" s="339" customFormat="1" ht="15" customHeight="1" x14ac:dyDescent="0.25">
      <c r="B250" s="317">
        <f t="shared" si="4"/>
        <v>242</v>
      </c>
      <c r="C250" s="260" t="s">
        <v>207</v>
      </c>
      <c r="D250" s="488" t="s">
        <v>206</v>
      </c>
      <c r="E250" s="317" t="s">
        <v>30</v>
      </c>
      <c r="F250" s="257">
        <v>45767</v>
      </c>
      <c r="G250" s="323">
        <v>18.591999999999999</v>
      </c>
      <c r="H250" s="702" t="s">
        <v>31</v>
      </c>
      <c r="I250" s="702"/>
      <c r="J250" s="702"/>
      <c r="K250" s="702"/>
      <c r="L250" s="257">
        <v>45790</v>
      </c>
      <c r="M250" s="317" t="s">
        <v>530</v>
      </c>
      <c r="N250" s="217" t="s">
        <v>172</v>
      </c>
      <c r="O250" s="317">
        <v>18</v>
      </c>
      <c r="P250" s="317"/>
    </row>
    <row r="251" spans="2:16" s="339" customFormat="1" ht="15" customHeight="1" x14ac:dyDescent="0.25">
      <c r="B251" s="317">
        <f t="shared" si="4"/>
        <v>243</v>
      </c>
      <c r="C251" s="260" t="s">
        <v>425</v>
      </c>
      <c r="D251" s="488" t="s">
        <v>34</v>
      </c>
      <c r="E251" s="317" t="s">
        <v>30</v>
      </c>
      <c r="F251" s="257">
        <v>45762</v>
      </c>
      <c r="G251" s="317">
        <v>41.944000000000003</v>
      </c>
      <c r="H251" s="702" t="s">
        <v>31</v>
      </c>
      <c r="I251" s="702"/>
      <c r="J251" s="702"/>
      <c r="K251" s="702"/>
      <c r="L251" s="423">
        <v>45792</v>
      </c>
      <c r="M251" s="317" t="s">
        <v>515</v>
      </c>
      <c r="N251" s="317" t="s">
        <v>172</v>
      </c>
      <c r="O251" s="317">
        <v>17</v>
      </c>
      <c r="P251" s="317"/>
    </row>
    <row r="252" spans="2:16" s="339" customFormat="1" ht="15" customHeight="1" x14ac:dyDescent="0.25">
      <c r="B252" s="317">
        <f t="shared" si="4"/>
        <v>244</v>
      </c>
      <c r="C252" s="260" t="s">
        <v>242</v>
      </c>
      <c r="D252" s="342" t="s">
        <v>206</v>
      </c>
      <c r="E252" s="317" t="s">
        <v>30</v>
      </c>
      <c r="F252" s="257">
        <v>45753</v>
      </c>
      <c r="G252" s="317">
        <v>27.13</v>
      </c>
      <c r="H252" s="702" t="s">
        <v>31</v>
      </c>
      <c r="I252" s="702"/>
      <c r="J252" s="702"/>
      <c r="K252" s="702"/>
      <c r="L252" s="423">
        <v>45792</v>
      </c>
      <c r="M252" s="317" t="s">
        <v>448</v>
      </c>
      <c r="N252" s="217" t="s">
        <v>172</v>
      </c>
      <c r="O252" s="317">
        <v>18</v>
      </c>
      <c r="P252" s="317" t="s">
        <v>669</v>
      </c>
    </row>
    <row r="253" spans="2:16" s="339" customFormat="1" ht="15" customHeight="1" x14ac:dyDescent="0.25">
      <c r="B253" s="317">
        <f t="shared" si="4"/>
        <v>245</v>
      </c>
      <c r="C253" s="260" t="s">
        <v>213</v>
      </c>
      <c r="D253" s="342" t="s">
        <v>649</v>
      </c>
      <c r="E253" s="317" t="s">
        <v>30</v>
      </c>
      <c r="F253" s="257">
        <v>45784</v>
      </c>
      <c r="G253" s="415">
        <v>39.01</v>
      </c>
      <c r="H253" s="702" t="s">
        <v>31</v>
      </c>
      <c r="I253" s="702"/>
      <c r="J253" s="702"/>
      <c r="K253" s="702"/>
      <c r="L253" s="423">
        <v>45793</v>
      </c>
      <c r="M253" s="317" t="s">
        <v>448</v>
      </c>
      <c r="N253" s="217" t="s">
        <v>172</v>
      </c>
      <c r="O253" s="317">
        <v>19</v>
      </c>
      <c r="P253" s="317"/>
    </row>
    <row r="254" spans="2:16" s="339" customFormat="1" ht="15" customHeight="1" x14ac:dyDescent="0.25">
      <c r="B254" s="317">
        <f t="shared" si="4"/>
        <v>246</v>
      </c>
      <c r="C254" s="260" t="s">
        <v>202</v>
      </c>
      <c r="D254" s="342" t="s">
        <v>721</v>
      </c>
      <c r="E254" s="317" t="s">
        <v>30</v>
      </c>
      <c r="F254" s="257">
        <v>45764</v>
      </c>
      <c r="G254" s="415">
        <v>27.89</v>
      </c>
      <c r="H254" s="702" t="s">
        <v>31</v>
      </c>
      <c r="I254" s="702"/>
      <c r="J254" s="702"/>
      <c r="K254" s="702"/>
      <c r="L254" s="423">
        <v>45794</v>
      </c>
      <c r="M254" s="317" t="s">
        <v>530</v>
      </c>
      <c r="N254" s="217" t="s">
        <v>172</v>
      </c>
      <c r="O254" s="308">
        <v>17</v>
      </c>
      <c r="P254" s="317" t="s">
        <v>669</v>
      </c>
    </row>
    <row r="255" spans="2:16" s="339" customFormat="1" ht="15" customHeight="1" x14ac:dyDescent="0.25">
      <c r="B255" s="317">
        <f t="shared" si="4"/>
        <v>247</v>
      </c>
      <c r="C255" s="260" t="s">
        <v>222</v>
      </c>
      <c r="D255" s="342" t="s">
        <v>205</v>
      </c>
      <c r="E255" s="317" t="s">
        <v>30</v>
      </c>
      <c r="F255" s="257">
        <v>45758</v>
      </c>
      <c r="G255" s="415">
        <v>27.89</v>
      </c>
      <c r="H255" s="702" t="s">
        <v>31</v>
      </c>
      <c r="I255" s="702"/>
      <c r="J255" s="702"/>
      <c r="K255" s="702"/>
      <c r="L255" s="423">
        <v>45795</v>
      </c>
      <c r="M255" s="317" t="s">
        <v>448</v>
      </c>
      <c r="N255" s="217" t="s">
        <v>172</v>
      </c>
      <c r="O255" s="308">
        <v>17</v>
      </c>
      <c r="P255" s="317"/>
    </row>
    <row r="256" spans="2:16" s="339" customFormat="1" ht="15" customHeight="1" x14ac:dyDescent="0.2">
      <c r="B256" s="317">
        <f t="shared" si="4"/>
        <v>248</v>
      </c>
      <c r="C256" s="427" t="s">
        <v>229</v>
      </c>
      <c r="D256" s="428" t="s">
        <v>206</v>
      </c>
      <c r="E256" s="552" t="s">
        <v>30</v>
      </c>
      <c r="F256" s="429">
        <v>45763</v>
      </c>
      <c r="G256" s="430">
        <v>18.591999999999999</v>
      </c>
      <c r="H256" s="702" t="s">
        <v>31</v>
      </c>
      <c r="I256" s="702"/>
      <c r="J256" s="702"/>
      <c r="K256" s="702"/>
      <c r="L256" s="257">
        <v>45796</v>
      </c>
      <c r="M256" s="298" t="s">
        <v>510</v>
      </c>
      <c r="N256" s="217" t="s">
        <v>172</v>
      </c>
      <c r="O256" s="308">
        <v>17</v>
      </c>
      <c r="P256" s="317"/>
    </row>
    <row r="257" spans="2:16" s="339" customFormat="1" ht="15" customHeight="1" x14ac:dyDescent="0.2">
      <c r="B257" s="317">
        <f t="shared" si="4"/>
        <v>249</v>
      </c>
      <c r="C257" s="260" t="s">
        <v>230</v>
      </c>
      <c r="D257" s="283" t="s">
        <v>206</v>
      </c>
      <c r="E257" s="317" t="s">
        <v>30</v>
      </c>
      <c r="F257" s="257">
        <v>45763</v>
      </c>
      <c r="G257" s="415">
        <v>27.13</v>
      </c>
      <c r="H257" s="702" t="s">
        <v>31</v>
      </c>
      <c r="I257" s="702"/>
      <c r="J257" s="702"/>
      <c r="K257" s="702"/>
      <c r="L257" s="257">
        <v>45797</v>
      </c>
      <c r="M257" s="298" t="s">
        <v>510</v>
      </c>
      <c r="N257" s="217" t="s">
        <v>172</v>
      </c>
      <c r="O257" s="308">
        <v>16</v>
      </c>
      <c r="P257" s="317" t="s">
        <v>669</v>
      </c>
    </row>
    <row r="258" spans="2:16" s="339" customFormat="1" ht="15" customHeight="1" x14ac:dyDescent="0.25">
      <c r="B258" s="317">
        <f t="shared" si="4"/>
        <v>250</v>
      </c>
      <c r="C258" s="260" t="s">
        <v>220</v>
      </c>
      <c r="D258" s="342" t="s">
        <v>721</v>
      </c>
      <c r="E258" s="317" t="s">
        <v>30</v>
      </c>
      <c r="F258" s="257">
        <v>45764</v>
      </c>
      <c r="G258" s="415">
        <v>27.89</v>
      </c>
      <c r="H258" s="702" t="s">
        <v>31</v>
      </c>
      <c r="I258" s="702"/>
      <c r="J258" s="702"/>
      <c r="K258" s="702"/>
      <c r="L258" s="257">
        <v>45797</v>
      </c>
      <c r="M258" s="317" t="s">
        <v>448</v>
      </c>
      <c r="N258" s="217" t="s">
        <v>172</v>
      </c>
      <c r="O258" s="308">
        <v>16</v>
      </c>
      <c r="P258" s="317" t="s">
        <v>669</v>
      </c>
    </row>
    <row r="259" spans="2:16" s="339" customFormat="1" ht="15" customHeight="1" x14ac:dyDescent="0.25">
      <c r="B259" s="317">
        <f t="shared" si="4"/>
        <v>251</v>
      </c>
      <c r="C259" s="260" t="s">
        <v>204</v>
      </c>
      <c r="D259" s="342" t="s">
        <v>205</v>
      </c>
      <c r="E259" s="317" t="s">
        <v>30</v>
      </c>
      <c r="F259" s="257">
        <v>45764</v>
      </c>
      <c r="G259" s="415">
        <v>19.143999999999998</v>
      </c>
      <c r="H259" s="702" t="s">
        <v>31</v>
      </c>
      <c r="I259" s="702"/>
      <c r="J259" s="702"/>
      <c r="K259" s="702"/>
      <c r="L259" s="257">
        <v>45797</v>
      </c>
      <c r="M259" s="317" t="s">
        <v>530</v>
      </c>
      <c r="N259" s="217"/>
      <c r="O259" s="308">
        <v>16</v>
      </c>
      <c r="P259" s="317"/>
    </row>
    <row r="260" spans="2:16" s="339" customFormat="1" ht="15" customHeight="1" x14ac:dyDescent="0.25">
      <c r="B260" s="317">
        <f t="shared" si="4"/>
        <v>252</v>
      </c>
      <c r="C260" s="260" t="s">
        <v>219</v>
      </c>
      <c r="D260" s="342" t="s">
        <v>206</v>
      </c>
      <c r="E260" s="317" t="s">
        <v>30</v>
      </c>
      <c r="F260" s="257">
        <v>45766</v>
      </c>
      <c r="G260" s="415">
        <v>27.13</v>
      </c>
      <c r="H260" s="702" t="s">
        <v>31</v>
      </c>
      <c r="I260" s="702"/>
      <c r="J260" s="702"/>
      <c r="K260" s="702"/>
      <c r="L260" s="257">
        <v>45798</v>
      </c>
      <c r="M260" s="317" t="s">
        <v>448</v>
      </c>
      <c r="N260" s="217" t="s">
        <v>172</v>
      </c>
      <c r="O260" s="308">
        <v>16</v>
      </c>
      <c r="P260" s="317" t="s">
        <v>669</v>
      </c>
    </row>
    <row r="261" spans="2:16" s="339" customFormat="1" ht="15" customHeight="1" x14ac:dyDescent="0.25">
      <c r="B261" s="317">
        <f t="shared" si="4"/>
        <v>253</v>
      </c>
      <c r="C261" s="260" t="s">
        <v>247</v>
      </c>
      <c r="D261" s="283" t="s">
        <v>206</v>
      </c>
      <c r="E261" s="317" t="s">
        <v>30</v>
      </c>
      <c r="F261" s="257">
        <v>45762</v>
      </c>
      <c r="G261" s="415">
        <v>18.591999999999999</v>
      </c>
      <c r="H261" s="702" t="s">
        <v>31</v>
      </c>
      <c r="I261" s="702"/>
      <c r="J261" s="702"/>
      <c r="K261" s="702"/>
      <c r="L261" s="343">
        <v>45799</v>
      </c>
      <c r="M261" s="317" t="s">
        <v>457</v>
      </c>
      <c r="N261" s="317"/>
      <c r="O261" s="308">
        <v>17</v>
      </c>
      <c r="P261" s="317" t="s">
        <v>669</v>
      </c>
    </row>
    <row r="262" spans="2:16" s="339" customFormat="1" ht="15" customHeight="1" x14ac:dyDescent="0.25">
      <c r="B262" s="317">
        <f t="shared" si="4"/>
        <v>254</v>
      </c>
      <c r="C262" s="287" t="s">
        <v>720</v>
      </c>
      <c r="D262" s="287" t="s">
        <v>29</v>
      </c>
      <c r="E262" s="317" t="s">
        <v>30</v>
      </c>
      <c r="F262" s="257">
        <v>45795</v>
      </c>
      <c r="G262" s="415">
        <v>25.577999999999999</v>
      </c>
      <c r="H262" s="702" t="s">
        <v>31</v>
      </c>
      <c r="I262" s="702"/>
      <c r="J262" s="702"/>
      <c r="K262" s="702"/>
      <c r="L262" s="343">
        <v>45799</v>
      </c>
      <c r="M262" s="317" t="s">
        <v>515</v>
      </c>
      <c r="N262" s="317"/>
      <c r="O262" s="308">
        <v>17</v>
      </c>
      <c r="P262" s="317"/>
    </row>
    <row r="263" spans="2:16" s="339" customFormat="1" ht="15" customHeight="1" x14ac:dyDescent="0.25">
      <c r="B263" s="317">
        <f t="shared" si="4"/>
        <v>255</v>
      </c>
      <c r="C263" s="260" t="s">
        <v>231</v>
      </c>
      <c r="D263" s="342" t="s">
        <v>206</v>
      </c>
      <c r="E263" s="317" t="s">
        <v>30</v>
      </c>
      <c r="F263" s="257">
        <v>45782</v>
      </c>
      <c r="G263" s="415">
        <v>27.13</v>
      </c>
      <c r="H263" s="702" t="s">
        <v>31</v>
      </c>
      <c r="I263" s="702"/>
      <c r="J263" s="702"/>
      <c r="K263" s="702"/>
      <c r="L263" s="343">
        <v>45800</v>
      </c>
      <c r="M263" s="317" t="s">
        <v>727</v>
      </c>
      <c r="N263" s="217" t="s">
        <v>172</v>
      </c>
      <c r="O263" s="308">
        <v>15</v>
      </c>
      <c r="P263" s="317" t="s">
        <v>669</v>
      </c>
    </row>
    <row r="264" spans="2:16" s="339" customFormat="1" ht="15" customHeight="1" x14ac:dyDescent="0.25">
      <c r="B264" s="317">
        <f t="shared" si="4"/>
        <v>256</v>
      </c>
      <c r="C264" s="260" t="s">
        <v>224</v>
      </c>
      <c r="D264" s="488" t="s">
        <v>206</v>
      </c>
      <c r="E264" s="317" t="s">
        <v>30</v>
      </c>
      <c r="F264" s="257">
        <v>45764</v>
      </c>
      <c r="G264" s="317">
        <v>27.13</v>
      </c>
      <c r="H264" s="702" t="s">
        <v>31</v>
      </c>
      <c r="I264" s="702"/>
      <c r="J264" s="702"/>
      <c r="K264" s="702"/>
      <c r="L264" s="423">
        <v>45800</v>
      </c>
      <c r="M264" s="317" t="s">
        <v>448</v>
      </c>
      <c r="N264" s="317" t="s">
        <v>172</v>
      </c>
      <c r="O264" s="308">
        <v>16</v>
      </c>
      <c r="P264" s="317" t="s">
        <v>726</v>
      </c>
    </row>
    <row r="265" spans="2:16" s="339" customFormat="1" ht="15" customHeight="1" x14ac:dyDescent="0.25">
      <c r="B265" s="317">
        <f t="shared" si="4"/>
        <v>257</v>
      </c>
      <c r="C265" s="260" t="s">
        <v>712</v>
      </c>
      <c r="D265" s="260" t="s">
        <v>29</v>
      </c>
      <c r="E265" s="317" t="s">
        <v>30</v>
      </c>
      <c r="F265" s="257">
        <v>45795</v>
      </c>
      <c r="G265" s="415">
        <v>25.577999999999999</v>
      </c>
      <c r="H265" s="702" t="s">
        <v>31</v>
      </c>
      <c r="I265" s="702"/>
      <c r="J265" s="702"/>
      <c r="K265" s="702"/>
      <c r="L265" s="257">
        <v>45802</v>
      </c>
      <c r="M265" s="317" t="s">
        <v>515</v>
      </c>
      <c r="N265" s="317"/>
      <c r="O265" s="308">
        <v>17</v>
      </c>
      <c r="P265" s="317"/>
    </row>
    <row r="266" spans="2:16" s="339" customFormat="1" ht="15" customHeight="1" x14ac:dyDescent="0.25">
      <c r="B266" s="317">
        <f t="shared" si="4"/>
        <v>258</v>
      </c>
      <c r="C266" s="260" t="s">
        <v>203</v>
      </c>
      <c r="D266" s="342" t="s">
        <v>206</v>
      </c>
      <c r="E266" s="317" t="s">
        <v>30</v>
      </c>
      <c r="F266" s="257">
        <v>45764</v>
      </c>
      <c r="G266" s="415">
        <v>27.13</v>
      </c>
      <c r="H266" s="702" t="s">
        <v>31</v>
      </c>
      <c r="I266" s="702"/>
      <c r="J266" s="702"/>
      <c r="K266" s="702"/>
      <c r="L266" s="257">
        <v>45802</v>
      </c>
      <c r="M266" s="317" t="s">
        <v>530</v>
      </c>
      <c r="N266" s="217" t="s">
        <v>172</v>
      </c>
      <c r="O266" s="308">
        <v>17</v>
      </c>
      <c r="P266" s="317" t="s">
        <v>669</v>
      </c>
    </row>
    <row r="267" spans="2:16" s="339" customFormat="1" ht="15" customHeight="1" x14ac:dyDescent="0.25">
      <c r="B267" s="317">
        <f t="shared" si="4"/>
        <v>259</v>
      </c>
      <c r="C267" s="260" t="s">
        <v>218</v>
      </c>
      <c r="D267" s="283" t="s">
        <v>205</v>
      </c>
      <c r="E267" s="317" t="s">
        <v>30</v>
      </c>
      <c r="F267" s="257">
        <v>45792</v>
      </c>
      <c r="G267" s="317">
        <v>27.89</v>
      </c>
      <c r="H267" s="702" t="s">
        <v>31</v>
      </c>
      <c r="I267" s="702"/>
      <c r="J267" s="702"/>
      <c r="K267" s="702"/>
      <c r="L267" s="423">
        <v>45804</v>
      </c>
      <c r="M267" s="317" t="s">
        <v>448</v>
      </c>
      <c r="N267" s="317" t="s">
        <v>172</v>
      </c>
      <c r="O267" s="308">
        <v>17</v>
      </c>
      <c r="P267" s="317" t="s">
        <v>726</v>
      </c>
    </row>
    <row r="268" spans="2:16" s="339" customFormat="1" ht="15" customHeight="1" x14ac:dyDescent="0.25">
      <c r="B268" s="317">
        <f t="shared" si="4"/>
        <v>260</v>
      </c>
      <c r="C268" s="260" t="s">
        <v>215</v>
      </c>
      <c r="D268" s="283" t="s">
        <v>205</v>
      </c>
      <c r="E268" s="317" t="s">
        <v>30</v>
      </c>
      <c r="F268" s="257">
        <v>45788</v>
      </c>
      <c r="G268" s="415">
        <v>27.89</v>
      </c>
      <c r="H268" s="702" t="s">
        <v>31</v>
      </c>
      <c r="I268" s="702"/>
      <c r="J268" s="702"/>
      <c r="K268" s="702"/>
      <c r="L268" s="423">
        <v>45805</v>
      </c>
      <c r="M268" s="317" t="s">
        <v>448</v>
      </c>
      <c r="N268" s="317"/>
      <c r="O268" s="308">
        <v>16</v>
      </c>
      <c r="P268" s="317" t="s">
        <v>669</v>
      </c>
    </row>
    <row r="269" spans="2:16" s="339" customFormat="1" ht="15" customHeight="1" x14ac:dyDescent="0.25">
      <c r="B269" s="317">
        <f t="shared" si="4"/>
        <v>261</v>
      </c>
      <c r="C269" s="287" t="s">
        <v>713</v>
      </c>
      <c r="D269" s="287" t="s">
        <v>29</v>
      </c>
      <c r="E269" s="317" t="s">
        <v>30</v>
      </c>
      <c r="F269" s="257">
        <v>45795</v>
      </c>
      <c r="G269" s="415">
        <v>25.577999999999999</v>
      </c>
      <c r="H269" s="702" t="s">
        <v>31</v>
      </c>
      <c r="I269" s="702"/>
      <c r="J269" s="702"/>
      <c r="K269" s="702"/>
      <c r="L269" s="257">
        <v>45805</v>
      </c>
      <c r="M269" s="317" t="s">
        <v>515</v>
      </c>
      <c r="N269" s="317"/>
      <c r="O269" s="308">
        <v>17</v>
      </c>
      <c r="P269" s="317"/>
    </row>
    <row r="270" spans="2:16" s="339" customFormat="1" ht="15" customHeight="1" x14ac:dyDescent="0.25">
      <c r="B270" s="317">
        <f t="shared" si="4"/>
        <v>262</v>
      </c>
      <c r="C270" s="260" t="s">
        <v>216</v>
      </c>
      <c r="D270" s="488" t="s">
        <v>206</v>
      </c>
      <c r="E270" s="317" t="s">
        <v>30</v>
      </c>
      <c r="F270" s="257">
        <v>45781</v>
      </c>
      <c r="G270" s="317">
        <v>27.13</v>
      </c>
      <c r="H270" s="702" t="s">
        <v>31</v>
      </c>
      <c r="I270" s="702"/>
      <c r="J270" s="702"/>
      <c r="K270" s="702"/>
      <c r="L270" s="257">
        <v>45807</v>
      </c>
      <c r="M270" s="317" t="s">
        <v>448</v>
      </c>
      <c r="N270" s="217"/>
      <c r="O270" s="308">
        <v>17</v>
      </c>
      <c r="P270" s="317" t="s">
        <v>726</v>
      </c>
    </row>
    <row r="271" spans="2:16" s="339" customFormat="1" ht="15" customHeight="1" x14ac:dyDescent="0.25">
      <c r="B271" s="317">
        <f t="shared" si="4"/>
        <v>263</v>
      </c>
      <c r="C271" s="260" t="s">
        <v>249</v>
      </c>
      <c r="D271" s="283" t="s">
        <v>205</v>
      </c>
      <c r="E271" s="317" t="s">
        <v>30</v>
      </c>
      <c r="F271" s="257">
        <v>45755</v>
      </c>
      <c r="G271" s="317">
        <v>27.89</v>
      </c>
      <c r="H271" s="702" t="s">
        <v>31</v>
      </c>
      <c r="I271" s="702"/>
      <c r="J271" s="702"/>
      <c r="K271" s="702"/>
      <c r="L271" s="257">
        <v>45807</v>
      </c>
      <c r="M271" s="317" t="s">
        <v>457</v>
      </c>
      <c r="N271" s="317" t="s">
        <v>172</v>
      </c>
      <c r="O271" s="308">
        <v>17</v>
      </c>
      <c r="P271" s="317" t="s">
        <v>669</v>
      </c>
    </row>
    <row r="272" spans="2:16" s="339" customFormat="1" ht="15" customHeight="1" x14ac:dyDescent="0.25">
      <c r="B272" s="317">
        <f t="shared" si="4"/>
        <v>264</v>
      </c>
      <c r="C272" s="260" t="s">
        <v>199</v>
      </c>
      <c r="D272" s="488" t="s">
        <v>725</v>
      </c>
      <c r="E272" s="317" t="s">
        <v>30</v>
      </c>
      <c r="F272" s="257">
        <v>45796</v>
      </c>
      <c r="G272" s="415">
        <v>39.75</v>
      </c>
      <c r="H272" s="702" t="s">
        <v>31</v>
      </c>
      <c r="I272" s="702"/>
      <c r="J272" s="702"/>
      <c r="K272" s="702"/>
      <c r="L272" s="423">
        <v>45808</v>
      </c>
      <c r="M272" s="317" t="s">
        <v>530</v>
      </c>
      <c r="N272" s="317" t="s">
        <v>172</v>
      </c>
      <c r="O272" s="308">
        <v>17</v>
      </c>
      <c r="P272" s="317"/>
    </row>
    <row r="273" spans="2:16" s="339" customFormat="1" ht="15" customHeight="1" x14ac:dyDescent="0.25">
      <c r="B273" s="317">
        <f t="shared" si="4"/>
        <v>265</v>
      </c>
      <c r="C273" s="260" t="s">
        <v>217</v>
      </c>
      <c r="D273" s="488" t="s">
        <v>206</v>
      </c>
      <c r="E273" s="317" t="s">
        <v>30</v>
      </c>
      <c r="F273" s="257">
        <v>45776</v>
      </c>
      <c r="G273" s="317">
        <v>27.13</v>
      </c>
      <c r="H273" s="702" t="s">
        <v>31</v>
      </c>
      <c r="I273" s="702"/>
      <c r="J273" s="702"/>
      <c r="K273" s="702"/>
      <c r="L273" s="423">
        <v>45808</v>
      </c>
      <c r="M273" s="317" t="s">
        <v>448</v>
      </c>
      <c r="N273" s="217"/>
      <c r="O273" s="308">
        <v>17</v>
      </c>
      <c r="P273" s="317" t="s">
        <v>669</v>
      </c>
    </row>
    <row r="274" spans="2:16" s="339" customFormat="1" ht="15" customHeight="1" x14ac:dyDescent="0.25">
      <c r="B274" s="317">
        <f t="shared" si="4"/>
        <v>266</v>
      </c>
      <c r="C274" s="260" t="s">
        <v>198</v>
      </c>
      <c r="D274" s="342" t="s">
        <v>206</v>
      </c>
      <c r="E274" s="317" t="s">
        <v>30</v>
      </c>
      <c r="F274" s="257">
        <v>45773</v>
      </c>
      <c r="G274" s="317">
        <v>18.591999999999999</v>
      </c>
      <c r="H274" s="702" t="s">
        <v>31</v>
      </c>
      <c r="I274" s="702"/>
      <c r="J274" s="702"/>
      <c r="K274" s="702"/>
      <c r="L274" s="423">
        <v>45808</v>
      </c>
      <c r="M274" s="317" t="s">
        <v>727</v>
      </c>
      <c r="N274" s="217"/>
      <c r="O274" s="308">
        <v>17</v>
      </c>
      <c r="P274" s="317"/>
    </row>
    <row r="275" spans="2:16" s="339" customFormat="1" ht="15" customHeight="1" x14ac:dyDescent="0.25">
      <c r="B275" s="317">
        <f t="shared" si="4"/>
        <v>267</v>
      </c>
      <c r="C275" s="287" t="s">
        <v>714</v>
      </c>
      <c r="D275" s="287" t="s">
        <v>34</v>
      </c>
      <c r="E275" s="317" t="s">
        <v>30</v>
      </c>
      <c r="F275" s="257">
        <v>45795</v>
      </c>
      <c r="G275" s="317">
        <v>26.872</v>
      </c>
      <c r="H275" s="702" t="s">
        <v>31</v>
      </c>
      <c r="I275" s="702"/>
      <c r="J275" s="702"/>
      <c r="K275" s="702"/>
      <c r="L275" s="423">
        <v>45808</v>
      </c>
      <c r="M275" s="317" t="s">
        <v>515</v>
      </c>
      <c r="N275" s="317"/>
      <c r="O275" s="308">
        <v>16</v>
      </c>
      <c r="P275" s="317"/>
    </row>
    <row r="276" spans="2:16" s="339" customFormat="1" ht="15" customHeight="1" x14ac:dyDescent="0.25">
      <c r="B276" s="317">
        <f t="shared" si="4"/>
        <v>268</v>
      </c>
      <c r="C276" s="260" t="s">
        <v>214</v>
      </c>
      <c r="D276" s="283" t="s">
        <v>206</v>
      </c>
      <c r="E276" s="317" t="s">
        <v>30</v>
      </c>
      <c r="F276" s="257">
        <v>45788</v>
      </c>
      <c r="G276" s="317">
        <v>27.13</v>
      </c>
      <c r="H276" s="702" t="s">
        <v>31</v>
      </c>
      <c r="I276" s="702"/>
      <c r="J276" s="702"/>
      <c r="K276" s="702"/>
      <c r="L276" s="423">
        <v>45809</v>
      </c>
      <c r="M276" s="317" t="s">
        <v>448</v>
      </c>
      <c r="N276" s="317" t="s">
        <v>172</v>
      </c>
      <c r="O276" s="317">
        <v>15</v>
      </c>
      <c r="P276" s="317" t="s">
        <v>669</v>
      </c>
    </row>
    <row r="277" spans="2:16" s="339" customFormat="1" ht="15" customHeight="1" x14ac:dyDescent="0.25">
      <c r="B277" s="317">
        <f>B276+1</f>
        <v>269</v>
      </c>
      <c r="C277" s="260" t="s">
        <v>201</v>
      </c>
      <c r="D277" s="293" t="s">
        <v>205</v>
      </c>
      <c r="E277" s="317" t="s">
        <v>337</v>
      </c>
      <c r="F277" s="257">
        <v>45780</v>
      </c>
      <c r="G277" s="317">
        <v>27.89</v>
      </c>
      <c r="H277" s="702" t="s">
        <v>31</v>
      </c>
      <c r="I277" s="702"/>
      <c r="J277" s="702"/>
      <c r="K277" s="702"/>
      <c r="L277" s="423">
        <v>45811</v>
      </c>
      <c r="M277" s="317" t="s">
        <v>530</v>
      </c>
      <c r="N277" s="317" t="s">
        <v>172</v>
      </c>
      <c r="O277" s="308">
        <v>17</v>
      </c>
      <c r="P277" s="317" t="s">
        <v>669</v>
      </c>
    </row>
    <row r="278" spans="2:16" s="339" customFormat="1" ht="15" customHeight="1" x14ac:dyDescent="0.25">
      <c r="B278" s="317">
        <f>B277+1</f>
        <v>270</v>
      </c>
      <c r="C278" s="260" t="s">
        <v>212</v>
      </c>
      <c r="D278" s="283" t="s">
        <v>721</v>
      </c>
      <c r="E278" s="317" t="s">
        <v>30</v>
      </c>
      <c r="F278" s="257">
        <v>45794</v>
      </c>
      <c r="G278" s="317">
        <v>27.89</v>
      </c>
      <c r="H278" s="702" t="s">
        <v>31</v>
      </c>
      <c r="I278" s="702"/>
      <c r="J278" s="702"/>
      <c r="K278" s="702"/>
      <c r="L278" s="423">
        <v>45811</v>
      </c>
      <c r="M278" s="317" t="s">
        <v>448</v>
      </c>
      <c r="N278" s="317"/>
      <c r="O278" s="317">
        <v>19</v>
      </c>
      <c r="P278" s="317" t="s">
        <v>726</v>
      </c>
    </row>
    <row r="279" spans="2:16" s="339" customFormat="1" ht="15" customHeight="1" x14ac:dyDescent="0.25">
      <c r="B279" s="317">
        <f t="shared" ref="B279:B316" si="5">B278+1</f>
        <v>271</v>
      </c>
      <c r="C279" s="260" t="s">
        <v>429</v>
      </c>
      <c r="D279" s="283" t="s">
        <v>29</v>
      </c>
      <c r="E279" s="317" t="s">
        <v>30</v>
      </c>
      <c r="F279" s="257">
        <v>45804</v>
      </c>
      <c r="G279" s="317">
        <v>25.577999999999999</v>
      </c>
      <c r="H279" s="702" t="s">
        <v>31</v>
      </c>
      <c r="I279" s="702"/>
      <c r="J279" s="702"/>
      <c r="K279" s="702"/>
      <c r="L279" s="257">
        <v>45812</v>
      </c>
      <c r="M279" s="317" t="s">
        <v>515</v>
      </c>
      <c r="N279" s="317" t="s">
        <v>172</v>
      </c>
      <c r="O279" s="308">
        <v>17</v>
      </c>
      <c r="P279" s="317"/>
    </row>
    <row r="280" spans="2:16" s="339" customFormat="1" ht="15" customHeight="1" x14ac:dyDescent="0.25">
      <c r="B280" s="317">
        <f t="shared" si="5"/>
        <v>272</v>
      </c>
      <c r="C280" s="260" t="s">
        <v>211</v>
      </c>
      <c r="D280" s="488" t="s">
        <v>205</v>
      </c>
      <c r="E280" s="317" t="s">
        <v>30</v>
      </c>
      <c r="F280" s="257">
        <v>45801</v>
      </c>
      <c r="G280" s="317">
        <v>19.143999999999998</v>
      </c>
      <c r="H280" s="702" t="s">
        <v>31</v>
      </c>
      <c r="I280" s="702"/>
      <c r="J280" s="702"/>
      <c r="K280" s="702"/>
      <c r="L280" s="257">
        <v>45814</v>
      </c>
      <c r="M280" s="317" t="s">
        <v>530</v>
      </c>
      <c r="N280" s="317" t="s">
        <v>662</v>
      </c>
      <c r="O280" s="308">
        <v>17</v>
      </c>
      <c r="P280" s="317" t="s">
        <v>669</v>
      </c>
    </row>
    <row r="281" spans="2:16" s="339" customFormat="1" ht="15" customHeight="1" x14ac:dyDescent="0.25">
      <c r="B281" s="317">
        <f t="shared" si="5"/>
        <v>273</v>
      </c>
      <c r="C281" s="260" t="s">
        <v>191</v>
      </c>
      <c r="D281" s="283" t="s">
        <v>731</v>
      </c>
      <c r="E281" s="317" t="s">
        <v>30</v>
      </c>
      <c r="F281" s="257">
        <v>45801</v>
      </c>
      <c r="G281" s="317">
        <f>22.88+2.52</f>
        <v>25.4</v>
      </c>
      <c r="H281" s="702" t="s">
        <v>31</v>
      </c>
      <c r="I281" s="702"/>
      <c r="J281" s="702"/>
      <c r="K281" s="702"/>
      <c r="L281" s="257">
        <v>45814</v>
      </c>
      <c r="M281" s="317" t="s">
        <v>727</v>
      </c>
      <c r="N281" s="317"/>
      <c r="O281" s="317">
        <v>15</v>
      </c>
      <c r="P281" s="317" t="s">
        <v>745</v>
      </c>
    </row>
    <row r="282" spans="2:16" s="339" customFormat="1" ht="15" customHeight="1" x14ac:dyDescent="0.25">
      <c r="B282" s="317">
        <f t="shared" si="5"/>
        <v>274</v>
      </c>
      <c r="C282" s="260" t="s">
        <v>342</v>
      </c>
      <c r="D282" s="407" t="s">
        <v>47</v>
      </c>
      <c r="E282" s="317" t="s">
        <v>757</v>
      </c>
      <c r="F282" s="257">
        <v>45796</v>
      </c>
      <c r="G282" s="317">
        <v>48.328000000000003</v>
      </c>
      <c r="H282" s="702" t="s">
        <v>31</v>
      </c>
      <c r="I282" s="702"/>
      <c r="J282" s="702"/>
      <c r="K282" s="702"/>
      <c r="L282" s="257">
        <v>45816</v>
      </c>
      <c r="M282" s="220" t="s">
        <v>495</v>
      </c>
      <c r="N282" s="317"/>
      <c r="O282" s="317">
        <v>19</v>
      </c>
      <c r="P282" s="317"/>
    </row>
    <row r="283" spans="2:16" s="339" customFormat="1" ht="15" customHeight="1" x14ac:dyDescent="0.25">
      <c r="B283" s="317">
        <f t="shared" si="5"/>
        <v>275</v>
      </c>
      <c r="C283" s="260" t="s">
        <v>744</v>
      </c>
      <c r="D283" s="488" t="s">
        <v>206</v>
      </c>
      <c r="E283" s="317" t="s">
        <v>30</v>
      </c>
      <c r="F283" s="257">
        <v>45809</v>
      </c>
      <c r="G283" s="317">
        <v>18.591999999999999</v>
      </c>
      <c r="H283" s="702" t="s">
        <v>31</v>
      </c>
      <c r="I283" s="702"/>
      <c r="J283" s="702"/>
      <c r="K283" s="702"/>
      <c r="L283" s="257">
        <v>45816</v>
      </c>
      <c r="M283" s="340" t="s">
        <v>448</v>
      </c>
      <c r="N283" s="317"/>
      <c r="O283" s="317">
        <v>15</v>
      </c>
      <c r="P283" s="317"/>
    </row>
    <row r="284" spans="2:16" s="339" customFormat="1" ht="15" customHeight="1" x14ac:dyDescent="0.25">
      <c r="B284" s="317">
        <f t="shared" si="5"/>
        <v>276</v>
      </c>
      <c r="C284" s="260" t="s">
        <v>428</v>
      </c>
      <c r="D284" s="488" t="s">
        <v>285</v>
      </c>
      <c r="E284" s="317" t="s">
        <v>30</v>
      </c>
      <c r="F284" s="257">
        <v>45811</v>
      </c>
      <c r="G284" s="317">
        <v>25.577999999999999</v>
      </c>
      <c r="H284" s="702" t="s">
        <v>31</v>
      </c>
      <c r="I284" s="702"/>
      <c r="J284" s="702"/>
      <c r="K284" s="702"/>
      <c r="L284" s="257">
        <v>45817</v>
      </c>
      <c r="M284" s="317" t="s">
        <v>515</v>
      </c>
      <c r="N284" s="317"/>
      <c r="O284" s="308">
        <v>17</v>
      </c>
      <c r="P284" s="317"/>
    </row>
    <row r="285" spans="2:16" s="339" customFormat="1" ht="15" customHeight="1" x14ac:dyDescent="0.25">
      <c r="B285" s="317">
        <f t="shared" si="5"/>
        <v>277</v>
      </c>
      <c r="C285" s="260" t="s">
        <v>617</v>
      </c>
      <c r="D285" s="283" t="s">
        <v>206</v>
      </c>
      <c r="E285" s="317" t="s">
        <v>30</v>
      </c>
      <c r="F285" s="257">
        <v>45808</v>
      </c>
      <c r="G285" s="317">
        <v>18.591999999999999</v>
      </c>
      <c r="H285" s="702" t="s">
        <v>31</v>
      </c>
      <c r="I285" s="702"/>
      <c r="J285" s="702"/>
      <c r="K285" s="702"/>
      <c r="L285" s="257">
        <v>45822</v>
      </c>
      <c r="M285" s="317" t="s">
        <v>457</v>
      </c>
      <c r="N285" s="317"/>
      <c r="O285" s="308">
        <v>17</v>
      </c>
      <c r="P285" s="317"/>
    </row>
    <row r="286" spans="2:16" s="339" customFormat="1" ht="15" customHeight="1" x14ac:dyDescent="0.25">
      <c r="B286" s="317">
        <f t="shared" si="5"/>
        <v>278</v>
      </c>
      <c r="C286" s="260" t="s">
        <v>424</v>
      </c>
      <c r="D286" s="283" t="s">
        <v>637</v>
      </c>
      <c r="E286" s="317" t="s">
        <v>30</v>
      </c>
      <c r="F286" s="257">
        <v>45818</v>
      </c>
      <c r="G286" s="317">
        <v>32.186</v>
      </c>
      <c r="H286" s="702" t="s">
        <v>31</v>
      </c>
      <c r="I286" s="702"/>
      <c r="J286" s="702"/>
      <c r="K286" s="702"/>
      <c r="L286" s="257">
        <v>45822</v>
      </c>
      <c r="M286" s="317" t="s">
        <v>515</v>
      </c>
      <c r="N286" s="317"/>
      <c r="O286" s="308">
        <v>17</v>
      </c>
      <c r="P286" s="317"/>
    </row>
    <row r="287" spans="2:16" s="339" customFormat="1" ht="15" customHeight="1" x14ac:dyDescent="0.25">
      <c r="B287" s="317">
        <f t="shared" si="5"/>
        <v>279</v>
      </c>
      <c r="C287" s="260" t="s">
        <v>622</v>
      </c>
      <c r="D287" s="488" t="s">
        <v>205</v>
      </c>
      <c r="E287" s="317" t="s">
        <v>30</v>
      </c>
      <c r="F287" s="257">
        <v>45809</v>
      </c>
      <c r="G287" s="317">
        <v>19.143999999999998</v>
      </c>
      <c r="H287" s="702" t="s">
        <v>31</v>
      </c>
      <c r="I287" s="702"/>
      <c r="J287" s="702"/>
      <c r="K287" s="702"/>
      <c r="L287" s="257">
        <v>45823</v>
      </c>
      <c r="M287" s="317" t="s">
        <v>448</v>
      </c>
      <c r="N287" s="317"/>
      <c r="O287" s="308">
        <v>16</v>
      </c>
      <c r="P287" s="317"/>
    </row>
    <row r="288" spans="2:16" s="339" customFormat="1" ht="15" customHeight="1" x14ac:dyDescent="0.25">
      <c r="B288" s="317">
        <f t="shared" si="5"/>
        <v>280</v>
      </c>
      <c r="C288" s="260" t="s">
        <v>200</v>
      </c>
      <c r="D288" s="488" t="s">
        <v>205</v>
      </c>
      <c r="E288" s="317" t="s">
        <v>30</v>
      </c>
      <c r="F288" s="257">
        <v>45808</v>
      </c>
      <c r="G288" s="317">
        <v>19.143999999999998</v>
      </c>
      <c r="H288" s="702" t="s">
        <v>31</v>
      </c>
      <c r="I288" s="702"/>
      <c r="J288" s="702"/>
      <c r="K288" s="702"/>
      <c r="L288" s="257">
        <v>45823</v>
      </c>
      <c r="M288" s="317" t="s">
        <v>530</v>
      </c>
      <c r="N288" s="317" t="s">
        <v>662</v>
      </c>
      <c r="O288" s="308">
        <v>17</v>
      </c>
      <c r="P288" s="317"/>
    </row>
    <row r="289" spans="2:16" s="339" customFormat="1" ht="15" customHeight="1" x14ac:dyDescent="0.25">
      <c r="B289" s="317">
        <f t="shared" si="5"/>
        <v>281</v>
      </c>
      <c r="C289" s="260" t="s">
        <v>196</v>
      </c>
      <c r="D289" s="488" t="s">
        <v>615</v>
      </c>
      <c r="E289" s="317" t="s">
        <v>30</v>
      </c>
      <c r="F289" s="257">
        <v>45808</v>
      </c>
      <c r="G289" s="317">
        <v>19.143999999999998</v>
      </c>
      <c r="H289" s="702" t="s">
        <v>31</v>
      </c>
      <c r="I289" s="702"/>
      <c r="J289" s="702"/>
      <c r="K289" s="702"/>
      <c r="L289" s="257">
        <v>45825</v>
      </c>
      <c r="M289" s="317" t="s">
        <v>727</v>
      </c>
      <c r="N289" s="317"/>
      <c r="O289" s="308">
        <v>17</v>
      </c>
      <c r="P289" s="317"/>
    </row>
    <row r="290" spans="2:16" s="339" customFormat="1" ht="15" customHeight="1" x14ac:dyDescent="0.25">
      <c r="B290" s="317">
        <f t="shared" si="5"/>
        <v>282</v>
      </c>
      <c r="C290" s="260" t="s">
        <v>620</v>
      </c>
      <c r="D290" s="488" t="s">
        <v>731</v>
      </c>
      <c r="E290" s="317" t="s">
        <v>30</v>
      </c>
      <c r="F290" s="257">
        <v>45809</v>
      </c>
      <c r="G290" s="317">
        <v>42.95</v>
      </c>
      <c r="H290" s="702" t="s">
        <v>31</v>
      </c>
      <c r="I290" s="702"/>
      <c r="J290" s="702"/>
      <c r="K290" s="702"/>
      <c r="L290" s="257">
        <v>45827</v>
      </c>
      <c r="M290" s="317" t="s">
        <v>448</v>
      </c>
      <c r="N290" s="317"/>
      <c r="O290" s="308">
        <v>16</v>
      </c>
      <c r="P290" s="317"/>
    </row>
    <row r="291" spans="2:16" s="339" customFormat="1" ht="15" customHeight="1" x14ac:dyDescent="0.25">
      <c r="B291" s="317">
        <f t="shared" si="5"/>
        <v>283</v>
      </c>
      <c r="C291" s="260" t="s">
        <v>197</v>
      </c>
      <c r="D291" s="283" t="s">
        <v>615</v>
      </c>
      <c r="E291" s="317" t="s">
        <v>30</v>
      </c>
      <c r="F291" s="257">
        <v>45801</v>
      </c>
      <c r="G291" s="317">
        <v>19.143999999999998</v>
      </c>
      <c r="H291" s="702" t="s">
        <v>31</v>
      </c>
      <c r="I291" s="702"/>
      <c r="J291" s="702"/>
      <c r="K291" s="702"/>
      <c r="L291" s="257">
        <v>45829</v>
      </c>
      <c r="M291" s="317" t="s">
        <v>727</v>
      </c>
      <c r="N291" s="317"/>
      <c r="O291" s="308">
        <v>17</v>
      </c>
      <c r="P291" s="317"/>
    </row>
    <row r="292" spans="2:16" s="339" customFormat="1" ht="15" customHeight="1" x14ac:dyDescent="0.25">
      <c r="B292" s="317">
        <f t="shared" si="5"/>
        <v>284</v>
      </c>
      <c r="C292" s="287" t="s">
        <v>619</v>
      </c>
      <c r="D292" s="342" t="s">
        <v>618</v>
      </c>
      <c r="E292" s="317" t="s">
        <v>30</v>
      </c>
      <c r="F292" s="257">
        <v>45821</v>
      </c>
      <c r="G292" s="317">
        <v>57.746000000000002</v>
      </c>
      <c r="H292" s="702" t="s">
        <v>31</v>
      </c>
      <c r="I292" s="702"/>
      <c r="J292" s="702"/>
      <c r="K292" s="702"/>
      <c r="L292" s="257">
        <v>45829</v>
      </c>
      <c r="M292" s="317" t="s">
        <v>530</v>
      </c>
      <c r="N292" s="317"/>
      <c r="O292" s="308">
        <v>17</v>
      </c>
      <c r="P292" s="317"/>
    </row>
    <row r="293" spans="2:16" s="339" customFormat="1" ht="15" customHeight="1" x14ac:dyDescent="0.25">
      <c r="B293" s="317">
        <f t="shared" si="5"/>
        <v>285</v>
      </c>
      <c r="C293" s="260" t="s">
        <v>427</v>
      </c>
      <c r="D293" s="342" t="s">
        <v>34</v>
      </c>
      <c r="E293" s="317" t="s">
        <v>432</v>
      </c>
      <c r="F293" s="257">
        <v>45821</v>
      </c>
      <c r="G293" s="317">
        <v>40.405999999999999</v>
      </c>
      <c r="H293" s="702" t="s">
        <v>31</v>
      </c>
      <c r="I293" s="702"/>
      <c r="J293" s="702"/>
      <c r="K293" s="702"/>
      <c r="L293" s="257">
        <v>45829</v>
      </c>
      <c r="M293" s="317" t="s">
        <v>515</v>
      </c>
      <c r="N293" s="317" t="s">
        <v>172</v>
      </c>
      <c r="O293" s="308">
        <v>17</v>
      </c>
      <c r="P293" s="317"/>
    </row>
    <row r="294" spans="2:16" s="339" customFormat="1" ht="15" customHeight="1" x14ac:dyDescent="0.25">
      <c r="B294" s="317">
        <f t="shared" si="5"/>
        <v>286</v>
      </c>
      <c r="C294" s="287" t="s">
        <v>621</v>
      </c>
      <c r="D294" s="342" t="s">
        <v>721</v>
      </c>
      <c r="E294" s="317" t="s">
        <v>30</v>
      </c>
      <c r="F294" s="257">
        <v>45825</v>
      </c>
      <c r="G294" s="317">
        <v>19.143999999999998</v>
      </c>
      <c r="H294" s="702" t="s">
        <v>31</v>
      </c>
      <c r="I294" s="702"/>
      <c r="J294" s="702"/>
      <c r="K294" s="702"/>
      <c r="L294" s="257">
        <v>45829</v>
      </c>
      <c r="M294" s="317" t="s">
        <v>448</v>
      </c>
      <c r="N294" s="317"/>
      <c r="O294" s="308">
        <v>16</v>
      </c>
      <c r="P294" s="317"/>
    </row>
    <row r="295" spans="2:16" s="339" customFormat="1" ht="15" customHeight="1" x14ac:dyDescent="0.25">
      <c r="B295" s="317">
        <f t="shared" si="5"/>
        <v>287</v>
      </c>
      <c r="C295" s="260" t="s">
        <v>190</v>
      </c>
      <c r="D295" s="488" t="s">
        <v>206</v>
      </c>
      <c r="E295" s="317" t="s">
        <v>30</v>
      </c>
      <c r="F295" s="257">
        <v>45810</v>
      </c>
      <c r="G295" s="317">
        <v>18.591999999999999</v>
      </c>
      <c r="H295" s="702" t="s">
        <v>31</v>
      </c>
      <c r="I295" s="702"/>
      <c r="J295" s="702"/>
      <c r="K295" s="702"/>
      <c r="L295" s="257">
        <v>45831</v>
      </c>
      <c r="M295" s="317" t="s">
        <v>457</v>
      </c>
      <c r="N295" s="317" t="s">
        <v>172</v>
      </c>
      <c r="O295" s="308">
        <v>17</v>
      </c>
      <c r="P295" s="317"/>
    </row>
    <row r="296" spans="2:16" s="339" customFormat="1" ht="15" customHeight="1" x14ac:dyDescent="0.25">
      <c r="B296" s="317">
        <f t="shared" si="5"/>
        <v>288</v>
      </c>
      <c r="C296" s="260" t="s">
        <v>430</v>
      </c>
      <c r="D296" s="283" t="s">
        <v>34</v>
      </c>
      <c r="E296" s="317" t="s">
        <v>30</v>
      </c>
      <c r="F296" s="257">
        <v>45825</v>
      </c>
      <c r="G296" s="317">
        <v>26.872</v>
      </c>
      <c r="H296" s="702" t="s">
        <v>31</v>
      </c>
      <c r="I296" s="702"/>
      <c r="J296" s="702"/>
      <c r="K296" s="702"/>
      <c r="L296" s="257">
        <v>45832</v>
      </c>
      <c r="M296" s="317" t="s">
        <v>515</v>
      </c>
      <c r="N296" s="317" t="s">
        <v>172</v>
      </c>
      <c r="O296" s="308">
        <v>16</v>
      </c>
      <c r="P296" s="317"/>
    </row>
    <row r="297" spans="2:16" s="339" customFormat="1" ht="15" customHeight="1" x14ac:dyDescent="0.25">
      <c r="B297" s="317">
        <f t="shared" si="5"/>
        <v>289</v>
      </c>
      <c r="C297" s="260" t="s">
        <v>237</v>
      </c>
      <c r="D297" s="342" t="s">
        <v>751</v>
      </c>
      <c r="E297" s="317" t="s">
        <v>30</v>
      </c>
      <c r="F297" s="257">
        <v>45828</v>
      </c>
      <c r="G297" s="317">
        <v>39.130000000000003</v>
      </c>
      <c r="H297" s="702" t="s">
        <v>31</v>
      </c>
      <c r="I297" s="702"/>
      <c r="J297" s="702"/>
      <c r="K297" s="702"/>
      <c r="L297" s="257">
        <v>45833</v>
      </c>
      <c r="M297" s="317" t="s">
        <v>448</v>
      </c>
      <c r="N297" s="317"/>
      <c r="O297" s="308">
        <v>17</v>
      </c>
      <c r="P297" s="317"/>
    </row>
    <row r="298" spans="2:16" s="339" customFormat="1" ht="15" customHeight="1" x14ac:dyDescent="0.25">
      <c r="B298" s="317">
        <f t="shared" si="5"/>
        <v>290</v>
      </c>
      <c r="C298" s="260" t="s">
        <v>624</v>
      </c>
      <c r="D298" s="283" t="s">
        <v>753</v>
      </c>
      <c r="E298" s="317" t="s">
        <v>30</v>
      </c>
      <c r="F298" s="257">
        <v>45832</v>
      </c>
      <c r="G298" s="317">
        <v>39.130000000000003</v>
      </c>
      <c r="H298" s="702" t="s">
        <v>31</v>
      </c>
      <c r="I298" s="702"/>
      <c r="J298" s="702"/>
      <c r="K298" s="702"/>
      <c r="L298" s="257">
        <v>45837</v>
      </c>
      <c r="M298" s="317" t="s">
        <v>448</v>
      </c>
      <c r="N298" s="317"/>
      <c r="O298" s="308">
        <v>16</v>
      </c>
      <c r="P298" s="317"/>
    </row>
    <row r="299" spans="2:16" s="339" customFormat="1" ht="15" customHeight="1" x14ac:dyDescent="0.25">
      <c r="B299" s="317">
        <f t="shared" si="5"/>
        <v>291</v>
      </c>
      <c r="C299" s="260" t="s">
        <v>188</v>
      </c>
      <c r="D299" s="283" t="s">
        <v>206</v>
      </c>
      <c r="E299" s="317" t="s">
        <v>30</v>
      </c>
      <c r="F299" s="257">
        <v>45826</v>
      </c>
      <c r="G299" s="317">
        <v>18.591999999999999</v>
      </c>
      <c r="H299" s="702" t="s">
        <v>31</v>
      </c>
      <c r="I299" s="702"/>
      <c r="J299" s="702"/>
      <c r="K299" s="702"/>
      <c r="L299" s="257">
        <v>45837</v>
      </c>
      <c r="M299" s="317" t="s">
        <v>727</v>
      </c>
      <c r="N299" s="317"/>
      <c r="O299" s="308">
        <v>17</v>
      </c>
      <c r="P299" s="317"/>
    </row>
    <row r="300" spans="2:16" s="339" customFormat="1" ht="15" customHeight="1" x14ac:dyDescent="0.25">
      <c r="B300" s="317">
        <f t="shared" si="5"/>
        <v>292</v>
      </c>
      <c r="C300" s="260" t="s">
        <v>426</v>
      </c>
      <c r="D300" s="283" t="s">
        <v>131</v>
      </c>
      <c r="E300" s="317" t="s">
        <v>30</v>
      </c>
      <c r="F300" s="257">
        <v>45833</v>
      </c>
      <c r="G300" s="317">
        <v>45.764000000000003</v>
      </c>
      <c r="H300" s="702" t="s">
        <v>31</v>
      </c>
      <c r="I300" s="702"/>
      <c r="J300" s="702"/>
      <c r="K300" s="702"/>
      <c r="L300" s="257">
        <v>45838</v>
      </c>
      <c r="M300" s="317" t="s">
        <v>515</v>
      </c>
      <c r="N300" s="317"/>
      <c r="O300" s="308">
        <v>16</v>
      </c>
      <c r="P300" s="317"/>
    </row>
    <row r="301" spans="2:16" s="339" customFormat="1" ht="15" customHeight="1" x14ac:dyDescent="0.25">
      <c r="B301" s="317">
        <f t="shared" si="5"/>
        <v>293</v>
      </c>
      <c r="C301" s="260" t="s">
        <v>189</v>
      </c>
      <c r="D301" s="283" t="s">
        <v>206</v>
      </c>
      <c r="E301" s="317" t="s">
        <v>30</v>
      </c>
      <c r="F301" s="257">
        <v>45826</v>
      </c>
      <c r="G301" s="317">
        <v>18.591999999999999</v>
      </c>
      <c r="H301" s="702" t="s">
        <v>31</v>
      </c>
      <c r="I301" s="702"/>
      <c r="J301" s="702"/>
      <c r="K301" s="702"/>
      <c r="L301" s="257">
        <v>45841</v>
      </c>
      <c r="M301" s="317" t="s">
        <v>448</v>
      </c>
      <c r="N301" s="317"/>
      <c r="O301" s="308">
        <v>17</v>
      </c>
      <c r="P301" s="317"/>
    </row>
    <row r="302" spans="2:16" s="339" customFormat="1" ht="12.75" customHeight="1" x14ac:dyDescent="0.25">
      <c r="B302" s="317">
        <f t="shared" si="5"/>
        <v>294</v>
      </c>
      <c r="C302" s="260" t="s">
        <v>239</v>
      </c>
      <c r="D302" s="283" t="s">
        <v>751</v>
      </c>
      <c r="E302" s="317" t="s">
        <v>30</v>
      </c>
      <c r="F302" s="257">
        <v>45840</v>
      </c>
      <c r="G302" s="317">
        <v>39.130000000000003</v>
      </c>
      <c r="H302" s="702" t="s">
        <v>31</v>
      </c>
      <c r="I302" s="702"/>
      <c r="J302" s="702"/>
      <c r="K302" s="702"/>
      <c r="L302" s="257">
        <v>45846</v>
      </c>
      <c r="M302" s="317" t="s">
        <v>448</v>
      </c>
      <c r="N302" s="317"/>
      <c r="O302" s="317">
        <v>17</v>
      </c>
      <c r="P302" s="317"/>
    </row>
    <row r="303" spans="2:16" s="339" customFormat="1" ht="15" customHeight="1" x14ac:dyDescent="0.25">
      <c r="B303" s="317">
        <f t="shared" si="5"/>
        <v>295</v>
      </c>
      <c r="C303" s="260" t="s">
        <v>187</v>
      </c>
      <c r="D303" s="283" t="s">
        <v>752</v>
      </c>
      <c r="E303" s="317" t="s">
        <v>30</v>
      </c>
      <c r="F303" s="257">
        <v>45832</v>
      </c>
      <c r="G303" s="317">
        <v>25.4</v>
      </c>
      <c r="H303" s="702" t="s">
        <v>31</v>
      </c>
      <c r="I303" s="702"/>
      <c r="J303" s="702"/>
      <c r="K303" s="702"/>
      <c r="L303" s="257">
        <v>45848</v>
      </c>
      <c r="M303" s="317" t="s">
        <v>727</v>
      </c>
      <c r="N303" s="317"/>
      <c r="O303" s="308">
        <v>17</v>
      </c>
      <c r="P303" s="317"/>
    </row>
    <row r="304" spans="2:16" s="339" customFormat="1" ht="12.75" customHeight="1" x14ac:dyDescent="0.25">
      <c r="B304" s="317">
        <f t="shared" si="5"/>
        <v>296</v>
      </c>
      <c r="C304" s="260" t="s">
        <v>625</v>
      </c>
      <c r="D304" s="283" t="s">
        <v>206</v>
      </c>
      <c r="E304" s="317" t="s">
        <v>30</v>
      </c>
      <c r="F304" s="257">
        <v>45808</v>
      </c>
      <c r="G304" s="317">
        <v>18.591999999999999</v>
      </c>
      <c r="H304" s="702" t="s">
        <v>31</v>
      </c>
      <c r="I304" s="702"/>
      <c r="J304" s="702"/>
      <c r="K304" s="702"/>
      <c r="L304" s="257">
        <v>45850</v>
      </c>
      <c r="M304" s="317" t="s">
        <v>457</v>
      </c>
      <c r="N304" s="317"/>
      <c r="O304" s="317">
        <v>17</v>
      </c>
      <c r="P304" s="317"/>
    </row>
    <row r="305" spans="2:16" s="339" customFormat="1" ht="12.75" customHeight="1" x14ac:dyDescent="0.25">
      <c r="B305" s="317">
        <f t="shared" si="5"/>
        <v>297</v>
      </c>
      <c r="C305" s="260" t="s">
        <v>226</v>
      </c>
      <c r="D305" s="283" t="s">
        <v>762</v>
      </c>
      <c r="E305" s="317" t="s">
        <v>30</v>
      </c>
      <c r="F305" s="257">
        <v>45846</v>
      </c>
      <c r="G305" s="317">
        <v>57.746000000000002</v>
      </c>
      <c r="H305" s="702" t="s">
        <v>31</v>
      </c>
      <c r="I305" s="702"/>
      <c r="J305" s="702"/>
      <c r="K305" s="702"/>
      <c r="L305" s="257">
        <v>45851</v>
      </c>
      <c r="M305" s="317" t="s">
        <v>448</v>
      </c>
      <c r="N305" s="317"/>
      <c r="O305" s="317">
        <v>15</v>
      </c>
      <c r="P305" s="317"/>
    </row>
    <row r="306" spans="2:16" s="339" customFormat="1" ht="12.75" customHeight="1" x14ac:dyDescent="0.25">
      <c r="B306" s="317">
        <f t="shared" si="5"/>
        <v>298</v>
      </c>
      <c r="C306" s="260" t="s">
        <v>431</v>
      </c>
      <c r="D306" s="283" t="s">
        <v>765</v>
      </c>
      <c r="E306" s="317" t="s">
        <v>30</v>
      </c>
      <c r="F306" s="257">
        <v>45837</v>
      </c>
      <c r="G306" s="317">
        <v>37.5</v>
      </c>
      <c r="H306" s="702" t="s">
        <v>31</v>
      </c>
      <c r="I306" s="702"/>
      <c r="J306" s="702"/>
      <c r="K306" s="702"/>
      <c r="L306" s="257">
        <v>45852</v>
      </c>
      <c r="M306" s="317" t="s">
        <v>515</v>
      </c>
      <c r="N306" s="317" t="s">
        <v>172</v>
      </c>
      <c r="O306" s="317">
        <v>17</v>
      </c>
      <c r="P306" s="317"/>
    </row>
    <row r="307" spans="2:16" s="339" customFormat="1" ht="15" customHeight="1" x14ac:dyDescent="0.25">
      <c r="B307" s="317">
        <f t="shared" si="5"/>
        <v>299</v>
      </c>
      <c r="C307" s="260" t="s">
        <v>225</v>
      </c>
      <c r="D307" s="283" t="s">
        <v>762</v>
      </c>
      <c r="E307" s="317" t="s">
        <v>30</v>
      </c>
      <c r="F307" s="257">
        <v>45839</v>
      </c>
      <c r="G307" s="317">
        <v>57.746000000000002</v>
      </c>
      <c r="H307" s="702" t="s">
        <v>31</v>
      </c>
      <c r="I307" s="702"/>
      <c r="J307" s="702"/>
      <c r="K307" s="702"/>
      <c r="L307" s="257">
        <v>45854</v>
      </c>
      <c r="M307" s="317" t="s">
        <v>448</v>
      </c>
      <c r="N307" s="317" t="s">
        <v>172</v>
      </c>
      <c r="O307" s="317">
        <v>17</v>
      </c>
      <c r="P307" s="317"/>
    </row>
    <row r="308" spans="2:16" s="339" customFormat="1" ht="15" customHeight="1" x14ac:dyDescent="0.25">
      <c r="B308" s="317">
        <f t="shared" si="5"/>
        <v>300</v>
      </c>
      <c r="C308" s="260" t="s">
        <v>238</v>
      </c>
      <c r="D308" s="488" t="s">
        <v>753</v>
      </c>
      <c r="E308" s="317" t="s">
        <v>30</v>
      </c>
      <c r="F308" s="257">
        <v>45851</v>
      </c>
      <c r="G308" s="317">
        <v>39.130000000000003</v>
      </c>
      <c r="H308" s="702" t="s">
        <v>31</v>
      </c>
      <c r="I308" s="702"/>
      <c r="J308" s="702"/>
      <c r="K308" s="702"/>
      <c r="L308" s="257">
        <v>45856</v>
      </c>
      <c r="M308" s="317" t="s">
        <v>448</v>
      </c>
      <c r="N308" s="317"/>
      <c r="O308" s="317">
        <v>17</v>
      </c>
      <c r="P308" s="317"/>
    </row>
    <row r="309" spans="2:16" s="339" customFormat="1" ht="12" customHeight="1" x14ac:dyDescent="0.25">
      <c r="B309" s="317">
        <f t="shared" si="5"/>
        <v>301</v>
      </c>
      <c r="C309" s="287" t="s">
        <v>768</v>
      </c>
      <c r="D309" s="283" t="s">
        <v>767</v>
      </c>
      <c r="E309" s="317" t="s">
        <v>30</v>
      </c>
      <c r="F309" s="257">
        <v>45845</v>
      </c>
      <c r="G309" s="317">
        <v>47.610999999999997</v>
      </c>
      <c r="H309" s="702" t="s">
        <v>31</v>
      </c>
      <c r="I309" s="702"/>
      <c r="J309" s="702"/>
      <c r="K309" s="702"/>
      <c r="L309" s="257">
        <v>45858</v>
      </c>
      <c r="M309" s="317" t="s">
        <v>515</v>
      </c>
      <c r="N309" s="317"/>
      <c r="O309" s="317">
        <v>17</v>
      </c>
      <c r="P309" s="317"/>
    </row>
    <row r="310" spans="2:16" s="339" customFormat="1" ht="12.75" customHeight="1" x14ac:dyDescent="0.25">
      <c r="B310" s="317">
        <f t="shared" si="5"/>
        <v>302</v>
      </c>
      <c r="C310" s="260" t="s">
        <v>236</v>
      </c>
      <c r="D310" s="488" t="s">
        <v>835</v>
      </c>
      <c r="E310" s="317" t="s">
        <v>337</v>
      </c>
      <c r="F310" s="257">
        <v>45857</v>
      </c>
      <c r="G310" s="317">
        <v>39.130000000000003</v>
      </c>
      <c r="H310" s="702" t="s">
        <v>31</v>
      </c>
      <c r="I310" s="702"/>
      <c r="J310" s="702"/>
      <c r="K310" s="702"/>
      <c r="L310" s="257">
        <v>45860</v>
      </c>
      <c r="M310" s="317" t="s">
        <v>515</v>
      </c>
      <c r="N310" s="317"/>
      <c r="O310" s="317">
        <v>17</v>
      </c>
      <c r="P310" s="317"/>
    </row>
    <row r="311" spans="2:16" s="339" customFormat="1" ht="12.75" customHeight="1" x14ac:dyDescent="0.25">
      <c r="B311" s="317">
        <f t="shared" si="5"/>
        <v>303</v>
      </c>
      <c r="C311" s="260" t="s">
        <v>223</v>
      </c>
      <c r="D311" s="488" t="s">
        <v>770</v>
      </c>
      <c r="E311" s="317" t="s">
        <v>30</v>
      </c>
      <c r="F311" s="257">
        <v>45847</v>
      </c>
      <c r="G311" s="317">
        <v>21.518000000000001</v>
      </c>
      <c r="H311" s="702" t="s">
        <v>31</v>
      </c>
      <c r="I311" s="702"/>
      <c r="J311" s="702"/>
      <c r="K311" s="702"/>
      <c r="L311" s="257">
        <v>45863</v>
      </c>
      <c r="M311" s="317" t="s">
        <v>448</v>
      </c>
      <c r="N311" s="317"/>
      <c r="O311" s="317">
        <v>17</v>
      </c>
      <c r="P311" s="317"/>
    </row>
    <row r="312" spans="2:16" s="339" customFormat="1" ht="12.75" customHeight="1" x14ac:dyDescent="0.25">
      <c r="B312" s="317">
        <f t="shared" si="5"/>
        <v>304</v>
      </c>
      <c r="C312" s="287" t="s">
        <v>827</v>
      </c>
      <c r="D312" s="488" t="s">
        <v>352</v>
      </c>
      <c r="E312" s="317" t="s">
        <v>30</v>
      </c>
      <c r="F312" s="257">
        <v>45854</v>
      </c>
      <c r="G312" s="317">
        <v>47.610999999999997</v>
      </c>
      <c r="H312" s="702" t="s">
        <v>31</v>
      </c>
      <c r="I312" s="702"/>
      <c r="J312" s="702"/>
      <c r="K312" s="702"/>
      <c r="L312" s="257">
        <v>45866</v>
      </c>
      <c r="M312" s="317" t="s">
        <v>515</v>
      </c>
      <c r="N312" s="317"/>
      <c r="O312" s="317">
        <v>17</v>
      </c>
      <c r="P312" s="317"/>
    </row>
    <row r="313" spans="2:16" s="339" customFormat="1" ht="12.75" customHeight="1" x14ac:dyDescent="0.25">
      <c r="B313" s="317">
        <f t="shared" si="5"/>
        <v>305</v>
      </c>
      <c r="C313" s="260" t="s">
        <v>709</v>
      </c>
      <c r="D313" s="488" t="s">
        <v>826</v>
      </c>
      <c r="E313" s="317" t="s">
        <v>30</v>
      </c>
      <c r="F313" s="257">
        <v>45860</v>
      </c>
      <c r="G313" s="317">
        <v>102.566</v>
      </c>
      <c r="H313" s="702" t="s">
        <v>31</v>
      </c>
      <c r="I313" s="702"/>
      <c r="J313" s="702"/>
      <c r="K313" s="702"/>
      <c r="L313" s="257">
        <v>45872</v>
      </c>
      <c r="M313" s="317" t="s">
        <v>515</v>
      </c>
      <c r="N313" s="340"/>
      <c r="O313" s="317">
        <v>17</v>
      </c>
      <c r="P313" s="317"/>
    </row>
    <row r="314" spans="2:16" s="339" customFormat="1" ht="12.75" customHeight="1" x14ac:dyDescent="0.25">
      <c r="B314" s="317">
        <f t="shared" si="5"/>
        <v>306</v>
      </c>
      <c r="C314" s="260" t="s">
        <v>823</v>
      </c>
      <c r="D314" s="488" t="s">
        <v>240</v>
      </c>
      <c r="E314" s="317" t="s">
        <v>337</v>
      </c>
      <c r="F314" s="257">
        <v>45880</v>
      </c>
      <c r="G314" s="317">
        <v>107.12</v>
      </c>
      <c r="H314" s="702" t="s">
        <v>31</v>
      </c>
      <c r="I314" s="702"/>
      <c r="J314" s="702"/>
      <c r="K314" s="702"/>
      <c r="L314" s="257">
        <v>45894</v>
      </c>
      <c r="M314" s="317" t="s">
        <v>727</v>
      </c>
      <c r="N314" s="317"/>
      <c r="O314" s="317">
        <v>15</v>
      </c>
      <c r="P314" s="317"/>
    </row>
    <row r="315" spans="2:16" s="339" customFormat="1" ht="19.5" customHeight="1" x14ac:dyDescent="0.25">
      <c r="B315" s="317">
        <f t="shared" si="5"/>
        <v>307</v>
      </c>
      <c r="C315" s="260" t="s">
        <v>832</v>
      </c>
      <c r="D315" s="488" t="s">
        <v>612</v>
      </c>
      <c r="E315" s="317" t="s">
        <v>30</v>
      </c>
      <c r="F315" s="257">
        <v>45854</v>
      </c>
      <c r="G315" s="317">
        <v>80.164000000000001</v>
      </c>
      <c r="H315" s="702" t="s">
        <v>31</v>
      </c>
      <c r="I315" s="702"/>
      <c r="J315" s="702"/>
      <c r="K315" s="702"/>
      <c r="L315" s="257">
        <v>45956</v>
      </c>
      <c r="M315" s="317" t="s">
        <v>515</v>
      </c>
      <c r="N315" s="340"/>
      <c r="O315" s="317">
        <v>17</v>
      </c>
      <c r="P315" s="317"/>
    </row>
    <row r="316" spans="2:16" s="339" customFormat="1" ht="12.75" customHeight="1" x14ac:dyDescent="0.25">
      <c r="B316" s="317">
        <f t="shared" si="5"/>
        <v>308</v>
      </c>
      <c r="C316" s="316" t="s">
        <v>235</v>
      </c>
      <c r="D316" s="509" t="s">
        <v>240</v>
      </c>
      <c r="E316" s="279" t="s">
        <v>337</v>
      </c>
      <c r="F316" s="306">
        <v>45860</v>
      </c>
      <c r="G316" s="279">
        <v>107.12</v>
      </c>
      <c r="H316" s="735" t="s">
        <v>968</v>
      </c>
      <c r="I316" s="736"/>
      <c r="J316" s="736"/>
      <c r="K316" s="737"/>
      <c r="L316" s="306"/>
      <c r="M316" s="317"/>
      <c r="N316" s="317"/>
      <c r="O316" s="317"/>
      <c r="P316" s="317"/>
    </row>
    <row r="317" spans="2:16" s="339" customFormat="1" ht="12.75" customHeight="1" x14ac:dyDescent="0.25">
      <c r="B317" s="415"/>
      <c r="C317" s="481"/>
      <c r="D317" s="587"/>
      <c r="E317" s="220"/>
      <c r="F317" s="216"/>
      <c r="G317" s="220"/>
      <c r="H317" s="545"/>
      <c r="I317" s="545"/>
      <c r="J317" s="545"/>
      <c r="K317" s="545"/>
      <c r="L317" s="216"/>
      <c r="M317" s="220"/>
      <c r="N317" s="220"/>
      <c r="O317" s="317"/>
      <c r="P317" s="220"/>
    </row>
    <row r="318" spans="2:16" ht="15" customHeight="1" x14ac:dyDescent="0.2">
      <c r="B318" s="734" t="s">
        <v>184</v>
      </c>
      <c r="C318" s="734"/>
      <c r="D318" s="734"/>
      <c r="E318" s="734"/>
      <c r="F318" s="734"/>
      <c r="G318" s="734"/>
      <c r="H318" s="734"/>
      <c r="I318" s="734"/>
      <c r="J318" s="734"/>
      <c r="K318" s="734"/>
      <c r="L318" s="734"/>
      <c r="M318" s="734"/>
      <c r="N318" s="734"/>
      <c r="O318" s="220"/>
    </row>
    <row r="319" spans="2:16" x14ac:dyDescent="0.2">
      <c r="B319" s="501" t="s">
        <v>68</v>
      </c>
      <c r="C319" s="452" t="s">
        <v>18</v>
      </c>
      <c r="D319" s="452" t="s">
        <v>19</v>
      </c>
      <c r="E319" s="452" t="s">
        <v>20</v>
      </c>
      <c r="F319" s="452" t="s">
        <v>21</v>
      </c>
      <c r="G319" s="733" t="s">
        <v>23</v>
      </c>
      <c r="H319" s="733"/>
      <c r="I319" s="733"/>
      <c r="J319" s="733"/>
      <c r="K319" s="452" t="s">
        <v>24</v>
      </c>
      <c r="L319" s="452" t="s">
        <v>25</v>
      </c>
      <c r="M319" s="453" t="s">
        <v>27</v>
      </c>
      <c r="N319" s="454"/>
      <c r="P319" s="220"/>
    </row>
    <row r="320" spans="2:16" s="221" customFormat="1" x14ac:dyDescent="0.2">
      <c r="B320" s="259">
        <v>1</v>
      </c>
      <c r="C320" s="284" t="s">
        <v>28</v>
      </c>
      <c r="D320" s="228" t="s">
        <v>29</v>
      </c>
      <c r="E320" s="228" t="s">
        <v>30</v>
      </c>
      <c r="F320" s="254">
        <v>45437</v>
      </c>
      <c r="G320" s="706" t="s">
        <v>31</v>
      </c>
      <c r="H320" s="715"/>
      <c r="I320" s="715"/>
      <c r="J320" s="715"/>
      <c r="K320" s="254">
        <v>45437</v>
      </c>
      <c r="L320" s="317" t="s">
        <v>32</v>
      </c>
      <c r="M320" s="253"/>
      <c r="N320" s="280"/>
      <c r="O320" s="220"/>
    </row>
    <row r="321" spans="2:15" s="221" customFormat="1" x14ac:dyDescent="0.2">
      <c r="B321" s="259">
        <v>2</v>
      </c>
      <c r="C321" s="285" t="s">
        <v>33</v>
      </c>
      <c r="D321" s="228" t="s">
        <v>34</v>
      </c>
      <c r="E321" s="228" t="s">
        <v>30</v>
      </c>
      <c r="F321" s="254">
        <v>45450</v>
      </c>
      <c r="G321" s="706" t="s">
        <v>31</v>
      </c>
      <c r="H321" s="715"/>
      <c r="I321" s="715"/>
      <c r="J321" s="715"/>
      <c r="K321" s="254">
        <v>45450</v>
      </c>
      <c r="L321" s="317" t="s">
        <v>32</v>
      </c>
      <c r="M321" s="253"/>
      <c r="N321" s="280"/>
      <c r="O321" s="222"/>
    </row>
    <row r="322" spans="2:15" s="221" customFormat="1" x14ac:dyDescent="0.2">
      <c r="B322" s="259">
        <v>3</v>
      </c>
      <c r="C322" s="284" t="s">
        <v>35</v>
      </c>
      <c r="D322" s="228" t="s">
        <v>29</v>
      </c>
      <c r="E322" s="228" t="s">
        <v>30</v>
      </c>
      <c r="F322" s="254">
        <v>45454</v>
      </c>
      <c r="G322" s="706" t="s">
        <v>31</v>
      </c>
      <c r="H322" s="715"/>
      <c r="I322" s="715"/>
      <c r="J322" s="715"/>
      <c r="K322" s="254">
        <v>45454</v>
      </c>
      <c r="L322" s="317" t="s">
        <v>32</v>
      </c>
      <c r="M322" s="219"/>
      <c r="N322" s="280"/>
      <c r="O322" s="222"/>
    </row>
    <row r="323" spans="2:15" s="221" customFormat="1" x14ac:dyDescent="0.2">
      <c r="B323" s="259">
        <v>4</v>
      </c>
      <c r="C323" s="285" t="s">
        <v>36</v>
      </c>
      <c r="D323" s="228" t="s">
        <v>29</v>
      </c>
      <c r="E323" s="228" t="s">
        <v>30</v>
      </c>
      <c r="F323" s="254">
        <v>45466</v>
      </c>
      <c r="G323" s="706" t="s">
        <v>31</v>
      </c>
      <c r="H323" s="715"/>
      <c r="I323" s="715"/>
      <c r="J323" s="715"/>
      <c r="K323" s="254">
        <v>45466</v>
      </c>
      <c r="L323" s="317" t="s">
        <v>32</v>
      </c>
      <c r="M323" s="219"/>
      <c r="N323" s="280"/>
      <c r="O323" s="222"/>
    </row>
    <row r="324" spans="2:15" s="221" customFormat="1" x14ac:dyDescent="0.2">
      <c r="B324" s="259">
        <v>5</v>
      </c>
      <c r="C324" s="285" t="s">
        <v>37</v>
      </c>
      <c r="D324" s="228" t="s">
        <v>29</v>
      </c>
      <c r="E324" s="228" t="s">
        <v>30</v>
      </c>
      <c r="F324" s="254">
        <v>45467</v>
      </c>
      <c r="G324" s="706" t="s">
        <v>31</v>
      </c>
      <c r="H324" s="715"/>
      <c r="I324" s="715"/>
      <c r="J324" s="715"/>
      <c r="K324" s="254">
        <v>45467</v>
      </c>
      <c r="L324" s="317" t="s">
        <v>32</v>
      </c>
      <c r="M324" s="219"/>
      <c r="N324" s="219"/>
      <c r="O324" s="222"/>
    </row>
    <row r="325" spans="2:15" s="221" customFormat="1" x14ac:dyDescent="0.2">
      <c r="B325" s="259">
        <v>6</v>
      </c>
      <c r="C325" s="285" t="s">
        <v>46</v>
      </c>
      <c r="D325" s="228" t="s">
        <v>47</v>
      </c>
      <c r="E325" s="228" t="s">
        <v>30</v>
      </c>
      <c r="F325" s="254">
        <v>45479</v>
      </c>
      <c r="G325" s="706" t="s">
        <v>31</v>
      </c>
      <c r="H325" s="715"/>
      <c r="I325" s="715"/>
      <c r="J325" s="715"/>
      <c r="K325" s="254">
        <v>45479</v>
      </c>
      <c r="L325" s="317" t="s">
        <v>48</v>
      </c>
      <c r="M325" s="219"/>
      <c r="N325" s="219"/>
      <c r="O325" s="222"/>
    </row>
    <row r="326" spans="2:15" s="221" customFormat="1" x14ac:dyDescent="0.2">
      <c r="B326" s="259">
        <v>7</v>
      </c>
      <c r="C326" s="284" t="s">
        <v>41</v>
      </c>
      <c r="D326" s="317" t="s">
        <v>29</v>
      </c>
      <c r="E326" s="317" t="s">
        <v>30</v>
      </c>
      <c r="F326" s="254">
        <v>45479</v>
      </c>
      <c r="G326" s="706" t="s">
        <v>31</v>
      </c>
      <c r="H326" s="715"/>
      <c r="I326" s="715"/>
      <c r="J326" s="715"/>
      <c r="K326" s="254">
        <v>45479</v>
      </c>
      <c r="L326" s="317" t="s">
        <v>32</v>
      </c>
      <c r="M326" s="219"/>
      <c r="N326" s="219"/>
      <c r="O326" s="222"/>
    </row>
    <row r="327" spans="2:15" s="221" customFormat="1" x14ac:dyDescent="0.2">
      <c r="B327" s="259">
        <v>8</v>
      </c>
      <c r="C327" s="284" t="s">
        <v>42</v>
      </c>
      <c r="D327" s="317" t="s">
        <v>43</v>
      </c>
      <c r="E327" s="317" t="s">
        <v>30</v>
      </c>
      <c r="F327" s="254">
        <v>45479</v>
      </c>
      <c r="G327" s="706" t="s">
        <v>31</v>
      </c>
      <c r="H327" s="715"/>
      <c r="I327" s="715"/>
      <c r="J327" s="715"/>
      <c r="K327" s="254">
        <v>45479</v>
      </c>
      <c r="L327" s="317" t="s">
        <v>32</v>
      </c>
      <c r="M327" s="219"/>
      <c r="N327" s="219"/>
      <c r="O327" s="222"/>
    </row>
    <row r="328" spans="2:15" s="221" customFormat="1" x14ac:dyDescent="0.2">
      <c r="B328" s="259">
        <v>9</v>
      </c>
      <c r="C328" s="260" t="s">
        <v>55</v>
      </c>
      <c r="D328" s="317" t="s">
        <v>34</v>
      </c>
      <c r="E328" s="317" t="s">
        <v>30</v>
      </c>
      <c r="F328" s="254">
        <v>45485</v>
      </c>
      <c r="G328" s="706" t="s">
        <v>31</v>
      </c>
      <c r="H328" s="715"/>
      <c r="I328" s="715"/>
      <c r="J328" s="715"/>
      <c r="K328" s="254">
        <v>45485</v>
      </c>
      <c r="L328" s="317" t="s">
        <v>497</v>
      </c>
      <c r="M328" s="219"/>
      <c r="N328" s="219"/>
      <c r="O328" s="222"/>
    </row>
    <row r="329" spans="2:15" s="221" customFormat="1" x14ac:dyDescent="0.2">
      <c r="B329" s="259">
        <v>10</v>
      </c>
      <c r="C329" s="260" t="s">
        <v>51</v>
      </c>
      <c r="D329" s="317" t="s">
        <v>34</v>
      </c>
      <c r="E329" s="317" t="s">
        <v>30</v>
      </c>
      <c r="F329" s="254">
        <v>45485</v>
      </c>
      <c r="G329" s="706" t="s">
        <v>31</v>
      </c>
      <c r="H329" s="715"/>
      <c r="I329" s="715"/>
      <c r="J329" s="715"/>
      <c r="K329" s="254">
        <v>45485</v>
      </c>
      <c r="L329" s="317" t="s">
        <v>497</v>
      </c>
      <c r="M329" s="219"/>
      <c r="N329" s="219"/>
      <c r="O329" s="222"/>
    </row>
    <row r="330" spans="2:15" s="221" customFormat="1" x14ac:dyDescent="0.2">
      <c r="B330" s="259">
        <v>11</v>
      </c>
      <c r="C330" s="260" t="s">
        <v>54</v>
      </c>
      <c r="D330" s="317" t="s">
        <v>34</v>
      </c>
      <c r="E330" s="317" t="s">
        <v>30</v>
      </c>
      <c r="F330" s="254">
        <v>45485</v>
      </c>
      <c r="G330" s="706" t="s">
        <v>31</v>
      </c>
      <c r="H330" s="715"/>
      <c r="I330" s="715"/>
      <c r="J330" s="715"/>
      <c r="K330" s="254">
        <v>45485</v>
      </c>
      <c r="L330" s="317" t="s">
        <v>497</v>
      </c>
      <c r="M330" s="219"/>
      <c r="N330" s="219"/>
      <c r="O330" s="222"/>
    </row>
    <row r="331" spans="2:15" s="221" customFormat="1" x14ac:dyDescent="0.2">
      <c r="B331" s="259">
        <v>12</v>
      </c>
      <c r="C331" s="285" t="s">
        <v>65</v>
      </c>
      <c r="D331" s="317" t="s">
        <v>43</v>
      </c>
      <c r="E331" s="317" t="s">
        <v>30</v>
      </c>
      <c r="F331" s="254">
        <v>45485</v>
      </c>
      <c r="G331" s="706" t="s">
        <v>31</v>
      </c>
      <c r="H331" s="715"/>
      <c r="I331" s="715"/>
      <c r="J331" s="715"/>
      <c r="K331" s="254">
        <v>45485</v>
      </c>
      <c r="L331" s="317" t="s">
        <v>124</v>
      </c>
      <c r="M331" s="219"/>
      <c r="N331" s="219"/>
      <c r="O331" s="222"/>
    </row>
    <row r="332" spans="2:15" s="221" customFormat="1" x14ac:dyDescent="0.2">
      <c r="B332" s="259">
        <v>13</v>
      </c>
      <c r="C332" s="285" t="s">
        <v>39</v>
      </c>
      <c r="D332" s="317" t="s">
        <v>29</v>
      </c>
      <c r="E332" s="317" t="s">
        <v>30</v>
      </c>
      <c r="F332" s="254">
        <v>45485</v>
      </c>
      <c r="G332" s="706" t="s">
        <v>31</v>
      </c>
      <c r="H332" s="715"/>
      <c r="I332" s="715"/>
      <c r="J332" s="715"/>
      <c r="K332" s="254">
        <v>45485</v>
      </c>
      <c r="L332" s="317" t="s">
        <v>124</v>
      </c>
      <c r="M332" s="219"/>
      <c r="N332" s="219"/>
      <c r="O332" s="222"/>
    </row>
    <row r="333" spans="2:15" s="221" customFormat="1" x14ac:dyDescent="0.2">
      <c r="B333" s="259">
        <v>14</v>
      </c>
      <c r="C333" s="284" t="s">
        <v>50</v>
      </c>
      <c r="D333" s="317" t="s">
        <v>34</v>
      </c>
      <c r="E333" s="317" t="s">
        <v>30</v>
      </c>
      <c r="F333" s="254">
        <v>45486</v>
      </c>
      <c r="G333" s="706" t="s">
        <v>31</v>
      </c>
      <c r="H333" s="715"/>
      <c r="I333" s="715"/>
      <c r="J333" s="715"/>
      <c r="K333" s="254">
        <v>45486</v>
      </c>
      <c r="L333" s="317" t="s">
        <v>124</v>
      </c>
      <c r="M333" s="219"/>
      <c r="N333" s="219"/>
      <c r="O333" s="222"/>
    </row>
    <row r="334" spans="2:15" s="221" customFormat="1" x14ac:dyDescent="0.2">
      <c r="B334" s="259">
        <v>15</v>
      </c>
      <c r="C334" s="284" t="s">
        <v>59</v>
      </c>
      <c r="D334" s="317" t="s">
        <v>29</v>
      </c>
      <c r="E334" s="317" t="s">
        <v>30</v>
      </c>
      <c r="F334" s="254">
        <v>45486</v>
      </c>
      <c r="G334" s="706" t="s">
        <v>31</v>
      </c>
      <c r="H334" s="715"/>
      <c r="I334" s="715"/>
      <c r="J334" s="715"/>
      <c r="K334" s="254">
        <v>45486</v>
      </c>
      <c r="L334" s="317" t="s">
        <v>124</v>
      </c>
      <c r="M334" s="219"/>
      <c r="N334" s="219"/>
      <c r="O334" s="222"/>
    </row>
    <row r="335" spans="2:15" s="221" customFormat="1" x14ac:dyDescent="0.2">
      <c r="B335" s="259">
        <v>16</v>
      </c>
      <c r="C335" s="284" t="s">
        <v>56</v>
      </c>
      <c r="D335" s="317" t="s">
        <v>29</v>
      </c>
      <c r="E335" s="317" t="s">
        <v>30</v>
      </c>
      <c r="F335" s="254">
        <v>45486</v>
      </c>
      <c r="G335" s="706" t="s">
        <v>31</v>
      </c>
      <c r="H335" s="715"/>
      <c r="I335" s="715"/>
      <c r="J335" s="715"/>
      <c r="K335" s="254">
        <v>45486</v>
      </c>
      <c r="L335" s="317" t="s">
        <v>32</v>
      </c>
      <c r="M335" s="219"/>
      <c r="N335" s="219"/>
      <c r="O335" s="222"/>
    </row>
    <row r="336" spans="2:15" s="221" customFormat="1" x14ac:dyDescent="0.2">
      <c r="B336" s="259">
        <v>17</v>
      </c>
      <c r="C336" s="284" t="s">
        <v>66</v>
      </c>
      <c r="D336" s="317" t="s">
        <v>29</v>
      </c>
      <c r="E336" s="317" t="s">
        <v>30</v>
      </c>
      <c r="F336" s="254">
        <v>45486</v>
      </c>
      <c r="G336" s="706" t="s">
        <v>31</v>
      </c>
      <c r="H336" s="715"/>
      <c r="I336" s="715"/>
      <c r="J336" s="715"/>
      <c r="K336" s="254">
        <v>45486</v>
      </c>
      <c r="L336" s="317" t="s">
        <v>32</v>
      </c>
      <c r="M336" s="219"/>
      <c r="N336" s="219"/>
      <c r="O336" s="222"/>
    </row>
    <row r="337" spans="2:15" s="221" customFormat="1" x14ac:dyDescent="0.2">
      <c r="B337" s="259">
        <v>18</v>
      </c>
      <c r="C337" s="284" t="s">
        <v>123</v>
      </c>
      <c r="D337" s="317" t="s">
        <v>29</v>
      </c>
      <c r="E337" s="317" t="s">
        <v>30</v>
      </c>
      <c r="F337" s="254">
        <v>45501</v>
      </c>
      <c r="G337" s="706" t="s">
        <v>31</v>
      </c>
      <c r="H337" s="715"/>
      <c r="I337" s="715"/>
      <c r="J337" s="715"/>
      <c r="K337" s="254">
        <v>45501</v>
      </c>
      <c r="L337" s="317" t="s">
        <v>124</v>
      </c>
      <c r="M337" s="219"/>
      <c r="N337" s="219"/>
      <c r="O337" s="222"/>
    </row>
    <row r="338" spans="2:15" s="221" customFormat="1" x14ac:dyDescent="0.2">
      <c r="B338" s="259">
        <v>19</v>
      </c>
      <c r="C338" s="284" t="s">
        <v>116</v>
      </c>
      <c r="D338" s="317" t="s">
        <v>29</v>
      </c>
      <c r="E338" s="317" t="s">
        <v>30</v>
      </c>
      <c r="F338" s="254">
        <v>45501</v>
      </c>
      <c r="G338" s="706" t="s">
        <v>31</v>
      </c>
      <c r="H338" s="715"/>
      <c r="I338" s="715"/>
      <c r="J338" s="715"/>
      <c r="K338" s="254">
        <v>45501</v>
      </c>
      <c r="L338" s="317" t="s">
        <v>32</v>
      </c>
      <c r="M338" s="219"/>
      <c r="N338" s="219"/>
      <c r="O338" s="222"/>
    </row>
    <row r="339" spans="2:15" s="221" customFormat="1" x14ac:dyDescent="0.2">
      <c r="B339" s="259">
        <v>20</v>
      </c>
      <c r="C339" s="284" t="s">
        <v>118</v>
      </c>
      <c r="D339" s="317" t="s">
        <v>159</v>
      </c>
      <c r="E339" s="317" t="s">
        <v>30</v>
      </c>
      <c r="F339" s="254">
        <v>45501</v>
      </c>
      <c r="G339" s="706" t="s">
        <v>31</v>
      </c>
      <c r="H339" s="715"/>
      <c r="I339" s="715"/>
      <c r="J339" s="715"/>
      <c r="K339" s="254">
        <v>45501</v>
      </c>
      <c r="L339" s="317" t="s">
        <v>32</v>
      </c>
      <c r="M339" s="219"/>
      <c r="N339" s="219"/>
      <c r="O339" s="222"/>
    </row>
    <row r="340" spans="2:15" s="221" customFormat="1" x14ac:dyDescent="0.2">
      <c r="B340" s="259">
        <v>21</v>
      </c>
      <c r="C340" s="285" t="s">
        <v>114</v>
      </c>
      <c r="D340" s="317" t="s">
        <v>29</v>
      </c>
      <c r="E340" s="317" t="s">
        <v>30</v>
      </c>
      <c r="F340" s="254">
        <v>45503</v>
      </c>
      <c r="G340" s="706" t="s">
        <v>31</v>
      </c>
      <c r="H340" s="715"/>
      <c r="I340" s="715"/>
      <c r="J340" s="715"/>
      <c r="K340" s="254">
        <v>45503</v>
      </c>
      <c r="L340" s="317" t="s">
        <v>124</v>
      </c>
      <c r="M340" s="219"/>
      <c r="N340" s="219"/>
      <c r="O340" s="222"/>
    </row>
    <row r="341" spans="2:15" s="221" customFormat="1" x14ac:dyDescent="0.2">
      <c r="B341" s="259">
        <v>22</v>
      </c>
      <c r="C341" s="284" t="s">
        <v>45</v>
      </c>
      <c r="D341" s="317" t="s">
        <v>29</v>
      </c>
      <c r="E341" s="317" t="s">
        <v>30</v>
      </c>
      <c r="F341" s="254">
        <v>45503</v>
      </c>
      <c r="G341" s="706" t="s">
        <v>31</v>
      </c>
      <c r="H341" s="715"/>
      <c r="I341" s="715"/>
      <c r="J341" s="715"/>
      <c r="K341" s="254">
        <v>45503</v>
      </c>
      <c r="L341" s="317" t="s">
        <v>32</v>
      </c>
      <c r="M341" s="219"/>
      <c r="N341" s="219"/>
      <c r="O341" s="222"/>
    </row>
    <row r="342" spans="2:15" s="221" customFormat="1" x14ac:dyDescent="0.2">
      <c r="B342" s="259">
        <v>23</v>
      </c>
      <c r="C342" s="284" t="s">
        <v>38</v>
      </c>
      <c r="D342" s="317" t="s">
        <v>29</v>
      </c>
      <c r="E342" s="317" t="s">
        <v>30</v>
      </c>
      <c r="F342" s="254">
        <v>45504</v>
      </c>
      <c r="G342" s="706" t="s">
        <v>31</v>
      </c>
      <c r="H342" s="715"/>
      <c r="I342" s="715"/>
      <c r="J342" s="715"/>
      <c r="K342" s="254">
        <v>45504</v>
      </c>
      <c r="L342" s="317" t="s">
        <v>32</v>
      </c>
      <c r="M342" s="219"/>
      <c r="N342" s="219"/>
      <c r="O342" s="222"/>
    </row>
    <row r="343" spans="2:15" s="221" customFormat="1" x14ac:dyDescent="0.2">
      <c r="B343" s="259">
        <v>24</v>
      </c>
      <c r="C343" s="284" t="s">
        <v>53</v>
      </c>
      <c r="D343" s="317" t="s">
        <v>29</v>
      </c>
      <c r="E343" s="317" t="s">
        <v>30</v>
      </c>
      <c r="F343" s="254">
        <v>45504</v>
      </c>
      <c r="G343" s="706" t="s">
        <v>31</v>
      </c>
      <c r="H343" s="715"/>
      <c r="I343" s="715"/>
      <c r="J343" s="715"/>
      <c r="K343" s="254">
        <v>45504</v>
      </c>
      <c r="L343" s="317" t="s">
        <v>124</v>
      </c>
      <c r="M343" s="219"/>
      <c r="N343" s="219"/>
      <c r="O343" s="222"/>
    </row>
    <row r="344" spans="2:15" s="221" customFormat="1" x14ac:dyDescent="0.2">
      <c r="B344" s="259">
        <v>25</v>
      </c>
      <c r="C344" s="284" t="s">
        <v>44</v>
      </c>
      <c r="D344" s="317" t="s">
        <v>29</v>
      </c>
      <c r="E344" s="317" t="s">
        <v>30</v>
      </c>
      <c r="F344" s="254">
        <v>45504</v>
      </c>
      <c r="G344" s="706" t="s">
        <v>31</v>
      </c>
      <c r="H344" s="715"/>
      <c r="I344" s="715"/>
      <c r="J344" s="715"/>
      <c r="K344" s="254">
        <v>45504</v>
      </c>
      <c r="L344" s="317" t="s">
        <v>124</v>
      </c>
      <c r="M344" s="219"/>
      <c r="N344" s="219"/>
      <c r="O344" s="222"/>
    </row>
    <row r="345" spans="2:15" s="221" customFormat="1" ht="14.25" customHeight="1" x14ac:dyDescent="0.2">
      <c r="B345" s="259">
        <v>26</v>
      </c>
      <c r="C345" s="284" t="s">
        <v>117</v>
      </c>
      <c r="D345" s="317" t="s">
        <v>29</v>
      </c>
      <c r="E345" s="317" t="s">
        <v>30</v>
      </c>
      <c r="F345" s="254">
        <v>45504</v>
      </c>
      <c r="G345" s="706" t="s">
        <v>31</v>
      </c>
      <c r="H345" s="715"/>
      <c r="I345" s="715"/>
      <c r="J345" s="715"/>
      <c r="K345" s="254">
        <v>45504</v>
      </c>
      <c r="L345" s="317" t="s">
        <v>32</v>
      </c>
      <c r="M345" s="219"/>
      <c r="N345" s="219"/>
      <c r="O345" s="222"/>
    </row>
    <row r="346" spans="2:15" s="221" customFormat="1" x14ac:dyDescent="0.2">
      <c r="B346" s="259">
        <v>27</v>
      </c>
      <c r="C346" s="284" t="s">
        <v>62</v>
      </c>
      <c r="D346" s="317" t="s">
        <v>29</v>
      </c>
      <c r="E346" s="317" t="s">
        <v>30</v>
      </c>
      <c r="F346" s="254">
        <v>45505</v>
      </c>
      <c r="G346" s="706" t="s">
        <v>31</v>
      </c>
      <c r="H346" s="715"/>
      <c r="I346" s="715"/>
      <c r="J346" s="715"/>
      <c r="K346" s="254">
        <v>45505</v>
      </c>
      <c r="L346" s="317" t="s">
        <v>32</v>
      </c>
      <c r="M346" s="219"/>
      <c r="N346" s="219"/>
      <c r="O346" s="222"/>
    </row>
    <row r="347" spans="2:15" s="221" customFormat="1" x14ac:dyDescent="0.2">
      <c r="B347" s="259">
        <v>28</v>
      </c>
      <c r="C347" s="260" t="s">
        <v>126</v>
      </c>
      <c r="D347" s="317" t="s">
        <v>29</v>
      </c>
      <c r="E347" s="317" t="s">
        <v>30</v>
      </c>
      <c r="F347" s="286">
        <v>45507</v>
      </c>
      <c r="G347" s="702" t="s">
        <v>31</v>
      </c>
      <c r="H347" s="702"/>
      <c r="I347" s="702"/>
      <c r="J347" s="702"/>
      <c r="K347" s="257">
        <v>45507</v>
      </c>
      <c r="L347" s="317" t="s">
        <v>179</v>
      </c>
      <c r="M347" s="219"/>
      <c r="N347" s="219"/>
      <c r="O347" s="222"/>
    </row>
    <row r="348" spans="2:15" s="221" customFormat="1" x14ac:dyDescent="0.2">
      <c r="B348" s="259">
        <v>29</v>
      </c>
      <c r="C348" s="284" t="s">
        <v>119</v>
      </c>
      <c r="D348" s="317" t="s">
        <v>29</v>
      </c>
      <c r="E348" s="317" t="s">
        <v>30</v>
      </c>
      <c r="F348" s="254">
        <v>45513</v>
      </c>
      <c r="G348" s="706" t="s">
        <v>31</v>
      </c>
      <c r="H348" s="715"/>
      <c r="I348" s="715"/>
      <c r="J348" s="715"/>
      <c r="K348" s="254">
        <v>45513</v>
      </c>
      <c r="L348" s="317" t="s">
        <v>32</v>
      </c>
      <c r="M348" s="219"/>
      <c r="N348" s="219"/>
      <c r="O348" s="222"/>
    </row>
    <row r="349" spans="2:15" s="221" customFormat="1" x14ac:dyDescent="0.2">
      <c r="B349" s="259">
        <v>30</v>
      </c>
      <c r="C349" s="284" t="s">
        <v>58</v>
      </c>
      <c r="D349" s="317" t="s">
        <v>29</v>
      </c>
      <c r="E349" s="317" t="s">
        <v>30</v>
      </c>
      <c r="F349" s="254">
        <v>45514</v>
      </c>
      <c r="G349" s="706" t="s">
        <v>31</v>
      </c>
      <c r="H349" s="715"/>
      <c r="I349" s="715"/>
      <c r="J349" s="715"/>
      <c r="K349" s="254">
        <v>45514</v>
      </c>
      <c r="L349" s="317" t="s">
        <v>175</v>
      </c>
      <c r="M349" s="219"/>
      <c r="N349" s="219"/>
      <c r="O349" s="222"/>
    </row>
    <row r="350" spans="2:15" s="221" customFormat="1" x14ac:dyDescent="0.2">
      <c r="B350" s="259">
        <v>31</v>
      </c>
      <c r="C350" s="260" t="s">
        <v>60</v>
      </c>
      <c r="D350" s="317" t="s">
        <v>43</v>
      </c>
      <c r="E350" s="317" t="s">
        <v>30</v>
      </c>
      <c r="F350" s="257">
        <v>45518</v>
      </c>
      <c r="G350" s="706" t="s">
        <v>31</v>
      </c>
      <c r="H350" s="715"/>
      <c r="I350" s="715"/>
      <c r="J350" s="715"/>
      <c r="K350" s="254">
        <v>45518</v>
      </c>
      <c r="L350" s="317" t="s">
        <v>179</v>
      </c>
      <c r="M350" s="219"/>
      <c r="N350" s="219"/>
      <c r="O350" s="222"/>
    </row>
    <row r="351" spans="2:15" s="221" customFormat="1" x14ac:dyDescent="0.2">
      <c r="B351" s="259">
        <v>32</v>
      </c>
      <c r="C351" s="260" t="s">
        <v>115</v>
      </c>
      <c r="D351" s="317" t="s">
        <v>29</v>
      </c>
      <c r="E351" s="317" t="s">
        <v>30</v>
      </c>
      <c r="F351" s="257">
        <v>45518</v>
      </c>
      <c r="G351" s="706" t="s">
        <v>31</v>
      </c>
      <c r="H351" s="715"/>
      <c r="I351" s="715"/>
      <c r="J351" s="715"/>
      <c r="K351" s="254">
        <v>45518</v>
      </c>
      <c r="L351" s="317" t="s">
        <v>179</v>
      </c>
      <c r="M351" s="219"/>
      <c r="N351" s="219"/>
      <c r="O351" s="222"/>
    </row>
    <row r="352" spans="2:15" s="221" customFormat="1" x14ac:dyDescent="0.2">
      <c r="B352" s="259">
        <v>33</v>
      </c>
      <c r="C352" s="260" t="s">
        <v>180</v>
      </c>
      <c r="D352" s="317" t="s">
        <v>29</v>
      </c>
      <c r="E352" s="317" t="s">
        <v>30</v>
      </c>
      <c r="F352" s="257">
        <v>45523</v>
      </c>
      <c r="G352" s="706" t="s">
        <v>31</v>
      </c>
      <c r="H352" s="715"/>
      <c r="I352" s="715"/>
      <c r="J352" s="715"/>
      <c r="K352" s="254">
        <v>45523</v>
      </c>
      <c r="L352" s="317" t="s">
        <v>32</v>
      </c>
      <c r="M352" s="219"/>
      <c r="N352" s="219"/>
      <c r="O352" s="222"/>
    </row>
    <row r="353" spans="2:15" s="221" customFormat="1" x14ac:dyDescent="0.2">
      <c r="B353" s="259">
        <v>34</v>
      </c>
      <c r="C353" s="260" t="s">
        <v>57</v>
      </c>
      <c r="D353" s="317" t="s">
        <v>29</v>
      </c>
      <c r="E353" s="317" t="s">
        <v>30</v>
      </c>
      <c r="F353" s="257">
        <v>45523</v>
      </c>
      <c r="G353" s="706" t="s">
        <v>31</v>
      </c>
      <c r="H353" s="715"/>
      <c r="I353" s="715"/>
      <c r="J353" s="715"/>
      <c r="K353" s="254">
        <v>45523</v>
      </c>
      <c r="L353" s="317" t="s">
        <v>175</v>
      </c>
      <c r="M353" s="219"/>
      <c r="N353" s="219"/>
      <c r="O353" s="222"/>
    </row>
    <row r="354" spans="2:15" s="221" customFormat="1" x14ac:dyDescent="0.2">
      <c r="B354" s="259">
        <v>35</v>
      </c>
      <c r="C354" s="284" t="s">
        <v>138</v>
      </c>
      <c r="D354" s="317" t="s">
        <v>29</v>
      </c>
      <c r="E354" s="317" t="s">
        <v>30</v>
      </c>
      <c r="F354" s="254">
        <v>45529</v>
      </c>
      <c r="G354" s="706" t="s">
        <v>31</v>
      </c>
      <c r="H354" s="715"/>
      <c r="I354" s="715"/>
      <c r="J354" s="715"/>
      <c r="K354" s="254">
        <v>45529</v>
      </c>
      <c r="L354" s="317" t="s">
        <v>124</v>
      </c>
      <c r="M354" s="219"/>
      <c r="N354" s="219"/>
      <c r="O354" s="222"/>
    </row>
    <row r="355" spans="2:15" s="221" customFormat="1" x14ac:dyDescent="0.2">
      <c r="B355" s="259">
        <v>36</v>
      </c>
      <c r="C355" s="260" t="s">
        <v>112</v>
      </c>
      <c r="D355" s="317" t="s">
        <v>34</v>
      </c>
      <c r="E355" s="317" t="s">
        <v>30</v>
      </c>
      <c r="F355" s="257">
        <v>45531</v>
      </c>
      <c r="G355" s="706" t="s">
        <v>31</v>
      </c>
      <c r="H355" s="715"/>
      <c r="I355" s="715"/>
      <c r="J355" s="715"/>
      <c r="K355" s="257">
        <v>45531</v>
      </c>
      <c r="L355" s="317" t="s">
        <v>61</v>
      </c>
      <c r="M355" s="219"/>
      <c r="N355" s="219"/>
      <c r="O355" s="222"/>
    </row>
    <row r="356" spans="2:15" s="221" customFormat="1" x14ac:dyDescent="0.2">
      <c r="B356" s="259">
        <v>37</v>
      </c>
      <c r="C356" s="260" t="s">
        <v>125</v>
      </c>
      <c r="D356" s="317" t="s">
        <v>34</v>
      </c>
      <c r="E356" s="317" t="s">
        <v>30</v>
      </c>
      <c r="F356" s="286">
        <v>45531</v>
      </c>
      <c r="G356" s="706" t="s">
        <v>31</v>
      </c>
      <c r="H356" s="715"/>
      <c r="I356" s="715"/>
      <c r="J356" s="715"/>
      <c r="K356" s="286">
        <v>45531</v>
      </c>
      <c r="L356" s="317" t="s">
        <v>61</v>
      </c>
      <c r="M356" s="219"/>
      <c r="N356" s="219"/>
      <c r="O356" s="222"/>
    </row>
    <row r="357" spans="2:15" s="221" customFormat="1" x14ac:dyDescent="0.2">
      <c r="B357" s="259">
        <v>38</v>
      </c>
      <c r="C357" s="260" t="s">
        <v>178</v>
      </c>
      <c r="D357" s="323" t="s">
        <v>131</v>
      </c>
      <c r="E357" s="323" t="s">
        <v>30</v>
      </c>
      <c r="F357" s="286">
        <v>45546</v>
      </c>
      <c r="G357" s="702" t="s">
        <v>31</v>
      </c>
      <c r="H357" s="716"/>
      <c r="I357" s="716"/>
      <c r="J357" s="716"/>
      <c r="K357" s="286">
        <v>45546</v>
      </c>
      <c r="L357" s="317" t="s">
        <v>61</v>
      </c>
      <c r="M357" s="219"/>
      <c r="N357" s="219"/>
      <c r="O357" s="222"/>
    </row>
    <row r="358" spans="2:15" s="221" customFormat="1" x14ac:dyDescent="0.2">
      <c r="B358" s="259">
        <v>39</v>
      </c>
      <c r="C358" s="260" t="s">
        <v>133</v>
      </c>
      <c r="D358" s="317" t="s">
        <v>29</v>
      </c>
      <c r="E358" s="317" t="s">
        <v>30</v>
      </c>
      <c r="F358" s="286">
        <v>45545</v>
      </c>
      <c r="G358" s="706" t="s">
        <v>31</v>
      </c>
      <c r="H358" s="715"/>
      <c r="I358" s="715"/>
      <c r="J358" s="715"/>
      <c r="K358" s="286">
        <v>45545</v>
      </c>
      <c r="L358" s="317" t="s">
        <v>124</v>
      </c>
      <c r="M358" s="219"/>
      <c r="N358" s="219"/>
      <c r="O358" s="222"/>
    </row>
    <row r="359" spans="2:15" s="221" customFormat="1" x14ac:dyDescent="0.2">
      <c r="B359" s="259">
        <v>40</v>
      </c>
      <c r="C359" s="260" t="s">
        <v>170</v>
      </c>
      <c r="D359" s="317" t="s">
        <v>29</v>
      </c>
      <c r="E359" s="317" t="s">
        <v>30</v>
      </c>
      <c r="F359" s="286">
        <v>45548</v>
      </c>
      <c r="G359" s="706" t="s">
        <v>31</v>
      </c>
      <c r="H359" s="715"/>
      <c r="I359" s="715"/>
      <c r="J359" s="715"/>
      <c r="K359" s="286">
        <v>45548</v>
      </c>
      <c r="L359" s="317" t="s">
        <v>32</v>
      </c>
      <c r="M359" s="219"/>
      <c r="N359" s="219"/>
      <c r="O359" s="222"/>
    </row>
    <row r="360" spans="2:15" s="221" customFormat="1" x14ac:dyDescent="0.2">
      <c r="B360" s="259">
        <v>41</v>
      </c>
      <c r="C360" s="260" t="s">
        <v>136</v>
      </c>
      <c r="D360" s="317" t="s">
        <v>29</v>
      </c>
      <c r="E360" s="317" t="s">
        <v>30</v>
      </c>
      <c r="F360" s="286">
        <v>45549</v>
      </c>
      <c r="G360" s="706" t="s">
        <v>31</v>
      </c>
      <c r="H360" s="715"/>
      <c r="I360" s="715"/>
      <c r="J360" s="715"/>
      <c r="K360" s="286">
        <v>45549</v>
      </c>
      <c r="L360" s="317" t="s">
        <v>32</v>
      </c>
      <c r="M360" s="219"/>
      <c r="N360" s="219"/>
      <c r="O360" s="222"/>
    </row>
    <row r="361" spans="2:15" s="221" customFormat="1" x14ac:dyDescent="0.2">
      <c r="B361" s="259">
        <v>42</v>
      </c>
      <c r="C361" s="284" t="s">
        <v>349</v>
      </c>
      <c r="D361" s="317" t="s">
        <v>352</v>
      </c>
      <c r="E361" s="317" t="s">
        <v>30</v>
      </c>
      <c r="F361" s="286">
        <v>45550</v>
      </c>
      <c r="G361" s="706" t="s">
        <v>31</v>
      </c>
      <c r="H361" s="715"/>
      <c r="I361" s="715"/>
      <c r="J361" s="715"/>
      <c r="K361" s="286">
        <v>45550</v>
      </c>
      <c r="L361" s="317" t="s">
        <v>32</v>
      </c>
      <c r="M361" s="219"/>
      <c r="N361" s="219"/>
      <c r="O361" s="222"/>
    </row>
    <row r="362" spans="2:15" s="221" customFormat="1" x14ac:dyDescent="0.2">
      <c r="B362" s="259">
        <v>43</v>
      </c>
      <c r="C362" s="260" t="s">
        <v>64</v>
      </c>
      <c r="D362" s="317" t="s">
        <v>29</v>
      </c>
      <c r="E362" s="317" t="s">
        <v>30</v>
      </c>
      <c r="F362" s="257">
        <v>45550</v>
      </c>
      <c r="G362" s="706" t="s">
        <v>31</v>
      </c>
      <c r="H362" s="715"/>
      <c r="I362" s="715"/>
      <c r="J362" s="715"/>
      <c r="K362" s="286">
        <v>45550</v>
      </c>
      <c r="L362" s="317" t="s">
        <v>61</v>
      </c>
      <c r="M362" s="219"/>
      <c r="N362" s="219"/>
      <c r="O362" s="222"/>
    </row>
    <row r="363" spans="2:15" s="221" customFormat="1" x14ac:dyDescent="0.2">
      <c r="B363" s="259">
        <v>44</v>
      </c>
      <c r="C363" s="260" t="s">
        <v>181</v>
      </c>
      <c r="D363" s="317" t="s">
        <v>167</v>
      </c>
      <c r="E363" s="317" t="s">
        <v>30</v>
      </c>
      <c r="F363" s="257">
        <v>45555</v>
      </c>
      <c r="G363" s="706" t="s">
        <v>31</v>
      </c>
      <c r="H363" s="715"/>
      <c r="I363" s="715"/>
      <c r="J363" s="715"/>
      <c r="K363" s="286">
        <v>45555</v>
      </c>
      <c r="L363" s="317" t="s">
        <v>32</v>
      </c>
      <c r="M363" s="219"/>
      <c r="N363" s="219"/>
      <c r="O363" s="222"/>
    </row>
    <row r="364" spans="2:15" s="221" customFormat="1" x14ac:dyDescent="0.2">
      <c r="B364" s="259">
        <v>45</v>
      </c>
      <c r="C364" s="260" t="s">
        <v>287</v>
      </c>
      <c r="D364" s="317" t="s">
        <v>29</v>
      </c>
      <c r="E364" s="317" t="s">
        <v>30</v>
      </c>
      <c r="F364" s="257">
        <v>45559</v>
      </c>
      <c r="G364" s="706" t="s">
        <v>31</v>
      </c>
      <c r="H364" s="715"/>
      <c r="I364" s="715"/>
      <c r="J364" s="715"/>
      <c r="K364" s="286">
        <v>45559</v>
      </c>
      <c r="L364" s="317" t="s">
        <v>61</v>
      </c>
      <c r="M364" s="219"/>
      <c r="N364" s="219"/>
      <c r="O364" s="222"/>
    </row>
    <row r="365" spans="2:15" s="221" customFormat="1" x14ac:dyDescent="0.2">
      <c r="B365" s="259">
        <v>46</v>
      </c>
      <c r="C365" s="260" t="s">
        <v>120</v>
      </c>
      <c r="D365" s="317" t="s">
        <v>29</v>
      </c>
      <c r="E365" s="317" t="s">
        <v>30</v>
      </c>
      <c r="F365" s="257">
        <v>45562</v>
      </c>
      <c r="G365" s="706" t="s">
        <v>31</v>
      </c>
      <c r="H365" s="715"/>
      <c r="I365" s="715"/>
      <c r="J365" s="715"/>
      <c r="K365" s="286">
        <v>45562</v>
      </c>
      <c r="L365" s="317" t="s">
        <v>32</v>
      </c>
      <c r="M365" s="219"/>
      <c r="N365" s="219"/>
      <c r="O365" s="222"/>
    </row>
    <row r="366" spans="2:15" s="221" customFormat="1" x14ac:dyDescent="0.2">
      <c r="B366" s="259">
        <v>47</v>
      </c>
      <c r="C366" s="260" t="s">
        <v>348</v>
      </c>
      <c r="D366" s="317" t="s">
        <v>29</v>
      </c>
      <c r="E366" s="317" t="s">
        <v>30</v>
      </c>
      <c r="F366" s="257">
        <v>45563</v>
      </c>
      <c r="G366" s="706" t="s">
        <v>31</v>
      </c>
      <c r="H366" s="715"/>
      <c r="I366" s="715"/>
      <c r="J366" s="715"/>
      <c r="K366" s="257">
        <v>45563</v>
      </c>
      <c r="L366" s="317" t="s">
        <v>32</v>
      </c>
      <c r="M366" s="219"/>
      <c r="N366" s="219"/>
      <c r="O366" s="222"/>
    </row>
    <row r="367" spans="2:15" s="221" customFormat="1" x14ac:dyDescent="0.2">
      <c r="B367" s="259">
        <v>48</v>
      </c>
      <c r="C367" s="260" t="s">
        <v>63</v>
      </c>
      <c r="D367" s="317" t="s">
        <v>43</v>
      </c>
      <c r="E367" s="317" t="s">
        <v>30</v>
      </c>
      <c r="F367" s="257">
        <v>45568</v>
      </c>
      <c r="G367" s="706" t="s">
        <v>31</v>
      </c>
      <c r="H367" s="715"/>
      <c r="I367" s="715"/>
      <c r="J367" s="715"/>
      <c r="K367" s="257">
        <v>45568</v>
      </c>
      <c r="L367" s="317" t="s">
        <v>124</v>
      </c>
      <c r="M367" s="219"/>
      <c r="N367" s="219"/>
      <c r="O367" s="222"/>
    </row>
    <row r="368" spans="2:15" s="221" customFormat="1" x14ac:dyDescent="0.2">
      <c r="B368" s="259">
        <v>49</v>
      </c>
      <c r="C368" s="260" t="s">
        <v>130</v>
      </c>
      <c r="D368" s="317" t="s">
        <v>131</v>
      </c>
      <c r="E368" s="317" t="s">
        <v>30</v>
      </c>
      <c r="F368" s="257">
        <v>45569</v>
      </c>
      <c r="G368" s="706" t="s">
        <v>31</v>
      </c>
      <c r="H368" s="715"/>
      <c r="I368" s="715"/>
      <c r="J368" s="715"/>
      <c r="K368" s="257">
        <v>45569</v>
      </c>
      <c r="L368" s="317" t="s">
        <v>32</v>
      </c>
      <c r="M368" s="219"/>
      <c r="N368" s="219"/>
      <c r="O368" s="222"/>
    </row>
    <row r="369" spans="2:15" s="221" customFormat="1" x14ac:dyDescent="0.2">
      <c r="B369" s="259">
        <v>50</v>
      </c>
      <c r="C369" s="287" t="s">
        <v>137</v>
      </c>
      <c r="D369" s="317" t="s">
        <v>131</v>
      </c>
      <c r="E369" s="317" t="s">
        <v>30</v>
      </c>
      <c r="F369" s="257">
        <v>45570</v>
      </c>
      <c r="G369" s="706" t="s">
        <v>31</v>
      </c>
      <c r="H369" s="715"/>
      <c r="I369" s="715"/>
      <c r="J369" s="715"/>
      <c r="K369" s="257">
        <v>45570</v>
      </c>
      <c r="L369" s="317" t="s">
        <v>32</v>
      </c>
      <c r="M369" s="219"/>
      <c r="N369" s="219"/>
      <c r="O369" s="222"/>
    </row>
    <row r="370" spans="2:15" s="221" customFormat="1" x14ac:dyDescent="0.2">
      <c r="B370" s="259">
        <v>51</v>
      </c>
      <c r="C370" s="260" t="s">
        <v>113</v>
      </c>
      <c r="D370" s="317" t="s">
        <v>29</v>
      </c>
      <c r="E370" s="317" t="s">
        <v>432</v>
      </c>
      <c r="F370" s="257">
        <v>45574</v>
      </c>
      <c r="G370" s="706" t="s">
        <v>31</v>
      </c>
      <c r="H370" s="715"/>
      <c r="I370" s="715"/>
      <c r="J370" s="715"/>
      <c r="K370" s="257">
        <v>45574</v>
      </c>
      <c r="L370" s="317" t="s">
        <v>124</v>
      </c>
      <c r="M370" s="219"/>
      <c r="N370" s="219"/>
      <c r="O370" s="222"/>
    </row>
    <row r="371" spans="2:15" s="221" customFormat="1" x14ac:dyDescent="0.2">
      <c r="B371" s="259">
        <v>52</v>
      </c>
      <c r="C371" s="284" t="s">
        <v>177</v>
      </c>
      <c r="D371" s="317" t="s">
        <v>450</v>
      </c>
      <c r="E371" s="317" t="s">
        <v>30</v>
      </c>
      <c r="F371" s="254">
        <v>45574</v>
      </c>
      <c r="G371" s="706" t="s">
        <v>31</v>
      </c>
      <c r="H371" s="715"/>
      <c r="I371" s="715"/>
      <c r="J371" s="715"/>
      <c r="K371" s="254">
        <v>45574</v>
      </c>
      <c r="L371" s="317" t="s">
        <v>457</v>
      </c>
      <c r="M371" s="219"/>
      <c r="N371" s="219"/>
      <c r="O371" s="222"/>
    </row>
    <row r="372" spans="2:15" s="221" customFormat="1" x14ac:dyDescent="0.2">
      <c r="B372" s="259">
        <v>53</v>
      </c>
      <c r="C372" s="284" t="s">
        <v>49</v>
      </c>
      <c r="D372" s="317" t="s">
        <v>167</v>
      </c>
      <c r="E372" s="317" t="s">
        <v>30</v>
      </c>
      <c r="F372" s="257">
        <v>45577</v>
      </c>
      <c r="G372" s="706" t="s">
        <v>31</v>
      </c>
      <c r="H372" s="715"/>
      <c r="I372" s="715"/>
      <c r="J372" s="715"/>
      <c r="K372" s="257">
        <v>45577</v>
      </c>
      <c r="L372" s="317" t="s">
        <v>32</v>
      </c>
      <c r="M372" s="219"/>
      <c r="N372" s="219"/>
      <c r="O372" s="222"/>
    </row>
    <row r="373" spans="2:15" s="221" customFormat="1" x14ac:dyDescent="0.2">
      <c r="B373" s="259">
        <v>54</v>
      </c>
      <c r="C373" s="284" t="s">
        <v>134</v>
      </c>
      <c r="D373" s="317" t="s">
        <v>450</v>
      </c>
      <c r="E373" s="317" t="s">
        <v>30</v>
      </c>
      <c r="F373" s="254">
        <v>45577</v>
      </c>
      <c r="G373" s="706" t="s">
        <v>31</v>
      </c>
      <c r="H373" s="715"/>
      <c r="I373" s="715"/>
      <c r="J373" s="715"/>
      <c r="K373" s="254">
        <v>45577</v>
      </c>
      <c r="L373" s="317" t="s">
        <v>32</v>
      </c>
      <c r="M373" s="219"/>
      <c r="N373" s="219"/>
      <c r="O373" s="222"/>
    </row>
    <row r="374" spans="2:15" s="221" customFormat="1" x14ac:dyDescent="0.2">
      <c r="B374" s="259">
        <v>55</v>
      </c>
      <c r="C374" s="284" t="s">
        <v>340</v>
      </c>
      <c r="D374" s="288" t="s">
        <v>452</v>
      </c>
      <c r="E374" s="317" t="s">
        <v>30</v>
      </c>
      <c r="F374" s="254">
        <v>45588</v>
      </c>
      <c r="G374" s="706" t="s">
        <v>31</v>
      </c>
      <c r="H374" s="715"/>
      <c r="I374" s="715"/>
      <c r="J374" s="715"/>
      <c r="K374" s="254">
        <v>45588</v>
      </c>
      <c r="L374" s="317" t="s">
        <v>32</v>
      </c>
      <c r="M374" s="219"/>
      <c r="N374" s="219"/>
      <c r="O374" s="222"/>
    </row>
    <row r="375" spans="2:15" s="221" customFormat="1" x14ac:dyDescent="0.2">
      <c r="B375" s="259">
        <v>56</v>
      </c>
      <c r="C375" s="284" t="s">
        <v>171</v>
      </c>
      <c r="D375" s="317" t="s">
        <v>29</v>
      </c>
      <c r="E375" s="317" t="s">
        <v>432</v>
      </c>
      <c r="F375" s="254">
        <v>45588</v>
      </c>
      <c r="G375" s="706" t="s">
        <v>31</v>
      </c>
      <c r="H375" s="715"/>
      <c r="I375" s="715"/>
      <c r="J375" s="715"/>
      <c r="K375" s="254">
        <v>45588</v>
      </c>
      <c r="L375" s="317" t="s">
        <v>457</v>
      </c>
      <c r="M375" s="259"/>
      <c r="N375" s="219"/>
      <c r="O375" s="222"/>
    </row>
    <row r="376" spans="2:15" s="221" customFormat="1" x14ac:dyDescent="0.2">
      <c r="B376" s="259">
        <v>57</v>
      </c>
      <c r="C376" s="284" t="s">
        <v>359</v>
      </c>
      <c r="D376" s="317" t="s">
        <v>34</v>
      </c>
      <c r="E376" s="317" t="s">
        <v>30</v>
      </c>
      <c r="F376" s="254">
        <v>45589</v>
      </c>
      <c r="G376" s="706" t="s">
        <v>31</v>
      </c>
      <c r="H376" s="715"/>
      <c r="I376" s="715"/>
      <c r="J376" s="715"/>
      <c r="K376" s="254">
        <v>45589</v>
      </c>
      <c r="L376" s="317" t="s">
        <v>32</v>
      </c>
      <c r="M376" s="259"/>
      <c r="N376" s="219"/>
      <c r="O376" s="222"/>
    </row>
    <row r="377" spans="2:15" s="221" customFormat="1" x14ac:dyDescent="0.2">
      <c r="B377" s="259">
        <v>58</v>
      </c>
      <c r="C377" s="284" t="s">
        <v>129</v>
      </c>
      <c r="D377" s="317" t="s">
        <v>29</v>
      </c>
      <c r="E377" s="317" t="s">
        <v>30</v>
      </c>
      <c r="F377" s="254">
        <v>45600</v>
      </c>
      <c r="G377" s="706" t="s">
        <v>31</v>
      </c>
      <c r="H377" s="715"/>
      <c r="I377" s="715"/>
      <c r="J377" s="715"/>
      <c r="K377" s="254">
        <v>45600</v>
      </c>
      <c r="L377" s="317" t="s">
        <v>457</v>
      </c>
      <c r="M377" s="259"/>
      <c r="N377" s="219"/>
      <c r="O377" s="222"/>
    </row>
    <row r="378" spans="2:15" s="221" customFormat="1" x14ac:dyDescent="0.2">
      <c r="B378" s="259">
        <v>59</v>
      </c>
      <c r="C378" s="284" t="s">
        <v>329</v>
      </c>
      <c r="D378" s="317" t="s">
        <v>29</v>
      </c>
      <c r="E378" s="317" t="s">
        <v>30</v>
      </c>
      <c r="F378" s="254">
        <v>45603</v>
      </c>
      <c r="G378" s="706" t="s">
        <v>31</v>
      </c>
      <c r="H378" s="715"/>
      <c r="I378" s="715"/>
      <c r="J378" s="715"/>
      <c r="K378" s="254">
        <v>45603</v>
      </c>
      <c r="L378" s="317" t="s">
        <v>457</v>
      </c>
      <c r="M378" s="259"/>
      <c r="N378" s="219"/>
      <c r="O378" s="222"/>
    </row>
    <row r="379" spans="2:15" s="221" customFormat="1" x14ac:dyDescent="0.2">
      <c r="B379" s="259">
        <v>60</v>
      </c>
      <c r="C379" s="284" t="s">
        <v>338</v>
      </c>
      <c r="D379" s="317" t="s">
        <v>165</v>
      </c>
      <c r="E379" s="317" t="s">
        <v>432</v>
      </c>
      <c r="F379" s="254">
        <v>45603</v>
      </c>
      <c r="G379" s="711" t="s">
        <v>31</v>
      </c>
      <c r="H379" s="712"/>
      <c r="I379" s="712"/>
      <c r="J379" s="713"/>
      <c r="K379" s="254">
        <v>45603</v>
      </c>
      <c r="L379" s="317" t="s">
        <v>457</v>
      </c>
      <c r="M379" s="259"/>
      <c r="N379" s="219"/>
      <c r="O379" s="222"/>
    </row>
    <row r="380" spans="2:15" s="221" customFormat="1" x14ac:dyDescent="0.2">
      <c r="B380" s="259">
        <v>61</v>
      </c>
      <c r="C380" s="284" t="s">
        <v>322</v>
      </c>
      <c r="D380" s="288" t="s">
        <v>43</v>
      </c>
      <c r="E380" s="317" t="s">
        <v>30</v>
      </c>
      <c r="F380" s="258" t="s">
        <v>498</v>
      </c>
      <c r="G380" s="706" t="s">
        <v>31</v>
      </c>
      <c r="H380" s="715"/>
      <c r="I380" s="715"/>
      <c r="J380" s="715"/>
      <c r="K380" s="254">
        <v>45612</v>
      </c>
      <c r="L380" s="317" t="s">
        <v>457</v>
      </c>
      <c r="M380" s="324"/>
      <c r="N380" s="259"/>
      <c r="O380" s="220"/>
    </row>
    <row r="381" spans="2:15" s="221" customFormat="1" x14ac:dyDescent="0.2">
      <c r="B381" s="259">
        <v>62</v>
      </c>
      <c r="C381" s="284" t="s">
        <v>160</v>
      </c>
      <c r="D381" s="317" t="s">
        <v>131</v>
      </c>
      <c r="E381" s="317" t="s">
        <v>30</v>
      </c>
      <c r="F381" s="254">
        <v>45615</v>
      </c>
      <c r="G381" s="706" t="s">
        <v>31</v>
      </c>
      <c r="H381" s="715"/>
      <c r="I381" s="715"/>
      <c r="J381" s="715"/>
      <c r="K381" s="254">
        <v>45615</v>
      </c>
      <c r="L381" s="317" t="s">
        <v>457</v>
      </c>
      <c r="M381" s="259"/>
      <c r="N381" s="219"/>
      <c r="O381" s="222"/>
    </row>
    <row r="382" spans="2:15" s="221" customFormat="1" x14ac:dyDescent="0.2">
      <c r="B382" s="259">
        <v>63</v>
      </c>
      <c r="C382" s="289" t="s">
        <v>280</v>
      </c>
      <c r="D382" s="317" t="s">
        <v>165</v>
      </c>
      <c r="E382" s="317" t="s">
        <v>30</v>
      </c>
      <c r="F382" s="290">
        <v>45628</v>
      </c>
      <c r="G382" s="702" t="s">
        <v>31</v>
      </c>
      <c r="H382" s="716"/>
      <c r="I382" s="716"/>
      <c r="J382" s="716"/>
      <c r="K382" s="290">
        <v>45628</v>
      </c>
      <c r="L382" s="317" t="s">
        <v>466</v>
      </c>
      <c r="M382" s="259"/>
      <c r="N382" s="219"/>
      <c r="O382" s="222"/>
    </row>
    <row r="383" spans="2:15" s="221" customFormat="1" x14ac:dyDescent="0.2">
      <c r="B383" s="259">
        <v>64</v>
      </c>
      <c r="C383" s="289" t="s">
        <v>284</v>
      </c>
      <c r="D383" s="317" t="s">
        <v>165</v>
      </c>
      <c r="E383" s="317" t="s">
        <v>455</v>
      </c>
      <c r="F383" s="290">
        <v>45619</v>
      </c>
      <c r="G383" s="702" t="s">
        <v>31</v>
      </c>
      <c r="H383" s="716"/>
      <c r="I383" s="716"/>
      <c r="J383" s="716"/>
      <c r="K383" s="290">
        <v>45619</v>
      </c>
      <c r="L383" s="317" t="s">
        <v>466</v>
      </c>
      <c r="M383" s="259"/>
      <c r="N383" s="219"/>
      <c r="O383" s="222"/>
    </row>
    <row r="384" spans="2:15" s="221" customFormat="1" x14ac:dyDescent="0.2">
      <c r="B384" s="259">
        <v>65</v>
      </c>
      <c r="C384" s="289" t="s">
        <v>283</v>
      </c>
      <c r="D384" s="317" t="s">
        <v>29</v>
      </c>
      <c r="E384" s="317" t="s">
        <v>455</v>
      </c>
      <c r="F384" s="290">
        <v>45622</v>
      </c>
      <c r="G384" s="702" t="s">
        <v>31</v>
      </c>
      <c r="H384" s="716"/>
      <c r="I384" s="716"/>
      <c r="J384" s="716"/>
      <c r="K384" s="290">
        <v>45622</v>
      </c>
      <c r="L384" s="317" t="s">
        <v>466</v>
      </c>
      <c r="M384" s="259"/>
      <c r="N384" s="219"/>
      <c r="O384" s="222"/>
    </row>
    <row r="385" spans="2:15" s="221" customFormat="1" x14ac:dyDescent="0.2">
      <c r="B385" s="259">
        <v>66</v>
      </c>
      <c r="C385" s="290" t="s">
        <v>324</v>
      </c>
      <c r="D385" s="317" t="s">
        <v>29</v>
      </c>
      <c r="E385" s="317" t="s">
        <v>30</v>
      </c>
      <c r="F385" s="290">
        <v>45635</v>
      </c>
      <c r="G385" s="702" t="s">
        <v>31</v>
      </c>
      <c r="H385" s="716"/>
      <c r="I385" s="716"/>
      <c r="J385" s="716"/>
      <c r="K385" s="290">
        <v>45635</v>
      </c>
      <c r="L385" s="257" t="s">
        <v>449</v>
      </c>
      <c r="M385" s="259"/>
      <c r="N385" s="219"/>
      <c r="O385" s="222"/>
    </row>
    <row r="386" spans="2:15" s="221" customFormat="1" x14ac:dyDescent="0.2">
      <c r="B386" s="259">
        <v>67</v>
      </c>
      <c r="C386" s="291" t="s">
        <v>182</v>
      </c>
      <c r="D386" s="283" t="s">
        <v>34</v>
      </c>
      <c r="E386" s="317" t="s">
        <v>337</v>
      </c>
      <c r="F386" s="290">
        <v>45637</v>
      </c>
      <c r="G386" s="702" t="s">
        <v>31</v>
      </c>
      <c r="H386" s="716"/>
      <c r="I386" s="716"/>
      <c r="J386" s="716"/>
      <c r="K386" s="290">
        <v>45637</v>
      </c>
      <c r="L386" s="317" t="s">
        <v>508</v>
      </c>
      <c r="M386" s="259"/>
      <c r="N386" s="219"/>
      <c r="O386" s="222"/>
    </row>
    <row r="387" spans="2:15" s="221" customFormat="1" x14ac:dyDescent="0.2">
      <c r="B387" s="259">
        <v>68</v>
      </c>
      <c r="C387" s="290" t="s">
        <v>274</v>
      </c>
      <c r="D387" s="317" t="s">
        <v>275</v>
      </c>
      <c r="E387" s="317" t="s">
        <v>30</v>
      </c>
      <c r="F387" s="290">
        <v>45638</v>
      </c>
      <c r="G387" s="702" t="s">
        <v>31</v>
      </c>
      <c r="H387" s="716"/>
      <c r="I387" s="716"/>
      <c r="J387" s="716"/>
      <c r="K387" s="290">
        <v>45638</v>
      </c>
      <c r="L387" s="317" t="s">
        <v>466</v>
      </c>
      <c r="M387" s="259"/>
      <c r="N387" s="219"/>
      <c r="O387" s="222"/>
    </row>
    <row r="388" spans="2:15" s="221" customFormat="1" x14ac:dyDescent="0.2">
      <c r="B388" s="259">
        <v>69</v>
      </c>
      <c r="C388" s="290" t="s">
        <v>272</v>
      </c>
      <c r="D388" s="317" t="s">
        <v>34</v>
      </c>
      <c r="E388" s="317" t="s">
        <v>337</v>
      </c>
      <c r="F388" s="290">
        <v>45638</v>
      </c>
      <c r="G388" s="702" t="s">
        <v>31</v>
      </c>
      <c r="H388" s="716"/>
      <c r="I388" s="716"/>
      <c r="J388" s="716"/>
      <c r="K388" s="290">
        <v>45638</v>
      </c>
      <c r="L388" s="317" t="s">
        <v>466</v>
      </c>
      <c r="M388" s="259"/>
      <c r="N388" s="219"/>
      <c r="O388" s="222"/>
    </row>
    <row r="389" spans="2:15" s="221" customFormat="1" x14ac:dyDescent="0.2">
      <c r="B389" s="259">
        <v>70</v>
      </c>
      <c r="C389" s="292" t="s">
        <v>302</v>
      </c>
      <c r="D389" s="317" t="s">
        <v>29</v>
      </c>
      <c r="E389" s="317" t="s">
        <v>456</v>
      </c>
      <c r="F389" s="290">
        <v>45639</v>
      </c>
      <c r="G389" s="702" t="s">
        <v>31</v>
      </c>
      <c r="H389" s="716"/>
      <c r="I389" s="716"/>
      <c r="J389" s="716"/>
      <c r="K389" s="290">
        <v>45639</v>
      </c>
      <c r="L389" s="257" t="s">
        <v>467</v>
      </c>
      <c r="M389" s="259"/>
      <c r="N389" s="219"/>
      <c r="O389" s="222"/>
    </row>
    <row r="390" spans="2:15" s="221" customFormat="1" x14ac:dyDescent="0.2">
      <c r="B390" s="259">
        <v>71</v>
      </c>
      <c r="C390" s="289" t="s">
        <v>303</v>
      </c>
      <c r="D390" s="317" t="s">
        <v>34</v>
      </c>
      <c r="E390" s="317" t="s">
        <v>455</v>
      </c>
      <c r="F390" s="290">
        <v>45639</v>
      </c>
      <c r="G390" s="702" t="s">
        <v>31</v>
      </c>
      <c r="H390" s="716"/>
      <c r="I390" s="716"/>
      <c r="J390" s="716"/>
      <c r="K390" s="290">
        <v>45639</v>
      </c>
      <c r="L390" s="257" t="s">
        <v>467</v>
      </c>
      <c r="M390" s="259"/>
      <c r="N390" s="219"/>
      <c r="O390" s="222"/>
    </row>
    <row r="391" spans="2:15" s="221" customFormat="1" x14ac:dyDescent="0.2">
      <c r="B391" s="259">
        <v>72</v>
      </c>
      <c r="C391" s="289" t="s">
        <v>290</v>
      </c>
      <c r="D391" s="317" t="s">
        <v>29</v>
      </c>
      <c r="E391" s="317" t="s">
        <v>456</v>
      </c>
      <c r="F391" s="290">
        <v>45640</v>
      </c>
      <c r="G391" s="702" t="s">
        <v>31</v>
      </c>
      <c r="H391" s="716"/>
      <c r="I391" s="716"/>
      <c r="J391" s="716"/>
      <c r="K391" s="290">
        <v>45640</v>
      </c>
      <c r="L391" s="317" t="s">
        <v>473</v>
      </c>
      <c r="M391" s="259"/>
      <c r="N391" s="219"/>
      <c r="O391" s="222"/>
    </row>
    <row r="392" spans="2:15" s="221" customFormat="1" x14ac:dyDescent="0.2">
      <c r="B392" s="259">
        <v>73</v>
      </c>
      <c r="C392" s="289" t="s">
        <v>291</v>
      </c>
      <c r="D392" s="317" t="s">
        <v>43</v>
      </c>
      <c r="E392" s="317" t="s">
        <v>456</v>
      </c>
      <c r="F392" s="290">
        <v>45640</v>
      </c>
      <c r="G392" s="702" t="s">
        <v>31</v>
      </c>
      <c r="H392" s="716"/>
      <c r="I392" s="716"/>
      <c r="J392" s="716"/>
      <c r="K392" s="290">
        <v>45640</v>
      </c>
      <c r="L392" s="317" t="s">
        <v>473</v>
      </c>
      <c r="M392" s="259"/>
      <c r="N392" s="219"/>
      <c r="O392" s="222"/>
    </row>
    <row r="393" spans="2:15" s="221" customFormat="1" x14ac:dyDescent="0.2">
      <c r="B393" s="259">
        <v>74</v>
      </c>
      <c r="C393" s="289" t="s">
        <v>292</v>
      </c>
      <c r="D393" s="317" t="s">
        <v>34</v>
      </c>
      <c r="E393" s="317" t="s">
        <v>456</v>
      </c>
      <c r="F393" s="290">
        <v>45640</v>
      </c>
      <c r="G393" s="702" t="s">
        <v>31</v>
      </c>
      <c r="H393" s="716"/>
      <c r="I393" s="716"/>
      <c r="J393" s="716"/>
      <c r="K393" s="290">
        <v>45640</v>
      </c>
      <c r="L393" s="317" t="s">
        <v>473</v>
      </c>
      <c r="M393" s="259"/>
      <c r="N393" s="219"/>
      <c r="O393" s="222"/>
    </row>
    <row r="394" spans="2:15" s="221" customFormat="1" x14ac:dyDescent="0.2">
      <c r="B394" s="259">
        <v>75</v>
      </c>
      <c r="C394" s="289" t="s">
        <v>293</v>
      </c>
      <c r="D394" s="317" t="s">
        <v>29</v>
      </c>
      <c r="E394" s="317" t="s">
        <v>462</v>
      </c>
      <c r="F394" s="290">
        <v>45640</v>
      </c>
      <c r="G394" s="702" t="s">
        <v>31</v>
      </c>
      <c r="H394" s="716"/>
      <c r="I394" s="716"/>
      <c r="J394" s="716"/>
      <c r="K394" s="290">
        <v>45640</v>
      </c>
      <c r="L394" s="317" t="s">
        <v>473</v>
      </c>
      <c r="M394" s="259"/>
      <c r="N394" s="219"/>
      <c r="O394" s="222"/>
    </row>
    <row r="395" spans="2:15" s="221" customFormat="1" x14ac:dyDescent="0.2">
      <c r="B395" s="259">
        <v>76</v>
      </c>
      <c r="C395" s="289" t="s">
        <v>297</v>
      </c>
      <c r="D395" s="317" t="s">
        <v>34</v>
      </c>
      <c r="E395" s="317" t="s">
        <v>456</v>
      </c>
      <c r="F395" s="290">
        <v>45640</v>
      </c>
      <c r="G395" s="702" t="s">
        <v>31</v>
      </c>
      <c r="H395" s="716"/>
      <c r="I395" s="716"/>
      <c r="J395" s="716"/>
      <c r="K395" s="290">
        <v>45640</v>
      </c>
      <c r="L395" s="317" t="s">
        <v>464</v>
      </c>
      <c r="M395" s="259"/>
      <c r="N395" s="219"/>
      <c r="O395" s="222"/>
    </row>
    <row r="396" spans="2:15" s="221" customFormat="1" x14ac:dyDescent="0.2">
      <c r="B396" s="259">
        <v>77</v>
      </c>
      <c r="C396" s="289" t="s">
        <v>298</v>
      </c>
      <c r="D396" s="317" t="s">
        <v>29</v>
      </c>
      <c r="E396" s="317" t="s">
        <v>456</v>
      </c>
      <c r="F396" s="290">
        <v>45640</v>
      </c>
      <c r="G396" s="702" t="s">
        <v>31</v>
      </c>
      <c r="H396" s="716"/>
      <c r="I396" s="716"/>
      <c r="J396" s="716"/>
      <c r="K396" s="290">
        <v>45640</v>
      </c>
      <c r="L396" s="317" t="s">
        <v>478</v>
      </c>
      <c r="M396" s="259"/>
      <c r="N396" s="219"/>
      <c r="O396" s="222"/>
    </row>
    <row r="397" spans="2:15" s="221" customFormat="1" x14ac:dyDescent="0.2">
      <c r="B397" s="259">
        <v>78</v>
      </c>
      <c r="C397" s="292" t="s">
        <v>305</v>
      </c>
      <c r="D397" s="317" t="s">
        <v>34</v>
      </c>
      <c r="E397" s="317" t="s">
        <v>456</v>
      </c>
      <c r="F397" s="290">
        <v>45640</v>
      </c>
      <c r="G397" s="702" t="s">
        <v>31</v>
      </c>
      <c r="H397" s="716"/>
      <c r="I397" s="716"/>
      <c r="J397" s="716"/>
      <c r="K397" s="290">
        <v>45640</v>
      </c>
      <c r="L397" s="317" t="s">
        <v>464</v>
      </c>
      <c r="M397" s="259"/>
      <c r="N397" s="219"/>
      <c r="O397" s="222"/>
    </row>
    <row r="398" spans="2:15" s="221" customFormat="1" ht="14.25" customHeight="1" x14ac:dyDescent="0.2">
      <c r="B398" s="259">
        <v>79</v>
      </c>
      <c r="C398" s="292" t="s">
        <v>396</v>
      </c>
      <c r="D398" s="317" t="s">
        <v>29</v>
      </c>
      <c r="E398" s="317" t="s">
        <v>432</v>
      </c>
      <c r="F398" s="290">
        <v>45640</v>
      </c>
      <c r="G398" s="702" t="s">
        <v>31</v>
      </c>
      <c r="H398" s="716"/>
      <c r="I398" s="716"/>
      <c r="J398" s="716"/>
      <c r="K398" s="290">
        <v>45640</v>
      </c>
      <c r="L398" s="317" t="s">
        <v>493</v>
      </c>
      <c r="M398" s="259"/>
      <c r="N398" s="219"/>
      <c r="O398" s="222"/>
    </row>
    <row r="399" spans="2:15" x14ac:dyDescent="0.2">
      <c r="B399" s="259">
        <v>80</v>
      </c>
      <c r="C399" s="292" t="s">
        <v>397</v>
      </c>
      <c r="D399" s="317" t="s">
        <v>29</v>
      </c>
      <c r="E399" s="317" t="s">
        <v>337</v>
      </c>
      <c r="F399" s="290">
        <v>45640</v>
      </c>
      <c r="G399" s="702" t="s">
        <v>31</v>
      </c>
      <c r="H399" s="716"/>
      <c r="I399" s="716"/>
      <c r="J399" s="716"/>
      <c r="K399" s="290">
        <v>45640</v>
      </c>
      <c r="L399" s="317" t="s">
        <v>493</v>
      </c>
      <c r="M399" s="259"/>
      <c r="N399" s="218"/>
    </row>
    <row r="400" spans="2:15" x14ac:dyDescent="0.2">
      <c r="B400" s="259">
        <v>81</v>
      </c>
      <c r="C400" s="292" t="s">
        <v>403</v>
      </c>
      <c r="D400" s="317" t="s">
        <v>43</v>
      </c>
      <c r="E400" s="317" t="s">
        <v>336</v>
      </c>
      <c r="F400" s="290">
        <v>45640</v>
      </c>
      <c r="G400" s="702" t="s">
        <v>31</v>
      </c>
      <c r="H400" s="716"/>
      <c r="I400" s="716"/>
      <c r="J400" s="716"/>
      <c r="K400" s="290">
        <v>45640</v>
      </c>
      <c r="L400" s="317" t="s">
        <v>472</v>
      </c>
      <c r="M400" s="259"/>
      <c r="N400" s="218"/>
    </row>
    <row r="401" spans="2:14" x14ac:dyDescent="0.2">
      <c r="B401" s="259">
        <v>82</v>
      </c>
      <c r="C401" s="289" t="s">
        <v>294</v>
      </c>
      <c r="D401" s="317" t="s">
        <v>43</v>
      </c>
      <c r="E401" s="317" t="s">
        <v>456</v>
      </c>
      <c r="F401" s="254">
        <v>45641</v>
      </c>
      <c r="G401" s="702" t="s">
        <v>31</v>
      </c>
      <c r="H401" s="716"/>
      <c r="I401" s="716"/>
      <c r="J401" s="716"/>
      <c r="K401" s="254">
        <v>45641</v>
      </c>
      <c r="L401" s="317" t="s">
        <v>504</v>
      </c>
      <c r="M401" s="259"/>
      <c r="N401" s="218"/>
    </row>
    <row r="402" spans="2:14" x14ac:dyDescent="0.2">
      <c r="B402" s="259">
        <v>83</v>
      </c>
      <c r="C402" s="284" t="s">
        <v>415</v>
      </c>
      <c r="D402" s="317" t="s">
        <v>165</v>
      </c>
      <c r="E402" s="317" t="s">
        <v>455</v>
      </c>
      <c r="F402" s="254">
        <v>45644</v>
      </c>
      <c r="G402" s="702" t="s">
        <v>31</v>
      </c>
      <c r="H402" s="716"/>
      <c r="I402" s="716"/>
      <c r="J402" s="716"/>
      <c r="K402" s="254">
        <v>45644</v>
      </c>
      <c r="L402" s="317" t="s">
        <v>505</v>
      </c>
      <c r="M402" s="259"/>
      <c r="N402" s="218"/>
    </row>
    <row r="403" spans="2:14" x14ac:dyDescent="0.2">
      <c r="B403" s="259">
        <v>84</v>
      </c>
      <c r="C403" s="284" t="s">
        <v>404</v>
      </c>
      <c r="D403" s="293" t="s">
        <v>29</v>
      </c>
      <c r="E403" s="317" t="s">
        <v>456</v>
      </c>
      <c r="F403" s="254">
        <v>45644</v>
      </c>
      <c r="G403" s="702" t="s">
        <v>31</v>
      </c>
      <c r="H403" s="716"/>
      <c r="I403" s="716"/>
      <c r="J403" s="716"/>
      <c r="K403" s="254">
        <v>45644</v>
      </c>
      <c r="L403" s="317" t="s">
        <v>505</v>
      </c>
      <c r="M403" s="259"/>
      <c r="N403" s="218"/>
    </row>
    <row r="404" spans="2:14" x14ac:dyDescent="0.2">
      <c r="B404" s="259">
        <v>85</v>
      </c>
      <c r="C404" s="284" t="s">
        <v>506</v>
      </c>
      <c r="D404" s="293" t="s">
        <v>285</v>
      </c>
      <c r="E404" s="317" t="s">
        <v>336</v>
      </c>
      <c r="F404" s="254">
        <v>45645</v>
      </c>
      <c r="G404" s="702" t="s">
        <v>31</v>
      </c>
      <c r="H404" s="716"/>
      <c r="I404" s="716"/>
      <c r="J404" s="716"/>
      <c r="K404" s="254">
        <v>45645</v>
      </c>
      <c r="L404" s="317" t="s">
        <v>449</v>
      </c>
      <c r="M404" s="259"/>
      <c r="N404" s="218"/>
    </row>
    <row r="405" spans="2:14" x14ac:dyDescent="0.2">
      <c r="B405" s="259">
        <v>86</v>
      </c>
      <c r="C405" s="284" t="s">
        <v>354</v>
      </c>
      <c r="D405" s="293" t="s">
        <v>34</v>
      </c>
      <c r="E405" s="317" t="s">
        <v>336</v>
      </c>
      <c r="F405" s="254">
        <v>45649</v>
      </c>
      <c r="G405" s="702" t="s">
        <v>31</v>
      </c>
      <c r="H405" s="716"/>
      <c r="I405" s="716"/>
      <c r="J405" s="716"/>
      <c r="K405" s="254">
        <v>45649</v>
      </c>
      <c r="L405" s="317" t="s">
        <v>32</v>
      </c>
      <c r="M405" s="259"/>
      <c r="N405" s="218"/>
    </row>
    <row r="406" spans="2:14" x14ac:dyDescent="0.2">
      <c r="B406" s="259">
        <v>87</v>
      </c>
      <c r="C406" s="284" t="s">
        <v>360</v>
      </c>
      <c r="D406" s="317" t="s">
        <v>29</v>
      </c>
      <c r="E406" s="317" t="s">
        <v>432</v>
      </c>
      <c r="F406" s="254">
        <v>45650</v>
      </c>
      <c r="G406" s="702" t="s">
        <v>31</v>
      </c>
      <c r="H406" s="716"/>
      <c r="I406" s="716"/>
      <c r="J406" s="716"/>
      <c r="K406" s="254">
        <v>45650</v>
      </c>
      <c r="L406" s="317" t="s">
        <v>32</v>
      </c>
      <c r="M406" s="259"/>
      <c r="N406" s="218"/>
    </row>
    <row r="407" spans="2:14" x14ac:dyDescent="0.2">
      <c r="B407" s="259">
        <v>88</v>
      </c>
      <c r="C407" s="291" t="s">
        <v>323</v>
      </c>
      <c r="D407" s="283" t="s">
        <v>507</v>
      </c>
      <c r="E407" s="317" t="s">
        <v>337</v>
      </c>
      <c r="F407" s="290">
        <v>45652</v>
      </c>
      <c r="G407" s="702" t="s">
        <v>31</v>
      </c>
      <c r="H407" s="702"/>
      <c r="I407" s="702"/>
      <c r="J407" s="702"/>
      <c r="K407" s="290">
        <v>45652</v>
      </c>
      <c r="L407" s="317" t="s">
        <v>449</v>
      </c>
      <c r="M407" s="259"/>
      <c r="N407" s="218"/>
    </row>
    <row r="408" spans="2:14" x14ac:dyDescent="0.2">
      <c r="B408" s="259">
        <v>89</v>
      </c>
      <c r="C408" s="284" t="s">
        <v>496</v>
      </c>
      <c r="D408" s="317" t="s">
        <v>29</v>
      </c>
      <c r="E408" s="317" t="s">
        <v>432</v>
      </c>
      <c r="F408" s="254">
        <v>45652</v>
      </c>
      <c r="G408" s="702" t="s">
        <v>31</v>
      </c>
      <c r="H408" s="702"/>
      <c r="I408" s="702"/>
      <c r="J408" s="702"/>
      <c r="K408" s="254">
        <v>45652</v>
      </c>
      <c r="L408" s="317" t="s">
        <v>505</v>
      </c>
      <c r="M408" s="259"/>
      <c r="N408" s="218"/>
    </row>
    <row r="409" spans="2:14" x14ac:dyDescent="0.2">
      <c r="B409" s="259">
        <v>90</v>
      </c>
      <c r="C409" s="284" t="s">
        <v>405</v>
      </c>
      <c r="D409" s="317" t="s">
        <v>34</v>
      </c>
      <c r="E409" s="317" t="s">
        <v>337</v>
      </c>
      <c r="F409" s="254">
        <v>45660</v>
      </c>
      <c r="G409" s="702" t="s">
        <v>31</v>
      </c>
      <c r="H409" s="702"/>
      <c r="I409" s="702"/>
      <c r="J409" s="702"/>
      <c r="K409" s="254">
        <v>45660</v>
      </c>
      <c r="L409" s="317" t="s">
        <v>505</v>
      </c>
      <c r="M409" s="259"/>
      <c r="N409" s="218"/>
    </row>
    <row r="410" spans="2:14" x14ac:dyDescent="0.2">
      <c r="B410" s="259">
        <v>91</v>
      </c>
      <c r="C410" s="291" t="s">
        <v>401</v>
      </c>
      <c r="D410" s="317" t="s">
        <v>29</v>
      </c>
      <c r="E410" s="317" t="s">
        <v>456</v>
      </c>
      <c r="F410" s="290">
        <v>45661</v>
      </c>
      <c r="G410" s="702" t="s">
        <v>31</v>
      </c>
      <c r="H410" s="702"/>
      <c r="I410" s="702"/>
      <c r="J410" s="702"/>
      <c r="K410" s="290">
        <v>45661</v>
      </c>
      <c r="L410" s="317" t="s">
        <v>493</v>
      </c>
      <c r="M410" s="259"/>
      <c r="N410" s="218"/>
    </row>
    <row r="411" spans="2:14" x14ac:dyDescent="0.2">
      <c r="B411" s="259">
        <v>92</v>
      </c>
      <c r="C411" s="284" t="s">
        <v>333</v>
      </c>
      <c r="D411" s="317" t="s">
        <v>29</v>
      </c>
      <c r="E411" s="317" t="s">
        <v>30</v>
      </c>
      <c r="F411" s="254">
        <v>45662</v>
      </c>
      <c r="G411" s="702" t="s">
        <v>31</v>
      </c>
      <c r="H411" s="702"/>
      <c r="I411" s="702"/>
      <c r="J411" s="702"/>
      <c r="K411" s="254">
        <v>45662</v>
      </c>
      <c r="L411" s="317" t="s">
        <v>495</v>
      </c>
      <c r="M411" s="259"/>
      <c r="N411" s="218"/>
    </row>
    <row r="412" spans="2:14" x14ac:dyDescent="0.2">
      <c r="B412" s="259">
        <v>93</v>
      </c>
      <c r="C412" s="284" t="s">
        <v>339</v>
      </c>
      <c r="D412" s="317" t="s">
        <v>29</v>
      </c>
      <c r="E412" s="317" t="s">
        <v>432</v>
      </c>
      <c r="F412" s="254">
        <v>45662</v>
      </c>
      <c r="G412" s="702" t="s">
        <v>31</v>
      </c>
      <c r="H412" s="702"/>
      <c r="I412" s="702"/>
      <c r="J412" s="702"/>
      <c r="K412" s="254">
        <v>45662</v>
      </c>
      <c r="L412" s="317" t="s">
        <v>32</v>
      </c>
      <c r="M412" s="259"/>
      <c r="N412" s="218"/>
    </row>
    <row r="413" spans="2:14" x14ac:dyDescent="0.2">
      <c r="B413" s="259">
        <v>94</v>
      </c>
      <c r="C413" s="284" t="s">
        <v>344</v>
      </c>
      <c r="D413" s="317" t="s">
        <v>502</v>
      </c>
      <c r="E413" s="317" t="s">
        <v>337</v>
      </c>
      <c r="F413" s="254">
        <v>45661</v>
      </c>
      <c r="G413" s="702" t="s">
        <v>31</v>
      </c>
      <c r="H413" s="702"/>
      <c r="I413" s="702"/>
      <c r="J413" s="702"/>
      <c r="K413" s="254">
        <v>45662</v>
      </c>
      <c r="L413" s="257" t="s">
        <v>449</v>
      </c>
      <c r="M413" s="259"/>
      <c r="N413" s="218"/>
    </row>
    <row r="414" spans="2:14" x14ac:dyDescent="0.2">
      <c r="B414" s="259">
        <v>95</v>
      </c>
      <c r="C414" s="284" t="s">
        <v>347</v>
      </c>
      <c r="D414" s="317" t="s">
        <v>167</v>
      </c>
      <c r="E414" s="317" t="s">
        <v>432</v>
      </c>
      <c r="F414" s="254">
        <v>45665</v>
      </c>
      <c r="G414" s="702" t="s">
        <v>31</v>
      </c>
      <c r="H414" s="702"/>
      <c r="I414" s="702"/>
      <c r="J414" s="702"/>
      <c r="K414" s="254">
        <v>45665</v>
      </c>
      <c r="L414" s="317" t="s">
        <v>32</v>
      </c>
      <c r="M414" s="259"/>
      <c r="N414" s="218"/>
    </row>
    <row r="415" spans="2:14" x14ac:dyDescent="0.2">
      <c r="B415" s="259">
        <v>96</v>
      </c>
      <c r="C415" s="284" t="s">
        <v>277</v>
      </c>
      <c r="D415" s="317" t="s">
        <v>29</v>
      </c>
      <c r="E415" s="317" t="s">
        <v>456</v>
      </c>
      <c r="F415" s="254">
        <v>45668</v>
      </c>
      <c r="G415" s="702" t="s">
        <v>31</v>
      </c>
      <c r="H415" s="702"/>
      <c r="I415" s="702"/>
      <c r="J415" s="702"/>
      <c r="K415" s="254">
        <v>45668</v>
      </c>
      <c r="L415" s="317" t="s">
        <v>478</v>
      </c>
      <c r="M415" s="259"/>
      <c r="N415" s="218"/>
    </row>
    <row r="416" spans="2:14" x14ac:dyDescent="0.2">
      <c r="B416" s="259">
        <v>97</v>
      </c>
      <c r="C416" s="284" t="s">
        <v>278</v>
      </c>
      <c r="D416" s="317" t="s">
        <v>285</v>
      </c>
      <c r="E416" s="317" t="s">
        <v>456</v>
      </c>
      <c r="F416" s="254">
        <v>45668</v>
      </c>
      <c r="G416" s="702" t="s">
        <v>31</v>
      </c>
      <c r="H416" s="702"/>
      <c r="I416" s="702"/>
      <c r="J416" s="702"/>
      <c r="K416" s="254">
        <v>45668</v>
      </c>
      <c r="L416" s="317" t="s">
        <v>478</v>
      </c>
      <c r="M416" s="259"/>
      <c r="N416" s="218"/>
    </row>
    <row r="417" spans="2:14" x14ac:dyDescent="0.2">
      <c r="B417" s="259">
        <v>98</v>
      </c>
      <c r="C417" s="284" t="s">
        <v>345</v>
      </c>
      <c r="D417" s="317" t="s">
        <v>29</v>
      </c>
      <c r="E417" s="317" t="s">
        <v>30</v>
      </c>
      <c r="F417" s="254">
        <v>45668</v>
      </c>
      <c r="G417" s="702" t="s">
        <v>31</v>
      </c>
      <c r="H417" s="702"/>
      <c r="I417" s="702"/>
      <c r="J417" s="702"/>
      <c r="K417" s="254">
        <v>45668</v>
      </c>
      <c r="L417" s="317" t="s">
        <v>32</v>
      </c>
      <c r="M417" s="259"/>
      <c r="N417" s="218"/>
    </row>
    <row r="418" spans="2:14" x14ac:dyDescent="0.2">
      <c r="B418" s="259">
        <v>99</v>
      </c>
      <c r="C418" s="284" t="s">
        <v>346</v>
      </c>
      <c r="D418" s="317" t="s">
        <v>29</v>
      </c>
      <c r="E418" s="317" t="s">
        <v>30</v>
      </c>
      <c r="F418" s="254">
        <v>45668</v>
      </c>
      <c r="G418" s="702" t="s">
        <v>31</v>
      </c>
      <c r="H418" s="702"/>
      <c r="I418" s="702"/>
      <c r="J418" s="702"/>
      <c r="K418" s="254">
        <v>45668</v>
      </c>
      <c r="L418" s="317" t="s">
        <v>32</v>
      </c>
      <c r="M418" s="259"/>
      <c r="N418" s="218"/>
    </row>
    <row r="419" spans="2:14" x14ac:dyDescent="0.2">
      <c r="B419" s="259">
        <v>100</v>
      </c>
      <c r="C419" s="284" t="s">
        <v>319</v>
      </c>
      <c r="D419" s="317" t="s">
        <v>531</v>
      </c>
      <c r="E419" s="317" t="s">
        <v>456</v>
      </c>
      <c r="F419" s="254">
        <v>45675</v>
      </c>
      <c r="G419" s="702" t="s">
        <v>31</v>
      </c>
      <c r="H419" s="702"/>
      <c r="I419" s="702"/>
      <c r="J419" s="702"/>
      <c r="K419" s="254">
        <v>45675</v>
      </c>
      <c r="L419" s="317" t="s">
        <v>449</v>
      </c>
      <c r="M419" s="259"/>
      <c r="N419" s="218"/>
    </row>
    <row r="420" spans="2:14" x14ac:dyDescent="0.2">
      <c r="B420" s="259">
        <v>101</v>
      </c>
      <c r="C420" s="284" t="s">
        <v>295</v>
      </c>
      <c r="D420" s="317" t="s">
        <v>43</v>
      </c>
      <c r="E420" s="317" t="s">
        <v>462</v>
      </c>
      <c r="F420" s="254">
        <v>45675</v>
      </c>
      <c r="G420" s="702" t="s">
        <v>31</v>
      </c>
      <c r="H420" s="702"/>
      <c r="I420" s="702"/>
      <c r="J420" s="702"/>
      <c r="K420" s="254">
        <v>45675</v>
      </c>
      <c r="L420" s="317" t="s">
        <v>530</v>
      </c>
      <c r="M420" s="259"/>
      <c r="N420" s="218"/>
    </row>
    <row r="421" spans="2:14" x14ac:dyDescent="0.2">
      <c r="B421" s="259">
        <v>102</v>
      </c>
      <c r="C421" s="284" t="s">
        <v>369</v>
      </c>
      <c r="D421" s="317" t="s">
        <v>499</v>
      </c>
      <c r="E421" s="317" t="s">
        <v>432</v>
      </c>
      <c r="F421" s="254">
        <v>45676</v>
      </c>
      <c r="G421" s="702" t="s">
        <v>31</v>
      </c>
      <c r="H421" s="702"/>
      <c r="I421" s="702"/>
      <c r="J421" s="702"/>
      <c r="K421" s="254">
        <v>45676</v>
      </c>
      <c r="L421" s="317" t="s">
        <v>32</v>
      </c>
      <c r="M421" s="259"/>
      <c r="N421" s="218"/>
    </row>
    <row r="422" spans="2:14" x14ac:dyDescent="0.2">
      <c r="B422" s="259">
        <v>103</v>
      </c>
      <c r="C422" s="284" t="s">
        <v>317</v>
      </c>
      <c r="D422" s="317" t="s">
        <v>34</v>
      </c>
      <c r="E422" s="317" t="s">
        <v>456</v>
      </c>
      <c r="F422" s="254">
        <v>45677</v>
      </c>
      <c r="G422" s="702" t="s">
        <v>31</v>
      </c>
      <c r="H422" s="702"/>
      <c r="I422" s="702"/>
      <c r="J422" s="702"/>
      <c r="K422" s="254">
        <v>45677</v>
      </c>
      <c r="L422" s="317" t="s">
        <v>514</v>
      </c>
      <c r="M422" s="259"/>
      <c r="N422" s="218"/>
    </row>
    <row r="423" spans="2:14" x14ac:dyDescent="0.2">
      <c r="B423" s="259">
        <v>104</v>
      </c>
      <c r="C423" s="284" t="s">
        <v>320</v>
      </c>
      <c r="D423" s="317" t="s">
        <v>34</v>
      </c>
      <c r="E423" s="317" t="s">
        <v>455</v>
      </c>
      <c r="F423" s="254">
        <v>45677</v>
      </c>
      <c r="G423" s="702" t="s">
        <v>31</v>
      </c>
      <c r="H423" s="702"/>
      <c r="I423" s="702"/>
      <c r="J423" s="702"/>
      <c r="K423" s="254">
        <v>45677</v>
      </c>
      <c r="L423" s="317" t="s">
        <v>449</v>
      </c>
      <c r="M423" s="259"/>
      <c r="N423" s="218"/>
    </row>
    <row r="424" spans="2:14" x14ac:dyDescent="0.2">
      <c r="B424" s="259">
        <v>105</v>
      </c>
      <c r="C424" s="284" t="s">
        <v>343</v>
      </c>
      <c r="D424" s="317" t="s">
        <v>275</v>
      </c>
      <c r="E424" s="317" t="s">
        <v>30</v>
      </c>
      <c r="F424" s="254">
        <v>45678</v>
      </c>
      <c r="G424" s="702" t="s">
        <v>31</v>
      </c>
      <c r="H424" s="702"/>
      <c r="I424" s="702"/>
      <c r="J424" s="702"/>
      <c r="K424" s="254">
        <v>45678</v>
      </c>
      <c r="L424" s="317" t="s">
        <v>32</v>
      </c>
      <c r="M424" s="259"/>
      <c r="N424" s="218"/>
    </row>
    <row r="425" spans="2:14" x14ac:dyDescent="0.2">
      <c r="B425" s="259">
        <v>106</v>
      </c>
      <c r="C425" s="284" t="s">
        <v>326</v>
      </c>
      <c r="D425" s="317" t="s">
        <v>165</v>
      </c>
      <c r="E425" s="317" t="s">
        <v>455</v>
      </c>
      <c r="F425" s="254">
        <v>45678</v>
      </c>
      <c r="G425" s="702" t="s">
        <v>31</v>
      </c>
      <c r="H425" s="702"/>
      <c r="I425" s="702"/>
      <c r="J425" s="702"/>
      <c r="K425" s="254">
        <v>45678</v>
      </c>
      <c r="L425" s="317" t="s">
        <v>449</v>
      </c>
      <c r="M425" s="259"/>
      <c r="N425" s="218"/>
    </row>
    <row r="426" spans="2:14" x14ac:dyDescent="0.2">
      <c r="B426" s="259">
        <v>107</v>
      </c>
      <c r="C426" s="284" t="s">
        <v>328</v>
      </c>
      <c r="D426" s="317" t="s">
        <v>43</v>
      </c>
      <c r="E426" s="317" t="s">
        <v>456</v>
      </c>
      <c r="F426" s="254">
        <v>45678</v>
      </c>
      <c r="G426" s="702" t="s">
        <v>31</v>
      </c>
      <c r="H426" s="702"/>
      <c r="I426" s="702"/>
      <c r="J426" s="702"/>
      <c r="K426" s="254">
        <v>45678</v>
      </c>
      <c r="L426" s="317" t="s">
        <v>449</v>
      </c>
      <c r="M426" s="259"/>
      <c r="N426" s="218"/>
    </row>
    <row r="427" spans="2:14" ht="15.75" customHeight="1" x14ac:dyDescent="0.2">
      <c r="B427" s="259">
        <v>108</v>
      </c>
      <c r="C427" s="284" t="s">
        <v>321</v>
      </c>
      <c r="D427" s="317" t="s">
        <v>167</v>
      </c>
      <c r="E427" s="317" t="s">
        <v>462</v>
      </c>
      <c r="F427" s="254">
        <v>45678</v>
      </c>
      <c r="G427" s="702" t="s">
        <v>31</v>
      </c>
      <c r="H427" s="702"/>
      <c r="I427" s="702"/>
      <c r="J427" s="702"/>
      <c r="K427" s="254">
        <v>45678</v>
      </c>
      <c r="L427" s="317" t="s">
        <v>449</v>
      </c>
      <c r="M427" s="259"/>
      <c r="N427" s="218"/>
    </row>
    <row r="428" spans="2:14" x14ac:dyDescent="0.2">
      <c r="B428" s="259">
        <v>109</v>
      </c>
      <c r="C428" s="284" t="s">
        <v>330</v>
      </c>
      <c r="D428" s="317" t="s">
        <v>34</v>
      </c>
      <c r="E428" s="228" t="s">
        <v>30</v>
      </c>
      <c r="F428" s="254">
        <v>45680</v>
      </c>
      <c r="G428" s="702" t="s">
        <v>31</v>
      </c>
      <c r="H428" s="702"/>
      <c r="I428" s="702"/>
      <c r="J428" s="702"/>
      <c r="K428" s="254">
        <v>45680</v>
      </c>
      <c r="L428" s="317" t="s">
        <v>449</v>
      </c>
      <c r="M428" s="259"/>
      <c r="N428" s="218"/>
    </row>
    <row r="429" spans="2:14" x14ac:dyDescent="0.2">
      <c r="B429" s="259">
        <v>110</v>
      </c>
      <c r="C429" s="284" t="s">
        <v>387</v>
      </c>
      <c r="D429" s="317" t="s">
        <v>29</v>
      </c>
      <c r="E429" s="317" t="s">
        <v>336</v>
      </c>
      <c r="F429" s="254">
        <v>45682</v>
      </c>
      <c r="G429" s="702" t="s">
        <v>31</v>
      </c>
      <c r="H429" s="702"/>
      <c r="I429" s="702"/>
      <c r="J429" s="702"/>
      <c r="K429" s="254">
        <v>45682</v>
      </c>
      <c r="L429" s="317" t="s">
        <v>515</v>
      </c>
      <c r="M429" s="259"/>
      <c r="N429" s="218"/>
    </row>
    <row r="430" spans="2:14" x14ac:dyDescent="0.2">
      <c r="B430" s="259">
        <v>111</v>
      </c>
      <c r="C430" s="284" t="s">
        <v>406</v>
      </c>
      <c r="D430" s="317" t="s">
        <v>34</v>
      </c>
      <c r="E430" s="317" t="s">
        <v>30</v>
      </c>
      <c r="F430" s="254">
        <v>45682</v>
      </c>
      <c r="G430" s="702" t="s">
        <v>31</v>
      </c>
      <c r="H430" s="702"/>
      <c r="I430" s="702"/>
      <c r="J430" s="702"/>
      <c r="K430" s="254">
        <v>45682</v>
      </c>
      <c r="L430" s="317" t="s">
        <v>495</v>
      </c>
      <c r="M430" s="259"/>
      <c r="N430" s="218"/>
    </row>
    <row r="431" spans="2:14" x14ac:dyDescent="0.2">
      <c r="B431" s="259">
        <v>112</v>
      </c>
      <c r="C431" s="297" t="s">
        <v>389</v>
      </c>
      <c r="D431" s="295" t="s">
        <v>34</v>
      </c>
      <c r="E431" s="295" t="s">
        <v>30</v>
      </c>
      <c r="F431" s="296">
        <v>45683</v>
      </c>
      <c r="G431" s="714" t="s">
        <v>31</v>
      </c>
      <c r="H431" s="714"/>
      <c r="I431" s="714"/>
      <c r="J431" s="714"/>
      <c r="K431" s="296">
        <v>45683</v>
      </c>
      <c r="L431" s="317" t="s">
        <v>493</v>
      </c>
      <c r="M431" s="259"/>
      <c r="N431" s="218"/>
    </row>
    <row r="432" spans="2:14" x14ac:dyDescent="0.2">
      <c r="B432" s="259">
        <v>113</v>
      </c>
      <c r="C432" s="284" t="s">
        <v>158</v>
      </c>
      <c r="D432" s="317" t="s">
        <v>135</v>
      </c>
      <c r="E432" s="317" t="s">
        <v>30</v>
      </c>
      <c r="F432" s="254">
        <v>45682</v>
      </c>
      <c r="G432" s="702" t="s">
        <v>31</v>
      </c>
      <c r="H432" s="702"/>
      <c r="I432" s="702"/>
      <c r="J432" s="702"/>
      <c r="K432" s="254">
        <v>45682</v>
      </c>
      <c r="L432" s="317" t="s">
        <v>449</v>
      </c>
      <c r="M432" s="259"/>
      <c r="N432" s="218"/>
    </row>
    <row r="433" spans="2:15" x14ac:dyDescent="0.2">
      <c r="B433" s="259">
        <v>114</v>
      </c>
      <c r="C433" s="284" t="s">
        <v>276</v>
      </c>
      <c r="D433" s="317" t="s">
        <v>29</v>
      </c>
      <c r="E433" s="317" t="s">
        <v>456</v>
      </c>
      <c r="F433" s="254">
        <v>45685</v>
      </c>
      <c r="G433" s="702" t="s">
        <v>31</v>
      </c>
      <c r="H433" s="702"/>
      <c r="I433" s="702"/>
      <c r="J433" s="702"/>
      <c r="K433" s="254">
        <v>45685</v>
      </c>
      <c r="L433" s="317" t="s">
        <v>513</v>
      </c>
      <c r="M433" s="259"/>
      <c r="N433" s="218"/>
    </row>
    <row r="434" spans="2:15" x14ac:dyDescent="0.2">
      <c r="B434" s="259">
        <v>115</v>
      </c>
      <c r="C434" s="284" t="s">
        <v>334</v>
      </c>
      <c r="D434" s="317" t="s">
        <v>29</v>
      </c>
      <c r="E434" s="317" t="s">
        <v>30</v>
      </c>
      <c r="F434" s="254">
        <v>45686</v>
      </c>
      <c r="G434" s="702" t="s">
        <v>31</v>
      </c>
      <c r="H434" s="702"/>
      <c r="I434" s="702"/>
      <c r="J434" s="702"/>
      <c r="K434" s="254">
        <v>45686</v>
      </c>
      <c r="L434" s="317" t="s">
        <v>449</v>
      </c>
      <c r="M434" s="259"/>
      <c r="N434" s="218"/>
    </row>
    <row r="435" spans="2:15" x14ac:dyDescent="0.2">
      <c r="B435" s="259">
        <v>116</v>
      </c>
      <c r="C435" s="284" t="s">
        <v>128</v>
      </c>
      <c r="D435" s="317" t="s">
        <v>43</v>
      </c>
      <c r="E435" s="317" t="s">
        <v>456</v>
      </c>
      <c r="F435" s="254">
        <v>45686</v>
      </c>
      <c r="G435" s="702" t="s">
        <v>31</v>
      </c>
      <c r="H435" s="702"/>
      <c r="I435" s="702"/>
      <c r="J435" s="702"/>
      <c r="K435" s="254">
        <v>45686</v>
      </c>
      <c r="L435" s="317" t="s">
        <v>449</v>
      </c>
      <c r="M435" s="259"/>
      <c r="N435" s="218"/>
    </row>
    <row r="436" spans="2:15" x14ac:dyDescent="0.2">
      <c r="B436" s="259">
        <v>117</v>
      </c>
      <c r="C436" s="284" t="s">
        <v>169</v>
      </c>
      <c r="D436" s="317" t="s">
        <v>29</v>
      </c>
      <c r="E436" s="317" t="s">
        <v>337</v>
      </c>
      <c r="F436" s="254">
        <v>45686</v>
      </c>
      <c r="G436" s="702" t="s">
        <v>31</v>
      </c>
      <c r="H436" s="702"/>
      <c r="I436" s="702"/>
      <c r="J436" s="702"/>
      <c r="K436" s="254">
        <v>45686</v>
      </c>
      <c r="L436" s="317" t="s">
        <v>513</v>
      </c>
      <c r="M436" s="259"/>
      <c r="N436" s="218"/>
    </row>
    <row r="437" spans="2:15" x14ac:dyDescent="0.2">
      <c r="B437" s="259">
        <v>118</v>
      </c>
      <c r="C437" s="284" t="s">
        <v>300</v>
      </c>
      <c r="D437" s="317" t="s">
        <v>309</v>
      </c>
      <c r="E437" s="317" t="s">
        <v>462</v>
      </c>
      <c r="F437" s="254">
        <v>45688</v>
      </c>
      <c r="G437" s="702" t="s">
        <v>31</v>
      </c>
      <c r="H437" s="702"/>
      <c r="I437" s="702"/>
      <c r="J437" s="702"/>
      <c r="K437" s="254">
        <v>45688</v>
      </c>
      <c r="L437" s="317" t="s">
        <v>530</v>
      </c>
      <c r="M437" s="259"/>
      <c r="N437" s="218"/>
    </row>
    <row r="438" spans="2:15" x14ac:dyDescent="0.2">
      <c r="B438" s="259">
        <v>119</v>
      </c>
      <c r="C438" s="284" t="s">
        <v>364</v>
      </c>
      <c r="D438" s="317" t="s">
        <v>34</v>
      </c>
      <c r="E438" s="317" t="s">
        <v>30</v>
      </c>
      <c r="F438" s="254">
        <v>45688</v>
      </c>
      <c r="G438" s="702" t="s">
        <v>31</v>
      </c>
      <c r="H438" s="702"/>
      <c r="I438" s="702"/>
      <c r="J438" s="702"/>
      <c r="K438" s="254">
        <v>45688</v>
      </c>
      <c r="L438" s="317" t="s">
        <v>32</v>
      </c>
      <c r="M438" s="259"/>
      <c r="N438" s="218"/>
    </row>
    <row r="439" spans="2:15" x14ac:dyDescent="0.2">
      <c r="B439" s="259">
        <v>120</v>
      </c>
      <c r="C439" s="284" t="s">
        <v>366</v>
      </c>
      <c r="D439" s="283" t="s">
        <v>29</v>
      </c>
      <c r="E439" s="317" t="s">
        <v>432</v>
      </c>
      <c r="F439" s="254">
        <v>45689</v>
      </c>
      <c r="G439" s="702" t="s">
        <v>31</v>
      </c>
      <c r="H439" s="702"/>
      <c r="I439" s="702"/>
      <c r="J439" s="702"/>
      <c r="K439" s="254">
        <v>45689</v>
      </c>
      <c r="L439" s="317" t="s">
        <v>32</v>
      </c>
      <c r="M439" s="226"/>
      <c r="N439" s="218"/>
    </row>
    <row r="440" spans="2:15" x14ac:dyDescent="0.2">
      <c r="B440" s="259">
        <v>121</v>
      </c>
      <c r="C440" s="284" t="s">
        <v>367</v>
      </c>
      <c r="D440" s="283" t="s">
        <v>34</v>
      </c>
      <c r="E440" s="317" t="s">
        <v>30</v>
      </c>
      <c r="F440" s="254">
        <v>45689</v>
      </c>
      <c r="G440" s="702" t="s">
        <v>31</v>
      </c>
      <c r="H440" s="702"/>
      <c r="I440" s="702"/>
      <c r="J440" s="702"/>
      <c r="K440" s="254">
        <v>45689</v>
      </c>
      <c r="L440" s="317" t="s">
        <v>32</v>
      </c>
      <c r="M440" s="226"/>
      <c r="N440" s="218"/>
    </row>
    <row r="441" spans="2:15" x14ac:dyDescent="0.2">
      <c r="B441" s="259">
        <v>122</v>
      </c>
      <c r="C441" s="284" t="s">
        <v>266</v>
      </c>
      <c r="D441" s="283" t="s">
        <v>29</v>
      </c>
      <c r="E441" s="317" t="s">
        <v>337</v>
      </c>
      <c r="F441" s="254">
        <v>45689</v>
      </c>
      <c r="G441" s="702" t="s">
        <v>31</v>
      </c>
      <c r="H441" s="702"/>
      <c r="I441" s="702"/>
      <c r="J441" s="702"/>
      <c r="K441" s="254">
        <v>45689</v>
      </c>
      <c r="L441" s="317" t="s">
        <v>513</v>
      </c>
      <c r="M441" s="226"/>
      <c r="N441" s="218"/>
    </row>
    <row r="442" spans="2:15" x14ac:dyDescent="0.2">
      <c r="B442" s="259">
        <v>123</v>
      </c>
      <c r="C442" s="284" t="s">
        <v>327</v>
      </c>
      <c r="D442" s="317" t="s">
        <v>502</v>
      </c>
      <c r="E442" s="317" t="s">
        <v>462</v>
      </c>
      <c r="F442" s="254">
        <v>45689</v>
      </c>
      <c r="G442" s="703" t="s">
        <v>31</v>
      </c>
      <c r="H442" s="704"/>
      <c r="I442" s="704"/>
      <c r="J442" s="705"/>
      <c r="K442" s="254">
        <v>45689</v>
      </c>
      <c r="L442" s="317" t="s">
        <v>449</v>
      </c>
      <c r="M442" s="226"/>
      <c r="N442" s="218"/>
    </row>
    <row r="443" spans="2:15" x14ac:dyDescent="0.2">
      <c r="B443" s="259">
        <v>124</v>
      </c>
      <c r="C443" s="284" t="s">
        <v>382</v>
      </c>
      <c r="D443" s="317" t="s">
        <v>34</v>
      </c>
      <c r="E443" s="317" t="s">
        <v>30</v>
      </c>
      <c r="F443" s="254">
        <v>45690</v>
      </c>
      <c r="G443" s="703" t="s">
        <v>31</v>
      </c>
      <c r="H443" s="704"/>
      <c r="I443" s="704"/>
      <c r="J443" s="705"/>
      <c r="K443" s="254">
        <v>45690</v>
      </c>
      <c r="L443" s="317" t="s">
        <v>532</v>
      </c>
      <c r="M443" s="226"/>
      <c r="N443" s="218"/>
    </row>
    <row r="444" spans="2:15" x14ac:dyDescent="0.2">
      <c r="B444" s="259">
        <v>125</v>
      </c>
      <c r="C444" s="284" t="s">
        <v>390</v>
      </c>
      <c r="D444" s="283" t="s">
        <v>29</v>
      </c>
      <c r="E444" s="317" t="s">
        <v>337</v>
      </c>
      <c r="F444" s="254">
        <v>45691</v>
      </c>
      <c r="G444" s="703" t="s">
        <v>31</v>
      </c>
      <c r="H444" s="704"/>
      <c r="I444" s="704"/>
      <c r="J444" s="705"/>
      <c r="K444" s="254">
        <v>45691</v>
      </c>
      <c r="L444" s="317" t="s">
        <v>493</v>
      </c>
      <c r="M444" s="226"/>
      <c r="N444" s="218"/>
    </row>
    <row r="445" spans="2:15" x14ac:dyDescent="0.2">
      <c r="B445" s="259">
        <v>126</v>
      </c>
      <c r="C445" s="284" t="s">
        <v>392</v>
      </c>
      <c r="D445" s="317" t="s">
        <v>43</v>
      </c>
      <c r="E445" s="317" t="s">
        <v>30</v>
      </c>
      <c r="F445" s="254">
        <v>45691</v>
      </c>
      <c r="G445" s="703" t="s">
        <v>31</v>
      </c>
      <c r="H445" s="704"/>
      <c r="I445" s="704"/>
      <c r="J445" s="705"/>
      <c r="K445" s="254">
        <v>45691</v>
      </c>
      <c r="L445" s="317" t="s">
        <v>505</v>
      </c>
      <c r="M445" s="226"/>
      <c r="N445" s="218"/>
    </row>
    <row r="446" spans="2:15" s="221" customFormat="1" x14ac:dyDescent="0.2">
      <c r="B446" s="259">
        <v>127</v>
      </c>
      <c r="C446" s="291" t="s">
        <v>393</v>
      </c>
      <c r="D446" s="317" t="s">
        <v>29</v>
      </c>
      <c r="E446" s="317" t="s">
        <v>30</v>
      </c>
      <c r="F446" s="290">
        <v>45691</v>
      </c>
      <c r="G446" s="703" t="s">
        <v>31</v>
      </c>
      <c r="H446" s="704"/>
      <c r="I446" s="704"/>
      <c r="J446" s="705"/>
      <c r="K446" s="290">
        <v>45691</v>
      </c>
      <c r="L446" s="317" t="s">
        <v>493</v>
      </c>
      <c r="M446" s="226"/>
      <c r="N446" s="219"/>
      <c r="O446" s="222"/>
    </row>
    <row r="447" spans="2:15" s="221" customFormat="1" ht="12.75" customHeight="1" x14ac:dyDescent="0.2">
      <c r="B447" s="259">
        <v>128</v>
      </c>
      <c r="C447" s="297" t="s">
        <v>288</v>
      </c>
      <c r="D447" s="295" t="s">
        <v>541</v>
      </c>
      <c r="E447" s="295" t="s">
        <v>30</v>
      </c>
      <c r="F447" s="296">
        <v>45588</v>
      </c>
      <c r="G447" s="725" t="s">
        <v>31</v>
      </c>
      <c r="H447" s="726"/>
      <c r="I447" s="726"/>
      <c r="J447" s="727"/>
      <c r="K447" s="296">
        <v>45588</v>
      </c>
      <c r="L447" s="295" t="s">
        <v>61</v>
      </c>
      <c r="M447" s="226"/>
      <c r="N447" s="219"/>
      <c r="O447" s="222"/>
    </row>
    <row r="448" spans="2:15" s="221" customFormat="1" x14ac:dyDescent="0.2">
      <c r="B448" s="259">
        <v>129</v>
      </c>
      <c r="C448" s="294" t="s">
        <v>315</v>
      </c>
      <c r="D448" s="295" t="s">
        <v>34</v>
      </c>
      <c r="E448" s="295" t="s">
        <v>455</v>
      </c>
      <c r="F448" s="296">
        <v>45672</v>
      </c>
      <c r="G448" s="725" t="s">
        <v>31</v>
      </c>
      <c r="H448" s="726"/>
      <c r="I448" s="726"/>
      <c r="J448" s="727"/>
      <c r="K448" s="296">
        <v>45672</v>
      </c>
      <c r="L448" s="295" t="s">
        <v>530</v>
      </c>
      <c r="M448" s="226"/>
      <c r="N448" s="219"/>
      <c r="O448" s="222"/>
    </row>
    <row r="449" spans="2:15" s="221" customFormat="1" x14ac:dyDescent="0.2">
      <c r="B449" s="259">
        <v>130</v>
      </c>
      <c r="C449" s="294" t="s">
        <v>399</v>
      </c>
      <c r="D449" s="295" t="s">
        <v>29</v>
      </c>
      <c r="E449" s="295" t="s">
        <v>30</v>
      </c>
      <c r="F449" s="296">
        <v>45691</v>
      </c>
      <c r="G449" s="725" t="s">
        <v>31</v>
      </c>
      <c r="H449" s="726"/>
      <c r="I449" s="726"/>
      <c r="J449" s="727"/>
      <c r="K449" s="296">
        <v>45691</v>
      </c>
      <c r="L449" s="295" t="s">
        <v>493</v>
      </c>
      <c r="M449" s="226"/>
      <c r="N449" s="219"/>
      <c r="O449" s="222"/>
    </row>
    <row r="450" spans="2:15" x14ac:dyDescent="0.2">
      <c r="B450" s="259">
        <v>131</v>
      </c>
      <c r="C450" s="284" t="s">
        <v>376</v>
      </c>
      <c r="D450" s="283" t="s">
        <v>29</v>
      </c>
      <c r="E450" s="317" t="s">
        <v>30</v>
      </c>
      <c r="F450" s="254">
        <v>45690</v>
      </c>
      <c r="G450" s="703" t="s">
        <v>31</v>
      </c>
      <c r="H450" s="704"/>
      <c r="I450" s="704"/>
      <c r="J450" s="705"/>
      <c r="K450" s="254">
        <v>45690</v>
      </c>
      <c r="L450" s="317" t="s">
        <v>32</v>
      </c>
      <c r="M450" s="226"/>
      <c r="N450" s="218"/>
    </row>
    <row r="451" spans="2:15" x14ac:dyDescent="0.2">
      <c r="B451" s="259">
        <v>132</v>
      </c>
      <c r="C451" s="431" t="s">
        <v>377</v>
      </c>
      <c r="D451" s="432" t="s">
        <v>29</v>
      </c>
      <c r="E451" s="432" t="s">
        <v>30</v>
      </c>
      <c r="F451" s="433">
        <v>45691</v>
      </c>
      <c r="G451" s="722" t="s">
        <v>31</v>
      </c>
      <c r="H451" s="723"/>
      <c r="I451" s="723"/>
      <c r="J451" s="724"/>
      <c r="K451" s="433">
        <v>45691</v>
      </c>
      <c r="L451" s="317" t="s">
        <v>516</v>
      </c>
      <c r="M451" s="340"/>
      <c r="N451" s="258"/>
    </row>
    <row r="452" spans="2:15" ht="12" customHeight="1" x14ac:dyDescent="0.2">
      <c r="B452" s="259">
        <v>133</v>
      </c>
      <c r="C452" s="284" t="s">
        <v>395</v>
      </c>
      <c r="D452" s="317" t="s">
        <v>531</v>
      </c>
      <c r="E452" s="317" t="s">
        <v>30</v>
      </c>
      <c r="F452" s="254">
        <v>45692</v>
      </c>
      <c r="G452" s="703" t="s">
        <v>31</v>
      </c>
      <c r="H452" s="704"/>
      <c r="I452" s="704"/>
      <c r="J452" s="705"/>
      <c r="K452" s="254">
        <v>45692</v>
      </c>
      <c r="L452" s="317" t="s">
        <v>515</v>
      </c>
      <c r="M452" s="226"/>
      <c r="N452" s="218"/>
    </row>
    <row r="453" spans="2:15" x14ac:dyDescent="0.2">
      <c r="B453" s="259">
        <v>134</v>
      </c>
      <c r="C453" s="284" t="s">
        <v>407</v>
      </c>
      <c r="D453" s="317" t="s">
        <v>167</v>
      </c>
      <c r="E453" s="317" t="s">
        <v>30</v>
      </c>
      <c r="F453" s="254">
        <v>45692</v>
      </c>
      <c r="G453" s="703" t="s">
        <v>31</v>
      </c>
      <c r="H453" s="704"/>
      <c r="I453" s="704"/>
      <c r="J453" s="705"/>
      <c r="K453" s="254">
        <v>45692</v>
      </c>
      <c r="L453" s="317" t="s">
        <v>515</v>
      </c>
      <c r="M453" s="226"/>
      <c r="N453" s="218"/>
    </row>
    <row r="454" spans="2:15" x14ac:dyDescent="0.2">
      <c r="B454" s="259">
        <v>135</v>
      </c>
      <c r="C454" s="284" t="s">
        <v>408</v>
      </c>
      <c r="D454" s="317" t="s">
        <v>29</v>
      </c>
      <c r="E454" s="317" t="s">
        <v>432</v>
      </c>
      <c r="F454" s="254">
        <v>45692</v>
      </c>
      <c r="G454" s="703" t="s">
        <v>31</v>
      </c>
      <c r="H454" s="704"/>
      <c r="I454" s="704"/>
      <c r="J454" s="705"/>
      <c r="K454" s="254">
        <v>45692</v>
      </c>
      <c r="L454" s="317" t="s">
        <v>515</v>
      </c>
      <c r="M454" s="226"/>
      <c r="N454" s="218"/>
    </row>
    <row r="455" spans="2:15" x14ac:dyDescent="0.2">
      <c r="B455" s="259">
        <v>136</v>
      </c>
      <c r="C455" s="284" t="s">
        <v>410</v>
      </c>
      <c r="D455" s="283" t="s">
        <v>34</v>
      </c>
      <c r="E455" s="317" t="s">
        <v>30</v>
      </c>
      <c r="F455" s="254">
        <v>45692</v>
      </c>
      <c r="G455" s="703" t="s">
        <v>31</v>
      </c>
      <c r="H455" s="704"/>
      <c r="I455" s="704"/>
      <c r="J455" s="705"/>
      <c r="K455" s="254">
        <v>45692</v>
      </c>
      <c r="L455" s="317" t="s">
        <v>515</v>
      </c>
      <c r="M455" s="226"/>
      <c r="N455" s="218"/>
    </row>
    <row r="456" spans="2:15" x14ac:dyDescent="0.2">
      <c r="B456" s="259">
        <v>137</v>
      </c>
      <c r="C456" s="284" t="s">
        <v>500</v>
      </c>
      <c r="D456" s="283" t="s">
        <v>43</v>
      </c>
      <c r="E456" s="317" t="s">
        <v>30</v>
      </c>
      <c r="F456" s="254">
        <v>45693</v>
      </c>
      <c r="G456" s="703" t="s">
        <v>31</v>
      </c>
      <c r="H456" s="704"/>
      <c r="I456" s="704"/>
      <c r="J456" s="705"/>
      <c r="K456" s="254">
        <v>45693</v>
      </c>
      <c r="L456" s="317" t="s">
        <v>32</v>
      </c>
      <c r="M456" s="226"/>
      <c r="N456" s="218"/>
    </row>
    <row r="457" spans="2:15" x14ac:dyDescent="0.2">
      <c r="B457" s="259">
        <v>138</v>
      </c>
      <c r="C457" s="284" t="s">
        <v>383</v>
      </c>
      <c r="D457" s="317" t="s">
        <v>34</v>
      </c>
      <c r="E457" s="317" t="s">
        <v>30</v>
      </c>
      <c r="F457" s="254">
        <v>45328</v>
      </c>
      <c r="G457" s="703" t="s">
        <v>31</v>
      </c>
      <c r="H457" s="704"/>
      <c r="I457" s="704"/>
      <c r="J457" s="705"/>
      <c r="K457" s="254">
        <v>45328</v>
      </c>
      <c r="L457" s="317" t="s">
        <v>516</v>
      </c>
      <c r="M457" s="259"/>
      <c r="N457" s="218"/>
    </row>
    <row r="458" spans="2:15" x14ac:dyDescent="0.2">
      <c r="B458" s="259">
        <v>139</v>
      </c>
      <c r="C458" s="284" t="s">
        <v>264</v>
      </c>
      <c r="D458" s="317" t="s">
        <v>131</v>
      </c>
      <c r="E458" s="317" t="s">
        <v>30</v>
      </c>
      <c r="F458" s="254">
        <v>45695</v>
      </c>
      <c r="G458" s="703" t="s">
        <v>31</v>
      </c>
      <c r="H458" s="704"/>
      <c r="I458" s="704"/>
      <c r="J458" s="705"/>
      <c r="K458" s="254">
        <v>45695</v>
      </c>
      <c r="L458" s="317" t="s">
        <v>513</v>
      </c>
      <c r="M458" s="259"/>
      <c r="N458" s="218"/>
    </row>
    <row r="459" spans="2:15" x14ac:dyDescent="0.2">
      <c r="B459" s="259">
        <v>140</v>
      </c>
      <c r="C459" s="260" t="s">
        <v>362</v>
      </c>
      <c r="D459" s="317" t="s">
        <v>29</v>
      </c>
      <c r="E459" s="317" t="s">
        <v>337</v>
      </c>
      <c r="F459" s="254">
        <v>45691</v>
      </c>
      <c r="G459" s="703" t="s">
        <v>31</v>
      </c>
      <c r="H459" s="704"/>
      <c r="I459" s="704"/>
      <c r="J459" s="705"/>
      <c r="K459" s="254">
        <v>45691</v>
      </c>
      <c r="L459" s="317" t="s">
        <v>32</v>
      </c>
      <c r="M459" s="259"/>
      <c r="N459" s="218"/>
    </row>
    <row r="460" spans="2:15" x14ac:dyDescent="0.2">
      <c r="B460" s="259">
        <v>141</v>
      </c>
      <c r="C460" s="284" t="s">
        <v>361</v>
      </c>
      <c r="D460" s="317" t="s">
        <v>285</v>
      </c>
      <c r="E460" s="317" t="s">
        <v>432</v>
      </c>
      <c r="F460" s="254">
        <v>45691</v>
      </c>
      <c r="G460" s="703" t="s">
        <v>31</v>
      </c>
      <c r="H460" s="704"/>
      <c r="I460" s="704"/>
      <c r="J460" s="705"/>
      <c r="K460" s="254">
        <v>45691</v>
      </c>
      <c r="L460" s="317" t="s">
        <v>32</v>
      </c>
      <c r="M460" s="259"/>
      <c r="N460" s="218"/>
    </row>
    <row r="461" spans="2:15" ht="14.25" customHeight="1" x14ac:dyDescent="0.2">
      <c r="B461" s="259">
        <v>142</v>
      </c>
      <c r="C461" s="284" t="s">
        <v>384</v>
      </c>
      <c r="D461" s="317" t="s">
        <v>29</v>
      </c>
      <c r="E461" s="317" t="s">
        <v>30</v>
      </c>
      <c r="F461" s="254">
        <v>45692</v>
      </c>
      <c r="G461" s="703" t="s">
        <v>31</v>
      </c>
      <c r="H461" s="704"/>
      <c r="I461" s="704"/>
      <c r="J461" s="705"/>
      <c r="K461" s="254">
        <v>45692</v>
      </c>
      <c r="L461" s="317" t="s">
        <v>516</v>
      </c>
      <c r="M461" s="259"/>
      <c r="N461" s="218"/>
    </row>
    <row r="462" spans="2:15" x14ac:dyDescent="0.2">
      <c r="B462" s="259">
        <v>143</v>
      </c>
      <c r="C462" s="284" t="s">
        <v>358</v>
      </c>
      <c r="D462" s="317" t="s">
        <v>131</v>
      </c>
      <c r="E462" s="317" t="s">
        <v>336</v>
      </c>
      <c r="F462" s="254">
        <v>45693</v>
      </c>
      <c r="G462" s="703" t="s">
        <v>31</v>
      </c>
      <c r="H462" s="704"/>
      <c r="I462" s="704"/>
      <c r="J462" s="705"/>
      <c r="K462" s="254">
        <v>45693</v>
      </c>
      <c r="L462" s="317" t="s">
        <v>32</v>
      </c>
      <c r="M462" s="259"/>
      <c r="N462" s="218"/>
    </row>
    <row r="463" spans="2:15" x14ac:dyDescent="0.2">
      <c r="B463" s="259">
        <v>144</v>
      </c>
      <c r="C463" s="284" t="s">
        <v>306</v>
      </c>
      <c r="D463" s="317" t="s">
        <v>502</v>
      </c>
      <c r="E463" s="317" t="s">
        <v>455</v>
      </c>
      <c r="F463" s="254">
        <v>45698</v>
      </c>
      <c r="G463" s="703" t="s">
        <v>31</v>
      </c>
      <c r="H463" s="704"/>
      <c r="I463" s="704"/>
      <c r="J463" s="705"/>
      <c r="K463" s="254">
        <v>45698</v>
      </c>
      <c r="L463" s="317" t="s">
        <v>530</v>
      </c>
      <c r="M463" s="259"/>
      <c r="N463" s="218"/>
    </row>
    <row r="464" spans="2:15" x14ac:dyDescent="0.2">
      <c r="B464" s="259">
        <v>145</v>
      </c>
      <c r="C464" s="260" t="s">
        <v>388</v>
      </c>
      <c r="D464" s="317" t="s">
        <v>131</v>
      </c>
      <c r="E464" s="317" t="s">
        <v>30</v>
      </c>
      <c r="F464" s="254">
        <v>45700</v>
      </c>
      <c r="G464" s="703" t="s">
        <v>31</v>
      </c>
      <c r="H464" s="704"/>
      <c r="I464" s="704"/>
      <c r="J464" s="705"/>
      <c r="K464" s="254">
        <v>45700</v>
      </c>
      <c r="L464" s="298" t="s">
        <v>510</v>
      </c>
      <c r="M464" s="259"/>
      <c r="N464" s="218"/>
    </row>
    <row r="465" spans="2:14" x14ac:dyDescent="0.2">
      <c r="B465" s="259">
        <v>146</v>
      </c>
      <c r="C465" s="284" t="s">
        <v>261</v>
      </c>
      <c r="D465" s="317" t="s">
        <v>206</v>
      </c>
      <c r="E465" s="317" t="s">
        <v>30</v>
      </c>
      <c r="F465" s="254">
        <v>45701</v>
      </c>
      <c r="G465" s="703" t="s">
        <v>31</v>
      </c>
      <c r="H465" s="704"/>
      <c r="I465" s="704"/>
      <c r="J465" s="705"/>
      <c r="K465" s="254">
        <v>45701</v>
      </c>
      <c r="L465" s="317" t="s">
        <v>449</v>
      </c>
      <c r="M465" s="259"/>
      <c r="N465" s="218"/>
    </row>
    <row r="466" spans="2:14" ht="14.25" customHeight="1" x14ac:dyDescent="0.2">
      <c r="B466" s="259">
        <v>147</v>
      </c>
      <c r="C466" s="284" t="s">
        <v>262</v>
      </c>
      <c r="D466" s="317" t="s">
        <v>205</v>
      </c>
      <c r="E466" s="317" t="s">
        <v>30</v>
      </c>
      <c r="F466" s="254">
        <v>45701</v>
      </c>
      <c r="G466" s="703" t="s">
        <v>31</v>
      </c>
      <c r="H466" s="704"/>
      <c r="I466" s="704"/>
      <c r="J466" s="705"/>
      <c r="K466" s="254">
        <v>45701</v>
      </c>
      <c r="L466" s="317" t="s">
        <v>449</v>
      </c>
      <c r="M466" s="259"/>
      <c r="N466" s="218"/>
    </row>
    <row r="467" spans="2:14" x14ac:dyDescent="0.2">
      <c r="B467" s="259">
        <v>148</v>
      </c>
      <c r="C467" s="284" t="s">
        <v>370</v>
      </c>
      <c r="D467" s="317" t="s">
        <v>29</v>
      </c>
      <c r="E467" s="317" t="s">
        <v>30</v>
      </c>
      <c r="F467" s="254">
        <v>45701</v>
      </c>
      <c r="G467" s="703" t="s">
        <v>31</v>
      </c>
      <c r="H467" s="704"/>
      <c r="I467" s="704"/>
      <c r="J467" s="705"/>
      <c r="K467" s="254">
        <v>45701</v>
      </c>
      <c r="L467" s="317" t="s">
        <v>32</v>
      </c>
      <c r="M467" s="259"/>
      <c r="N467" s="218"/>
    </row>
    <row r="468" spans="2:14" x14ac:dyDescent="0.2">
      <c r="B468" s="259">
        <v>149</v>
      </c>
      <c r="C468" s="431" t="s">
        <v>371</v>
      </c>
      <c r="D468" s="432" t="s">
        <v>285</v>
      </c>
      <c r="E468" s="432" t="s">
        <v>30</v>
      </c>
      <c r="F468" s="433">
        <v>45701</v>
      </c>
      <c r="G468" s="722" t="s">
        <v>31</v>
      </c>
      <c r="H468" s="723"/>
      <c r="I468" s="723"/>
      <c r="J468" s="724"/>
      <c r="K468" s="433">
        <v>45701</v>
      </c>
      <c r="L468" s="434" t="s">
        <v>32</v>
      </c>
      <c r="M468" s="317"/>
      <c r="N468" s="258"/>
    </row>
    <row r="469" spans="2:14" x14ac:dyDescent="0.2">
      <c r="B469" s="259">
        <v>150</v>
      </c>
      <c r="C469" s="284" t="s">
        <v>265</v>
      </c>
      <c r="D469" s="317" t="s">
        <v>34</v>
      </c>
      <c r="E469" s="317" t="s">
        <v>337</v>
      </c>
      <c r="F469" s="254">
        <v>45702</v>
      </c>
      <c r="G469" s="703" t="s">
        <v>31</v>
      </c>
      <c r="H469" s="704"/>
      <c r="I469" s="704"/>
      <c r="J469" s="705"/>
      <c r="K469" s="254">
        <v>45702</v>
      </c>
      <c r="L469" s="317" t="s">
        <v>513</v>
      </c>
      <c r="M469" s="259"/>
      <c r="N469" s="218"/>
    </row>
    <row r="470" spans="2:14" x14ac:dyDescent="0.2">
      <c r="B470" s="259">
        <v>151</v>
      </c>
      <c r="C470" s="284" t="s">
        <v>379</v>
      </c>
      <c r="D470" s="317" t="s">
        <v>501</v>
      </c>
      <c r="E470" s="317" t="s">
        <v>30</v>
      </c>
      <c r="F470" s="254">
        <v>45702</v>
      </c>
      <c r="G470" s="703" t="s">
        <v>31</v>
      </c>
      <c r="H470" s="704"/>
      <c r="I470" s="704"/>
      <c r="J470" s="705"/>
      <c r="K470" s="254">
        <v>45702</v>
      </c>
      <c r="L470" s="317" t="s">
        <v>32</v>
      </c>
      <c r="M470" s="259"/>
      <c r="N470" s="218"/>
    </row>
    <row r="471" spans="2:14" x14ac:dyDescent="0.2">
      <c r="B471" s="259">
        <v>152</v>
      </c>
      <c r="C471" s="284" t="s">
        <v>380</v>
      </c>
      <c r="D471" s="317" t="s">
        <v>29</v>
      </c>
      <c r="E471" s="317" t="s">
        <v>30</v>
      </c>
      <c r="F471" s="254">
        <v>45703</v>
      </c>
      <c r="G471" s="703" t="s">
        <v>31</v>
      </c>
      <c r="H471" s="704"/>
      <c r="I471" s="704"/>
      <c r="J471" s="705"/>
      <c r="K471" s="254">
        <v>45703</v>
      </c>
      <c r="L471" s="317" t="s">
        <v>516</v>
      </c>
      <c r="M471" s="259"/>
      <c r="N471" s="218"/>
    </row>
    <row r="472" spans="2:14" x14ac:dyDescent="0.2">
      <c r="B472" s="259">
        <v>153</v>
      </c>
      <c r="C472" s="258" t="s">
        <v>381</v>
      </c>
      <c r="D472" s="317" t="s">
        <v>34</v>
      </c>
      <c r="E472" s="317" t="s">
        <v>30</v>
      </c>
      <c r="F472" s="254">
        <v>45703</v>
      </c>
      <c r="G472" s="703" t="s">
        <v>31</v>
      </c>
      <c r="H472" s="704"/>
      <c r="I472" s="704"/>
      <c r="J472" s="705"/>
      <c r="K472" s="254">
        <v>45703</v>
      </c>
      <c r="L472" s="317" t="s">
        <v>516</v>
      </c>
      <c r="M472" s="259"/>
      <c r="N472" s="218"/>
    </row>
    <row r="473" spans="2:14" x14ac:dyDescent="0.2">
      <c r="B473" s="259">
        <v>154</v>
      </c>
      <c r="C473" s="258" t="s">
        <v>350</v>
      </c>
      <c r="D473" s="317" t="s">
        <v>353</v>
      </c>
      <c r="E473" s="228" t="s">
        <v>30</v>
      </c>
      <c r="F473" s="254">
        <v>45705</v>
      </c>
      <c r="G473" s="703" t="s">
        <v>31</v>
      </c>
      <c r="H473" s="704"/>
      <c r="I473" s="704"/>
      <c r="J473" s="705"/>
      <c r="K473" s="254">
        <v>45705</v>
      </c>
      <c r="L473" s="317" t="s">
        <v>32</v>
      </c>
      <c r="M473" s="259"/>
      <c r="N473" s="218"/>
    </row>
    <row r="474" spans="2:14" x14ac:dyDescent="0.2">
      <c r="B474" s="259">
        <v>155</v>
      </c>
      <c r="C474" s="284" t="s">
        <v>267</v>
      </c>
      <c r="D474" s="317" t="s">
        <v>34</v>
      </c>
      <c r="E474" s="317" t="s">
        <v>30</v>
      </c>
      <c r="F474" s="254">
        <v>45705</v>
      </c>
      <c r="G474" s="703" t="s">
        <v>31</v>
      </c>
      <c r="H474" s="704"/>
      <c r="I474" s="704"/>
      <c r="J474" s="705"/>
      <c r="K474" s="254">
        <v>45705</v>
      </c>
      <c r="L474" s="317" t="s">
        <v>513</v>
      </c>
      <c r="M474" s="259"/>
      <c r="N474" s="218"/>
    </row>
    <row r="475" spans="2:14" x14ac:dyDescent="0.2">
      <c r="B475" s="259">
        <v>156</v>
      </c>
      <c r="C475" s="284" t="s">
        <v>268</v>
      </c>
      <c r="D475" s="317" t="s">
        <v>34</v>
      </c>
      <c r="E475" s="317" t="s">
        <v>30</v>
      </c>
      <c r="F475" s="254">
        <v>45705</v>
      </c>
      <c r="G475" s="703" t="s">
        <v>31</v>
      </c>
      <c r="H475" s="704"/>
      <c r="I475" s="704"/>
      <c r="J475" s="705"/>
      <c r="K475" s="254">
        <v>45705</v>
      </c>
      <c r="L475" s="317" t="s">
        <v>513</v>
      </c>
      <c r="M475" s="259"/>
      <c r="N475" s="218"/>
    </row>
    <row r="476" spans="2:14" ht="14.25" customHeight="1" x14ac:dyDescent="0.2">
      <c r="B476" s="259">
        <v>157</v>
      </c>
      <c r="C476" s="299" t="s">
        <v>356</v>
      </c>
      <c r="D476" s="295" t="s">
        <v>167</v>
      </c>
      <c r="E476" s="295" t="s">
        <v>432</v>
      </c>
      <c r="F476" s="296">
        <v>45575</v>
      </c>
      <c r="G476" s="725" t="s">
        <v>31</v>
      </c>
      <c r="H476" s="726"/>
      <c r="I476" s="726"/>
      <c r="J476" s="727"/>
      <c r="K476" s="296">
        <v>45575</v>
      </c>
      <c r="L476" s="317" t="s">
        <v>175</v>
      </c>
      <c r="M476" s="259"/>
      <c r="N476" s="218"/>
    </row>
    <row r="477" spans="2:14" x14ac:dyDescent="0.2">
      <c r="B477" s="259">
        <v>158</v>
      </c>
      <c r="C477" s="299" t="s">
        <v>279</v>
      </c>
      <c r="D477" s="295" t="s">
        <v>29</v>
      </c>
      <c r="E477" s="295" t="s">
        <v>30</v>
      </c>
      <c r="F477" s="296">
        <v>45666</v>
      </c>
      <c r="G477" s="725" t="s">
        <v>31</v>
      </c>
      <c r="H477" s="726"/>
      <c r="I477" s="726"/>
      <c r="J477" s="727"/>
      <c r="K477" s="296">
        <v>45666</v>
      </c>
      <c r="L477" s="317" t="s">
        <v>513</v>
      </c>
      <c r="M477" s="259"/>
      <c r="N477" s="218"/>
    </row>
    <row r="478" spans="2:14" x14ac:dyDescent="0.2">
      <c r="B478" s="259">
        <v>159</v>
      </c>
      <c r="C478" s="299" t="s">
        <v>286</v>
      </c>
      <c r="D478" s="295" t="s">
        <v>34</v>
      </c>
      <c r="E478" s="295" t="s">
        <v>432</v>
      </c>
      <c r="F478" s="296">
        <v>45587</v>
      </c>
      <c r="G478" s="725" t="s">
        <v>31</v>
      </c>
      <c r="H478" s="726"/>
      <c r="I478" s="726"/>
      <c r="J478" s="727"/>
      <c r="K478" s="296">
        <v>45587</v>
      </c>
      <c r="L478" s="317" t="s">
        <v>616</v>
      </c>
      <c r="M478" s="259"/>
      <c r="N478" s="218"/>
    </row>
    <row r="479" spans="2:14" x14ac:dyDescent="0.2">
      <c r="B479" s="259">
        <v>160</v>
      </c>
      <c r="C479" s="299" t="s">
        <v>325</v>
      </c>
      <c r="D479" s="295" t="s">
        <v>29</v>
      </c>
      <c r="E479" s="295" t="s">
        <v>30</v>
      </c>
      <c r="F479" s="296">
        <v>45637</v>
      </c>
      <c r="G479" s="725" t="s">
        <v>31</v>
      </c>
      <c r="H479" s="726"/>
      <c r="I479" s="726"/>
      <c r="J479" s="727"/>
      <c r="K479" s="296">
        <v>45637</v>
      </c>
      <c r="L479" s="317" t="s">
        <v>124</v>
      </c>
      <c r="M479" s="259"/>
      <c r="N479" s="218"/>
    </row>
    <row r="480" spans="2:14" x14ac:dyDescent="0.2">
      <c r="B480" s="259">
        <v>161</v>
      </c>
      <c r="C480" s="255" t="s">
        <v>273</v>
      </c>
      <c r="D480" s="317" t="s">
        <v>43</v>
      </c>
      <c r="E480" s="317" t="s">
        <v>30</v>
      </c>
      <c r="F480" s="254">
        <v>45712</v>
      </c>
      <c r="G480" s="703" t="s">
        <v>31</v>
      </c>
      <c r="H480" s="704"/>
      <c r="I480" s="704"/>
      <c r="J480" s="705"/>
      <c r="K480" s="254">
        <v>45712</v>
      </c>
      <c r="L480" s="317" t="s">
        <v>530</v>
      </c>
      <c r="M480" s="226"/>
      <c r="N480" s="218"/>
    </row>
    <row r="481" spans="2:14" x14ac:dyDescent="0.2">
      <c r="B481" s="259">
        <v>162</v>
      </c>
      <c r="C481" s="255" t="s">
        <v>422</v>
      </c>
      <c r="D481" s="317" t="s">
        <v>29</v>
      </c>
      <c r="E481" s="317" t="s">
        <v>30</v>
      </c>
      <c r="F481" s="254">
        <v>45718</v>
      </c>
      <c r="G481" s="703" t="s">
        <v>31</v>
      </c>
      <c r="H481" s="704"/>
      <c r="I481" s="704"/>
      <c r="J481" s="705"/>
      <c r="K481" s="254">
        <v>45718</v>
      </c>
      <c r="L481" s="317" t="s">
        <v>516</v>
      </c>
      <c r="M481" s="226"/>
      <c r="N481" s="218"/>
    </row>
    <row r="482" spans="2:14" x14ac:dyDescent="0.2">
      <c r="B482" s="259">
        <v>163</v>
      </c>
      <c r="C482" s="255" t="s">
        <v>423</v>
      </c>
      <c r="D482" s="317" t="s">
        <v>47</v>
      </c>
      <c r="E482" s="317" t="s">
        <v>30</v>
      </c>
      <c r="F482" s="254">
        <v>45718</v>
      </c>
      <c r="G482" s="703" t="s">
        <v>31</v>
      </c>
      <c r="H482" s="704"/>
      <c r="I482" s="704"/>
      <c r="J482" s="705"/>
      <c r="K482" s="254">
        <v>45718</v>
      </c>
      <c r="L482" s="317" t="s">
        <v>516</v>
      </c>
      <c r="M482" s="226"/>
      <c r="N482" s="218"/>
    </row>
    <row r="483" spans="2:14" x14ac:dyDescent="0.2">
      <c r="B483" s="259">
        <v>164</v>
      </c>
      <c r="C483" s="255" t="s">
        <v>409</v>
      </c>
      <c r="D483" s="317" t="s">
        <v>43</v>
      </c>
      <c r="E483" s="317" t="s">
        <v>432</v>
      </c>
      <c r="F483" s="254">
        <v>45718</v>
      </c>
      <c r="G483" s="703" t="s">
        <v>31</v>
      </c>
      <c r="H483" s="704"/>
      <c r="I483" s="704"/>
      <c r="J483" s="705"/>
      <c r="K483" s="254">
        <v>45718</v>
      </c>
      <c r="L483" s="317" t="s">
        <v>515</v>
      </c>
      <c r="M483" s="226"/>
      <c r="N483" s="218"/>
    </row>
    <row r="484" spans="2:14" x14ac:dyDescent="0.2">
      <c r="B484" s="259">
        <v>165</v>
      </c>
      <c r="C484" s="255" t="s">
        <v>411</v>
      </c>
      <c r="D484" s="317" t="s">
        <v>47</v>
      </c>
      <c r="E484" s="317" t="s">
        <v>30</v>
      </c>
      <c r="F484" s="254">
        <v>45718</v>
      </c>
      <c r="G484" s="703" t="s">
        <v>31</v>
      </c>
      <c r="H484" s="704"/>
      <c r="I484" s="704"/>
      <c r="J484" s="705"/>
      <c r="K484" s="254">
        <v>45718</v>
      </c>
      <c r="L484" s="317" t="s">
        <v>515</v>
      </c>
      <c r="M484" s="259"/>
      <c r="N484" s="218"/>
    </row>
    <row r="485" spans="2:14" x14ac:dyDescent="0.2">
      <c r="B485" s="259">
        <v>166</v>
      </c>
      <c r="C485" s="255" t="s">
        <v>419</v>
      </c>
      <c r="D485" s="317" t="s">
        <v>34</v>
      </c>
      <c r="E485" s="317" t="s">
        <v>432</v>
      </c>
      <c r="F485" s="254">
        <v>45720</v>
      </c>
      <c r="G485" s="703" t="s">
        <v>31</v>
      </c>
      <c r="H485" s="704"/>
      <c r="I485" s="704"/>
      <c r="J485" s="705"/>
      <c r="K485" s="254">
        <v>45720</v>
      </c>
      <c r="L485" s="298" t="s">
        <v>510</v>
      </c>
      <c r="M485" s="259"/>
      <c r="N485" s="218"/>
    </row>
    <row r="486" spans="2:14" x14ac:dyDescent="0.2">
      <c r="B486" s="259">
        <v>167</v>
      </c>
      <c r="C486" s="255" t="s">
        <v>421</v>
      </c>
      <c r="D486" s="317" t="s">
        <v>34</v>
      </c>
      <c r="E486" s="317" t="s">
        <v>30</v>
      </c>
      <c r="F486" s="254">
        <v>45720</v>
      </c>
      <c r="G486" s="703" t="s">
        <v>31</v>
      </c>
      <c r="H486" s="704"/>
      <c r="I486" s="704"/>
      <c r="J486" s="705"/>
      <c r="K486" s="254">
        <v>45720</v>
      </c>
      <c r="L486" s="298" t="s">
        <v>510</v>
      </c>
      <c r="M486" s="259"/>
      <c r="N486" s="218"/>
    </row>
    <row r="487" spans="2:14" x14ac:dyDescent="0.2">
      <c r="B487" s="259">
        <v>168</v>
      </c>
      <c r="C487" s="255" t="s">
        <v>296</v>
      </c>
      <c r="D487" s="317" t="s">
        <v>29</v>
      </c>
      <c r="E487" s="317" t="s">
        <v>455</v>
      </c>
      <c r="F487" s="254">
        <v>45722</v>
      </c>
      <c r="G487" s="703" t="s">
        <v>31</v>
      </c>
      <c r="H487" s="704"/>
      <c r="I487" s="704"/>
      <c r="J487" s="705"/>
      <c r="K487" s="254">
        <v>45722</v>
      </c>
      <c r="L487" s="317" t="s">
        <v>513</v>
      </c>
      <c r="M487" s="259"/>
      <c r="N487" s="218"/>
    </row>
    <row r="488" spans="2:14" x14ac:dyDescent="0.2">
      <c r="B488" s="259">
        <v>169</v>
      </c>
      <c r="C488" s="255" t="s">
        <v>301</v>
      </c>
      <c r="D488" s="317" t="s">
        <v>612</v>
      </c>
      <c r="E488" s="317" t="s">
        <v>462</v>
      </c>
      <c r="F488" s="254">
        <v>45722</v>
      </c>
      <c r="G488" s="703" t="s">
        <v>31</v>
      </c>
      <c r="H488" s="704"/>
      <c r="I488" s="704"/>
      <c r="J488" s="705"/>
      <c r="K488" s="254">
        <v>45722</v>
      </c>
      <c r="L488" s="317" t="s">
        <v>513</v>
      </c>
      <c r="M488" s="226"/>
      <c r="N488" s="218"/>
    </row>
    <row r="489" spans="2:14" x14ac:dyDescent="0.2">
      <c r="B489" s="259">
        <v>170</v>
      </c>
      <c r="C489" s="255" t="s">
        <v>402</v>
      </c>
      <c r="D489" s="317" t="s">
        <v>608</v>
      </c>
      <c r="E489" s="317" t="s">
        <v>30</v>
      </c>
      <c r="F489" s="254">
        <v>45725</v>
      </c>
      <c r="G489" s="703" t="s">
        <v>31</v>
      </c>
      <c r="H489" s="704"/>
      <c r="I489" s="704"/>
      <c r="J489" s="705"/>
      <c r="K489" s="254">
        <v>45725</v>
      </c>
      <c r="L489" s="317" t="s">
        <v>515</v>
      </c>
      <c r="M489" s="226"/>
      <c r="N489" s="218"/>
    </row>
    <row r="490" spans="2:14" x14ac:dyDescent="0.2">
      <c r="B490" s="259">
        <v>171</v>
      </c>
      <c r="C490" s="255" t="s">
        <v>368</v>
      </c>
      <c r="D490" s="317" t="s">
        <v>43</v>
      </c>
      <c r="E490" s="317" t="s">
        <v>30</v>
      </c>
      <c r="F490" s="254">
        <v>45726</v>
      </c>
      <c r="G490" s="703" t="s">
        <v>31</v>
      </c>
      <c r="H490" s="704"/>
      <c r="I490" s="704"/>
      <c r="J490" s="705"/>
      <c r="K490" s="254">
        <v>45726</v>
      </c>
      <c r="L490" s="317" t="s">
        <v>516</v>
      </c>
      <c r="M490" s="226"/>
      <c r="N490" s="218"/>
    </row>
    <row r="491" spans="2:14" x14ac:dyDescent="0.2">
      <c r="B491" s="259">
        <v>172</v>
      </c>
      <c r="C491" s="255" t="s">
        <v>418</v>
      </c>
      <c r="D491" s="317" t="s">
        <v>29</v>
      </c>
      <c r="E491" s="317" t="s">
        <v>30</v>
      </c>
      <c r="F491" s="254">
        <v>45726</v>
      </c>
      <c r="G491" s="703" t="s">
        <v>31</v>
      </c>
      <c r="H491" s="704"/>
      <c r="I491" s="704"/>
      <c r="J491" s="705"/>
      <c r="K491" s="254">
        <v>45726</v>
      </c>
      <c r="L491" s="298" t="s">
        <v>510</v>
      </c>
      <c r="M491" s="259"/>
      <c r="N491" s="218"/>
    </row>
    <row r="492" spans="2:14" x14ac:dyDescent="0.2">
      <c r="B492" s="259">
        <v>173</v>
      </c>
      <c r="C492" s="255" t="s">
        <v>269</v>
      </c>
      <c r="D492" s="317" t="s">
        <v>34</v>
      </c>
      <c r="E492" s="317" t="s">
        <v>30</v>
      </c>
      <c r="F492" s="254">
        <v>45727</v>
      </c>
      <c r="G492" s="703" t="s">
        <v>31</v>
      </c>
      <c r="H492" s="704"/>
      <c r="I492" s="704"/>
      <c r="J492" s="705"/>
      <c r="K492" s="254">
        <v>45727</v>
      </c>
      <c r="L492" s="317" t="s">
        <v>635</v>
      </c>
      <c r="M492" s="259"/>
      <c r="N492" s="218"/>
    </row>
    <row r="493" spans="2:14" x14ac:dyDescent="0.2">
      <c r="B493" s="259">
        <v>174</v>
      </c>
      <c r="C493" s="255" t="s">
        <v>270</v>
      </c>
      <c r="D493" s="317" t="s">
        <v>43</v>
      </c>
      <c r="E493" s="317" t="s">
        <v>30</v>
      </c>
      <c r="F493" s="254">
        <v>45727</v>
      </c>
      <c r="G493" s="703" t="s">
        <v>31</v>
      </c>
      <c r="H493" s="704"/>
      <c r="I493" s="704"/>
      <c r="J493" s="705"/>
      <c r="K493" s="254">
        <v>45727</v>
      </c>
      <c r="L493" s="317" t="s">
        <v>635</v>
      </c>
      <c r="M493" s="259"/>
      <c r="N493" s="218"/>
    </row>
    <row r="494" spans="2:14" ht="14.25" customHeight="1" x14ac:dyDescent="0.2">
      <c r="B494" s="259">
        <v>175</v>
      </c>
      <c r="C494" s="255" t="s">
        <v>271</v>
      </c>
      <c r="D494" s="317" t="s">
        <v>34</v>
      </c>
      <c r="E494" s="317" t="s">
        <v>30</v>
      </c>
      <c r="F494" s="254">
        <v>45727</v>
      </c>
      <c r="G494" s="703" t="s">
        <v>31</v>
      </c>
      <c r="H494" s="704"/>
      <c r="I494" s="704"/>
      <c r="J494" s="705"/>
      <c r="K494" s="254">
        <v>45727</v>
      </c>
      <c r="L494" s="317" t="s">
        <v>635</v>
      </c>
      <c r="M494" s="259"/>
      <c r="N494" s="218"/>
    </row>
    <row r="495" spans="2:14" ht="14.25" customHeight="1" x14ac:dyDescent="0.2">
      <c r="B495" s="259">
        <v>176</v>
      </c>
      <c r="C495" s="255" t="s">
        <v>416</v>
      </c>
      <c r="D495" s="288" t="s">
        <v>446</v>
      </c>
      <c r="E495" s="317" t="s">
        <v>30</v>
      </c>
      <c r="F495" s="254">
        <v>45728</v>
      </c>
      <c r="G495" s="703" t="s">
        <v>31</v>
      </c>
      <c r="H495" s="704"/>
      <c r="I495" s="704"/>
      <c r="J495" s="705"/>
      <c r="K495" s="254">
        <v>45728</v>
      </c>
      <c r="L495" s="317" t="s">
        <v>515</v>
      </c>
      <c r="M495" s="259"/>
      <c r="N495" s="218"/>
    </row>
    <row r="496" spans="2:14" ht="14.25" customHeight="1" x14ac:dyDescent="0.2">
      <c r="B496" s="259">
        <v>177</v>
      </c>
      <c r="C496" s="255" t="s">
        <v>412</v>
      </c>
      <c r="D496" s="317" t="s">
        <v>613</v>
      </c>
      <c r="E496" s="317" t="s">
        <v>30</v>
      </c>
      <c r="F496" s="254">
        <v>45728</v>
      </c>
      <c r="G496" s="703" t="s">
        <v>31</v>
      </c>
      <c r="H496" s="704"/>
      <c r="I496" s="704"/>
      <c r="J496" s="705"/>
      <c r="K496" s="254">
        <v>45728</v>
      </c>
      <c r="L496" s="317" t="s">
        <v>515</v>
      </c>
      <c r="M496" s="259"/>
      <c r="N496" s="218"/>
    </row>
    <row r="497" spans="2:14" ht="14.25" customHeight="1" x14ac:dyDescent="0.2">
      <c r="B497" s="259">
        <v>178</v>
      </c>
      <c r="C497" s="255" t="s">
        <v>398</v>
      </c>
      <c r="D497" s="317" t="s">
        <v>34</v>
      </c>
      <c r="E497" s="317" t="s">
        <v>462</v>
      </c>
      <c r="F497" s="254">
        <v>45729</v>
      </c>
      <c r="G497" s="703" t="s">
        <v>31</v>
      </c>
      <c r="H497" s="704"/>
      <c r="I497" s="704"/>
      <c r="J497" s="705"/>
      <c r="K497" s="254">
        <v>45729</v>
      </c>
      <c r="L497" s="317" t="s">
        <v>515</v>
      </c>
      <c r="M497" s="259"/>
      <c r="N497" s="218"/>
    </row>
    <row r="498" spans="2:14" ht="14.25" customHeight="1" x14ac:dyDescent="0.2">
      <c r="B498" s="259">
        <v>179</v>
      </c>
      <c r="C498" s="255" t="s">
        <v>400</v>
      </c>
      <c r="D498" s="317" t="s">
        <v>29</v>
      </c>
      <c r="E498" s="317" t="s">
        <v>462</v>
      </c>
      <c r="F498" s="254">
        <v>45729</v>
      </c>
      <c r="G498" s="703" t="s">
        <v>31</v>
      </c>
      <c r="H498" s="704"/>
      <c r="I498" s="704"/>
      <c r="J498" s="705"/>
      <c r="K498" s="254">
        <v>45729</v>
      </c>
      <c r="L498" s="317" t="s">
        <v>515</v>
      </c>
      <c r="M498" s="259"/>
      <c r="N498" s="218"/>
    </row>
    <row r="499" spans="2:14" ht="14.25" customHeight="1" x14ac:dyDescent="0.2">
      <c r="B499" s="259">
        <v>180</v>
      </c>
      <c r="C499" s="294" t="s">
        <v>166</v>
      </c>
      <c r="D499" s="295" t="s">
        <v>167</v>
      </c>
      <c r="E499" s="295" t="s">
        <v>336</v>
      </c>
      <c r="F499" s="296">
        <v>45607</v>
      </c>
      <c r="G499" s="725" t="s">
        <v>31</v>
      </c>
      <c r="H499" s="726"/>
      <c r="I499" s="726"/>
      <c r="J499" s="727"/>
      <c r="K499" s="296">
        <v>45607</v>
      </c>
      <c r="L499" s="295" t="s">
        <v>124</v>
      </c>
      <c r="M499" s="259"/>
      <c r="N499" s="218"/>
    </row>
    <row r="500" spans="2:14" ht="14.25" customHeight="1" x14ac:dyDescent="0.2">
      <c r="B500" s="259">
        <v>181</v>
      </c>
      <c r="C500" s="300" t="s">
        <v>351</v>
      </c>
      <c r="D500" s="295" t="s">
        <v>34</v>
      </c>
      <c r="E500" s="295" t="s">
        <v>30</v>
      </c>
      <c r="F500" s="296">
        <v>45293</v>
      </c>
      <c r="G500" s="725" t="s">
        <v>31</v>
      </c>
      <c r="H500" s="726"/>
      <c r="I500" s="726"/>
      <c r="J500" s="727"/>
      <c r="K500" s="296">
        <v>45293</v>
      </c>
      <c r="L500" s="295" t="s">
        <v>32</v>
      </c>
      <c r="M500" s="259"/>
      <c r="N500" s="218"/>
    </row>
    <row r="501" spans="2:14" ht="14.25" customHeight="1" x14ac:dyDescent="0.2">
      <c r="B501" s="259">
        <v>182</v>
      </c>
      <c r="C501" s="300" t="s">
        <v>355</v>
      </c>
      <c r="D501" s="301" t="s">
        <v>34</v>
      </c>
      <c r="E501" s="301" t="s">
        <v>337</v>
      </c>
      <c r="F501" s="296">
        <v>45646</v>
      </c>
      <c r="G501" s="725" t="s">
        <v>31</v>
      </c>
      <c r="H501" s="726"/>
      <c r="I501" s="726"/>
      <c r="J501" s="727"/>
      <c r="K501" s="296">
        <v>45646</v>
      </c>
      <c r="L501" s="295" t="s">
        <v>32</v>
      </c>
      <c r="M501" s="259"/>
      <c r="N501" s="218"/>
    </row>
    <row r="502" spans="2:14" ht="14.25" customHeight="1" x14ac:dyDescent="0.2">
      <c r="B502" s="259">
        <v>183</v>
      </c>
      <c r="C502" s="300" t="s">
        <v>357</v>
      </c>
      <c r="D502" s="295" t="s">
        <v>29</v>
      </c>
      <c r="E502" s="295" t="s">
        <v>30</v>
      </c>
      <c r="F502" s="296">
        <v>45646</v>
      </c>
      <c r="G502" s="725" t="s">
        <v>31</v>
      </c>
      <c r="H502" s="726"/>
      <c r="I502" s="726"/>
      <c r="J502" s="727"/>
      <c r="K502" s="296">
        <v>45646</v>
      </c>
      <c r="L502" s="295" t="s">
        <v>32</v>
      </c>
      <c r="M502" s="259"/>
      <c r="N502" s="227"/>
    </row>
    <row r="503" spans="2:14" ht="14.25" customHeight="1" x14ac:dyDescent="0.2">
      <c r="B503" s="259">
        <v>184</v>
      </c>
      <c r="C503" s="499" t="s">
        <v>365</v>
      </c>
      <c r="D503" s="500" t="str">
        <f>VLOOKUP(C503,$C$9:$E$304,2,FALSE)</f>
        <v xml:space="preserve">3DC1+0 </v>
      </c>
      <c r="E503" s="500" t="str">
        <f>VLOOKUP(C503,$C$9:$E$304,3,FALSE)</f>
        <v>DFR</v>
      </c>
      <c r="F503" s="494">
        <v>45731</v>
      </c>
      <c r="G503" s="731" t="s">
        <v>31</v>
      </c>
      <c r="H503" s="732"/>
      <c r="I503" s="732"/>
      <c r="J503" s="732"/>
      <c r="K503" s="494">
        <f>F503</f>
        <v>45731</v>
      </c>
      <c r="L503" s="493" t="s">
        <v>756</v>
      </c>
      <c r="M503" s="259"/>
      <c r="N503" s="227"/>
    </row>
    <row r="504" spans="2:14" ht="14.25" customHeight="1" x14ac:dyDescent="0.2">
      <c r="B504" s="259">
        <v>185</v>
      </c>
      <c r="C504" s="255" t="s">
        <v>258</v>
      </c>
      <c r="D504" s="317" t="s">
        <v>205</v>
      </c>
      <c r="E504" s="317" t="s">
        <v>30</v>
      </c>
      <c r="F504" s="254">
        <v>45732</v>
      </c>
      <c r="G504" s="703" t="s">
        <v>31</v>
      </c>
      <c r="H504" s="704"/>
      <c r="I504" s="704"/>
      <c r="J504" s="705"/>
      <c r="K504" s="254">
        <v>45732</v>
      </c>
      <c r="L504" s="317" t="s">
        <v>124</v>
      </c>
      <c r="M504" s="259"/>
      <c r="N504" s="227"/>
    </row>
    <row r="505" spans="2:14" x14ac:dyDescent="0.2">
      <c r="B505" s="259">
        <v>186</v>
      </c>
      <c r="C505" s="255" t="s">
        <v>259</v>
      </c>
      <c r="D505" s="317" t="s">
        <v>205</v>
      </c>
      <c r="E505" s="317" t="s">
        <v>30</v>
      </c>
      <c r="F505" s="254">
        <v>45732</v>
      </c>
      <c r="G505" s="703" t="s">
        <v>31</v>
      </c>
      <c r="H505" s="704"/>
      <c r="I505" s="704"/>
      <c r="J505" s="705"/>
      <c r="K505" s="254">
        <v>45732</v>
      </c>
      <c r="L505" s="317" t="s">
        <v>124</v>
      </c>
      <c r="M505" s="259"/>
      <c r="N505" s="227"/>
    </row>
    <row r="506" spans="2:14" x14ac:dyDescent="0.2">
      <c r="B506" s="259">
        <v>187</v>
      </c>
      <c r="C506" s="255" t="s">
        <v>260</v>
      </c>
      <c r="D506" s="317" t="s">
        <v>206</v>
      </c>
      <c r="E506" s="317" t="s">
        <v>337</v>
      </c>
      <c r="F506" s="254">
        <v>45732</v>
      </c>
      <c r="G506" s="703" t="s">
        <v>31</v>
      </c>
      <c r="H506" s="704"/>
      <c r="I506" s="704"/>
      <c r="J506" s="705"/>
      <c r="K506" s="254">
        <v>45732</v>
      </c>
      <c r="L506" s="317" t="s">
        <v>124</v>
      </c>
      <c r="M506" s="340"/>
      <c r="N506" s="258"/>
    </row>
    <row r="507" spans="2:14" x14ac:dyDescent="0.2">
      <c r="B507" s="259">
        <v>188</v>
      </c>
      <c r="C507" s="255" t="s">
        <v>310</v>
      </c>
      <c r="D507" s="283" t="s">
        <v>34</v>
      </c>
      <c r="E507" s="317" t="s">
        <v>462</v>
      </c>
      <c r="F507" s="254">
        <v>45735</v>
      </c>
      <c r="G507" s="703" t="s">
        <v>31</v>
      </c>
      <c r="H507" s="704"/>
      <c r="I507" s="704"/>
      <c r="J507" s="705"/>
      <c r="K507" s="254">
        <v>45735</v>
      </c>
      <c r="L507" s="317" t="s">
        <v>635</v>
      </c>
      <c r="M507" s="340"/>
      <c r="N507" s="258"/>
    </row>
    <row r="508" spans="2:14" x14ac:dyDescent="0.2">
      <c r="B508" s="259">
        <v>189</v>
      </c>
      <c r="C508" s="255" t="s">
        <v>311</v>
      </c>
      <c r="D508" s="317" t="s">
        <v>29</v>
      </c>
      <c r="E508" s="317" t="s">
        <v>462</v>
      </c>
      <c r="F508" s="254">
        <v>45735</v>
      </c>
      <c r="G508" s="703" t="s">
        <v>31</v>
      </c>
      <c r="H508" s="704"/>
      <c r="I508" s="704"/>
      <c r="J508" s="705"/>
      <c r="K508" s="254">
        <v>45735</v>
      </c>
      <c r="L508" s="317" t="s">
        <v>635</v>
      </c>
      <c r="M508" s="340"/>
      <c r="N508" s="258"/>
    </row>
    <row r="509" spans="2:14" x14ac:dyDescent="0.2">
      <c r="B509" s="259">
        <v>190</v>
      </c>
      <c r="C509" s="255" t="s">
        <v>312</v>
      </c>
      <c r="D509" s="317" t="s">
        <v>29</v>
      </c>
      <c r="E509" s="317" t="s">
        <v>462</v>
      </c>
      <c r="F509" s="254">
        <v>45735</v>
      </c>
      <c r="G509" s="703" t="s">
        <v>31</v>
      </c>
      <c r="H509" s="704"/>
      <c r="I509" s="704"/>
      <c r="J509" s="705"/>
      <c r="K509" s="254">
        <v>45735</v>
      </c>
      <c r="L509" s="317" t="s">
        <v>635</v>
      </c>
      <c r="M509" s="340"/>
      <c r="N509" s="258"/>
    </row>
    <row r="510" spans="2:14" x14ac:dyDescent="0.2">
      <c r="B510" s="259">
        <v>191</v>
      </c>
      <c r="C510" s="255" t="s">
        <v>281</v>
      </c>
      <c r="D510" s="317" t="str">
        <f t="shared" ref="D510:D561" si="6">VLOOKUP(C510,$C$9:$E$273,2,FALSE)</f>
        <v>3DA+0</v>
      </c>
      <c r="E510" s="317" t="str">
        <f t="shared" ref="E510:E559" si="7">VLOOKUP(C510,$C$9:$E$273,3,FALSE)</f>
        <v>WET</v>
      </c>
      <c r="F510" s="254">
        <v>45736</v>
      </c>
      <c r="G510" s="703" t="s">
        <v>31</v>
      </c>
      <c r="H510" s="704"/>
      <c r="I510" s="704"/>
      <c r="J510" s="705"/>
      <c r="K510" s="254">
        <v>45736</v>
      </c>
      <c r="L510" s="317" t="s">
        <v>513</v>
      </c>
      <c r="M510" s="340"/>
      <c r="N510" s="258"/>
    </row>
    <row r="511" spans="2:14" x14ac:dyDescent="0.2">
      <c r="B511" s="259">
        <v>192</v>
      </c>
      <c r="C511" s="255" t="s">
        <v>253</v>
      </c>
      <c r="D511" s="317" t="str">
        <f t="shared" si="6"/>
        <v>2DA+3</v>
      </c>
      <c r="E511" s="317" t="str">
        <f t="shared" si="7"/>
        <v>DFR</v>
      </c>
      <c r="F511" s="254">
        <v>45739</v>
      </c>
      <c r="G511" s="703" t="s">
        <v>31</v>
      </c>
      <c r="H511" s="704"/>
      <c r="I511" s="704"/>
      <c r="J511" s="705"/>
      <c r="K511" s="254">
        <v>45739</v>
      </c>
      <c r="L511" s="317" t="s">
        <v>124</v>
      </c>
      <c r="M511" s="340"/>
      <c r="N511" s="258"/>
    </row>
    <row r="512" spans="2:14" x14ac:dyDescent="0.2">
      <c r="B512" s="259">
        <v>193</v>
      </c>
      <c r="C512" s="255" t="s">
        <v>254</v>
      </c>
      <c r="D512" s="317" t="str">
        <f t="shared" si="6"/>
        <v>2DA+0</v>
      </c>
      <c r="E512" s="317" t="str">
        <f t="shared" si="7"/>
        <v>DFR</v>
      </c>
      <c r="F512" s="254">
        <v>45739</v>
      </c>
      <c r="G512" s="703" t="s">
        <v>31</v>
      </c>
      <c r="H512" s="704"/>
      <c r="I512" s="704"/>
      <c r="J512" s="705"/>
      <c r="K512" s="254">
        <v>45739</v>
      </c>
      <c r="L512" s="317" t="s">
        <v>124</v>
      </c>
      <c r="M512" s="340"/>
      <c r="N512" s="258"/>
    </row>
    <row r="513" spans="2:14" x14ac:dyDescent="0.2">
      <c r="B513" s="259">
        <v>194</v>
      </c>
      <c r="C513" s="255" t="s">
        <v>255</v>
      </c>
      <c r="D513" s="317" t="str">
        <f t="shared" si="6"/>
        <v>2DA+9</v>
      </c>
      <c r="E513" s="317" t="str">
        <f t="shared" si="7"/>
        <v>DFR</v>
      </c>
      <c r="F513" s="254">
        <v>45739</v>
      </c>
      <c r="G513" s="703" t="s">
        <v>31</v>
      </c>
      <c r="H513" s="704"/>
      <c r="I513" s="704"/>
      <c r="J513" s="705"/>
      <c r="K513" s="254">
        <v>45739</v>
      </c>
      <c r="L513" s="317" t="s">
        <v>124</v>
      </c>
      <c r="M513" s="340"/>
      <c r="N513" s="258"/>
    </row>
    <row r="514" spans="2:14" x14ac:dyDescent="0.2">
      <c r="B514" s="259">
        <v>195</v>
      </c>
      <c r="C514" s="255" t="s">
        <v>256</v>
      </c>
      <c r="D514" s="317" t="str">
        <f t="shared" si="6"/>
        <v>2DA+0</v>
      </c>
      <c r="E514" s="317" t="str">
        <f t="shared" si="7"/>
        <v>DFR</v>
      </c>
      <c r="F514" s="254">
        <v>45739</v>
      </c>
      <c r="G514" s="703" t="s">
        <v>31</v>
      </c>
      <c r="H514" s="704"/>
      <c r="I514" s="704"/>
      <c r="J514" s="705"/>
      <c r="K514" s="254">
        <v>45739</v>
      </c>
      <c r="L514" s="317" t="s">
        <v>124</v>
      </c>
      <c r="M514" s="341"/>
      <c r="N514" s="258"/>
    </row>
    <row r="515" spans="2:14" x14ac:dyDescent="0.2">
      <c r="B515" s="259">
        <v>196</v>
      </c>
      <c r="C515" s="255" t="s">
        <v>257</v>
      </c>
      <c r="D515" s="317" t="str">
        <f t="shared" si="6"/>
        <v>2DA+0</v>
      </c>
      <c r="E515" s="317" t="str">
        <f t="shared" si="7"/>
        <v>DFR</v>
      </c>
      <c r="F515" s="254">
        <v>45740</v>
      </c>
      <c r="G515" s="703" t="s">
        <v>31</v>
      </c>
      <c r="H515" s="704"/>
      <c r="I515" s="704"/>
      <c r="J515" s="705"/>
      <c r="K515" s="254">
        <v>45740</v>
      </c>
      <c r="L515" s="317" t="s">
        <v>124</v>
      </c>
      <c r="M515" s="317"/>
      <c r="N515" s="258"/>
    </row>
    <row r="516" spans="2:14" x14ac:dyDescent="0.2">
      <c r="B516" s="259">
        <v>197</v>
      </c>
      <c r="C516" s="255" t="s">
        <v>373</v>
      </c>
      <c r="D516" s="317" t="str">
        <f t="shared" si="6"/>
        <v>3DB1+0</v>
      </c>
      <c r="E516" s="317" t="str">
        <f t="shared" si="7"/>
        <v>DFR</v>
      </c>
      <c r="F516" s="254">
        <v>45745</v>
      </c>
      <c r="G516" s="703" t="s">
        <v>31</v>
      </c>
      <c r="H516" s="704"/>
      <c r="I516" s="704"/>
      <c r="J516" s="705"/>
      <c r="K516" s="254">
        <v>45745</v>
      </c>
      <c r="L516" s="317" t="s">
        <v>124</v>
      </c>
      <c r="M516" s="317"/>
      <c r="N516" s="258"/>
    </row>
    <row r="517" spans="2:14" x14ac:dyDescent="0.2">
      <c r="B517" s="259">
        <v>198</v>
      </c>
      <c r="C517" s="255" t="s">
        <v>248</v>
      </c>
      <c r="D517" s="317" t="str">
        <f t="shared" si="6"/>
        <v>2DA+0</v>
      </c>
      <c r="E517" s="317" t="str">
        <f t="shared" si="7"/>
        <v>DFR</v>
      </c>
      <c r="F517" s="254">
        <v>45746</v>
      </c>
      <c r="G517" s="703" t="s">
        <v>31</v>
      </c>
      <c r="H517" s="704"/>
      <c r="I517" s="704"/>
      <c r="J517" s="705"/>
      <c r="K517" s="254">
        <v>45746</v>
      </c>
      <c r="L517" s="317" t="s">
        <v>124</v>
      </c>
      <c r="M517" s="317"/>
      <c r="N517" s="258"/>
    </row>
    <row r="518" spans="2:14" x14ac:dyDescent="0.2">
      <c r="B518" s="259">
        <v>199</v>
      </c>
      <c r="C518" s="255" t="s">
        <v>250</v>
      </c>
      <c r="D518" s="317" t="str">
        <f t="shared" si="6"/>
        <v>2DA+3</v>
      </c>
      <c r="E518" s="317" t="str">
        <f t="shared" si="7"/>
        <v>DFR</v>
      </c>
      <c r="F518" s="254">
        <v>45746</v>
      </c>
      <c r="G518" s="703" t="s">
        <v>31</v>
      </c>
      <c r="H518" s="704"/>
      <c r="I518" s="704"/>
      <c r="J518" s="705"/>
      <c r="K518" s="254">
        <v>45746</v>
      </c>
      <c r="L518" s="317" t="s">
        <v>124</v>
      </c>
      <c r="M518" s="317"/>
      <c r="N518" s="258"/>
    </row>
    <row r="519" spans="2:14" x14ac:dyDescent="0.2">
      <c r="B519" s="259">
        <v>200</v>
      </c>
      <c r="C519" s="255" t="s">
        <v>251</v>
      </c>
      <c r="D519" s="317" t="str">
        <f t="shared" si="6"/>
        <v>2DA+3</v>
      </c>
      <c r="E519" s="317" t="str">
        <f t="shared" si="7"/>
        <v>DFR</v>
      </c>
      <c r="F519" s="254">
        <v>45746</v>
      </c>
      <c r="G519" s="703" t="s">
        <v>31</v>
      </c>
      <c r="H519" s="704"/>
      <c r="I519" s="704"/>
      <c r="J519" s="705"/>
      <c r="K519" s="254">
        <v>45746</v>
      </c>
      <c r="L519" s="317" t="s">
        <v>124</v>
      </c>
      <c r="M519" s="317"/>
      <c r="N519" s="258"/>
    </row>
    <row r="520" spans="2:14" x14ac:dyDescent="0.2">
      <c r="B520" s="259">
        <v>201</v>
      </c>
      <c r="C520" s="255" t="s">
        <v>252</v>
      </c>
      <c r="D520" s="317" t="str">
        <f t="shared" si="6"/>
        <v>2DB1+0</v>
      </c>
      <c r="E520" s="317" t="str">
        <f t="shared" si="7"/>
        <v>DFR</v>
      </c>
      <c r="F520" s="254">
        <v>45746</v>
      </c>
      <c r="G520" s="703" t="s">
        <v>31</v>
      </c>
      <c r="H520" s="704"/>
      <c r="I520" s="704"/>
      <c r="J520" s="705"/>
      <c r="K520" s="254">
        <v>45746</v>
      </c>
      <c r="L520" s="317" t="s">
        <v>124</v>
      </c>
      <c r="M520" s="317"/>
      <c r="N520" s="258"/>
    </row>
    <row r="521" spans="2:14" x14ac:dyDescent="0.2">
      <c r="B521" s="259">
        <v>202</v>
      </c>
      <c r="C521" s="255" t="s">
        <v>299</v>
      </c>
      <c r="D521" s="317" t="str">
        <f t="shared" si="6"/>
        <v>3DA+0</v>
      </c>
      <c r="E521" s="317" t="str">
        <f t="shared" si="7"/>
        <v>WET</v>
      </c>
      <c r="F521" s="254">
        <v>45746</v>
      </c>
      <c r="G521" s="703" t="s">
        <v>31</v>
      </c>
      <c r="H521" s="704"/>
      <c r="I521" s="704"/>
      <c r="J521" s="705"/>
      <c r="K521" s="254">
        <v>45746</v>
      </c>
      <c r="L521" s="317" t="s">
        <v>124</v>
      </c>
      <c r="M521" s="317"/>
      <c r="N521" s="258"/>
    </row>
    <row r="522" spans="2:14" x14ac:dyDescent="0.2">
      <c r="B522" s="259">
        <v>203</v>
      </c>
      <c r="C522" s="435" t="s">
        <v>420</v>
      </c>
      <c r="D522" s="434" t="str">
        <f t="shared" si="6"/>
        <v>3DA+3</v>
      </c>
      <c r="E522" s="434" t="str">
        <f t="shared" si="7"/>
        <v>DFR</v>
      </c>
      <c r="F522" s="433">
        <v>45750</v>
      </c>
      <c r="G522" s="722" t="s">
        <v>31</v>
      </c>
      <c r="H522" s="723"/>
      <c r="I522" s="723"/>
      <c r="J522" s="724"/>
      <c r="K522" s="433">
        <v>45750</v>
      </c>
      <c r="L522" s="436" t="s">
        <v>510</v>
      </c>
      <c r="M522" s="317"/>
      <c r="N522" s="258"/>
    </row>
    <row r="523" spans="2:14" x14ac:dyDescent="0.2">
      <c r="B523" s="259">
        <v>204</v>
      </c>
      <c r="C523" s="255" t="s">
        <v>304</v>
      </c>
      <c r="D523" s="317" t="str">
        <f t="shared" si="6"/>
        <v>3DA+0</v>
      </c>
      <c r="E523" s="317" t="str">
        <f t="shared" si="7"/>
        <v xml:space="preserve">WBC </v>
      </c>
      <c r="F523" s="254">
        <v>45754</v>
      </c>
      <c r="G523" s="703" t="s">
        <v>31</v>
      </c>
      <c r="H523" s="704"/>
      <c r="I523" s="704"/>
      <c r="J523" s="705"/>
      <c r="K523" s="254">
        <v>45754</v>
      </c>
      <c r="L523" s="317" t="s">
        <v>510</v>
      </c>
      <c r="M523" s="317"/>
      <c r="N523" s="258"/>
    </row>
    <row r="524" spans="2:14" x14ac:dyDescent="0.2">
      <c r="B524" s="259">
        <v>205</v>
      </c>
      <c r="C524" s="495" t="s">
        <v>282</v>
      </c>
      <c r="D524" s="496" t="str">
        <f t="shared" si="6"/>
        <v>3DA+0</v>
      </c>
      <c r="E524" s="496" t="str">
        <f t="shared" si="7"/>
        <v xml:space="preserve">WET </v>
      </c>
      <c r="F524" s="497">
        <v>45762</v>
      </c>
      <c r="G524" s="728" t="s">
        <v>31</v>
      </c>
      <c r="H524" s="729"/>
      <c r="I524" s="729"/>
      <c r="J524" s="730"/>
      <c r="K524" s="530">
        <f>F524</f>
        <v>45762</v>
      </c>
      <c r="L524" s="531"/>
      <c r="M524" s="317"/>
      <c r="N524" s="258"/>
    </row>
    <row r="525" spans="2:14" x14ac:dyDescent="0.2">
      <c r="B525" s="259">
        <v>206</v>
      </c>
      <c r="C525" s="255" t="s">
        <v>374</v>
      </c>
      <c r="D525" s="317" t="str">
        <f t="shared" si="6"/>
        <v>3DB1+6</v>
      </c>
      <c r="E525" s="317" t="str">
        <f t="shared" si="7"/>
        <v>DFR</v>
      </c>
      <c r="F525" s="254">
        <v>45764</v>
      </c>
      <c r="G525" s="703" t="s">
        <v>31</v>
      </c>
      <c r="H525" s="704"/>
      <c r="I525" s="704"/>
      <c r="J525" s="705"/>
      <c r="K525" s="254">
        <f>F525</f>
        <v>45764</v>
      </c>
      <c r="L525" s="317" t="s">
        <v>516</v>
      </c>
      <c r="M525" s="317"/>
      <c r="N525" s="258"/>
    </row>
    <row r="526" spans="2:14" x14ac:dyDescent="0.2">
      <c r="B526" s="259">
        <v>207</v>
      </c>
      <c r="C526" s="255" t="s">
        <v>341</v>
      </c>
      <c r="D526" s="317" t="str">
        <f t="shared" si="6"/>
        <v>3DC1+0</v>
      </c>
      <c r="E526" s="317" t="str">
        <f t="shared" si="7"/>
        <v>DFR</v>
      </c>
      <c r="F526" s="254">
        <v>45782</v>
      </c>
      <c r="G526" s="702" t="s">
        <v>31</v>
      </c>
      <c r="H526" s="702"/>
      <c r="I526" s="702"/>
      <c r="J526" s="702"/>
      <c r="K526" s="254">
        <v>45767</v>
      </c>
      <c r="L526" s="317" t="s">
        <v>175</v>
      </c>
      <c r="M526" s="317"/>
      <c r="N526" s="258"/>
    </row>
    <row r="527" spans="2:14" x14ac:dyDescent="0.2">
      <c r="B527" s="259">
        <v>208</v>
      </c>
      <c r="C527" s="255" t="s">
        <v>391</v>
      </c>
      <c r="D527" s="317" t="str">
        <f t="shared" si="6"/>
        <v>3DA+0</v>
      </c>
      <c r="E527" s="317" t="str">
        <f t="shared" si="7"/>
        <v>DFR</v>
      </c>
      <c r="F527" s="254">
        <v>45769</v>
      </c>
      <c r="G527" s="703" t="s">
        <v>31</v>
      </c>
      <c r="H527" s="704"/>
      <c r="I527" s="704"/>
      <c r="J527" s="705"/>
      <c r="K527" s="254">
        <v>45769</v>
      </c>
      <c r="L527" s="317" t="s">
        <v>516</v>
      </c>
      <c r="M527" s="317"/>
      <c r="N527" s="258"/>
    </row>
    <row r="528" spans="2:14" x14ac:dyDescent="0.2">
      <c r="B528" s="259">
        <v>209</v>
      </c>
      <c r="C528" s="255" t="s">
        <v>385</v>
      </c>
      <c r="D528" s="317" t="str">
        <f t="shared" si="6"/>
        <v>3DA+3</v>
      </c>
      <c r="E528" s="317" t="str">
        <f t="shared" si="7"/>
        <v xml:space="preserve">DFR </v>
      </c>
      <c r="F528" s="254">
        <v>45770</v>
      </c>
      <c r="G528" s="703" t="s">
        <v>31</v>
      </c>
      <c r="H528" s="704"/>
      <c r="I528" s="704"/>
      <c r="J528" s="705"/>
      <c r="K528" s="254">
        <v>45770</v>
      </c>
      <c r="L528" s="317" t="s">
        <v>516</v>
      </c>
      <c r="M528" s="350"/>
      <c r="N528" s="258"/>
    </row>
    <row r="529" spans="2:14" x14ac:dyDescent="0.2">
      <c r="B529" s="259">
        <v>210</v>
      </c>
      <c r="C529" s="424" t="s">
        <v>176</v>
      </c>
      <c r="D529" s="425" t="str">
        <f t="shared" si="6"/>
        <v xml:space="preserve">3DA+3 </v>
      </c>
      <c r="E529" s="425" t="str">
        <f t="shared" si="7"/>
        <v>DFR</v>
      </c>
      <c r="F529" s="426">
        <v>45772</v>
      </c>
      <c r="G529" s="725" t="s">
        <v>31</v>
      </c>
      <c r="H529" s="726"/>
      <c r="I529" s="726"/>
      <c r="J529" s="727"/>
      <c r="K529" s="426">
        <v>45802</v>
      </c>
      <c r="L529" s="425" t="s">
        <v>32</v>
      </c>
      <c r="M529" s="317"/>
      <c r="N529" s="258"/>
    </row>
    <row r="530" spans="2:14" x14ac:dyDescent="0.2">
      <c r="B530" s="259">
        <v>211</v>
      </c>
      <c r="C530" s="255" t="s">
        <v>228</v>
      </c>
      <c r="D530" s="317" t="str">
        <f t="shared" si="6"/>
        <v>2DA+0</v>
      </c>
      <c r="E530" s="317" t="str">
        <f t="shared" si="7"/>
        <v>DFR</v>
      </c>
      <c r="F530" s="254">
        <v>45778</v>
      </c>
      <c r="G530" s="703" t="s">
        <v>31</v>
      </c>
      <c r="H530" s="704"/>
      <c r="I530" s="704"/>
      <c r="J530" s="705"/>
      <c r="K530" s="254">
        <v>45778</v>
      </c>
      <c r="L530" s="317" t="s">
        <v>510</v>
      </c>
      <c r="M530" s="317"/>
      <c r="N530" s="258"/>
    </row>
    <row r="531" spans="2:14" x14ac:dyDescent="0.2">
      <c r="B531" s="259">
        <v>212</v>
      </c>
      <c r="C531" s="255" t="s">
        <v>232</v>
      </c>
      <c r="D531" s="317" t="str">
        <f t="shared" si="6"/>
        <v>2DA+0</v>
      </c>
      <c r="E531" s="317" t="str">
        <f t="shared" si="7"/>
        <v>DFR</v>
      </c>
      <c r="F531" s="254">
        <v>45778</v>
      </c>
      <c r="G531" s="703" t="s">
        <v>31</v>
      </c>
      <c r="H531" s="704"/>
      <c r="I531" s="704"/>
      <c r="J531" s="705"/>
      <c r="K531" s="254">
        <v>45778</v>
      </c>
      <c r="L531" s="317" t="s">
        <v>510</v>
      </c>
      <c r="M531" s="317"/>
      <c r="N531" s="258"/>
    </row>
    <row r="532" spans="2:14" x14ac:dyDescent="0.2">
      <c r="B532" s="259">
        <v>213</v>
      </c>
      <c r="C532" s="255" t="s">
        <v>417</v>
      </c>
      <c r="D532" s="317" t="str">
        <f t="shared" si="6"/>
        <v>3DA+6</v>
      </c>
      <c r="E532" s="317" t="str">
        <f t="shared" si="7"/>
        <v>DFR</v>
      </c>
      <c r="F532" s="254">
        <v>45778</v>
      </c>
      <c r="G532" s="703" t="s">
        <v>31</v>
      </c>
      <c r="H532" s="704"/>
      <c r="I532" s="704"/>
      <c r="J532" s="705"/>
      <c r="K532" s="254">
        <v>45778</v>
      </c>
      <c r="L532" s="317" t="s">
        <v>515</v>
      </c>
      <c r="M532" s="308"/>
      <c r="N532" s="416"/>
    </row>
    <row r="533" spans="2:14" x14ac:dyDescent="0.2">
      <c r="B533" s="259">
        <v>214</v>
      </c>
      <c r="C533" s="349" t="s">
        <v>227</v>
      </c>
      <c r="D533" s="308" t="str">
        <f t="shared" si="6"/>
        <v>2DA+3</v>
      </c>
      <c r="E533" s="308" t="str">
        <f t="shared" si="7"/>
        <v>DFR</v>
      </c>
      <c r="F533" s="310">
        <v>45779</v>
      </c>
      <c r="G533" s="703" t="s">
        <v>31</v>
      </c>
      <c r="H533" s="704"/>
      <c r="I533" s="704"/>
      <c r="J533" s="705"/>
      <c r="K533" s="310">
        <v>45779</v>
      </c>
      <c r="L533" s="308" t="s">
        <v>510</v>
      </c>
      <c r="M533" s="317"/>
      <c r="N533" s="258"/>
    </row>
    <row r="534" spans="2:14" x14ac:dyDescent="0.2">
      <c r="B534" s="259">
        <v>215</v>
      </c>
      <c r="C534" s="255" t="s">
        <v>331</v>
      </c>
      <c r="D534" s="317" t="str">
        <f t="shared" si="6"/>
        <v>3DB1+0</v>
      </c>
      <c r="E534" s="317" t="str">
        <f t="shared" si="7"/>
        <v>DFR</v>
      </c>
      <c r="F534" s="254">
        <v>45779</v>
      </c>
      <c r="G534" s="703" t="s">
        <v>31</v>
      </c>
      <c r="H534" s="704"/>
      <c r="I534" s="704"/>
      <c r="J534" s="705"/>
      <c r="K534" s="254">
        <v>45779</v>
      </c>
      <c r="L534" s="308" t="s">
        <v>32</v>
      </c>
      <c r="M534" s="317"/>
      <c r="N534" s="416"/>
    </row>
    <row r="535" spans="2:14" x14ac:dyDescent="0.2">
      <c r="B535" s="259">
        <v>216</v>
      </c>
      <c r="C535" s="349" t="s">
        <v>332</v>
      </c>
      <c r="D535" s="308" t="str">
        <f t="shared" si="6"/>
        <v>3DB2+0</v>
      </c>
      <c r="E535" s="308" t="str">
        <f t="shared" si="7"/>
        <v>DFR</v>
      </c>
      <c r="F535" s="310">
        <v>45780</v>
      </c>
      <c r="G535" s="738" t="s">
        <v>31</v>
      </c>
      <c r="H535" s="738"/>
      <c r="I535" s="738"/>
      <c r="J535" s="738"/>
      <c r="K535" s="310">
        <v>45780</v>
      </c>
      <c r="L535" s="308" t="s">
        <v>32</v>
      </c>
      <c r="M535" s="317"/>
      <c r="N535" s="258"/>
    </row>
    <row r="536" spans="2:14" x14ac:dyDescent="0.2">
      <c r="B536" s="259">
        <v>217</v>
      </c>
      <c r="C536" s="255" t="s">
        <v>243</v>
      </c>
      <c r="D536" s="317" t="str">
        <f t="shared" si="6"/>
        <v>2DA+3</v>
      </c>
      <c r="E536" s="317" t="str">
        <f t="shared" si="7"/>
        <v>DFR</v>
      </c>
      <c r="F536" s="254">
        <v>45783</v>
      </c>
      <c r="G536" s="702" t="s">
        <v>31</v>
      </c>
      <c r="H536" s="702"/>
      <c r="I536" s="702"/>
      <c r="J536" s="702"/>
      <c r="K536" s="254">
        <v>45783</v>
      </c>
      <c r="L536" s="317" t="s">
        <v>32</v>
      </c>
      <c r="M536" s="317"/>
      <c r="N536" s="258"/>
    </row>
    <row r="537" spans="2:14" x14ac:dyDescent="0.2">
      <c r="B537" s="259">
        <v>218</v>
      </c>
      <c r="C537" s="255" t="s">
        <v>233</v>
      </c>
      <c r="D537" s="317" t="str">
        <f t="shared" si="6"/>
        <v>2DA+3</v>
      </c>
      <c r="E537" s="317" t="str">
        <f t="shared" si="7"/>
        <v>DFR</v>
      </c>
      <c r="F537" s="254">
        <v>45783</v>
      </c>
      <c r="G537" s="702" t="s">
        <v>31</v>
      </c>
      <c r="H537" s="702"/>
      <c r="I537" s="702"/>
      <c r="J537" s="702"/>
      <c r="K537" s="254">
        <v>45783</v>
      </c>
      <c r="L537" s="317" t="s">
        <v>510</v>
      </c>
      <c r="M537" s="317"/>
      <c r="N537" s="258"/>
    </row>
    <row r="538" spans="2:14" x14ac:dyDescent="0.2">
      <c r="B538" s="259">
        <v>219</v>
      </c>
      <c r="C538" s="255" t="s">
        <v>221</v>
      </c>
      <c r="D538" s="317" t="str">
        <f t="shared" si="6"/>
        <v>2DA+9</v>
      </c>
      <c r="E538" s="317" t="str">
        <f t="shared" si="7"/>
        <v>DFR</v>
      </c>
      <c r="F538" s="254">
        <v>45786</v>
      </c>
      <c r="G538" s="702" t="s">
        <v>31</v>
      </c>
      <c r="H538" s="702"/>
      <c r="I538" s="702"/>
      <c r="J538" s="702"/>
      <c r="K538" s="254">
        <v>45786</v>
      </c>
      <c r="L538" s="317" t="s">
        <v>448</v>
      </c>
      <c r="M538" s="308"/>
      <c r="N538" s="258"/>
    </row>
    <row r="539" spans="2:14" x14ac:dyDescent="0.2">
      <c r="B539" s="259">
        <v>220</v>
      </c>
      <c r="C539" s="349" t="s">
        <v>244</v>
      </c>
      <c r="D539" s="308" t="str">
        <f t="shared" si="6"/>
        <v>2DA+0</v>
      </c>
      <c r="E539" s="308" t="str">
        <f t="shared" si="7"/>
        <v>DFR</v>
      </c>
      <c r="F539" s="310">
        <v>45789</v>
      </c>
      <c r="G539" s="702" t="s">
        <v>31</v>
      </c>
      <c r="H539" s="702"/>
      <c r="I539" s="702"/>
      <c r="J539" s="702"/>
      <c r="K539" s="310">
        <v>45789</v>
      </c>
      <c r="L539" s="308" t="s">
        <v>124</v>
      </c>
      <c r="M539" s="317"/>
      <c r="N539" s="258"/>
    </row>
    <row r="540" spans="2:14" x14ac:dyDescent="0.2">
      <c r="B540" s="259">
        <v>221</v>
      </c>
      <c r="C540" s="255" t="s">
        <v>372</v>
      </c>
      <c r="D540" s="317" t="str">
        <f t="shared" si="6"/>
        <v>3DC1+0</v>
      </c>
      <c r="E540" s="317" t="str">
        <f t="shared" si="7"/>
        <v>DFR</v>
      </c>
      <c r="F540" s="254">
        <v>45790</v>
      </c>
      <c r="G540" s="702" t="s">
        <v>31</v>
      </c>
      <c r="H540" s="702"/>
      <c r="I540" s="702"/>
      <c r="J540" s="702"/>
      <c r="K540" s="254">
        <v>45790</v>
      </c>
      <c r="L540" s="317" t="s">
        <v>532</v>
      </c>
      <c r="M540" s="317"/>
      <c r="N540" s="258"/>
    </row>
    <row r="541" spans="2:14" x14ac:dyDescent="0.2">
      <c r="B541" s="259">
        <v>222</v>
      </c>
      <c r="C541" s="255" t="s">
        <v>208</v>
      </c>
      <c r="D541" s="317" t="str">
        <f t="shared" si="6"/>
        <v>2DA+3</v>
      </c>
      <c r="E541" s="317" t="str">
        <f t="shared" si="7"/>
        <v>DFR</v>
      </c>
      <c r="F541" s="254">
        <v>45790</v>
      </c>
      <c r="G541" s="702" t="s">
        <v>31</v>
      </c>
      <c r="H541" s="702"/>
      <c r="I541" s="702"/>
      <c r="J541" s="702"/>
      <c r="K541" s="254">
        <v>45790</v>
      </c>
      <c r="L541" s="317" t="s">
        <v>635</v>
      </c>
      <c r="M541" s="317"/>
      <c r="N541" s="258"/>
    </row>
    <row r="542" spans="2:14" x14ac:dyDescent="0.2">
      <c r="B542" s="259">
        <v>223</v>
      </c>
      <c r="C542" s="255" t="s">
        <v>209</v>
      </c>
      <c r="D542" s="317" t="str">
        <f t="shared" si="6"/>
        <v>2DA+3</v>
      </c>
      <c r="E542" s="317" t="str">
        <f t="shared" si="7"/>
        <v>DFR</v>
      </c>
      <c r="F542" s="254">
        <v>45792</v>
      </c>
      <c r="G542" s="702" t="s">
        <v>31</v>
      </c>
      <c r="H542" s="702"/>
      <c r="I542" s="702"/>
      <c r="J542" s="702"/>
      <c r="K542" s="254">
        <v>45792</v>
      </c>
      <c r="L542" s="317" t="s">
        <v>635</v>
      </c>
      <c r="M542" s="317"/>
      <c r="N542" s="258"/>
    </row>
    <row r="543" spans="2:14" x14ac:dyDescent="0.2">
      <c r="B543" s="259">
        <v>224</v>
      </c>
      <c r="C543" s="255" t="s">
        <v>245</v>
      </c>
      <c r="D543" s="317" t="str">
        <f t="shared" si="6"/>
        <v>2DA+3</v>
      </c>
      <c r="E543" s="317" t="str">
        <f t="shared" si="7"/>
        <v>DFR</v>
      </c>
      <c r="F543" s="254">
        <v>45796</v>
      </c>
      <c r="G543" s="702" t="s">
        <v>31</v>
      </c>
      <c r="H543" s="702"/>
      <c r="I543" s="702"/>
      <c r="J543" s="702"/>
      <c r="K543" s="254">
        <v>45796</v>
      </c>
      <c r="L543" s="308" t="s">
        <v>124</v>
      </c>
      <c r="M543" s="317"/>
      <c r="N543" s="258"/>
    </row>
    <row r="544" spans="2:14" x14ac:dyDescent="0.2">
      <c r="B544" s="259">
        <v>225</v>
      </c>
      <c r="C544" s="255" t="s">
        <v>425</v>
      </c>
      <c r="D544" s="317" t="str">
        <f t="shared" si="6"/>
        <v>3DA+3</v>
      </c>
      <c r="E544" s="317" t="str">
        <f t="shared" si="7"/>
        <v>DFR</v>
      </c>
      <c r="F544" s="254">
        <v>45796</v>
      </c>
      <c r="G544" s="702" t="s">
        <v>31</v>
      </c>
      <c r="H544" s="702"/>
      <c r="I544" s="702"/>
      <c r="J544" s="702"/>
      <c r="K544" s="254">
        <v>45796</v>
      </c>
      <c r="L544" s="317" t="s">
        <v>722</v>
      </c>
      <c r="M544" s="340"/>
    </row>
    <row r="545" spans="2:13" x14ac:dyDescent="0.2">
      <c r="B545" s="259">
        <v>226</v>
      </c>
      <c r="C545" s="255" t="s">
        <v>202</v>
      </c>
      <c r="D545" s="317" t="str">
        <f t="shared" si="6"/>
        <v>2DA+6</v>
      </c>
      <c r="E545" s="317" t="str">
        <f t="shared" si="7"/>
        <v>DFR</v>
      </c>
      <c r="F545" s="254">
        <v>45802</v>
      </c>
      <c r="G545" s="705" t="s">
        <v>31</v>
      </c>
      <c r="H545" s="702"/>
      <c r="I545" s="702"/>
      <c r="J545" s="702"/>
      <c r="K545" s="254">
        <f>F545</f>
        <v>45802</v>
      </c>
      <c r="L545" s="317" t="s">
        <v>635</v>
      </c>
      <c r="M545" s="340"/>
    </row>
    <row r="546" spans="2:13" x14ac:dyDescent="0.2">
      <c r="B546" s="259">
        <v>227</v>
      </c>
      <c r="C546" s="255" t="s">
        <v>229</v>
      </c>
      <c r="D546" s="317" t="str">
        <f t="shared" si="6"/>
        <v>2DA+0</v>
      </c>
      <c r="E546" s="317" t="str">
        <f t="shared" si="7"/>
        <v>DFR</v>
      </c>
      <c r="F546" s="254">
        <v>45803</v>
      </c>
      <c r="G546" s="705" t="s">
        <v>31</v>
      </c>
      <c r="H546" s="702"/>
      <c r="I546" s="702"/>
      <c r="J546" s="702"/>
      <c r="K546" s="254">
        <f t="shared" ref="K546:K559" si="8">F546</f>
        <v>45803</v>
      </c>
      <c r="L546" s="317" t="s">
        <v>510</v>
      </c>
      <c r="M546" s="340"/>
    </row>
    <row r="547" spans="2:13" x14ac:dyDescent="0.2">
      <c r="B547" s="259">
        <v>228</v>
      </c>
      <c r="C547" s="255" t="s">
        <v>230</v>
      </c>
      <c r="D547" s="317" t="str">
        <f t="shared" si="6"/>
        <v>2DA+0</v>
      </c>
      <c r="E547" s="317" t="str">
        <f t="shared" si="7"/>
        <v>DFR</v>
      </c>
      <c r="F547" s="254">
        <v>45803</v>
      </c>
      <c r="G547" s="705" t="s">
        <v>31</v>
      </c>
      <c r="H547" s="702"/>
      <c r="I547" s="702"/>
      <c r="J547" s="702"/>
      <c r="K547" s="254">
        <f t="shared" si="8"/>
        <v>45803</v>
      </c>
      <c r="L547" s="317" t="s">
        <v>510</v>
      </c>
      <c r="M547" s="340"/>
    </row>
    <row r="548" spans="2:13" x14ac:dyDescent="0.2">
      <c r="B548" s="259">
        <v>229</v>
      </c>
      <c r="C548" s="255" t="s">
        <v>231</v>
      </c>
      <c r="D548" s="317" t="str">
        <f t="shared" si="6"/>
        <v>2DA+0</v>
      </c>
      <c r="E548" s="317" t="str">
        <f t="shared" si="7"/>
        <v>DFR</v>
      </c>
      <c r="F548" s="254">
        <v>45803</v>
      </c>
      <c r="G548" s="705" t="s">
        <v>31</v>
      </c>
      <c r="H548" s="702"/>
      <c r="I548" s="702"/>
      <c r="J548" s="702"/>
      <c r="K548" s="254">
        <f t="shared" si="8"/>
        <v>45803</v>
      </c>
      <c r="L548" s="317" t="s">
        <v>510</v>
      </c>
      <c r="M548" s="340"/>
    </row>
    <row r="549" spans="2:13" x14ac:dyDescent="0.2">
      <c r="B549" s="259">
        <v>230</v>
      </c>
      <c r="C549" s="255" t="s">
        <v>220</v>
      </c>
      <c r="D549" s="317" t="str">
        <f t="shared" si="6"/>
        <v>2DA+6</v>
      </c>
      <c r="E549" s="317" t="str">
        <f t="shared" si="7"/>
        <v>DFR</v>
      </c>
      <c r="F549" s="254">
        <v>45803</v>
      </c>
      <c r="G549" s="705" t="s">
        <v>31</v>
      </c>
      <c r="H549" s="702"/>
      <c r="I549" s="702"/>
      <c r="J549" s="702"/>
      <c r="K549" s="254">
        <f t="shared" si="8"/>
        <v>45803</v>
      </c>
      <c r="L549" s="317" t="s">
        <v>448</v>
      </c>
      <c r="M549" s="340"/>
    </row>
    <row r="550" spans="2:13" x14ac:dyDescent="0.2">
      <c r="B550" s="259">
        <v>231</v>
      </c>
      <c r="C550" s="255" t="s">
        <v>222</v>
      </c>
      <c r="D550" s="317" t="str">
        <f t="shared" si="6"/>
        <v>2DA+3</v>
      </c>
      <c r="E550" s="317" t="str">
        <f t="shared" si="7"/>
        <v>DFR</v>
      </c>
      <c r="F550" s="254">
        <v>45803</v>
      </c>
      <c r="G550" s="705" t="s">
        <v>31</v>
      </c>
      <c r="H550" s="702"/>
      <c r="I550" s="702"/>
      <c r="J550" s="702"/>
      <c r="K550" s="254">
        <f t="shared" si="8"/>
        <v>45803</v>
      </c>
      <c r="L550" s="317" t="s">
        <v>448</v>
      </c>
      <c r="M550" s="340"/>
    </row>
    <row r="551" spans="2:13" x14ac:dyDescent="0.2">
      <c r="B551" s="259">
        <v>232</v>
      </c>
      <c r="C551" s="255" t="s">
        <v>224</v>
      </c>
      <c r="D551" s="317" t="str">
        <f t="shared" si="6"/>
        <v>2DA+0</v>
      </c>
      <c r="E551" s="317" t="str">
        <f t="shared" si="7"/>
        <v>DFR</v>
      </c>
      <c r="F551" s="254">
        <v>45803</v>
      </c>
      <c r="G551" s="705" t="s">
        <v>31</v>
      </c>
      <c r="H551" s="702"/>
      <c r="I551" s="702"/>
      <c r="J551" s="702"/>
      <c r="K551" s="254">
        <f t="shared" si="8"/>
        <v>45803</v>
      </c>
      <c r="L551" s="317" t="s">
        <v>448</v>
      </c>
      <c r="M551" s="340"/>
    </row>
    <row r="552" spans="2:13" x14ac:dyDescent="0.2">
      <c r="B552" s="259">
        <v>233</v>
      </c>
      <c r="C552" s="255" t="s">
        <v>203</v>
      </c>
      <c r="D552" s="317" t="str">
        <f t="shared" si="6"/>
        <v>2DA+0</v>
      </c>
      <c r="E552" s="317" t="str">
        <f t="shared" si="7"/>
        <v>DFR</v>
      </c>
      <c r="F552" s="254">
        <v>45804</v>
      </c>
      <c r="G552" s="705" t="s">
        <v>31</v>
      </c>
      <c r="H552" s="702"/>
      <c r="I552" s="702"/>
      <c r="J552" s="702"/>
      <c r="K552" s="254">
        <f t="shared" si="8"/>
        <v>45804</v>
      </c>
      <c r="L552" s="317" t="s">
        <v>635</v>
      </c>
      <c r="M552" s="340"/>
    </row>
    <row r="553" spans="2:13" x14ac:dyDescent="0.2">
      <c r="B553" s="259">
        <v>234</v>
      </c>
      <c r="C553" s="255" t="s">
        <v>241</v>
      </c>
      <c r="D553" s="317" t="str">
        <f t="shared" si="6"/>
        <v>2DA+0</v>
      </c>
      <c r="E553" s="317" t="str">
        <f t="shared" si="7"/>
        <v>DFR</v>
      </c>
      <c r="F553" s="254">
        <v>45804</v>
      </c>
      <c r="G553" s="705" t="s">
        <v>31</v>
      </c>
      <c r="H553" s="702"/>
      <c r="I553" s="702"/>
      <c r="J553" s="702"/>
      <c r="K553" s="254">
        <f t="shared" si="8"/>
        <v>45804</v>
      </c>
      <c r="L553" s="317" t="s">
        <v>448</v>
      </c>
      <c r="M553" s="340"/>
    </row>
    <row r="554" spans="2:13" x14ac:dyDescent="0.2">
      <c r="B554" s="259">
        <v>235</v>
      </c>
      <c r="C554" s="255" t="s">
        <v>242</v>
      </c>
      <c r="D554" s="317" t="str">
        <f t="shared" si="6"/>
        <v>2DA+0</v>
      </c>
      <c r="E554" s="317" t="str">
        <f t="shared" si="7"/>
        <v>DFR</v>
      </c>
      <c r="F554" s="254">
        <v>45805</v>
      </c>
      <c r="G554" s="705" t="s">
        <v>31</v>
      </c>
      <c r="H554" s="702"/>
      <c r="I554" s="702"/>
      <c r="J554" s="702"/>
      <c r="K554" s="254">
        <f t="shared" si="8"/>
        <v>45805</v>
      </c>
      <c r="L554" s="317" t="s">
        <v>448</v>
      </c>
      <c r="M554" s="317"/>
    </row>
    <row r="555" spans="2:13" x14ac:dyDescent="0.2">
      <c r="B555" s="259">
        <v>236</v>
      </c>
      <c r="C555" s="255" t="s">
        <v>207</v>
      </c>
      <c r="D555" s="317" t="str">
        <f t="shared" si="6"/>
        <v>2DA+0</v>
      </c>
      <c r="E555" s="317" t="str">
        <f t="shared" si="7"/>
        <v>DFR</v>
      </c>
      <c r="F555" s="254">
        <v>45807</v>
      </c>
      <c r="G555" s="705" t="s">
        <v>31</v>
      </c>
      <c r="H555" s="702"/>
      <c r="I555" s="702"/>
      <c r="J555" s="702"/>
      <c r="K555" s="254">
        <f t="shared" si="8"/>
        <v>45807</v>
      </c>
      <c r="L555" s="317" t="s">
        <v>635</v>
      </c>
      <c r="M555" s="317"/>
    </row>
    <row r="556" spans="2:13" x14ac:dyDescent="0.2">
      <c r="B556" s="259">
        <v>237</v>
      </c>
      <c r="C556" s="447" t="s">
        <v>218</v>
      </c>
      <c r="D556" s="317" t="str">
        <f t="shared" si="6"/>
        <v>2DA+3</v>
      </c>
      <c r="E556" s="317" t="str">
        <f t="shared" si="7"/>
        <v>DFR</v>
      </c>
      <c r="F556" s="254">
        <v>45808</v>
      </c>
      <c r="G556" s="705" t="s">
        <v>31</v>
      </c>
      <c r="H556" s="702"/>
      <c r="I556" s="702"/>
      <c r="J556" s="702"/>
      <c r="K556" s="254">
        <f t="shared" si="8"/>
        <v>45808</v>
      </c>
      <c r="L556" s="317" t="s">
        <v>448</v>
      </c>
      <c r="M556" s="317"/>
    </row>
    <row r="557" spans="2:13" x14ac:dyDescent="0.2">
      <c r="B557" s="259">
        <v>238</v>
      </c>
      <c r="C557" s="255" t="s">
        <v>219</v>
      </c>
      <c r="D557" s="317" t="str">
        <f t="shared" si="6"/>
        <v>2DA+0</v>
      </c>
      <c r="E557" s="317" t="str">
        <f t="shared" si="7"/>
        <v>DFR</v>
      </c>
      <c r="F557" s="254">
        <v>45808</v>
      </c>
      <c r="G557" s="705" t="s">
        <v>31</v>
      </c>
      <c r="H557" s="702"/>
      <c r="I557" s="702"/>
      <c r="J557" s="702"/>
      <c r="K557" s="254">
        <f t="shared" si="8"/>
        <v>45808</v>
      </c>
      <c r="L557" s="317" t="s">
        <v>448</v>
      </c>
      <c r="M557" s="317"/>
    </row>
    <row r="558" spans="2:13" x14ac:dyDescent="0.2">
      <c r="B558" s="259">
        <v>239</v>
      </c>
      <c r="C558" s="255" t="s">
        <v>204</v>
      </c>
      <c r="D558" s="317" t="str">
        <f t="shared" si="6"/>
        <v>2DA+3</v>
      </c>
      <c r="E558" s="317" t="str">
        <f t="shared" si="7"/>
        <v>DFR</v>
      </c>
      <c r="F558" s="254">
        <v>45808</v>
      </c>
      <c r="G558" s="705" t="s">
        <v>31</v>
      </c>
      <c r="H558" s="702"/>
      <c r="I558" s="702"/>
      <c r="J558" s="702"/>
      <c r="K558" s="254">
        <f t="shared" si="8"/>
        <v>45808</v>
      </c>
      <c r="L558" s="317" t="s">
        <v>635</v>
      </c>
      <c r="M558" s="317"/>
    </row>
    <row r="559" spans="2:13" x14ac:dyDescent="0.2">
      <c r="B559" s="259">
        <v>240</v>
      </c>
      <c r="C559" s="255" t="s">
        <v>210</v>
      </c>
      <c r="D559" s="317" t="str">
        <f t="shared" si="6"/>
        <v>2DA+0</v>
      </c>
      <c r="E559" s="317" t="str">
        <f t="shared" si="7"/>
        <v>DFR</v>
      </c>
      <c r="F559" s="254">
        <v>45808</v>
      </c>
      <c r="G559" s="705" t="s">
        <v>31</v>
      </c>
      <c r="H559" s="702"/>
      <c r="I559" s="702"/>
      <c r="J559" s="702"/>
      <c r="K559" s="254">
        <f t="shared" si="8"/>
        <v>45808</v>
      </c>
      <c r="L559" s="317" t="s">
        <v>635</v>
      </c>
      <c r="M559" s="340"/>
    </row>
    <row r="560" spans="2:13" x14ac:dyDescent="0.2">
      <c r="B560" s="259">
        <v>241</v>
      </c>
      <c r="C560" s="447" t="s">
        <v>246</v>
      </c>
      <c r="D560" s="317" t="str">
        <f t="shared" si="6"/>
        <v>2DA+0</v>
      </c>
      <c r="E560" s="317" t="str">
        <f>VLOOKUP(C560,$C$9:$E$273,3,FALSE)</f>
        <v>DFR</v>
      </c>
      <c r="F560" s="254">
        <v>45809</v>
      </c>
      <c r="G560" s="705" t="s">
        <v>31</v>
      </c>
      <c r="H560" s="702"/>
      <c r="I560" s="702"/>
      <c r="J560" s="702"/>
      <c r="K560" s="254">
        <f t="shared" ref="K560:K604" si="9">F560</f>
        <v>45809</v>
      </c>
      <c r="L560" s="308" t="s">
        <v>124</v>
      </c>
      <c r="M560" s="340"/>
    </row>
    <row r="561" spans="2:13" x14ac:dyDescent="0.2">
      <c r="B561" s="259">
        <v>242</v>
      </c>
      <c r="C561" s="255" t="s">
        <v>199</v>
      </c>
      <c r="D561" s="317" t="str">
        <f t="shared" si="6"/>
        <v>2DB2+0</v>
      </c>
      <c r="E561" s="317" t="str">
        <f>VLOOKUP(C561,$C$9:$E$273,3,FALSE)</f>
        <v>DFR</v>
      </c>
      <c r="F561" s="254">
        <v>45812</v>
      </c>
      <c r="G561" s="705" t="s">
        <v>31</v>
      </c>
      <c r="H561" s="702"/>
      <c r="I561" s="702"/>
      <c r="J561" s="702"/>
      <c r="K561" s="254">
        <f t="shared" si="9"/>
        <v>45812</v>
      </c>
      <c r="L561" s="317" t="s">
        <v>635</v>
      </c>
      <c r="M561" s="317"/>
    </row>
    <row r="562" spans="2:13" x14ac:dyDescent="0.2">
      <c r="B562" s="259">
        <v>243</v>
      </c>
      <c r="C562" s="255" t="s">
        <v>214</v>
      </c>
      <c r="D562" s="317" t="str">
        <f>VLOOKUP(C562,$C$9:$E$304,2,FALSE)</f>
        <v>2DA+0</v>
      </c>
      <c r="E562" s="317" t="str">
        <f>VLOOKUP(C562,$C$9:$E$304,3,FALSE)</f>
        <v>DFR</v>
      </c>
      <c r="F562" s="254">
        <v>45814</v>
      </c>
      <c r="G562" s="705" t="s">
        <v>31</v>
      </c>
      <c r="H562" s="702"/>
      <c r="I562" s="702"/>
      <c r="J562" s="702"/>
      <c r="K562" s="254">
        <f t="shared" si="9"/>
        <v>45814</v>
      </c>
      <c r="L562" s="317" t="s">
        <v>448</v>
      </c>
      <c r="M562" s="317"/>
    </row>
    <row r="563" spans="2:13" x14ac:dyDescent="0.2">
      <c r="B563" s="259">
        <v>244</v>
      </c>
      <c r="C563" s="255" t="s">
        <v>215</v>
      </c>
      <c r="D563" s="317" t="str">
        <f>VLOOKUP(C563,$C$9:$E$304,2,FALSE)</f>
        <v>2DA+3</v>
      </c>
      <c r="E563" s="317" t="str">
        <f>VLOOKUP(C563,$C$9:$E$304,3,FALSE)</f>
        <v>DFR</v>
      </c>
      <c r="F563" s="254">
        <v>45814</v>
      </c>
      <c r="G563" s="705" t="s">
        <v>31</v>
      </c>
      <c r="H563" s="702"/>
      <c r="I563" s="702"/>
      <c r="J563" s="702"/>
      <c r="K563" s="254">
        <f t="shared" si="9"/>
        <v>45814</v>
      </c>
      <c r="L563" s="317" t="s">
        <v>448</v>
      </c>
      <c r="M563" s="317"/>
    </row>
    <row r="564" spans="2:13" x14ac:dyDescent="0.2">
      <c r="B564" s="259">
        <v>245</v>
      </c>
      <c r="C564" s="255" t="s">
        <v>216</v>
      </c>
      <c r="D564" s="317" t="str">
        <f>VLOOKUP(C564,$C$9:$E$304,2,FALSE)</f>
        <v>2DA+0</v>
      </c>
      <c r="E564" s="317" t="str">
        <f>VLOOKUP(C564,$C$9:$E$304,3,FALSE)</f>
        <v>DFR</v>
      </c>
      <c r="F564" s="254">
        <v>45814</v>
      </c>
      <c r="G564" s="705" t="s">
        <v>31</v>
      </c>
      <c r="H564" s="702"/>
      <c r="I564" s="702"/>
      <c r="J564" s="702"/>
      <c r="K564" s="254">
        <f t="shared" si="9"/>
        <v>45814</v>
      </c>
      <c r="L564" s="317" t="s">
        <v>448</v>
      </c>
      <c r="M564" s="317"/>
    </row>
    <row r="565" spans="2:13" x14ac:dyDescent="0.2">
      <c r="B565" s="259">
        <v>246</v>
      </c>
      <c r="C565" s="255" t="s">
        <v>429</v>
      </c>
      <c r="D565" s="317" t="str">
        <f>VLOOKUP(C565,$C$9:$E$304,2,FALSE)</f>
        <v>3DA+0</v>
      </c>
      <c r="E565" s="317" t="str">
        <f>VLOOKUP(C565,$C$9:$E$304,3,FALSE)</f>
        <v>DFR</v>
      </c>
      <c r="F565" s="254">
        <v>45814</v>
      </c>
      <c r="G565" s="705" t="s">
        <v>31</v>
      </c>
      <c r="H565" s="702"/>
      <c r="I565" s="702"/>
      <c r="J565" s="702"/>
      <c r="K565" s="254">
        <f t="shared" si="9"/>
        <v>45814</v>
      </c>
      <c r="L565" s="259" t="s">
        <v>515</v>
      </c>
      <c r="M565" s="317"/>
    </row>
    <row r="566" spans="2:13" x14ac:dyDescent="0.2">
      <c r="B566" s="259">
        <v>247</v>
      </c>
      <c r="C566" s="447" t="s">
        <v>711</v>
      </c>
      <c r="D566" s="317" t="s">
        <v>29</v>
      </c>
      <c r="E566" s="317" t="s">
        <v>30</v>
      </c>
      <c r="F566" s="254">
        <v>45814</v>
      </c>
      <c r="G566" s="705" t="s">
        <v>31</v>
      </c>
      <c r="H566" s="702"/>
      <c r="I566" s="702"/>
      <c r="J566" s="702"/>
      <c r="K566" s="254">
        <f t="shared" si="9"/>
        <v>45814</v>
      </c>
      <c r="L566" s="259" t="s">
        <v>515</v>
      </c>
      <c r="M566" s="317"/>
    </row>
    <row r="567" spans="2:13" x14ac:dyDescent="0.2">
      <c r="B567" s="259">
        <v>248</v>
      </c>
      <c r="C567" s="255" t="s">
        <v>712</v>
      </c>
      <c r="D567" s="317" t="str">
        <f t="shared" ref="D567:D598" si="10">VLOOKUP(C567,$C$9:$E$304,2,FALSE)</f>
        <v>3DA+0</v>
      </c>
      <c r="E567" s="317" t="str">
        <f t="shared" ref="E567:E598" si="11">VLOOKUP(C567,$C$9:$E$304,3,FALSE)</f>
        <v>DFR</v>
      </c>
      <c r="F567" s="254">
        <v>45814</v>
      </c>
      <c r="G567" s="705" t="s">
        <v>31</v>
      </c>
      <c r="H567" s="702"/>
      <c r="I567" s="702"/>
      <c r="J567" s="702"/>
      <c r="K567" s="254">
        <f t="shared" si="9"/>
        <v>45814</v>
      </c>
      <c r="L567" s="259" t="s">
        <v>515</v>
      </c>
      <c r="M567" s="317"/>
    </row>
    <row r="568" spans="2:13" x14ac:dyDescent="0.2">
      <c r="B568" s="259">
        <v>249</v>
      </c>
      <c r="C568" s="255" t="s">
        <v>414</v>
      </c>
      <c r="D568" s="317" t="str">
        <f t="shared" si="10"/>
        <v>3DC1+0</v>
      </c>
      <c r="E568" s="317" t="str">
        <f t="shared" si="11"/>
        <v xml:space="preserve">WET </v>
      </c>
      <c r="F568" s="254">
        <v>45816</v>
      </c>
      <c r="G568" s="705" t="s">
        <v>31</v>
      </c>
      <c r="H568" s="702"/>
      <c r="I568" s="702"/>
      <c r="J568" s="702"/>
      <c r="K568" s="254">
        <f t="shared" si="9"/>
        <v>45816</v>
      </c>
      <c r="L568" s="259" t="s">
        <v>515</v>
      </c>
      <c r="M568" s="317"/>
    </row>
    <row r="569" spans="2:13" x14ac:dyDescent="0.2">
      <c r="B569" s="259">
        <v>250</v>
      </c>
      <c r="C569" s="255" t="s">
        <v>428</v>
      </c>
      <c r="D569" s="317" t="str">
        <f t="shared" si="10"/>
        <v>3DA-3</v>
      </c>
      <c r="E569" s="317" t="str">
        <f t="shared" si="11"/>
        <v>DFR</v>
      </c>
      <c r="F569" s="254">
        <v>45821</v>
      </c>
      <c r="G569" s="705" t="s">
        <v>31</v>
      </c>
      <c r="H569" s="702"/>
      <c r="I569" s="702"/>
      <c r="J569" s="702"/>
      <c r="K569" s="254">
        <f t="shared" si="9"/>
        <v>45821</v>
      </c>
      <c r="L569" s="259" t="s">
        <v>515</v>
      </c>
      <c r="M569" s="317"/>
    </row>
    <row r="570" spans="2:13" x14ac:dyDescent="0.2">
      <c r="B570" s="259">
        <v>251</v>
      </c>
      <c r="C570" s="255" t="s">
        <v>386</v>
      </c>
      <c r="D570" s="317" t="str">
        <f t="shared" si="10"/>
        <v>3DA+3</v>
      </c>
      <c r="E570" s="317" t="str">
        <f t="shared" si="11"/>
        <v>WFR</v>
      </c>
      <c r="F570" s="254">
        <v>45823</v>
      </c>
      <c r="G570" s="705" t="s">
        <v>31</v>
      </c>
      <c r="H570" s="702"/>
      <c r="I570" s="702"/>
      <c r="J570" s="702"/>
      <c r="K570" s="254">
        <f t="shared" si="9"/>
        <v>45823</v>
      </c>
      <c r="L570" s="317" t="s">
        <v>495</v>
      </c>
      <c r="M570" s="317"/>
    </row>
    <row r="571" spans="2:13" x14ac:dyDescent="0.2">
      <c r="B571" s="259">
        <v>252</v>
      </c>
      <c r="C571" s="255" t="s">
        <v>342</v>
      </c>
      <c r="D571" s="317" t="str">
        <f t="shared" si="10"/>
        <v>3DA+9</v>
      </c>
      <c r="E571" s="317" t="str">
        <f t="shared" si="11"/>
        <v>WET(2mRC)</v>
      </c>
      <c r="F571" s="254">
        <v>45825</v>
      </c>
      <c r="G571" s="705" t="s">
        <v>31</v>
      </c>
      <c r="H571" s="702"/>
      <c r="I571" s="702"/>
      <c r="J571" s="702"/>
      <c r="K571" s="254">
        <f t="shared" si="9"/>
        <v>45825</v>
      </c>
      <c r="L571" s="317" t="s">
        <v>495</v>
      </c>
      <c r="M571" s="317"/>
    </row>
    <row r="572" spans="2:13" x14ac:dyDescent="0.2">
      <c r="B572" s="259">
        <v>253</v>
      </c>
      <c r="C572" s="255" t="s">
        <v>196</v>
      </c>
      <c r="D572" s="317" t="str">
        <f t="shared" si="10"/>
        <v>2DA+9</v>
      </c>
      <c r="E572" s="317" t="str">
        <f t="shared" si="11"/>
        <v>DFR</v>
      </c>
      <c r="F572" s="254">
        <v>45829</v>
      </c>
      <c r="G572" s="705" t="s">
        <v>31</v>
      </c>
      <c r="H572" s="702"/>
      <c r="I572" s="702"/>
      <c r="J572" s="702"/>
      <c r="K572" s="254">
        <f t="shared" si="9"/>
        <v>45829</v>
      </c>
      <c r="L572" s="317" t="s">
        <v>510</v>
      </c>
      <c r="M572" s="317"/>
    </row>
    <row r="573" spans="2:13" x14ac:dyDescent="0.2">
      <c r="B573" s="259">
        <v>254</v>
      </c>
      <c r="C573" s="255" t="s">
        <v>622</v>
      </c>
      <c r="D573" s="317" t="str">
        <f t="shared" si="10"/>
        <v>2DA+3</v>
      </c>
      <c r="E573" s="317" t="str">
        <f t="shared" si="11"/>
        <v>DFR</v>
      </c>
      <c r="F573" s="254">
        <v>45829</v>
      </c>
      <c r="G573" s="705" t="s">
        <v>31</v>
      </c>
      <c r="H573" s="702"/>
      <c r="I573" s="702"/>
      <c r="J573" s="702"/>
      <c r="K573" s="254">
        <f t="shared" si="9"/>
        <v>45829</v>
      </c>
      <c r="L573" s="317" t="s">
        <v>448</v>
      </c>
      <c r="M573" s="317"/>
    </row>
    <row r="574" spans="2:13" x14ac:dyDescent="0.2">
      <c r="B574" s="259">
        <v>255</v>
      </c>
      <c r="C574" s="255" t="s">
        <v>200</v>
      </c>
      <c r="D574" s="317" t="str">
        <f t="shared" si="10"/>
        <v>2DA+3</v>
      </c>
      <c r="E574" s="317" t="str">
        <f t="shared" si="11"/>
        <v>DFR</v>
      </c>
      <c r="F574" s="254">
        <v>45829</v>
      </c>
      <c r="G574" s="705" t="s">
        <v>31</v>
      </c>
      <c r="H574" s="702"/>
      <c r="I574" s="702"/>
      <c r="J574" s="702"/>
      <c r="K574" s="254">
        <f t="shared" si="9"/>
        <v>45829</v>
      </c>
      <c r="L574" s="317" t="s">
        <v>635</v>
      </c>
      <c r="M574" s="317"/>
    </row>
    <row r="575" spans="2:13" x14ac:dyDescent="0.2">
      <c r="B575" s="259">
        <v>256</v>
      </c>
      <c r="C575" s="255" t="s">
        <v>247</v>
      </c>
      <c r="D575" s="317" t="str">
        <f t="shared" si="10"/>
        <v>2DA+0</v>
      </c>
      <c r="E575" s="317" t="str">
        <f t="shared" si="11"/>
        <v>DFR</v>
      </c>
      <c r="F575" s="254">
        <v>45829</v>
      </c>
      <c r="G575" s="705" t="s">
        <v>31</v>
      </c>
      <c r="H575" s="702"/>
      <c r="I575" s="702"/>
      <c r="J575" s="702"/>
      <c r="K575" s="254">
        <f t="shared" si="9"/>
        <v>45829</v>
      </c>
      <c r="L575" s="308" t="s">
        <v>124</v>
      </c>
      <c r="M575" s="317"/>
    </row>
    <row r="576" spans="2:13" x14ac:dyDescent="0.2">
      <c r="B576" s="259">
        <v>257</v>
      </c>
      <c r="C576" s="255" t="s">
        <v>191</v>
      </c>
      <c r="D576" s="317" t="str">
        <f t="shared" si="10"/>
        <v>2DB2+3</v>
      </c>
      <c r="E576" s="317" t="str">
        <f t="shared" si="11"/>
        <v>DFR</v>
      </c>
      <c r="F576" s="254">
        <v>45830</v>
      </c>
      <c r="G576" s="705" t="s">
        <v>31</v>
      </c>
      <c r="H576" s="702"/>
      <c r="I576" s="702"/>
      <c r="J576" s="702"/>
      <c r="K576" s="254">
        <f t="shared" si="9"/>
        <v>45830</v>
      </c>
      <c r="L576" s="317" t="s">
        <v>510</v>
      </c>
      <c r="M576" s="317"/>
    </row>
    <row r="577" spans="2:13" x14ac:dyDescent="0.2">
      <c r="B577" s="259">
        <v>258</v>
      </c>
      <c r="C577" s="255" t="s">
        <v>197</v>
      </c>
      <c r="D577" s="317" t="str">
        <f t="shared" si="10"/>
        <v>2DA+9</v>
      </c>
      <c r="E577" s="317" t="str">
        <f t="shared" si="11"/>
        <v>DFR</v>
      </c>
      <c r="F577" s="254">
        <v>45830</v>
      </c>
      <c r="G577" s="705" t="s">
        <v>31</v>
      </c>
      <c r="H577" s="702"/>
      <c r="I577" s="702"/>
      <c r="J577" s="702"/>
      <c r="K577" s="254">
        <f t="shared" si="9"/>
        <v>45830</v>
      </c>
      <c r="L577" s="317" t="s">
        <v>510</v>
      </c>
      <c r="M577" s="317"/>
    </row>
    <row r="578" spans="2:13" x14ac:dyDescent="0.2">
      <c r="B578" s="259">
        <v>259</v>
      </c>
      <c r="C578" s="255" t="s">
        <v>198</v>
      </c>
      <c r="D578" s="317" t="str">
        <f t="shared" si="10"/>
        <v>2DA+0</v>
      </c>
      <c r="E578" s="317" t="str">
        <f t="shared" si="11"/>
        <v>DFR</v>
      </c>
      <c r="F578" s="254">
        <v>45830</v>
      </c>
      <c r="G578" s="705" t="s">
        <v>31</v>
      </c>
      <c r="H578" s="702"/>
      <c r="I578" s="702"/>
      <c r="J578" s="702"/>
      <c r="K578" s="254">
        <f t="shared" si="9"/>
        <v>45830</v>
      </c>
      <c r="L578" s="317" t="s">
        <v>510</v>
      </c>
      <c r="M578" s="340"/>
    </row>
    <row r="579" spans="2:13" x14ac:dyDescent="0.2">
      <c r="B579" s="259">
        <v>260</v>
      </c>
      <c r="C579" s="255" t="s">
        <v>619</v>
      </c>
      <c r="D579" s="317" t="str">
        <f t="shared" si="10"/>
        <v>2DD45+0</v>
      </c>
      <c r="E579" s="317" t="str">
        <f t="shared" si="11"/>
        <v>DFR</v>
      </c>
      <c r="F579" s="254">
        <v>45830</v>
      </c>
      <c r="G579" s="705" t="s">
        <v>31</v>
      </c>
      <c r="H579" s="702"/>
      <c r="I579" s="702"/>
      <c r="J579" s="702"/>
      <c r="K579" s="254">
        <f t="shared" si="9"/>
        <v>45830</v>
      </c>
      <c r="L579" s="317" t="s">
        <v>635</v>
      </c>
      <c r="M579" s="340"/>
    </row>
    <row r="580" spans="2:13" x14ac:dyDescent="0.2">
      <c r="B580" s="259">
        <v>261</v>
      </c>
      <c r="C580" s="284" t="s">
        <v>621</v>
      </c>
      <c r="D580" s="258" t="str">
        <f t="shared" si="10"/>
        <v>2DA+6</v>
      </c>
      <c r="E580" s="258" t="str">
        <f t="shared" si="11"/>
        <v>DFR</v>
      </c>
      <c r="F580" s="254">
        <v>45832</v>
      </c>
      <c r="G580" s="705" t="s">
        <v>31</v>
      </c>
      <c r="H580" s="702"/>
      <c r="I580" s="702"/>
      <c r="J580" s="702"/>
      <c r="K580" s="254">
        <f t="shared" si="9"/>
        <v>45832</v>
      </c>
      <c r="L580" s="317" t="s">
        <v>448</v>
      </c>
      <c r="M580" s="340"/>
    </row>
    <row r="581" spans="2:13" x14ac:dyDescent="0.2">
      <c r="B581" s="259">
        <v>262</v>
      </c>
      <c r="C581" s="255" t="s">
        <v>427</v>
      </c>
      <c r="D581" s="317" t="str">
        <f t="shared" si="10"/>
        <v>3DA+3</v>
      </c>
      <c r="E581" s="317" t="str">
        <f t="shared" si="11"/>
        <v>WFR</v>
      </c>
      <c r="F581" s="254">
        <v>45833</v>
      </c>
      <c r="G581" s="705" t="s">
        <v>31</v>
      </c>
      <c r="H581" s="702"/>
      <c r="I581" s="702"/>
      <c r="J581" s="702"/>
      <c r="K581" s="254">
        <f t="shared" si="9"/>
        <v>45833</v>
      </c>
      <c r="L581" s="259" t="s">
        <v>515</v>
      </c>
      <c r="M581" s="340"/>
    </row>
    <row r="582" spans="2:13" x14ac:dyDescent="0.2">
      <c r="B582" s="259">
        <v>263</v>
      </c>
      <c r="C582" s="255" t="s">
        <v>190</v>
      </c>
      <c r="D582" s="317" t="str">
        <f t="shared" si="10"/>
        <v>2DA+0</v>
      </c>
      <c r="E582" s="317" t="str">
        <f t="shared" si="11"/>
        <v>DFR</v>
      </c>
      <c r="F582" s="254">
        <v>45835</v>
      </c>
      <c r="G582" s="705" t="s">
        <v>31</v>
      </c>
      <c r="H582" s="702"/>
      <c r="I582" s="702"/>
      <c r="J582" s="702"/>
      <c r="K582" s="254">
        <f t="shared" si="9"/>
        <v>45835</v>
      </c>
      <c r="L582" s="308" t="s">
        <v>124</v>
      </c>
      <c r="M582" s="340"/>
    </row>
    <row r="583" spans="2:13" x14ac:dyDescent="0.2">
      <c r="B583" s="259">
        <v>264</v>
      </c>
      <c r="C583" s="255" t="s">
        <v>620</v>
      </c>
      <c r="D583" s="317" t="str">
        <f t="shared" si="10"/>
        <v>2DB2+3</v>
      </c>
      <c r="E583" s="317" t="str">
        <f t="shared" si="11"/>
        <v>DFR</v>
      </c>
      <c r="F583" s="254">
        <v>45836</v>
      </c>
      <c r="G583" s="705" t="s">
        <v>31</v>
      </c>
      <c r="H583" s="702"/>
      <c r="I583" s="702"/>
      <c r="J583" s="702"/>
      <c r="K583" s="254">
        <f t="shared" si="9"/>
        <v>45836</v>
      </c>
      <c r="L583" s="317" t="s">
        <v>448</v>
      </c>
      <c r="M583" s="317"/>
    </row>
    <row r="584" spans="2:13" x14ac:dyDescent="0.2">
      <c r="B584" s="259">
        <v>265</v>
      </c>
      <c r="C584" s="447" t="s">
        <v>430</v>
      </c>
      <c r="D584" s="317" t="str">
        <f t="shared" si="10"/>
        <v>3DA+3</v>
      </c>
      <c r="E584" s="317" t="str">
        <f t="shared" si="11"/>
        <v>DFR</v>
      </c>
      <c r="F584" s="254">
        <v>45836</v>
      </c>
      <c r="G584" s="705" t="s">
        <v>31</v>
      </c>
      <c r="H584" s="702"/>
      <c r="I584" s="702"/>
      <c r="J584" s="702"/>
      <c r="K584" s="254">
        <f t="shared" si="9"/>
        <v>45836</v>
      </c>
      <c r="L584" s="259" t="s">
        <v>515</v>
      </c>
      <c r="M584" s="317"/>
    </row>
    <row r="585" spans="2:13" x14ac:dyDescent="0.2">
      <c r="B585" s="259">
        <v>266</v>
      </c>
      <c r="C585" s="255" t="s">
        <v>426</v>
      </c>
      <c r="D585" s="317" t="str">
        <f t="shared" si="10"/>
        <v>3DB2+0</v>
      </c>
      <c r="E585" s="317" t="str">
        <f t="shared" si="11"/>
        <v>DFR</v>
      </c>
      <c r="F585" s="254">
        <v>45838</v>
      </c>
      <c r="G585" s="705" t="s">
        <v>31</v>
      </c>
      <c r="H585" s="702"/>
      <c r="I585" s="702"/>
      <c r="J585" s="702"/>
      <c r="K585" s="254">
        <f t="shared" si="9"/>
        <v>45838</v>
      </c>
      <c r="L585" s="259" t="s">
        <v>515</v>
      </c>
      <c r="M585" s="317"/>
    </row>
    <row r="586" spans="2:13" x14ac:dyDescent="0.2">
      <c r="B586" s="259">
        <v>267</v>
      </c>
      <c r="C586" s="255" t="s">
        <v>237</v>
      </c>
      <c r="D586" s="317" t="str">
        <f t="shared" si="10"/>
        <v>2DB1+6</v>
      </c>
      <c r="E586" s="317" t="str">
        <f t="shared" si="11"/>
        <v>DFR</v>
      </c>
      <c r="F586" s="254">
        <v>45838</v>
      </c>
      <c r="G586" s="705" t="s">
        <v>31</v>
      </c>
      <c r="H586" s="702"/>
      <c r="I586" s="702"/>
      <c r="J586" s="702"/>
      <c r="K586" s="254">
        <f t="shared" si="9"/>
        <v>45838</v>
      </c>
      <c r="L586" s="317" t="s">
        <v>448</v>
      </c>
      <c r="M586" s="317"/>
    </row>
    <row r="587" spans="2:13" x14ac:dyDescent="0.2">
      <c r="B587" s="259">
        <v>268</v>
      </c>
      <c r="C587" s="255" t="s">
        <v>624</v>
      </c>
      <c r="D587" s="317" t="str">
        <f t="shared" si="10"/>
        <v>2DB1+9</v>
      </c>
      <c r="E587" s="317" t="str">
        <f t="shared" si="11"/>
        <v>DFR</v>
      </c>
      <c r="F587" s="254">
        <v>45842</v>
      </c>
      <c r="G587" s="705" t="s">
        <v>31</v>
      </c>
      <c r="H587" s="702"/>
      <c r="I587" s="702"/>
      <c r="J587" s="702"/>
      <c r="K587" s="254">
        <f t="shared" si="9"/>
        <v>45842</v>
      </c>
      <c r="L587" s="317" t="s">
        <v>448</v>
      </c>
      <c r="M587" s="340"/>
    </row>
    <row r="588" spans="2:13" x14ac:dyDescent="0.2">
      <c r="B588" s="259">
        <v>269</v>
      </c>
      <c r="C588" s="255" t="s">
        <v>189</v>
      </c>
      <c r="D588" s="317" t="str">
        <f t="shared" si="10"/>
        <v>2DA+0</v>
      </c>
      <c r="E588" s="317" t="str">
        <f t="shared" si="11"/>
        <v>DFR</v>
      </c>
      <c r="F588" s="254">
        <v>45842</v>
      </c>
      <c r="G588" s="702" t="s">
        <v>31</v>
      </c>
      <c r="H588" s="702"/>
      <c r="I588" s="702"/>
      <c r="J588" s="702"/>
      <c r="K588" s="254">
        <f t="shared" si="9"/>
        <v>45842</v>
      </c>
      <c r="L588" s="317" t="s">
        <v>448</v>
      </c>
      <c r="M588" s="317"/>
    </row>
    <row r="589" spans="2:13" x14ac:dyDescent="0.2">
      <c r="B589" s="259">
        <v>270</v>
      </c>
      <c r="C589" s="255" t="s">
        <v>424</v>
      </c>
      <c r="D589" s="317" t="str">
        <f t="shared" si="10"/>
        <v>3DA+9(2mRC)</v>
      </c>
      <c r="E589" s="317" t="str">
        <f t="shared" si="11"/>
        <v>DFR</v>
      </c>
      <c r="F589" s="254">
        <v>45846</v>
      </c>
      <c r="G589" s="702" t="s">
        <v>31</v>
      </c>
      <c r="H589" s="702"/>
      <c r="I589" s="702"/>
      <c r="J589" s="702"/>
      <c r="K589" s="254">
        <f t="shared" si="9"/>
        <v>45846</v>
      </c>
      <c r="L589" s="317" t="s">
        <v>515</v>
      </c>
      <c r="M589" s="317"/>
    </row>
    <row r="590" spans="2:13" x14ac:dyDescent="0.2">
      <c r="B590" s="259">
        <v>271</v>
      </c>
      <c r="C590" s="255" t="s">
        <v>426</v>
      </c>
      <c r="D590" s="317" t="str">
        <f t="shared" si="10"/>
        <v>3DB2+0</v>
      </c>
      <c r="E590" s="317" t="str">
        <f t="shared" si="11"/>
        <v>DFR</v>
      </c>
      <c r="F590" s="254">
        <v>45846</v>
      </c>
      <c r="G590" s="702" t="s">
        <v>31</v>
      </c>
      <c r="H590" s="702"/>
      <c r="I590" s="702"/>
      <c r="J590" s="702"/>
      <c r="K590" s="254">
        <f t="shared" si="9"/>
        <v>45846</v>
      </c>
      <c r="L590" s="317" t="s">
        <v>515</v>
      </c>
      <c r="M590" s="317"/>
    </row>
    <row r="591" spans="2:13" x14ac:dyDescent="0.2">
      <c r="B591" s="259">
        <v>272</v>
      </c>
      <c r="C591" s="255" t="s">
        <v>239</v>
      </c>
      <c r="D591" s="317" t="str">
        <f t="shared" si="10"/>
        <v>2DB1+6</v>
      </c>
      <c r="E591" s="317" t="str">
        <f t="shared" si="11"/>
        <v>DFR</v>
      </c>
      <c r="F591" s="254">
        <v>45847</v>
      </c>
      <c r="G591" s="702" t="s">
        <v>31</v>
      </c>
      <c r="H591" s="702"/>
      <c r="I591" s="702"/>
      <c r="J591" s="702"/>
      <c r="K591" s="254">
        <f t="shared" si="9"/>
        <v>45847</v>
      </c>
      <c r="L591" s="317" t="s">
        <v>448</v>
      </c>
      <c r="M591" s="317"/>
    </row>
    <row r="592" spans="2:13" x14ac:dyDescent="0.2">
      <c r="B592" s="259">
        <v>273</v>
      </c>
      <c r="C592" s="255" t="s">
        <v>188</v>
      </c>
      <c r="D592" s="317" t="str">
        <f t="shared" si="10"/>
        <v>2DA+0</v>
      </c>
      <c r="E592" s="317" t="str">
        <f t="shared" si="11"/>
        <v>DFR</v>
      </c>
      <c r="F592" s="254">
        <v>45849</v>
      </c>
      <c r="G592" s="702" t="s">
        <v>31</v>
      </c>
      <c r="H592" s="702"/>
      <c r="I592" s="702"/>
      <c r="J592" s="702"/>
      <c r="K592" s="254">
        <f t="shared" si="9"/>
        <v>45849</v>
      </c>
      <c r="L592" s="317" t="s">
        <v>727</v>
      </c>
      <c r="M592" s="317"/>
    </row>
    <row r="593" spans="2:13" x14ac:dyDescent="0.2">
      <c r="B593" s="259">
        <v>274</v>
      </c>
      <c r="C593" s="255" t="s">
        <v>217</v>
      </c>
      <c r="D593" s="317" t="str">
        <f t="shared" si="10"/>
        <v>2DA+0</v>
      </c>
      <c r="E593" s="317" t="str">
        <f t="shared" si="11"/>
        <v>DFR</v>
      </c>
      <c r="F593" s="254">
        <v>45849</v>
      </c>
      <c r="G593" s="702" t="s">
        <v>31</v>
      </c>
      <c r="H593" s="702"/>
      <c r="I593" s="702"/>
      <c r="J593" s="702"/>
      <c r="K593" s="254">
        <f t="shared" si="9"/>
        <v>45849</v>
      </c>
      <c r="L593" s="317" t="s">
        <v>448</v>
      </c>
      <c r="M593" s="317"/>
    </row>
    <row r="594" spans="2:13" x14ac:dyDescent="0.2">
      <c r="B594" s="259">
        <v>275</v>
      </c>
      <c r="C594" s="447" t="s">
        <v>313</v>
      </c>
      <c r="D594" s="317" t="str">
        <f t="shared" si="10"/>
        <v xml:space="preserve">3DA+0 </v>
      </c>
      <c r="E594" s="317" t="str">
        <f t="shared" si="11"/>
        <v xml:space="preserve">WBC </v>
      </c>
      <c r="F594" s="254">
        <v>45850</v>
      </c>
      <c r="G594" s="702" t="s">
        <v>31</v>
      </c>
      <c r="H594" s="702"/>
      <c r="I594" s="702"/>
      <c r="J594" s="702"/>
      <c r="K594" s="254">
        <f t="shared" si="9"/>
        <v>45850</v>
      </c>
      <c r="L594" s="317" t="s">
        <v>457</v>
      </c>
      <c r="M594" s="317"/>
    </row>
    <row r="595" spans="2:13" x14ac:dyDescent="0.2">
      <c r="B595" s="259">
        <v>276</v>
      </c>
      <c r="C595" s="255" t="s">
        <v>314</v>
      </c>
      <c r="D595" s="317" t="str">
        <f t="shared" si="10"/>
        <v>3DA-3</v>
      </c>
      <c r="E595" s="317" t="str">
        <f t="shared" si="11"/>
        <v>WET</v>
      </c>
      <c r="F595" s="254">
        <v>45850</v>
      </c>
      <c r="G595" s="702" t="s">
        <v>31</v>
      </c>
      <c r="H595" s="702"/>
      <c r="I595" s="702"/>
      <c r="J595" s="702"/>
      <c r="K595" s="254">
        <f t="shared" si="9"/>
        <v>45850</v>
      </c>
      <c r="L595" s="317" t="s">
        <v>780</v>
      </c>
      <c r="M595" s="317"/>
    </row>
    <row r="596" spans="2:13" x14ac:dyDescent="0.2">
      <c r="B596" s="259">
        <v>277</v>
      </c>
      <c r="C596" s="447" t="s">
        <v>625</v>
      </c>
      <c r="D596" s="317" t="str">
        <f t="shared" si="10"/>
        <v>2DA+0</v>
      </c>
      <c r="E596" s="317" t="str">
        <f t="shared" si="11"/>
        <v>DFR</v>
      </c>
      <c r="F596" s="254">
        <v>45851</v>
      </c>
      <c r="G596" s="702" t="s">
        <v>31</v>
      </c>
      <c r="H596" s="702"/>
      <c r="I596" s="702"/>
      <c r="J596" s="702"/>
      <c r="K596" s="254">
        <f t="shared" si="9"/>
        <v>45851</v>
      </c>
      <c r="L596" s="317" t="s">
        <v>457</v>
      </c>
      <c r="M596" s="317"/>
    </row>
    <row r="597" spans="2:13" x14ac:dyDescent="0.2">
      <c r="B597" s="259">
        <v>278</v>
      </c>
      <c r="C597" s="255" t="s">
        <v>187</v>
      </c>
      <c r="D597" s="317" t="str">
        <f t="shared" si="10"/>
        <v>2DB2+6</v>
      </c>
      <c r="E597" s="317" t="str">
        <f t="shared" si="11"/>
        <v>DFR</v>
      </c>
      <c r="F597" s="254">
        <v>45852</v>
      </c>
      <c r="G597" s="702" t="s">
        <v>31</v>
      </c>
      <c r="H597" s="702"/>
      <c r="I597" s="702"/>
      <c r="J597" s="702"/>
      <c r="K597" s="254">
        <f t="shared" si="9"/>
        <v>45852</v>
      </c>
      <c r="L597" s="317" t="s">
        <v>727</v>
      </c>
      <c r="M597" s="317"/>
    </row>
    <row r="598" spans="2:13" ht="13.5" customHeight="1" x14ac:dyDescent="0.2">
      <c r="B598" s="259">
        <v>279</v>
      </c>
      <c r="C598" s="255" t="s">
        <v>249</v>
      </c>
      <c r="D598" s="317" t="str">
        <f t="shared" si="10"/>
        <v>2DA+3</v>
      </c>
      <c r="E598" s="317" t="str">
        <f t="shared" si="11"/>
        <v>DFR</v>
      </c>
      <c r="F598" s="254">
        <v>45854</v>
      </c>
      <c r="G598" s="702" t="s">
        <v>31</v>
      </c>
      <c r="H598" s="702"/>
      <c r="I598" s="702"/>
      <c r="J598" s="702"/>
      <c r="K598" s="254">
        <f t="shared" si="9"/>
        <v>45854</v>
      </c>
      <c r="L598" s="317" t="s">
        <v>457</v>
      </c>
      <c r="M598" s="340"/>
    </row>
    <row r="599" spans="2:13" ht="13.5" customHeight="1" x14ac:dyDescent="0.2">
      <c r="B599" s="259">
        <v>280</v>
      </c>
      <c r="C599" s="255" t="s">
        <v>431</v>
      </c>
      <c r="D599" s="317" t="str">
        <f t="shared" ref="D599:D604" si="12">VLOOKUP(C599,$C$9:$E$312,2,FALSE)</f>
        <v xml:space="preserve">3DA+3(2mRC) </v>
      </c>
      <c r="E599" s="317" t="str">
        <f>VLOOKUP(C599,$C$9:$E$312,3,FALSE)</f>
        <v>DFR</v>
      </c>
      <c r="F599" s="254">
        <v>45855</v>
      </c>
      <c r="G599" s="702" t="s">
        <v>31</v>
      </c>
      <c r="H599" s="702"/>
      <c r="I599" s="702"/>
      <c r="J599" s="702"/>
      <c r="K599" s="254">
        <f t="shared" si="9"/>
        <v>45855</v>
      </c>
      <c r="L599" s="317" t="s">
        <v>515</v>
      </c>
      <c r="M599" s="340"/>
    </row>
    <row r="600" spans="2:13" ht="13.5" customHeight="1" x14ac:dyDescent="0.2">
      <c r="B600" s="259">
        <v>281</v>
      </c>
      <c r="C600" s="255" t="s">
        <v>225</v>
      </c>
      <c r="D600" s="317" t="str">
        <f t="shared" si="12"/>
        <v>2DD45+6</v>
      </c>
      <c r="E600" s="317" t="str">
        <f>VLOOKUP(C600,$C$9:$E$312,3,FALSE)</f>
        <v>DFR</v>
      </c>
      <c r="F600" s="254">
        <v>45856</v>
      </c>
      <c r="G600" s="702" t="s">
        <v>31</v>
      </c>
      <c r="H600" s="702"/>
      <c r="I600" s="702"/>
      <c r="J600" s="702"/>
      <c r="K600" s="254">
        <f t="shared" si="9"/>
        <v>45856</v>
      </c>
      <c r="L600" s="317" t="s">
        <v>448</v>
      </c>
      <c r="M600" s="340"/>
    </row>
    <row r="601" spans="2:13" ht="13.5" customHeight="1" x14ac:dyDescent="0.2">
      <c r="B601" s="259">
        <v>282</v>
      </c>
      <c r="C601" s="255" t="s">
        <v>226</v>
      </c>
      <c r="D601" s="317" t="str">
        <f t="shared" si="12"/>
        <v>2DD45+6</v>
      </c>
      <c r="E601" s="317" t="str">
        <f>VLOOKUP(C601,$C$9:$E$312,3,FALSE)</f>
        <v>DFR</v>
      </c>
      <c r="F601" s="254">
        <v>45856</v>
      </c>
      <c r="G601" s="702" t="s">
        <v>31</v>
      </c>
      <c r="H601" s="702"/>
      <c r="I601" s="702"/>
      <c r="J601" s="702"/>
      <c r="K601" s="254">
        <f t="shared" si="9"/>
        <v>45856</v>
      </c>
      <c r="L601" s="317" t="s">
        <v>448</v>
      </c>
      <c r="M601" s="317"/>
    </row>
    <row r="602" spans="2:13" ht="13.5" customHeight="1" x14ac:dyDescent="0.2">
      <c r="B602" s="259">
        <v>283</v>
      </c>
      <c r="C602" s="255" t="s">
        <v>238</v>
      </c>
      <c r="D602" s="317" t="str">
        <f t="shared" si="12"/>
        <v>2DB1+9</v>
      </c>
      <c r="E602" s="317" t="str">
        <f>VLOOKUP(C602,$C$9:$E$312,3,FALSE)</f>
        <v>DFR</v>
      </c>
      <c r="F602" s="254">
        <v>45858</v>
      </c>
      <c r="G602" s="702" t="s">
        <v>31</v>
      </c>
      <c r="H602" s="702"/>
      <c r="I602" s="702"/>
      <c r="J602" s="702"/>
      <c r="K602" s="254">
        <f t="shared" si="9"/>
        <v>45858</v>
      </c>
      <c r="L602" s="317" t="s">
        <v>448</v>
      </c>
      <c r="M602" s="317"/>
    </row>
    <row r="603" spans="2:13" ht="13.5" customHeight="1" x14ac:dyDescent="0.2">
      <c r="B603" s="259">
        <v>284</v>
      </c>
      <c r="C603" s="255" t="s">
        <v>236</v>
      </c>
      <c r="D603" s="317" t="str">
        <f t="shared" si="12"/>
        <v xml:space="preserve">2DB1+6 </v>
      </c>
      <c r="E603" s="317" t="str">
        <f>VLOOKUP(C603,$C$9:$E$312,3,FALSE)</f>
        <v xml:space="preserve">DFR </v>
      </c>
      <c r="F603" s="254">
        <v>45862</v>
      </c>
      <c r="G603" s="702" t="s">
        <v>31</v>
      </c>
      <c r="H603" s="702"/>
      <c r="I603" s="702"/>
      <c r="J603" s="702"/>
      <c r="K603" s="254">
        <f t="shared" si="9"/>
        <v>45862</v>
      </c>
      <c r="L603" s="317" t="s">
        <v>448</v>
      </c>
      <c r="M603" s="317"/>
    </row>
    <row r="604" spans="2:13" ht="13.5" customHeight="1" x14ac:dyDescent="0.2">
      <c r="B604" s="259">
        <v>285</v>
      </c>
      <c r="C604" s="255" t="s">
        <v>223</v>
      </c>
      <c r="D604" s="317" t="str">
        <f t="shared" si="12"/>
        <v xml:space="preserve">2DA+6(3mRc ) </v>
      </c>
      <c r="E604" s="317" t="str">
        <f>VLOOKUP(C604,$C$9:$E$316,3,FALSE)</f>
        <v>DFR</v>
      </c>
      <c r="F604" s="254">
        <v>45867</v>
      </c>
      <c r="G604" s="702" t="s">
        <v>31</v>
      </c>
      <c r="H604" s="702"/>
      <c r="I604" s="702"/>
      <c r="J604" s="702"/>
      <c r="K604" s="254">
        <f t="shared" si="9"/>
        <v>45867</v>
      </c>
      <c r="L604" s="317" t="s">
        <v>448</v>
      </c>
      <c r="M604" s="317"/>
    </row>
    <row r="605" spans="2:13" ht="13.5" customHeight="1" x14ac:dyDescent="0.2">
      <c r="B605" s="259">
        <v>286</v>
      </c>
      <c r="C605" s="255" t="s">
        <v>823</v>
      </c>
      <c r="D605" s="317" t="str">
        <f>VLOOKUP(C605,$C$9:$E$316,2,FALSE)</f>
        <v>2DD60+0</v>
      </c>
      <c r="E605" s="317" t="str">
        <f>VLOOKUP(C605,$C$9:$E$316,3,FALSE)</f>
        <v xml:space="preserve">DFR </v>
      </c>
      <c r="F605" s="254">
        <v>45895</v>
      </c>
      <c r="G605" s="702" t="s">
        <v>31</v>
      </c>
      <c r="H605" s="702"/>
      <c r="I605" s="702"/>
      <c r="J605" s="702"/>
      <c r="K605" s="254">
        <f>F605</f>
        <v>45895</v>
      </c>
      <c r="L605" s="317" t="s">
        <v>727</v>
      </c>
      <c r="M605" s="317"/>
    </row>
    <row r="606" spans="2:13" ht="13.5" customHeight="1" x14ac:dyDescent="0.2">
      <c r="B606" s="259">
        <v>287</v>
      </c>
      <c r="C606" s="300" t="s">
        <v>201</v>
      </c>
      <c r="D606" s="652" t="s">
        <v>205</v>
      </c>
      <c r="E606" s="295" t="s">
        <v>337</v>
      </c>
      <c r="F606" s="296">
        <v>45942</v>
      </c>
      <c r="G606" s="714" t="s">
        <v>31</v>
      </c>
      <c r="H606" s="714"/>
      <c r="I606" s="714"/>
      <c r="J606" s="714"/>
      <c r="K606" s="296">
        <v>45920</v>
      </c>
      <c r="L606" s="317"/>
      <c r="M606" s="317"/>
    </row>
    <row r="607" spans="2:13" ht="13.5" customHeight="1" x14ac:dyDescent="0.2">
      <c r="B607" s="259">
        <v>288</v>
      </c>
      <c r="C607" s="255" t="s">
        <v>827</v>
      </c>
      <c r="D607" s="488" t="s">
        <v>352</v>
      </c>
      <c r="E607" s="317" t="s">
        <v>30</v>
      </c>
      <c r="F607" s="254">
        <v>45943</v>
      </c>
      <c r="G607" s="702" t="s">
        <v>31</v>
      </c>
      <c r="H607" s="702"/>
      <c r="I607" s="702"/>
      <c r="J607" s="702"/>
      <c r="K607" s="254">
        <v>45943</v>
      </c>
      <c r="L607" s="317" t="s">
        <v>515</v>
      </c>
      <c r="M607" s="317"/>
    </row>
    <row r="608" spans="2:13" ht="13.5" customHeight="1" x14ac:dyDescent="0.2">
      <c r="B608" s="317">
        <v>289</v>
      </c>
      <c r="C608" s="255" t="s">
        <v>211</v>
      </c>
      <c r="D608" s="317" t="s">
        <v>205</v>
      </c>
      <c r="E608" s="317" t="s">
        <v>30</v>
      </c>
      <c r="F608" s="254">
        <v>45961</v>
      </c>
      <c r="G608" s="702" t="s">
        <v>31</v>
      </c>
      <c r="H608" s="702"/>
      <c r="I608" s="702"/>
      <c r="J608" s="702"/>
      <c r="K608" s="254">
        <v>45961</v>
      </c>
      <c r="L608" s="317"/>
      <c r="M608" s="220"/>
    </row>
    <row r="609" spans="2:15" s="338" customFormat="1" ht="27.75" customHeight="1" x14ac:dyDescent="0.25">
      <c r="B609" s="317">
        <v>290</v>
      </c>
      <c r="C609" s="892" t="s">
        <v>709</v>
      </c>
      <c r="D609" s="488" t="s">
        <v>826</v>
      </c>
      <c r="E609" s="317" t="s">
        <v>30</v>
      </c>
      <c r="F609" s="333">
        <v>45967</v>
      </c>
      <c r="G609" s="702" t="s">
        <v>31</v>
      </c>
      <c r="H609" s="702"/>
      <c r="I609" s="702"/>
      <c r="J609" s="702"/>
      <c r="K609" s="333">
        <f>F609</f>
        <v>45967</v>
      </c>
      <c r="L609" s="317" t="s">
        <v>515</v>
      </c>
      <c r="M609" s="317"/>
    </row>
    <row r="610" spans="2:15" x14ac:dyDescent="0.2">
      <c r="B610" s="717" t="s">
        <v>70</v>
      </c>
      <c r="C610" s="718"/>
      <c r="D610" s="718"/>
      <c r="E610" s="718"/>
      <c r="F610" s="718"/>
      <c r="G610" s="718"/>
      <c r="H610" s="718"/>
      <c r="I610" s="718"/>
      <c r="J610" s="718"/>
      <c r="K610" s="718"/>
      <c r="L610" s="718"/>
      <c r="M610" s="718"/>
      <c r="N610" s="718"/>
    </row>
    <row r="611" spans="2:15" x14ac:dyDescent="0.2">
      <c r="B611" s="455" t="s">
        <v>17</v>
      </c>
      <c r="C611" s="455" t="s">
        <v>71</v>
      </c>
      <c r="D611" s="455" t="s">
        <v>72</v>
      </c>
      <c r="E611" s="745" t="s">
        <v>23</v>
      </c>
      <c r="F611" s="745"/>
      <c r="G611" s="745"/>
      <c r="H611" s="745"/>
      <c r="I611" s="455" t="s">
        <v>25</v>
      </c>
      <c r="J611" s="455" t="s">
        <v>26</v>
      </c>
      <c r="K611" s="455" t="s">
        <v>627</v>
      </c>
      <c r="L611" s="456" t="s">
        <v>628</v>
      </c>
      <c r="M611" s="456" t="s">
        <v>630</v>
      </c>
      <c r="N611" s="456" t="s">
        <v>646</v>
      </c>
    </row>
    <row r="612" spans="2:15" x14ac:dyDescent="0.2">
      <c r="B612" s="317">
        <v>1</v>
      </c>
      <c r="C612" s="420" t="s">
        <v>609</v>
      </c>
      <c r="D612" s="256">
        <v>1.8260000000000001</v>
      </c>
      <c r="E612" s="706" t="s">
        <v>730</v>
      </c>
      <c r="F612" s="706"/>
      <c r="G612" s="706"/>
      <c r="H612" s="706"/>
      <c r="I612" s="228" t="s">
        <v>657</v>
      </c>
      <c r="J612" s="228">
        <v>35</v>
      </c>
      <c r="K612" s="317" t="s">
        <v>610</v>
      </c>
      <c r="L612" s="254" t="s">
        <v>632</v>
      </c>
      <c r="M612" s="254" t="s">
        <v>640</v>
      </c>
      <c r="N612" s="258"/>
    </row>
    <row r="613" spans="2:15" ht="15" customHeight="1" x14ac:dyDescent="0.2">
      <c r="B613" s="317">
        <v>2</v>
      </c>
      <c r="C613" s="420" t="s">
        <v>611</v>
      </c>
      <c r="D613" s="256">
        <v>3.4060000000000001</v>
      </c>
      <c r="E613" s="706" t="s">
        <v>730</v>
      </c>
      <c r="F613" s="706"/>
      <c r="G613" s="706"/>
      <c r="H613" s="706"/>
      <c r="I613" s="228" t="s">
        <v>657</v>
      </c>
      <c r="J613" s="228">
        <v>35</v>
      </c>
      <c r="K613" s="317" t="s">
        <v>631</v>
      </c>
      <c r="L613" s="258" t="s">
        <v>638</v>
      </c>
      <c r="M613" s="254" t="s">
        <v>639</v>
      </c>
      <c r="N613" s="258"/>
    </row>
    <row r="614" spans="2:15" ht="15" customHeight="1" x14ac:dyDescent="0.2">
      <c r="B614" s="317">
        <v>3</v>
      </c>
      <c r="C614" s="420" t="s">
        <v>629</v>
      </c>
      <c r="D614" s="256">
        <v>2.2789999999999999</v>
      </c>
      <c r="E614" s="706" t="s">
        <v>730</v>
      </c>
      <c r="F614" s="706"/>
      <c r="G614" s="706"/>
      <c r="H614" s="706"/>
      <c r="I614" s="228" t="s">
        <v>657</v>
      </c>
      <c r="J614" s="228">
        <v>35</v>
      </c>
      <c r="K614" s="257" t="s">
        <v>634</v>
      </c>
      <c r="L614" s="258" t="s">
        <v>655</v>
      </c>
      <c r="M614" s="258" t="s">
        <v>656</v>
      </c>
      <c r="N614" s="258"/>
    </row>
    <row r="615" spans="2:15" ht="12.75" customHeight="1" x14ac:dyDescent="0.2">
      <c r="B615" s="317">
        <v>4</v>
      </c>
      <c r="C615" s="228" t="s">
        <v>647</v>
      </c>
      <c r="D615" s="256">
        <v>1.9139999999999999</v>
      </c>
      <c r="E615" s="706" t="s">
        <v>730</v>
      </c>
      <c r="F615" s="706"/>
      <c r="G615" s="706"/>
      <c r="H615" s="706"/>
      <c r="I615" s="228" t="s">
        <v>657</v>
      </c>
      <c r="J615" s="228">
        <v>35</v>
      </c>
      <c r="K615" s="257" t="s">
        <v>650</v>
      </c>
      <c r="L615" s="258" t="s">
        <v>663</v>
      </c>
      <c r="M615" s="254" t="s">
        <v>651</v>
      </c>
      <c r="N615" s="258"/>
    </row>
    <row r="616" spans="2:15" ht="12.75" customHeight="1" x14ac:dyDescent="0.2">
      <c r="B616" s="317">
        <v>5</v>
      </c>
      <c r="C616" s="420" t="s">
        <v>661</v>
      </c>
      <c r="D616" s="256">
        <v>2.3380000000000001</v>
      </c>
      <c r="E616" s="706" t="s">
        <v>730</v>
      </c>
      <c r="F616" s="706"/>
      <c r="G616" s="706"/>
      <c r="H616" s="706"/>
      <c r="I616" s="228" t="s">
        <v>657</v>
      </c>
      <c r="J616" s="228">
        <v>35</v>
      </c>
      <c r="K616" s="257" t="s">
        <v>666</v>
      </c>
      <c r="L616" s="258" t="s">
        <v>665</v>
      </c>
      <c r="M616" s="258" t="s">
        <v>664</v>
      </c>
      <c r="N616" s="258"/>
    </row>
    <row r="617" spans="2:15" s="221" customFormat="1" ht="12.75" customHeight="1" x14ac:dyDescent="0.2">
      <c r="B617" s="317">
        <v>6</v>
      </c>
      <c r="C617" s="288" t="s">
        <v>705</v>
      </c>
      <c r="D617" s="514">
        <v>3.5550000000000002</v>
      </c>
      <c r="E617" s="706" t="s">
        <v>730</v>
      </c>
      <c r="F617" s="706"/>
      <c r="G617" s="706"/>
      <c r="H617" s="706"/>
      <c r="I617" s="317" t="s">
        <v>657</v>
      </c>
      <c r="J617" s="317">
        <v>35</v>
      </c>
      <c r="K617" s="257" t="s">
        <v>719</v>
      </c>
      <c r="L617" s="280" t="s">
        <v>776</v>
      </c>
      <c r="M617" s="290" t="s">
        <v>775</v>
      </c>
      <c r="N617" s="280"/>
      <c r="O617" s="222"/>
    </row>
    <row r="618" spans="2:15" ht="12.75" customHeight="1" x14ac:dyDescent="0.2">
      <c r="B618" s="317">
        <v>7</v>
      </c>
      <c r="C618" s="228" t="s">
        <v>723</v>
      </c>
      <c r="D618" s="256">
        <v>1.6579999999999999</v>
      </c>
      <c r="E618" s="706" t="s">
        <v>730</v>
      </c>
      <c r="F618" s="706"/>
      <c r="G618" s="706"/>
      <c r="H618" s="706"/>
      <c r="I618" s="228" t="s">
        <v>657</v>
      </c>
      <c r="J618" s="228">
        <v>35</v>
      </c>
      <c r="K618" s="257" t="s">
        <v>728</v>
      </c>
      <c r="L618" s="258" t="s">
        <v>729</v>
      </c>
      <c r="M618" s="254" t="s">
        <v>733</v>
      </c>
      <c r="N618" s="258"/>
    </row>
    <row r="619" spans="2:15" ht="12.75" customHeight="1" x14ac:dyDescent="0.2">
      <c r="B619" s="317">
        <v>8</v>
      </c>
      <c r="C619" s="228" t="s">
        <v>734</v>
      </c>
      <c r="D619" s="256">
        <v>2.6890000000000001</v>
      </c>
      <c r="E619" s="706" t="s">
        <v>730</v>
      </c>
      <c r="F619" s="706"/>
      <c r="G619" s="706"/>
      <c r="H619" s="706"/>
      <c r="I619" s="228" t="s">
        <v>657</v>
      </c>
      <c r="J619" s="228">
        <v>35</v>
      </c>
      <c r="K619" s="257" t="s">
        <v>748</v>
      </c>
      <c r="L619" s="257" t="s">
        <v>749</v>
      </c>
      <c r="M619" s="254">
        <v>45825</v>
      </c>
      <c r="N619" s="258"/>
    </row>
    <row r="620" spans="2:15" ht="12.75" customHeight="1" x14ac:dyDescent="0.2">
      <c r="B620" s="317">
        <v>9</v>
      </c>
      <c r="C620" s="228" t="s">
        <v>750</v>
      </c>
      <c r="D620" s="256">
        <v>2.383</v>
      </c>
      <c r="E620" s="706" t="s">
        <v>730</v>
      </c>
      <c r="F620" s="706"/>
      <c r="G620" s="706"/>
      <c r="H620" s="706"/>
      <c r="I620" s="228" t="s">
        <v>657</v>
      </c>
      <c r="J620" s="228">
        <v>45</v>
      </c>
      <c r="K620" s="257" t="s">
        <v>758</v>
      </c>
      <c r="L620" s="257" t="s">
        <v>759</v>
      </c>
      <c r="M620" s="254" t="s">
        <v>760</v>
      </c>
      <c r="N620" s="258"/>
    </row>
    <row r="621" spans="2:15" s="221" customFormat="1" ht="12.75" customHeight="1" x14ac:dyDescent="0.2">
      <c r="B621" s="317">
        <v>10</v>
      </c>
      <c r="C621" s="420" t="s">
        <v>761</v>
      </c>
      <c r="D621" s="256">
        <v>0.50800000000000001</v>
      </c>
      <c r="E621" s="706" t="s">
        <v>730</v>
      </c>
      <c r="F621" s="706"/>
      <c r="G621" s="706"/>
      <c r="H621" s="706"/>
      <c r="I621" s="228" t="s">
        <v>657</v>
      </c>
      <c r="J621" s="228">
        <v>45</v>
      </c>
      <c r="K621" s="317" t="s">
        <v>773</v>
      </c>
      <c r="L621" s="254" t="s">
        <v>774</v>
      </c>
      <c r="M621" s="254">
        <v>45850</v>
      </c>
      <c r="N621" s="280"/>
      <c r="O621" s="222"/>
    </row>
    <row r="622" spans="2:15" s="221" customFormat="1" ht="12.75" customHeight="1" x14ac:dyDescent="0.2">
      <c r="B622" s="659">
        <v>11</v>
      </c>
      <c r="C622" s="420" t="s">
        <v>763</v>
      </c>
      <c r="D622" s="256">
        <v>3.867</v>
      </c>
      <c r="E622" s="711" t="s">
        <v>730</v>
      </c>
      <c r="F622" s="712"/>
      <c r="G622" s="712"/>
      <c r="H622" s="713"/>
      <c r="I622" s="228" t="s">
        <v>657</v>
      </c>
      <c r="J622" s="228">
        <v>45</v>
      </c>
      <c r="K622" s="317" t="s">
        <v>841</v>
      </c>
      <c r="L622" s="254" t="s">
        <v>843</v>
      </c>
      <c r="M622" s="660">
        <v>45802</v>
      </c>
      <c r="N622" s="280"/>
      <c r="O622" s="222"/>
    </row>
    <row r="623" spans="2:15" ht="13.5" customHeight="1" x14ac:dyDescent="0.2">
      <c r="B623" s="659">
        <v>12</v>
      </c>
      <c r="C623" s="420" t="s">
        <v>905</v>
      </c>
      <c r="D623" s="256">
        <v>0.17199999999999999</v>
      </c>
      <c r="E623" s="711" t="s">
        <v>730</v>
      </c>
      <c r="F623" s="712"/>
      <c r="G623" s="712"/>
      <c r="H623" s="713"/>
      <c r="I623" s="228" t="s">
        <v>657</v>
      </c>
      <c r="J623" s="228">
        <v>45</v>
      </c>
      <c r="K623" s="317" t="s">
        <v>906</v>
      </c>
      <c r="L623" s="254" t="s">
        <v>907</v>
      </c>
      <c r="M623" s="660">
        <v>45901</v>
      </c>
      <c r="N623" s="280"/>
    </row>
    <row r="624" spans="2:15" ht="12.75" customHeight="1" x14ac:dyDescent="0.2">
      <c r="B624" s="659">
        <v>13</v>
      </c>
      <c r="C624" s="420" t="s">
        <v>904</v>
      </c>
      <c r="D624" s="256">
        <v>0.24099999999999999</v>
      </c>
      <c r="E624" s="711" t="s">
        <v>730</v>
      </c>
      <c r="F624" s="712"/>
      <c r="G624" s="712"/>
      <c r="H624" s="713"/>
      <c r="I624" s="228" t="s">
        <v>657</v>
      </c>
      <c r="J624" s="228">
        <v>45</v>
      </c>
      <c r="K624" s="317" t="s">
        <v>909</v>
      </c>
      <c r="L624" s="254" t="s">
        <v>910</v>
      </c>
      <c r="M624" s="660">
        <v>45901</v>
      </c>
      <c r="N624" s="280"/>
    </row>
    <row r="625" spans="2:15" ht="12.75" customHeight="1" x14ac:dyDescent="0.2">
      <c r="B625" s="659">
        <v>14</v>
      </c>
      <c r="C625" s="420" t="s">
        <v>902</v>
      </c>
      <c r="D625" s="256">
        <v>4.9795299999999996</v>
      </c>
      <c r="E625" s="711" t="s">
        <v>730</v>
      </c>
      <c r="F625" s="712"/>
      <c r="G625" s="712"/>
      <c r="H625" s="713"/>
      <c r="I625" s="228" t="s">
        <v>903</v>
      </c>
      <c r="J625" s="228">
        <v>40</v>
      </c>
      <c r="K625" s="317" t="s">
        <v>911</v>
      </c>
      <c r="L625" s="254" t="s">
        <v>914</v>
      </c>
      <c r="M625" s="660" t="s">
        <v>947</v>
      </c>
      <c r="N625" s="280"/>
    </row>
    <row r="626" spans="2:15" ht="12.75" customHeight="1" x14ac:dyDescent="0.2">
      <c r="B626" s="659">
        <v>15</v>
      </c>
      <c r="C626" s="317" t="s">
        <v>913</v>
      </c>
      <c r="D626" s="514">
        <v>4.1245200000000004</v>
      </c>
      <c r="E626" s="703" t="s">
        <v>730</v>
      </c>
      <c r="F626" s="704"/>
      <c r="G626" s="704"/>
      <c r="H626" s="705"/>
      <c r="I626" s="317" t="s">
        <v>903</v>
      </c>
      <c r="J626" s="317">
        <v>40</v>
      </c>
      <c r="K626" s="257" t="s">
        <v>920</v>
      </c>
      <c r="L626" s="290" t="s">
        <v>948</v>
      </c>
      <c r="M626" s="661" t="s">
        <v>949</v>
      </c>
      <c r="N626" s="280"/>
    </row>
    <row r="627" spans="2:15" ht="12.75" customHeight="1" x14ac:dyDescent="0.2">
      <c r="B627" s="659">
        <v>16</v>
      </c>
      <c r="C627" s="317" t="s">
        <v>837</v>
      </c>
      <c r="D627" s="514">
        <v>1.63961</v>
      </c>
      <c r="E627" s="703" t="s">
        <v>730</v>
      </c>
      <c r="F627" s="704"/>
      <c r="G627" s="704"/>
      <c r="H627" s="705"/>
      <c r="I627" s="317" t="s">
        <v>657</v>
      </c>
      <c r="J627" s="317">
        <v>45</v>
      </c>
      <c r="K627" s="257" t="s">
        <v>970</v>
      </c>
      <c r="L627" s="290">
        <v>45949</v>
      </c>
      <c r="M627" s="661">
        <v>45907</v>
      </c>
      <c r="N627" s="280"/>
    </row>
    <row r="628" spans="2:15" ht="12.75" customHeight="1" x14ac:dyDescent="0.2">
      <c r="B628" s="659">
        <v>17</v>
      </c>
      <c r="C628" s="317" t="s">
        <v>901</v>
      </c>
      <c r="D628" s="514">
        <v>1.5640000000000001</v>
      </c>
      <c r="E628" s="703" t="s">
        <v>730</v>
      </c>
      <c r="F628" s="704"/>
      <c r="G628" s="704"/>
      <c r="H628" s="705"/>
      <c r="I628" s="317" t="s">
        <v>657</v>
      </c>
      <c r="J628" s="317">
        <v>45</v>
      </c>
      <c r="K628" s="257" t="s">
        <v>971</v>
      </c>
      <c r="L628" s="290">
        <v>45951</v>
      </c>
      <c r="M628" s="661">
        <v>45953</v>
      </c>
      <c r="N628" s="280"/>
    </row>
    <row r="629" spans="2:15" ht="12.75" customHeight="1" x14ac:dyDescent="0.2">
      <c r="B629" s="659">
        <v>18</v>
      </c>
      <c r="C629" s="317" t="s">
        <v>921</v>
      </c>
      <c r="D629" s="514">
        <v>4.5979999999999999</v>
      </c>
      <c r="E629" s="703" t="s">
        <v>730</v>
      </c>
      <c r="F629" s="704"/>
      <c r="G629" s="704"/>
      <c r="H629" s="705"/>
      <c r="I629" s="317" t="s">
        <v>903</v>
      </c>
      <c r="J629" s="317">
        <v>40</v>
      </c>
      <c r="K629" s="257" t="s">
        <v>972</v>
      </c>
      <c r="L629" s="280" t="s">
        <v>973</v>
      </c>
      <c r="M629" s="661">
        <v>45956</v>
      </c>
      <c r="N629" s="280"/>
    </row>
    <row r="630" spans="2:15" ht="12.75" customHeight="1" x14ac:dyDescent="0.2">
      <c r="B630" s="659">
        <v>19</v>
      </c>
      <c r="C630" s="279" t="s">
        <v>912</v>
      </c>
      <c r="D630" s="507">
        <v>1.5389999999999999</v>
      </c>
      <c r="E630" s="735" t="s">
        <v>974</v>
      </c>
      <c r="F630" s="736"/>
      <c r="G630" s="736"/>
      <c r="H630" s="737"/>
      <c r="I630" s="279" t="s">
        <v>657</v>
      </c>
      <c r="J630" s="279">
        <v>45</v>
      </c>
      <c r="K630" s="306"/>
      <c r="L630" s="508"/>
      <c r="M630" s="662"/>
    </row>
    <row r="631" spans="2:15" ht="12.75" customHeight="1" thickBot="1" x14ac:dyDescent="0.25">
      <c r="B631" s="663">
        <v>20</v>
      </c>
      <c r="C631" s="664" t="s">
        <v>975</v>
      </c>
      <c r="D631" s="665">
        <v>4.9000000000000004</v>
      </c>
      <c r="E631" s="719" t="s">
        <v>989</v>
      </c>
      <c r="F631" s="720"/>
      <c r="G631" s="720"/>
      <c r="H631" s="721"/>
      <c r="I631" s="664" t="s">
        <v>903</v>
      </c>
      <c r="J631" s="664">
        <v>40</v>
      </c>
      <c r="K631" s="666"/>
      <c r="L631" s="667"/>
      <c r="M631" s="668"/>
    </row>
    <row r="632" spans="2:15" s="221" customFormat="1" ht="30.75" customHeight="1" x14ac:dyDescent="0.2">
      <c r="B632" s="317">
        <v>21</v>
      </c>
      <c r="C632" s="889" t="s">
        <v>997</v>
      </c>
      <c r="D632" s="507">
        <v>4.7510000000000003</v>
      </c>
      <c r="E632" s="890" t="s">
        <v>998</v>
      </c>
      <c r="F632" s="890"/>
      <c r="G632" s="890"/>
      <c r="H632" s="890"/>
      <c r="I632" s="279" t="s">
        <v>903</v>
      </c>
      <c r="J632" s="279">
        <v>45</v>
      </c>
      <c r="K632" s="306"/>
      <c r="L632" s="508"/>
      <c r="M632" s="891"/>
      <c r="N632" s="222"/>
      <c r="O632" s="222"/>
    </row>
    <row r="633" spans="2:15" ht="12.75" customHeight="1" x14ac:dyDescent="0.2">
      <c r="B633" s="505"/>
      <c r="C633" s="444"/>
      <c r="D633" s="445"/>
      <c r="E633" s="506"/>
      <c r="F633" s="506"/>
      <c r="G633" s="506"/>
      <c r="H633" s="506"/>
      <c r="I633" s="444"/>
      <c r="J633" s="444"/>
      <c r="K633" s="446"/>
    </row>
    <row r="634" spans="2:15" ht="16.5" customHeight="1" x14ac:dyDescent="0.2">
      <c r="B634" s="441" t="s">
        <v>73</v>
      </c>
      <c r="C634" s="442"/>
      <c r="D634" s="442"/>
      <c r="E634" s="442"/>
      <c r="F634" s="442"/>
      <c r="G634" s="442"/>
      <c r="H634" s="442"/>
      <c r="I634" s="442"/>
      <c r="J634" s="442"/>
      <c r="K634" s="443"/>
    </row>
    <row r="635" spans="2:15" ht="12.75" customHeight="1" x14ac:dyDescent="0.2">
      <c r="B635" s="455" t="s">
        <v>17</v>
      </c>
      <c r="C635" s="455" t="s">
        <v>71</v>
      </c>
      <c r="D635" s="455" t="s">
        <v>72</v>
      </c>
      <c r="E635" s="707" t="s">
        <v>23</v>
      </c>
      <c r="F635" s="708"/>
      <c r="G635" s="708"/>
      <c r="H635" s="709"/>
      <c r="I635" s="455" t="s">
        <v>25</v>
      </c>
      <c r="J635" s="455" t="s">
        <v>26</v>
      </c>
      <c r="K635" s="455" t="s">
        <v>4</v>
      </c>
    </row>
    <row r="636" spans="2:15" ht="12.75" customHeight="1" x14ac:dyDescent="0.2">
      <c r="B636" s="317">
        <v>1</v>
      </c>
      <c r="C636" s="317" t="s">
        <v>833</v>
      </c>
      <c r="D636" s="514">
        <v>5.0720000000000001</v>
      </c>
      <c r="E636" s="703" t="s">
        <v>954</v>
      </c>
      <c r="F636" s="704"/>
      <c r="G636" s="704"/>
      <c r="H636" s="705"/>
      <c r="I636" s="323" t="s">
        <v>834</v>
      </c>
      <c r="J636" s="317">
        <v>15</v>
      </c>
      <c r="K636" s="257">
        <v>45863</v>
      </c>
    </row>
    <row r="637" spans="2:15" ht="12.75" customHeight="1" x14ac:dyDescent="0.2">
      <c r="B637" s="317">
        <v>2</v>
      </c>
      <c r="C637" s="317" t="s">
        <v>838</v>
      </c>
      <c r="D637" s="514">
        <v>4.0629999999999997</v>
      </c>
      <c r="E637" s="703" t="s">
        <v>954</v>
      </c>
      <c r="F637" s="704"/>
      <c r="G637" s="704"/>
      <c r="H637" s="705"/>
      <c r="I637" s="323" t="s">
        <v>834</v>
      </c>
      <c r="J637" s="317">
        <v>15</v>
      </c>
      <c r="K637" s="257" t="s">
        <v>839</v>
      </c>
    </row>
    <row r="638" spans="2:15" ht="12.75" customHeight="1" x14ac:dyDescent="0.2">
      <c r="B638" s="317">
        <v>3</v>
      </c>
      <c r="C638" s="317" t="s">
        <v>840</v>
      </c>
      <c r="D638" s="514">
        <v>4.1639999999999997</v>
      </c>
      <c r="E638" s="703" t="s">
        <v>954</v>
      </c>
      <c r="F638" s="704"/>
      <c r="G638" s="704"/>
      <c r="H638" s="705"/>
      <c r="I638" s="323" t="s">
        <v>834</v>
      </c>
      <c r="J638" s="317">
        <v>15</v>
      </c>
      <c r="K638" s="257">
        <v>45871</v>
      </c>
    </row>
    <row r="639" spans="2:15" s="221" customFormat="1" ht="12.75" customHeight="1" x14ac:dyDescent="0.2">
      <c r="B639" s="317">
        <v>4</v>
      </c>
      <c r="C639" s="317" t="s">
        <v>611</v>
      </c>
      <c r="D639" s="514">
        <v>3.4060000000000001</v>
      </c>
      <c r="E639" s="703" t="s">
        <v>954</v>
      </c>
      <c r="F639" s="704"/>
      <c r="G639" s="704"/>
      <c r="H639" s="705"/>
      <c r="I639" s="323" t="s">
        <v>834</v>
      </c>
      <c r="J639" s="317">
        <v>15</v>
      </c>
      <c r="K639" s="257">
        <v>45873</v>
      </c>
      <c r="L639" s="222"/>
      <c r="M639" s="222"/>
      <c r="N639" s="222"/>
      <c r="O639" s="222"/>
    </row>
    <row r="640" spans="2:15" s="221" customFormat="1" ht="12.75" customHeight="1" x14ac:dyDescent="0.2">
      <c r="B640" s="317">
        <v>5</v>
      </c>
      <c r="C640" s="317" t="s">
        <v>842</v>
      </c>
      <c r="D640" s="514">
        <v>4.1929999999999996</v>
      </c>
      <c r="E640" s="703" t="s">
        <v>954</v>
      </c>
      <c r="F640" s="704"/>
      <c r="G640" s="704"/>
      <c r="H640" s="705"/>
      <c r="I640" s="323" t="s">
        <v>834</v>
      </c>
      <c r="J640" s="317">
        <v>15</v>
      </c>
      <c r="K640" s="257">
        <v>45875</v>
      </c>
      <c r="L640" s="222"/>
      <c r="M640" s="222"/>
      <c r="N640" s="222"/>
      <c r="O640" s="222"/>
    </row>
    <row r="641" spans="2:17" s="221" customFormat="1" ht="12.75" customHeight="1" x14ac:dyDescent="0.2">
      <c r="B641" s="317">
        <v>6</v>
      </c>
      <c r="C641" s="317" t="s">
        <v>951</v>
      </c>
      <c r="D641" s="514">
        <v>4.28</v>
      </c>
      <c r="E641" s="703" t="s">
        <v>954</v>
      </c>
      <c r="F641" s="704"/>
      <c r="G641" s="704"/>
      <c r="H641" s="705"/>
      <c r="I641" s="323" t="s">
        <v>834</v>
      </c>
      <c r="J641" s="317">
        <v>15</v>
      </c>
      <c r="K641" s="257" t="s">
        <v>955</v>
      </c>
      <c r="L641" s="222"/>
      <c r="M641" s="222"/>
      <c r="N641" s="222"/>
      <c r="O641" s="222"/>
    </row>
    <row r="642" spans="2:17" ht="12.75" customHeight="1" x14ac:dyDescent="0.2">
      <c r="B642" s="317">
        <v>7</v>
      </c>
      <c r="C642" s="317" t="s">
        <v>902</v>
      </c>
      <c r="D642" s="514">
        <v>4.9800000000000004</v>
      </c>
      <c r="E642" s="703" t="s">
        <v>954</v>
      </c>
      <c r="F642" s="704"/>
      <c r="G642" s="704"/>
      <c r="H642" s="705"/>
      <c r="I642" s="323" t="s">
        <v>834</v>
      </c>
      <c r="J642" s="317">
        <v>15</v>
      </c>
      <c r="K642" s="257" t="s">
        <v>964</v>
      </c>
    </row>
    <row r="643" spans="2:17" ht="12.75" customHeight="1" x14ac:dyDescent="0.2">
      <c r="B643" s="317">
        <v>8</v>
      </c>
      <c r="C643" s="317" t="s">
        <v>966</v>
      </c>
      <c r="D643" s="514">
        <v>4.125</v>
      </c>
      <c r="E643" s="703" t="s">
        <v>954</v>
      </c>
      <c r="F643" s="704"/>
      <c r="G643" s="704"/>
      <c r="H643" s="705"/>
      <c r="I643" s="323" t="s">
        <v>834</v>
      </c>
      <c r="J643" s="317">
        <v>15</v>
      </c>
      <c r="K643" s="257" t="s">
        <v>969</v>
      </c>
    </row>
    <row r="644" spans="2:17" x14ac:dyDescent="0.2">
      <c r="B644" s="438" t="s">
        <v>186</v>
      </c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40"/>
      <c r="P644" s="439"/>
      <c r="Q644" s="440"/>
    </row>
    <row r="645" spans="2:17" x14ac:dyDescent="0.2">
      <c r="B645" s="513" t="s">
        <v>68</v>
      </c>
      <c r="C645" s="513" t="s">
        <v>18</v>
      </c>
      <c r="D645" s="513" t="s">
        <v>19</v>
      </c>
      <c r="E645" s="513" t="s">
        <v>20</v>
      </c>
      <c r="F645" s="513" t="s">
        <v>21</v>
      </c>
      <c r="G645" s="513" t="s">
        <v>69</v>
      </c>
      <c r="H645" s="710" t="s">
        <v>23</v>
      </c>
      <c r="I645" s="710"/>
      <c r="J645" s="710"/>
      <c r="K645" s="710"/>
      <c r="L645" s="513" t="s">
        <v>24</v>
      </c>
      <c r="M645" s="513" t="s">
        <v>25</v>
      </c>
      <c r="N645" s="513" t="s">
        <v>26</v>
      </c>
      <c r="O645" s="513" t="s">
        <v>27</v>
      </c>
      <c r="P645" s="510" t="s">
        <v>771</v>
      </c>
      <c r="Q645" s="510" t="s">
        <v>772</v>
      </c>
    </row>
    <row r="646" spans="2:17" x14ac:dyDescent="0.2">
      <c r="B646" s="317">
        <v>1</v>
      </c>
      <c r="C646" s="332" t="s">
        <v>41</v>
      </c>
      <c r="D646" s="228" t="s">
        <v>29</v>
      </c>
      <c r="E646" s="228" t="s">
        <v>30</v>
      </c>
      <c r="F646" s="332" t="s">
        <v>121</v>
      </c>
      <c r="G646" s="228">
        <v>36.369999999999997</v>
      </c>
      <c r="H646" s="706" t="s">
        <v>172</v>
      </c>
      <c r="I646" s="706"/>
      <c r="J646" s="706"/>
      <c r="K646" s="706"/>
      <c r="L646" s="333">
        <v>45492</v>
      </c>
      <c r="M646" s="228" t="s">
        <v>122</v>
      </c>
      <c r="N646" s="228">
        <v>25</v>
      </c>
      <c r="O646" s="228" t="s">
        <v>173</v>
      </c>
      <c r="P646" s="512" t="s">
        <v>172</v>
      </c>
      <c r="Q646" s="512" t="s">
        <v>172</v>
      </c>
    </row>
    <row r="647" spans="2:17" x14ac:dyDescent="0.2">
      <c r="B647" s="317">
        <v>2</v>
      </c>
      <c r="C647" s="288" t="s">
        <v>56</v>
      </c>
      <c r="D647" s="317" t="s">
        <v>29</v>
      </c>
      <c r="E647" s="317" t="s">
        <v>30</v>
      </c>
      <c r="F647" s="260" t="s">
        <v>132</v>
      </c>
      <c r="G647" s="317">
        <v>36.369999999999997</v>
      </c>
      <c r="H647" s="702" t="s">
        <v>172</v>
      </c>
      <c r="I647" s="702"/>
      <c r="J647" s="702"/>
      <c r="K647" s="702"/>
      <c r="L647" s="257">
        <v>45501</v>
      </c>
      <c r="M647" s="317" t="s">
        <v>122</v>
      </c>
      <c r="N647" s="317">
        <v>25</v>
      </c>
      <c r="O647" s="280"/>
      <c r="P647" s="512" t="s">
        <v>172</v>
      </c>
      <c r="Q647" s="512" t="s">
        <v>172</v>
      </c>
    </row>
    <row r="648" spans="2:17" x14ac:dyDescent="0.2">
      <c r="B648" s="317">
        <v>3</v>
      </c>
      <c r="C648" s="291" t="s">
        <v>116</v>
      </c>
      <c r="D648" s="317" t="s">
        <v>29</v>
      </c>
      <c r="E648" s="317" t="s">
        <v>30</v>
      </c>
      <c r="F648" s="260" t="s">
        <v>157</v>
      </c>
      <c r="G648" s="317">
        <v>36.369999999999997</v>
      </c>
      <c r="H648" s="702" t="s">
        <v>172</v>
      </c>
      <c r="I648" s="702"/>
      <c r="J648" s="702"/>
      <c r="K648" s="702"/>
      <c r="L648" s="257">
        <v>45507</v>
      </c>
      <c r="M648" s="317" t="s">
        <v>122</v>
      </c>
      <c r="N648" s="317">
        <v>25</v>
      </c>
      <c r="O648" s="280"/>
      <c r="P648" s="512" t="s">
        <v>172</v>
      </c>
      <c r="Q648" s="512" t="s">
        <v>172</v>
      </c>
    </row>
    <row r="649" spans="2:17" x14ac:dyDescent="0.2">
      <c r="B649" s="317">
        <v>4</v>
      </c>
      <c r="C649" s="291" t="s">
        <v>45</v>
      </c>
      <c r="D649" s="317" t="s">
        <v>29</v>
      </c>
      <c r="E649" s="317" t="s">
        <v>30</v>
      </c>
      <c r="F649" s="260" t="s">
        <v>163</v>
      </c>
      <c r="G649" s="317">
        <v>36.369999999999997</v>
      </c>
      <c r="H649" s="702" t="s">
        <v>172</v>
      </c>
      <c r="I649" s="702"/>
      <c r="J649" s="702"/>
      <c r="K649" s="702"/>
      <c r="L649" s="257">
        <v>45513</v>
      </c>
      <c r="M649" s="317" t="s">
        <v>122</v>
      </c>
      <c r="N649" s="317">
        <v>25</v>
      </c>
      <c r="O649" s="280"/>
      <c r="P649" s="512" t="s">
        <v>172</v>
      </c>
      <c r="Q649" s="512" t="s">
        <v>172</v>
      </c>
    </row>
    <row r="650" spans="2:17" x14ac:dyDescent="0.2">
      <c r="B650" s="317">
        <v>5</v>
      </c>
      <c r="C650" s="291" t="s">
        <v>62</v>
      </c>
      <c r="D650" s="317" t="s">
        <v>29</v>
      </c>
      <c r="E650" s="317" t="s">
        <v>30</v>
      </c>
      <c r="F650" s="260" t="s">
        <v>174</v>
      </c>
      <c r="G650" s="317">
        <v>36.369999999999997</v>
      </c>
      <c r="H650" s="702" t="s">
        <v>172</v>
      </c>
      <c r="I650" s="702"/>
      <c r="J650" s="702"/>
      <c r="K650" s="702"/>
      <c r="L650" s="257">
        <v>45518</v>
      </c>
      <c r="M650" s="317" t="s">
        <v>122</v>
      </c>
      <c r="N650" s="317">
        <v>25</v>
      </c>
      <c r="O650" s="280"/>
      <c r="P650" s="512" t="s">
        <v>172</v>
      </c>
      <c r="Q650" s="512" t="s">
        <v>172</v>
      </c>
    </row>
    <row r="651" spans="2:17" x14ac:dyDescent="0.2">
      <c r="B651" s="317">
        <v>6</v>
      </c>
      <c r="C651" s="291" t="s">
        <v>66</v>
      </c>
      <c r="D651" s="317" t="s">
        <v>29</v>
      </c>
      <c r="E651" s="317" t="s">
        <v>30</v>
      </c>
      <c r="F651" s="257">
        <v>45520</v>
      </c>
      <c r="G651" s="317">
        <v>36.369999999999997</v>
      </c>
      <c r="H651" s="702" t="s">
        <v>172</v>
      </c>
      <c r="I651" s="702"/>
      <c r="J651" s="702"/>
      <c r="K651" s="702"/>
      <c r="L651" s="257">
        <v>45522</v>
      </c>
      <c r="M651" s="317" t="s">
        <v>122</v>
      </c>
      <c r="N651" s="317">
        <v>25</v>
      </c>
      <c r="O651" s="280"/>
      <c r="P651" s="512" t="s">
        <v>172</v>
      </c>
      <c r="Q651" s="512" t="s">
        <v>172</v>
      </c>
    </row>
    <row r="652" spans="2:17" ht="12.75" customHeight="1" x14ac:dyDescent="0.2">
      <c r="B652" s="317">
        <v>7</v>
      </c>
      <c r="C652" s="291" t="s">
        <v>117</v>
      </c>
      <c r="D652" s="317" t="s">
        <v>29</v>
      </c>
      <c r="E652" s="317" t="s">
        <v>30</v>
      </c>
      <c r="F652" s="257">
        <v>45523</v>
      </c>
      <c r="G652" s="317">
        <v>36.369999999999997</v>
      </c>
      <c r="H652" s="702" t="s">
        <v>172</v>
      </c>
      <c r="I652" s="702"/>
      <c r="J652" s="702"/>
      <c r="K652" s="702"/>
      <c r="L652" s="257">
        <v>45528</v>
      </c>
      <c r="M652" s="317" t="s">
        <v>122</v>
      </c>
      <c r="N652" s="317">
        <v>25</v>
      </c>
      <c r="O652" s="280"/>
      <c r="P652" s="512" t="s">
        <v>172</v>
      </c>
      <c r="Q652" s="512" t="s">
        <v>172</v>
      </c>
    </row>
    <row r="653" spans="2:17" x14ac:dyDescent="0.2">
      <c r="B653" s="317">
        <v>8</v>
      </c>
      <c r="C653" s="291" t="s">
        <v>183</v>
      </c>
      <c r="D653" s="317" t="s">
        <v>29</v>
      </c>
      <c r="E653" s="317" t="s">
        <v>30</v>
      </c>
      <c r="F653" s="257">
        <v>45526</v>
      </c>
      <c r="G653" s="317">
        <v>36.369999999999997</v>
      </c>
      <c r="H653" s="702" t="s">
        <v>172</v>
      </c>
      <c r="I653" s="702"/>
      <c r="J653" s="702"/>
      <c r="K653" s="702"/>
      <c r="L653" s="257">
        <v>45533</v>
      </c>
      <c r="M653" s="317" t="s">
        <v>122</v>
      </c>
      <c r="N653" s="317">
        <v>25</v>
      </c>
      <c r="O653" s="280"/>
      <c r="P653" s="512" t="s">
        <v>172</v>
      </c>
      <c r="Q653" s="512" t="s">
        <v>172</v>
      </c>
    </row>
    <row r="654" spans="2:17" x14ac:dyDescent="0.2">
      <c r="B654" s="317">
        <v>9</v>
      </c>
      <c r="C654" s="291" t="s">
        <v>28</v>
      </c>
      <c r="D654" s="317" t="s">
        <v>29</v>
      </c>
      <c r="E654" s="317" t="s">
        <v>30</v>
      </c>
      <c r="F654" s="257">
        <v>45533</v>
      </c>
      <c r="G654" s="317">
        <v>36.369999999999997</v>
      </c>
      <c r="H654" s="702" t="s">
        <v>172</v>
      </c>
      <c r="I654" s="702"/>
      <c r="J654" s="702"/>
      <c r="K654" s="702"/>
      <c r="L654" s="257">
        <v>45541</v>
      </c>
      <c r="M654" s="317" t="s">
        <v>122</v>
      </c>
      <c r="N654" s="317">
        <v>25</v>
      </c>
      <c r="O654" s="280"/>
      <c r="P654" s="512" t="s">
        <v>172</v>
      </c>
      <c r="Q654" s="512" t="s">
        <v>172</v>
      </c>
    </row>
    <row r="655" spans="2:17" x14ac:dyDescent="0.2">
      <c r="B655" s="317">
        <v>10</v>
      </c>
      <c r="C655" s="291" t="s">
        <v>59</v>
      </c>
      <c r="D655" s="317" t="s">
        <v>29</v>
      </c>
      <c r="E655" s="317" t="s">
        <v>30</v>
      </c>
      <c r="F655" s="257">
        <v>45527</v>
      </c>
      <c r="G655" s="317">
        <v>36.369999999999997</v>
      </c>
      <c r="H655" s="702" t="s">
        <v>172</v>
      </c>
      <c r="I655" s="702"/>
      <c r="J655" s="702"/>
      <c r="K655" s="702"/>
      <c r="L655" s="257">
        <v>45543</v>
      </c>
      <c r="M655" s="317" t="s">
        <v>433</v>
      </c>
      <c r="N655" s="317">
        <v>24</v>
      </c>
      <c r="O655" s="280"/>
      <c r="P655" s="512" t="s">
        <v>172</v>
      </c>
      <c r="Q655" s="512" t="s">
        <v>172</v>
      </c>
    </row>
    <row r="656" spans="2:17" x14ac:dyDescent="0.2">
      <c r="B656" s="317">
        <v>11</v>
      </c>
      <c r="C656" s="257" t="s">
        <v>35</v>
      </c>
      <c r="D656" s="257" t="s">
        <v>29</v>
      </c>
      <c r="E656" s="257" t="s">
        <v>30</v>
      </c>
      <c r="F656" s="257">
        <v>45533</v>
      </c>
      <c r="G656" s="317">
        <v>36.369999999999997</v>
      </c>
      <c r="H656" s="702" t="s">
        <v>172</v>
      </c>
      <c r="I656" s="702"/>
      <c r="J656" s="702"/>
      <c r="K656" s="702"/>
      <c r="L656" s="257">
        <v>45547</v>
      </c>
      <c r="M656" s="257" t="s">
        <v>122</v>
      </c>
      <c r="N656" s="317">
        <v>24</v>
      </c>
      <c r="O656" s="280"/>
      <c r="P656" s="512" t="s">
        <v>172</v>
      </c>
      <c r="Q656" s="512" t="s">
        <v>172</v>
      </c>
    </row>
    <row r="657" spans="2:17" ht="12.75" customHeight="1" x14ac:dyDescent="0.2">
      <c r="B657" s="317">
        <v>12</v>
      </c>
      <c r="C657" s="291" t="s">
        <v>136</v>
      </c>
      <c r="D657" s="317" t="s">
        <v>29</v>
      </c>
      <c r="E657" s="257" t="s">
        <v>30</v>
      </c>
      <c r="F657" s="257">
        <v>45549</v>
      </c>
      <c r="G657" s="317">
        <v>36.369999999999997</v>
      </c>
      <c r="H657" s="702" t="s">
        <v>172</v>
      </c>
      <c r="I657" s="702"/>
      <c r="J657" s="702"/>
      <c r="K657" s="702"/>
      <c r="L657" s="257">
        <v>45554</v>
      </c>
      <c r="M657" s="317" t="s">
        <v>122</v>
      </c>
      <c r="N657" s="317">
        <v>24</v>
      </c>
      <c r="O657" s="280"/>
      <c r="P657" s="512" t="s">
        <v>172</v>
      </c>
      <c r="Q657" s="512" t="s">
        <v>662</v>
      </c>
    </row>
    <row r="658" spans="2:17" x14ac:dyDescent="0.2">
      <c r="B658" s="317">
        <v>13</v>
      </c>
      <c r="C658" s="291" t="s">
        <v>434</v>
      </c>
      <c r="D658" s="317" t="s">
        <v>29</v>
      </c>
      <c r="E658" s="257" t="s">
        <v>30</v>
      </c>
      <c r="F658" s="257">
        <v>45544</v>
      </c>
      <c r="G658" s="317">
        <v>36.369999999999997</v>
      </c>
      <c r="H658" s="702" t="s">
        <v>172</v>
      </c>
      <c r="I658" s="702"/>
      <c r="J658" s="702"/>
      <c r="K658" s="702"/>
      <c r="L658" s="257">
        <v>45556</v>
      </c>
      <c r="M658" s="317" t="s">
        <v>436</v>
      </c>
      <c r="N658" s="317">
        <v>25</v>
      </c>
      <c r="O658" s="280"/>
      <c r="P658" s="512" t="s">
        <v>172</v>
      </c>
      <c r="Q658" s="512" t="s">
        <v>172</v>
      </c>
    </row>
    <row r="659" spans="2:17" ht="12.75" customHeight="1" x14ac:dyDescent="0.2">
      <c r="B659" s="317">
        <v>14</v>
      </c>
      <c r="C659" s="291" t="s">
        <v>119</v>
      </c>
      <c r="D659" s="257" t="s">
        <v>29</v>
      </c>
      <c r="E659" s="257" t="s">
        <v>30</v>
      </c>
      <c r="F659" s="257">
        <v>45554</v>
      </c>
      <c r="G659" s="334">
        <v>36.369999999999997</v>
      </c>
      <c r="H659" s="702" t="s">
        <v>172</v>
      </c>
      <c r="I659" s="702"/>
      <c r="J659" s="702"/>
      <c r="K659" s="702"/>
      <c r="L659" s="257">
        <v>45558</v>
      </c>
      <c r="M659" s="317" t="s">
        <v>122</v>
      </c>
      <c r="N659" s="317">
        <v>24</v>
      </c>
      <c r="O659" s="280"/>
      <c r="P659" s="512" t="s">
        <v>172</v>
      </c>
      <c r="Q659" s="512" t="s">
        <v>172</v>
      </c>
    </row>
    <row r="660" spans="2:17" ht="12.75" customHeight="1" x14ac:dyDescent="0.2">
      <c r="B660" s="317">
        <v>15</v>
      </c>
      <c r="C660" s="291" t="s">
        <v>180</v>
      </c>
      <c r="D660" s="257" t="s">
        <v>29</v>
      </c>
      <c r="E660" s="257" t="s">
        <v>30</v>
      </c>
      <c r="F660" s="257">
        <v>45559</v>
      </c>
      <c r="G660" s="334">
        <v>36.369999999999997</v>
      </c>
      <c r="H660" s="702" t="s">
        <v>172</v>
      </c>
      <c r="I660" s="702"/>
      <c r="J660" s="702"/>
      <c r="K660" s="702"/>
      <c r="L660" s="257">
        <v>45563</v>
      </c>
      <c r="M660" s="317" t="s">
        <v>122</v>
      </c>
      <c r="N660" s="317">
        <v>24</v>
      </c>
      <c r="O660" s="280"/>
      <c r="P660" s="512" t="s">
        <v>172</v>
      </c>
      <c r="Q660" s="512" t="s">
        <v>172</v>
      </c>
    </row>
    <row r="661" spans="2:17" x14ac:dyDescent="0.2">
      <c r="B661" s="317">
        <v>16</v>
      </c>
      <c r="C661" s="291" t="s">
        <v>133</v>
      </c>
      <c r="D661" s="317" t="s">
        <v>29</v>
      </c>
      <c r="E661" s="257" t="s">
        <v>30</v>
      </c>
      <c r="F661" s="257">
        <v>45547</v>
      </c>
      <c r="G661" s="317">
        <v>36.369999999999997</v>
      </c>
      <c r="H661" s="702" t="s">
        <v>172</v>
      </c>
      <c r="I661" s="702"/>
      <c r="J661" s="702"/>
      <c r="K661" s="702"/>
      <c r="L661" s="257">
        <v>45564</v>
      </c>
      <c r="M661" s="317" t="s">
        <v>438</v>
      </c>
      <c r="N661" s="317">
        <v>25</v>
      </c>
      <c r="O661" s="280"/>
      <c r="P661" s="512" t="s">
        <v>172</v>
      </c>
      <c r="Q661" s="512" t="s">
        <v>172</v>
      </c>
    </row>
    <row r="662" spans="2:17" ht="19.5" customHeight="1" x14ac:dyDescent="0.2">
      <c r="B662" s="317">
        <v>17</v>
      </c>
      <c r="C662" s="291" t="s">
        <v>51</v>
      </c>
      <c r="D662" s="317" t="s">
        <v>34</v>
      </c>
      <c r="E662" s="257" t="s">
        <v>30</v>
      </c>
      <c r="F662" s="257">
        <v>45549</v>
      </c>
      <c r="G662" s="334">
        <v>37.931292999999997</v>
      </c>
      <c r="H662" s="702" t="s">
        <v>172</v>
      </c>
      <c r="I662" s="702"/>
      <c r="J662" s="702"/>
      <c r="K662" s="702"/>
      <c r="L662" s="257">
        <v>45565</v>
      </c>
      <c r="M662" s="317" t="s">
        <v>437</v>
      </c>
      <c r="N662" s="317">
        <v>24</v>
      </c>
      <c r="O662" s="280"/>
      <c r="P662" s="512" t="s">
        <v>172</v>
      </c>
      <c r="Q662" s="512" t="s">
        <v>172</v>
      </c>
    </row>
    <row r="663" spans="2:17" ht="12.75" customHeight="1" x14ac:dyDescent="0.2">
      <c r="B663" s="317">
        <v>18</v>
      </c>
      <c r="C663" s="291" t="s">
        <v>120</v>
      </c>
      <c r="D663" s="257" t="s">
        <v>29</v>
      </c>
      <c r="E663" s="257" t="s">
        <v>30</v>
      </c>
      <c r="F663" s="257">
        <v>45564</v>
      </c>
      <c r="G663" s="334">
        <v>36.369999999999997</v>
      </c>
      <c r="H663" s="702" t="s">
        <v>172</v>
      </c>
      <c r="I663" s="702"/>
      <c r="J663" s="702"/>
      <c r="K663" s="702"/>
      <c r="L663" s="257">
        <v>45568</v>
      </c>
      <c r="M663" s="317" t="s">
        <v>122</v>
      </c>
      <c r="N663" s="317">
        <v>24</v>
      </c>
      <c r="O663" s="280"/>
      <c r="P663" s="512" t="s">
        <v>172</v>
      </c>
      <c r="Q663" s="512" t="s">
        <v>172</v>
      </c>
    </row>
    <row r="664" spans="2:17" x14ac:dyDescent="0.2">
      <c r="B664" s="317">
        <v>19</v>
      </c>
      <c r="C664" s="291" t="s">
        <v>53</v>
      </c>
      <c r="D664" s="317" t="s">
        <v>29</v>
      </c>
      <c r="E664" s="257" t="s">
        <v>30</v>
      </c>
      <c r="F664" s="257">
        <v>45561</v>
      </c>
      <c r="G664" s="317">
        <v>36.369999999999997</v>
      </c>
      <c r="H664" s="702" t="s">
        <v>172</v>
      </c>
      <c r="I664" s="702"/>
      <c r="J664" s="702"/>
      <c r="K664" s="702"/>
      <c r="L664" s="257">
        <v>45568</v>
      </c>
      <c r="M664" s="317" t="s">
        <v>436</v>
      </c>
      <c r="N664" s="317">
        <v>25</v>
      </c>
      <c r="O664" s="280"/>
      <c r="P664" s="512" t="s">
        <v>172</v>
      </c>
      <c r="Q664" s="512" t="s">
        <v>172</v>
      </c>
    </row>
    <row r="665" spans="2:17" x14ac:dyDescent="0.2">
      <c r="B665" s="317">
        <v>20</v>
      </c>
      <c r="C665" s="291" t="s">
        <v>170</v>
      </c>
      <c r="D665" s="257" t="s">
        <v>29</v>
      </c>
      <c r="E665" s="257" t="s">
        <v>30</v>
      </c>
      <c r="F665" s="257">
        <v>45556</v>
      </c>
      <c r="G665" s="334">
        <v>36.369999999999997</v>
      </c>
      <c r="H665" s="702" t="s">
        <v>172</v>
      </c>
      <c r="I665" s="702"/>
      <c r="J665" s="702"/>
      <c r="K665" s="702"/>
      <c r="L665" s="257">
        <v>45569</v>
      </c>
      <c r="M665" s="317" t="s">
        <v>648</v>
      </c>
      <c r="N665" s="317">
        <v>25</v>
      </c>
      <c r="O665" s="280"/>
      <c r="P665" s="512" t="s">
        <v>172</v>
      </c>
      <c r="Q665" s="512" t="s">
        <v>172</v>
      </c>
    </row>
    <row r="666" spans="2:17" ht="12.75" customHeight="1" x14ac:dyDescent="0.2">
      <c r="B666" s="317">
        <v>21</v>
      </c>
      <c r="C666" s="291" t="s">
        <v>57</v>
      </c>
      <c r="D666" s="257" t="s">
        <v>29</v>
      </c>
      <c r="E666" s="257" t="s">
        <v>30</v>
      </c>
      <c r="F666" s="257">
        <v>45568</v>
      </c>
      <c r="G666" s="334">
        <v>36.369999999999997</v>
      </c>
      <c r="H666" s="702" t="s">
        <v>172</v>
      </c>
      <c r="I666" s="702"/>
      <c r="J666" s="702"/>
      <c r="K666" s="702"/>
      <c r="L666" s="257">
        <v>45572</v>
      </c>
      <c r="M666" s="317" t="s">
        <v>122</v>
      </c>
      <c r="N666" s="317">
        <v>24</v>
      </c>
      <c r="O666" s="280"/>
      <c r="P666" s="512" t="s">
        <v>172</v>
      </c>
      <c r="Q666" s="512" t="s">
        <v>172</v>
      </c>
    </row>
    <row r="667" spans="2:17" x14ac:dyDescent="0.2">
      <c r="B667" s="317">
        <v>22</v>
      </c>
      <c r="C667" s="291" t="s">
        <v>181</v>
      </c>
      <c r="D667" s="257" t="s">
        <v>34</v>
      </c>
      <c r="E667" s="257" t="s">
        <v>30</v>
      </c>
      <c r="F667" s="257">
        <v>45570</v>
      </c>
      <c r="G667" s="334">
        <v>37.931292999999997</v>
      </c>
      <c r="H667" s="702" t="s">
        <v>172</v>
      </c>
      <c r="I667" s="702"/>
      <c r="J667" s="702"/>
      <c r="K667" s="702"/>
      <c r="L667" s="257">
        <v>45579</v>
      </c>
      <c r="M667" s="317" t="s">
        <v>122</v>
      </c>
      <c r="N667" s="317">
        <v>24</v>
      </c>
      <c r="O667" s="280"/>
      <c r="P667" s="512" t="s">
        <v>172</v>
      </c>
      <c r="Q667" s="512" t="s">
        <v>172</v>
      </c>
    </row>
    <row r="668" spans="2:17" x14ac:dyDescent="0.2">
      <c r="B668" s="317">
        <v>23</v>
      </c>
      <c r="C668" s="291" t="s">
        <v>444</v>
      </c>
      <c r="D668" s="257" t="s">
        <v>29</v>
      </c>
      <c r="E668" s="257" t="s">
        <v>30</v>
      </c>
      <c r="F668" s="257">
        <v>45570</v>
      </c>
      <c r="G668" s="334">
        <v>36.369999999999997</v>
      </c>
      <c r="H668" s="702" t="s">
        <v>172</v>
      </c>
      <c r="I668" s="702"/>
      <c r="J668" s="702"/>
      <c r="K668" s="702"/>
      <c r="L668" s="257">
        <v>45579</v>
      </c>
      <c r="M668" s="317" t="s">
        <v>436</v>
      </c>
      <c r="N668" s="317">
        <v>25</v>
      </c>
      <c r="O668" s="280"/>
      <c r="P668" s="512" t="s">
        <v>172</v>
      </c>
      <c r="Q668" s="512" t="s">
        <v>172</v>
      </c>
    </row>
    <row r="669" spans="2:17" x14ac:dyDescent="0.2">
      <c r="B669" s="317">
        <v>24</v>
      </c>
      <c r="C669" s="291" t="s">
        <v>138</v>
      </c>
      <c r="D669" s="257" t="s">
        <v>29</v>
      </c>
      <c r="E669" s="257" t="s">
        <v>30</v>
      </c>
      <c r="F669" s="257">
        <v>45566</v>
      </c>
      <c r="G669" s="334">
        <v>36.369999999999997</v>
      </c>
      <c r="H669" s="702" t="s">
        <v>172</v>
      </c>
      <c r="I669" s="702"/>
      <c r="J669" s="702"/>
      <c r="K669" s="702"/>
      <c r="L669" s="257">
        <v>45582</v>
      </c>
      <c r="M669" s="317" t="s">
        <v>451</v>
      </c>
      <c r="N669" s="317">
        <v>25</v>
      </c>
      <c r="O669" s="280"/>
      <c r="P669" s="512" t="s">
        <v>172</v>
      </c>
      <c r="Q669" s="512" t="s">
        <v>172</v>
      </c>
    </row>
    <row r="670" spans="2:17" ht="12.75" customHeight="1" x14ac:dyDescent="0.2">
      <c r="B670" s="317">
        <v>25</v>
      </c>
      <c r="C670" s="291" t="s">
        <v>54</v>
      </c>
      <c r="D670" s="257" t="s">
        <v>34</v>
      </c>
      <c r="E670" s="257" t="s">
        <v>30</v>
      </c>
      <c r="F670" s="257">
        <v>45566</v>
      </c>
      <c r="G670" s="334">
        <v>37.931292999999997</v>
      </c>
      <c r="H670" s="702" t="s">
        <v>172</v>
      </c>
      <c r="I670" s="702"/>
      <c r="J670" s="702"/>
      <c r="K670" s="702"/>
      <c r="L670" s="257">
        <v>45584</v>
      </c>
      <c r="M670" s="317" t="s">
        <v>437</v>
      </c>
      <c r="N670" s="317">
        <v>25</v>
      </c>
      <c r="O670" s="280"/>
      <c r="P670" s="512" t="s">
        <v>172</v>
      </c>
      <c r="Q670" s="512" t="s">
        <v>172</v>
      </c>
    </row>
    <row r="671" spans="2:17" x14ac:dyDescent="0.2">
      <c r="B671" s="317">
        <v>26</v>
      </c>
      <c r="C671" s="291" t="s">
        <v>356</v>
      </c>
      <c r="D671" s="257" t="s">
        <v>34</v>
      </c>
      <c r="E671" s="257" t="s">
        <v>432</v>
      </c>
      <c r="F671" s="257">
        <v>45581</v>
      </c>
      <c r="G671" s="334">
        <v>37.931292999999997</v>
      </c>
      <c r="H671" s="702" t="s">
        <v>172</v>
      </c>
      <c r="I671" s="702"/>
      <c r="J671" s="702"/>
      <c r="K671" s="702"/>
      <c r="L671" s="257">
        <v>45586</v>
      </c>
      <c r="M671" s="317" t="s">
        <v>476</v>
      </c>
      <c r="N671" s="317">
        <v>25</v>
      </c>
      <c r="O671" s="280"/>
      <c r="P671" s="512" t="s">
        <v>172</v>
      </c>
      <c r="Q671" s="512" t="s">
        <v>172</v>
      </c>
    </row>
    <row r="672" spans="2:17" x14ac:dyDescent="0.2">
      <c r="B672" s="317">
        <v>27</v>
      </c>
      <c r="C672" s="260" t="s">
        <v>49</v>
      </c>
      <c r="D672" s="317" t="s">
        <v>34</v>
      </c>
      <c r="E672" s="317" t="s">
        <v>30</v>
      </c>
      <c r="F672" s="257">
        <v>45586</v>
      </c>
      <c r="G672" s="334">
        <v>37.931292999999997</v>
      </c>
      <c r="H672" s="702" t="s">
        <v>172</v>
      </c>
      <c r="I672" s="702"/>
      <c r="J672" s="702"/>
      <c r="K672" s="702"/>
      <c r="L672" s="257">
        <v>45591</v>
      </c>
      <c r="M672" s="317" t="s">
        <v>122</v>
      </c>
      <c r="N672" s="317"/>
      <c r="O672" s="280"/>
      <c r="P672" s="512" t="s">
        <v>172</v>
      </c>
      <c r="Q672" s="512" t="s">
        <v>172</v>
      </c>
    </row>
    <row r="673" spans="2:17" ht="12.75" customHeight="1" x14ac:dyDescent="0.2">
      <c r="B673" s="317">
        <v>28</v>
      </c>
      <c r="C673" s="291" t="s">
        <v>125</v>
      </c>
      <c r="D673" s="257" t="s">
        <v>34</v>
      </c>
      <c r="E673" s="257" t="s">
        <v>30</v>
      </c>
      <c r="F673" s="257">
        <v>45566</v>
      </c>
      <c r="G673" s="334">
        <v>37.931292999999997</v>
      </c>
      <c r="H673" s="702" t="s">
        <v>172</v>
      </c>
      <c r="I673" s="702"/>
      <c r="J673" s="702"/>
      <c r="K673" s="702"/>
      <c r="L673" s="257">
        <v>45591</v>
      </c>
      <c r="M673" s="317" t="s">
        <v>443</v>
      </c>
      <c r="N673" s="317">
        <v>25</v>
      </c>
      <c r="O673" s="280"/>
      <c r="P673" s="512" t="s">
        <v>172</v>
      </c>
      <c r="Q673" s="512" t="s">
        <v>172</v>
      </c>
    </row>
    <row r="674" spans="2:17" x14ac:dyDescent="0.2">
      <c r="B674" s="317">
        <v>29</v>
      </c>
      <c r="C674" s="291" t="s">
        <v>50</v>
      </c>
      <c r="D674" s="257" t="s">
        <v>34</v>
      </c>
      <c r="E674" s="257" t="s">
        <v>432</v>
      </c>
      <c r="F674" s="257">
        <v>45582</v>
      </c>
      <c r="G674" s="334">
        <v>37.931292999999997</v>
      </c>
      <c r="H674" s="702" t="s">
        <v>172</v>
      </c>
      <c r="I674" s="702"/>
      <c r="J674" s="702"/>
      <c r="K674" s="702"/>
      <c r="L674" s="257">
        <v>45592</v>
      </c>
      <c r="M674" s="317" t="s">
        <v>453</v>
      </c>
      <c r="N674" s="317">
        <v>26</v>
      </c>
      <c r="O674" s="280"/>
      <c r="P674" s="512" t="s">
        <v>172</v>
      </c>
      <c r="Q674" s="512" t="s">
        <v>172</v>
      </c>
    </row>
    <row r="675" spans="2:17" x14ac:dyDescent="0.2">
      <c r="B675" s="317">
        <v>30</v>
      </c>
      <c r="C675" s="291" t="s">
        <v>113</v>
      </c>
      <c r="D675" s="257" t="s">
        <v>29</v>
      </c>
      <c r="E675" s="257" t="s">
        <v>432</v>
      </c>
      <c r="F675" s="257">
        <v>45583</v>
      </c>
      <c r="G675" s="334">
        <v>36.369999999999997</v>
      </c>
      <c r="H675" s="702" t="s">
        <v>172</v>
      </c>
      <c r="I675" s="702"/>
      <c r="J675" s="702"/>
      <c r="K675" s="702"/>
      <c r="L675" s="257">
        <v>45592</v>
      </c>
      <c r="M675" s="317" t="s">
        <v>451</v>
      </c>
      <c r="N675" s="317">
        <v>25</v>
      </c>
      <c r="O675" s="280"/>
      <c r="P675" s="512" t="s">
        <v>172</v>
      </c>
      <c r="Q675" s="512" t="s">
        <v>172</v>
      </c>
    </row>
    <row r="676" spans="2:17" ht="12.75" customHeight="1" x14ac:dyDescent="0.2">
      <c r="B676" s="317">
        <v>31</v>
      </c>
      <c r="C676" s="291" t="s">
        <v>55</v>
      </c>
      <c r="D676" s="257" t="s">
        <v>34</v>
      </c>
      <c r="E676" s="257" t="s">
        <v>30</v>
      </c>
      <c r="F676" s="257">
        <v>45584</v>
      </c>
      <c r="G676" s="334">
        <v>36.369999999999997</v>
      </c>
      <c r="H676" s="702" t="s">
        <v>172</v>
      </c>
      <c r="I676" s="702"/>
      <c r="J676" s="702"/>
      <c r="K676" s="702"/>
      <c r="L676" s="257">
        <v>45595</v>
      </c>
      <c r="M676" s="317" t="s">
        <v>437</v>
      </c>
      <c r="N676" s="317">
        <v>25</v>
      </c>
      <c r="O676" s="280"/>
      <c r="P676" s="512" t="s">
        <v>172</v>
      </c>
      <c r="Q676" s="512" t="s">
        <v>172</v>
      </c>
    </row>
    <row r="677" spans="2:17" x14ac:dyDescent="0.2">
      <c r="B677" s="317">
        <v>32</v>
      </c>
      <c r="C677" s="302" t="s">
        <v>38</v>
      </c>
      <c r="D677" s="257" t="s">
        <v>29</v>
      </c>
      <c r="E677" s="257" t="s">
        <v>30</v>
      </c>
      <c r="F677" s="257">
        <v>45592</v>
      </c>
      <c r="G677" s="334">
        <v>36.369999999999997</v>
      </c>
      <c r="H677" s="702" t="s">
        <v>172</v>
      </c>
      <c r="I677" s="702"/>
      <c r="J677" s="702"/>
      <c r="K677" s="702"/>
      <c r="L677" s="257">
        <v>45597</v>
      </c>
      <c r="M677" s="317" t="s">
        <v>458</v>
      </c>
      <c r="N677" s="317">
        <v>24</v>
      </c>
      <c r="O677" s="280"/>
      <c r="P677" s="512" t="s">
        <v>172</v>
      </c>
      <c r="Q677" s="512" t="s">
        <v>172</v>
      </c>
    </row>
    <row r="678" spans="2:17" x14ac:dyDescent="0.2">
      <c r="B678" s="317">
        <v>33</v>
      </c>
      <c r="C678" s="257" t="s">
        <v>44</v>
      </c>
      <c r="D678" s="257" t="s">
        <v>29</v>
      </c>
      <c r="E678" s="257" t="s">
        <v>30</v>
      </c>
      <c r="F678" s="257">
        <v>45581</v>
      </c>
      <c r="G678" s="334">
        <v>36.369999999999997</v>
      </c>
      <c r="H678" s="702" t="s">
        <v>172</v>
      </c>
      <c r="I678" s="702"/>
      <c r="J678" s="702"/>
      <c r="K678" s="702"/>
      <c r="L678" s="257">
        <v>45597</v>
      </c>
      <c r="M678" s="317" t="s">
        <v>453</v>
      </c>
      <c r="N678" s="317">
        <v>24</v>
      </c>
      <c r="O678" s="280"/>
      <c r="P678" s="512" t="s">
        <v>172</v>
      </c>
      <c r="Q678" s="512" t="s">
        <v>172</v>
      </c>
    </row>
    <row r="679" spans="2:17" x14ac:dyDescent="0.2">
      <c r="B679" s="317">
        <v>34</v>
      </c>
      <c r="C679" s="291" t="s">
        <v>114</v>
      </c>
      <c r="D679" s="257" t="s">
        <v>29</v>
      </c>
      <c r="E679" s="257" t="s">
        <v>30</v>
      </c>
      <c r="F679" s="257">
        <v>45594</v>
      </c>
      <c r="G679" s="334">
        <v>36.369999999999997</v>
      </c>
      <c r="H679" s="702" t="s">
        <v>172</v>
      </c>
      <c r="I679" s="702"/>
      <c r="J679" s="702"/>
      <c r="K679" s="702"/>
      <c r="L679" s="257">
        <v>45601</v>
      </c>
      <c r="M679" s="317" t="s">
        <v>459</v>
      </c>
      <c r="N679" s="317">
        <v>25</v>
      </c>
      <c r="O679" s="280"/>
      <c r="P679" s="512" t="s">
        <v>172</v>
      </c>
      <c r="Q679" s="512" t="s">
        <v>172</v>
      </c>
    </row>
    <row r="680" spans="2:17" ht="12.75" customHeight="1" x14ac:dyDescent="0.2">
      <c r="B680" s="317">
        <v>35</v>
      </c>
      <c r="C680" s="291" t="s">
        <v>126</v>
      </c>
      <c r="D680" s="257" t="s">
        <v>29</v>
      </c>
      <c r="E680" s="257" t="s">
        <v>30</v>
      </c>
      <c r="F680" s="257">
        <v>45597</v>
      </c>
      <c r="G680" s="334">
        <v>36.369999999999997</v>
      </c>
      <c r="H680" s="702" t="s">
        <v>172</v>
      </c>
      <c r="I680" s="702"/>
      <c r="J680" s="702"/>
      <c r="K680" s="702"/>
      <c r="L680" s="257">
        <v>45603</v>
      </c>
      <c r="M680" s="317" t="s">
        <v>437</v>
      </c>
      <c r="N680" s="317">
        <v>24</v>
      </c>
      <c r="O680" s="280"/>
      <c r="P680" s="512" t="s">
        <v>172</v>
      </c>
      <c r="Q680" s="512" t="s">
        <v>172</v>
      </c>
    </row>
    <row r="681" spans="2:17" x14ac:dyDescent="0.2">
      <c r="B681" s="317">
        <v>36</v>
      </c>
      <c r="C681" s="291" t="s">
        <v>158</v>
      </c>
      <c r="D681" s="335" t="s">
        <v>135</v>
      </c>
      <c r="E681" s="257" t="s">
        <v>30</v>
      </c>
      <c r="F681" s="257">
        <v>45598</v>
      </c>
      <c r="G681" s="334">
        <v>54.655000000000001</v>
      </c>
      <c r="H681" s="702" t="s">
        <v>172</v>
      </c>
      <c r="I681" s="702"/>
      <c r="J681" s="702"/>
      <c r="K681" s="702"/>
      <c r="L681" s="257">
        <v>45603</v>
      </c>
      <c r="M681" s="317" t="s">
        <v>453</v>
      </c>
      <c r="N681" s="317">
        <v>24</v>
      </c>
      <c r="O681" s="280"/>
      <c r="P681" s="512" t="s">
        <v>172</v>
      </c>
      <c r="Q681" s="512" t="s">
        <v>172</v>
      </c>
    </row>
    <row r="682" spans="2:17" x14ac:dyDescent="0.2">
      <c r="B682" s="317">
        <v>37</v>
      </c>
      <c r="C682" s="291" t="s">
        <v>130</v>
      </c>
      <c r="D682" s="335" t="s">
        <v>131</v>
      </c>
      <c r="E682" s="257" t="s">
        <v>30</v>
      </c>
      <c r="F682" s="257">
        <v>45598</v>
      </c>
      <c r="G682" s="334">
        <v>54.66</v>
      </c>
      <c r="H682" s="702" t="s">
        <v>172</v>
      </c>
      <c r="I682" s="702"/>
      <c r="J682" s="702"/>
      <c r="K682" s="702"/>
      <c r="L682" s="257">
        <v>45603</v>
      </c>
      <c r="M682" s="317" t="s">
        <v>458</v>
      </c>
      <c r="N682" s="317">
        <v>25</v>
      </c>
      <c r="O682" s="280"/>
      <c r="P682" s="512" t="s">
        <v>172</v>
      </c>
      <c r="Q682" s="512" t="s">
        <v>172</v>
      </c>
    </row>
    <row r="683" spans="2:17" ht="12.75" customHeight="1" x14ac:dyDescent="0.2">
      <c r="B683" s="317">
        <v>38</v>
      </c>
      <c r="C683" s="291" t="s">
        <v>287</v>
      </c>
      <c r="D683" s="257" t="s">
        <v>29</v>
      </c>
      <c r="E683" s="257" t="s">
        <v>30</v>
      </c>
      <c r="F683" s="257">
        <v>45592</v>
      </c>
      <c r="G683" s="334">
        <v>36.369999999999997</v>
      </c>
      <c r="H683" s="702" t="s">
        <v>172</v>
      </c>
      <c r="I683" s="702"/>
      <c r="J683" s="702"/>
      <c r="K683" s="702"/>
      <c r="L683" s="257">
        <v>45608</v>
      </c>
      <c r="M683" s="317" t="s">
        <v>443</v>
      </c>
      <c r="N683" s="317">
        <v>25</v>
      </c>
      <c r="O683" s="280"/>
      <c r="P683" s="512" t="s">
        <v>172</v>
      </c>
      <c r="Q683" s="512" t="s">
        <v>172</v>
      </c>
    </row>
    <row r="684" spans="2:17" x14ac:dyDescent="0.2">
      <c r="B684" s="317">
        <v>39</v>
      </c>
      <c r="C684" s="291" t="s">
        <v>338</v>
      </c>
      <c r="D684" s="257" t="s">
        <v>29</v>
      </c>
      <c r="E684" s="257" t="s">
        <v>336</v>
      </c>
      <c r="F684" s="257">
        <v>45604</v>
      </c>
      <c r="G684" s="334">
        <v>36.369999999999997</v>
      </c>
      <c r="H684" s="702" t="s">
        <v>172</v>
      </c>
      <c r="I684" s="702"/>
      <c r="J684" s="702"/>
      <c r="K684" s="702"/>
      <c r="L684" s="257">
        <v>45609</v>
      </c>
      <c r="M684" s="317" t="s">
        <v>471</v>
      </c>
      <c r="N684" s="317">
        <v>24</v>
      </c>
      <c r="O684" s="280"/>
      <c r="P684" s="512" t="s">
        <v>172</v>
      </c>
      <c r="Q684" s="512" t="s">
        <v>172</v>
      </c>
    </row>
    <row r="685" spans="2:17" ht="12.75" customHeight="1" x14ac:dyDescent="0.2">
      <c r="B685" s="317">
        <v>40</v>
      </c>
      <c r="C685" s="291" t="s">
        <v>115</v>
      </c>
      <c r="D685" s="257" t="s">
        <v>29</v>
      </c>
      <c r="E685" s="257" t="s">
        <v>337</v>
      </c>
      <c r="F685" s="257">
        <v>45603</v>
      </c>
      <c r="G685" s="334">
        <v>36.369999999999997</v>
      </c>
      <c r="H685" s="702" t="s">
        <v>172</v>
      </c>
      <c r="I685" s="702"/>
      <c r="J685" s="702"/>
      <c r="K685" s="702"/>
      <c r="L685" s="257">
        <v>45610</v>
      </c>
      <c r="M685" s="317" t="s">
        <v>437</v>
      </c>
      <c r="N685" s="317">
        <v>24</v>
      </c>
      <c r="O685" s="280"/>
      <c r="P685" s="512" t="s">
        <v>172</v>
      </c>
      <c r="Q685" s="512" t="s">
        <v>172</v>
      </c>
    </row>
    <row r="686" spans="2:17" x14ac:dyDescent="0.2">
      <c r="B686" s="317">
        <v>41</v>
      </c>
      <c r="C686" s="291" t="s">
        <v>63</v>
      </c>
      <c r="D686" s="257" t="s">
        <v>43</v>
      </c>
      <c r="E686" s="257" t="s">
        <v>336</v>
      </c>
      <c r="F686" s="257">
        <v>45605</v>
      </c>
      <c r="G686" s="334">
        <v>43.08</v>
      </c>
      <c r="H686" s="702" t="s">
        <v>172</v>
      </c>
      <c r="I686" s="702"/>
      <c r="J686" s="702"/>
      <c r="K686" s="702"/>
      <c r="L686" s="257">
        <v>45610</v>
      </c>
      <c r="M686" s="317" t="s">
        <v>453</v>
      </c>
      <c r="N686" s="317">
        <v>25</v>
      </c>
      <c r="O686" s="280"/>
      <c r="P686" s="512" t="s">
        <v>172</v>
      </c>
      <c r="Q686" s="512" t="s">
        <v>172</v>
      </c>
    </row>
    <row r="687" spans="2:17" x14ac:dyDescent="0.2">
      <c r="B687" s="317">
        <v>42</v>
      </c>
      <c r="C687" s="291" t="s">
        <v>177</v>
      </c>
      <c r="D687" s="335" t="s">
        <v>135</v>
      </c>
      <c r="E687" s="257" t="s">
        <v>30</v>
      </c>
      <c r="F687" s="257">
        <v>45601</v>
      </c>
      <c r="G687" s="334">
        <v>54.66</v>
      </c>
      <c r="H687" s="702" t="s">
        <v>172</v>
      </c>
      <c r="I687" s="702"/>
      <c r="J687" s="702"/>
      <c r="K687" s="702"/>
      <c r="L687" s="257">
        <v>45611</v>
      </c>
      <c r="M687" s="317" t="s">
        <v>451</v>
      </c>
      <c r="N687" s="317">
        <v>25</v>
      </c>
      <c r="O687" s="280"/>
      <c r="P687" s="512" t="s">
        <v>172</v>
      </c>
      <c r="Q687" s="512" t="s">
        <v>172</v>
      </c>
    </row>
    <row r="688" spans="2:17" x14ac:dyDescent="0.2">
      <c r="B688" s="317">
        <v>43</v>
      </c>
      <c r="C688" s="291" t="s">
        <v>37</v>
      </c>
      <c r="D688" s="257" t="s">
        <v>29</v>
      </c>
      <c r="E688" s="257" t="s">
        <v>337</v>
      </c>
      <c r="F688" s="257">
        <v>45609</v>
      </c>
      <c r="G688" s="334">
        <v>36.369999999999997</v>
      </c>
      <c r="H688" s="702" t="s">
        <v>172</v>
      </c>
      <c r="I688" s="702"/>
      <c r="J688" s="702"/>
      <c r="K688" s="702"/>
      <c r="L688" s="257">
        <v>45614</v>
      </c>
      <c r="M688" s="317" t="s">
        <v>471</v>
      </c>
      <c r="N688" s="317">
        <v>22</v>
      </c>
      <c r="O688" s="280"/>
      <c r="P688" s="512" t="s">
        <v>172</v>
      </c>
      <c r="Q688" s="512" t="s">
        <v>172</v>
      </c>
    </row>
    <row r="689" spans="2:17" x14ac:dyDescent="0.2">
      <c r="B689" s="317">
        <v>44</v>
      </c>
      <c r="C689" s="291" t="s">
        <v>118</v>
      </c>
      <c r="D689" s="257" t="s">
        <v>43</v>
      </c>
      <c r="E689" s="257" t="s">
        <v>337</v>
      </c>
      <c r="F689" s="257">
        <v>45611</v>
      </c>
      <c r="G689" s="334">
        <v>43.08</v>
      </c>
      <c r="H689" s="702" t="s">
        <v>172</v>
      </c>
      <c r="I689" s="702"/>
      <c r="J689" s="702"/>
      <c r="K689" s="702"/>
      <c r="L689" s="257">
        <v>45616</v>
      </c>
      <c r="M689" s="317" t="s">
        <v>453</v>
      </c>
      <c r="N689" s="317">
        <v>25</v>
      </c>
      <c r="O689" s="280"/>
      <c r="P689" s="512" t="s">
        <v>172</v>
      </c>
      <c r="Q689" s="512" t="s">
        <v>172</v>
      </c>
    </row>
    <row r="690" spans="2:17" ht="12.75" customHeight="1" x14ac:dyDescent="0.2">
      <c r="B690" s="317">
        <v>45</v>
      </c>
      <c r="C690" s="291" t="s">
        <v>64</v>
      </c>
      <c r="D690" s="257" t="s">
        <v>29</v>
      </c>
      <c r="E690" s="257" t="s">
        <v>337</v>
      </c>
      <c r="F690" s="257">
        <v>45610</v>
      </c>
      <c r="G690" s="334">
        <v>36.369999999999997</v>
      </c>
      <c r="H690" s="702" t="s">
        <v>172</v>
      </c>
      <c r="I690" s="702"/>
      <c r="J690" s="702"/>
      <c r="K690" s="702"/>
      <c r="L690" s="257">
        <v>45617</v>
      </c>
      <c r="M690" s="317" t="s">
        <v>437</v>
      </c>
      <c r="N690" s="317">
        <v>23</v>
      </c>
      <c r="O690" s="280"/>
      <c r="P690" s="512" t="s">
        <v>172</v>
      </c>
      <c r="Q690" s="512" t="s">
        <v>172</v>
      </c>
    </row>
    <row r="691" spans="2:17" x14ac:dyDescent="0.2">
      <c r="B691" s="317">
        <v>46</v>
      </c>
      <c r="C691" s="291" t="s">
        <v>137</v>
      </c>
      <c r="D691" s="257" t="s">
        <v>131</v>
      </c>
      <c r="E691" s="257" t="s">
        <v>337</v>
      </c>
      <c r="F691" s="257">
        <v>45615</v>
      </c>
      <c r="G691" s="334">
        <v>54.66</v>
      </c>
      <c r="H691" s="702" t="s">
        <v>172</v>
      </c>
      <c r="I691" s="702"/>
      <c r="J691" s="702"/>
      <c r="K691" s="702"/>
      <c r="L691" s="257">
        <v>45620</v>
      </c>
      <c r="M691" s="317" t="s">
        <v>476</v>
      </c>
      <c r="N691" s="317">
        <v>22</v>
      </c>
      <c r="O691" s="280"/>
      <c r="P691" s="512" t="s">
        <v>172</v>
      </c>
      <c r="Q691" s="512" t="s">
        <v>172</v>
      </c>
    </row>
    <row r="692" spans="2:17" x14ac:dyDescent="0.2">
      <c r="B692" s="317">
        <v>47</v>
      </c>
      <c r="C692" s="291" t="s">
        <v>166</v>
      </c>
      <c r="D692" s="257" t="s">
        <v>167</v>
      </c>
      <c r="E692" s="257" t="s">
        <v>432</v>
      </c>
      <c r="F692" s="257">
        <v>45612</v>
      </c>
      <c r="G692" s="334">
        <v>37.93</v>
      </c>
      <c r="H692" s="702" t="s">
        <v>172</v>
      </c>
      <c r="I692" s="702"/>
      <c r="J692" s="702"/>
      <c r="K692" s="702"/>
      <c r="L692" s="257">
        <v>45621</v>
      </c>
      <c r="M692" s="317" t="s">
        <v>475</v>
      </c>
      <c r="N692" s="317">
        <v>25</v>
      </c>
      <c r="O692" s="280"/>
      <c r="P692" s="323"/>
      <c r="Q692" s="512" t="s">
        <v>172</v>
      </c>
    </row>
    <row r="693" spans="2:17" x14ac:dyDescent="0.2">
      <c r="B693" s="317">
        <v>48</v>
      </c>
      <c r="C693" s="291" t="s">
        <v>160</v>
      </c>
      <c r="D693" s="257" t="s">
        <v>131</v>
      </c>
      <c r="E693" s="257" t="s">
        <v>337</v>
      </c>
      <c r="F693" s="257">
        <v>45617</v>
      </c>
      <c r="G693" s="334">
        <v>54.66</v>
      </c>
      <c r="H693" s="702" t="s">
        <v>172</v>
      </c>
      <c r="I693" s="702"/>
      <c r="J693" s="702"/>
      <c r="K693" s="702"/>
      <c r="L693" s="257">
        <v>45622</v>
      </c>
      <c r="M693" s="317" t="s">
        <v>453</v>
      </c>
      <c r="N693" s="317">
        <v>25</v>
      </c>
      <c r="O693" s="280"/>
      <c r="P693" s="512" t="s">
        <v>172</v>
      </c>
      <c r="Q693" s="512" t="s">
        <v>172</v>
      </c>
    </row>
    <row r="694" spans="2:17" ht="12.75" customHeight="1" x14ac:dyDescent="0.2">
      <c r="B694" s="317">
        <v>49</v>
      </c>
      <c r="C694" s="291" t="s">
        <v>178</v>
      </c>
      <c r="D694" s="257" t="s">
        <v>131</v>
      </c>
      <c r="E694" s="257" t="s">
        <v>337</v>
      </c>
      <c r="F694" s="257">
        <v>45618</v>
      </c>
      <c r="G694" s="334">
        <v>54.66</v>
      </c>
      <c r="H694" s="702" t="s">
        <v>172</v>
      </c>
      <c r="I694" s="702"/>
      <c r="J694" s="702"/>
      <c r="K694" s="702"/>
      <c r="L694" s="257">
        <v>45626</v>
      </c>
      <c r="M694" s="317" t="s">
        <v>437</v>
      </c>
      <c r="N694" s="317">
        <v>23</v>
      </c>
      <c r="O694" s="280"/>
      <c r="P694" s="512" t="s">
        <v>172</v>
      </c>
      <c r="Q694" s="512" t="s">
        <v>172</v>
      </c>
    </row>
    <row r="695" spans="2:17" x14ac:dyDescent="0.2">
      <c r="B695" s="317">
        <v>50</v>
      </c>
      <c r="C695" s="291" t="s">
        <v>134</v>
      </c>
      <c r="D695" s="257" t="s">
        <v>135</v>
      </c>
      <c r="E695" s="257" t="s">
        <v>337</v>
      </c>
      <c r="F695" s="257">
        <v>45620</v>
      </c>
      <c r="G695" s="334">
        <v>54.66</v>
      </c>
      <c r="H695" s="702" t="s">
        <v>172</v>
      </c>
      <c r="I695" s="702"/>
      <c r="J695" s="702"/>
      <c r="K695" s="702"/>
      <c r="L695" s="257">
        <v>45626</v>
      </c>
      <c r="M695" s="317" t="s">
        <v>476</v>
      </c>
      <c r="N695" s="317">
        <v>22</v>
      </c>
      <c r="O695" s="280"/>
      <c r="P695" s="512" t="s">
        <v>172</v>
      </c>
      <c r="Q695" s="512" t="s">
        <v>172</v>
      </c>
    </row>
    <row r="696" spans="2:17" x14ac:dyDescent="0.2">
      <c r="B696" s="317">
        <v>51</v>
      </c>
      <c r="C696" s="291" t="s">
        <v>171</v>
      </c>
      <c r="D696" s="257" t="s">
        <v>29</v>
      </c>
      <c r="E696" s="257" t="s">
        <v>336</v>
      </c>
      <c r="F696" s="257">
        <v>45622</v>
      </c>
      <c r="G696" s="334">
        <v>36.369999999999997</v>
      </c>
      <c r="H696" s="702" t="s">
        <v>172</v>
      </c>
      <c r="I696" s="702"/>
      <c r="J696" s="702"/>
      <c r="K696" s="702"/>
      <c r="L696" s="254">
        <v>45628</v>
      </c>
      <c r="M696" s="317" t="s">
        <v>453</v>
      </c>
      <c r="N696" s="317">
        <v>25</v>
      </c>
      <c r="O696" s="280"/>
      <c r="P696" s="512" t="s">
        <v>172</v>
      </c>
      <c r="Q696" s="512" t="s">
        <v>172</v>
      </c>
    </row>
    <row r="697" spans="2:17" ht="12.75" customHeight="1" x14ac:dyDescent="0.2">
      <c r="B697" s="317">
        <v>52</v>
      </c>
      <c r="C697" s="291" t="s">
        <v>112</v>
      </c>
      <c r="D697" s="257" t="s">
        <v>34</v>
      </c>
      <c r="E697" s="257" t="s">
        <v>337</v>
      </c>
      <c r="F697" s="257">
        <v>45608</v>
      </c>
      <c r="G697" s="334">
        <v>37.93</v>
      </c>
      <c r="H697" s="702" t="s">
        <v>172</v>
      </c>
      <c r="I697" s="702"/>
      <c r="J697" s="702"/>
      <c r="K697" s="702"/>
      <c r="L697" s="254">
        <v>45631</v>
      </c>
      <c r="M697" s="317" t="s">
        <v>443</v>
      </c>
      <c r="N697" s="317">
        <v>23</v>
      </c>
      <c r="O697" s="280"/>
      <c r="P697" s="512" t="s">
        <v>172</v>
      </c>
      <c r="Q697" s="512" t="s">
        <v>172</v>
      </c>
    </row>
    <row r="698" spans="2:17" x14ac:dyDescent="0.2">
      <c r="B698" s="317">
        <v>53</v>
      </c>
      <c r="C698" s="291" t="s">
        <v>129</v>
      </c>
      <c r="D698" s="257" t="s">
        <v>29</v>
      </c>
      <c r="E698" s="257" t="s">
        <v>337</v>
      </c>
      <c r="F698" s="254">
        <v>45629</v>
      </c>
      <c r="G698" s="258">
        <v>36.369999999999997</v>
      </c>
      <c r="H698" s="702" t="s">
        <v>172</v>
      </c>
      <c r="I698" s="702"/>
      <c r="J698" s="702"/>
      <c r="K698" s="702"/>
      <c r="L698" s="254">
        <v>45632</v>
      </c>
      <c r="M698" s="317" t="s">
        <v>453</v>
      </c>
      <c r="N698" s="317">
        <v>25</v>
      </c>
      <c r="O698" s="280"/>
      <c r="P698" s="512" t="s">
        <v>172</v>
      </c>
      <c r="Q698" s="512" t="s">
        <v>172</v>
      </c>
    </row>
    <row r="699" spans="2:17" ht="12.75" customHeight="1" x14ac:dyDescent="0.2">
      <c r="B699" s="317">
        <v>54</v>
      </c>
      <c r="C699" s="291" t="s">
        <v>58</v>
      </c>
      <c r="D699" s="257" t="s">
        <v>29</v>
      </c>
      <c r="E699" s="257" t="s">
        <v>337</v>
      </c>
      <c r="F699" s="254">
        <v>45629</v>
      </c>
      <c r="G699" s="258">
        <v>36.369999999999997</v>
      </c>
      <c r="H699" s="702" t="s">
        <v>172</v>
      </c>
      <c r="I699" s="702"/>
      <c r="J699" s="702"/>
      <c r="K699" s="702"/>
      <c r="L699" s="254">
        <v>45634</v>
      </c>
      <c r="M699" s="317" t="s">
        <v>476</v>
      </c>
      <c r="N699" s="317">
        <v>22</v>
      </c>
      <c r="O699" s="280"/>
      <c r="P699" s="512" t="s">
        <v>172</v>
      </c>
      <c r="Q699" s="512" t="s">
        <v>172</v>
      </c>
    </row>
    <row r="700" spans="2:17" x14ac:dyDescent="0.2">
      <c r="B700" s="317">
        <v>55</v>
      </c>
      <c r="C700" s="291" t="s">
        <v>33</v>
      </c>
      <c r="D700" s="257" t="s">
        <v>34</v>
      </c>
      <c r="E700" s="257" t="s">
        <v>337</v>
      </c>
      <c r="F700" s="254">
        <v>45629</v>
      </c>
      <c r="G700" s="258">
        <v>37.93</v>
      </c>
      <c r="H700" s="702" t="s">
        <v>172</v>
      </c>
      <c r="I700" s="702"/>
      <c r="J700" s="702"/>
      <c r="K700" s="702"/>
      <c r="L700" s="254">
        <v>45637</v>
      </c>
      <c r="M700" s="317" t="s">
        <v>453</v>
      </c>
      <c r="N700" s="317">
        <v>25</v>
      </c>
      <c r="O700" s="280"/>
      <c r="P700" s="512" t="s">
        <v>172</v>
      </c>
      <c r="Q700" s="512" t="s">
        <v>172</v>
      </c>
    </row>
    <row r="701" spans="2:17" x14ac:dyDescent="0.2">
      <c r="B701" s="317">
        <v>56</v>
      </c>
      <c r="C701" s="291" t="s">
        <v>345</v>
      </c>
      <c r="D701" s="257" t="s">
        <v>29</v>
      </c>
      <c r="E701" s="257" t="s">
        <v>337</v>
      </c>
      <c r="F701" s="254">
        <v>45635</v>
      </c>
      <c r="G701" s="258">
        <v>36.369999999999997</v>
      </c>
      <c r="H701" s="702" t="s">
        <v>172</v>
      </c>
      <c r="I701" s="702"/>
      <c r="J701" s="702"/>
      <c r="K701" s="702"/>
      <c r="L701" s="254">
        <v>45639</v>
      </c>
      <c r="M701" s="317" t="s">
        <v>476</v>
      </c>
      <c r="N701" s="317">
        <v>22</v>
      </c>
      <c r="O701" s="280"/>
      <c r="P701" s="512" t="s">
        <v>172</v>
      </c>
      <c r="Q701" s="512" t="s">
        <v>172</v>
      </c>
    </row>
    <row r="702" spans="2:17" x14ac:dyDescent="0.2">
      <c r="B702" s="317">
        <v>57</v>
      </c>
      <c r="C702" s="291" t="s">
        <v>330</v>
      </c>
      <c r="D702" s="257" t="s">
        <v>34</v>
      </c>
      <c r="E702" s="257" t="s">
        <v>337</v>
      </c>
      <c r="F702" s="254">
        <v>45637</v>
      </c>
      <c r="G702" s="258">
        <v>37.93</v>
      </c>
      <c r="H702" s="702" t="s">
        <v>172</v>
      </c>
      <c r="I702" s="702"/>
      <c r="J702" s="702"/>
      <c r="K702" s="702"/>
      <c r="L702" s="254">
        <v>45641</v>
      </c>
      <c r="M702" s="317" t="s">
        <v>453</v>
      </c>
      <c r="N702" s="317">
        <v>25</v>
      </c>
      <c r="O702" s="280"/>
      <c r="P702" s="323" t="s">
        <v>172</v>
      </c>
      <c r="Q702" s="512" t="s">
        <v>172</v>
      </c>
    </row>
    <row r="703" spans="2:17" ht="12.75" customHeight="1" x14ac:dyDescent="0.2">
      <c r="B703" s="317">
        <v>58</v>
      </c>
      <c r="C703" s="291" t="s">
        <v>329</v>
      </c>
      <c r="D703" s="257" t="s">
        <v>29</v>
      </c>
      <c r="E703" s="257" t="s">
        <v>337</v>
      </c>
      <c r="F703" s="254">
        <v>45642</v>
      </c>
      <c r="G703" s="258">
        <v>36.369999999999997</v>
      </c>
      <c r="H703" s="702" t="s">
        <v>172</v>
      </c>
      <c r="I703" s="702"/>
      <c r="J703" s="702"/>
      <c r="K703" s="702"/>
      <c r="L703" s="254">
        <v>45644</v>
      </c>
      <c r="M703" s="317" t="s">
        <v>453</v>
      </c>
      <c r="N703" s="317">
        <v>23</v>
      </c>
      <c r="O703" s="280"/>
      <c r="P703" s="323" t="s">
        <v>172</v>
      </c>
      <c r="Q703" s="512" t="s">
        <v>172</v>
      </c>
    </row>
    <row r="704" spans="2:17" x14ac:dyDescent="0.2">
      <c r="B704" s="317">
        <v>59</v>
      </c>
      <c r="C704" s="291" t="s">
        <v>348</v>
      </c>
      <c r="D704" s="257" t="s">
        <v>29</v>
      </c>
      <c r="E704" s="257" t="s">
        <v>337</v>
      </c>
      <c r="F704" s="254">
        <v>45641</v>
      </c>
      <c r="G704" s="258">
        <v>36.369999999999997</v>
      </c>
      <c r="H704" s="702" t="s">
        <v>172</v>
      </c>
      <c r="I704" s="702"/>
      <c r="J704" s="702"/>
      <c r="K704" s="702"/>
      <c r="L704" s="254">
        <v>45645</v>
      </c>
      <c r="M704" s="317" t="s">
        <v>476</v>
      </c>
      <c r="N704" s="317">
        <v>25</v>
      </c>
      <c r="O704" s="280"/>
      <c r="P704" s="512" t="s">
        <v>172</v>
      </c>
      <c r="Q704" s="512" t="s">
        <v>172</v>
      </c>
    </row>
    <row r="705" spans="2:17" ht="14.25" customHeight="1" x14ac:dyDescent="0.2">
      <c r="B705" s="317">
        <v>60</v>
      </c>
      <c r="C705" s="291" t="s">
        <v>326</v>
      </c>
      <c r="D705" s="257" t="s">
        <v>29</v>
      </c>
      <c r="E705" s="280" t="s">
        <v>455</v>
      </c>
      <c r="F705" s="290">
        <v>45645</v>
      </c>
      <c r="G705" s="280">
        <v>36.369999999999997</v>
      </c>
      <c r="H705" s="702" t="s">
        <v>172</v>
      </c>
      <c r="I705" s="702"/>
      <c r="J705" s="702"/>
      <c r="K705" s="702"/>
      <c r="L705" s="254">
        <v>45648</v>
      </c>
      <c r="M705" s="317" t="s">
        <v>453</v>
      </c>
      <c r="N705" s="317">
        <v>22</v>
      </c>
      <c r="O705" s="280"/>
      <c r="P705" s="512" t="s">
        <v>172</v>
      </c>
      <c r="Q705" s="512" t="s">
        <v>172</v>
      </c>
    </row>
    <row r="706" spans="2:17" ht="12.75" customHeight="1" x14ac:dyDescent="0.2">
      <c r="B706" s="317">
        <v>61</v>
      </c>
      <c r="C706" s="335" t="s">
        <v>325</v>
      </c>
      <c r="D706" s="257" t="s">
        <v>29</v>
      </c>
      <c r="E706" s="257" t="s">
        <v>337</v>
      </c>
      <c r="F706" s="290">
        <v>45649</v>
      </c>
      <c r="G706" s="280">
        <v>36.369999999999997</v>
      </c>
      <c r="H706" s="702" t="s">
        <v>172</v>
      </c>
      <c r="I706" s="702"/>
      <c r="J706" s="702"/>
      <c r="K706" s="702"/>
      <c r="L706" s="254">
        <v>45651</v>
      </c>
      <c r="M706" s="317" t="s">
        <v>453</v>
      </c>
      <c r="N706" s="317">
        <v>25</v>
      </c>
      <c r="O706" s="280"/>
      <c r="P706" s="512" t="s">
        <v>172</v>
      </c>
      <c r="Q706" s="512" t="s">
        <v>172</v>
      </c>
    </row>
    <row r="707" spans="2:17" s="221" customFormat="1" x14ac:dyDescent="0.2">
      <c r="B707" s="317">
        <v>62</v>
      </c>
      <c r="C707" s="291" t="s">
        <v>46</v>
      </c>
      <c r="D707" s="257" t="s">
        <v>47</v>
      </c>
      <c r="E707" s="257" t="s">
        <v>337</v>
      </c>
      <c r="F707" s="290">
        <v>45646</v>
      </c>
      <c r="G707" s="280">
        <v>44.825000000000003</v>
      </c>
      <c r="H707" s="702" t="s">
        <v>172</v>
      </c>
      <c r="I707" s="702"/>
      <c r="J707" s="702"/>
      <c r="K707" s="702"/>
      <c r="L707" s="254">
        <v>45651</v>
      </c>
      <c r="M707" s="280" t="s">
        <v>471</v>
      </c>
      <c r="N707" s="317">
        <v>22</v>
      </c>
      <c r="O707" s="280"/>
      <c r="P707" s="512" t="s">
        <v>172</v>
      </c>
      <c r="Q707" s="512" t="s">
        <v>172</v>
      </c>
    </row>
    <row r="708" spans="2:17" s="221" customFormat="1" ht="12.75" customHeight="1" x14ac:dyDescent="0.2">
      <c r="B708" s="317">
        <v>63</v>
      </c>
      <c r="C708" s="291" t="s">
        <v>182</v>
      </c>
      <c r="D708" s="257" t="s">
        <v>34</v>
      </c>
      <c r="E708" s="257" t="s">
        <v>337</v>
      </c>
      <c r="F708" s="290">
        <v>45638</v>
      </c>
      <c r="G708" s="280">
        <v>37.93</v>
      </c>
      <c r="H708" s="702" t="s">
        <v>172</v>
      </c>
      <c r="I708" s="702"/>
      <c r="J708" s="702"/>
      <c r="K708" s="702"/>
      <c r="L708" s="290">
        <v>45654</v>
      </c>
      <c r="M708" s="280" t="s">
        <v>443</v>
      </c>
      <c r="N708" s="317">
        <v>23</v>
      </c>
      <c r="O708" s="280"/>
      <c r="P708" s="323"/>
      <c r="Q708" s="512"/>
    </row>
    <row r="709" spans="2:17" s="221" customFormat="1" ht="12.75" customHeight="1" x14ac:dyDescent="0.2">
      <c r="B709" s="317">
        <v>64</v>
      </c>
      <c r="C709" s="335" t="s">
        <v>324</v>
      </c>
      <c r="D709" s="257" t="s">
        <v>29</v>
      </c>
      <c r="E709" s="257" t="s">
        <v>337</v>
      </c>
      <c r="F709" s="290">
        <v>45652</v>
      </c>
      <c r="G709" s="280">
        <v>36.369999999999997</v>
      </c>
      <c r="H709" s="702" t="s">
        <v>172</v>
      </c>
      <c r="I709" s="702"/>
      <c r="J709" s="702"/>
      <c r="K709" s="702"/>
      <c r="L709" s="290">
        <v>45654</v>
      </c>
      <c r="M709" s="317" t="s">
        <v>453</v>
      </c>
      <c r="N709" s="317">
        <v>25</v>
      </c>
      <c r="O709" s="280"/>
      <c r="P709" s="512" t="s">
        <v>172</v>
      </c>
      <c r="Q709" s="512" t="s">
        <v>172</v>
      </c>
    </row>
    <row r="710" spans="2:17" s="221" customFormat="1" x14ac:dyDescent="0.2">
      <c r="B710" s="317">
        <v>65</v>
      </c>
      <c r="C710" s="291" t="s">
        <v>355</v>
      </c>
      <c r="D710" s="257" t="s">
        <v>34</v>
      </c>
      <c r="E710" s="257" t="s">
        <v>337</v>
      </c>
      <c r="F710" s="290">
        <v>45652</v>
      </c>
      <c r="G710" s="280">
        <v>37.93</v>
      </c>
      <c r="H710" s="702" t="s">
        <v>172</v>
      </c>
      <c r="I710" s="702"/>
      <c r="J710" s="702"/>
      <c r="K710" s="702"/>
      <c r="L710" s="290">
        <v>45657</v>
      </c>
      <c r="M710" s="280" t="s">
        <v>471</v>
      </c>
      <c r="N710" s="317">
        <v>22</v>
      </c>
      <c r="O710" s="280"/>
      <c r="P710" s="512" t="s">
        <v>172</v>
      </c>
      <c r="Q710" s="512" t="s">
        <v>172</v>
      </c>
    </row>
    <row r="711" spans="2:17" s="221" customFormat="1" ht="12.75" customHeight="1" x14ac:dyDescent="0.2">
      <c r="B711" s="317">
        <v>66</v>
      </c>
      <c r="C711" s="291" t="s">
        <v>323</v>
      </c>
      <c r="D711" s="257" t="s">
        <v>131</v>
      </c>
      <c r="E711" s="257" t="s">
        <v>337</v>
      </c>
      <c r="F711" s="290">
        <v>45653</v>
      </c>
      <c r="G711" s="280">
        <v>54.66</v>
      </c>
      <c r="H711" s="702" t="s">
        <v>172</v>
      </c>
      <c r="I711" s="702"/>
      <c r="J711" s="702"/>
      <c r="K711" s="702"/>
      <c r="L711" s="290">
        <v>45660</v>
      </c>
      <c r="M711" s="280" t="s">
        <v>453</v>
      </c>
      <c r="N711" s="317">
        <v>25</v>
      </c>
      <c r="O711" s="280"/>
      <c r="P711" s="512" t="s">
        <v>172</v>
      </c>
      <c r="Q711" s="512" t="s">
        <v>172</v>
      </c>
    </row>
    <row r="712" spans="2:17" s="221" customFormat="1" x14ac:dyDescent="0.2">
      <c r="B712" s="317">
        <v>67</v>
      </c>
      <c r="C712" s="291" t="s">
        <v>354</v>
      </c>
      <c r="D712" s="257" t="s">
        <v>34</v>
      </c>
      <c r="E712" s="257" t="s">
        <v>336</v>
      </c>
      <c r="F712" s="290">
        <v>45628</v>
      </c>
      <c r="G712" s="280">
        <v>37.93</v>
      </c>
      <c r="H712" s="702" t="s">
        <v>172</v>
      </c>
      <c r="I712" s="702"/>
      <c r="J712" s="702"/>
      <c r="K712" s="702"/>
      <c r="L712" s="290">
        <v>45663</v>
      </c>
      <c r="M712" s="280" t="s">
        <v>471</v>
      </c>
      <c r="N712" s="317">
        <v>26</v>
      </c>
      <c r="O712" s="280"/>
      <c r="P712" s="512" t="s">
        <v>172</v>
      </c>
      <c r="Q712" s="512" t="s">
        <v>172</v>
      </c>
    </row>
    <row r="713" spans="2:17" ht="12.75" customHeight="1" x14ac:dyDescent="0.2">
      <c r="B713" s="317">
        <v>68</v>
      </c>
      <c r="C713" s="291" t="s">
        <v>320</v>
      </c>
      <c r="D713" s="257" t="s">
        <v>34</v>
      </c>
      <c r="E713" s="257" t="s">
        <v>336</v>
      </c>
      <c r="F713" s="290">
        <v>45660</v>
      </c>
      <c r="G713" s="280">
        <v>37.93</v>
      </c>
      <c r="H713" s="702" t="s">
        <v>172</v>
      </c>
      <c r="I713" s="702"/>
      <c r="J713" s="702"/>
      <c r="K713" s="702"/>
      <c r="L713" s="290">
        <v>45665</v>
      </c>
      <c r="M713" s="280" t="s">
        <v>453</v>
      </c>
      <c r="N713" s="317">
        <v>27</v>
      </c>
      <c r="O713" s="280"/>
      <c r="P713" s="323"/>
      <c r="Q713" s="512" t="s">
        <v>172</v>
      </c>
    </row>
    <row r="714" spans="2:17" s="221" customFormat="1" x14ac:dyDescent="0.2">
      <c r="B714" s="317">
        <v>69</v>
      </c>
      <c r="C714" s="291" t="s">
        <v>334</v>
      </c>
      <c r="D714" s="317" t="s">
        <v>29</v>
      </c>
      <c r="E714" s="317" t="s">
        <v>30</v>
      </c>
      <c r="F714" s="290">
        <v>45654</v>
      </c>
      <c r="G714" s="280">
        <v>36.369999999999997</v>
      </c>
      <c r="H714" s="702" t="s">
        <v>172</v>
      </c>
      <c r="I714" s="702"/>
      <c r="J714" s="702"/>
      <c r="K714" s="702"/>
      <c r="L714" s="254">
        <v>45670</v>
      </c>
      <c r="M714" s="280" t="s">
        <v>453</v>
      </c>
      <c r="N714" s="317">
        <v>25</v>
      </c>
      <c r="O714" s="280"/>
      <c r="P714" s="512" t="s">
        <v>172</v>
      </c>
      <c r="Q714" s="512" t="s">
        <v>172</v>
      </c>
    </row>
    <row r="715" spans="2:17" s="221" customFormat="1" x14ac:dyDescent="0.2">
      <c r="B715" s="317">
        <v>70</v>
      </c>
      <c r="C715" s="291" t="s">
        <v>351</v>
      </c>
      <c r="D715" s="317" t="s">
        <v>34</v>
      </c>
      <c r="E715" s="317" t="s">
        <v>30</v>
      </c>
      <c r="F715" s="290">
        <v>45661</v>
      </c>
      <c r="G715" s="280">
        <v>37.93</v>
      </c>
      <c r="H715" s="702" t="s">
        <v>172</v>
      </c>
      <c r="I715" s="702"/>
      <c r="J715" s="702"/>
      <c r="K715" s="702"/>
      <c r="L715" s="254">
        <v>45672</v>
      </c>
      <c r="M715" s="280" t="s">
        <v>476</v>
      </c>
      <c r="N715" s="317">
        <v>28</v>
      </c>
      <c r="O715" s="280"/>
      <c r="P715" s="512" t="s">
        <v>172</v>
      </c>
      <c r="Q715" s="512" t="s">
        <v>172</v>
      </c>
    </row>
    <row r="716" spans="2:17" ht="12.75" customHeight="1" x14ac:dyDescent="0.2">
      <c r="B716" s="317">
        <v>71</v>
      </c>
      <c r="C716" s="291" t="s">
        <v>284</v>
      </c>
      <c r="D716" s="317" t="s">
        <v>165</v>
      </c>
      <c r="E716" s="317" t="s">
        <v>455</v>
      </c>
      <c r="F716" s="254">
        <v>45659</v>
      </c>
      <c r="G716" s="280">
        <v>36.369999999999997</v>
      </c>
      <c r="H716" s="702" t="s">
        <v>172</v>
      </c>
      <c r="I716" s="702"/>
      <c r="J716" s="702"/>
      <c r="K716" s="702"/>
      <c r="L716" s="254">
        <v>45672</v>
      </c>
      <c r="M716" s="280" t="s">
        <v>443</v>
      </c>
      <c r="N716" s="258">
        <v>25</v>
      </c>
      <c r="O716" s="280"/>
      <c r="P716" s="323"/>
      <c r="Q716" s="512"/>
    </row>
    <row r="717" spans="2:17" ht="12.75" customHeight="1" x14ac:dyDescent="0.2">
      <c r="B717" s="317">
        <v>72</v>
      </c>
      <c r="C717" s="335" t="s">
        <v>313</v>
      </c>
      <c r="D717" s="257" t="s">
        <v>29</v>
      </c>
      <c r="E717" s="258" t="s">
        <v>463</v>
      </c>
      <c r="F717" s="290">
        <v>45671</v>
      </c>
      <c r="G717" s="280">
        <v>36.369999999999997</v>
      </c>
      <c r="H717" s="702" t="s">
        <v>172</v>
      </c>
      <c r="I717" s="702"/>
      <c r="J717" s="702"/>
      <c r="K717" s="702"/>
      <c r="L717" s="254">
        <v>45675</v>
      </c>
      <c r="M717" s="258" t="s">
        <v>453</v>
      </c>
      <c r="N717" s="258">
        <v>30</v>
      </c>
      <c r="O717" s="280"/>
      <c r="P717" s="323"/>
      <c r="Q717" s="512" t="s">
        <v>172</v>
      </c>
    </row>
    <row r="718" spans="2:17" x14ac:dyDescent="0.2">
      <c r="B718" s="317">
        <v>73</v>
      </c>
      <c r="C718" s="284" t="s">
        <v>346</v>
      </c>
      <c r="D718" s="317" t="s">
        <v>29</v>
      </c>
      <c r="E718" s="317" t="s">
        <v>30</v>
      </c>
      <c r="F718" s="290">
        <v>45673</v>
      </c>
      <c r="G718" s="280">
        <v>36.369999999999997</v>
      </c>
      <c r="H718" s="702" t="s">
        <v>172</v>
      </c>
      <c r="I718" s="702"/>
      <c r="J718" s="702"/>
      <c r="K718" s="702"/>
      <c r="L718" s="254">
        <v>45676</v>
      </c>
      <c r="M718" s="280" t="s">
        <v>476</v>
      </c>
      <c r="N718" s="258">
        <v>27</v>
      </c>
      <c r="O718" s="280"/>
      <c r="P718" s="512" t="s">
        <v>172</v>
      </c>
      <c r="Q718" s="512" t="s">
        <v>172</v>
      </c>
    </row>
    <row r="719" spans="2:17" s="221" customFormat="1" ht="12.75" customHeight="1" x14ac:dyDescent="0.2">
      <c r="B719" s="317">
        <v>74</v>
      </c>
      <c r="C719" s="291" t="s">
        <v>315</v>
      </c>
      <c r="D719" s="317" t="s">
        <v>34</v>
      </c>
      <c r="E719" s="317" t="s">
        <v>455</v>
      </c>
      <c r="F719" s="290">
        <v>45675</v>
      </c>
      <c r="G719" s="280">
        <v>37.93</v>
      </c>
      <c r="H719" s="702" t="s">
        <v>172</v>
      </c>
      <c r="I719" s="702"/>
      <c r="J719" s="702"/>
      <c r="K719" s="702"/>
      <c r="L719" s="254">
        <v>45679</v>
      </c>
      <c r="M719" s="280" t="s">
        <v>453</v>
      </c>
      <c r="N719" s="280">
        <v>30</v>
      </c>
      <c r="O719" s="280"/>
      <c r="P719" s="323"/>
      <c r="Q719" s="512" t="s">
        <v>172</v>
      </c>
    </row>
    <row r="720" spans="2:17" x14ac:dyDescent="0.2">
      <c r="B720" s="317">
        <v>75</v>
      </c>
      <c r="C720" s="291" t="s">
        <v>344</v>
      </c>
      <c r="D720" s="317" t="s">
        <v>29</v>
      </c>
      <c r="E720" s="280" t="s">
        <v>432</v>
      </c>
      <c r="F720" s="290">
        <v>45676</v>
      </c>
      <c r="G720" s="280">
        <v>36.369999999999997</v>
      </c>
      <c r="H720" s="702" t="s">
        <v>172</v>
      </c>
      <c r="I720" s="702"/>
      <c r="J720" s="702"/>
      <c r="K720" s="702"/>
      <c r="L720" s="254">
        <v>45680</v>
      </c>
      <c r="M720" s="280" t="s">
        <v>476</v>
      </c>
      <c r="N720" s="280">
        <v>27</v>
      </c>
      <c r="O720" s="280"/>
      <c r="P720" s="512" t="s">
        <v>172</v>
      </c>
      <c r="Q720" s="512" t="s">
        <v>172</v>
      </c>
    </row>
    <row r="721" spans="2:17" s="221" customFormat="1" ht="12.75" customHeight="1" x14ac:dyDescent="0.2">
      <c r="B721" s="317">
        <v>76</v>
      </c>
      <c r="C721" s="291" t="s">
        <v>317</v>
      </c>
      <c r="D721" s="317" t="s">
        <v>34</v>
      </c>
      <c r="E721" s="317" t="s">
        <v>456</v>
      </c>
      <c r="F721" s="290">
        <v>45679</v>
      </c>
      <c r="G721" s="280">
        <v>37.93</v>
      </c>
      <c r="H721" s="702" t="s">
        <v>172</v>
      </c>
      <c r="I721" s="702"/>
      <c r="J721" s="702"/>
      <c r="K721" s="702"/>
      <c r="L721" s="290">
        <v>45684</v>
      </c>
      <c r="M721" s="280" t="s">
        <v>453</v>
      </c>
      <c r="N721" s="280">
        <v>30</v>
      </c>
      <c r="O721" s="280"/>
      <c r="P721" s="323"/>
      <c r="Q721" s="512"/>
    </row>
    <row r="722" spans="2:17" x14ac:dyDescent="0.2">
      <c r="B722" s="317">
        <v>77</v>
      </c>
      <c r="C722" s="291" t="s">
        <v>357</v>
      </c>
      <c r="D722" s="317" t="s">
        <v>29</v>
      </c>
      <c r="E722" s="317" t="s">
        <v>30</v>
      </c>
      <c r="F722" s="290">
        <v>45680</v>
      </c>
      <c r="G722" s="280">
        <v>36.369999999999997</v>
      </c>
      <c r="H722" s="702" t="s">
        <v>172</v>
      </c>
      <c r="I722" s="702"/>
      <c r="J722" s="702"/>
      <c r="K722" s="702"/>
      <c r="L722" s="290">
        <v>45685</v>
      </c>
      <c r="M722" s="280" t="s">
        <v>476</v>
      </c>
      <c r="N722" s="280">
        <v>27</v>
      </c>
      <c r="O722" s="280"/>
      <c r="P722" s="512" t="s">
        <v>172</v>
      </c>
      <c r="Q722" s="512" t="s">
        <v>172</v>
      </c>
    </row>
    <row r="723" spans="2:17" ht="12.75" customHeight="1" x14ac:dyDescent="0.2">
      <c r="B723" s="317">
        <v>78</v>
      </c>
      <c r="C723" s="291" t="s">
        <v>280</v>
      </c>
      <c r="D723" s="317" t="s">
        <v>29</v>
      </c>
      <c r="E723" s="317" t="s">
        <v>30</v>
      </c>
      <c r="F723" s="290">
        <v>45673</v>
      </c>
      <c r="G723" s="280">
        <v>36.369999999999997</v>
      </c>
      <c r="H723" s="702" t="s">
        <v>172</v>
      </c>
      <c r="I723" s="702"/>
      <c r="J723" s="702"/>
      <c r="K723" s="702"/>
      <c r="L723" s="290">
        <v>45687</v>
      </c>
      <c r="M723" s="280" t="s">
        <v>443</v>
      </c>
      <c r="N723" s="280">
        <v>25</v>
      </c>
      <c r="O723" s="280"/>
      <c r="P723" s="323"/>
      <c r="Q723" s="512"/>
    </row>
    <row r="724" spans="2:17" ht="12.75" customHeight="1" x14ac:dyDescent="0.2">
      <c r="B724" s="317">
        <v>79</v>
      </c>
      <c r="C724" s="291" t="s">
        <v>316</v>
      </c>
      <c r="D724" s="317" t="s">
        <v>29</v>
      </c>
      <c r="E724" s="317" t="s">
        <v>456</v>
      </c>
      <c r="F724" s="290">
        <v>45679</v>
      </c>
      <c r="G724" s="280">
        <v>36.369999999999997</v>
      </c>
      <c r="H724" s="702" t="s">
        <v>172</v>
      </c>
      <c r="I724" s="702"/>
      <c r="J724" s="702"/>
      <c r="K724" s="702"/>
      <c r="L724" s="290">
        <v>45687</v>
      </c>
      <c r="M724" s="280" t="s">
        <v>453</v>
      </c>
      <c r="N724" s="280">
        <v>30</v>
      </c>
      <c r="O724" s="280"/>
      <c r="P724" s="323"/>
      <c r="Q724" s="512" t="s">
        <v>172</v>
      </c>
    </row>
    <row r="725" spans="2:17" x14ac:dyDescent="0.2">
      <c r="B725" s="317">
        <v>80</v>
      </c>
      <c r="C725" s="291" t="s">
        <v>359</v>
      </c>
      <c r="D725" s="317" t="s">
        <v>34</v>
      </c>
      <c r="E725" s="317" t="s">
        <v>30</v>
      </c>
      <c r="F725" s="290">
        <v>45685</v>
      </c>
      <c r="G725" s="280">
        <v>37.93</v>
      </c>
      <c r="H725" s="702" t="s">
        <v>172</v>
      </c>
      <c r="I725" s="702"/>
      <c r="J725" s="702"/>
      <c r="K725" s="702"/>
      <c r="L725" s="290">
        <v>45691</v>
      </c>
      <c r="M725" s="280" t="s">
        <v>476</v>
      </c>
      <c r="N725" s="280">
        <v>27</v>
      </c>
      <c r="O725" s="280"/>
      <c r="P725" s="512" t="s">
        <v>172</v>
      </c>
      <c r="Q725" s="512" t="s">
        <v>172</v>
      </c>
    </row>
    <row r="726" spans="2:17" ht="12.75" customHeight="1" x14ac:dyDescent="0.2">
      <c r="B726" s="317">
        <v>81</v>
      </c>
      <c r="C726" s="291" t="s">
        <v>308</v>
      </c>
      <c r="D726" s="317" t="s">
        <v>29</v>
      </c>
      <c r="E726" s="317" t="s">
        <v>462</v>
      </c>
      <c r="F726" s="290">
        <v>45687</v>
      </c>
      <c r="G726" s="280">
        <v>36.369999999999997</v>
      </c>
      <c r="H726" s="702" t="s">
        <v>172</v>
      </c>
      <c r="I726" s="702"/>
      <c r="J726" s="702"/>
      <c r="K726" s="702"/>
      <c r="L726" s="290">
        <v>45691</v>
      </c>
      <c r="M726" s="280" t="s">
        <v>453</v>
      </c>
      <c r="N726" s="280">
        <v>25</v>
      </c>
      <c r="O726" s="280"/>
      <c r="P726" s="323"/>
      <c r="Q726" s="512"/>
    </row>
    <row r="727" spans="2:17" ht="12.75" customHeight="1" x14ac:dyDescent="0.2">
      <c r="B727" s="317">
        <v>82</v>
      </c>
      <c r="C727" s="291" t="s">
        <v>290</v>
      </c>
      <c r="D727" s="317" t="s">
        <v>29</v>
      </c>
      <c r="E727" s="317" t="s">
        <v>456</v>
      </c>
      <c r="F727" s="290">
        <v>45692</v>
      </c>
      <c r="G727" s="280">
        <v>36.369999999999997</v>
      </c>
      <c r="H727" s="702" t="s">
        <v>172</v>
      </c>
      <c r="I727" s="702"/>
      <c r="J727" s="702"/>
      <c r="K727" s="702"/>
      <c r="L727" s="290">
        <v>45696</v>
      </c>
      <c r="M727" s="280" t="s">
        <v>453</v>
      </c>
      <c r="N727" s="280">
        <v>30</v>
      </c>
      <c r="O727" s="280"/>
      <c r="P727" s="323"/>
      <c r="Q727" s="512"/>
    </row>
    <row r="728" spans="2:17" x14ac:dyDescent="0.2">
      <c r="B728" s="317">
        <v>83</v>
      </c>
      <c r="C728" s="291" t="s">
        <v>362</v>
      </c>
      <c r="D728" s="317" t="s">
        <v>29</v>
      </c>
      <c r="E728" s="317" t="s">
        <v>337</v>
      </c>
      <c r="F728" s="290">
        <v>45692</v>
      </c>
      <c r="G728" s="280">
        <v>36.369999999999997</v>
      </c>
      <c r="H728" s="702" t="s">
        <v>172</v>
      </c>
      <c r="I728" s="702"/>
      <c r="J728" s="702"/>
      <c r="K728" s="702"/>
      <c r="L728" s="290">
        <v>45697</v>
      </c>
      <c r="M728" s="280" t="s">
        <v>476</v>
      </c>
      <c r="N728" s="280">
        <v>25</v>
      </c>
      <c r="O728" s="280"/>
      <c r="P728" s="512" t="s">
        <v>172</v>
      </c>
      <c r="Q728" s="512" t="s">
        <v>172</v>
      </c>
    </row>
    <row r="729" spans="2:17" ht="12.75" customHeight="1" x14ac:dyDescent="0.2">
      <c r="B729" s="317">
        <v>84</v>
      </c>
      <c r="C729" s="291" t="s">
        <v>169</v>
      </c>
      <c r="D729" s="317" t="s">
        <v>29</v>
      </c>
      <c r="E729" s="317" t="s">
        <v>337</v>
      </c>
      <c r="F729" s="290">
        <v>45687</v>
      </c>
      <c r="G729" s="280">
        <v>36.369999999999997</v>
      </c>
      <c r="H729" s="702" t="s">
        <v>172</v>
      </c>
      <c r="I729" s="702"/>
      <c r="J729" s="702"/>
      <c r="K729" s="702"/>
      <c r="L729" s="290">
        <v>45698</v>
      </c>
      <c r="M729" s="280" t="s">
        <v>443</v>
      </c>
      <c r="N729" s="280">
        <v>30</v>
      </c>
      <c r="O729" s="280"/>
      <c r="P729" s="323"/>
      <c r="Q729" s="512"/>
    </row>
    <row r="730" spans="2:17" ht="12.75" customHeight="1" x14ac:dyDescent="0.2">
      <c r="B730" s="317">
        <v>85</v>
      </c>
      <c r="C730" s="291" t="s">
        <v>289</v>
      </c>
      <c r="D730" s="317" t="s">
        <v>34</v>
      </c>
      <c r="E730" s="317" t="s">
        <v>455</v>
      </c>
      <c r="F730" s="254">
        <v>45697</v>
      </c>
      <c r="G730" s="280">
        <v>37.93</v>
      </c>
      <c r="H730" s="702" t="s">
        <v>172</v>
      </c>
      <c r="I730" s="702"/>
      <c r="J730" s="702"/>
      <c r="K730" s="702"/>
      <c r="L730" s="290">
        <v>45700</v>
      </c>
      <c r="M730" s="280" t="s">
        <v>453</v>
      </c>
      <c r="N730" s="280">
        <v>27</v>
      </c>
      <c r="O730" s="280"/>
      <c r="P730" s="323"/>
      <c r="Q730" s="512"/>
    </row>
    <row r="731" spans="2:17" x14ac:dyDescent="0.2">
      <c r="B731" s="317">
        <v>86</v>
      </c>
      <c r="C731" s="284" t="s">
        <v>363</v>
      </c>
      <c r="D731" s="317" t="s">
        <v>29</v>
      </c>
      <c r="E731" s="317" t="s">
        <v>432</v>
      </c>
      <c r="F731" s="254">
        <v>45698</v>
      </c>
      <c r="G731" s="280">
        <v>36.369999999999997</v>
      </c>
      <c r="H731" s="702" t="s">
        <v>172</v>
      </c>
      <c r="I731" s="702"/>
      <c r="J731" s="702"/>
      <c r="K731" s="702"/>
      <c r="L731" s="290">
        <v>45702</v>
      </c>
      <c r="M731" s="280" t="s">
        <v>476</v>
      </c>
      <c r="N731" s="280">
        <v>27</v>
      </c>
      <c r="O731" s="280"/>
      <c r="P731" s="512" t="s">
        <v>172</v>
      </c>
      <c r="Q731" s="512" t="s">
        <v>172</v>
      </c>
    </row>
    <row r="732" spans="2:17" x14ac:dyDescent="0.2">
      <c r="B732" s="317">
        <v>87</v>
      </c>
      <c r="C732" s="284" t="s">
        <v>339</v>
      </c>
      <c r="D732" s="317" t="s">
        <v>29</v>
      </c>
      <c r="E732" s="317" t="s">
        <v>30</v>
      </c>
      <c r="F732" s="254">
        <v>45698</v>
      </c>
      <c r="G732" s="280">
        <v>36.369999999999997</v>
      </c>
      <c r="H732" s="702" t="s">
        <v>172</v>
      </c>
      <c r="I732" s="702"/>
      <c r="J732" s="702"/>
      <c r="K732" s="702"/>
      <c r="L732" s="290">
        <v>45706</v>
      </c>
      <c r="M732" s="258" t="s">
        <v>614</v>
      </c>
      <c r="N732" s="280">
        <v>25</v>
      </c>
      <c r="O732" s="280"/>
      <c r="P732" s="512" t="s">
        <v>172</v>
      </c>
      <c r="Q732" s="512" t="s">
        <v>172</v>
      </c>
    </row>
    <row r="733" spans="2:17" ht="12.75" customHeight="1" x14ac:dyDescent="0.2">
      <c r="B733" s="317">
        <v>88</v>
      </c>
      <c r="C733" s="284" t="s">
        <v>291</v>
      </c>
      <c r="D733" s="317" t="s">
        <v>43</v>
      </c>
      <c r="E733" s="317" t="s">
        <v>456</v>
      </c>
      <c r="F733" s="254">
        <v>45701</v>
      </c>
      <c r="G733" s="258">
        <v>43.08</v>
      </c>
      <c r="H733" s="702" t="s">
        <v>172</v>
      </c>
      <c r="I733" s="702"/>
      <c r="J733" s="702"/>
      <c r="K733" s="702"/>
      <c r="L733" s="290">
        <v>45707</v>
      </c>
      <c r="M733" s="280" t="s">
        <v>453</v>
      </c>
      <c r="N733" s="280">
        <v>30</v>
      </c>
      <c r="O733" s="280"/>
      <c r="P733" s="323"/>
      <c r="Q733" s="512"/>
    </row>
    <row r="734" spans="2:17" x14ac:dyDescent="0.2">
      <c r="B734" s="317">
        <v>89</v>
      </c>
      <c r="C734" s="284" t="s">
        <v>364</v>
      </c>
      <c r="D734" s="317" t="s">
        <v>34</v>
      </c>
      <c r="E734" s="317" t="s">
        <v>30</v>
      </c>
      <c r="F734" s="254">
        <v>45703</v>
      </c>
      <c r="G734" s="258">
        <v>37.93</v>
      </c>
      <c r="H734" s="702" t="s">
        <v>172</v>
      </c>
      <c r="I734" s="702"/>
      <c r="J734" s="702"/>
      <c r="K734" s="702"/>
      <c r="L734" s="290">
        <v>45708</v>
      </c>
      <c r="M734" s="280" t="s">
        <v>476</v>
      </c>
      <c r="N734" s="280">
        <v>27</v>
      </c>
      <c r="O734" s="280"/>
      <c r="P734" s="512" t="s">
        <v>172</v>
      </c>
      <c r="Q734" s="512" t="s">
        <v>172</v>
      </c>
    </row>
    <row r="735" spans="2:17" ht="12.75" customHeight="1" x14ac:dyDescent="0.2">
      <c r="B735" s="317">
        <v>90</v>
      </c>
      <c r="C735" s="284" t="s">
        <v>60</v>
      </c>
      <c r="D735" s="317" t="s">
        <v>43</v>
      </c>
      <c r="E735" s="317" t="s">
        <v>30</v>
      </c>
      <c r="F735" s="254">
        <v>45699</v>
      </c>
      <c r="G735" s="258">
        <v>43.08</v>
      </c>
      <c r="H735" s="702" t="s">
        <v>172</v>
      </c>
      <c r="I735" s="702"/>
      <c r="J735" s="702"/>
      <c r="K735" s="702"/>
      <c r="L735" s="254">
        <v>45709</v>
      </c>
      <c r="M735" s="280" t="s">
        <v>443</v>
      </c>
      <c r="N735" s="280">
        <v>25</v>
      </c>
      <c r="O735" s="280"/>
      <c r="P735" s="512" t="s">
        <v>172</v>
      </c>
      <c r="Q735" s="512" t="s">
        <v>172</v>
      </c>
    </row>
    <row r="736" spans="2:17" ht="12.75" customHeight="1" x14ac:dyDescent="0.2">
      <c r="B736" s="317">
        <v>91</v>
      </c>
      <c r="C736" s="284" t="s">
        <v>292</v>
      </c>
      <c r="D736" s="317" t="s">
        <v>34</v>
      </c>
      <c r="E736" s="317" t="s">
        <v>456</v>
      </c>
      <c r="F736" s="254">
        <v>45707</v>
      </c>
      <c r="G736" s="258">
        <v>37.93</v>
      </c>
      <c r="H736" s="702" t="s">
        <v>172</v>
      </c>
      <c r="I736" s="702"/>
      <c r="J736" s="702"/>
      <c r="K736" s="702"/>
      <c r="L736" s="254">
        <v>45711</v>
      </c>
      <c r="M736" s="258" t="s">
        <v>453</v>
      </c>
      <c r="N736" s="280">
        <v>30</v>
      </c>
      <c r="O736" s="280"/>
      <c r="P736" s="323"/>
      <c r="Q736" s="512"/>
    </row>
    <row r="737" spans="2:17" x14ac:dyDescent="0.2">
      <c r="B737" s="317">
        <v>92</v>
      </c>
      <c r="C737" s="284" t="s">
        <v>42</v>
      </c>
      <c r="D737" s="317" t="s">
        <v>43</v>
      </c>
      <c r="E737" s="317" t="s">
        <v>30</v>
      </c>
      <c r="F737" s="254">
        <v>45707</v>
      </c>
      <c r="G737" s="258">
        <v>43.08</v>
      </c>
      <c r="H737" s="702" t="s">
        <v>172</v>
      </c>
      <c r="I737" s="702"/>
      <c r="J737" s="702"/>
      <c r="K737" s="702"/>
      <c r="L737" s="254">
        <v>45713</v>
      </c>
      <c r="M737" s="258" t="s">
        <v>614</v>
      </c>
      <c r="N737" s="280">
        <v>27</v>
      </c>
      <c r="O737" s="280"/>
      <c r="P737" s="512" t="s">
        <v>172</v>
      </c>
      <c r="Q737" s="512" t="s">
        <v>172</v>
      </c>
    </row>
    <row r="738" spans="2:17" x14ac:dyDescent="0.2">
      <c r="B738" s="317">
        <v>93</v>
      </c>
      <c r="C738" s="284" t="s">
        <v>360</v>
      </c>
      <c r="D738" s="317" t="s">
        <v>29</v>
      </c>
      <c r="E738" s="317" t="s">
        <v>432</v>
      </c>
      <c r="F738" s="254">
        <v>45709</v>
      </c>
      <c r="G738" s="258">
        <v>36.369999999999997</v>
      </c>
      <c r="H738" s="702" t="s">
        <v>172</v>
      </c>
      <c r="I738" s="702"/>
      <c r="J738" s="702"/>
      <c r="K738" s="702"/>
      <c r="L738" s="254">
        <v>45713</v>
      </c>
      <c r="M738" s="280" t="s">
        <v>476</v>
      </c>
      <c r="N738" s="280">
        <v>25</v>
      </c>
      <c r="O738" s="280"/>
      <c r="P738" s="512" t="s">
        <v>172</v>
      </c>
      <c r="Q738" s="512" t="s">
        <v>172</v>
      </c>
    </row>
    <row r="739" spans="2:17" ht="12.75" customHeight="1" x14ac:dyDescent="0.2">
      <c r="B739" s="317">
        <v>94</v>
      </c>
      <c r="C739" s="291" t="s">
        <v>294</v>
      </c>
      <c r="D739" s="280" t="s">
        <v>159</v>
      </c>
      <c r="E739" s="280" t="s">
        <v>463</v>
      </c>
      <c r="F739" s="290">
        <v>45712</v>
      </c>
      <c r="G739" s="280">
        <v>43.08</v>
      </c>
      <c r="H739" s="702" t="s">
        <v>172</v>
      </c>
      <c r="I739" s="702"/>
      <c r="J739" s="702"/>
      <c r="K739" s="702"/>
      <c r="L739" s="290">
        <v>45715</v>
      </c>
      <c r="M739" s="280" t="s">
        <v>453</v>
      </c>
      <c r="N739" s="280">
        <v>27</v>
      </c>
      <c r="O739" s="280"/>
      <c r="P739" s="323"/>
      <c r="Q739" s="512"/>
    </row>
    <row r="740" spans="2:17" s="221" customFormat="1" ht="12.75" customHeight="1" x14ac:dyDescent="0.2">
      <c r="B740" s="317">
        <v>95</v>
      </c>
      <c r="C740" s="291" t="s">
        <v>283</v>
      </c>
      <c r="D740" s="317" t="s">
        <v>29</v>
      </c>
      <c r="E740" s="317" t="s">
        <v>455</v>
      </c>
      <c r="F740" s="290">
        <v>45710</v>
      </c>
      <c r="G740" s="280">
        <v>36.369999999999997</v>
      </c>
      <c r="H740" s="702" t="s">
        <v>172</v>
      </c>
      <c r="I740" s="702"/>
      <c r="J740" s="702"/>
      <c r="K740" s="702"/>
      <c r="L740" s="290">
        <v>45717</v>
      </c>
      <c r="M740" s="280" t="s">
        <v>443</v>
      </c>
      <c r="N740" s="280">
        <v>25</v>
      </c>
      <c r="O740" s="280"/>
      <c r="P740" s="323"/>
      <c r="Q740" s="512"/>
    </row>
    <row r="741" spans="2:17" x14ac:dyDescent="0.2">
      <c r="B741" s="317">
        <v>96</v>
      </c>
      <c r="C741" s="284" t="s">
        <v>347</v>
      </c>
      <c r="D741" s="317" t="s">
        <v>167</v>
      </c>
      <c r="E741" s="317" t="s">
        <v>432</v>
      </c>
      <c r="F741" s="254">
        <v>45714</v>
      </c>
      <c r="G741" s="258">
        <v>37.93</v>
      </c>
      <c r="H741" s="702" t="s">
        <v>172</v>
      </c>
      <c r="I741" s="702"/>
      <c r="J741" s="702"/>
      <c r="K741" s="702"/>
      <c r="L741" s="290">
        <v>45717</v>
      </c>
      <c r="M741" s="280" t="s">
        <v>476</v>
      </c>
      <c r="N741" s="280">
        <v>23</v>
      </c>
      <c r="O741" s="280"/>
      <c r="P741" s="512" t="s">
        <v>172</v>
      </c>
      <c r="Q741" s="512" t="s">
        <v>172</v>
      </c>
    </row>
    <row r="742" spans="2:17" ht="12.75" customHeight="1" x14ac:dyDescent="0.2">
      <c r="B742" s="317">
        <v>97</v>
      </c>
      <c r="C742" s="284" t="s">
        <v>293</v>
      </c>
      <c r="D742" s="317" t="s">
        <v>29</v>
      </c>
      <c r="E742" s="317" t="s">
        <v>462</v>
      </c>
      <c r="F742" s="254">
        <v>45716</v>
      </c>
      <c r="G742" s="280">
        <v>36.369999999999997</v>
      </c>
      <c r="H742" s="702" t="s">
        <v>172</v>
      </c>
      <c r="I742" s="702"/>
      <c r="J742" s="702"/>
      <c r="K742" s="702"/>
      <c r="L742" s="254">
        <v>45718</v>
      </c>
      <c r="M742" s="258" t="s">
        <v>453</v>
      </c>
      <c r="N742" s="280">
        <v>25</v>
      </c>
      <c r="O742" s="280"/>
      <c r="P742" s="323"/>
      <c r="Q742" s="512"/>
    </row>
    <row r="743" spans="2:17" ht="12.75" customHeight="1" x14ac:dyDescent="0.2">
      <c r="B743" s="317">
        <v>98</v>
      </c>
      <c r="C743" s="284" t="s">
        <v>396</v>
      </c>
      <c r="D743" s="317" t="s">
        <v>29</v>
      </c>
      <c r="E743" s="317" t="s">
        <v>432</v>
      </c>
      <c r="F743" s="254">
        <v>45714</v>
      </c>
      <c r="G743" s="280">
        <v>36.369999999999997</v>
      </c>
      <c r="H743" s="702" t="s">
        <v>172</v>
      </c>
      <c r="I743" s="702"/>
      <c r="J743" s="702"/>
      <c r="K743" s="702"/>
      <c r="L743" s="254">
        <v>45718</v>
      </c>
      <c r="M743" s="258" t="s">
        <v>614</v>
      </c>
      <c r="N743" s="280">
        <v>27</v>
      </c>
      <c r="O743" s="280"/>
      <c r="P743" s="323"/>
      <c r="Q743" s="512"/>
    </row>
    <row r="744" spans="2:17" ht="12.75" customHeight="1" x14ac:dyDescent="0.2">
      <c r="B744" s="317">
        <v>99</v>
      </c>
      <c r="C744" s="291" t="s">
        <v>295</v>
      </c>
      <c r="D744" s="280" t="s">
        <v>43</v>
      </c>
      <c r="E744" s="280" t="s">
        <v>462</v>
      </c>
      <c r="F744" s="290">
        <v>45719</v>
      </c>
      <c r="G744" s="280">
        <v>43.08</v>
      </c>
      <c r="H744" s="702" t="s">
        <v>172</v>
      </c>
      <c r="I744" s="702"/>
      <c r="J744" s="702"/>
      <c r="K744" s="702"/>
      <c r="L744" s="254">
        <v>45723</v>
      </c>
      <c r="M744" s="280" t="s">
        <v>453</v>
      </c>
      <c r="N744" s="280">
        <v>25</v>
      </c>
      <c r="O744" s="280"/>
      <c r="P744" s="323"/>
      <c r="Q744" s="512"/>
    </row>
    <row r="745" spans="2:17" x14ac:dyDescent="0.2">
      <c r="B745" s="317">
        <v>100</v>
      </c>
      <c r="C745" s="291" t="s">
        <v>358</v>
      </c>
      <c r="D745" s="280" t="s">
        <v>131</v>
      </c>
      <c r="E745" s="280" t="s">
        <v>336</v>
      </c>
      <c r="F745" s="290">
        <v>45718</v>
      </c>
      <c r="G745" s="280">
        <v>54.66</v>
      </c>
      <c r="H745" s="702" t="s">
        <v>172</v>
      </c>
      <c r="I745" s="702"/>
      <c r="J745" s="702"/>
      <c r="K745" s="702"/>
      <c r="L745" s="254">
        <v>45723</v>
      </c>
      <c r="M745" s="280" t="s">
        <v>476</v>
      </c>
      <c r="N745" s="280">
        <v>27</v>
      </c>
      <c r="O745" s="280"/>
      <c r="P745" s="512" t="s">
        <v>172</v>
      </c>
      <c r="Q745" s="512" t="s">
        <v>172</v>
      </c>
    </row>
    <row r="746" spans="2:17" ht="12.75" customHeight="1" x14ac:dyDescent="0.2">
      <c r="B746" s="317">
        <v>101</v>
      </c>
      <c r="C746" s="291" t="s">
        <v>398</v>
      </c>
      <c r="D746" s="317" t="s">
        <v>34</v>
      </c>
      <c r="E746" s="317" t="s">
        <v>462</v>
      </c>
      <c r="F746" s="290">
        <v>45719</v>
      </c>
      <c r="G746" s="280">
        <v>37.93</v>
      </c>
      <c r="H746" s="702" t="s">
        <v>172</v>
      </c>
      <c r="I746" s="702"/>
      <c r="J746" s="702"/>
      <c r="K746" s="702"/>
      <c r="L746" s="290">
        <v>45725</v>
      </c>
      <c r="M746" s="280" t="s">
        <v>614</v>
      </c>
      <c r="N746" s="280">
        <v>30</v>
      </c>
      <c r="O746" s="280"/>
      <c r="P746" s="323"/>
      <c r="Q746" s="512"/>
    </row>
    <row r="747" spans="2:17" s="221" customFormat="1" ht="12.75" customHeight="1" x14ac:dyDescent="0.2">
      <c r="B747" s="317">
        <v>102</v>
      </c>
      <c r="C747" s="291" t="s">
        <v>288</v>
      </c>
      <c r="D747" s="280" t="s">
        <v>135</v>
      </c>
      <c r="E747" s="280" t="s">
        <v>30</v>
      </c>
      <c r="F747" s="290">
        <v>45724</v>
      </c>
      <c r="G747" s="280">
        <v>54.66</v>
      </c>
      <c r="H747" s="702" t="s">
        <v>172</v>
      </c>
      <c r="I747" s="702"/>
      <c r="J747" s="702"/>
      <c r="K747" s="702"/>
      <c r="L747" s="290">
        <v>45727</v>
      </c>
      <c r="M747" s="280" t="s">
        <v>453</v>
      </c>
      <c r="N747" s="280">
        <v>27</v>
      </c>
      <c r="O747" s="280"/>
      <c r="P747" s="512" t="s">
        <v>172</v>
      </c>
      <c r="Q747" s="512" t="s">
        <v>172</v>
      </c>
    </row>
    <row r="748" spans="2:17" x14ac:dyDescent="0.2">
      <c r="B748" s="317">
        <v>103</v>
      </c>
      <c r="C748" s="291" t="s">
        <v>65</v>
      </c>
      <c r="D748" s="280" t="s">
        <v>43</v>
      </c>
      <c r="E748" s="280" t="s">
        <v>30</v>
      </c>
      <c r="F748" s="290">
        <v>45719</v>
      </c>
      <c r="G748" s="280">
        <v>43.08</v>
      </c>
      <c r="H748" s="702" t="s">
        <v>172</v>
      </c>
      <c r="I748" s="702"/>
      <c r="J748" s="702"/>
      <c r="K748" s="702"/>
      <c r="L748" s="290">
        <v>45728</v>
      </c>
      <c r="M748" s="280" t="s">
        <v>443</v>
      </c>
      <c r="N748" s="280">
        <v>25</v>
      </c>
      <c r="O748" s="280"/>
      <c r="P748" s="512" t="s">
        <v>172</v>
      </c>
      <c r="Q748" s="512" t="s">
        <v>172</v>
      </c>
    </row>
    <row r="749" spans="2:17" x14ac:dyDescent="0.2">
      <c r="B749" s="317">
        <v>104</v>
      </c>
      <c r="C749" s="291" t="s">
        <v>366</v>
      </c>
      <c r="D749" s="317" t="s">
        <v>29</v>
      </c>
      <c r="E749" s="317" t="s">
        <v>432</v>
      </c>
      <c r="F749" s="290">
        <v>45724</v>
      </c>
      <c r="G749" s="280">
        <v>36.369999999999997</v>
      </c>
      <c r="H749" s="702" t="s">
        <v>172</v>
      </c>
      <c r="I749" s="702"/>
      <c r="J749" s="702"/>
      <c r="K749" s="702"/>
      <c r="L749" s="290">
        <v>45728</v>
      </c>
      <c r="M749" s="280" t="s">
        <v>476</v>
      </c>
      <c r="N749" s="280">
        <v>23</v>
      </c>
      <c r="O749" s="280"/>
      <c r="P749" s="512" t="s">
        <v>172</v>
      </c>
      <c r="Q749" s="512" t="s">
        <v>172</v>
      </c>
    </row>
    <row r="750" spans="2:17" ht="12.75" customHeight="1" x14ac:dyDescent="0.2">
      <c r="B750" s="317">
        <v>105</v>
      </c>
      <c r="C750" s="291" t="s">
        <v>399</v>
      </c>
      <c r="D750" s="280" t="s">
        <v>29</v>
      </c>
      <c r="E750" s="280" t="s">
        <v>30</v>
      </c>
      <c r="F750" s="290">
        <v>45726</v>
      </c>
      <c r="G750" s="280">
        <v>36.369999999999997</v>
      </c>
      <c r="H750" s="702" t="s">
        <v>172</v>
      </c>
      <c r="I750" s="702"/>
      <c r="J750" s="702"/>
      <c r="K750" s="702"/>
      <c r="L750" s="290">
        <v>45729</v>
      </c>
      <c r="M750" s="280" t="s">
        <v>614</v>
      </c>
      <c r="N750" s="280">
        <v>25</v>
      </c>
      <c r="O750" s="280"/>
      <c r="P750" s="323"/>
      <c r="Q750" s="512"/>
    </row>
    <row r="751" spans="2:17" ht="12.75" customHeight="1" x14ac:dyDescent="0.2">
      <c r="B751" s="317">
        <v>106</v>
      </c>
      <c r="C751" s="291" t="s">
        <v>296</v>
      </c>
      <c r="D751" s="317" t="s">
        <v>29</v>
      </c>
      <c r="E751" s="317" t="s">
        <v>455</v>
      </c>
      <c r="F751" s="290">
        <v>45728</v>
      </c>
      <c r="G751" s="280">
        <v>36.369999999999997</v>
      </c>
      <c r="H751" s="702" t="s">
        <v>172</v>
      </c>
      <c r="I751" s="702"/>
      <c r="J751" s="702"/>
      <c r="K751" s="702"/>
      <c r="L751" s="290">
        <v>45732</v>
      </c>
      <c r="M751" s="280" t="s">
        <v>453</v>
      </c>
      <c r="N751" s="280">
        <v>25</v>
      </c>
      <c r="O751" s="280"/>
      <c r="P751" s="323"/>
      <c r="Q751" s="512"/>
    </row>
    <row r="752" spans="2:17" ht="12.75" customHeight="1" x14ac:dyDescent="0.2">
      <c r="B752" s="280">
        <v>107</v>
      </c>
      <c r="C752" s="291" t="s">
        <v>370</v>
      </c>
      <c r="D752" s="317" t="s">
        <v>29</v>
      </c>
      <c r="E752" s="317" t="s">
        <v>30</v>
      </c>
      <c r="F752" s="290">
        <v>45729</v>
      </c>
      <c r="G752" s="280">
        <v>36.369999999999997</v>
      </c>
      <c r="H752" s="702" t="s">
        <v>172</v>
      </c>
      <c r="I752" s="702"/>
      <c r="J752" s="702"/>
      <c r="K752" s="702"/>
      <c r="L752" s="290">
        <v>45733</v>
      </c>
      <c r="M752" s="280" t="s">
        <v>476</v>
      </c>
      <c r="N752" s="280">
        <v>27</v>
      </c>
      <c r="O752" s="280"/>
      <c r="P752" s="323"/>
      <c r="Q752" s="512"/>
    </row>
    <row r="753" spans="2:17" ht="12.75" customHeight="1" x14ac:dyDescent="0.2">
      <c r="B753" s="280">
        <v>108</v>
      </c>
      <c r="C753" s="291" t="s">
        <v>297</v>
      </c>
      <c r="D753" s="317" t="s">
        <v>34</v>
      </c>
      <c r="E753" s="317" t="s">
        <v>456</v>
      </c>
      <c r="F753" s="290">
        <v>45732</v>
      </c>
      <c r="G753" s="280">
        <v>37.93</v>
      </c>
      <c r="H753" s="702" t="s">
        <v>172</v>
      </c>
      <c r="I753" s="702"/>
      <c r="J753" s="702"/>
      <c r="K753" s="702"/>
      <c r="L753" s="290">
        <v>45735</v>
      </c>
      <c r="M753" s="280" t="s">
        <v>453</v>
      </c>
      <c r="N753" s="280">
        <v>25</v>
      </c>
      <c r="O753" s="280"/>
      <c r="P753" s="323"/>
      <c r="Q753" s="512"/>
    </row>
    <row r="754" spans="2:17" ht="12.75" customHeight="1" x14ac:dyDescent="0.2">
      <c r="B754" s="280">
        <v>109</v>
      </c>
      <c r="C754" s="291" t="s">
        <v>400</v>
      </c>
      <c r="D754" s="317" t="s">
        <v>29</v>
      </c>
      <c r="E754" s="317" t="s">
        <v>462</v>
      </c>
      <c r="F754" s="290">
        <v>45731</v>
      </c>
      <c r="G754" s="280">
        <v>36.369999999999997</v>
      </c>
      <c r="H754" s="702" t="s">
        <v>172</v>
      </c>
      <c r="I754" s="702"/>
      <c r="J754" s="702"/>
      <c r="K754" s="702"/>
      <c r="L754" s="290">
        <v>45735</v>
      </c>
      <c r="M754" s="280" t="s">
        <v>614</v>
      </c>
      <c r="N754" s="280">
        <v>25</v>
      </c>
      <c r="O754" s="280"/>
      <c r="P754" s="323"/>
      <c r="Q754" s="512"/>
    </row>
    <row r="755" spans="2:17" s="221" customFormat="1" ht="12.75" customHeight="1" x14ac:dyDescent="0.2">
      <c r="B755" s="280">
        <v>110</v>
      </c>
      <c r="C755" s="291" t="s">
        <v>298</v>
      </c>
      <c r="D755" s="317" t="str">
        <f t="shared" ref="D755:D783" si="13">VLOOKUP(C755,$C$9:$D$222,2,FALSE)</f>
        <v>3DA+0</v>
      </c>
      <c r="E755" s="317" t="s">
        <v>456</v>
      </c>
      <c r="F755" s="290">
        <v>45736</v>
      </c>
      <c r="G755" s="280">
        <v>36.369999999999997</v>
      </c>
      <c r="H755" s="702" t="s">
        <v>172</v>
      </c>
      <c r="I755" s="702"/>
      <c r="J755" s="702"/>
      <c r="K755" s="702"/>
      <c r="L755" s="290">
        <v>45738</v>
      </c>
      <c r="M755" s="280" t="s">
        <v>453</v>
      </c>
      <c r="N755" s="280">
        <v>25</v>
      </c>
      <c r="O755" s="280"/>
      <c r="P755" s="323" t="s">
        <v>172</v>
      </c>
      <c r="Q755" s="512" t="s">
        <v>172</v>
      </c>
    </row>
    <row r="756" spans="2:17" s="221" customFormat="1" ht="12.75" customHeight="1" x14ac:dyDescent="0.2">
      <c r="B756" s="280">
        <v>111</v>
      </c>
      <c r="C756" s="291" t="s">
        <v>401</v>
      </c>
      <c r="D756" s="317" t="str">
        <f t="shared" si="13"/>
        <v>3DA+0</v>
      </c>
      <c r="E756" s="317" t="s">
        <v>456</v>
      </c>
      <c r="F756" s="290">
        <v>45736</v>
      </c>
      <c r="G756" s="280">
        <v>36.369999999999997</v>
      </c>
      <c r="H756" s="702" t="s">
        <v>172</v>
      </c>
      <c r="I756" s="702"/>
      <c r="J756" s="702"/>
      <c r="K756" s="702"/>
      <c r="L756" s="290">
        <v>45739</v>
      </c>
      <c r="M756" s="280" t="s">
        <v>614</v>
      </c>
      <c r="N756" s="280">
        <v>27</v>
      </c>
      <c r="O756" s="280"/>
      <c r="P756" s="323"/>
      <c r="Q756" s="512"/>
    </row>
    <row r="757" spans="2:17" s="221" customFormat="1" ht="14.25" customHeight="1" x14ac:dyDescent="0.2">
      <c r="B757" s="280">
        <v>112</v>
      </c>
      <c r="C757" s="291" t="s">
        <v>365</v>
      </c>
      <c r="D757" s="317" t="str">
        <f t="shared" si="13"/>
        <v xml:space="preserve">3DC1+0 </v>
      </c>
      <c r="E757" s="317" t="s">
        <v>30</v>
      </c>
      <c r="F757" s="290">
        <v>45733</v>
      </c>
      <c r="G757" s="305">
        <v>62.535277999999998</v>
      </c>
      <c r="H757" s="702" t="s">
        <v>172</v>
      </c>
      <c r="I757" s="702"/>
      <c r="J757" s="702"/>
      <c r="K757" s="702"/>
      <c r="L757" s="290">
        <v>45739</v>
      </c>
      <c r="M757" s="280" t="s">
        <v>476</v>
      </c>
      <c r="N757" s="280">
        <v>27</v>
      </c>
      <c r="O757" s="280"/>
      <c r="P757" s="512" t="s">
        <v>172</v>
      </c>
      <c r="Q757" s="512" t="s">
        <v>172</v>
      </c>
    </row>
    <row r="758" spans="2:17" ht="12.75" customHeight="1" x14ac:dyDescent="0.2">
      <c r="B758" s="280">
        <v>113</v>
      </c>
      <c r="C758" s="291" t="s">
        <v>302</v>
      </c>
      <c r="D758" s="317" t="str">
        <f t="shared" si="13"/>
        <v>3DA+0</v>
      </c>
      <c r="E758" s="317" t="str">
        <f>VLOOKUP(C758,$C$9:$E$273,3,FALSE)</f>
        <v xml:space="preserve">WBC </v>
      </c>
      <c r="F758" s="290">
        <v>45739</v>
      </c>
      <c r="G758" s="280">
        <v>36.369999999999997</v>
      </c>
      <c r="H758" s="702" t="s">
        <v>172</v>
      </c>
      <c r="I758" s="702"/>
      <c r="J758" s="702"/>
      <c r="K758" s="702"/>
      <c r="L758" s="290">
        <v>45742</v>
      </c>
      <c r="M758" s="280" t="s">
        <v>453</v>
      </c>
      <c r="N758" s="280">
        <v>27</v>
      </c>
      <c r="O758" s="280"/>
      <c r="P758" s="323"/>
      <c r="Q758" s="512"/>
    </row>
    <row r="759" spans="2:17" x14ac:dyDescent="0.2">
      <c r="B759" s="280">
        <v>114</v>
      </c>
      <c r="C759" s="291" t="s">
        <v>128</v>
      </c>
      <c r="D759" s="317" t="str">
        <f t="shared" si="13"/>
        <v>3DA+6</v>
      </c>
      <c r="E759" s="317" t="str">
        <f>VLOOKUP(C759,$C$9:$E$273,3,FALSE)</f>
        <v xml:space="preserve">WBC </v>
      </c>
      <c r="F759" s="290">
        <v>45729</v>
      </c>
      <c r="G759" s="280">
        <v>43.08</v>
      </c>
      <c r="H759" s="702" t="s">
        <v>172</v>
      </c>
      <c r="I759" s="702"/>
      <c r="J759" s="702"/>
      <c r="K759" s="702"/>
      <c r="L759" s="290">
        <v>45743</v>
      </c>
      <c r="M759" s="280" t="s">
        <v>443</v>
      </c>
      <c r="N759" s="280">
        <v>25</v>
      </c>
      <c r="O759" s="280"/>
      <c r="P759" s="512" t="s">
        <v>172</v>
      </c>
      <c r="Q759" s="512" t="s">
        <v>172</v>
      </c>
    </row>
    <row r="760" spans="2:17" ht="12" customHeight="1" x14ac:dyDescent="0.2">
      <c r="B760" s="280">
        <v>115</v>
      </c>
      <c r="C760" s="291" t="s">
        <v>367</v>
      </c>
      <c r="D760" s="317" t="str">
        <f t="shared" si="13"/>
        <v>3DA+3</v>
      </c>
      <c r="E760" s="317" t="str">
        <f>VLOOKUP(C760,$C$9:$E$273,3,FALSE)</f>
        <v>DFR</v>
      </c>
      <c r="F760" s="290">
        <v>45739</v>
      </c>
      <c r="G760" s="280">
        <v>37.93</v>
      </c>
      <c r="H760" s="702" t="s">
        <v>172</v>
      </c>
      <c r="I760" s="702"/>
      <c r="J760" s="702"/>
      <c r="K760" s="702"/>
      <c r="L760" s="290">
        <v>45743</v>
      </c>
      <c r="M760" s="280" t="s">
        <v>476</v>
      </c>
      <c r="N760" s="280">
        <v>25</v>
      </c>
      <c r="O760" s="280"/>
      <c r="P760" s="512" t="s">
        <v>172</v>
      </c>
      <c r="Q760" s="512" t="s">
        <v>172</v>
      </c>
    </row>
    <row r="761" spans="2:17" ht="12.75" customHeight="1" x14ac:dyDescent="0.2">
      <c r="B761" s="280">
        <v>116</v>
      </c>
      <c r="C761" s="291" t="s">
        <v>303</v>
      </c>
      <c r="D761" s="317" t="str">
        <f>VLOOKUP(C761,$C$9:$D$222,2,FALSE)</f>
        <v>3DA+3</v>
      </c>
      <c r="E761" s="317" t="str">
        <f>VLOOKUP(C761,$C$9:$E$273,3,FALSE)</f>
        <v xml:space="preserve">WET </v>
      </c>
      <c r="F761" s="290">
        <v>45743</v>
      </c>
      <c r="G761" s="280">
        <v>37.93</v>
      </c>
      <c r="H761" s="702" t="s">
        <v>172</v>
      </c>
      <c r="I761" s="702"/>
      <c r="J761" s="702"/>
      <c r="K761" s="702"/>
      <c r="L761" s="290">
        <v>45745</v>
      </c>
      <c r="M761" s="280" t="s">
        <v>453</v>
      </c>
      <c r="N761" s="280">
        <v>27</v>
      </c>
      <c r="O761" s="280"/>
      <c r="P761" s="323"/>
      <c r="Q761" s="512"/>
    </row>
    <row r="762" spans="2:17" ht="12.75" customHeight="1" x14ac:dyDescent="0.2">
      <c r="B762" s="280">
        <v>117</v>
      </c>
      <c r="C762" s="291" t="s">
        <v>496</v>
      </c>
      <c r="D762" s="317" t="str">
        <f>VLOOKUP(C762,$C$9:$D$222,2,FALSE)</f>
        <v>3DA+0</v>
      </c>
      <c r="E762" s="317" t="str">
        <f>VLOOKUP(C762,$C$9:$E$273,3,FALSE)</f>
        <v>WFR</v>
      </c>
      <c r="F762" s="290">
        <v>45740</v>
      </c>
      <c r="G762" s="280">
        <v>36.369999999999997</v>
      </c>
      <c r="H762" s="702" t="s">
        <v>172</v>
      </c>
      <c r="I762" s="702"/>
      <c r="J762" s="702"/>
      <c r="K762" s="702"/>
      <c r="L762" s="290">
        <v>45745</v>
      </c>
      <c r="M762" s="280" t="s">
        <v>658</v>
      </c>
      <c r="N762" s="280">
        <v>25</v>
      </c>
      <c r="O762" s="280"/>
      <c r="P762" s="323"/>
      <c r="Q762" s="512"/>
    </row>
    <row r="763" spans="2:17" ht="12.75" customHeight="1" x14ac:dyDescent="0.2">
      <c r="B763" s="280">
        <v>118</v>
      </c>
      <c r="C763" s="291" t="s">
        <v>382</v>
      </c>
      <c r="D763" s="317" t="str">
        <f t="shared" si="13"/>
        <v>3DA+3</v>
      </c>
      <c r="E763" s="317" t="s">
        <v>30</v>
      </c>
      <c r="F763" s="290">
        <v>45717</v>
      </c>
      <c r="G763" s="280">
        <v>37.93</v>
      </c>
      <c r="H763" s="702" t="s">
        <v>172</v>
      </c>
      <c r="I763" s="702"/>
      <c r="J763" s="702"/>
      <c r="K763" s="702"/>
      <c r="L763" s="290">
        <v>45746</v>
      </c>
      <c r="M763" s="280" t="s">
        <v>659</v>
      </c>
      <c r="N763" s="280">
        <v>27</v>
      </c>
      <c r="O763" s="280"/>
      <c r="P763" s="323"/>
      <c r="Q763" s="512"/>
    </row>
    <row r="764" spans="2:17" ht="12" customHeight="1" x14ac:dyDescent="0.2">
      <c r="B764" s="280">
        <v>119</v>
      </c>
      <c r="C764" s="291" t="s">
        <v>368</v>
      </c>
      <c r="D764" s="317" t="str">
        <f t="shared" si="13"/>
        <v>3DA+6</v>
      </c>
      <c r="E764" s="317" t="str">
        <f t="shared" ref="E764:E794" si="14">VLOOKUP(C764,$C$9:$E$273,3,FALSE)</f>
        <v>DFR</v>
      </c>
      <c r="F764" s="290">
        <v>45744</v>
      </c>
      <c r="G764" s="280">
        <v>43.08</v>
      </c>
      <c r="H764" s="702" t="s">
        <v>172</v>
      </c>
      <c r="I764" s="702"/>
      <c r="J764" s="702"/>
      <c r="K764" s="702"/>
      <c r="L764" s="290">
        <v>45748</v>
      </c>
      <c r="M764" s="280" t="s">
        <v>476</v>
      </c>
      <c r="N764" s="280">
        <v>27</v>
      </c>
      <c r="O764" s="280"/>
      <c r="P764" s="512" t="s">
        <v>172</v>
      </c>
      <c r="Q764" s="512" t="s">
        <v>172</v>
      </c>
    </row>
    <row r="765" spans="2:17" ht="12.75" customHeight="1" x14ac:dyDescent="0.2">
      <c r="B765" s="280">
        <v>120</v>
      </c>
      <c r="C765" s="302" t="s">
        <v>305</v>
      </c>
      <c r="D765" s="317" t="str">
        <f t="shared" si="13"/>
        <v>3DA+3</v>
      </c>
      <c r="E765" s="317" t="str">
        <f t="shared" si="14"/>
        <v xml:space="preserve">WBC </v>
      </c>
      <c r="F765" s="290">
        <v>45745</v>
      </c>
      <c r="G765" s="280">
        <v>37.93</v>
      </c>
      <c r="H765" s="702" t="s">
        <v>172</v>
      </c>
      <c r="I765" s="702"/>
      <c r="J765" s="702"/>
      <c r="K765" s="702"/>
      <c r="L765" s="290">
        <v>45749</v>
      </c>
      <c r="M765" s="280" t="s">
        <v>453</v>
      </c>
      <c r="N765" s="280">
        <v>27</v>
      </c>
      <c r="O765" s="280"/>
      <c r="P765" s="323"/>
      <c r="Q765" s="512"/>
    </row>
    <row r="766" spans="2:17" ht="12.75" customHeight="1" x14ac:dyDescent="0.2">
      <c r="B766" s="280">
        <v>121</v>
      </c>
      <c r="C766" s="291" t="s">
        <v>393</v>
      </c>
      <c r="D766" s="317" t="str">
        <f t="shared" si="13"/>
        <v>3DA+0</v>
      </c>
      <c r="E766" s="317" t="str">
        <f t="shared" si="14"/>
        <v>DFR</v>
      </c>
      <c r="F766" s="290">
        <v>45745</v>
      </c>
      <c r="G766" s="280">
        <v>36.369999999999997</v>
      </c>
      <c r="H766" s="702" t="s">
        <v>172</v>
      </c>
      <c r="I766" s="702"/>
      <c r="J766" s="702"/>
      <c r="K766" s="702"/>
      <c r="L766" s="290">
        <v>45751</v>
      </c>
      <c r="M766" s="280" t="s">
        <v>658</v>
      </c>
      <c r="N766" s="280">
        <v>25</v>
      </c>
      <c r="O766" s="280"/>
      <c r="P766" s="323"/>
      <c r="Q766" s="512"/>
    </row>
    <row r="767" spans="2:17" ht="12.75" customHeight="1" x14ac:dyDescent="0.2">
      <c r="B767" s="280">
        <v>122</v>
      </c>
      <c r="C767" s="291" t="s">
        <v>380</v>
      </c>
      <c r="D767" s="317" t="str">
        <f t="shared" si="13"/>
        <v>3DA+0</v>
      </c>
      <c r="E767" s="317" t="str">
        <f t="shared" si="14"/>
        <v>DFR</v>
      </c>
      <c r="F767" s="290">
        <v>45746</v>
      </c>
      <c r="G767" s="280">
        <v>36.369999999999997</v>
      </c>
      <c r="H767" s="702" t="s">
        <v>172</v>
      </c>
      <c r="I767" s="702"/>
      <c r="J767" s="702"/>
      <c r="K767" s="702"/>
      <c r="L767" s="290">
        <v>45752</v>
      </c>
      <c r="M767" s="280" t="s">
        <v>659</v>
      </c>
      <c r="N767" s="280">
        <v>25</v>
      </c>
      <c r="O767" s="280"/>
      <c r="P767" s="323"/>
      <c r="Q767" s="512"/>
    </row>
    <row r="768" spans="2:17" ht="12.75" customHeight="1" x14ac:dyDescent="0.2">
      <c r="B768" s="280">
        <v>123</v>
      </c>
      <c r="C768" s="291" t="s">
        <v>369</v>
      </c>
      <c r="D768" s="280" t="str">
        <f t="shared" si="13"/>
        <v>3DD45+6</v>
      </c>
      <c r="E768" s="280" t="str">
        <f t="shared" si="14"/>
        <v>WFR</v>
      </c>
      <c r="F768" s="290">
        <v>45749</v>
      </c>
      <c r="G768" s="305">
        <v>84.248000000000005</v>
      </c>
      <c r="H768" s="702" t="s">
        <v>172</v>
      </c>
      <c r="I768" s="702"/>
      <c r="J768" s="702"/>
      <c r="K768" s="702"/>
      <c r="L768" s="290">
        <v>45756</v>
      </c>
      <c r="M768" s="280" t="s">
        <v>476</v>
      </c>
      <c r="N768" s="280">
        <v>25</v>
      </c>
      <c r="O768" s="258"/>
      <c r="P768" s="512" t="s">
        <v>172</v>
      </c>
      <c r="Q768" s="512" t="s">
        <v>172</v>
      </c>
    </row>
    <row r="769" spans="2:17" ht="12.75" customHeight="1" x14ac:dyDescent="0.2">
      <c r="B769" s="280">
        <v>124</v>
      </c>
      <c r="C769" s="291" t="s">
        <v>306</v>
      </c>
      <c r="D769" s="280" t="str">
        <f t="shared" si="13"/>
        <v xml:space="preserve">3DD45+0 </v>
      </c>
      <c r="E769" s="280" t="str">
        <f t="shared" si="14"/>
        <v>WET</v>
      </c>
      <c r="F769" s="290">
        <v>45750</v>
      </c>
      <c r="G769" s="305">
        <v>72.721000000000004</v>
      </c>
      <c r="H769" s="702" t="s">
        <v>172</v>
      </c>
      <c r="I769" s="702"/>
      <c r="J769" s="702"/>
      <c r="K769" s="702"/>
      <c r="L769" s="290">
        <v>45757</v>
      </c>
      <c r="M769" s="280" t="s">
        <v>453</v>
      </c>
      <c r="N769" s="280">
        <v>27</v>
      </c>
      <c r="O769" s="258"/>
      <c r="P769" s="323"/>
      <c r="Q769" s="512"/>
    </row>
    <row r="770" spans="2:17" x14ac:dyDescent="0.2">
      <c r="B770" s="280">
        <v>125</v>
      </c>
      <c r="C770" s="291" t="s">
        <v>328</v>
      </c>
      <c r="D770" s="317" t="str">
        <f t="shared" si="13"/>
        <v>3DA+6</v>
      </c>
      <c r="E770" s="317" t="str">
        <f t="shared" si="14"/>
        <v xml:space="preserve">WBC </v>
      </c>
      <c r="F770" s="290">
        <v>45744</v>
      </c>
      <c r="G770" s="280">
        <v>43.08</v>
      </c>
      <c r="H770" s="702" t="s">
        <v>172</v>
      </c>
      <c r="I770" s="702"/>
      <c r="J770" s="702"/>
      <c r="K770" s="702"/>
      <c r="L770" s="290">
        <v>45758</v>
      </c>
      <c r="M770" s="280" t="s">
        <v>443</v>
      </c>
      <c r="N770" s="280">
        <v>27</v>
      </c>
      <c r="O770" s="258"/>
      <c r="P770" s="323" t="s">
        <v>172</v>
      </c>
      <c r="Q770" s="512" t="s">
        <v>172</v>
      </c>
    </row>
    <row r="771" spans="2:17" ht="12.75" customHeight="1" x14ac:dyDescent="0.2">
      <c r="B771" s="280">
        <v>126</v>
      </c>
      <c r="C771" s="291" t="s">
        <v>381</v>
      </c>
      <c r="D771" s="317" t="str">
        <f t="shared" si="13"/>
        <v>3DA+3</v>
      </c>
      <c r="E771" s="317" t="str">
        <f t="shared" si="14"/>
        <v>DFR</v>
      </c>
      <c r="F771" s="290">
        <v>45753</v>
      </c>
      <c r="G771" s="280">
        <v>37.93</v>
      </c>
      <c r="H771" s="702" t="s">
        <v>172</v>
      </c>
      <c r="I771" s="702"/>
      <c r="J771" s="702"/>
      <c r="K771" s="702"/>
      <c r="L771" s="290">
        <v>45760</v>
      </c>
      <c r="M771" s="280" t="s">
        <v>659</v>
      </c>
      <c r="N771" s="280">
        <v>25</v>
      </c>
      <c r="O771" s="258"/>
      <c r="P771" s="323"/>
      <c r="Q771" s="512"/>
    </row>
    <row r="772" spans="2:17" ht="12.75" customHeight="1" x14ac:dyDescent="0.2">
      <c r="B772" s="280">
        <v>127</v>
      </c>
      <c r="C772" s="291" t="s">
        <v>500</v>
      </c>
      <c r="D772" s="317" t="str">
        <f t="shared" si="13"/>
        <v>3DA+6</v>
      </c>
      <c r="E772" s="317" t="str">
        <f t="shared" si="14"/>
        <v>DFR</v>
      </c>
      <c r="F772" s="290">
        <v>45757</v>
      </c>
      <c r="G772" s="280">
        <v>43.08</v>
      </c>
      <c r="H772" s="702" t="s">
        <v>172</v>
      </c>
      <c r="I772" s="702"/>
      <c r="J772" s="702"/>
      <c r="K772" s="702"/>
      <c r="L772" s="290">
        <v>45761</v>
      </c>
      <c r="M772" s="258" t="s">
        <v>476</v>
      </c>
      <c r="N772" s="280">
        <v>27</v>
      </c>
      <c r="O772" s="258"/>
      <c r="P772" s="323"/>
      <c r="Q772" s="512"/>
    </row>
    <row r="773" spans="2:17" ht="12.75" customHeight="1" x14ac:dyDescent="0.2">
      <c r="B773" s="280">
        <v>128</v>
      </c>
      <c r="C773" s="284" t="s">
        <v>307</v>
      </c>
      <c r="D773" s="258" t="str">
        <f t="shared" si="13"/>
        <v>3DA+0</v>
      </c>
      <c r="E773" s="258" t="str">
        <f t="shared" si="14"/>
        <v>WET</v>
      </c>
      <c r="F773" s="290">
        <v>45758</v>
      </c>
      <c r="G773" s="258">
        <v>36.369999999999997</v>
      </c>
      <c r="H773" s="702" t="s">
        <v>172</v>
      </c>
      <c r="I773" s="702"/>
      <c r="J773" s="702"/>
      <c r="K773" s="702"/>
      <c r="L773" s="290">
        <v>45762</v>
      </c>
      <c r="M773" s="258" t="s">
        <v>453</v>
      </c>
      <c r="N773" s="280">
        <v>27</v>
      </c>
      <c r="O773" s="258"/>
      <c r="P773" s="323"/>
      <c r="Q773" s="512"/>
    </row>
    <row r="774" spans="2:17" ht="12.75" customHeight="1" x14ac:dyDescent="0.2">
      <c r="B774" s="280">
        <v>129</v>
      </c>
      <c r="C774" s="291" t="s">
        <v>395</v>
      </c>
      <c r="D774" s="317" t="str">
        <f t="shared" si="13"/>
        <v xml:space="preserve">3DC1+0 </v>
      </c>
      <c r="E774" s="317" t="str">
        <f t="shared" si="14"/>
        <v>DFR</v>
      </c>
      <c r="F774" s="290">
        <v>45752</v>
      </c>
      <c r="G774" s="280">
        <v>62.54</v>
      </c>
      <c r="H774" s="702" t="s">
        <v>172</v>
      </c>
      <c r="I774" s="702"/>
      <c r="J774" s="702"/>
      <c r="K774" s="702"/>
      <c r="L774" s="290">
        <v>45764</v>
      </c>
      <c r="M774" s="280" t="s">
        <v>658</v>
      </c>
      <c r="N774" s="280">
        <v>27</v>
      </c>
      <c r="O774" s="258"/>
      <c r="P774" s="323"/>
      <c r="Q774" s="512"/>
    </row>
    <row r="775" spans="2:17" ht="12.75" customHeight="1" x14ac:dyDescent="0.2">
      <c r="B775" s="280">
        <v>130</v>
      </c>
      <c r="C775" s="291" t="s">
        <v>378</v>
      </c>
      <c r="D775" s="317" t="str">
        <f>VLOOKUP(C775,$C$9:$D$222,2,FALSE)</f>
        <v>3DA+0</v>
      </c>
      <c r="E775" s="317" t="str">
        <f t="shared" si="14"/>
        <v>DFR</v>
      </c>
      <c r="F775" s="290">
        <v>45762</v>
      </c>
      <c r="G775" s="280">
        <v>36.369999999999997</v>
      </c>
      <c r="H775" s="702" t="s">
        <v>172</v>
      </c>
      <c r="I775" s="702"/>
      <c r="J775" s="702"/>
      <c r="K775" s="702"/>
      <c r="L775" s="290">
        <v>45765</v>
      </c>
      <c r="M775" s="280" t="s">
        <v>476</v>
      </c>
      <c r="N775" s="280">
        <v>25</v>
      </c>
      <c r="O775" s="280"/>
      <c r="P775" s="323"/>
      <c r="Q775" s="512"/>
    </row>
    <row r="776" spans="2:17" ht="12.75" customHeight="1" x14ac:dyDescent="0.2">
      <c r="B776" s="280">
        <v>131</v>
      </c>
      <c r="C776" s="291" t="s">
        <v>310</v>
      </c>
      <c r="D776" s="317" t="str">
        <f t="shared" si="13"/>
        <v>3DA+3</v>
      </c>
      <c r="E776" s="317" t="str">
        <f t="shared" si="14"/>
        <v>WET</v>
      </c>
      <c r="F776" s="290">
        <v>45763</v>
      </c>
      <c r="G776" s="280">
        <v>37.93</v>
      </c>
      <c r="H776" s="702" t="s">
        <v>172</v>
      </c>
      <c r="I776" s="702"/>
      <c r="J776" s="702"/>
      <c r="K776" s="702"/>
      <c r="L776" s="290">
        <v>45766</v>
      </c>
      <c r="M776" s="280" t="s">
        <v>453</v>
      </c>
      <c r="N776" s="280">
        <v>25</v>
      </c>
      <c r="O776" s="280"/>
      <c r="P776" s="323"/>
      <c r="Q776" s="512"/>
    </row>
    <row r="777" spans="2:17" ht="12.75" customHeight="1" x14ac:dyDescent="0.2">
      <c r="B777" s="280">
        <v>132</v>
      </c>
      <c r="C777" s="291" t="s">
        <v>311</v>
      </c>
      <c r="D777" s="280" t="str">
        <f t="shared" si="13"/>
        <v>3DA+0</v>
      </c>
      <c r="E777" s="280" t="str">
        <f t="shared" si="14"/>
        <v>WET</v>
      </c>
      <c r="F777" s="290">
        <v>45766</v>
      </c>
      <c r="G777" s="280">
        <v>36.369999999999997</v>
      </c>
      <c r="H777" s="702" t="s">
        <v>172</v>
      </c>
      <c r="I777" s="702"/>
      <c r="J777" s="702"/>
      <c r="K777" s="702"/>
      <c r="L777" s="290">
        <v>45768</v>
      </c>
      <c r="M777" s="280" t="s">
        <v>453</v>
      </c>
      <c r="N777" s="280">
        <v>25</v>
      </c>
      <c r="O777" s="258"/>
      <c r="P777" s="323"/>
      <c r="Q777" s="512"/>
    </row>
    <row r="778" spans="2:17" ht="12.75" customHeight="1" x14ac:dyDescent="0.2">
      <c r="B778" s="280">
        <v>133</v>
      </c>
      <c r="C778" s="291" t="s">
        <v>384</v>
      </c>
      <c r="D778" s="317" t="str">
        <f t="shared" si="13"/>
        <v>3DA+0</v>
      </c>
      <c r="E778" s="317" t="str">
        <f t="shared" si="14"/>
        <v>DFR</v>
      </c>
      <c r="F778" s="290">
        <v>45761</v>
      </c>
      <c r="G778" s="280">
        <v>36.369999999999997</v>
      </c>
      <c r="H778" s="702" t="s">
        <v>172</v>
      </c>
      <c r="I778" s="702"/>
      <c r="J778" s="702"/>
      <c r="K778" s="702"/>
      <c r="L778" s="290">
        <v>45768</v>
      </c>
      <c r="M778" s="280" t="s">
        <v>659</v>
      </c>
      <c r="N778" s="280">
        <v>27</v>
      </c>
      <c r="O778" s="258"/>
      <c r="P778" s="323"/>
      <c r="Q778" s="512"/>
    </row>
    <row r="779" spans="2:17" x14ac:dyDescent="0.2">
      <c r="B779" s="280">
        <v>134</v>
      </c>
      <c r="C779" s="291" t="s">
        <v>343</v>
      </c>
      <c r="D779" s="280" t="str">
        <f t="shared" si="13"/>
        <v>3DC1+0</v>
      </c>
      <c r="E779" s="280" t="str">
        <f t="shared" si="14"/>
        <v>DFR</v>
      </c>
      <c r="F779" s="290">
        <v>45766</v>
      </c>
      <c r="G779" s="280">
        <v>62.54</v>
      </c>
      <c r="H779" s="702" t="s">
        <v>172</v>
      </c>
      <c r="I779" s="702"/>
      <c r="J779" s="702"/>
      <c r="K779" s="702"/>
      <c r="L779" s="290">
        <v>45770</v>
      </c>
      <c r="M779" s="280" t="s">
        <v>476</v>
      </c>
      <c r="N779" s="280">
        <v>28</v>
      </c>
      <c r="O779" s="280"/>
      <c r="P779" s="512" t="s">
        <v>172</v>
      </c>
      <c r="Q779" s="512" t="s">
        <v>172</v>
      </c>
    </row>
    <row r="780" spans="2:17" ht="12.75" customHeight="1" x14ac:dyDescent="0.2">
      <c r="B780" s="280">
        <v>135</v>
      </c>
      <c r="C780" s="291" t="s">
        <v>392</v>
      </c>
      <c r="D780" s="280" t="str">
        <f t="shared" si="13"/>
        <v>3DA+6</v>
      </c>
      <c r="E780" s="280" t="str">
        <f t="shared" si="14"/>
        <v>DFR</v>
      </c>
      <c r="F780" s="290">
        <v>45765</v>
      </c>
      <c r="G780" s="280">
        <v>43.08</v>
      </c>
      <c r="H780" s="702" t="s">
        <v>172</v>
      </c>
      <c r="I780" s="702"/>
      <c r="J780" s="702"/>
      <c r="K780" s="702"/>
      <c r="L780" s="290">
        <v>45770</v>
      </c>
      <c r="M780" s="280" t="s">
        <v>658</v>
      </c>
      <c r="N780" s="280">
        <v>29</v>
      </c>
      <c r="O780" s="280"/>
      <c r="P780" s="323"/>
      <c r="Q780" s="512"/>
    </row>
    <row r="781" spans="2:17" ht="12.75" customHeight="1" x14ac:dyDescent="0.2">
      <c r="B781" s="280">
        <v>136</v>
      </c>
      <c r="C781" s="284" t="s">
        <v>312</v>
      </c>
      <c r="D781" s="280" t="str">
        <f t="shared" si="13"/>
        <v>3DA+0</v>
      </c>
      <c r="E781" s="280" t="str">
        <f t="shared" si="14"/>
        <v>WET</v>
      </c>
      <c r="F781" s="254">
        <v>45769</v>
      </c>
      <c r="G781" s="258">
        <v>36.369999999999997</v>
      </c>
      <c r="H781" s="702" t="s">
        <v>172</v>
      </c>
      <c r="I781" s="702"/>
      <c r="J781" s="702"/>
      <c r="K781" s="702"/>
      <c r="L781" s="254">
        <v>45771</v>
      </c>
      <c r="M781" s="280" t="s">
        <v>453</v>
      </c>
      <c r="N781" s="258">
        <v>26</v>
      </c>
      <c r="O781" s="258"/>
      <c r="P781" s="323"/>
      <c r="Q781" s="512"/>
    </row>
    <row r="782" spans="2:17" ht="12.75" customHeight="1" x14ac:dyDescent="0.2">
      <c r="B782" s="280">
        <v>137</v>
      </c>
      <c r="C782" s="291" t="s">
        <v>322</v>
      </c>
      <c r="D782" s="317" t="str">
        <f t="shared" si="13"/>
        <v>3DA+6</v>
      </c>
      <c r="E782" s="317" t="str">
        <f t="shared" si="14"/>
        <v>DFR</v>
      </c>
      <c r="F782" s="290">
        <v>45759</v>
      </c>
      <c r="G782" s="280">
        <v>43.08</v>
      </c>
      <c r="H782" s="702" t="s">
        <v>172</v>
      </c>
      <c r="I782" s="702"/>
      <c r="J782" s="702"/>
      <c r="K782" s="702"/>
      <c r="L782" s="254">
        <v>45773</v>
      </c>
      <c r="M782" s="280" t="s">
        <v>443</v>
      </c>
      <c r="N782" s="280">
        <v>27</v>
      </c>
      <c r="O782" s="280"/>
      <c r="P782" s="512" t="s">
        <v>172</v>
      </c>
      <c r="Q782" s="512" t="s">
        <v>172</v>
      </c>
    </row>
    <row r="783" spans="2:17" ht="12.75" customHeight="1" x14ac:dyDescent="0.2">
      <c r="B783" s="280">
        <v>138</v>
      </c>
      <c r="C783" s="291" t="s">
        <v>383</v>
      </c>
      <c r="D783" s="280" t="str">
        <f t="shared" si="13"/>
        <v>3DA+3</v>
      </c>
      <c r="E783" s="280" t="str">
        <f t="shared" si="14"/>
        <v>DFR</v>
      </c>
      <c r="F783" s="290">
        <v>45769</v>
      </c>
      <c r="G783" s="280">
        <v>37.93</v>
      </c>
      <c r="H783" s="702" t="s">
        <v>172</v>
      </c>
      <c r="I783" s="702"/>
      <c r="J783" s="702"/>
      <c r="K783" s="702"/>
      <c r="L783" s="254">
        <v>45774</v>
      </c>
      <c r="M783" s="280" t="s">
        <v>659</v>
      </c>
      <c r="N783" s="280">
        <v>25</v>
      </c>
      <c r="O783" s="280"/>
      <c r="P783" s="323"/>
      <c r="Q783" s="512"/>
    </row>
    <row r="784" spans="2:17" ht="12.75" customHeight="1" x14ac:dyDescent="0.2">
      <c r="B784" s="280">
        <v>139</v>
      </c>
      <c r="C784" s="291" t="s">
        <v>304</v>
      </c>
      <c r="D784" s="280" t="s">
        <v>29</v>
      </c>
      <c r="E784" s="280" t="str">
        <f t="shared" si="14"/>
        <v xml:space="preserve">WBC </v>
      </c>
      <c r="F784" s="290">
        <v>45772</v>
      </c>
      <c r="G784" s="280">
        <v>36.369999999999997</v>
      </c>
      <c r="H784" s="702" t="s">
        <v>172</v>
      </c>
      <c r="I784" s="702"/>
      <c r="J784" s="702"/>
      <c r="K784" s="702"/>
      <c r="L784" s="254">
        <v>45774</v>
      </c>
      <c r="M784" s="280" t="s">
        <v>453</v>
      </c>
      <c r="N784" s="280">
        <v>27</v>
      </c>
      <c r="O784" s="280"/>
      <c r="P784" s="323"/>
      <c r="Q784" s="512"/>
    </row>
    <row r="785" spans="2:17" ht="12.75" customHeight="1" x14ac:dyDescent="0.2">
      <c r="B785" s="280">
        <v>140</v>
      </c>
      <c r="C785" s="280" t="s">
        <v>341</v>
      </c>
      <c r="D785" s="280" t="str">
        <f>VLOOKUP(C785,$C$9:$D$222,2,FALSE)</f>
        <v>3DC1+0</v>
      </c>
      <c r="E785" s="280" t="str">
        <f t="shared" si="14"/>
        <v>DFR</v>
      </c>
      <c r="F785" s="290">
        <v>45771</v>
      </c>
      <c r="G785" s="280">
        <v>62.534999999999997</v>
      </c>
      <c r="H785" s="702" t="s">
        <v>172</v>
      </c>
      <c r="I785" s="702"/>
      <c r="J785" s="702"/>
      <c r="K785" s="702"/>
      <c r="L785" s="254">
        <v>45775</v>
      </c>
      <c r="M785" s="280" t="s">
        <v>476</v>
      </c>
      <c r="N785" s="280">
        <v>28</v>
      </c>
      <c r="O785" s="258"/>
      <c r="P785" s="323"/>
      <c r="Q785" s="512"/>
    </row>
    <row r="786" spans="2:17" ht="12.75" customHeight="1" x14ac:dyDescent="0.2">
      <c r="B786" s="280">
        <v>141</v>
      </c>
      <c r="C786" s="291" t="s">
        <v>390</v>
      </c>
      <c r="D786" s="280" t="str">
        <f>VLOOKUP(C786,$C$9:$D$222,2,FALSE)</f>
        <v>3DA+0</v>
      </c>
      <c r="E786" s="280" t="str">
        <f t="shared" si="14"/>
        <v xml:space="preserve">DFR </v>
      </c>
      <c r="F786" s="290">
        <v>45771</v>
      </c>
      <c r="G786" s="280">
        <v>36.369999999999997</v>
      </c>
      <c r="H786" s="702" t="s">
        <v>172</v>
      </c>
      <c r="I786" s="702"/>
      <c r="J786" s="702"/>
      <c r="K786" s="702"/>
      <c r="L786" s="254">
        <v>45777</v>
      </c>
      <c r="M786" s="280" t="s">
        <v>658</v>
      </c>
      <c r="N786" s="280">
        <v>29</v>
      </c>
      <c r="O786" s="258"/>
      <c r="P786" s="323"/>
      <c r="Q786" s="512"/>
    </row>
    <row r="787" spans="2:17" ht="12.75" customHeight="1" x14ac:dyDescent="0.2">
      <c r="B787" s="280">
        <v>142</v>
      </c>
      <c r="C787" s="291" t="s">
        <v>299</v>
      </c>
      <c r="D787" s="280" t="str">
        <f>VLOOKUP(C787,$C$9:$D$277,2,FALSE)</f>
        <v>3DA+0</v>
      </c>
      <c r="E787" s="280" t="str">
        <f t="shared" si="14"/>
        <v>WET</v>
      </c>
      <c r="F787" s="290">
        <v>45775</v>
      </c>
      <c r="G787" s="280">
        <v>36.369999999999997</v>
      </c>
      <c r="H787" s="702" t="s">
        <v>172</v>
      </c>
      <c r="I787" s="702"/>
      <c r="J787" s="702"/>
      <c r="K787" s="702"/>
      <c r="L787" s="254">
        <v>45777</v>
      </c>
      <c r="M787" s="280" t="s">
        <v>453</v>
      </c>
      <c r="N787" s="280">
        <v>28</v>
      </c>
      <c r="O787" s="280"/>
      <c r="P787" s="323"/>
      <c r="Q787" s="512"/>
    </row>
    <row r="788" spans="2:17" ht="12.75" customHeight="1" x14ac:dyDescent="0.2">
      <c r="B788" s="280">
        <v>143</v>
      </c>
      <c r="C788" s="291" t="s">
        <v>176</v>
      </c>
      <c r="D788" s="280" t="str">
        <f t="shared" ref="D788:D794" si="15">VLOOKUP(C788,$C$9:$D$222,2,FALSE)</f>
        <v xml:space="preserve">3DA+3 </v>
      </c>
      <c r="E788" s="280" t="str">
        <f t="shared" si="14"/>
        <v>DFR</v>
      </c>
      <c r="F788" s="290">
        <v>45776</v>
      </c>
      <c r="G788" s="280">
        <v>37.93</v>
      </c>
      <c r="H788" s="702" t="s">
        <v>172</v>
      </c>
      <c r="I788" s="702"/>
      <c r="J788" s="702"/>
      <c r="K788" s="702"/>
      <c r="L788" s="290">
        <v>45779</v>
      </c>
      <c r="M788" s="280" t="s">
        <v>476</v>
      </c>
      <c r="N788" s="280">
        <v>25</v>
      </c>
      <c r="O788" s="280"/>
      <c r="P788" s="323"/>
      <c r="Q788" s="512"/>
    </row>
    <row r="789" spans="2:17" ht="12.75" customHeight="1" x14ac:dyDescent="0.2">
      <c r="B789" s="280">
        <v>144</v>
      </c>
      <c r="C789" s="291" t="s">
        <v>271</v>
      </c>
      <c r="D789" s="280" t="str">
        <f t="shared" si="15"/>
        <v>3DA+3</v>
      </c>
      <c r="E789" s="280" t="str">
        <f t="shared" si="14"/>
        <v>DFR</v>
      </c>
      <c r="F789" s="290">
        <v>45778</v>
      </c>
      <c r="G789" s="280">
        <v>37.93</v>
      </c>
      <c r="H789" s="702" t="s">
        <v>172</v>
      </c>
      <c r="I789" s="702"/>
      <c r="J789" s="702"/>
      <c r="K789" s="702"/>
      <c r="L789" s="290">
        <v>45781</v>
      </c>
      <c r="M789" s="280" t="s">
        <v>453</v>
      </c>
      <c r="N789" s="258">
        <v>26</v>
      </c>
      <c r="O789" s="258"/>
      <c r="P789" s="512" t="s">
        <v>172</v>
      </c>
      <c r="Q789" s="512" t="s">
        <v>172</v>
      </c>
    </row>
    <row r="790" spans="2:17" ht="12.75" customHeight="1" x14ac:dyDescent="0.2">
      <c r="B790" s="280">
        <v>145</v>
      </c>
      <c r="C790" s="291" t="s">
        <v>397</v>
      </c>
      <c r="D790" s="280" t="str">
        <f t="shared" si="15"/>
        <v>3DA+0</v>
      </c>
      <c r="E790" s="280" t="str">
        <f t="shared" si="14"/>
        <v xml:space="preserve">DFR </v>
      </c>
      <c r="F790" s="290">
        <v>45779</v>
      </c>
      <c r="G790" s="280">
        <v>36.369999999999997</v>
      </c>
      <c r="H790" s="702" t="s">
        <v>172</v>
      </c>
      <c r="I790" s="702"/>
      <c r="J790" s="702"/>
      <c r="K790" s="702"/>
      <c r="L790" s="290">
        <v>45782</v>
      </c>
      <c r="M790" s="280" t="s">
        <v>658</v>
      </c>
      <c r="N790" s="418">
        <v>26</v>
      </c>
      <c r="O790" s="418"/>
      <c r="P790" s="323"/>
      <c r="Q790" s="512"/>
    </row>
    <row r="791" spans="2:17" ht="12.75" customHeight="1" x14ac:dyDescent="0.2">
      <c r="B791" s="280">
        <v>146</v>
      </c>
      <c r="C791" s="417" t="s">
        <v>276</v>
      </c>
      <c r="D791" s="418" t="str">
        <f t="shared" si="15"/>
        <v>3DA+0</v>
      </c>
      <c r="E791" s="418" t="str">
        <f t="shared" si="14"/>
        <v xml:space="preserve">WBC </v>
      </c>
      <c r="F791" s="419">
        <v>45782</v>
      </c>
      <c r="G791" s="418">
        <v>36.369999999999997</v>
      </c>
      <c r="H791" s="702" t="s">
        <v>172</v>
      </c>
      <c r="I791" s="702"/>
      <c r="J791" s="702"/>
      <c r="K791" s="702"/>
      <c r="L791" s="254">
        <v>45783</v>
      </c>
      <c r="M791" s="280" t="s">
        <v>453</v>
      </c>
      <c r="N791" s="258">
        <v>26</v>
      </c>
      <c r="O791" s="258"/>
      <c r="P791" s="323"/>
      <c r="Q791" s="512"/>
    </row>
    <row r="792" spans="2:17" ht="12.75" customHeight="1" x14ac:dyDescent="0.2">
      <c r="B792" s="280">
        <v>147</v>
      </c>
      <c r="C792" s="291" t="s">
        <v>333</v>
      </c>
      <c r="D792" s="280" t="str">
        <f t="shared" si="15"/>
        <v xml:space="preserve">3DD45+0 </v>
      </c>
      <c r="E792" s="280" t="str">
        <f t="shared" si="14"/>
        <v xml:space="preserve">DFR </v>
      </c>
      <c r="F792" s="290">
        <v>45780</v>
      </c>
      <c r="G792" s="280">
        <v>72.72</v>
      </c>
      <c r="H792" s="702" t="s">
        <v>172</v>
      </c>
      <c r="I792" s="702"/>
      <c r="J792" s="702"/>
      <c r="K792" s="702"/>
      <c r="L792" s="254">
        <v>45785</v>
      </c>
      <c r="M792" s="280" t="s">
        <v>476</v>
      </c>
      <c r="N792" s="280">
        <v>25</v>
      </c>
      <c r="O792" s="258"/>
      <c r="P792" s="323" t="s">
        <v>172</v>
      </c>
      <c r="Q792" s="512" t="s">
        <v>172</v>
      </c>
    </row>
    <row r="793" spans="2:17" ht="12.75" customHeight="1" x14ac:dyDescent="0.2">
      <c r="B793" s="280">
        <v>148</v>
      </c>
      <c r="C793" s="291" t="s">
        <v>321</v>
      </c>
      <c r="D793" s="280" t="str">
        <f t="shared" si="15"/>
        <v xml:space="preserve">3DA+3 </v>
      </c>
      <c r="E793" s="280" t="str">
        <f t="shared" si="14"/>
        <v>WET</v>
      </c>
      <c r="F793" s="290">
        <v>45774</v>
      </c>
      <c r="G793" s="280">
        <v>37.93</v>
      </c>
      <c r="H793" s="702" t="s">
        <v>172</v>
      </c>
      <c r="I793" s="702"/>
      <c r="J793" s="702"/>
      <c r="K793" s="702"/>
      <c r="L793" s="254">
        <v>45786</v>
      </c>
      <c r="M793" s="280" t="s">
        <v>443</v>
      </c>
      <c r="N793" s="280">
        <v>27</v>
      </c>
      <c r="O793" s="258"/>
      <c r="P793" s="323"/>
      <c r="Q793" s="512" t="s">
        <v>172</v>
      </c>
    </row>
    <row r="794" spans="2:17" ht="12.75" customHeight="1" x14ac:dyDescent="0.2">
      <c r="B794" s="280">
        <v>149</v>
      </c>
      <c r="C794" s="291" t="s">
        <v>273</v>
      </c>
      <c r="D794" s="280" t="str">
        <f t="shared" si="15"/>
        <v>3DA+6</v>
      </c>
      <c r="E794" s="280" t="str">
        <f t="shared" si="14"/>
        <v>DFR</v>
      </c>
      <c r="F794" s="290">
        <v>45784</v>
      </c>
      <c r="G794" s="280">
        <v>43.08</v>
      </c>
      <c r="H794" s="702" t="s">
        <v>172</v>
      </c>
      <c r="I794" s="702"/>
      <c r="J794" s="702"/>
      <c r="K794" s="702"/>
      <c r="L794" s="290">
        <v>45787</v>
      </c>
      <c r="M794" s="280" t="s">
        <v>453</v>
      </c>
      <c r="N794" s="280">
        <v>28</v>
      </c>
      <c r="O794" s="280"/>
      <c r="P794" s="512" t="s">
        <v>172</v>
      </c>
      <c r="Q794" s="512" t="s">
        <v>172</v>
      </c>
    </row>
    <row r="795" spans="2:17" ht="12.75" customHeight="1" x14ac:dyDescent="0.2">
      <c r="B795" s="280">
        <v>150</v>
      </c>
      <c r="C795" s="291" t="s">
        <v>391</v>
      </c>
      <c r="D795" s="223" t="s">
        <v>29</v>
      </c>
      <c r="E795" s="317" t="s">
        <v>30</v>
      </c>
      <c r="F795" s="290">
        <v>45783</v>
      </c>
      <c r="G795" s="280">
        <v>36.369999999999997</v>
      </c>
      <c r="H795" s="702" t="s">
        <v>172</v>
      </c>
      <c r="I795" s="702"/>
      <c r="J795" s="702"/>
      <c r="K795" s="702"/>
      <c r="L795" s="290">
        <v>45787</v>
      </c>
      <c r="M795" s="280" t="s">
        <v>708</v>
      </c>
      <c r="N795" s="280">
        <v>29</v>
      </c>
      <c r="O795" s="280"/>
      <c r="P795" s="323"/>
      <c r="Q795" s="512"/>
    </row>
    <row r="796" spans="2:17" ht="12.75" customHeight="1" x14ac:dyDescent="0.2">
      <c r="B796" s="280">
        <v>151</v>
      </c>
      <c r="C796" s="291" t="s">
        <v>268</v>
      </c>
      <c r="D796" s="331" t="s">
        <v>34</v>
      </c>
      <c r="E796" s="317" t="s">
        <v>30</v>
      </c>
      <c r="F796" s="290">
        <v>45787</v>
      </c>
      <c r="G796" s="280">
        <v>37.93</v>
      </c>
      <c r="H796" s="702" t="s">
        <v>172</v>
      </c>
      <c r="I796" s="702"/>
      <c r="J796" s="702"/>
      <c r="K796" s="702"/>
      <c r="L796" s="290">
        <v>45790</v>
      </c>
      <c r="M796" s="280" t="s">
        <v>453</v>
      </c>
      <c r="N796" s="280">
        <v>25</v>
      </c>
      <c r="O796" s="280"/>
      <c r="P796" s="512" t="s">
        <v>172</v>
      </c>
      <c r="Q796" s="512" t="s">
        <v>172</v>
      </c>
    </row>
    <row r="797" spans="2:17" ht="12.75" customHeight="1" x14ac:dyDescent="0.2">
      <c r="B797" s="280">
        <v>152</v>
      </c>
      <c r="C797" s="291" t="s">
        <v>331</v>
      </c>
      <c r="D797" s="331" t="s">
        <v>135</v>
      </c>
      <c r="E797" s="317" t="s">
        <v>30</v>
      </c>
      <c r="F797" s="290">
        <v>45787</v>
      </c>
      <c r="G797" s="280">
        <v>54.66</v>
      </c>
      <c r="H797" s="702" t="s">
        <v>172</v>
      </c>
      <c r="I797" s="702"/>
      <c r="J797" s="702"/>
      <c r="K797" s="702"/>
      <c r="L797" s="290">
        <v>45791</v>
      </c>
      <c r="M797" s="280" t="s">
        <v>476</v>
      </c>
      <c r="N797" s="280">
        <v>29</v>
      </c>
      <c r="O797" s="280"/>
      <c r="P797" s="323" t="s">
        <v>172</v>
      </c>
      <c r="Q797" s="512" t="s">
        <v>172</v>
      </c>
    </row>
    <row r="798" spans="2:17" ht="12.75" customHeight="1" x14ac:dyDescent="0.2">
      <c r="B798" s="280">
        <v>153</v>
      </c>
      <c r="C798" s="291" t="s">
        <v>394</v>
      </c>
      <c r="D798" s="331" t="s">
        <v>29</v>
      </c>
      <c r="E798" s="317" t="s">
        <v>30</v>
      </c>
      <c r="F798" s="290">
        <v>45788</v>
      </c>
      <c r="G798" s="280">
        <v>36.369999999999997</v>
      </c>
      <c r="H798" s="702" t="s">
        <v>172</v>
      </c>
      <c r="I798" s="702"/>
      <c r="J798" s="702"/>
      <c r="K798" s="702"/>
      <c r="L798" s="290">
        <v>45793</v>
      </c>
      <c r="M798" s="280" t="s">
        <v>708</v>
      </c>
      <c r="N798" s="280">
        <v>28</v>
      </c>
      <c r="O798" s="280"/>
      <c r="P798" s="323"/>
      <c r="Q798" s="512"/>
    </row>
    <row r="799" spans="2:17" ht="12.75" customHeight="1" x14ac:dyDescent="0.2">
      <c r="B799" s="280">
        <v>154</v>
      </c>
      <c r="C799" s="291" t="s">
        <v>266</v>
      </c>
      <c r="D799" s="331" t="s">
        <v>29</v>
      </c>
      <c r="E799" s="317" t="s">
        <v>337</v>
      </c>
      <c r="F799" s="290">
        <v>45791</v>
      </c>
      <c r="G799" s="280">
        <v>36.369999999999997</v>
      </c>
      <c r="H799" s="702" t="s">
        <v>172</v>
      </c>
      <c r="I799" s="702"/>
      <c r="J799" s="702"/>
      <c r="K799" s="702"/>
      <c r="L799" s="290">
        <v>45794</v>
      </c>
      <c r="M799" s="280" t="s">
        <v>453</v>
      </c>
      <c r="N799" s="280">
        <v>30</v>
      </c>
      <c r="O799" s="280"/>
      <c r="P799" s="512" t="s">
        <v>172</v>
      </c>
      <c r="Q799" s="512" t="s">
        <v>172</v>
      </c>
    </row>
    <row r="800" spans="2:17" ht="12.75" customHeight="1" x14ac:dyDescent="0.2">
      <c r="B800" s="280">
        <v>155</v>
      </c>
      <c r="C800" s="291" t="s">
        <v>265</v>
      </c>
      <c r="D800" s="259" t="s">
        <v>34</v>
      </c>
      <c r="E800" s="259" t="s">
        <v>337</v>
      </c>
      <c r="F800" s="290">
        <v>45795</v>
      </c>
      <c r="G800" s="280">
        <v>37.93</v>
      </c>
      <c r="H800" s="702" t="s">
        <v>172</v>
      </c>
      <c r="I800" s="702"/>
      <c r="J800" s="702"/>
      <c r="K800" s="702"/>
      <c r="L800" s="290">
        <v>45797</v>
      </c>
      <c r="M800" s="280" t="s">
        <v>453</v>
      </c>
      <c r="N800" s="280">
        <v>28</v>
      </c>
      <c r="O800" s="280"/>
      <c r="P800" s="512" t="s">
        <v>662</v>
      </c>
      <c r="Q800" s="512" t="s">
        <v>662</v>
      </c>
    </row>
    <row r="801" spans="1:17" ht="12.75" customHeight="1" x14ac:dyDescent="0.2">
      <c r="B801" s="280">
        <v>156</v>
      </c>
      <c r="C801" s="291" t="s">
        <v>327</v>
      </c>
      <c r="D801" s="331" t="s">
        <v>502</v>
      </c>
      <c r="E801" s="317" t="s">
        <v>462</v>
      </c>
      <c r="F801" s="290">
        <v>45792</v>
      </c>
      <c r="G801" s="280">
        <v>72.72</v>
      </c>
      <c r="H801" s="702" t="s">
        <v>172</v>
      </c>
      <c r="I801" s="702"/>
      <c r="J801" s="702"/>
      <c r="K801" s="702"/>
      <c r="L801" s="290">
        <v>45799</v>
      </c>
      <c r="M801" s="280" t="s">
        <v>476</v>
      </c>
      <c r="N801" s="280">
        <v>27</v>
      </c>
      <c r="O801" s="280"/>
      <c r="P801" s="323" t="s">
        <v>494</v>
      </c>
      <c r="Q801" s="512" t="s">
        <v>172</v>
      </c>
    </row>
    <row r="802" spans="1:17" ht="12.75" customHeight="1" x14ac:dyDescent="0.2">
      <c r="B802" s="280">
        <v>157</v>
      </c>
      <c r="C802" s="291" t="s">
        <v>385</v>
      </c>
      <c r="D802" s="280" t="str">
        <f>VLOOKUP(C802,$C$9:$D$222,2,FALSE)</f>
        <v>3DA+3</v>
      </c>
      <c r="E802" s="280" t="str">
        <f>VLOOKUP(C802,$C$9:$E$273,3,FALSE)</f>
        <v xml:space="preserve">DFR </v>
      </c>
      <c r="F802" s="290">
        <v>45788</v>
      </c>
      <c r="G802" s="280">
        <v>37.93</v>
      </c>
      <c r="H802" s="702" t="s">
        <v>172</v>
      </c>
      <c r="I802" s="702"/>
      <c r="J802" s="702"/>
      <c r="K802" s="702"/>
      <c r="L802" s="290">
        <v>45801</v>
      </c>
      <c r="M802" s="280" t="s">
        <v>707</v>
      </c>
      <c r="N802" s="280">
        <v>28</v>
      </c>
      <c r="O802" s="280"/>
      <c r="P802" s="323"/>
      <c r="Q802" s="512"/>
    </row>
    <row r="803" spans="1:17" ht="12.75" customHeight="1" x14ac:dyDescent="0.2">
      <c r="B803" s="280">
        <v>158</v>
      </c>
      <c r="C803" s="291" t="s">
        <v>267</v>
      </c>
      <c r="D803" s="259" t="s">
        <v>34</v>
      </c>
      <c r="E803" s="259" t="s">
        <v>30</v>
      </c>
      <c r="F803" s="290">
        <v>45798</v>
      </c>
      <c r="G803" s="280">
        <v>37.93</v>
      </c>
      <c r="H803" s="702" t="s">
        <v>172</v>
      </c>
      <c r="I803" s="702"/>
      <c r="J803" s="702"/>
      <c r="K803" s="702"/>
      <c r="L803" s="290">
        <v>45805</v>
      </c>
      <c r="M803" s="280" t="s">
        <v>453</v>
      </c>
      <c r="N803" s="280">
        <v>28</v>
      </c>
      <c r="O803" s="280"/>
      <c r="P803" s="512" t="s">
        <v>172</v>
      </c>
      <c r="Q803" s="512" t="s">
        <v>662</v>
      </c>
    </row>
    <row r="804" spans="1:17" ht="12.75" customHeight="1" x14ac:dyDescent="0.2">
      <c r="B804" s="280">
        <v>159</v>
      </c>
      <c r="C804" s="291" t="s">
        <v>376</v>
      </c>
      <c r="D804" s="280" t="str">
        <f>VLOOKUP(C804,$C$9:$D$222,2,FALSE)</f>
        <v>3DA+0</v>
      </c>
      <c r="E804" s="280" t="str">
        <f>VLOOKUP(C804,$C$9:$E$273,3,FALSE)</f>
        <v>DFR</v>
      </c>
      <c r="F804" s="290">
        <v>45785</v>
      </c>
      <c r="G804" s="280">
        <v>36.369999999999997</v>
      </c>
      <c r="H804" s="702" t="s">
        <v>172</v>
      </c>
      <c r="I804" s="702"/>
      <c r="J804" s="702"/>
      <c r="K804" s="702"/>
      <c r="L804" s="290">
        <v>45808</v>
      </c>
      <c r="M804" s="280" t="s">
        <v>707</v>
      </c>
      <c r="N804" s="280">
        <v>25</v>
      </c>
      <c r="O804" s="258"/>
      <c r="P804" s="323"/>
      <c r="Q804" s="512"/>
    </row>
    <row r="805" spans="1:17" ht="12.75" customHeight="1" x14ac:dyDescent="0.2">
      <c r="B805" s="280">
        <v>160</v>
      </c>
      <c r="C805" s="291" t="s">
        <v>269</v>
      </c>
      <c r="D805" s="280" t="s">
        <v>34</v>
      </c>
      <c r="E805" s="280" t="s">
        <v>30</v>
      </c>
      <c r="F805" s="290">
        <v>45806</v>
      </c>
      <c r="G805" s="280">
        <v>37.93</v>
      </c>
      <c r="H805" s="702" t="s">
        <v>172</v>
      </c>
      <c r="I805" s="702"/>
      <c r="J805" s="702"/>
      <c r="K805" s="702"/>
      <c r="L805" s="290">
        <v>45810</v>
      </c>
      <c r="M805" s="280" t="s">
        <v>453</v>
      </c>
      <c r="N805" s="280">
        <v>25</v>
      </c>
      <c r="O805" s="280"/>
      <c r="P805" s="512" t="s">
        <v>172</v>
      </c>
      <c r="Q805" s="512" t="s">
        <v>172</v>
      </c>
    </row>
    <row r="806" spans="1:17" s="221" customFormat="1" ht="12.75" customHeight="1" x14ac:dyDescent="0.2">
      <c r="B806" s="280">
        <v>161</v>
      </c>
      <c r="C806" s="291" t="s">
        <v>319</v>
      </c>
      <c r="D806" s="280" t="str">
        <f>VLOOKUP(C806,$C$9:$D$222,2,FALSE)</f>
        <v xml:space="preserve">3DC1+0 </v>
      </c>
      <c r="E806" s="280" t="str">
        <f>VLOOKUP(C806,$C$9:$E$273,3,FALSE)</f>
        <v xml:space="preserve">WBC </v>
      </c>
      <c r="F806" s="290">
        <v>45787</v>
      </c>
      <c r="G806" s="280">
        <v>62.534999999999997</v>
      </c>
      <c r="H806" s="702" t="s">
        <v>172</v>
      </c>
      <c r="I806" s="702"/>
      <c r="J806" s="702"/>
      <c r="K806" s="702"/>
      <c r="L806" s="290">
        <v>45812</v>
      </c>
      <c r="M806" s="280" t="s">
        <v>443</v>
      </c>
      <c r="N806" s="280">
        <v>28</v>
      </c>
      <c r="O806" s="280"/>
      <c r="P806" s="323"/>
      <c r="Q806" s="512" t="s">
        <v>172</v>
      </c>
    </row>
    <row r="807" spans="1:17" ht="12" customHeight="1" x14ac:dyDescent="0.2">
      <c r="B807" s="280">
        <v>162</v>
      </c>
      <c r="C807" s="291" t="s">
        <v>361</v>
      </c>
      <c r="D807" s="280" t="s">
        <v>732</v>
      </c>
      <c r="E807" s="280" t="s">
        <v>336</v>
      </c>
      <c r="F807" s="290">
        <v>45809</v>
      </c>
      <c r="G807" s="280">
        <v>34.945999999999998</v>
      </c>
      <c r="H807" s="702" t="s">
        <v>172</v>
      </c>
      <c r="I807" s="702"/>
      <c r="J807" s="702"/>
      <c r="K807" s="702"/>
      <c r="L807" s="290">
        <v>45814</v>
      </c>
      <c r="M807" s="280" t="s">
        <v>707</v>
      </c>
      <c r="N807" s="280">
        <v>28</v>
      </c>
      <c r="O807" s="258"/>
      <c r="P807" s="512" t="s">
        <v>172</v>
      </c>
      <c r="Q807" s="512" t="s">
        <v>172</v>
      </c>
    </row>
    <row r="808" spans="1:17" s="221" customFormat="1" x14ac:dyDescent="0.2">
      <c r="B808" s="280">
        <v>163</v>
      </c>
      <c r="C808" s="291" t="s">
        <v>350</v>
      </c>
      <c r="D808" s="280" t="s">
        <v>353</v>
      </c>
      <c r="E808" s="280" t="s">
        <v>30</v>
      </c>
      <c r="F808" s="290">
        <v>45811</v>
      </c>
      <c r="G808" s="491">
        <v>71.705693999999994</v>
      </c>
      <c r="H808" s="702" t="s">
        <v>172</v>
      </c>
      <c r="I808" s="702"/>
      <c r="J808" s="702"/>
      <c r="K808" s="702"/>
      <c r="L808" s="290">
        <v>45819</v>
      </c>
      <c r="M808" s="280" t="s">
        <v>453</v>
      </c>
      <c r="N808" s="280">
        <v>30</v>
      </c>
      <c r="O808" s="280"/>
      <c r="P808" s="512" t="s">
        <v>494</v>
      </c>
      <c r="Q808" s="512" t="s">
        <v>172</v>
      </c>
    </row>
    <row r="809" spans="1:17" ht="12.75" customHeight="1" x14ac:dyDescent="0.2">
      <c r="B809" s="280">
        <v>164</v>
      </c>
      <c r="C809" s="291" t="s">
        <v>371</v>
      </c>
      <c r="D809" s="280" t="s">
        <v>285</v>
      </c>
      <c r="E809" s="280" t="s">
        <v>30</v>
      </c>
      <c r="F809" s="290">
        <v>45813</v>
      </c>
      <c r="G809" s="280">
        <v>34.945999999999998</v>
      </c>
      <c r="H809" s="702" t="s">
        <v>172</v>
      </c>
      <c r="I809" s="702"/>
      <c r="J809" s="702"/>
      <c r="K809" s="702"/>
      <c r="L809" s="290">
        <v>45824</v>
      </c>
      <c r="M809" s="280" t="s">
        <v>707</v>
      </c>
      <c r="N809" s="280">
        <v>27</v>
      </c>
      <c r="O809" s="258"/>
      <c r="P809" s="323"/>
      <c r="Q809" s="512"/>
    </row>
    <row r="810" spans="1:17" x14ac:dyDescent="0.2">
      <c r="A810" s="225" t="s">
        <v>636</v>
      </c>
      <c r="B810" s="280">
        <v>165</v>
      </c>
      <c r="C810" s="291" t="s">
        <v>349</v>
      </c>
      <c r="D810" s="280" t="s">
        <v>352</v>
      </c>
      <c r="E810" s="280" t="s">
        <v>30</v>
      </c>
      <c r="F810" s="290">
        <v>45814</v>
      </c>
      <c r="G810" s="280">
        <v>64.891000000000005</v>
      </c>
      <c r="H810" s="702" t="s">
        <v>172</v>
      </c>
      <c r="I810" s="702"/>
      <c r="J810" s="702"/>
      <c r="K810" s="702"/>
      <c r="L810" s="290">
        <v>45826</v>
      </c>
      <c r="M810" s="280" t="s">
        <v>453</v>
      </c>
      <c r="N810" s="280">
        <v>28</v>
      </c>
      <c r="O810" s="280"/>
      <c r="P810" s="323" t="s">
        <v>494</v>
      </c>
      <c r="Q810" s="512" t="s">
        <v>172</v>
      </c>
    </row>
    <row r="811" spans="1:17" x14ac:dyDescent="0.2">
      <c r="B811" s="280">
        <v>166</v>
      </c>
      <c r="C811" s="291" t="s">
        <v>335</v>
      </c>
      <c r="D811" s="280" t="s">
        <v>285</v>
      </c>
      <c r="E811" s="280" t="s">
        <v>432</v>
      </c>
      <c r="F811" s="290">
        <v>45813</v>
      </c>
      <c r="G811" s="280">
        <v>34.945999999999998</v>
      </c>
      <c r="H811" s="702" t="s">
        <v>172</v>
      </c>
      <c r="I811" s="702"/>
      <c r="J811" s="702"/>
      <c r="K811" s="702"/>
      <c r="L811" s="290">
        <v>45827</v>
      </c>
      <c r="M811" s="258" t="s">
        <v>443</v>
      </c>
      <c r="N811" s="280">
        <v>28</v>
      </c>
      <c r="O811" s="258"/>
      <c r="P811" s="323" t="s">
        <v>172</v>
      </c>
      <c r="Q811" s="512" t="s">
        <v>172</v>
      </c>
    </row>
    <row r="812" spans="1:17" ht="12.75" customHeight="1" x14ac:dyDescent="0.2">
      <c r="B812" s="280">
        <v>167</v>
      </c>
      <c r="C812" s="291" t="s">
        <v>270</v>
      </c>
      <c r="D812" s="342" t="s">
        <v>43</v>
      </c>
      <c r="E812" s="280" t="s">
        <v>30</v>
      </c>
      <c r="F812" s="290">
        <v>45827</v>
      </c>
      <c r="G812" s="280">
        <v>43.08</v>
      </c>
      <c r="H812" s="702" t="s">
        <v>172</v>
      </c>
      <c r="I812" s="702"/>
      <c r="J812" s="702"/>
      <c r="K812" s="702"/>
      <c r="L812" s="290">
        <v>45832</v>
      </c>
      <c r="M812" s="280" t="s">
        <v>453</v>
      </c>
      <c r="N812" s="280">
        <v>25</v>
      </c>
      <c r="O812" s="280"/>
      <c r="P812" s="512" t="s">
        <v>172</v>
      </c>
      <c r="Q812" s="512" t="s">
        <v>172</v>
      </c>
    </row>
    <row r="813" spans="1:17" ht="12.75" customHeight="1" x14ac:dyDescent="0.2">
      <c r="B813" s="280">
        <v>168</v>
      </c>
      <c r="C813" s="291" t="s">
        <v>372</v>
      </c>
      <c r="D813" s="342" t="s">
        <v>275</v>
      </c>
      <c r="E813" s="280" t="s">
        <v>30</v>
      </c>
      <c r="F813" s="290">
        <v>45825</v>
      </c>
      <c r="G813" s="280">
        <v>62.534999999999997</v>
      </c>
      <c r="H813" s="702" t="s">
        <v>172</v>
      </c>
      <c r="I813" s="702"/>
      <c r="J813" s="702"/>
      <c r="K813" s="702"/>
      <c r="L813" s="290">
        <v>45833</v>
      </c>
      <c r="M813" s="280" t="s">
        <v>707</v>
      </c>
      <c r="N813" s="280">
        <v>29</v>
      </c>
      <c r="O813" s="280"/>
      <c r="P813" s="323"/>
      <c r="Q813" s="512" t="s">
        <v>494</v>
      </c>
    </row>
    <row r="814" spans="1:17" ht="12.75" customHeight="1" x14ac:dyDescent="0.2">
      <c r="B814" s="280">
        <v>169</v>
      </c>
      <c r="C814" s="291" t="s">
        <v>277</v>
      </c>
      <c r="D814" s="280" t="s">
        <v>29</v>
      </c>
      <c r="E814" s="280" t="s">
        <v>463</v>
      </c>
      <c r="F814" s="290">
        <v>45833</v>
      </c>
      <c r="G814" s="280">
        <v>36.372</v>
      </c>
      <c r="H814" s="702" t="s">
        <v>172</v>
      </c>
      <c r="I814" s="702"/>
      <c r="J814" s="702"/>
      <c r="K814" s="702"/>
      <c r="L814" s="290">
        <v>45836</v>
      </c>
      <c r="M814" s="280" t="s">
        <v>453</v>
      </c>
      <c r="N814" s="280">
        <v>28</v>
      </c>
      <c r="O814" s="280"/>
      <c r="P814" s="323"/>
      <c r="Q814" s="323"/>
    </row>
    <row r="815" spans="1:17" s="221" customFormat="1" ht="12.75" customHeight="1" x14ac:dyDescent="0.2">
      <c r="B815" s="280">
        <v>170</v>
      </c>
      <c r="C815" s="291" t="s">
        <v>278</v>
      </c>
      <c r="D815" s="259" t="s">
        <v>285</v>
      </c>
      <c r="E815" s="259" t="s">
        <v>456</v>
      </c>
      <c r="F815" s="290">
        <v>45837</v>
      </c>
      <c r="G815" s="280">
        <v>34.945999999999998</v>
      </c>
      <c r="H815" s="702" t="s">
        <v>172</v>
      </c>
      <c r="I815" s="702"/>
      <c r="J815" s="702"/>
      <c r="K815" s="702"/>
      <c r="L815" s="290">
        <v>45840</v>
      </c>
      <c r="M815" s="280" t="s">
        <v>453</v>
      </c>
      <c r="N815" s="280">
        <v>27</v>
      </c>
      <c r="O815" s="280"/>
      <c r="P815" s="323"/>
      <c r="Q815" s="323"/>
    </row>
    <row r="816" spans="1:17" ht="12.75" customHeight="1" x14ac:dyDescent="0.2">
      <c r="B816" s="280">
        <v>171</v>
      </c>
      <c r="C816" s="291" t="s">
        <v>301</v>
      </c>
      <c r="D816" s="280" t="s">
        <v>612</v>
      </c>
      <c r="E816" s="280" t="s">
        <v>462</v>
      </c>
      <c r="F816" s="290">
        <v>45832</v>
      </c>
      <c r="G816" s="491">
        <v>76.192999999999998</v>
      </c>
      <c r="H816" s="702" t="s">
        <v>172</v>
      </c>
      <c r="I816" s="702"/>
      <c r="J816" s="702"/>
      <c r="K816" s="702"/>
      <c r="L816" s="290">
        <v>45842</v>
      </c>
      <c r="M816" s="258" t="s">
        <v>754</v>
      </c>
      <c r="N816" s="280">
        <v>30</v>
      </c>
      <c r="O816" s="280"/>
      <c r="P816" s="323"/>
      <c r="Q816" s="323"/>
    </row>
    <row r="817" spans="2:17" ht="12.75" customHeight="1" x14ac:dyDescent="0.2">
      <c r="B817" s="280">
        <v>172</v>
      </c>
      <c r="C817" s="291" t="s">
        <v>377</v>
      </c>
      <c r="D817" s="280" t="s">
        <v>29</v>
      </c>
      <c r="E817" s="280" t="s">
        <v>30</v>
      </c>
      <c r="F817" s="290">
        <v>45833</v>
      </c>
      <c r="G817" s="280">
        <v>36.372</v>
      </c>
      <c r="H817" s="702" t="s">
        <v>172</v>
      </c>
      <c r="I817" s="702"/>
      <c r="J817" s="702"/>
      <c r="K817" s="702"/>
      <c r="L817" s="290">
        <v>45842</v>
      </c>
      <c r="M817" s="258" t="s">
        <v>707</v>
      </c>
      <c r="N817" s="280">
        <v>28</v>
      </c>
      <c r="O817" s="280"/>
      <c r="P817" s="323"/>
      <c r="Q817" s="323"/>
    </row>
    <row r="818" spans="2:17" s="221" customFormat="1" ht="12.75" customHeight="1" x14ac:dyDescent="0.2">
      <c r="B818" s="280">
        <v>173</v>
      </c>
      <c r="C818" s="291" t="s">
        <v>406</v>
      </c>
      <c r="D818" s="280" t="s">
        <v>34</v>
      </c>
      <c r="E818" s="280" t="s">
        <v>30</v>
      </c>
      <c r="F818" s="290">
        <v>45832</v>
      </c>
      <c r="G818" s="280">
        <v>37.930999999999997</v>
      </c>
      <c r="H818" s="702" t="s">
        <v>172</v>
      </c>
      <c r="I818" s="702"/>
      <c r="J818" s="702"/>
      <c r="K818" s="702"/>
      <c r="L818" s="290">
        <v>45843</v>
      </c>
      <c r="M818" s="280" t="s">
        <v>755</v>
      </c>
      <c r="N818" s="280">
        <v>27</v>
      </c>
      <c r="O818" s="280"/>
      <c r="P818" s="323"/>
      <c r="Q818" s="323"/>
    </row>
    <row r="819" spans="2:17" s="221" customFormat="1" ht="12.75" customHeight="1" x14ac:dyDescent="0.2">
      <c r="B819" s="280">
        <v>174</v>
      </c>
      <c r="C819" s="291" t="s">
        <v>332</v>
      </c>
      <c r="D819" s="280" t="s">
        <v>131</v>
      </c>
      <c r="E819" s="280" t="s">
        <v>30</v>
      </c>
      <c r="F819" s="290">
        <v>45828</v>
      </c>
      <c r="G819" s="280">
        <v>54.66</v>
      </c>
      <c r="H819" s="702" t="s">
        <v>172</v>
      </c>
      <c r="I819" s="702"/>
      <c r="J819" s="702"/>
      <c r="K819" s="702"/>
      <c r="L819" s="290">
        <v>45845</v>
      </c>
      <c r="M819" s="280" t="s">
        <v>443</v>
      </c>
      <c r="N819" s="280">
        <v>28</v>
      </c>
      <c r="O819" s="280"/>
      <c r="P819" s="323" t="s">
        <v>172</v>
      </c>
      <c r="Q819" s="323" t="s">
        <v>172</v>
      </c>
    </row>
    <row r="820" spans="2:17" s="221" customFormat="1" ht="12.75" customHeight="1" x14ac:dyDescent="0.2">
      <c r="B820" s="280">
        <v>175</v>
      </c>
      <c r="C820" s="291" t="s">
        <v>264</v>
      </c>
      <c r="D820" s="280" t="s">
        <v>131</v>
      </c>
      <c r="E820" s="280" t="s">
        <v>30</v>
      </c>
      <c r="F820" s="290">
        <v>45841</v>
      </c>
      <c r="G820" s="280">
        <v>54.66</v>
      </c>
      <c r="H820" s="702" t="s">
        <v>172</v>
      </c>
      <c r="I820" s="702"/>
      <c r="J820" s="702"/>
      <c r="K820" s="702"/>
      <c r="L820" s="290">
        <v>45845</v>
      </c>
      <c r="M820" s="280" t="s">
        <v>453</v>
      </c>
      <c r="N820" s="280">
        <v>28</v>
      </c>
      <c r="O820" s="280"/>
      <c r="P820" s="512" t="s">
        <v>662</v>
      </c>
      <c r="Q820" s="512" t="s">
        <v>662</v>
      </c>
    </row>
    <row r="821" spans="2:17" ht="12.75" customHeight="1" x14ac:dyDescent="0.2">
      <c r="B821" s="280">
        <v>176</v>
      </c>
      <c r="C821" s="302" t="s">
        <v>231</v>
      </c>
      <c r="D821" s="488" t="s">
        <v>206</v>
      </c>
      <c r="E821" s="280" t="s">
        <v>30</v>
      </c>
      <c r="F821" s="290">
        <v>45842</v>
      </c>
      <c r="G821" s="280">
        <v>31.99</v>
      </c>
      <c r="H821" s="702" t="s">
        <v>172</v>
      </c>
      <c r="I821" s="702"/>
      <c r="J821" s="702"/>
      <c r="K821" s="702"/>
      <c r="L821" s="290">
        <v>45848</v>
      </c>
      <c r="M821" s="258" t="s">
        <v>471</v>
      </c>
      <c r="N821" s="258">
        <v>24</v>
      </c>
      <c r="O821" s="258"/>
      <c r="P821" s="323"/>
      <c r="Q821" s="323"/>
    </row>
    <row r="822" spans="2:17" s="221" customFormat="1" ht="12.75" customHeight="1" x14ac:dyDescent="0.2">
      <c r="B822" s="280">
        <v>177</v>
      </c>
      <c r="C822" s="280" t="s">
        <v>262</v>
      </c>
      <c r="D822" s="223" t="s">
        <v>205</v>
      </c>
      <c r="E822" s="259" t="s">
        <v>337</v>
      </c>
      <c r="F822" s="290" t="s">
        <v>769</v>
      </c>
      <c r="G822" s="280">
        <v>33.380000000000003</v>
      </c>
      <c r="H822" s="702" t="s">
        <v>172</v>
      </c>
      <c r="I822" s="702"/>
      <c r="J822" s="702"/>
      <c r="K822" s="702"/>
      <c r="L822" s="290">
        <v>45850</v>
      </c>
      <c r="M822" s="280" t="s">
        <v>453</v>
      </c>
      <c r="N822" s="280">
        <v>27</v>
      </c>
      <c r="O822" s="280"/>
      <c r="P822" s="512" t="s">
        <v>662</v>
      </c>
      <c r="Q822" s="511" t="s">
        <v>172</v>
      </c>
    </row>
    <row r="823" spans="2:17" s="221" customFormat="1" ht="12.75" customHeight="1" x14ac:dyDescent="0.2">
      <c r="B823" s="280">
        <v>178</v>
      </c>
      <c r="C823" s="280" t="s">
        <v>405</v>
      </c>
      <c r="D823" s="259" t="s">
        <v>34</v>
      </c>
      <c r="E823" s="259" t="s">
        <v>337</v>
      </c>
      <c r="F823" s="290">
        <v>45844</v>
      </c>
      <c r="G823" s="280">
        <v>37.930999999999997</v>
      </c>
      <c r="H823" s="702" t="s">
        <v>172</v>
      </c>
      <c r="I823" s="702"/>
      <c r="J823" s="702"/>
      <c r="K823" s="702"/>
      <c r="L823" s="290">
        <v>45850</v>
      </c>
      <c r="M823" s="280" t="s">
        <v>755</v>
      </c>
      <c r="N823" s="280">
        <v>24</v>
      </c>
      <c r="O823" s="280"/>
      <c r="P823" s="511"/>
      <c r="Q823" s="511"/>
    </row>
    <row r="824" spans="2:17" ht="12.75" customHeight="1" x14ac:dyDescent="0.2">
      <c r="B824" s="280">
        <v>179</v>
      </c>
      <c r="C824" s="280" t="s">
        <v>300</v>
      </c>
      <c r="D824" s="215" t="s">
        <v>309</v>
      </c>
      <c r="E824" s="215" t="s">
        <v>462</v>
      </c>
      <c r="F824" s="280" t="s">
        <v>766</v>
      </c>
      <c r="G824" s="280">
        <v>71.706000000000003</v>
      </c>
      <c r="H824" s="702" t="s">
        <v>172</v>
      </c>
      <c r="I824" s="702"/>
      <c r="J824" s="702"/>
      <c r="K824" s="702"/>
      <c r="L824" s="290">
        <v>45851</v>
      </c>
      <c r="M824" s="280" t="s">
        <v>754</v>
      </c>
      <c r="N824" s="280">
        <v>26</v>
      </c>
      <c r="O824" s="280"/>
      <c r="P824" s="511"/>
      <c r="Q824" s="511"/>
    </row>
    <row r="825" spans="2:17" ht="12.75" customHeight="1" x14ac:dyDescent="0.2">
      <c r="B825" s="280">
        <v>180</v>
      </c>
      <c r="C825" s="291" t="s">
        <v>230</v>
      </c>
      <c r="D825" s="283" t="s">
        <v>206</v>
      </c>
      <c r="E825" s="317" t="s">
        <v>30</v>
      </c>
      <c r="F825" s="290">
        <v>45849</v>
      </c>
      <c r="G825" s="280">
        <v>31.99</v>
      </c>
      <c r="H825" s="702" t="s">
        <v>172</v>
      </c>
      <c r="I825" s="702"/>
      <c r="J825" s="702"/>
      <c r="K825" s="702"/>
      <c r="L825" s="290">
        <v>45853</v>
      </c>
      <c r="M825" s="280" t="s">
        <v>471</v>
      </c>
      <c r="N825" s="280">
        <v>27</v>
      </c>
      <c r="O825" s="280"/>
      <c r="P825" s="511"/>
      <c r="Q825" s="511"/>
    </row>
    <row r="826" spans="2:17" ht="12.75" customHeight="1" x14ac:dyDescent="0.2">
      <c r="B826" s="280">
        <v>181</v>
      </c>
      <c r="C826" s="280" t="s">
        <v>374</v>
      </c>
      <c r="D826" s="283" t="s">
        <v>633</v>
      </c>
      <c r="E826" s="317" t="s">
        <v>30</v>
      </c>
      <c r="F826" s="290">
        <v>45843</v>
      </c>
      <c r="G826" s="280">
        <v>63.16</v>
      </c>
      <c r="H826" s="702" t="s">
        <v>172</v>
      </c>
      <c r="I826" s="702"/>
      <c r="J826" s="702"/>
      <c r="K826" s="702"/>
      <c r="L826" s="290">
        <v>45854</v>
      </c>
      <c r="M826" s="280" t="s">
        <v>707</v>
      </c>
      <c r="N826" s="258">
        <v>25</v>
      </c>
      <c r="O826" s="258"/>
      <c r="P826" s="511"/>
      <c r="Q826" s="280"/>
    </row>
    <row r="827" spans="2:17" ht="12.75" customHeight="1" x14ac:dyDescent="0.2">
      <c r="B827" s="280">
        <v>182</v>
      </c>
      <c r="C827" s="291" t="s">
        <v>260</v>
      </c>
      <c r="D827" s="317" t="s">
        <v>206</v>
      </c>
      <c r="E827" s="317" t="s">
        <v>337</v>
      </c>
      <c r="F827" s="290">
        <v>45851</v>
      </c>
      <c r="G827" s="280">
        <v>31.99</v>
      </c>
      <c r="H827" s="702" t="s">
        <v>172</v>
      </c>
      <c r="I827" s="702"/>
      <c r="J827" s="702"/>
      <c r="K827" s="702"/>
      <c r="L827" s="290">
        <v>45854</v>
      </c>
      <c r="M827" s="280" t="s">
        <v>453</v>
      </c>
      <c r="N827" s="280">
        <v>26</v>
      </c>
      <c r="O827" s="280"/>
      <c r="P827" s="512" t="s">
        <v>662</v>
      </c>
      <c r="Q827" s="511" t="s">
        <v>172</v>
      </c>
    </row>
    <row r="828" spans="2:17" ht="12.75" customHeight="1" x14ac:dyDescent="0.2">
      <c r="B828" s="280">
        <v>183</v>
      </c>
      <c r="C828" s="291" t="s">
        <v>229</v>
      </c>
      <c r="D828" s="317" t="s">
        <v>206</v>
      </c>
      <c r="E828" s="317" t="s">
        <v>30</v>
      </c>
      <c r="F828" s="290">
        <v>45853</v>
      </c>
      <c r="G828" s="280">
        <v>31.99</v>
      </c>
      <c r="H828" s="702" t="s">
        <v>172</v>
      </c>
      <c r="I828" s="702"/>
      <c r="J828" s="702"/>
      <c r="K828" s="702"/>
      <c r="L828" s="290">
        <v>45856</v>
      </c>
      <c r="M828" s="280" t="s">
        <v>476</v>
      </c>
      <c r="N828" s="511">
        <v>25</v>
      </c>
      <c r="O828" s="280"/>
      <c r="P828" s="511"/>
      <c r="Q828" s="280"/>
    </row>
    <row r="829" spans="2:17" ht="12.75" customHeight="1" x14ac:dyDescent="0.2">
      <c r="B829" s="280">
        <v>184</v>
      </c>
      <c r="C829" s="291" t="s">
        <v>259</v>
      </c>
      <c r="D829" s="317" t="s">
        <v>205</v>
      </c>
      <c r="E829" s="317" t="s">
        <v>30</v>
      </c>
      <c r="F829" s="290">
        <v>45855</v>
      </c>
      <c r="G829" s="305">
        <v>33.375579000000002</v>
      </c>
      <c r="H829" s="702" t="s">
        <v>172</v>
      </c>
      <c r="I829" s="702"/>
      <c r="J829" s="702"/>
      <c r="K829" s="702"/>
      <c r="L829" s="290">
        <v>45858</v>
      </c>
      <c r="M829" s="280" t="s">
        <v>453</v>
      </c>
      <c r="N829" s="280">
        <v>23</v>
      </c>
      <c r="O829" s="280"/>
      <c r="P829" s="512" t="s">
        <v>662</v>
      </c>
      <c r="Q829" s="511" t="s">
        <v>172</v>
      </c>
    </row>
    <row r="830" spans="2:17" ht="12.75" customHeight="1" x14ac:dyDescent="0.2">
      <c r="B830" s="280">
        <v>185</v>
      </c>
      <c r="C830" s="291" t="s">
        <v>420</v>
      </c>
      <c r="D830" s="317" t="s">
        <v>34</v>
      </c>
      <c r="E830" s="317" t="s">
        <v>30</v>
      </c>
      <c r="F830" s="290">
        <v>45850</v>
      </c>
      <c r="G830" s="280">
        <v>37.930999999999997</v>
      </c>
      <c r="H830" s="702" t="s">
        <v>172</v>
      </c>
      <c r="I830" s="702"/>
      <c r="J830" s="702"/>
      <c r="K830" s="702"/>
      <c r="L830" s="290">
        <v>45858</v>
      </c>
      <c r="M830" s="280" t="s">
        <v>778</v>
      </c>
      <c r="N830" s="511">
        <v>25</v>
      </c>
      <c r="O830" s="280"/>
      <c r="P830" s="511"/>
      <c r="Q830" s="280"/>
    </row>
    <row r="831" spans="2:17" ht="12.75" customHeight="1" x14ac:dyDescent="0.2">
      <c r="B831" s="280">
        <v>186</v>
      </c>
      <c r="C831" s="291" t="s">
        <v>242</v>
      </c>
      <c r="D831" s="488" t="s">
        <v>206</v>
      </c>
      <c r="E831" s="317" t="s">
        <v>30</v>
      </c>
      <c r="F831" s="290">
        <v>45852</v>
      </c>
      <c r="G831" s="280">
        <v>31.99</v>
      </c>
      <c r="H831" s="702" t="s">
        <v>172</v>
      </c>
      <c r="I831" s="702"/>
      <c r="J831" s="702"/>
      <c r="K831" s="702"/>
      <c r="L831" s="290">
        <v>45859</v>
      </c>
      <c r="M831" s="280" t="s">
        <v>754</v>
      </c>
      <c r="N831" s="280">
        <v>24</v>
      </c>
      <c r="O831" s="280"/>
      <c r="P831" s="511"/>
      <c r="Q831" s="280"/>
    </row>
    <row r="832" spans="2:17" x14ac:dyDescent="0.2">
      <c r="B832" s="280">
        <v>187</v>
      </c>
      <c r="C832" s="291" t="s">
        <v>228</v>
      </c>
      <c r="D832" s="317" t="s">
        <v>206</v>
      </c>
      <c r="E832" s="317" t="s">
        <v>30</v>
      </c>
      <c r="F832" s="290">
        <v>45857</v>
      </c>
      <c r="G832" s="280">
        <v>31.99</v>
      </c>
      <c r="H832" s="702" t="s">
        <v>172</v>
      </c>
      <c r="I832" s="702"/>
      <c r="J832" s="702"/>
      <c r="K832" s="702"/>
      <c r="L832" s="290">
        <v>45859</v>
      </c>
      <c r="M832" s="280" t="s">
        <v>476</v>
      </c>
      <c r="N832" s="280">
        <v>24</v>
      </c>
      <c r="O832" s="280"/>
      <c r="P832" s="540"/>
      <c r="Q832" s="520"/>
    </row>
    <row r="833" spans="2:17" x14ac:dyDescent="0.2">
      <c r="B833" s="280">
        <v>188</v>
      </c>
      <c r="C833" s="291" t="s">
        <v>258</v>
      </c>
      <c r="D833" s="317" t="s">
        <v>205</v>
      </c>
      <c r="E833" s="317" t="s">
        <v>30</v>
      </c>
      <c r="F833" s="290">
        <v>45859</v>
      </c>
      <c r="G833" s="280">
        <v>33.380000000000003</v>
      </c>
      <c r="H833" s="702" t="s">
        <v>172</v>
      </c>
      <c r="I833" s="702"/>
      <c r="J833" s="702"/>
      <c r="K833" s="702"/>
      <c r="L833" s="290">
        <v>45863</v>
      </c>
      <c r="M833" s="280" t="s">
        <v>453</v>
      </c>
      <c r="N833" s="280">
        <v>25</v>
      </c>
      <c r="O833" s="588"/>
      <c r="P833" s="512" t="s">
        <v>662</v>
      </c>
      <c r="Q833" s="511" t="s">
        <v>172</v>
      </c>
    </row>
    <row r="834" spans="2:17" x14ac:dyDescent="0.2">
      <c r="B834" s="280">
        <v>189</v>
      </c>
      <c r="C834" s="291" t="s">
        <v>227</v>
      </c>
      <c r="D834" s="488" t="s">
        <v>205</v>
      </c>
      <c r="E834" s="317" t="s">
        <v>30</v>
      </c>
      <c r="F834" s="290">
        <v>45860</v>
      </c>
      <c r="G834" s="280">
        <v>33.380000000000003</v>
      </c>
      <c r="H834" s="702" t="s">
        <v>172</v>
      </c>
      <c r="I834" s="702"/>
      <c r="J834" s="702"/>
      <c r="K834" s="702"/>
      <c r="L834" s="290">
        <v>45866</v>
      </c>
      <c r="M834" s="280" t="s">
        <v>476</v>
      </c>
      <c r="N834" s="511">
        <v>25</v>
      </c>
      <c r="O834" s="280"/>
      <c r="P834" s="540"/>
      <c r="Q834" s="520"/>
    </row>
    <row r="835" spans="2:17" x14ac:dyDescent="0.2">
      <c r="B835" s="280">
        <v>190</v>
      </c>
      <c r="C835" s="291" t="s">
        <v>250</v>
      </c>
      <c r="D835" s="488" t="s">
        <v>205</v>
      </c>
      <c r="E835" s="317" t="s">
        <v>30</v>
      </c>
      <c r="F835" s="290">
        <v>45860</v>
      </c>
      <c r="G835" s="280">
        <v>33.380000000000003</v>
      </c>
      <c r="H835" s="702" t="s">
        <v>172</v>
      </c>
      <c r="I835" s="702"/>
      <c r="J835" s="702"/>
      <c r="K835" s="702"/>
      <c r="L835" s="290">
        <v>45867</v>
      </c>
      <c r="M835" s="280" t="s">
        <v>754</v>
      </c>
      <c r="N835" s="280">
        <v>24</v>
      </c>
      <c r="O835" s="280"/>
      <c r="P835" s="540"/>
      <c r="Q835" s="520"/>
    </row>
    <row r="836" spans="2:17" x14ac:dyDescent="0.2">
      <c r="B836" s="280">
        <v>191</v>
      </c>
      <c r="C836" s="291" t="s">
        <v>419</v>
      </c>
      <c r="D836" s="317" t="s">
        <v>34</v>
      </c>
      <c r="E836" s="317" t="s">
        <v>432</v>
      </c>
      <c r="F836" s="290">
        <v>45859</v>
      </c>
      <c r="G836" s="280">
        <v>37.930999999999997</v>
      </c>
      <c r="H836" s="702" t="s">
        <v>172</v>
      </c>
      <c r="I836" s="702"/>
      <c r="J836" s="702"/>
      <c r="K836" s="702"/>
      <c r="L836" s="290">
        <v>45867</v>
      </c>
      <c r="M836" s="280" t="s">
        <v>836</v>
      </c>
      <c r="N836" s="280">
        <v>24</v>
      </c>
      <c r="O836" s="280"/>
      <c r="P836" s="540"/>
      <c r="Q836" s="520"/>
    </row>
    <row r="837" spans="2:17" x14ac:dyDescent="0.2">
      <c r="B837" s="280">
        <v>192</v>
      </c>
      <c r="C837" s="291" t="s">
        <v>402</v>
      </c>
      <c r="D837" s="317" t="s">
        <v>608</v>
      </c>
      <c r="E837" s="317" t="s">
        <v>30</v>
      </c>
      <c r="F837" s="290">
        <v>45851</v>
      </c>
      <c r="G837" s="280">
        <v>65.22</v>
      </c>
      <c r="H837" s="702" t="s">
        <v>172</v>
      </c>
      <c r="I837" s="702"/>
      <c r="J837" s="702"/>
      <c r="K837" s="702"/>
      <c r="L837" s="290">
        <v>45868</v>
      </c>
      <c r="M837" s="280" t="s">
        <v>779</v>
      </c>
      <c r="N837" s="511">
        <v>25</v>
      </c>
      <c r="O837" s="280"/>
      <c r="P837" s="280"/>
      <c r="Q837" s="520"/>
    </row>
    <row r="838" spans="2:17" x14ac:dyDescent="0.2">
      <c r="B838" s="280">
        <v>193</v>
      </c>
      <c r="C838" s="291" t="s">
        <v>257</v>
      </c>
      <c r="D838" s="317" t="s">
        <v>206</v>
      </c>
      <c r="E838" s="317" t="s">
        <v>30</v>
      </c>
      <c r="F838" s="290">
        <v>45864</v>
      </c>
      <c r="G838" s="280">
        <v>31.99</v>
      </c>
      <c r="H838" s="702" t="s">
        <v>172</v>
      </c>
      <c r="I838" s="702"/>
      <c r="J838" s="702"/>
      <c r="K838" s="702"/>
      <c r="L838" s="290">
        <v>45869</v>
      </c>
      <c r="M838" s="280" t="s">
        <v>453</v>
      </c>
      <c r="N838" s="280">
        <v>24</v>
      </c>
      <c r="O838" s="280"/>
      <c r="P838" s="512" t="s">
        <v>662</v>
      </c>
      <c r="Q838" s="511" t="s">
        <v>172</v>
      </c>
    </row>
    <row r="839" spans="2:17" x14ac:dyDescent="0.2">
      <c r="B839" s="280">
        <v>194</v>
      </c>
      <c r="C839" s="291" t="s">
        <v>222</v>
      </c>
      <c r="D839" s="293" t="s">
        <v>205</v>
      </c>
      <c r="E839" s="317" t="s">
        <v>30</v>
      </c>
      <c r="F839" s="290">
        <v>45867</v>
      </c>
      <c r="G839" s="280">
        <v>33.380000000000003</v>
      </c>
      <c r="H839" s="702" t="s">
        <v>172</v>
      </c>
      <c r="I839" s="702"/>
      <c r="J839" s="702"/>
      <c r="K839" s="702"/>
      <c r="L839" s="290">
        <v>45870</v>
      </c>
      <c r="M839" s="280" t="s">
        <v>476</v>
      </c>
      <c r="N839" s="280">
        <v>24</v>
      </c>
      <c r="O839" s="280"/>
      <c r="P839" s="540"/>
      <c r="Q839" s="520"/>
    </row>
    <row r="840" spans="2:17" x14ac:dyDescent="0.2">
      <c r="B840" s="280">
        <v>195</v>
      </c>
      <c r="C840" s="280" t="s">
        <v>314</v>
      </c>
      <c r="D840" s="288" t="s">
        <v>285</v>
      </c>
      <c r="E840" s="317" t="s">
        <v>462</v>
      </c>
      <c r="F840" s="290">
        <v>45846</v>
      </c>
      <c r="G840" s="280">
        <v>34.945999999999998</v>
      </c>
      <c r="H840" s="702" t="s">
        <v>172</v>
      </c>
      <c r="I840" s="702"/>
      <c r="J840" s="702"/>
      <c r="K840" s="702"/>
      <c r="L840" s="290">
        <v>45871</v>
      </c>
      <c r="M840" s="258" t="s">
        <v>443</v>
      </c>
      <c r="N840" s="511">
        <v>25</v>
      </c>
      <c r="O840" s="258"/>
      <c r="P840" s="280"/>
      <c r="Q840" s="512" t="s">
        <v>172</v>
      </c>
    </row>
    <row r="841" spans="2:17" x14ac:dyDescent="0.2">
      <c r="B841" s="280">
        <v>196</v>
      </c>
      <c r="C841" s="291" t="s">
        <v>244</v>
      </c>
      <c r="D841" s="317" t="s">
        <v>206</v>
      </c>
      <c r="E841" s="317" t="s">
        <v>30</v>
      </c>
      <c r="F841" s="290">
        <v>45868</v>
      </c>
      <c r="G841" s="280">
        <v>31.99</v>
      </c>
      <c r="H841" s="702" t="s">
        <v>172</v>
      </c>
      <c r="I841" s="702"/>
      <c r="J841" s="702"/>
      <c r="K841" s="702"/>
      <c r="L841" s="290">
        <v>45871</v>
      </c>
      <c r="M841" s="280" t="s">
        <v>754</v>
      </c>
      <c r="N841" s="511">
        <v>25</v>
      </c>
      <c r="O841" s="280"/>
      <c r="P841" s="540"/>
      <c r="Q841" s="520"/>
    </row>
    <row r="842" spans="2:17" x14ac:dyDescent="0.2">
      <c r="B842" s="280">
        <v>197</v>
      </c>
      <c r="C842" s="291" t="s">
        <v>375</v>
      </c>
      <c r="D842" s="317" t="s">
        <v>352</v>
      </c>
      <c r="E842" s="317" t="s">
        <v>30</v>
      </c>
      <c r="F842" s="290">
        <v>45855</v>
      </c>
      <c r="G842" s="280">
        <v>64.89</v>
      </c>
      <c r="H842" s="702" t="s">
        <v>172</v>
      </c>
      <c r="I842" s="702"/>
      <c r="J842" s="702"/>
      <c r="K842" s="702"/>
      <c r="L842" s="290">
        <v>45872</v>
      </c>
      <c r="M842" s="280" t="s">
        <v>707</v>
      </c>
      <c r="N842" s="280">
        <v>24</v>
      </c>
      <c r="O842" s="258"/>
      <c r="P842" s="520"/>
      <c r="Q842" s="520"/>
    </row>
    <row r="843" spans="2:17" x14ac:dyDescent="0.2">
      <c r="B843" s="280">
        <v>198</v>
      </c>
      <c r="C843" s="291" t="s">
        <v>232</v>
      </c>
      <c r="D843" s="317" t="s">
        <v>206</v>
      </c>
      <c r="E843" s="317" t="s">
        <v>30</v>
      </c>
      <c r="F843" s="290">
        <v>45871</v>
      </c>
      <c r="G843" s="280">
        <v>31.99</v>
      </c>
      <c r="H843" s="702" t="s">
        <v>172</v>
      </c>
      <c r="I843" s="702"/>
      <c r="J843" s="702"/>
      <c r="K843" s="702"/>
      <c r="L843" s="290">
        <v>45873</v>
      </c>
      <c r="M843" s="280" t="s">
        <v>476</v>
      </c>
      <c r="N843" s="280">
        <v>24</v>
      </c>
      <c r="O843" s="280"/>
      <c r="P843" s="540"/>
      <c r="Q843" s="520"/>
    </row>
    <row r="844" spans="2:17" x14ac:dyDescent="0.2">
      <c r="B844" s="280">
        <v>199</v>
      </c>
      <c r="C844" s="291" t="s">
        <v>421</v>
      </c>
      <c r="D844" s="317" t="s">
        <v>34</v>
      </c>
      <c r="E844" s="317" t="s">
        <v>30</v>
      </c>
      <c r="F844" s="290">
        <v>45868</v>
      </c>
      <c r="G844" s="280">
        <v>37.930999999999997</v>
      </c>
      <c r="H844" s="702" t="s">
        <v>172</v>
      </c>
      <c r="I844" s="702"/>
      <c r="J844" s="702"/>
      <c r="K844" s="702"/>
      <c r="L844" s="290">
        <v>45873</v>
      </c>
      <c r="M844" s="280" t="s">
        <v>836</v>
      </c>
      <c r="N844" s="280">
        <v>24</v>
      </c>
      <c r="O844" s="280"/>
      <c r="P844" s="540"/>
      <c r="Q844" s="520"/>
    </row>
    <row r="845" spans="2:17" x14ac:dyDescent="0.2">
      <c r="B845" s="317">
        <v>200</v>
      </c>
      <c r="C845" s="288" t="s">
        <v>274</v>
      </c>
      <c r="D845" s="317" t="s">
        <v>275</v>
      </c>
      <c r="E845" s="317" t="s">
        <v>30</v>
      </c>
      <c r="F845" s="257">
        <v>45870</v>
      </c>
      <c r="G845" s="317">
        <v>62.534999999999997</v>
      </c>
      <c r="H845" s="702" t="s">
        <v>172</v>
      </c>
      <c r="I845" s="702"/>
      <c r="J845" s="702"/>
      <c r="K845" s="702"/>
      <c r="L845" s="257">
        <v>45875</v>
      </c>
      <c r="M845" s="317" t="s">
        <v>453</v>
      </c>
      <c r="N845" s="317">
        <v>24</v>
      </c>
      <c r="O845" s="280"/>
      <c r="P845" s="512" t="s">
        <v>172</v>
      </c>
      <c r="Q845" s="512" t="s">
        <v>662</v>
      </c>
    </row>
    <row r="846" spans="2:17" x14ac:dyDescent="0.2">
      <c r="B846" s="317">
        <v>201</v>
      </c>
      <c r="C846" s="288" t="s">
        <v>243</v>
      </c>
      <c r="D846" s="317" t="s">
        <v>205</v>
      </c>
      <c r="E846" s="317" t="s">
        <v>30</v>
      </c>
      <c r="F846" s="257">
        <v>45872</v>
      </c>
      <c r="G846" s="317">
        <v>33.380000000000003</v>
      </c>
      <c r="H846" s="702" t="s">
        <v>172</v>
      </c>
      <c r="I846" s="702"/>
      <c r="J846" s="702"/>
      <c r="K846" s="702"/>
      <c r="L846" s="257">
        <v>45876</v>
      </c>
      <c r="M846" s="317" t="s">
        <v>754</v>
      </c>
      <c r="N846" s="340">
        <v>25</v>
      </c>
      <c r="O846" s="258"/>
      <c r="P846" s="520"/>
      <c r="Q846" s="520"/>
    </row>
    <row r="847" spans="2:17" x14ac:dyDescent="0.2">
      <c r="B847" s="317">
        <v>202</v>
      </c>
      <c r="C847" s="288" t="s">
        <v>249</v>
      </c>
      <c r="D847" s="283" t="s">
        <v>205</v>
      </c>
      <c r="E847" s="317" t="s">
        <v>30</v>
      </c>
      <c r="F847" s="257">
        <v>45874</v>
      </c>
      <c r="G847" s="317">
        <v>33.380000000000003</v>
      </c>
      <c r="H847" s="702" t="s">
        <v>172</v>
      </c>
      <c r="I847" s="702"/>
      <c r="J847" s="702"/>
      <c r="K847" s="702"/>
      <c r="L847" s="257">
        <v>45877</v>
      </c>
      <c r="M847" s="317" t="s">
        <v>476</v>
      </c>
      <c r="N847" s="317">
        <v>24</v>
      </c>
      <c r="O847" s="280"/>
      <c r="P847" s="540"/>
      <c r="Q847" s="520"/>
    </row>
    <row r="848" spans="2:17" x14ac:dyDescent="0.2">
      <c r="B848" s="317">
        <v>203</v>
      </c>
      <c r="C848" s="288" t="s">
        <v>224</v>
      </c>
      <c r="D848" s="488" t="s">
        <v>206</v>
      </c>
      <c r="E848" s="317" t="s">
        <v>30</v>
      </c>
      <c r="F848" s="257">
        <v>45878</v>
      </c>
      <c r="G848" s="317">
        <v>31.99</v>
      </c>
      <c r="H848" s="702" t="s">
        <v>172</v>
      </c>
      <c r="I848" s="702"/>
      <c r="J848" s="702"/>
      <c r="K848" s="702"/>
      <c r="L848" s="257">
        <v>45880</v>
      </c>
      <c r="M848" s="317" t="s">
        <v>476</v>
      </c>
      <c r="N848" s="317">
        <v>24</v>
      </c>
      <c r="O848" s="280"/>
      <c r="P848" s="540"/>
      <c r="Q848" s="520"/>
    </row>
    <row r="849" spans="2:17" x14ac:dyDescent="0.2">
      <c r="B849" s="317">
        <v>204</v>
      </c>
      <c r="C849" s="288" t="s">
        <v>272</v>
      </c>
      <c r="D849" s="317" t="s">
        <v>34</v>
      </c>
      <c r="E849" s="317" t="s">
        <v>30</v>
      </c>
      <c r="F849" s="257">
        <v>45876</v>
      </c>
      <c r="G849" s="317">
        <v>37.930999999999997</v>
      </c>
      <c r="H849" s="702" t="s">
        <v>172</v>
      </c>
      <c r="I849" s="702"/>
      <c r="J849" s="702"/>
      <c r="K849" s="702"/>
      <c r="L849" s="257">
        <v>45881</v>
      </c>
      <c r="M849" s="317" t="s">
        <v>453</v>
      </c>
      <c r="N849" s="317">
        <v>25</v>
      </c>
      <c r="O849" s="280"/>
      <c r="P849" s="512" t="s">
        <v>172</v>
      </c>
      <c r="Q849" s="512" t="s">
        <v>662</v>
      </c>
    </row>
    <row r="850" spans="2:17" x14ac:dyDescent="0.2">
      <c r="B850" s="317">
        <v>205</v>
      </c>
      <c r="C850" s="288" t="s">
        <v>373</v>
      </c>
      <c r="D850" s="317" t="s">
        <v>135</v>
      </c>
      <c r="E850" s="317" t="s">
        <v>30</v>
      </c>
      <c r="F850" s="257">
        <v>45873</v>
      </c>
      <c r="G850" s="317">
        <v>54.66</v>
      </c>
      <c r="H850" s="702" t="s">
        <v>172</v>
      </c>
      <c r="I850" s="702"/>
      <c r="J850" s="702"/>
      <c r="K850" s="702"/>
      <c r="L850" s="257">
        <v>45881</v>
      </c>
      <c r="M850" s="317" t="s">
        <v>707</v>
      </c>
      <c r="N850" s="340">
        <v>25</v>
      </c>
      <c r="O850" s="280"/>
      <c r="P850" s="540"/>
      <c r="Q850" s="520"/>
    </row>
    <row r="851" spans="2:17" x14ac:dyDescent="0.2">
      <c r="B851" s="317">
        <v>206</v>
      </c>
      <c r="C851" s="288" t="s">
        <v>248</v>
      </c>
      <c r="D851" s="317" t="s">
        <v>206</v>
      </c>
      <c r="E851" s="317" t="s">
        <v>30</v>
      </c>
      <c r="F851" s="257">
        <v>45877</v>
      </c>
      <c r="G851" s="317">
        <v>31.99</v>
      </c>
      <c r="H851" s="702" t="s">
        <v>172</v>
      </c>
      <c r="I851" s="702"/>
      <c r="J851" s="702"/>
      <c r="K851" s="702"/>
      <c r="L851" s="257">
        <v>45882</v>
      </c>
      <c r="M851" s="317" t="s">
        <v>754</v>
      </c>
      <c r="N851" s="317">
        <v>25</v>
      </c>
      <c r="O851" s="280"/>
      <c r="P851" s="540"/>
      <c r="Q851" s="520"/>
    </row>
    <row r="852" spans="2:17" x14ac:dyDescent="0.2">
      <c r="B852" s="317">
        <v>207</v>
      </c>
      <c r="C852" s="288" t="s">
        <v>422</v>
      </c>
      <c r="D852" s="317" t="s">
        <v>29</v>
      </c>
      <c r="E852" s="317" t="s">
        <v>30</v>
      </c>
      <c r="F852" s="257">
        <v>45874</v>
      </c>
      <c r="G852" s="317">
        <v>36.369999999999997</v>
      </c>
      <c r="H852" s="703" t="s">
        <v>172</v>
      </c>
      <c r="I852" s="704"/>
      <c r="J852" s="704"/>
      <c r="K852" s="705"/>
      <c r="L852" s="257">
        <v>45883</v>
      </c>
      <c r="M852" s="317" t="s">
        <v>778</v>
      </c>
      <c r="N852" s="317">
        <v>24</v>
      </c>
      <c r="O852" s="280"/>
      <c r="P852" s="540"/>
      <c r="Q852" s="520"/>
    </row>
    <row r="853" spans="2:17" s="221" customFormat="1" x14ac:dyDescent="0.2">
      <c r="B853" s="317">
        <v>208</v>
      </c>
      <c r="C853" s="288" t="s">
        <v>256</v>
      </c>
      <c r="D853" s="317" t="s">
        <v>206</v>
      </c>
      <c r="E853" s="317" t="s">
        <v>30</v>
      </c>
      <c r="F853" s="257">
        <v>45882</v>
      </c>
      <c r="G853" s="317">
        <v>31.99</v>
      </c>
      <c r="H853" s="702" t="s">
        <v>172</v>
      </c>
      <c r="I853" s="702"/>
      <c r="J853" s="702"/>
      <c r="K853" s="702"/>
      <c r="L853" s="257">
        <v>45887</v>
      </c>
      <c r="M853" s="280" t="s">
        <v>453</v>
      </c>
      <c r="N853" s="280">
        <v>30</v>
      </c>
      <c r="O853" s="280"/>
      <c r="P853" s="512" t="s">
        <v>662</v>
      </c>
      <c r="Q853" s="511" t="s">
        <v>172</v>
      </c>
    </row>
    <row r="854" spans="2:17" x14ac:dyDescent="0.2">
      <c r="B854" s="317">
        <v>209</v>
      </c>
      <c r="C854" s="288" t="s">
        <v>253</v>
      </c>
      <c r="D854" s="317" t="s">
        <v>205</v>
      </c>
      <c r="E854" s="317" t="s">
        <v>30</v>
      </c>
      <c r="F854" s="257">
        <v>45881</v>
      </c>
      <c r="G854" s="317">
        <v>33.380000000000003</v>
      </c>
      <c r="H854" s="702" t="s">
        <v>172</v>
      </c>
      <c r="I854" s="702"/>
      <c r="J854" s="702"/>
      <c r="K854" s="702"/>
      <c r="L854" s="257">
        <v>45888</v>
      </c>
      <c r="M854" s="317" t="s">
        <v>471</v>
      </c>
      <c r="N854" s="340">
        <v>25</v>
      </c>
      <c r="O854" s="317"/>
      <c r="P854" s="512" t="s">
        <v>662</v>
      </c>
      <c r="Q854" s="511" t="s">
        <v>172</v>
      </c>
    </row>
    <row r="855" spans="2:17" x14ac:dyDescent="0.2">
      <c r="B855" s="317">
        <v>210</v>
      </c>
      <c r="C855" s="288" t="s">
        <v>423</v>
      </c>
      <c r="D855" s="317" t="s">
        <v>47</v>
      </c>
      <c r="E855" s="317" t="s">
        <v>30</v>
      </c>
      <c r="F855" s="257">
        <v>45885</v>
      </c>
      <c r="G855" s="317">
        <v>44.825000000000003</v>
      </c>
      <c r="H855" s="702" t="s">
        <v>172</v>
      </c>
      <c r="I855" s="702"/>
      <c r="J855" s="702"/>
      <c r="K855" s="702"/>
      <c r="L855" s="257">
        <v>45893</v>
      </c>
      <c r="M855" s="280" t="s">
        <v>778</v>
      </c>
      <c r="N855" s="280">
        <v>36</v>
      </c>
      <c r="O855" s="280"/>
      <c r="P855" s="540"/>
      <c r="Q855" s="520"/>
    </row>
    <row r="856" spans="2:17" x14ac:dyDescent="0.2">
      <c r="B856" s="317">
        <v>211</v>
      </c>
      <c r="C856" s="606" t="s">
        <v>286</v>
      </c>
      <c r="D856" s="607" t="s">
        <v>34</v>
      </c>
      <c r="E856" s="607" t="s">
        <v>432</v>
      </c>
      <c r="F856" s="312">
        <v>45892</v>
      </c>
      <c r="G856" s="317">
        <v>37.930999999999997</v>
      </c>
      <c r="H856" s="702" t="s">
        <v>172</v>
      </c>
      <c r="I856" s="702"/>
      <c r="J856" s="702"/>
      <c r="K856" s="702"/>
      <c r="L856" s="312">
        <v>45898</v>
      </c>
      <c r="M856" s="258" t="s">
        <v>453</v>
      </c>
      <c r="N856" s="258">
        <v>30</v>
      </c>
      <c r="O856" s="602"/>
      <c r="P856" s="512" t="s">
        <v>172</v>
      </c>
      <c r="Q856" s="258" t="s">
        <v>172</v>
      </c>
    </row>
    <row r="857" spans="2:17" x14ac:dyDescent="0.2">
      <c r="B857" s="317">
        <v>212</v>
      </c>
      <c r="C857" s="317" t="s">
        <v>412</v>
      </c>
      <c r="D857" s="317" t="s">
        <v>613</v>
      </c>
      <c r="E857" s="317" t="s">
        <v>30</v>
      </c>
      <c r="F857" s="257">
        <v>45882</v>
      </c>
      <c r="G857" s="317">
        <v>64.891000000000005</v>
      </c>
      <c r="H857" s="702" t="s">
        <v>172</v>
      </c>
      <c r="I857" s="702"/>
      <c r="J857" s="702"/>
      <c r="K857" s="702"/>
      <c r="L857" s="257">
        <v>45898</v>
      </c>
      <c r="M857" s="224" t="s">
        <v>707</v>
      </c>
      <c r="N857" s="258">
        <v>30</v>
      </c>
      <c r="O857" s="258"/>
      <c r="P857" s="520"/>
      <c r="Q857" s="520"/>
    </row>
    <row r="858" spans="2:17" x14ac:dyDescent="0.2">
      <c r="B858" s="317">
        <v>213</v>
      </c>
      <c r="C858" s="288" t="s">
        <v>619</v>
      </c>
      <c r="D858" s="317" t="s">
        <v>618</v>
      </c>
      <c r="E858" s="317" t="s">
        <v>30</v>
      </c>
      <c r="F858" s="257">
        <v>45889</v>
      </c>
      <c r="G858" s="317">
        <v>66.209999999999994</v>
      </c>
      <c r="H858" s="702" t="s">
        <v>172</v>
      </c>
      <c r="I858" s="702"/>
      <c r="J858" s="702"/>
      <c r="K858" s="702"/>
      <c r="L858" s="257">
        <v>45899</v>
      </c>
      <c r="M858" s="258" t="s">
        <v>476</v>
      </c>
      <c r="N858" s="258">
        <v>29</v>
      </c>
      <c r="O858" s="258"/>
      <c r="P858" s="520"/>
      <c r="Q858" s="520"/>
    </row>
    <row r="859" spans="2:17" x14ac:dyDescent="0.2">
      <c r="B859" s="317">
        <v>214</v>
      </c>
      <c r="C859" s="288" t="s">
        <v>252</v>
      </c>
      <c r="D859" s="283" t="s">
        <v>649</v>
      </c>
      <c r="E859" s="317" t="s">
        <v>30</v>
      </c>
      <c r="F859" s="257">
        <v>45883</v>
      </c>
      <c r="G859" s="317">
        <v>51.04</v>
      </c>
      <c r="H859" s="702" t="s">
        <v>172</v>
      </c>
      <c r="I859" s="702"/>
      <c r="J859" s="702"/>
      <c r="K859" s="702"/>
      <c r="L859" s="257">
        <v>45899</v>
      </c>
      <c r="M859" s="317" t="s">
        <v>754</v>
      </c>
      <c r="N859" s="258">
        <v>25</v>
      </c>
      <c r="O859" s="258"/>
      <c r="P859" s="512" t="s">
        <v>172</v>
      </c>
      <c r="Q859" s="520" t="s">
        <v>172</v>
      </c>
    </row>
    <row r="860" spans="2:17" x14ac:dyDescent="0.2">
      <c r="B860" s="317">
        <v>215</v>
      </c>
      <c r="C860" s="288" t="s">
        <v>254</v>
      </c>
      <c r="D860" s="317" t="s">
        <v>206</v>
      </c>
      <c r="E860" s="317" t="s">
        <v>30</v>
      </c>
      <c r="F860" s="257">
        <v>45888</v>
      </c>
      <c r="G860" s="317">
        <v>31.99</v>
      </c>
      <c r="H860" s="702" t="s">
        <v>172</v>
      </c>
      <c r="I860" s="702"/>
      <c r="J860" s="702"/>
      <c r="K860" s="702"/>
      <c r="L860" s="257">
        <v>45900</v>
      </c>
      <c r="M860" s="280" t="s">
        <v>453</v>
      </c>
      <c r="N860" s="280">
        <v>30</v>
      </c>
      <c r="O860" s="280"/>
      <c r="P860" s="512" t="s">
        <v>662</v>
      </c>
      <c r="Q860" s="511" t="s">
        <v>172</v>
      </c>
    </row>
    <row r="861" spans="2:17" x14ac:dyDescent="0.2">
      <c r="B861" s="317">
        <v>216</v>
      </c>
      <c r="C861" s="288" t="s">
        <v>417</v>
      </c>
      <c r="D861" s="317" t="s">
        <v>43</v>
      </c>
      <c r="E861" s="317" t="s">
        <v>30</v>
      </c>
      <c r="F861" s="257">
        <v>45894</v>
      </c>
      <c r="G861" s="317">
        <v>43.08</v>
      </c>
      <c r="H861" s="702" t="s">
        <v>172</v>
      </c>
      <c r="I861" s="702"/>
      <c r="J861" s="702"/>
      <c r="K861" s="702"/>
      <c r="L861" s="257">
        <v>45900</v>
      </c>
      <c r="M861" s="280" t="s">
        <v>778</v>
      </c>
      <c r="N861" s="280">
        <v>36</v>
      </c>
      <c r="O861" s="280"/>
      <c r="P861" s="540"/>
      <c r="Q861" s="520"/>
    </row>
    <row r="862" spans="2:17" x14ac:dyDescent="0.2">
      <c r="B862" s="317">
        <v>217</v>
      </c>
      <c r="C862" s="288" t="s">
        <v>190</v>
      </c>
      <c r="D862" s="488" t="s">
        <v>206</v>
      </c>
      <c r="E862" s="317" t="s">
        <v>30</v>
      </c>
      <c r="F862" s="257">
        <v>45900</v>
      </c>
      <c r="G862" s="317">
        <v>31.99</v>
      </c>
      <c r="H862" s="702" t="s">
        <v>172</v>
      </c>
      <c r="I862" s="702"/>
      <c r="J862" s="702"/>
      <c r="K862" s="702"/>
      <c r="L862" s="257">
        <v>45903</v>
      </c>
      <c r="M862" s="317" t="s">
        <v>908</v>
      </c>
      <c r="N862" s="317">
        <v>32</v>
      </c>
      <c r="O862" s="317"/>
      <c r="P862" s="540"/>
      <c r="Q862" s="520"/>
    </row>
    <row r="863" spans="2:17" s="221" customFormat="1" x14ac:dyDescent="0.2">
      <c r="B863" s="317">
        <v>218</v>
      </c>
      <c r="C863" s="288" t="s">
        <v>261</v>
      </c>
      <c r="D863" s="317" t="s">
        <v>206</v>
      </c>
      <c r="E863" s="317" t="s">
        <v>30</v>
      </c>
      <c r="F863" s="257">
        <v>45901</v>
      </c>
      <c r="G863" s="317">
        <v>31.99</v>
      </c>
      <c r="H863" s="702" t="s">
        <v>172</v>
      </c>
      <c r="I863" s="702"/>
      <c r="J863" s="702"/>
      <c r="K863" s="702"/>
      <c r="L863" s="257">
        <v>45904</v>
      </c>
      <c r="M863" s="280" t="s">
        <v>453</v>
      </c>
      <c r="N863" s="280">
        <v>35</v>
      </c>
      <c r="O863" s="317"/>
      <c r="P863" s="512" t="s">
        <v>662</v>
      </c>
      <c r="Q863" s="512" t="s">
        <v>172</v>
      </c>
    </row>
    <row r="864" spans="2:17" x14ac:dyDescent="0.2">
      <c r="B864" s="317">
        <v>219</v>
      </c>
      <c r="C864" s="288" t="s">
        <v>413</v>
      </c>
      <c r="D864" s="317" t="s">
        <v>637</v>
      </c>
      <c r="E864" s="317" t="s">
        <v>30</v>
      </c>
      <c r="F864" s="257">
        <v>45899</v>
      </c>
      <c r="G864" s="317">
        <v>44.825000000000003</v>
      </c>
      <c r="H864" s="702" t="s">
        <v>172</v>
      </c>
      <c r="I864" s="702"/>
      <c r="J864" s="702"/>
      <c r="K864" s="702"/>
      <c r="L864" s="257">
        <v>45905</v>
      </c>
      <c r="M864" s="222" t="s">
        <v>707</v>
      </c>
      <c r="N864" s="280">
        <v>25</v>
      </c>
      <c r="O864" s="317"/>
      <c r="P864" s="540"/>
      <c r="Q864" s="520"/>
    </row>
    <row r="865" spans="2:17" x14ac:dyDescent="0.2">
      <c r="B865" s="317">
        <v>220</v>
      </c>
      <c r="C865" s="288" t="s">
        <v>424</v>
      </c>
      <c r="D865" s="283" t="s">
        <v>637</v>
      </c>
      <c r="E865" s="317" t="s">
        <v>30</v>
      </c>
      <c r="F865" s="257">
        <v>45901</v>
      </c>
      <c r="G865" s="317">
        <v>44.825000000000003</v>
      </c>
      <c r="H865" s="702" t="s">
        <v>172</v>
      </c>
      <c r="I865" s="702"/>
      <c r="J865" s="702"/>
      <c r="K865" s="702"/>
      <c r="L865" s="257">
        <v>45906</v>
      </c>
      <c r="M865" s="280" t="s">
        <v>778</v>
      </c>
      <c r="N865" s="280">
        <v>34</v>
      </c>
      <c r="O865" s="317"/>
      <c r="P865" s="540"/>
      <c r="Q865" s="520"/>
    </row>
    <row r="866" spans="2:17" x14ac:dyDescent="0.2">
      <c r="B866" s="317">
        <v>221</v>
      </c>
      <c r="C866" s="288" t="s">
        <v>251</v>
      </c>
      <c r="D866" s="317" t="s">
        <v>205</v>
      </c>
      <c r="E866" s="317" t="s">
        <v>30</v>
      </c>
      <c r="F866" s="257">
        <v>45900</v>
      </c>
      <c r="G866" s="317">
        <v>33.380000000000003</v>
      </c>
      <c r="H866" s="702" t="s">
        <v>172</v>
      </c>
      <c r="I866" s="702"/>
      <c r="J866" s="702"/>
      <c r="K866" s="702"/>
      <c r="L866" s="257">
        <v>45907</v>
      </c>
      <c r="M866" s="317" t="s">
        <v>754</v>
      </c>
      <c r="N866" s="258">
        <v>25</v>
      </c>
      <c r="O866" s="317"/>
      <c r="P866" s="540"/>
      <c r="Q866" s="520"/>
    </row>
    <row r="867" spans="2:17" x14ac:dyDescent="0.2">
      <c r="B867" s="317">
        <v>222</v>
      </c>
      <c r="C867" s="288" t="s">
        <v>207</v>
      </c>
      <c r="D867" s="317" t="s">
        <v>206</v>
      </c>
      <c r="E867" s="317" t="s">
        <v>30</v>
      </c>
      <c r="F867" s="257">
        <v>45905</v>
      </c>
      <c r="G867" s="317">
        <v>31.99</v>
      </c>
      <c r="H867" s="702" t="s">
        <v>172</v>
      </c>
      <c r="I867" s="702"/>
      <c r="J867" s="702"/>
      <c r="K867" s="702"/>
      <c r="L867" s="257">
        <v>45907</v>
      </c>
      <c r="M867" s="317" t="s">
        <v>453</v>
      </c>
      <c r="N867" s="317">
        <v>35</v>
      </c>
      <c r="O867" s="317"/>
      <c r="P867" s="540"/>
      <c r="Q867" s="520"/>
    </row>
    <row r="868" spans="2:17" x14ac:dyDescent="0.2">
      <c r="B868" s="317">
        <v>223</v>
      </c>
      <c r="C868" s="288" t="s">
        <v>199</v>
      </c>
      <c r="D868" s="317" t="s">
        <v>725</v>
      </c>
      <c r="E868" s="317" t="s">
        <v>30</v>
      </c>
      <c r="F868" s="257">
        <v>45905</v>
      </c>
      <c r="G868" s="317">
        <v>51.04</v>
      </c>
      <c r="H868" s="702" t="s">
        <v>172</v>
      </c>
      <c r="I868" s="702"/>
      <c r="J868" s="702"/>
      <c r="K868" s="702"/>
      <c r="L868" s="257">
        <v>45908</v>
      </c>
      <c r="M868" s="317" t="s">
        <v>908</v>
      </c>
      <c r="N868" s="317">
        <v>34</v>
      </c>
      <c r="O868" s="317"/>
      <c r="P868" s="540"/>
      <c r="Q868" s="520"/>
    </row>
    <row r="869" spans="2:17" x14ac:dyDescent="0.2">
      <c r="B869" s="317">
        <v>224</v>
      </c>
      <c r="C869" s="288" t="s">
        <v>407</v>
      </c>
      <c r="D869" s="317" t="s">
        <v>167</v>
      </c>
      <c r="E869" s="317" t="s">
        <v>30</v>
      </c>
      <c r="F869" s="257">
        <v>45877</v>
      </c>
      <c r="G869" s="317">
        <v>37.930999999999997</v>
      </c>
      <c r="H869" s="702" t="s">
        <v>172</v>
      </c>
      <c r="I869" s="702"/>
      <c r="J869" s="702"/>
      <c r="K869" s="702"/>
      <c r="L869" s="257">
        <v>45908</v>
      </c>
      <c r="M869" s="317" t="s">
        <v>443</v>
      </c>
      <c r="N869" s="317">
        <v>25</v>
      </c>
      <c r="O869" s="317"/>
      <c r="P869" s="540"/>
      <c r="Q869" s="520"/>
    </row>
    <row r="870" spans="2:17" x14ac:dyDescent="0.2">
      <c r="B870" s="317">
        <v>225</v>
      </c>
      <c r="C870" s="288" t="s">
        <v>208</v>
      </c>
      <c r="D870" s="317" t="s">
        <v>205</v>
      </c>
      <c r="E870" s="317" t="s">
        <v>30</v>
      </c>
      <c r="F870" s="257">
        <v>45908</v>
      </c>
      <c r="G870" s="317">
        <v>33.380000000000003</v>
      </c>
      <c r="H870" s="702" t="s">
        <v>172</v>
      </c>
      <c r="I870" s="702"/>
      <c r="J870" s="702"/>
      <c r="K870" s="702"/>
      <c r="L870" s="257">
        <v>45909</v>
      </c>
      <c r="M870" s="317" t="s">
        <v>453</v>
      </c>
      <c r="N870" s="317">
        <v>35</v>
      </c>
      <c r="O870" s="280"/>
      <c r="P870" s="540"/>
      <c r="Q870" s="520"/>
    </row>
    <row r="871" spans="2:17" x14ac:dyDescent="0.2">
      <c r="B871" s="317">
        <v>226</v>
      </c>
      <c r="C871" s="288" t="s">
        <v>425</v>
      </c>
      <c r="D871" s="317" t="s">
        <v>34</v>
      </c>
      <c r="E871" s="317" t="s">
        <v>30</v>
      </c>
      <c r="F871" s="257">
        <v>45907</v>
      </c>
      <c r="G871" s="317">
        <v>37.930999999999997</v>
      </c>
      <c r="H871" s="702" t="s">
        <v>172</v>
      </c>
      <c r="I871" s="702"/>
      <c r="J871" s="702"/>
      <c r="K871" s="702"/>
      <c r="L871" s="257">
        <v>45910</v>
      </c>
      <c r="M871" s="317" t="s">
        <v>778</v>
      </c>
      <c r="N871" s="317">
        <v>31</v>
      </c>
      <c r="O871" s="317"/>
      <c r="P871" s="540"/>
      <c r="Q871" s="520"/>
    </row>
    <row r="872" spans="2:17" x14ac:dyDescent="0.2">
      <c r="B872" s="317">
        <v>227</v>
      </c>
      <c r="C872" s="288" t="s">
        <v>414</v>
      </c>
      <c r="D872" s="317" t="s">
        <v>275</v>
      </c>
      <c r="E872" s="317" t="s">
        <v>455</v>
      </c>
      <c r="F872" s="257">
        <v>45906</v>
      </c>
      <c r="G872" s="317">
        <v>62.534999999999997</v>
      </c>
      <c r="H872" s="702" t="s">
        <v>172</v>
      </c>
      <c r="I872" s="702"/>
      <c r="J872" s="702"/>
      <c r="K872" s="702"/>
      <c r="L872" s="257">
        <v>45913</v>
      </c>
      <c r="M872" s="220" t="s">
        <v>707</v>
      </c>
      <c r="N872" s="317">
        <v>25</v>
      </c>
      <c r="O872" s="317"/>
      <c r="P872" s="540"/>
      <c r="Q872" s="520"/>
    </row>
    <row r="873" spans="2:17" x14ac:dyDescent="0.2">
      <c r="B873" s="317">
        <v>228</v>
      </c>
      <c r="C873" s="288" t="s">
        <v>210</v>
      </c>
      <c r="D873" s="317" t="s">
        <v>206</v>
      </c>
      <c r="E873" s="317" t="s">
        <v>30</v>
      </c>
      <c r="F873" s="257">
        <v>45910</v>
      </c>
      <c r="G873" s="317">
        <v>31.99</v>
      </c>
      <c r="H873" s="702" t="s">
        <v>172</v>
      </c>
      <c r="I873" s="702"/>
      <c r="J873" s="702"/>
      <c r="K873" s="702"/>
      <c r="L873" s="335">
        <v>45914</v>
      </c>
      <c r="M873" s="280" t="s">
        <v>453</v>
      </c>
      <c r="N873" s="280">
        <v>35</v>
      </c>
      <c r="O873" s="280"/>
      <c r="P873" s="540"/>
      <c r="Q873" s="520"/>
    </row>
    <row r="874" spans="2:17" x14ac:dyDescent="0.2">
      <c r="B874" s="317">
        <v>229</v>
      </c>
      <c r="C874" s="288" t="s">
        <v>245</v>
      </c>
      <c r="D874" s="317" t="s">
        <v>205</v>
      </c>
      <c r="E874" s="317" t="s">
        <v>30</v>
      </c>
      <c r="F874" s="257">
        <v>45908</v>
      </c>
      <c r="G874" s="317">
        <v>33.380000000000003</v>
      </c>
      <c r="H874" s="702" t="s">
        <v>172</v>
      </c>
      <c r="I874" s="702"/>
      <c r="J874" s="702"/>
      <c r="K874" s="702"/>
      <c r="L874" s="257">
        <v>45915</v>
      </c>
      <c r="M874" s="228" t="s">
        <v>754</v>
      </c>
      <c r="N874" s="228">
        <v>25</v>
      </c>
      <c r="O874" s="228"/>
      <c r="P874" s="608"/>
      <c r="Q874" s="520"/>
    </row>
    <row r="875" spans="2:17" x14ac:dyDescent="0.2">
      <c r="B875" s="317">
        <v>230</v>
      </c>
      <c r="C875" s="288" t="s">
        <v>213</v>
      </c>
      <c r="D875" s="317" t="s">
        <v>649</v>
      </c>
      <c r="E875" s="317" t="s">
        <v>30</v>
      </c>
      <c r="F875" s="257">
        <v>45909</v>
      </c>
      <c r="G875" s="317">
        <v>51.04</v>
      </c>
      <c r="H875" s="702" t="s">
        <v>172</v>
      </c>
      <c r="I875" s="702"/>
      <c r="J875" s="702"/>
      <c r="K875" s="702"/>
      <c r="L875" s="335">
        <v>45916</v>
      </c>
      <c r="M875" s="317" t="s">
        <v>471</v>
      </c>
      <c r="N875" s="317">
        <v>34</v>
      </c>
      <c r="O875" s="280"/>
      <c r="P875" s="540"/>
      <c r="Q875" s="520"/>
    </row>
    <row r="876" spans="2:17" s="221" customFormat="1" ht="28.5" customHeight="1" x14ac:dyDescent="0.2">
      <c r="B876" s="317">
        <v>231</v>
      </c>
      <c r="C876" s="288" t="s">
        <v>211</v>
      </c>
      <c r="D876" s="317" t="s">
        <v>205</v>
      </c>
      <c r="E876" s="317" t="s">
        <v>30</v>
      </c>
      <c r="F876" s="257">
        <v>45914</v>
      </c>
      <c r="G876" s="317">
        <v>33.380000000000003</v>
      </c>
      <c r="H876" s="702" t="s">
        <v>172</v>
      </c>
      <c r="I876" s="702"/>
      <c r="J876" s="702"/>
      <c r="K876" s="702"/>
      <c r="L876" s="335">
        <v>45920</v>
      </c>
      <c r="M876" s="317" t="s">
        <v>453</v>
      </c>
      <c r="N876" s="317">
        <v>35</v>
      </c>
      <c r="O876" s="317"/>
      <c r="P876" s="615"/>
      <c r="Q876" s="540"/>
    </row>
    <row r="877" spans="2:17" s="221" customFormat="1" ht="30" customHeight="1" x14ac:dyDescent="0.2">
      <c r="B877" s="317">
        <v>232</v>
      </c>
      <c r="C877" s="288" t="s">
        <v>416</v>
      </c>
      <c r="D877" s="317" t="s">
        <v>446</v>
      </c>
      <c r="E877" s="317" t="s">
        <v>30</v>
      </c>
      <c r="F877" s="257">
        <v>45913</v>
      </c>
      <c r="G877" s="317">
        <v>64.89</v>
      </c>
      <c r="H877" s="702" t="s">
        <v>172</v>
      </c>
      <c r="I877" s="702"/>
      <c r="J877" s="702"/>
      <c r="K877" s="702"/>
      <c r="L877" s="335">
        <v>45923</v>
      </c>
      <c r="M877" s="317" t="s">
        <v>778</v>
      </c>
      <c r="N877" s="317">
        <v>34</v>
      </c>
      <c r="O877" s="317"/>
      <c r="P877" s="615"/>
      <c r="Q877" s="540"/>
    </row>
    <row r="878" spans="2:17" ht="39" customHeight="1" x14ac:dyDescent="0.2">
      <c r="B878" s="317">
        <v>233</v>
      </c>
      <c r="C878" s="288" t="s">
        <v>915</v>
      </c>
      <c r="D878" s="283" t="s">
        <v>205</v>
      </c>
      <c r="E878" s="317" t="s">
        <v>337</v>
      </c>
      <c r="F878" s="257">
        <v>45921</v>
      </c>
      <c r="G878" s="317">
        <v>33.380000000000003</v>
      </c>
      <c r="H878" s="702" t="s">
        <v>172</v>
      </c>
      <c r="I878" s="702"/>
      <c r="J878" s="702"/>
      <c r="K878" s="702"/>
      <c r="L878" s="335">
        <v>45924</v>
      </c>
      <c r="M878" s="317" t="s">
        <v>453</v>
      </c>
      <c r="N878" s="317">
        <v>35</v>
      </c>
      <c r="O878" s="280"/>
      <c r="P878" s="540"/>
      <c r="Q878" s="520"/>
    </row>
    <row r="879" spans="2:17" s="221" customFormat="1" ht="30.75" customHeight="1" x14ac:dyDescent="0.2">
      <c r="B879" s="317">
        <v>234</v>
      </c>
      <c r="C879" s="317" t="s">
        <v>403</v>
      </c>
      <c r="D879" s="317" t="s">
        <v>43</v>
      </c>
      <c r="E879" s="317" t="s">
        <v>336</v>
      </c>
      <c r="F879" s="257">
        <v>45916</v>
      </c>
      <c r="G879" s="317">
        <v>43.079000000000001</v>
      </c>
      <c r="H879" s="702" t="s">
        <v>172</v>
      </c>
      <c r="I879" s="702"/>
      <c r="J879" s="702"/>
      <c r="K879" s="702"/>
      <c r="L879" s="335">
        <v>45925</v>
      </c>
      <c r="M879" s="317" t="s">
        <v>707</v>
      </c>
      <c r="N879" s="317">
        <v>34</v>
      </c>
      <c r="O879" s="317"/>
      <c r="P879" s="615"/>
      <c r="Q879" s="540"/>
    </row>
    <row r="880" spans="2:17" s="221" customFormat="1" ht="25.5" customHeight="1" x14ac:dyDescent="0.2">
      <c r="B880" s="317">
        <v>235</v>
      </c>
      <c r="C880" s="288" t="s">
        <v>218</v>
      </c>
      <c r="D880" s="317" t="s">
        <v>205</v>
      </c>
      <c r="E880" s="317" t="s">
        <v>30</v>
      </c>
      <c r="F880" s="257">
        <v>45916</v>
      </c>
      <c r="G880" s="317">
        <v>33.380000000000003</v>
      </c>
      <c r="H880" s="702" t="s">
        <v>172</v>
      </c>
      <c r="I880" s="702"/>
      <c r="J880" s="702"/>
      <c r="K880" s="702"/>
      <c r="L880" s="335">
        <v>45926</v>
      </c>
      <c r="M880" s="317" t="s">
        <v>754</v>
      </c>
      <c r="N880" s="317">
        <v>25</v>
      </c>
      <c r="O880" s="317"/>
      <c r="P880" s="615"/>
      <c r="Q880" s="540"/>
    </row>
    <row r="881" spans="1:17" ht="27" customHeight="1" x14ac:dyDescent="0.2">
      <c r="B881" s="317">
        <v>236</v>
      </c>
      <c r="C881" s="288" t="s">
        <v>225</v>
      </c>
      <c r="D881" s="283" t="s">
        <v>762</v>
      </c>
      <c r="E881" s="317" t="s">
        <v>30</v>
      </c>
      <c r="F881" s="257">
        <v>45921</v>
      </c>
      <c r="G881" s="317">
        <v>77.319999999999993</v>
      </c>
      <c r="H881" s="702" t="s">
        <v>172</v>
      </c>
      <c r="I881" s="702"/>
      <c r="J881" s="702"/>
      <c r="K881" s="702"/>
      <c r="L881" s="335">
        <v>45929</v>
      </c>
      <c r="M881" s="317" t="s">
        <v>471</v>
      </c>
      <c r="N881" s="317">
        <v>28</v>
      </c>
      <c r="O881" s="317"/>
      <c r="P881" s="615"/>
      <c r="Q881" s="520"/>
    </row>
    <row r="882" spans="1:17" s="221" customFormat="1" ht="35.25" customHeight="1" x14ac:dyDescent="0.2">
      <c r="B882" s="317">
        <v>237</v>
      </c>
      <c r="C882" s="288" t="s">
        <v>428</v>
      </c>
      <c r="D882" s="283" t="s">
        <v>285</v>
      </c>
      <c r="E882" s="317" t="s">
        <v>30</v>
      </c>
      <c r="F882" s="257">
        <v>45924</v>
      </c>
      <c r="G882" s="317">
        <v>34.945999999999998</v>
      </c>
      <c r="H882" s="702" t="s">
        <v>172</v>
      </c>
      <c r="I882" s="702"/>
      <c r="J882" s="702"/>
      <c r="K882" s="702"/>
      <c r="L882" s="335">
        <v>45930</v>
      </c>
      <c r="M882" s="317" t="s">
        <v>778</v>
      </c>
      <c r="N882" s="317">
        <v>34</v>
      </c>
      <c r="O882" s="280"/>
      <c r="P882" s="540"/>
      <c r="Q882" s="540"/>
    </row>
    <row r="883" spans="1:17" s="221" customFormat="1" ht="26.25" customHeight="1" x14ac:dyDescent="0.2">
      <c r="B883" s="317">
        <v>238</v>
      </c>
      <c r="C883" s="288" t="s">
        <v>189</v>
      </c>
      <c r="D883" s="283" t="s">
        <v>206</v>
      </c>
      <c r="E883" s="317" t="s">
        <v>30</v>
      </c>
      <c r="F883" s="257">
        <v>45925</v>
      </c>
      <c r="G883" s="317">
        <v>31.99</v>
      </c>
      <c r="H883" s="702" t="s">
        <v>172</v>
      </c>
      <c r="I883" s="702"/>
      <c r="J883" s="702"/>
      <c r="K883" s="702"/>
      <c r="L883" s="335">
        <v>45930</v>
      </c>
      <c r="M883" s="317" t="s">
        <v>453</v>
      </c>
      <c r="N883" s="317">
        <v>35</v>
      </c>
      <c r="O883" s="280"/>
      <c r="P883" s="540"/>
      <c r="Q883" s="540"/>
    </row>
    <row r="884" spans="1:17" s="221" customFormat="1" ht="23.25" customHeight="1" x14ac:dyDescent="0.2">
      <c r="B884" s="317">
        <v>239</v>
      </c>
      <c r="C884" s="288" t="s">
        <v>917</v>
      </c>
      <c r="D884" s="283" t="s">
        <v>206</v>
      </c>
      <c r="E884" s="317" t="s">
        <v>30</v>
      </c>
      <c r="F884" s="257">
        <v>45928</v>
      </c>
      <c r="G884" s="308">
        <v>31.99</v>
      </c>
      <c r="H884" s="702" t="s">
        <v>172</v>
      </c>
      <c r="I884" s="702"/>
      <c r="J884" s="702"/>
      <c r="K884" s="702"/>
      <c r="L884" s="335">
        <v>45934</v>
      </c>
      <c r="M884" s="317" t="s">
        <v>471</v>
      </c>
      <c r="N884" s="317">
        <v>25</v>
      </c>
      <c r="O884" s="317"/>
      <c r="P884" s="257"/>
      <c r="Q884" s="540"/>
    </row>
    <row r="885" spans="1:17" ht="30.75" customHeight="1" x14ac:dyDescent="0.2">
      <c r="B885" s="317">
        <v>240</v>
      </c>
      <c r="C885" s="288" t="s">
        <v>430</v>
      </c>
      <c r="D885" s="317" t="s">
        <v>34</v>
      </c>
      <c r="E885" s="317" t="s">
        <v>30</v>
      </c>
      <c r="F885" s="257">
        <v>45921</v>
      </c>
      <c r="G885" s="317">
        <v>37.930999999999997</v>
      </c>
      <c r="H885" s="702" t="s">
        <v>172</v>
      </c>
      <c r="I885" s="702"/>
      <c r="J885" s="702"/>
      <c r="K885" s="702"/>
      <c r="L885" s="335">
        <v>45936</v>
      </c>
      <c r="M885" s="317" t="s">
        <v>918</v>
      </c>
      <c r="N885" s="317">
        <v>32</v>
      </c>
      <c r="O885" s="317"/>
      <c r="P885" s="615"/>
      <c r="Q885" s="520"/>
    </row>
    <row r="886" spans="1:17" ht="53.25" customHeight="1" x14ac:dyDescent="0.2">
      <c r="B886" s="317">
        <v>241</v>
      </c>
      <c r="C886" s="288" t="s">
        <v>823</v>
      </c>
      <c r="D886" s="283" t="s">
        <v>240</v>
      </c>
      <c r="E886" s="317" t="s">
        <v>337</v>
      </c>
      <c r="F886" s="257">
        <v>45931</v>
      </c>
      <c r="G886" s="626">
        <v>72.63</v>
      </c>
      <c r="H886" s="702" t="s">
        <v>172</v>
      </c>
      <c r="I886" s="702"/>
      <c r="J886" s="702"/>
      <c r="K886" s="702"/>
      <c r="L886" s="335">
        <v>45939</v>
      </c>
      <c r="M886" s="317" t="s">
        <v>453</v>
      </c>
      <c r="N886" s="317">
        <v>35</v>
      </c>
      <c r="O886" s="228"/>
      <c r="P886" s="608"/>
      <c r="Q886" s="520"/>
    </row>
    <row r="887" spans="1:17" ht="60" customHeight="1" x14ac:dyDescent="0.2">
      <c r="B887" s="317">
        <v>242</v>
      </c>
      <c r="C887" s="288" t="s">
        <v>916</v>
      </c>
      <c r="D887" s="283" t="s">
        <v>29</v>
      </c>
      <c r="E887" s="317" t="s">
        <v>456</v>
      </c>
      <c r="F887" s="257">
        <v>45927</v>
      </c>
      <c r="G887" s="317">
        <v>36.369999999999997</v>
      </c>
      <c r="H887" s="702" t="s">
        <v>172</v>
      </c>
      <c r="I887" s="702"/>
      <c r="J887" s="702"/>
      <c r="K887" s="702"/>
      <c r="L887" s="335">
        <v>45939</v>
      </c>
      <c r="M887" s="317" t="s">
        <v>707</v>
      </c>
      <c r="N887" s="317">
        <v>34</v>
      </c>
      <c r="O887" s="317"/>
      <c r="P887" s="257"/>
      <c r="Q887" s="520"/>
    </row>
    <row r="888" spans="1:17" ht="51" customHeight="1" x14ac:dyDescent="0.2">
      <c r="B888" s="317">
        <v>243</v>
      </c>
      <c r="C888" s="288" t="s">
        <v>409</v>
      </c>
      <c r="D888" s="317" t="s">
        <v>43</v>
      </c>
      <c r="E888" s="317" t="s">
        <v>432</v>
      </c>
      <c r="F888" s="257">
        <v>45913</v>
      </c>
      <c r="G888" s="317">
        <v>43.079000000000001</v>
      </c>
      <c r="H888" s="702" t="s">
        <v>172</v>
      </c>
      <c r="I888" s="702"/>
      <c r="J888" s="702"/>
      <c r="K888" s="702"/>
      <c r="L888" s="335">
        <v>45941</v>
      </c>
      <c r="M888" s="317" t="s">
        <v>443</v>
      </c>
      <c r="N888" s="317">
        <v>21</v>
      </c>
      <c r="O888" s="258"/>
      <c r="P888" s="520"/>
      <c r="Q888" s="520"/>
    </row>
    <row r="889" spans="1:17" ht="47.25" customHeight="1" x14ac:dyDescent="0.2">
      <c r="B889" s="317">
        <v>244</v>
      </c>
      <c r="C889" s="288" t="s">
        <v>429</v>
      </c>
      <c r="D889" s="283" t="s">
        <v>29</v>
      </c>
      <c r="E889" s="317" t="s">
        <v>30</v>
      </c>
      <c r="F889" s="257">
        <v>45937</v>
      </c>
      <c r="G889" s="317">
        <v>36.369999999999997</v>
      </c>
      <c r="H889" s="702" t="s">
        <v>172</v>
      </c>
      <c r="I889" s="702"/>
      <c r="J889" s="702"/>
      <c r="K889" s="702"/>
      <c r="L889" s="335">
        <v>45941</v>
      </c>
      <c r="M889" s="317" t="s">
        <v>778</v>
      </c>
      <c r="N889" s="317">
        <v>34</v>
      </c>
      <c r="O889" s="258"/>
      <c r="P889" s="520"/>
      <c r="Q889" s="520"/>
    </row>
    <row r="890" spans="1:17" ht="35.25" customHeight="1" x14ac:dyDescent="0.2">
      <c r="B890" s="317">
        <v>245</v>
      </c>
      <c r="C890" s="288" t="s">
        <v>255</v>
      </c>
      <c r="D890" s="283" t="s">
        <v>615</v>
      </c>
      <c r="E890" s="317" t="s">
        <v>30</v>
      </c>
      <c r="F890" s="257">
        <v>45937</v>
      </c>
      <c r="G890" s="317">
        <v>39.17</v>
      </c>
      <c r="H890" s="702" t="s">
        <v>172</v>
      </c>
      <c r="I890" s="702"/>
      <c r="J890" s="702"/>
      <c r="K890" s="702"/>
      <c r="L890" s="335">
        <v>45942</v>
      </c>
      <c r="M890" s="317" t="s">
        <v>471</v>
      </c>
      <c r="N890" s="317">
        <v>25</v>
      </c>
      <c r="O890" s="258"/>
      <c r="P890" s="512" t="s">
        <v>172</v>
      </c>
      <c r="Q890" s="520" t="s">
        <v>172</v>
      </c>
    </row>
    <row r="891" spans="1:17" ht="26.25" customHeight="1" x14ac:dyDescent="0.2">
      <c r="B891" s="317">
        <v>246</v>
      </c>
      <c r="C891" s="288" t="s">
        <v>202</v>
      </c>
      <c r="D891" s="283" t="s">
        <v>721</v>
      </c>
      <c r="E891" s="317" t="s">
        <v>30</v>
      </c>
      <c r="F891" s="257">
        <v>45940</v>
      </c>
      <c r="G891" s="317">
        <v>37.72</v>
      </c>
      <c r="H891" s="702" t="s">
        <v>172</v>
      </c>
      <c r="I891" s="702"/>
      <c r="J891" s="702"/>
      <c r="K891" s="702"/>
      <c r="L891" s="335">
        <v>45945</v>
      </c>
      <c r="M891" s="317" t="s">
        <v>453</v>
      </c>
      <c r="N891" s="317">
        <v>35</v>
      </c>
      <c r="O891" s="258"/>
      <c r="P891" s="520"/>
      <c r="Q891" s="520"/>
    </row>
    <row r="892" spans="1:17" ht="34.5" customHeight="1" x14ac:dyDescent="0.2">
      <c r="B892" s="317">
        <v>247</v>
      </c>
      <c r="C892" s="288" t="s">
        <v>431</v>
      </c>
      <c r="D892" s="283" t="s">
        <v>956</v>
      </c>
      <c r="E892" s="317" t="s">
        <v>30</v>
      </c>
      <c r="F892" s="257">
        <v>45942</v>
      </c>
      <c r="G892" s="317">
        <v>44.850999999999999</v>
      </c>
      <c r="H892" s="702" t="s">
        <v>172</v>
      </c>
      <c r="I892" s="702"/>
      <c r="J892" s="702"/>
      <c r="K892" s="702"/>
      <c r="L892" s="335">
        <v>45946</v>
      </c>
      <c r="M892" s="317" t="s">
        <v>778</v>
      </c>
      <c r="N892" s="317">
        <v>34</v>
      </c>
      <c r="O892" s="258"/>
      <c r="P892" s="520"/>
    </row>
    <row r="893" spans="1:17" ht="23.25" customHeight="1" x14ac:dyDescent="0.2">
      <c r="B893" s="317">
        <v>248</v>
      </c>
      <c r="C893" s="288" t="s">
        <v>221</v>
      </c>
      <c r="D893" s="283" t="s">
        <v>615</v>
      </c>
      <c r="E893" s="317" t="s">
        <v>30</v>
      </c>
      <c r="F893" s="257">
        <v>45943</v>
      </c>
      <c r="G893" s="317">
        <v>39.17</v>
      </c>
      <c r="H893" s="702" t="s">
        <v>172</v>
      </c>
      <c r="I893" s="702"/>
      <c r="J893" s="702"/>
      <c r="K893" s="702"/>
      <c r="L893" s="335">
        <v>45947</v>
      </c>
      <c r="M893" s="317" t="s">
        <v>471</v>
      </c>
      <c r="N893" s="317">
        <v>25</v>
      </c>
      <c r="O893" s="280"/>
      <c r="P893" s="540"/>
    </row>
    <row r="894" spans="1:17" ht="27" customHeight="1" x14ac:dyDescent="0.2">
      <c r="A894" s="225">
        <v>0</v>
      </c>
      <c r="B894" s="317">
        <v>249</v>
      </c>
      <c r="C894" s="288" t="s">
        <v>386</v>
      </c>
      <c r="D894" s="283" t="s">
        <v>34</v>
      </c>
      <c r="E894" s="317" t="s">
        <v>432</v>
      </c>
      <c r="F894" s="257">
        <v>45940</v>
      </c>
      <c r="G894" s="317">
        <v>37.930999999999997</v>
      </c>
      <c r="H894" s="702" t="s">
        <v>172</v>
      </c>
      <c r="I894" s="702"/>
      <c r="J894" s="702"/>
      <c r="K894" s="702"/>
      <c r="L894" s="335">
        <v>45949</v>
      </c>
      <c r="M894" s="317" t="s">
        <v>707</v>
      </c>
      <c r="N894" s="317">
        <v>34</v>
      </c>
      <c r="O894" s="317"/>
      <c r="P894" s="317"/>
    </row>
    <row r="895" spans="1:17" ht="24" customHeight="1" x14ac:dyDescent="0.2">
      <c r="B895" s="317">
        <v>250</v>
      </c>
      <c r="C895" s="288" t="s">
        <v>962</v>
      </c>
      <c r="D895" s="283" t="s">
        <v>206</v>
      </c>
      <c r="E895" s="317" t="s">
        <v>30</v>
      </c>
      <c r="F895" s="257">
        <v>45947</v>
      </c>
      <c r="G895" s="317">
        <v>31.99</v>
      </c>
      <c r="H895" s="702" t="s">
        <v>172</v>
      </c>
      <c r="I895" s="702"/>
      <c r="J895" s="702"/>
      <c r="K895" s="702"/>
      <c r="L895" s="335">
        <v>45951</v>
      </c>
      <c r="M895" s="317" t="s">
        <v>453</v>
      </c>
      <c r="N895" s="317">
        <v>35</v>
      </c>
      <c r="O895" s="280"/>
      <c r="P895" s="540"/>
    </row>
    <row r="896" spans="1:17" ht="25.5" customHeight="1" x14ac:dyDescent="0.2">
      <c r="B896" s="317">
        <v>251</v>
      </c>
      <c r="C896" s="288" t="s">
        <v>963</v>
      </c>
      <c r="D896" s="283" t="s">
        <v>29</v>
      </c>
      <c r="E896" s="317" t="s">
        <v>30</v>
      </c>
      <c r="F896" s="257">
        <v>45947</v>
      </c>
      <c r="G896" s="317">
        <v>36.371000000000002</v>
      </c>
      <c r="H896" s="702" t="s">
        <v>172</v>
      </c>
      <c r="I896" s="702"/>
      <c r="J896" s="702"/>
      <c r="K896" s="702"/>
      <c r="L896" s="335">
        <v>45951</v>
      </c>
      <c r="M896" s="317" t="s">
        <v>778</v>
      </c>
      <c r="N896" s="317">
        <v>34</v>
      </c>
      <c r="O896" s="280"/>
      <c r="P896" s="540"/>
    </row>
    <row r="897" spans="2:16" ht="25.5" customHeight="1" x14ac:dyDescent="0.2">
      <c r="B897" s="317">
        <v>252</v>
      </c>
      <c r="C897" s="260" t="s">
        <v>965</v>
      </c>
      <c r="D897" s="283" t="s">
        <v>721</v>
      </c>
      <c r="E897" s="317" t="s">
        <v>30</v>
      </c>
      <c r="F897" s="257">
        <v>45947</v>
      </c>
      <c r="G897" s="317">
        <v>37.72</v>
      </c>
      <c r="H897" s="702" t="s">
        <v>172</v>
      </c>
      <c r="I897" s="702"/>
      <c r="J897" s="702"/>
      <c r="K897" s="702"/>
      <c r="L897" s="335">
        <v>45952</v>
      </c>
      <c r="M897" s="317" t="s">
        <v>471</v>
      </c>
      <c r="N897" s="317">
        <v>25</v>
      </c>
      <c r="O897" s="280"/>
      <c r="P897" s="540"/>
    </row>
    <row r="898" spans="2:16" ht="25.5" customHeight="1" x14ac:dyDescent="0.2">
      <c r="B898" s="317">
        <v>253</v>
      </c>
      <c r="C898" s="260" t="s">
        <v>415</v>
      </c>
      <c r="D898" s="283" t="s">
        <v>29</v>
      </c>
      <c r="E898" s="317" t="s">
        <v>455</v>
      </c>
      <c r="F898" s="257">
        <v>45952</v>
      </c>
      <c r="G898" s="317">
        <v>36.371000000000002</v>
      </c>
      <c r="H898" s="702" t="s">
        <v>172</v>
      </c>
      <c r="I898" s="702"/>
      <c r="J898" s="702"/>
      <c r="K898" s="702"/>
      <c r="L898" s="335">
        <v>45955</v>
      </c>
      <c r="M898" s="317" t="s">
        <v>778</v>
      </c>
      <c r="N898" s="317">
        <v>34</v>
      </c>
      <c r="O898" s="280"/>
      <c r="P898" s="540"/>
    </row>
    <row r="899" spans="2:16" ht="25.5" customHeight="1" x14ac:dyDescent="0.2">
      <c r="B899" s="317">
        <v>254</v>
      </c>
      <c r="C899" s="288" t="s">
        <v>279</v>
      </c>
      <c r="D899" s="283" t="s">
        <v>29</v>
      </c>
      <c r="E899" s="317" t="s">
        <v>30</v>
      </c>
      <c r="F899" s="257">
        <v>45953</v>
      </c>
      <c r="G899" s="317">
        <v>36.369999999999997</v>
      </c>
      <c r="H899" s="702" t="s">
        <v>172</v>
      </c>
      <c r="I899" s="702"/>
      <c r="J899" s="702"/>
      <c r="K899" s="702"/>
      <c r="L899" s="335">
        <v>45957</v>
      </c>
      <c r="M899" s="317" t="s">
        <v>471</v>
      </c>
      <c r="N899" s="317">
        <v>25</v>
      </c>
      <c r="O899" s="280"/>
      <c r="P899" s="540"/>
    </row>
    <row r="900" spans="2:16" ht="25.5" customHeight="1" x14ac:dyDescent="0.2">
      <c r="B900" s="317">
        <v>255</v>
      </c>
      <c r="C900" s="288" t="s">
        <v>408</v>
      </c>
      <c r="D900" s="283" t="s">
        <v>29</v>
      </c>
      <c r="E900" s="317" t="s">
        <v>432</v>
      </c>
      <c r="F900" s="257">
        <v>45944</v>
      </c>
      <c r="G900" s="317">
        <v>36.369999999999997</v>
      </c>
      <c r="H900" s="702" t="s">
        <v>172</v>
      </c>
      <c r="I900" s="702"/>
      <c r="J900" s="702"/>
      <c r="K900" s="702"/>
      <c r="L900" s="335">
        <v>45957</v>
      </c>
      <c r="M900" s="317" t="s">
        <v>443</v>
      </c>
      <c r="N900" s="317">
        <v>22</v>
      </c>
      <c r="O900" s="317"/>
      <c r="P900" s="317"/>
    </row>
    <row r="901" spans="2:16" ht="25.5" customHeight="1" x14ac:dyDescent="0.2">
      <c r="B901" s="317">
        <v>256</v>
      </c>
      <c r="C901" s="288" t="s">
        <v>200</v>
      </c>
      <c r="D901" s="283" t="s">
        <v>205</v>
      </c>
      <c r="E901" s="317" t="s">
        <v>30</v>
      </c>
      <c r="F901" s="257">
        <v>45952</v>
      </c>
      <c r="G901" s="317">
        <v>33.380000000000003</v>
      </c>
      <c r="H901" s="702" t="s">
        <v>172</v>
      </c>
      <c r="I901" s="702"/>
      <c r="J901" s="702"/>
      <c r="K901" s="702"/>
      <c r="L901" s="335">
        <v>45960</v>
      </c>
      <c r="M901" s="317" t="s">
        <v>453</v>
      </c>
      <c r="N901" s="317">
        <v>35</v>
      </c>
      <c r="O901" s="280"/>
      <c r="P901" s="540"/>
    </row>
    <row r="902" spans="2:16" ht="25.5" customHeight="1" x14ac:dyDescent="0.2">
      <c r="B902" s="317">
        <v>257</v>
      </c>
      <c r="C902" s="288" t="s">
        <v>281</v>
      </c>
      <c r="D902" s="317" t="s">
        <v>29</v>
      </c>
      <c r="E902" s="317" t="s">
        <v>462</v>
      </c>
      <c r="F902" s="257">
        <v>45958</v>
      </c>
      <c r="G902" s="317">
        <v>36.369999999999997</v>
      </c>
      <c r="H902" s="702" t="s">
        <v>172</v>
      </c>
      <c r="I902" s="702"/>
      <c r="J902" s="702"/>
      <c r="K902" s="702"/>
      <c r="L902" s="335">
        <v>45963</v>
      </c>
      <c r="M902" s="317" t="s">
        <v>471</v>
      </c>
      <c r="N902" s="317">
        <v>25</v>
      </c>
      <c r="O902" s="228"/>
      <c r="P902" s="228"/>
    </row>
    <row r="903" spans="2:16" ht="25.5" customHeight="1" x14ac:dyDescent="0.2">
      <c r="B903" s="317">
        <v>258</v>
      </c>
      <c r="C903" s="288" t="s">
        <v>977</v>
      </c>
      <c r="D903" s="283" t="s">
        <v>34</v>
      </c>
      <c r="E903" s="317" t="s">
        <v>432</v>
      </c>
      <c r="F903" s="257">
        <v>45956</v>
      </c>
      <c r="G903" s="317">
        <v>37.930999999999997</v>
      </c>
      <c r="H903" s="702" t="s">
        <v>172</v>
      </c>
      <c r="I903" s="702"/>
      <c r="J903" s="702"/>
      <c r="K903" s="702"/>
      <c r="L903" s="335">
        <v>45963</v>
      </c>
      <c r="M903" s="317" t="s">
        <v>778</v>
      </c>
      <c r="N903" s="317">
        <v>34</v>
      </c>
      <c r="O903" s="258"/>
      <c r="P903" s="520"/>
    </row>
    <row r="904" spans="2:16" ht="25.5" customHeight="1" x14ac:dyDescent="0.2">
      <c r="B904" s="317">
        <v>259</v>
      </c>
      <c r="C904" s="288" t="s">
        <v>387</v>
      </c>
      <c r="D904" s="283" t="s">
        <v>29</v>
      </c>
      <c r="E904" s="317" t="s">
        <v>336</v>
      </c>
      <c r="F904" s="257">
        <v>45951</v>
      </c>
      <c r="G904" s="317">
        <v>36.369999999999997</v>
      </c>
      <c r="H904" s="702" t="s">
        <v>172</v>
      </c>
      <c r="I904" s="702"/>
      <c r="J904" s="702"/>
      <c r="K904" s="702"/>
      <c r="L904" s="335">
        <v>45963</v>
      </c>
      <c r="M904" s="317" t="s">
        <v>976</v>
      </c>
      <c r="N904" s="228">
        <v>24</v>
      </c>
      <c r="O904" s="258"/>
      <c r="P904" s="520"/>
    </row>
    <row r="905" spans="2:16" ht="25.5" customHeight="1" x14ac:dyDescent="0.2">
      <c r="B905" s="317">
        <v>260</v>
      </c>
      <c r="C905" s="288" t="s">
        <v>982</v>
      </c>
      <c r="D905" s="317" t="s">
        <v>206</v>
      </c>
      <c r="E905" s="317" t="s">
        <v>30</v>
      </c>
      <c r="F905" s="257">
        <v>45961</v>
      </c>
      <c r="G905" s="317">
        <v>31.99</v>
      </c>
      <c r="H905" s="702" t="s">
        <v>172</v>
      </c>
      <c r="I905" s="702"/>
      <c r="J905" s="702"/>
      <c r="K905" s="702"/>
      <c r="L905" s="335">
        <v>45966</v>
      </c>
      <c r="M905" s="317" t="s">
        <v>453</v>
      </c>
      <c r="N905" s="317">
        <v>22</v>
      </c>
      <c r="O905" s="258"/>
      <c r="P905" s="520"/>
    </row>
    <row r="906" spans="2:16" ht="25.5" customHeight="1" x14ac:dyDescent="0.2">
      <c r="B906" s="317">
        <v>261</v>
      </c>
      <c r="C906" s="288" t="s">
        <v>238</v>
      </c>
      <c r="D906" s="317" t="s">
        <v>753</v>
      </c>
      <c r="E906" s="317" t="s">
        <v>30</v>
      </c>
      <c r="F906" s="257">
        <v>45965</v>
      </c>
      <c r="G906" s="334">
        <v>61.15</v>
      </c>
      <c r="H906" s="702" t="s">
        <v>172</v>
      </c>
      <c r="I906" s="702"/>
      <c r="J906" s="702"/>
      <c r="K906" s="702"/>
      <c r="L906" s="335">
        <v>45970</v>
      </c>
      <c r="M906" s="317" t="s">
        <v>471</v>
      </c>
      <c r="N906" s="317">
        <v>25</v>
      </c>
      <c r="O906" s="258"/>
      <c r="P906" s="520"/>
    </row>
    <row r="907" spans="2:16" ht="25.5" customHeight="1" x14ac:dyDescent="0.2">
      <c r="B907" s="317">
        <v>262</v>
      </c>
      <c r="C907" s="669" t="s">
        <v>411</v>
      </c>
      <c r="D907" s="610" t="s">
        <v>47</v>
      </c>
      <c r="E907" s="609" t="s">
        <v>30</v>
      </c>
      <c r="F907" s="548"/>
      <c r="G907" s="609">
        <v>44.850999999999999</v>
      </c>
      <c r="H907" s="701" t="s">
        <v>946</v>
      </c>
      <c r="I907" s="701"/>
      <c r="J907" s="701"/>
      <c r="K907" s="701"/>
      <c r="L907" s="669"/>
      <c r="M907" s="317" t="s">
        <v>919</v>
      </c>
      <c r="N907" s="228">
        <v>24</v>
      </c>
      <c r="O907" s="258"/>
      <c r="P907" s="520"/>
    </row>
    <row r="908" spans="2:16" ht="25.5" customHeight="1" x14ac:dyDescent="0.2">
      <c r="B908" s="317">
        <v>263</v>
      </c>
      <c r="C908" s="669" t="s">
        <v>410</v>
      </c>
      <c r="D908" s="609" t="s">
        <v>34</v>
      </c>
      <c r="E908" s="609" t="s">
        <v>30</v>
      </c>
      <c r="F908" s="548">
        <v>45967</v>
      </c>
      <c r="G908" s="609">
        <v>37.930999999999997</v>
      </c>
      <c r="H908" s="701" t="s">
        <v>992</v>
      </c>
      <c r="I908" s="701"/>
      <c r="J908" s="701"/>
      <c r="K908" s="701"/>
      <c r="L908" s="669"/>
      <c r="M908" s="317" t="s">
        <v>443</v>
      </c>
      <c r="N908" s="317">
        <v>22</v>
      </c>
      <c r="O908" s="258"/>
      <c r="P908" s="520"/>
    </row>
    <row r="909" spans="2:16" ht="25.5" customHeight="1" x14ac:dyDescent="0.2">
      <c r="B909" s="317">
        <v>264</v>
      </c>
      <c r="C909" s="669" t="s">
        <v>388</v>
      </c>
      <c r="D909" s="609" t="s">
        <v>131</v>
      </c>
      <c r="E909" s="609" t="s">
        <v>30</v>
      </c>
      <c r="F909" s="548"/>
      <c r="G909" s="674">
        <v>54.66</v>
      </c>
      <c r="H909" s="701" t="s">
        <v>981</v>
      </c>
      <c r="I909" s="701"/>
      <c r="J909" s="701"/>
      <c r="K909" s="701"/>
      <c r="L909" s="669"/>
      <c r="M909" s="317" t="s">
        <v>919</v>
      </c>
      <c r="N909" s="228">
        <v>24</v>
      </c>
      <c r="O909" s="258"/>
      <c r="P909" s="520"/>
    </row>
    <row r="910" spans="2:16" ht="25.5" customHeight="1" x14ac:dyDescent="0.2">
      <c r="B910" s="317">
        <v>265</v>
      </c>
      <c r="C910" s="669" t="s">
        <v>379</v>
      </c>
      <c r="D910" s="609" t="s">
        <v>501</v>
      </c>
      <c r="E910" s="609" t="s">
        <v>30</v>
      </c>
      <c r="F910" s="548">
        <v>45969</v>
      </c>
      <c r="G910" s="675">
        <v>83.81</v>
      </c>
      <c r="H910" s="701" t="s">
        <v>993</v>
      </c>
      <c r="I910" s="701"/>
      <c r="J910" s="701"/>
      <c r="K910" s="701"/>
      <c r="L910" s="669"/>
      <c r="M910" s="317" t="s">
        <v>976</v>
      </c>
      <c r="N910" s="228">
        <v>24</v>
      </c>
      <c r="O910" s="258"/>
      <c r="P910" s="520"/>
    </row>
    <row r="911" spans="2:16" ht="25.5" customHeight="1" x14ac:dyDescent="0.2">
      <c r="B911" s="317">
        <v>266</v>
      </c>
      <c r="C911" s="669" t="s">
        <v>196</v>
      </c>
      <c r="D911" s="609" t="s">
        <v>615</v>
      </c>
      <c r="E911" s="609" t="s">
        <v>30</v>
      </c>
      <c r="F911" s="548">
        <v>45967</v>
      </c>
      <c r="G911" s="609">
        <v>39.17</v>
      </c>
      <c r="H911" s="701" t="s">
        <v>994</v>
      </c>
      <c r="I911" s="701"/>
      <c r="J911" s="701"/>
      <c r="K911" s="701"/>
      <c r="L911" s="669"/>
      <c r="M911" s="317" t="s">
        <v>453</v>
      </c>
      <c r="N911" s="317">
        <v>22</v>
      </c>
      <c r="O911" s="258"/>
      <c r="P911" s="520"/>
    </row>
    <row r="912" spans="2:16" ht="25.5" customHeight="1" x14ac:dyDescent="0.2">
      <c r="B912" s="317">
        <v>267</v>
      </c>
      <c r="C912" s="669" t="s">
        <v>827</v>
      </c>
      <c r="D912" s="609" t="s">
        <v>352</v>
      </c>
      <c r="E912" s="609" t="s">
        <v>30</v>
      </c>
      <c r="F912" s="548">
        <v>45965</v>
      </c>
      <c r="G912" s="609">
        <v>64.89</v>
      </c>
      <c r="H912" s="701" t="s">
        <v>995</v>
      </c>
      <c r="I912" s="701"/>
      <c r="J912" s="701"/>
      <c r="K912" s="701"/>
      <c r="L912" s="669"/>
      <c r="M912" s="317" t="s">
        <v>778</v>
      </c>
      <c r="N912" s="317">
        <v>34</v>
      </c>
      <c r="O912" s="258"/>
      <c r="P912" s="520"/>
    </row>
    <row r="913" spans="2:16" ht="25.5" customHeight="1" x14ac:dyDescent="0.2">
      <c r="B913" s="317">
        <v>268</v>
      </c>
      <c r="C913" s="669" t="s">
        <v>239</v>
      </c>
      <c r="D913" s="609" t="s">
        <v>751</v>
      </c>
      <c r="E913" s="609" t="s">
        <v>30</v>
      </c>
      <c r="F913" s="548">
        <v>45971</v>
      </c>
      <c r="G913" s="609">
        <v>58.93</v>
      </c>
      <c r="H913" s="701" t="s">
        <v>996</v>
      </c>
      <c r="I913" s="701"/>
      <c r="J913" s="701"/>
      <c r="K913" s="701"/>
      <c r="L913" s="669"/>
      <c r="M913" s="317" t="s">
        <v>471</v>
      </c>
      <c r="N913" s="317">
        <v>25</v>
      </c>
      <c r="O913" s="258"/>
      <c r="P913" s="520"/>
    </row>
  </sheetData>
  <autoFilter ref="B645:Q908" xr:uid="{00000000-0009-0000-0000-000001000000}">
    <filterColumn colId="6" showButton="0"/>
    <filterColumn colId="7" showButton="0"/>
    <filterColumn colId="8" showButton="0"/>
  </autoFilter>
  <mergeCells count="904">
    <mergeCell ref="G609:J609"/>
    <mergeCell ref="H787:K787"/>
    <mergeCell ref="H735:K735"/>
    <mergeCell ref="H889:K889"/>
    <mergeCell ref="H911:K911"/>
    <mergeCell ref="H912:K912"/>
    <mergeCell ref="H913:K913"/>
    <mergeCell ref="H821:K821"/>
    <mergeCell ref="H824:K824"/>
    <mergeCell ref="H906:K906"/>
    <mergeCell ref="H907:K907"/>
    <mergeCell ref="H908:K908"/>
    <mergeCell ref="H898:K898"/>
    <mergeCell ref="H899:K899"/>
    <mergeCell ref="H893:K893"/>
    <mergeCell ref="H894:K894"/>
    <mergeCell ref="H891:K891"/>
    <mergeCell ref="H892:K892"/>
    <mergeCell ref="H823:K823"/>
    <mergeCell ref="H825:K825"/>
    <mergeCell ref="H828:K828"/>
    <mergeCell ref="H829:K829"/>
    <mergeCell ref="H830:K830"/>
    <mergeCell ref="H831:K831"/>
    <mergeCell ref="H833:K833"/>
    <mergeCell ref="H832:K832"/>
    <mergeCell ref="H854:K854"/>
    <mergeCell ref="H855:K855"/>
    <mergeCell ref="H887:K887"/>
    <mergeCell ref="H839:K839"/>
    <mergeCell ref="H822:K822"/>
    <mergeCell ref="H826:K826"/>
    <mergeCell ref="H885:K885"/>
    <mergeCell ref="H853:K853"/>
    <mergeCell ref="H858:K858"/>
    <mergeCell ref="H859:K859"/>
    <mergeCell ref="H848:K848"/>
    <mergeCell ref="H849:K849"/>
    <mergeCell ref="H850:K850"/>
    <mergeCell ref="H851:K851"/>
    <mergeCell ref="H852:K852"/>
    <mergeCell ref="H841:K841"/>
    <mergeCell ref="H842:K842"/>
    <mergeCell ref="H843:K843"/>
    <mergeCell ref="H845:K845"/>
    <mergeCell ref="H846:K846"/>
    <mergeCell ref="H881:K881"/>
    <mergeCell ref="H827:K827"/>
    <mergeCell ref="H834:K834"/>
    <mergeCell ref="H878:K878"/>
    <mergeCell ref="H890:K890"/>
    <mergeCell ref="H886:K886"/>
    <mergeCell ref="H840:K840"/>
    <mergeCell ref="H836:K836"/>
    <mergeCell ref="H837:K837"/>
    <mergeCell ref="H838:K838"/>
    <mergeCell ref="H835:K835"/>
    <mergeCell ref="H883:K883"/>
    <mergeCell ref="H877:K877"/>
    <mergeCell ref="H875:K875"/>
    <mergeCell ref="H871:K871"/>
    <mergeCell ref="H872:K872"/>
    <mergeCell ref="H873:K873"/>
    <mergeCell ref="H874:K874"/>
    <mergeCell ref="H879:K879"/>
    <mergeCell ref="H876:K876"/>
    <mergeCell ref="H847:K847"/>
    <mergeCell ref="H884:K884"/>
    <mergeCell ref="H844:K844"/>
    <mergeCell ref="H867:K867"/>
    <mergeCell ref="H868:K868"/>
    <mergeCell ref="H869:K869"/>
    <mergeCell ref="H870:K870"/>
    <mergeCell ref="H796:K796"/>
    <mergeCell ref="H791:K791"/>
    <mergeCell ref="H790:K790"/>
    <mergeCell ref="H801:K801"/>
    <mergeCell ref="H737:K737"/>
    <mergeCell ref="H738:K738"/>
    <mergeCell ref="H713:K713"/>
    <mergeCell ref="H799:K799"/>
    <mergeCell ref="H756:K756"/>
    <mergeCell ref="H722:K722"/>
    <mergeCell ref="H766:K766"/>
    <mergeCell ref="H771:K771"/>
    <mergeCell ref="H794:K794"/>
    <mergeCell ref="H773:K773"/>
    <mergeCell ref="H785:K785"/>
    <mergeCell ref="H782:K782"/>
    <mergeCell ref="H775:K775"/>
    <mergeCell ref="H788:K788"/>
    <mergeCell ref="H797:K797"/>
    <mergeCell ref="H795:K795"/>
    <mergeCell ref="H792:K792"/>
    <mergeCell ref="H767:K767"/>
    <mergeCell ref="H762:K762"/>
    <mergeCell ref="H781:K781"/>
    <mergeCell ref="H820:K820"/>
    <mergeCell ref="H811:K811"/>
    <mergeCell ref="H798:K798"/>
    <mergeCell ref="H817:K817"/>
    <mergeCell ref="H809:K809"/>
    <mergeCell ref="H810:K810"/>
    <mergeCell ref="H815:K815"/>
    <mergeCell ref="H812:K812"/>
    <mergeCell ref="H814:K814"/>
    <mergeCell ref="H819:K819"/>
    <mergeCell ref="H816:K816"/>
    <mergeCell ref="H808:K808"/>
    <mergeCell ref="H805:K805"/>
    <mergeCell ref="H804:K804"/>
    <mergeCell ref="H806:K806"/>
    <mergeCell ref="H807:K807"/>
    <mergeCell ref="H803:K803"/>
    <mergeCell ref="H818:K818"/>
    <mergeCell ref="H813:K813"/>
    <mergeCell ref="G536:J536"/>
    <mergeCell ref="H793:K793"/>
    <mergeCell ref="E625:H625"/>
    <mergeCell ref="E626:H626"/>
    <mergeCell ref="G558:J558"/>
    <mergeCell ref="G568:J568"/>
    <mergeCell ref="H647:K647"/>
    <mergeCell ref="H651:K651"/>
    <mergeCell ref="G574:J574"/>
    <mergeCell ref="H745:K745"/>
    <mergeCell ref="H753:K753"/>
    <mergeCell ref="H748:K748"/>
    <mergeCell ref="H742:K742"/>
    <mergeCell ref="H743:K743"/>
    <mergeCell ref="H712:K712"/>
    <mergeCell ref="H701:K701"/>
    <mergeCell ref="H695:K695"/>
    <mergeCell ref="H697:K697"/>
    <mergeCell ref="H696:K696"/>
    <mergeCell ref="H734:K734"/>
    <mergeCell ref="H729:K729"/>
    <mergeCell ref="H752:K752"/>
    <mergeCell ref="H755:K755"/>
    <mergeCell ref="E630:H630"/>
    <mergeCell ref="H776:K776"/>
    <mergeCell ref="H774:K774"/>
    <mergeCell ref="H768:K768"/>
    <mergeCell ref="H769:K769"/>
    <mergeCell ref="H772:K772"/>
    <mergeCell ref="H751:K751"/>
    <mergeCell ref="H746:K746"/>
    <mergeCell ref="H747:K747"/>
    <mergeCell ref="E620:H620"/>
    <mergeCell ref="E641:H641"/>
    <mergeCell ref="H736:K736"/>
    <mergeCell ref="H706:K706"/>
    <mergeCell ref="H731:K731"/>
    <mergeCell ref="H725:K725"/>
    <mergeCell ref="H710:K710"/>
    <mergeCell ref="H704:K704"/>
    <mergeCell ref="H694:K694"/>
    <mergeCell ref="H733:K733"/>
    <mergeCell ref="H708:K708"/>
    <mergeCell ref="H765:K765"/>
    <mergeCell ref="H763:K763"/>
    <mergeCell ref="E637:H637"/>
    <mergeCell ref="E638:H638"/>
    <mergeCell ref="E642:H642"/>
    <mergeCell ref="H648:K648"/>
    <mergeCell ref="E636:H636"/>
    <mergeCell ref="E629:H629"/>
    <mergeCell ref="E621:H621"/>
    <mergeCell ref="H685:K685"/>
    <mergeCell ref="H741:K741"/>
    <mergeCell ref="H740:K740"/>
    <mergeCell ref="H739:K739"/>
    <mergeCell ref="H732:K732"/>
    <mergeCell ref="H700:K700"/>
    <mergeCell ref="H691:K691"/>
    <mergeCell ref="H707:K707"/>
    <mergeCell ref="H719:K719"/>
    <mergeCell ref="H720:K720"/>
    <mergeCell ref="H699:K699"/>
    <mergeCell ref="H698:K698"/>
    <mergeCell ref="H717:K717"/>
    <mergeCell ref="H709:K709"/>
    <mergeCell ref="H714:K714"/>
    <mergeCell ref="H727:K727"/>
    <mergeCell ref="H726:K726"/>
    <mergeCell ref="E632:H632"/>
    <mergeCell ref="G546:J546"/>
    <mergeCell ref="G538:J538"/>
    <mergeCell ref="G535:J535"/>
    <mergeCell ref="H730:K730"/>
    <mergeCell ref="H728:K728"/>
    <mergeCell ref="H670:K670"/>
    <mergeCell ref="H679:K679"/>
    <mergeCell ref="H702:K702"/>
    <mergeCell ref="H703:K703"/>
    <mergeCell ref="H650:K650"/>
    <mergeCell ref="H662:K662"/>
    <mergeCell ref="H671:K671"/>
    <mergeCell ref="H667:K667"/>
    <mergeCell ref="H687:K687"/>
    <mergeCell ref="H688:K688"/>
    <mergeCell ref="H689:K689"/>
    <mergeCell ref="H690:K690"/>
    <mergeCell ref="H664:K664"/>
    <mergeCell ref="H653:K653"/>
    <mergeCell ref="H654:K654"/>
    <mergeCell ref="H661:K661"/>
    <mergeCell ref="H659:K659"/>
    <mergeCell ref="H686:K686"/>
    <mergeCell ref="H682:K682"/>
    <mergeCell ref="G604:J604"/>
    <mergeCell ref="E615:H615"/>
    <mergeCell ref="G575:J575"/>
    <mergeCell ref="G576:J576"/>
    <mergeCell ref="G577:J577"/>
    <mergeCell ref="G579:J579"/>
    <mergeCell ref="G598:J598"/>
    <mergeCell ref="G599:J599"/>
    <mergeCell ref="G600:J600"/>
    <mergeCell ref="G578:J578"/>
    <mergeCell ref="G584:J584"/>
    <mergeCell ref="G585:J585"/>
    <mergeCell ref="E612:H612"/>
    <mergeCell ref="G582:J582"/>
    <mergeCell ref="G583:J583"/>
    <mergeCell ref="E611:H611"/>
    <mergeCell ref="G602:J602"/>
    <mergeCell ref="E613:H613"/>
    <mergeCell ref="G597:J597"/>
    <mergeCell ref="G601:J601"/>
    <mergeCell ref="G594:J594"/>
    <mergeCell ref="G595:J595"/>
    <mergeCell ref="G587:J587"/>
    <mergeCell ref="G588:J588"/>
    <mergeCell ref="H85:K85"/>
    <mergeCell ref="H86:K86"/>
    <mergeCell ref="H87:K87"/>
    <mergeCell ref="H103:K103"/>
    <mergeCell ref="H104:K104"/>
    <mergeCell ref="H105:K105"/>
    <mergeCell ref="H100:K100"/>
    <mergeCell ref="H101:K101"/>
    <mergeCell ref="H102:K102"/>
    <mergeCell ref="H97:K97"/>
    <mergeCell ref="H98:K98"/>
    <mergeCell ref="H99:K99"/>
    <mergeCell ref="H106:K106"/>
    <mergeCell ref="H107:K107"/>
    <mergeCell ref="H108:K108"/>
    <mergeCell ref="H121:K121"/>
    <mergeCell ref="H122:K122"/>
    <mergeCell ref="H123:K123"/>
    <mergeCell ref="H118:K118"/>
    <mergeCell ref="G531:J531"/>
    <mergeCell ref="H119:K119"/>
    <mergeCell ref="H120:K120"/>
    <mergeCell ref="H115:K115"/>
    <mergeCell ref="H116:K116"/>
    <mergeCell ref="H117:K117"/>
    <mergeCell ref="H112:K112"/>
    <mergeCell ref="H113:K113"/>
    <mergeCell ref="H114:K114"/>
    <mergeCell ref="H109:K109"/>
    <mergeCell ref="H110:K110"/>
    <mergeCell ref="H111:K111"/>
    <mergeCell ref="H130:K130"/>
    <mergeCell ref="H131:K131"/>
    <mergeCell ref="H132:K132"/>
    <mergeCell ref="H127:K127"/>
    <mergeCell ref="H128:K128"/>
    <mergeCell ref="H82:K82"/>
    <mergeCell ref="H83:K83"/>
    <mergeCell ref="H84:K84"/>
    <mergeCell ref="H79:K79"/>
    <mergeCell ref="H80:K80"/>
    <mergeCell ref="G473:J473"/>
    <mergeCell ref="H81:K81"/>
    <mergeCell ref="G441:J441"/>
    <mergeCell ref="G442:J442"/>
    <mergeCell ref="G445:J445"/>
    <mergeCell ref="G446:J446"/>
    <mergeCell ref="G449:J449"/>
    <mergeCell ref="G453:J453"/>
    <mergeCell ref="G465:J465"/>
    <mergeCell ref="G437:J437"/>
    <mergeCell ref="H94:K94"/>
    <mergeCell ref="H95:K95"/>
    <mergeCell ref="H96:K96"/>
    <mergeCell ref="H91:K91"/>
    <mergeCell ref="H92:K92"/>
    <mergeCell ref="H93:K93"/>
    <mergeCell ref="H88:K88"/>
    <mergeCell ref="H89:K89"/>
    <mergeCell ref="H90:K90"/>
    <mergeCell ref="H67:K67"/>
    <mergeCell ref="H68:K68"/>
    <mergeCell ref="H69:K69"/>
    <mergeCell ref="H78:K78"/>
    <mergeCell ref="H73:K73"/>
    <mergeCell ref="H74:K74"/>
    <mergeCell ref="H75:K75"/>
    <mergeCell ref="H70:K70"/>
    <mergeCell ref="H71:K71"/>
    <mergeCell ref="H72:K72"/>
    <mergeCell ref="H64:K64"/>
    <mergeCell ref="H65:K65"/>
    <mergeCell ref="H66:K66"/>
    <mergeCell ref="H61:K61"/>
    <mergeCell ref="H62:K62"/>
    <mergeCell ref="G456:J456"/>
    <mergeCell ref="G451:J451"/>
    <mergeCell ref="G454:J454"/>
    <mergeCell ref="G392:J392"/>
    <mergeCell ref="G393:J393"/>
    <mergeCell ref="G426:J426"/>
    <mergeCell ref="G427:J427"/>
    <mergeCell ref="G405:J405"/>
    <mergeCell ref="G406:J406"/>
    <mergeCell ref="G407:J407"/>
    <mergeCell ref="G408:J408"/>
    <mergeCell ref="G409:J409"/>
    <mergeCell ref="G410:J410"/>
    <mergeCell ref="G401:J401"/>
    <mergeCell ref="G422:J422"/>
    <mergeCell ref="G425:J425"/>
    <mergeCell ref="H63:K63"/>
    <mergeCell ref="H76:K76"/>
    <mergeCell ref="H77:K77"/>
    <mergeCell ref="H40:K40"/>
    <mergeCell ref="H41:K41"/>
    <mergeCell ref="H42:K42"/>
    <mergeCell ref="H37:K37"/>
    <mergeCell ref="H38:K38"/>
    <mergeCell ref="H39:K39"/>
    <mergeCell ref="H48:K48"/>
    <mergeCell ref="H43:K43"/>
    <mergeCell ref="H44:K44"/>
    <mergeCell ref="H45:K45"/>
    <mergeCell ref="H46:K46"/>
    <mergeCell ref="H47:K47"/>
    <mergeCell ref="H34:K34"/>
    <mergeCell ref="H35:K35"/>
    <mergeCell ref="H36:K36"/>
    <mergeCell ref="H24:K24"/>
    <mergeCell ref="H31:K31"/>
    <mergeCell ref="H32:K32"/>
    <mergeCell ref="H33:K33"/>
    <mergeCell ref="H28:K28"/>
    <mergeCell ref="H29:K29"/>
    <mergeCell ref="H30:K30"/>
    <mergeCell ref="H25:K25"/>
    <mergeCell ref="H26:K26"/>
    <mergeCell ref="H27:K27"/>
    <mergeCell ref="H10:K10"/>
    <mergeCell ref="H11:K11"/>
    <mergeCell ref="H12:K12"/>
    <mergeCell ref="B2:M2"/>
    <mergeCell ref="B7:P7"/>
    <mergeCell ref="H8:K8"/>
    <mergeCell ref="H9:K9"/>
    <mergeCell ref="H22:K22"/>
    <mergeCell ref="H23:K23"/>
    <mergeCell ref="H19:K19"/>
    <mergeCell ref="H20:K20"/>
    <mergeCell ref="H21:K21"/>
    <mergeCell ref="H16:K16"/>
    <mergeCell ref="H17:K17"/>
    <mergeCell ref="H18:K18"/>
    <mergeCell ref="H13:K13"/>
    <mergeCell ref="H14:K14"/>
    <mergeCell ref="H15:K15"/>
    <mergeCell ref="H58:K58"/>
    <mergeCell ref="H49:K49"/>
    <mergeCell ref="H59:K59"/>
    <mergeCell ref="H60:K60"/>
    <mergeCell ref="H55:K55"/>
    <mergeCell ref="H56:K56"/>
    <mergeCell ref="H57:K57"/>
    <mergeCell ref="H52:K52"/>
    <mergeCell ref="H53:K53"/>
    <mergeCell ref="H54:K54"/>
    <mergeCell ref="H50:K50"/>
    <mergeCell ref="H51:K51"/>
    <mergeCell ref="H129:K129"/>
    <mergeCell ref="H124:K124"/>
    <mergeCell ref="H125:K125"/>
    <mergeCell ref="H126:K126"/>
    <mergeCell ref="H139:K139"/>
    <mergeCell ref="H140:K140"/>
    <mergeCell ref="H141:K141"/>
    <mergeCell ref="H136:K136"/>
    <mergeCell ref="H137:K137"/>
    <mergeCell ref="H138:K138"/>
    <mergeCell ref="H133:K133"/>
    <mergeCell ref="H134:K134"/>
    <mergeCell ref="H135:K135"/>
    <mergeCell ref="H148:K148"/>
    <mergeCell ref="H149:K149"/>
    <mergeCell ref="H150:K150"/>
    <mergeCell ref="H145:K145"/>
    <mergeCell ref="H146:K146"/>
    <mergeCell ref="H147:K147"/>
    <mergeCell ref="H142:K142"/>
    <mergeCell ref="H143:K143"/>
    <mergeCell ref="H144:K144"/>
    <mergeCell ref="H157:K157"/>
    <mergeCell ref="H158:K158"/>
    <mergeCell ref="H159:K159"/>
    <mergeCell ref="H162:K162"/>
    <mergeCell ref="H163:K163"/>
    <mergeCell ref="H154:K154"/>
    <mergeCell ref="H155:K155"/>
    <mergeCell ref="H156:K156"/>
    <mergeCell ref="H151:K151"/>
    <mergeCell ref="H152:K152"/>
    <mergeCell ref="H153:K153"/>
    <mergeCell ref="H187:K187"/>
    <mergeCell ref="H186:K186"/>
    <mergeCell ref="H167:K167"/>
    <mergeCell ref="H173:K173"/>
    <mergeCell ref="H160:K160"/>
    <mergeCell ref="H161:K161"/>
    <mergeCell ref="H172:K172"/>
    <mergeCell ref="H164:K164"/>
    <mergeCell ref="H166:K166"/>
    <mergeCell ref="H165:K165"/>
    <mergeCell ref="H171:K171"/>
    <mergeCell ref="H169:K169"/>
    <mergeCell ref="H168:K168"/>
    <mergeCell ref="H177:K177"/>
    <mergeCell ref="H170:K170"/>
    <mergeCell ref="H179:K179"/>
    <mergeCell ref="H175:K175"/>
    <mergeCell ref="H174:K174"/>
    <mergeCell ref="H176:K176"/>
    <mergeCell ref="H178:K178"/>
    <mergeCell ref="H180:K180"/>
    <mergeCell ref="H183:K183"/>
    <mergeCell ref="H182:K182"/>
    <mergeCell ref="H181:K181"/>
    <mergeCell ref="H196:K196"/>
    <mergeCell ref="H204:K204"/>
    <mergeCell ref="H197:K197"/>
    <mergeCell ref="H203:K203"/>
    <mergeCell ref="H188:K188"/>
    <mergeCell ref="H191:K191"/>
    <mergeCell ref="H192:K192"/>
    <mergeCell ref="H189:K189"/>
    <mergeCell ref="H195:K195"/>
    <mergeCell ref="H193:K193"/>
    <mergeCell ref="H194:K194"/>
    <mergeCell ref="H190:K190"/>
    <mergeCell ref="H205:K205"/>
    <mergeCell ref="H200:K200"/>
    <mergeCell ref="H202:K202"/>
    <mergeCell ref="H199:K199"/>
    <mergeCell ref="H198:K198"/>
    <mergeCell ref="H201:K201"/>
    <mergeCell ref="H250:K250"/>
    <mergeCell ref="H244:K244"/>
    <mergeCell ref="H247:K247"/>
    <mergeCell ref="H242:K242"/>
    <mergeCell ref="H240:K240"/>
    <mergeCell ref="H217:K217"/>
    <mergeCell ref="H225:K225"/>
    <mergeCell ref="H220:K220"/>
    <mergeCell ref="H235:K235"/>
    <mergeCell ref="H239:K239"/>
    <mergeCell ref="H215:K215"/>
    <mergeCell ref="H229:K229"/>
    <mergeCell ref="H248:K248"/>
    <mergeCell ref="H207:K207"/>
    <mergeCell ref="H208:K208"/>
    <mergeCell ref="H237:K237"/>
    <mergeCell ref="H218:K218"/>
    <mergeCell ref="H210:K210"/>
    <mergeCell ref="H261:K261"/>
    <mergeCell ref="H254:K254"/>
    <mergeCell ref="H252:K252"/>
    <mergeCell ref="H226:K226"/>
    <mergeCell ref="H259:K259"/>
    <mergeCell ref="H249:K249"/>
    <mergeCell ref="H256:K256"/>
    <mergeCell ref="H222:K222"/>
    <mergeCell ref="H257:K257"/>
    <mergeCell ref="H258:K258"/>
    <mergeCell ref="H255:K255"/>
    <mergeCell ref="H227:K227"/>
    <mergeCell ref="H253:K253"/>
    <mergeCell ref="H260:K260"/>
    <mergeCell ref="H209:K209"/>
    <mergeCell ref="H223:K223"/>
    <mergeCell ref="H231:K231"/>
    <mergeCell ref="H233:K233"/>
    <mergeCell ref="H234:K234"/>
    <mergeCell ref="H251:K251"/>
    <mergeCell ref="H236:K236"/>
    <mergeCell ref="H224:K224"/>
    <mergeCell ref="H211:K211"/>
    <mergeCell ref="H212:K212"/>
    <mergeCell ref="H214:K214"/>
    <mergeCell ref="H219:K219"/>
    <mergeCell ref="H216:K216"/>
    <mergeCell ref="H228:K228"/>
    <mergeCell ref="H230:K230"/>
    <mergeCell ref="H232:K232"/>
    <mergeCell ref="H243:K243"/>
    <mergeCell ref="H245:K245"/>
    <mergeCell ref="H246:K246"/>
    <mergeCell ref="H213:K213"/>
    <mergeCell ref="H184:K184"/>
    <mergeCell ref="H185:K185"/>
    <mergeCell ref="G333:J333"/>
    <mergeCell ref="G364:J364"/>
    <mergeCell ref="G365:J365"/>
    <mergeCell ref="G361:J361"/>
    <mergeCell ref="G362:J362"/>
    <mergeCell ref="G340:J340"/>
    <mergeCell ref="H271:K271"/>
    <mergeCell ref="G321:J321"/>
    <mergeCell ref="G328:J328"/>
    <mergeCell ref="H221:K221"/>
    <mergeCell ref="G341:J341"/>
    <mergeCell ref="G342:J342"/>
    <mergeCell ref="G338:J338"/>
    <mergeCell ref="G339:J339"/>
    <mergeCell ref="G346:J346"/>
    <mergeCell ref="G347:J347"/>
    <mergeCell ref="G343:J343"/>
    <mergeCell ref="G344:J344"/>
    <mergeCell ref="G345:J345"/>
    <mergeCell ref="G352:J352"/>
    <mergeCell ref="H241:K241"/>
    <mergeCell ref="H238:K238"/>
    <mergeCell ref="H206:K206"/>
    <mergeCell ref="H786:K786"/>
    <mergeCell ref="H783:K783"/>
    <mergeCell ref="H784:K784"/>
    <mergeCell ref="H779:K779"/>
    <mergeCell ref="H780:K780"/>
    <mergeCell ref="H750:K750"/>
    <mergeCell ref="H778:K778"/>
    <mergeCell ref="H777:K777"/>
    <mergeCell ref="H770:K770"/>
    <mergeCell ref="H764:K764"/>
    <mergeCell ref="H757:K757"/>
    <mergeCell ref="H754:K754"/>
    <mergeCell ref="H760:K760"/>
    <mergeCell ref="H761:K761"/>
    <mergeCell ref="H758:K758"/>
    <mergeCell ref="H759:K759"/>
    <mergeCell ref="G380:J380"/>
    <mergeCell ref="G529:J529"/>
    <mergeCell ref="G545:J545"/>
    <mergeCell ref="G565:J565"/>
    <mergeCell ref="H263:K263"/>
    <mergeCell ref="H274:K274"/>
    <mergeCell ref="G326:J326"/>
    <mergeCell ref="H265:K265"/>
    <mergeCell ref="G434:J434"/>
    <mergeCell ref="G414:J414"/>
    <mergeCell ref="G433:J433"/>
    <mergeCell ref="G423:J423"/>
    <mergeCell ref="G424:J424"/>
    <mergeCell ref="G417:J417"/>
    <mergeCell ref="G418:J418"/>
    <mergeCell ref="G419:J419"/>
    <mergeCell ref="G432:J432"/>
    <mergeCell ref="G430:J430"/>
    <mergeCell ref="G402:J402"/>
    <mergeCell ref="G327:J327"/>
    <mergeCell ref="H281:K281"/>
    <mergeCell ref="H283:K283"/>
    <mergeCell ref="H268:K268"/>
    <mergeCell ref="H310:K310"/>
    <mergeCell ref="H288:K288"/>
    <mergeCell ref="H307:K307"/>
    <mergeCell ref="H309:K309"/>
    <mergeCell ref="H306:K306"/>
    <mergeCell ref="H308:K308"/>
    <mergeCell ref="H287:K287"/>
    <mergeCell ref="G396:J396"/>
    <mergeCell ref="H262:K262"/>
    <mergeCell ref="H275:K275"/>
    <mergeCell ref="H266:K266"/>
    <mergeCell ref="G523:J523"/>
    <mergeCell ref="G353:J353"/>
    <mergeCell ref="G354:J354"/>
    <mergeCell ref="G355:J355"/>
    <mergeCell ref="G356:J356"/>
    <mergeCell ref="G357:J357"/>
    <mergeCell ref="G370:J370"/>
    <mergeCell ref="G366:J366"/>
    <mergeCell ref="G367:J367"/>
    <mergeCell ref="G368:J368"/>
    <mergeCell ref="G369:J369"/>
    <mergeCell ref="G371:J371"/>
    <mergeCell ref="G385:J385"/>
    <mergeCell ref="G349:J349"/>
    <mergeCell ref="G331:J331"/>
    <mergeCell ref="G332:J332"/>
    <mergeCell ref="H277:K277"/>
    <mergeCell ref="H276:K276"/>
    <mergeCell ref="G415:J415"/>
    <mergeCell ref="G416:J416"/>
    <mergeCell ref="G400:J400"/>
    <mergeCell ref="H280:K280"/>
    <mergeCell ref="G547:J547"/>
    <mergeCell ref="G544:J544"/>
    <mergeCell ref="H314:K314"/>
    <mergeCell ref="H279:K279"/>
    <mergeCell ref="H282:K282"/>
    <mergeCell ref="G491:J491"/>
    <mergeCell ref="G457:J457"/>
    <mergeCell ref="G458:J458"/>
    <mergeCell ref="G459:J459"/>
    <mergeCell ref="G492:J492"/>
    <mergeCell ref="G490:J490"/>
    <mergeCell ref="G478:J478"/>
    <mergeCell ref="G486:J486"/>
    <mergeCell ref="G475:J475"/>
    <mergeCell ref="G485:J485"/>
    <mergeCell ref="G487:J487"/>
    <mergeCell ref="G511:J511"/>
    <mergeCell ref="G496:J496"/>
    <mergeCell ref="G404:J404"/>
    <mergeCell ref="G394:J394"/>
    <mergeCell ref="G399:J399"/>
    <mergeCell ref="G334:J334"/>
    <mergeCell ref="G335:J335"/>
    <mergeCell ref="G336:J336"/>
    <mergeCell ref="G337:J337"/>
    <mergeCell ref="G395:J395"/>
    <mergeCell ref="G330:J330"/>
    <mergeCell ref="G358:J358"/>
    <mergeCell ref="G359:J359"/>
    <mergeCell ref="H269:K269"/>
    <mergeCell ref="H270:K270"/>
    <mergeCell ref="H273:K273"/>
    <mergeCell ref="H296:K296"/>
    <mergeCell ref="H285:K285"/>
    <mergeCell ref="H272:K272"/>
    <mergeCell ref="H312:K312"/>
    <mergeCell ref="H289:K289"/>
    <mergeCell ref="H292:K292"/>
    <mergeCell ref="H294:K294"/>
    <mergeCell ref="H293:K293"/>
    <mergeCell ref="H301:K301"/>
    <mergeCell ref="H299:K299"/>
    <mergeCell ref="H297:K297"/>
    <mergeCell ref="H303:K303"/>
    <mergeCell ref="H278:K278"/>
    <mergeCell ref="H290:K290"/>
    <mergeCell ref="H284:K284"/>
    <mergeCell ref="H295:K295"/>
    <mergeCell ref="H286:K286"/>
    <mergeCell ref="G324:J324"/>
    <mergeCell ref="G325:J325"/>
    <mergeCell ref="G322:J322"/>
    <mergeCell ref="G319:J319"/>
    <mergeCell ref="G320:J320"/>
    <mergeCell ref="G323:J323"/>
    <mergeCell ref="B318:N318"/>
    <mergeCell ref="H302:K302"/>
    <mergeCell ref="H313:K313"/>
    <mergeCell ref="H300:K300"/>
    <mergeCell ref="H298:K298"/>
    <mergeCell ref="H305:K305"/>
    <mergeCell ref="H316:K316"/>
    <mergeCell ref="H315:K315"/>
    <mergeCell ref="H311:K311"/>
    <mergeCell ref="H267:K267"/>
    <mergeCell ref="H264:K264"/>
    <mergeCell ref="H800:K800"/>
    <mergeCell ref="H681:K681"/>
    <mergeCell ref="H749:K749"/>
    <mergeCell ref="H693:K693"/>
    <mergeCell ref="H680:K680"/>
    <mergeCell ref="H715:K715"/>
    <mergeCell ref="G543:J543"/>
    <mergeCell ref="H744:K744"/>
    <mergeCell ref="H716:K716"/>
    <mergeCell ref="H668:K668"/>
    <mergeCell ref="H655:K655"/>
    <mergeCell ref="H656:K656"/>
    <mergeCell ref="H657:K657"/>
    <mergeCell ref="H652:K652"/>
    <mergeCell ref="H675:K675"/>
    <mergeCell ref="H676:K676"/>
    <mergeCell ref="G373:J373"/>
    <mergeCell ref="H789:K789"/>
    <mergeCell ref="E622:H622"/>
    <mergeCell ref="H291:K291"/>
    <mergeCell ref="G440:J440"/>
    <mergeCell ref="H304:K304"/>
    <mergeCell ref="G360:J360"/>
    <mergeCell ref="G379:J379"/>
    <mergeCell ref="G363:J363"/>
    <mergeCell ref="G348:J348"/>
    <mergeCell ref="G350:J350"/>
    <mergeCell ref="G351:J351"/>
    <mergeCell ref="G484:J484"/>
    <mergeCell ref="G463:J463"/>
    <mergeCell ref="G469:J469"/>
    <mergeCell ref="G476:J476"/>
    <mergeCell ref="G470:J470"/>
    <mergeCell ref="G411:J411"/>
    <mergeCell ref="G412:J412"/>
    <mergeCell ref="G413:J413"/>
    <mergeCell ref="G477:J477"/>
    <mergeCell ref="G464:J464"/>
    <mergeCell ref="G438:J438"/>
    <mergeCell ref="G450:J450"/>
    <mergeCell ref="G452:J452"/>
    <mergeCell ref="G455:J455"/>
    <mergeCell ref="G460:J460"/>
    <mergeCell ref="G447:J447"/>
    <mergeCell ref="G448:J448"/>
    <mergeCell ref="G471:J471"/>
    <mergeCell ref="G372:J372"/>
    <mergeCell ref="G391:J391"/>
    <mergeCell ref="G428:J428"/>
    <mergeCell ref="G420:J420"/>
    <mergeCell ref="G421:J421"/>
    <mergeCell ref="G435:J435"/>
    <mergeCell ref="G431:J431"/>
    <mergeCell ref="G429:J429"/>
    <mergeCell ref="G389:J389"/>
    <mergeCell ref="G381:J381"/>
    <mergeCell ref="G388:J388"/>
    <mergeCell ref="G384:J384"/>
    <mergeCell ref="G374:J374"/>
    <mergeCell ref="G375:J375"/>
    <mergeCell ref="G386:J386"/>
    <mergeCell ref="G390:J390"/>
    <mergeCell ref="G398:J398"/>
    <mergeCell ref="G382:J382"/>
    <mergeCell ref="G376:J376"/>
    <mergeCell ref="G377:J377"/>
    <mergeCell ref="G378:J378"/>
    <mergeCell ref="G397:J397"/>
    <mergeCell ref="G383:J383"/>
    <mergeCell ref="G592:J592"/>
    <mergeCell ref="G567:J567"/>
    <mergeCell ref="G530:J530"/>
    <mergeCell ref="G532:J532"/>
    <mergeCell ref="G596:J596"/>
    <mergeCell ref="G589:J589"/>
    <mergeCell ref="G590:J590"/>
    <mergeCell ref="G591:J591"/>
    <mergeCell ref="G571:J571"/>
    <mergeCell ref="G572:J572"/>
    <mergeCell ref="G561:J561"/>
    <mergeCell ref="G560:J560"/>
    <mergeCell ref="G580:J580"/>
    <mergeCell ref="G573:J573"/>
    <mergeCell ref="G555:J555"/>
    <mergeCell ref="G551:J551"/>
    <mergeCell ref="G554:J554"/>
    <mergeCell ref="G537:J537"/>
    <mergeCell ref="G562:J562"/>
    <mergeCell ref="G563:J563"/>
    <mergeCell ref="G570:J570"/>
    <mergeCell ref="G534:J534"/>
    <mergeCell ref="G556:J556"/>
    <mergeCell ref="G542:J542"/>
    <mergeCell ref="G514:J514"/>
    <mergeCell ref="G581:J581"/>
    <mergeCell ref="G527:J527"/>
    <mergeCell ref="G499:J499"/>
    <mergeCell ref="G501:J501"/>
    <mergeCell ref="G502:J502"/>
    <mergeCell ref="G522:J522"/>
    <mergeCell ref="G517:J517"/>
    <mergeCell ref="G516:J516"/>
    <mergeCell ref="G521:J521"/>
    <mergeCell ref="G515:J515"/>
    <mergeCell ref="G504:J504"/>
    <mergeCell ref="G548:J548"/>
    <mergeCell ref="G549:J549"/>
    <mergeCell ref="G550:J550"/>
    <mergeCell ref="G533:J533"/>
    <mergeCell ref="G540:J540"/>
    <mergeCell ref="G539:J539"/>
    <mergeCell ref="G566:J566"/>
    <mergeCell ref="G557:J557"/>
    <mergeCell ref="G559:J559"/>
    <mergeCell ref="G569:J569"/>
    <mergeCell ref="G564:J564"/>
    <mergeCell ref="G541:J541"/>
    <mergeCell ref="G553:J553"/>
    <mergeCell ref="G552:J552"/>
    <mergeCell ref="G480:J480"/>
    <mergeCell ref="G524:J524"/>
    <mergeCell ref="G500:J500"/>
    <mergeCell ref="G494:J494"/>
    <mergeCell ref="G481:J481"/>
    <mergeCell ref="G483:J483"/>
    <mergeCell ref="G526:J526"/>
    <mergeCell ref="G525:J525"/>
    <mergeCell ref="G528:J528"/>
    <mergeCell ref="G518:J518"/>
    <mergeCell ref="G519:J519"/>
    <mergeCell ref="G510:J510"/>
    <mergeCell ref="G508:J508"/>
    <mergeCell ref="G509:J509"/>
    <mergeCell ref="G507:J507"/>
    <mergeCell ref="G506:J506"/>
    <mergeCell ref="G505:J505"/>
    <mergeCell ref="G482:J482"/>
    <mergeCell ref="G503:J503"/>
    <mergeCell ref="G520:J520"/>
    <mergeCell ref="G512:J512"/>
    <mergeCell ref="G513:J513"/>
    <mergeCell ref="G436:J436"/>
    <mergeCell ref="G443:J443"/>
    <mergeCell ref="G472:J472"/>
    <mergeCell ref="G495:J495"/>
    <mergeCell ref="G497:J497"/>
    <mergeCell ref="G498:J498"/>
    <mergeCell ref="G403:J403"/>
    <mergeCell ref="G439:J439"/>
    <mergeCell ref="G468:J468"/>
    <mergeCell ref="G466:J466"/>
    <mergeCell ref="G467:J467"/>
    <mergeCell ref="G462:J462"/>
    <mergeCell ref="G461:J461"/>
    <mergeCell ref="G479:J479"/>
    <mergeCell ref="G489:J489"/>
    <mergeCell ref="G474:J474"/>
    <mergeCell ref="G493:J493"/>
    <mergeCell ref="G488:J488"/>
    <mergeCell ref="G329:J329"/>
    <mergeCell ref="G387:J387"/>
    <mergeCell ref="H856:K856"/>
    <mergeCell ref="H861:K861"/>
    <mergeCell ref="H862:K862"/>
    <mergeCell ref="H857:K857"/>
    <mergeCell ref="H860:K860"/>
    <mergeCell ref="G444:J444"/>
    <mergeCell ref="G586:J586"/>
    <mergeCell ref="H802:K802"/>
    <mergeCell ref="E624:H624"/>
    <mergeCell ref="E639:H639"/>
    <mergeCell ref="H678:K678"/>
    <mergeCell ref="H674:K674"/>
    <mergeCell ref="G593:J593"/>
    <mergeCell ref="G603:J603"/>
    <mergeCell ref="B610:N610"/>
    <mergeCell ref="E627:H627"/>
    <mergeCell ref="G605:J605"/>
    <mergeCell ref="E640:H640"/>
    <mergeCell ref="H673:K673"/>
    <mergeCell ref="H663:K663"/>
    <mergeCell ref="E631:H631"/>
    <mergeCell ref="H666:K666"/>
    <mergeCell ref="G606:J606"/>
    <mergeCell ref="G607:J607"/>
    <mergeCell ref="H896:K896"/>
    <mergeCell ref="H897:K897"/>
    <mergeCell ref="H672:K672"/>
    <mergeCell ref="H665:K665"/>
    <mergeCell ref="H888:K888"/>
    <mergeCell ref="H692:K692"/>
    <mergeCell ref="H721:K721"/>
    <mergeCell ref="H718:K718"/>
    <mergeCell ref="H723:K723"/>
    <mergeCell ref="H880:K880"/>
    <mergeCell ref="H882:K882"/>
    <mergeCell ref="H865:K865"/>
    <mergeCell ref="H863:K863"/>
    <mergeCell ref="H866:K866"/>
    <mergeCell ref="H864:K864"/>
    <mergeCell ref="E628:H628"/>
    <mergeCell ref="H683:K683"/>
    <mergeCell ref="H684:K684"/>
    <mergeCell ref="H658:K658"/>
    <mergeCell ref="E616:H616"/>
    <mergeCell ref="E614:H614"/>
    <mergeCell ref="H677:K677"/>
    <mergeCell ref="H909:K909"/>
    <mergeCell ref="H910:K910"/>
    <mergeCell ref="G608:J608"/>
    <mergeCell ref="H901:K901"/>
    <mergeCell ref="H902:K902"/>
    <mergeCell ref="H903:K903"/>
    <mergeCell ref="H904:K904"/>
    <mergeCell ref="H905:K905"/>
    <mergeCell ref="H900:K900"/>
    <mergeCell ref="E643:H643"/>
    <mergeCell ref="H895:K895"/>
    <mergeCell ref="H660:K660"/>
    <mergeCell ref="H669:K669"/>
    <mergeCell ref="H649:K649"/>
    <mergeCell ref="H711:K711"/>
    <mergeCell ref="H724:K724"/>
    <mergeCell ref="H705:K705"/>
    <mergeCell ref="E618:H618"/>
    <mergeCell ref="E617:H617"/>
    <mergeCell ref="E619:H619"/>
    <mergeCell ref="E635:H635"/>
    <mergeCell ref="H646:K646"/>
    <mergeCell ref="H645:K645"/>
    <mergeCell ref="E623:H623"/>
  </mergeCells>
  <conditionalFormatting sqref="C320:C322">
    <cfRule type="duplicateValues" dxfId="38" priority="140" stopIfTrue="1"/>
  </conditionalFormatting>
  <conditionalFormatting sqref="C612:C615">
    <cfRule type="duplicateValues" dxfId="37" priority="138" stopIfTrue="1"/>
    <cfRule type="duplicateValues" dxfId="36" priority="139" stopIfTrue="1"/>
  </conditionalFormatting>
  <conditionalFormatting sqref="C616:C620 C633">
    <cfRule type="duplicateValues" dxfId="35" priority="136" stopIfTrue="1"/>
    <cfRule type="duplicateValues" dxfId="34" priority="137" stopIfTrue="1"/>
  </conditionalFormatting>
  <conditionalFormatting sqref="C616:C620">
    <cfRule type="duplicateValues" dxfId="33" priority="59" stopIfTrue="1"/>
    <cfRule type="duplicateValues" dxfId="32" priority="60" stopIfTrue="1"/>
    <cfRule type="duplicateValues" dxfId="31" priority="73" stopIfTrue="1"/>
    <cfRule type="duplicateValues" dxfId="30" priority="74" stopIfTrue="1"/>
  </conditionalFormatting>
  <conditionalFormatting sqref="C621">
    <cfRule type="duplicateValues" dxfId="29" priority="39" stopIfTrue="1"/>
    <cfRule type="duplicateValues" dxfId="28" priority="40" stopIfTrue="1"/>
    <cfRule type="duplicateValues" dxfId="27" priority="41" stopIfTrue="1"/>
    <cfRule type="duplicateValues" dxfId="26" priority="42" stopIfTrue="1"/>
  </conditionalFormatting>
  <conditionalFormatting sqref="C622:C625">
    <cfRule type="duplicateValues" dxfId="25" priority="7" stopIfTrue="1"/>
    <cfRule type="duplicateValues" dxfId="24" priority="8" stopIfTrue="1"/>
  </conditionalFormatting>
  <conditionalFormatting sqref="C622:C629">
    <cfRule type="duplicateValues" dxfId="23" priority="5" stopIfTrue="1"/>
    <cfRule type="duplicateValues" dxfId="22" priority="6" stopIfTrue="1"/>
  </conditionalFormatting>
  <conditionalFormatting sqref="C630:C631">
    <cfRule type="duplicateValues" dxfId="21" priority="3" stopIfTrue="1"/>
    <cfRule type="duplicateValues" dxfId="20" priority="4" stopIfTrue="1"/>
  </conditionalFormatting>
  <conditionalFormatting sqref="C636:C639">
    <cfRule type="duplicateValues" dxfId="19" priority="11" stopIfTrue="1"/>
    <cfRule type="duplicateValues" dxfId="18" priority="12" stopIfTrue="1"/>
  </conditionalFormatting>
  <conditionalFormatting sqref="C640:C643">
    <cfRule type="duplicateValues" dxfId="17" priority="9" stopIfTrue="1"/>
    <cfRule type="duplicateValues" dxfId="16" priority="10" stopIfTrue="1"/>
  </conditionalFormatting>
  <conditionalFormatting sqref="C705">
    <cfRule type="duplicateValues" dxfId="15" priority="119"/>
    <cfRule type="duplicateValues" dxfId="14" priority="120" stopIfTrue="1"/>
    <cfRule type="duplicateValues" dxfId="13" priority="121"/>
    <cfRule type="duplicateValues" dxfId="12" priority="122" stopIfTrue="1"/>
    <cfRule type="duplicateValues" dxfId="11" priority="123" stopIfTrue="1"/>
    <cfRule type="duplicateValues" dxfId="10" priority="124" stopIfTrue="1"/>
    <cfRule type="duplicateValues" dxfId="9" priority="125" stopIfTrue="1"/>
    <cfRule type="duplicateValues" dxfId="8" priority="126" stopIfTrue="1"/>
    <cfRule type="duplicateValues" dxfId="7" priority="127"/>
    <cfRule type="duplicateValues" dxfId="6" priority="128"/>
    <cfRule type="duplicateValues" dxfId="5" priority="129"/>
    <cfRule type="duplicateValues" dxfId="4" priority="130"/>
    <cfRule type="duplicateValues" dxfId="3" priority="131"/>
  </conditionalFormatting>
  <conditionalFormatting sqref="C632">
    <cfRule type="duplicateValues" dxfId="2" priority="1" stopIfTrue="1"/>
    <cfRule type="duplicateValues" dxfId="1" priority="2" stopIfTrue="1"/>
  </conditionalFormatting>
  <hyperlinks>
    <hyperlink ref="L611" r:id="rId1" xr:uid="{00000000-0004-0000-0100-000000000000}"/>
    <hyperlink ref="M611" r:id="rId2" xr:uid="{00000000-0004-0000-0100-000001000000}"/>
  </hyperlinks>
  <pageMargins left="0.27559055118110237" right="0.31496062992125984" top="0.35433070866141736" bottom="0.39370078740157483" header="0.31496062992125984" footer="0.31496062992125984"/>
  <pageSetup paperSize="9" scale="65" orientation="landscape" r:id="rId3"/>
  <rowBreaks count="1" manualBreakCount="1">
    <brk id="6" min="1" max="1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2AB2-E3CA-4569-BCF7-177E4269774F}">
  <dimension ref="A1:J266"/>
  <sheetViews>
    <sheetView topLeftCell="A150" zoomScale="86" zoomScaleNormal="86" workbookViewId="0">
      <selection activeCell="G268" sqref="G268"/>
    </sheetView>
  </sheetViews>
  <sheetFormatPr defaultRowHeight="12.75" x14ac:dyDescent="0.2"/>
  <cols>
    <col min="1" max="1" width="13.140625" style="225" customWidth="1"/>
    <col min="2" max="2" width="16.28515625" style="225" customWidth="1"/>
    <col min="3" max="3" width="22.85546875" style="225" customWidth="1"/>
    <col min="4" max="4" width="16.85546875" style="225" customWidth="1"/>
    <col min="5" max="5" width="15.42578125" style="225" customWidth="1"/>
    <col min="6" max="6" width="13.42578125" style="225" customWidth="1"/>
    <col min="7" max="7" width="40.85546875" style="225" customWidth="1"/>
    <col min="8" max="8" width="23" style="225" customWidth="1"/>
    <col min="9" max="9" width="27.7109375" style="225" customWidth="1"/>
    <col min="10" max="10" width="15.7109375" style="225" customWidth="1"/>
    <col min="11" max="16384" width="9.140625" style="225"/>
  </cols>
  <sheetData>
    <row r="1" spans="1:10" x14ac:dyDescent="0.2">
      <c r="A1" s="438" t="s">
        <v>186</v>
      </c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6.5" customHeight="1" x14ac:dyDescent="0.2">
      <c r="A2" s="513" t="s">
        <v>68</v>
      </c>
      <c r="B2" s="513" t="s">
        <v>18</v>
      </c>
      <c r="C2" s="513" t="s">
        <v>19</v>
      </c>
      <c r="D2" s="513" t="s">
        <v>20</v>
      </c>
      <c r="E2" s="513" t="s">
        <v>957</v>
      </c>
      <c r="F2" s="513" t="s">
        <v>958</v>
      </c>
      <c r="G2" s="513" t="s">
        <v>23</v>
      </c>
      <c r="H2" s="513" t="s">
        <v>959</v>
      </c>
      <c r="I2" s="513" t="s">
        <v>25</v>
      </c>
      <c r="J2" s="513" t="s">
        <v>26</v>
      </c>
    </row>
    <row r="3" spans="1:10" ht="27.75" customHeight="1" x14ac:dyDescent="0.2">
      <c r="A3" s="317">
        <v>1</v>
      </c>
      <c r="B3" s="332" t="s">
        <v>41</v>
      </c>
      <c r="C3" s="228" t="s">
        <v>29</v>
      </c>
      <c r="D3" s="228" t="s">
        <v>30</v>
      </c>
      <c r="E3" s="333" t="s">
        <v>121</v>
      </c>
      <c r="F3" s="231">
        <v>36.369999999999997</v>
      </c>
      <c r="G3" s="512" t="s">
        <v>172</v>
      </c>
      <c r="H3" s="333">
        <v>45492</v>
      </c>
      <c r="I3" s="228" t="s">
        <v>122</v>
      </c>
      <c r="J3" s="228">
        <v>25</v>
      </c>
    </row>
    <row r="4" spans="1:10" ht="27.75" customHeight="1" x14ac:dyDescent="0.2">
      <c r="A4" s="317">
        <v>2</v>
      </c>
      <c r="B4" s="332" t="s">
        <v>56</v>
      </c>
      <c r="C4" s="228" t="s">
        <v>29</v>
      </c>
      <c r="D4" s="228" t="s">
        <v>30</v>
      </c>
      <c r="E4" s="333" t="s">
        <v>132</v>
      </c>
      <c r="F4" s="231">
        <v>36.369999999999997</v>
      </c>
      <c r="G4" s="512" t="s">
        <v>172</v>
      </c>
      <c r="H4" s="333">
        <v>45501</v>
      </c>
      <c r="I4" s="228" t="s">
        <v>122</v>
      </c>
      <c r="J4" s="228">
        <v>25</v>
      </c>
    </row>
    <row r="5" spans="1:10" ht="27.75" customHeight="1" x14ac:dyDescent="0.2">
      <c r="A5" s="317">
        <v>3</v>
      </c>
      <c r="B5" s="332" t="s">
        <v>116</v>
      </c>
      <c r="C5" s="228" t="s">
        <v>29</v>
      </c>
      <c r="D5" s="228" t="s">
        <v>30</v>
      </c>
      <c r="E5" s="333" t="s">
        <v>157</v>
      </c>
      <c r="F5" s="231">
        <v>36.369999999999997</v>
      </c>
      <c r="G5" s="512" t="s">
        <v>172</v>
      </c>
      <c r="H5" s="333">
        <v>45507</v>
      </c>
      <c r="I5" s="228" t="s">
        <v>122</v>
      </c>
      <c r="J5" s="228">
        <v>25</v>
      </c>
    </row>
    <row r="6" spans="1:10" ht="27.75" customHeight="1" x14ac:dyDescent="0.2">
      <c r="A6" s="317">
        <v>4</v>
      </c>
      <c r="B6" s="332" t="s">
        <v>45</v>
      </c>
      <c r="C6" s="228" t="s">
        <v>29</v>
      </c>
      <c r="D6" s="228" t="s">
        <v>30</v>
      </c>
      <c r="E6" s="333" t="s">
        <v>163</v>
      </c>
      <c r="F6" s="231">
        <v>36.369999999999997</v>
      </c>
      <c r="G6" s="512" t="s">
        <v>172</v>
      </c>
      <c r="H6" s="333">
        <v>45513</v>
      </c>
      <c r="I6" s="228" t="s">
        <v>122</v>
      </c>
      <c r="J6" s="228">
        <v>25</v>
      </c>
    </row>
    <row r="7" spans="1:10" ht="27.75" customHeight="1" x14ac:dyDescent="0.2">
      <c r="A7" s="317">
        <v>5</v>
      </c>
      <c r="B7" s="332" t="s">
        <v>62</v>
      </c>
      <c r="C7" s="228" t="s">
        <v>29</v>
      </c>
      <c r="D7" s="228" t="s">
        <v>30</v>
      </c>
      <c r="E7" s="333" t="s">
        <v>174</v>
      </c>
      <c r="F7" s="231">
        <v>36.369999999999997</v>
      </c>
      <c r="G7" s="512" t="s">
        <v>172</v>
      </c>
      <c r="H7" s="333">
        <v>45518</v>
      </c>
      <c r="I7" s="228" t="s">
        <v>122</v>
      </c>
      <c r="J7" s="228">
        <v>25</v>
      </c>
    </row>
    <row r="8" spans="1:10" ht="27.75" customHeight="1" x14ac:dyDescent="0.2">
      <c r="A8" s="317">
        <v>6</v>
      </c>
      <c r="B8" s="332" t="s">
        <v>66</v>
      </c>
      <c r="C8" s="228" t="s">
        <v>29</v>
      </c>
      <c r="D8" s="228" t="s">
        <v>30</v>
      </c>
      <c r="E8" s="333">
        <v>45520</v>
      </c>
      <c r="F8" s="231">
        <v>36.369999999999997</v>
      </c>
      <c r="G8" s="512" t="s">
        <v>172</v>
      </c>
      <c r="H8" s="333">
        <v>45522</v>
      </c>
      <c r="I8" s="228" t="s">
        <v>122</v>
      </c>
      <c r="J8" s="228">
        <v>25</v>
      </c>
    </row>
    <row r="9" spans="1:10" ht="27.75" customHeight="1" x14ac:dyDescent="0.2">
      <c r="A9" s="317">
        <v>7</v>
      </c>
      <c r="B9" s="332" t="s">
        <v>117</v>
      </c>
      <c r="C9" s="228" t="s">
        <v>29</v>
      </c>
      <c r="D9" s="228" t="s">
        <v>30</v>
      </c>
      <c r="E9" s="333">
        <v>45523</v>
      </c>
      <c r="F9" s="231">
        <v>36.369999999999997</v>
      </c>
      <c r="G9" s="512" t="s">
        <v>172</v>
      </c>
      <c r="H9" s="333">
        <v>45528</v>
      </c>
      <c r="I9" s="228" t="s">
        <v>122</v>
      </c>
      <c r="J9" s="228">
        <v>25</v>
      </c>
    </row>
    <row r="10" spans="1:10" ht="27.75" customHeight="1" x14ac:dyDescent="0.2">
      <c r="A10" s="317">
        <v>8</v>
      </c>
      <c r="B10" s="332" t="s">
        <v>183</v>
      </c>
      <c r="C10" s="228" t="s">
        <v>29</v>
      </c>
      <c r="D10" s="228" t="s">
        <v>30</v>
      </c>
      <c r="E10" s="333">
        <v>45526</v>
      </c>
      <c r="F10" s="231">
        <v>36.369999999999997</v>
      </c>
      <c r="G10" s="512" t="s">
        <v>172</v>
      </c>
      <c r="H10" s="333">
        <v>45533</v>
      </c>
      <c r="I10" s="228" t="s">
        <v>122</v>
      </c>
      <c r="J10" s="228">
        <v>25</v>
      </c>
    </row>
    <row r="11" spans="1:10" ht="27.75" customHeight="1" x14ac:dyDescent="0.2">
      <c r="A11" s="317">
        <v>9</v>
      </c>
      <c r="B11" s="332" t="s">
        <v>28</v>
      </c>
      <c r="C11" s="228" t="s">
        <v>29</v>
      </c>
      <c r="D11" s="228" t="s">
        <v>30</v>
      </c>
      <c r="E11" s="333">
        <v>45533</v>
      </c>
      <c r="F11" s="231">
        <v>36.369999999999997</v>
      </c>
      <c r="G11" s="512" t="s">
        <v>172</v>
      </c>
      <c r="H11" s="333">
        <v>45541</v>
      </c>
      <c r="I11" s="228" t="s">
        <v>122</v>
      </c>
      <c r="J11" s="228">
        <v>25</v>
      </c>
    </row>
    <row r="12" spans="1:10" ht="27.75" customHeight="1" x14ac:dyDescent="0.2">
      <c r="A12" s="317">
        <v>10</v>
      </c>
      <c r="B12" s="332" t="s">
        <v>59</v>
      </c>
      <c r="C12" s="228" t="s">
        <v>29</v>
      </c>
      <c r="D12" s="228" t="s">
        <v>30</v>
      </c>
      <c r="E12" s="333">
        <v>45527</v>
      </c>
      <c r="F12" s="231">
        <v>36.369999999999997</v>
      </c>
      <c r="G12" s="512" t="s">
        <v>172</v>
      </c>
      <c r="H12" s="333">
        <v>45543</v>
      </c>
      <c r="I12" s="228" t="s">
        <v>433</v>
      </c>
      <c r="J12" s="228">
        <v>24</v>
      </c>
    </row>
    <row r="13" spans="1:10" ht="27.75" customHeight="1" x14ac:dyDescent="0.2">
      <c r="A13" s="317">
        <v>11</v>
      </c>
      <c r="B13" s="332" t="s">
        <v>35</v>
      </c>
      <c r="C13" s="228" t="s">
        <v>29</v>
      </c>
      <c r="D13" s="228" t="s">
        <v>30</v>
      </c>
      <c r="E13" s="333">
        <v>45533</v>
      </c>
      <c r="F13" s="231">
        <v>36.369999999999997</v>
      </c>
      <c r="G13" s="512" t="s">
        <v>172</v>
      </c>
      <c r="H13" s="333">
        <v>45547</v>
      </c>
      <c r="I13" s="228" t="s">
        <v>122</v>
      </c>
      <c r="J13" s="228">
        <v>24</v>
      </c>
    </row>
    <row r="14" spans="1:10" ht="27.75" customHeight="1" x14ac:dyDescent="0.2">
      <c r="A14" s="317">
        <v>12</v>
      </c>
      <c r="B14" s="332" t="s">
        <v>136</v>
      </c>
      <c r="C14" s="228" t="s">
        <v>29</v>
      </c>
      <c r="D14" s="228" t="s">
        <v>30</v>
      </c>
      <c r="E14" s="333">
        <v>45549</v>
      </c>
      <c r="F14" s="231">
        <v>36.369999999999997</v>
      </c>
      <c r="G14" s="512" t="s">
        <v>172</v>
      </c>
      <c r="H14" s="333">
        <v>45554</v>
      </c>
      <c r="I14" s="228" t="s">
        <v>122</v>
      </c>
      <c r="J14" s="228">
        <v>24</v>
      </c>
    </row>
    <row r="15" spans="1:10" ht="27.75" customHeight="1" x14ac:dyDescent="0.2">
      <c r="A15" s="317">
        <v>13</v>
      </c>
      <c r="B15" s="332" t="s">
        <v>434</v>
      </c>
      <c r="C15" s="228" t="s">
        <v>29</v>
      </c>
      <c r="D15" s="228" t="s">
        <v>30</v>
      </c>
      <c r="E15" s="333">
        <v>45544</v>
      </c>
      <c r="F15" s="231">
        <v>36.369999999999997</v>
      </c>
      <c r="G15" s="512" t="s">
        <v>172</v>
      </c>
      <c r="H15" s="333">
        <v>45556</v>
      </c>
      <c r="I15" s="228" t="s">
        <v>436</v>
      </c>
      <c r="J15" s="228">
        <v>25</v>
      </c>
    </row>
    <row r="16" spans="1:10" ht="27.75" customHeight="1" x14ac:dyDescent="0.2">
      <c r="A16" s="317">
        <v>14</v>
      </c>
      <c r="B16" s="332" t="s">
        <v>119</v>
      </c>
      <c r="C16" s="228" t="s">
        <v>29</v>
      </c>
      <c r="D16" s="228" t="s">
        <v>30</v>
      </c>
      <c r="E16" s="333">
        <v>45554</v>
      </c>
      <c r="F16" s="231">
        <v>36.369999999999997</v>
      </c>
      <c r="G16" s="512" t="s">
        <v>172</v>
      </c>
      <c r="H16" s="333">
        <v>45558</v>
      </c>
      <c r="I16" s="228" t="s">
        <v>122</v>
      </c>
      <c r="J16" s="228">
        <v>24</v>
      </c>
    </row>
    <row r="17" spans="1:10" ht="27.75" customHeight="1" x14ac:dyDescent="0.2">
      <c r="A17" s="317">
        <v>15</v>
      </c>
      <c r="B17" s="332" t="s">
        <v>180</v>
      </c>
      <c r="C17" s="228" t="s">
        <v>29</v>
      </c>
      <c r="D17" s="228" t="s">
        <v>30</v>
      </c>
      <c r="E17" s="333">
        <v>45559</v>
      </c>
      <c r="F17" s="231">
        <v>36.369999999999997</v>
      </c>
      <c r="G17" s="512" t="s">
        <v>172</v>
      </c>
      <c r="H17" s="333">
        <v>45563</v>
      </c>
      <c r="I17" s="228" t="s">
        <v>122</v>
      </c>
      <c r="J17" s="228">
        <v>24</v>
      </c>
    </row>
    <row r="18" spans="1:10" ht="27.75" customHeight="1" x14ac:dyDescent="0.2">
      <c r="A18" s="317">
        <v>16</v>
      </c>
      <c r="B18" s="332" t="s">
        <v>133</v>
      </c>
      <c r="C18" s="228" t="s">
        <v>29</v>
      </c>
      <c r="D18" s="228" t="s">
        <v>30</v>
      </c>
      <c r="E18" s="333">
        <v>45547</v>
      </c>
      <c r="F18" s="231">
        <v>36.369999999999997</v>
      </c>
      <c r="G18" s="512" t="s">
        <v>172</v>
      </c>
      <c r="H18" s="333">
        <v>45564</v>
      </c>
      <c r="I18" s="228" t="s">
        <v>438</v>
      </c>
      <c r="J18" s="228">
        <v>25</v>
      </c>
    </row>
    <row r="19" spans="1:10" ht="27.75" customHeight="1" x14ac:dyDescent="0.2">
      <c r="A19" s="317">
        <v>17</v>
      </c>
      <c r="B19" s="332" t="s">
        <v>51</v>
      </c>
      <c r="C19" s="228" t="s">
        <v>34</v>
      </c>
      <c r="D19" s="228" t="s">
        <v>30</v>
      </c>
      <c r="E19" s="333">
        <v>45549</v>
      </c>
      <c r="F19" s="231">
        <v>37.931292999999997</v>
      </c>
      <c r="G19" s="512" t="s">
        <v>172</v>
      </c>
      <c r="H19" s="333">
        <v>45565</v>
      </c>
      <c r="I19" s="228" t="s">
        <v>437</v>
      </c>
      <c r="J19" s="228">
        <v>24</v>
      </c>
    </row>
    <row r="20" spans="1:10" ht="27.75" customHeight="1" x14ac:dyDescent="0.2">
      <c r="A20" s="317">
        <v>18</v>
      </c>
      <c r="B20" s="332" t="s">
        <v>120</v>
      </c>
      <c r="C20" s="228" t="s">
        <v>29</v>
      </c>
      <c r="D20" s="228" t="s">
        <v>30</v>
      </c>
      <c r="E20" s="333">
        <v>45564</v>
      </c>
      <c r="F20" s="231">
        <v>36.369999999999997</v>
      </c>
      <c r="G20" s="512" t="s">
        <v>172</v>
      </c>
      <c r="H20" s="333">
        <v>45568</v>
      </c>
      <c r="I20" s="228" t="s">
        <v>122</v>
      </c>
      <c r="J20" s="228">
        <v>24</v>
      </c>
    </row>
    <row r="21" spans="1:10" ht="27.75" customHeight="1" x14ac:dyDescent="0.2">
      <c r="A21" s="317">
        <v>19</v>
      </c>
      <c r="B21" s="332" t="s">
        <v>53</v>
      </c>
      <c r="C21" s="228" t="s">
        <v>29</v>
      </c>
      <c r="D21" s="228" t="s">
        <v>30</v>
      </c>
      <c r="E21" s="333">
        <v>45561</v>
      </c>
      <c r="F21" s="231">
        <v>36.369999999999997</v>
      </c>
      <c r="G21" s="512" t="s">
        <v>172</v>
      </c>
      <c r="H21" s="333">
        <v>45568</v>
      </c>
      <c r="I21" s="228" t="s">
        <v>436</v>
      </c>
      <c r="J21" s="228">
        <v>25</v>
      </c>
    </row>
    <row r="22" spans="1:10" ht="27.75" customHeight="1" x14ac:dyDescent="0.2">
      <c r="A22" s="317">
        <v>20</v>
      </c>
      <c r="B22" s="332" t="s">
        <v>170</v>
      </c>
      <c r="C22" s="228" t="s">
        <v>29</v>
      </c>
      <c r="D22" s="228" t="s">
        <v>30</v>
      </c>
      <c r="E22" s="333">
        <v>45556</v>
      </c>
      <c r="F22" s="231">
        <v>36.369999999999997</v>
      </c>
      <c r="G22" s="512" t="s">
        <v>172</v>
      </c>
      <c r="H22" s="333">
        <v>45569</v>
      </c>
      <c r="I22" s="228" t="s">
        <v>648</v>
      </c>
      <c r="J22" s="228">
        <v>25</v>
      </c>
    </row>
    <row r="23" spans="1:10" ht="27.75" customHeight="1" x14ac:dyDescent="0.2">
      <c r="A23" s="317">
        <v>21</v>
      </c>
      <c r="B23" s="332" t="s">
        <v>57</v>
      </c>
      <c r="C23" s="228" t="s">
        <v>29</v>
      </c>
      <c r="D23" s="228" t="s">
        <v>30</v>
      </c>
      <c r="E23" s="333">
        <v>45568</v>
      </c>
      <c r="F23" s="231">
        <v>36.369999999999997</v>
      </c>
      <c r="G23" s="512" t="s">
        <v>172</v>
      </c>
      <c r="H23" s="333">
        <v>45572</v>
      </c>
      <c r="I23" s="228" t="s">
        <v>122</v>
      </c>
      <c r="J23" s="228">
        <v>24</v>
      </c>
    </row>
    <row r="24" spans="1:10" ht="27.75" customHeight="1" x14ac:dyDescent="0.2">
      <c r="A24" s="317">
        <v>22</v>
      </c>
      <c r="B24" s="332" t="s">
        <v>181</v>
      </c>
      <c r="C24" s="228" t="s">
        <v>34</v>
      </c>
      <c r="D24" s="228" t="s">
        <v>30</v>
      </c>
      <c r="E24" s="333">
        <v>45570</v>
      </c>
      <c r="F24" s="231">
        <v>37.931292999999997</v>
      </c>
      <c r="G24" s="512" t="s">
        <v>172</v>
      </c>
      <c r="H24" s="333">
        <v>45579</v>
      </c>
      <c r="I24" s="228" t="s">
        <v>122</v>
      </c>
      <c r="J24" s="228">
        <v>24</v>
      </c>
    </row>
    <row r="25" spans="1:10" ht="27.75" customHeight="1" x14ac:dyDescent="0.2">
      <c r="A25" s="317">
        <v>23</v>
      </c>
      <c r="B25" s="332" t="s">
        <v>444</v>
      </c>
      <c r="C25" s="228" t="s">
        <v>29</v>
      </c>
      <c r="D25" s="228" t="s">
        <v>30</v>
      </c>
      <c r="E25" s="333">
        <v>45570</v>
      </c>
      <c r="F25" s="231">
        <v>36.369999999999997</v>
      </c>
      <c r="G25" s="512" t="s">
        <v>172</v>
      </c>
      <c r="H25" s="333">
        <v>45579</v>
      </c>
      <c r="I25" s="228" t="s">
        <v>436</v>
      </c>
      <c r="J25" s="228">
        <v>25</v>
      </c>
    </row>
    <row r="26" spans="1:10" ht="27.75" customHeight="1" x14ac:dyDescent="0.2">
      <c r="A26" s="317">
        <v>24</v>
      </c>
      <c r="B26" s="332" t="s">
        <v>138</v>
      </c>
      <c r="C26" s="228" t="s">
        <v>29</v>
      </c>
      <c r="D26" s="228" t="s">
        <v>30</v>
      </c>
      <c r="E26" s="333">
        <v>45566</v>
      </c>
      <c r="F26" s="231">
        <v>36.369999999999997</v>
      </c>
      <c r="G26" s="512" t="s">
        <v>172</v>
      </c>
      <c r="H26" s="333">
        <v>45582</v>
      </c>
      <c r="I26" s="228" t="s">
        <v>451</v>
      </c>
      <c r="J26" s="228">
        <v>25</v>
      </c>
    </row>
    <row r="27" spans="1:10" ht="27.75" customHeight="1" x14ac:dyDescent="0.2">
      <c r="A27" s="317">
        <v>25</v>
      </c>
      <c r="B27" s="332" t="s">
        <v>54</v>
      </c>
      <c r="C27" s="228" t="s">
        <v>34</v>
      </c>
      <c r="D27" s="228" t="s">
        <v>30</v>
      </c>
      <c r="E27" s="333">
        <v>45566</v>
      </c>
      <c r="F27" s="231">
        <v>37.931292999999997</v>
      </c>
      <c r="G27" s="512" t="s">
        <v>172</v>
      </c>
      <c r="H27" s="333">
        <v>45584</v>
      </c>
      <c r="I27" s="228" t="s">
        <v>437</v>
      </c>
      <c r="J27" s="228">
        <v>25</v>
      </c>
    </row>
    <row r="28" spans="1:10" ht="27.75" customHeight="1" x14ac:dyDescent="0.2">
      <c r="A28" s="317">
        <v>26</v>
      </c>
      <c r="B28" s="332" t="s">
        <v>356</v>
      </c>
      <c r="C28" s="228" t="s">
        <v>34</v>
      </c>
      <c r="D28" s="228" t="s">
        <v>432</v>
      </c>
      <c r="E28" s="333">
        <v>45581</v>
      </c>
      <c r="F28" s="231">
        <v>37.931292999999997</v>
      </c>
      <c r="G28" s="512" t="s">
        <v>172</v>
      </c>
      <c r="H28" s="333">
        <v>45586</v>
      </c>
      <c r="I28" s="228" t="s">
        <v>476</v>
      </c>
      <c r="J28" s="228">
        <v>25</v>
      </c>
    </row>
    <row r="29" spans="1:10" ht="27.75" customHeight="1" x14ac:dyDescent="0.2">
      <c r="A29" s="317">
        <v>27</v>
      </c>
      <c r="B29" s="332" t="s">
        <v>49</v>
      </c>
      <c r="C29" s="228" t="s">
        <v>34</v>
      </c>
      <c r="D29" s="228" t="s">
        <v>30</v>
      </c>
      <c r="E29" s="333">
        <v>45586</v>
      </c>
      <c r="F29" s="231">
        <v>37.931292999999997</v>
      </c>
      <c r="G29" s="512" t="s">
        <v>172</v>
      </c>
      <c r="H29" s="333">
        <v>45591</v>
      </c>
      <c r="I29" s="228" t="s">
        <v>122</v>
      </c>
      <c r="J29" s="228"/>
    </row>
    <row r="30" spans="1:10" ht="27.75" customHeight="1" x14ac:dyDescent="0.2">
      <c r="A30" s="317">
        <v>28</v>
      </c>
      <c r="B30" s="332" t="s">
        <v>125</v>
      </c>
      <c r="C30" s="228" t="s">
        <v>34</v>
      </c>
      <c r="D30" s="228" t="s">
        <v>30</v>
      </c>
      <c r="E30" s="333">
        <v>45566</v>
      </c>
      <c r="F30" s="231">
        <v>37.931292999999997</v>
      </c>
      <c r="G30" s="512" t="s">
        <v>172</v>
      </c>
      <c r="H30" s="333">
        <v>45591</v>
      </c>
      <c r="I30" s="228" t="s">
        <v>443</v>
      </c>
      <c r="J30" s="228">
        <v>25</v>
      </c>
    </row>
    <row r="31" spans="1:10" ht="27.75" customHeight="1" x14ac:dyDescent="0.2">
      <c r="A31" s="317">
        <v>29</v>
      </c>
      <c r="B31" s="332" t="s">
        <v>50</v>
      </c>
      <c r="C31" s="228" t="s">
        <v>34</v>
      </c>
      <c r="D31" s="228" t="s">
        <v>432</v>
      </c>
      <c r="E31" s="333">
        <v>45582</v>
      </c>
      <c r="F31" s="231">
        <v>37.931292999999997</v>
      </c>
      <c r="G31" s="512" t="s">
        <v>172</v>
      </c>
      <c r="H31" s="333">
        <v>45592</v>
      </c>
      <c r="I31" s="228" t="s">
        <v>453</v>
      </c>
      <c r="J31" s="228">
        <v>26</v>
      </c>
    </row>
    <row r="32" spans="1:10" ht="27.75" customHeight="1" x14ac:dyDescent="0.2">
      <c r="A32" s="317">
        <v>30</v>
      </c>
      <c r="B32" s="332" t="s">
        <v>113</v>
      </c>
      <c r="C32" s="228" t="s">
        <v>29</v>
      </c>
      <c r="D32" s="228" t="s">
        <v>432</v>
      </c>
      <c r="E32" s="333">
        <v>45583</v>
      </c>
      <c r="F32" s="231">
        <v>36.369999999999997</v>
      </c>
      <c r="G32" s="512" t="s">
        <v>172</v>
      </c>
      <c r="H32" s="333">
        <v>45592</v>
      </c>
      <c r="I32" s="228" t="s">
        <v>451</v>
      </c>
      <c r="J32" s="228">
        <v>25</v>
      </c>
    </row>
    <row r="33" spans="1:10" ht="27.75" customHeight="1" x14ac:dyDescent="0.2">
      <c r="A33" s="317">
        <v>31</v>
      </c>
      <c r="B33" s="332" t="s">
        <v>55</v>
      </c>
      <c r="C33" s="228" t="s">
        <v>34</v>
      </c>
      <c r="D33" s="228" t="s">
        <v>30</v>
      </c>
      <c r="E33" s="333">
        <v>45584</v>
      </c>
      <c r="F33" s="231">
        <v>36.369999999999997</v>
      </c>
      <c r="G33" s="512" t="s">
        <v>172</v>
      </c>
      <c r="H33" s="333">
        <v>45595</v>
      </c>
      <c r="I33" s="228" t="s">
        <v>437</v>
      </c>
      <c r="J33" s="228">
        <v>25</v>
      </c>
    </row>
    <row r="34" spans="1:10" ht="27.75" customHeight="1" x14ac:dyDescent="0.2">
      <c r="A34" s="317">
        <v>32</v>
      </c>
      <c r="B34" s="332" t="s">
        <v>38</v>
      </c>
      <c r="C34" s="228" t="s">
        <v>29</v>
      </c>
      <c r="D34" s="228" t="s">
        <v>30</v>
      </c>
      <c r="E34" s="333">
        <v>45592</v>
      </c>
      <c r="F34" s="231">
        <v>36.369999999999997</v>
      </c>
      <c r="G34" s="512" t="s">
        <v>172</v>
      </c>
      <c r="H34" s="333">
        <v>45597</v>
      </c>
      <c r="I34" s="228" t="s">
        <v>458</v>
      </c>
      <c r="J34" s="228">
        <v>24</v>
      </c>
    </row>
    <row r="35" spans="1:10" ht="27.75" customHeight="1" x14ac:dyDescent="0.2">
      <c r="A35" s="317">
        <v>33</v>
      </c>
      <c r="B35" s="332" t="s">
        <v>44</v>
      </c>
      <c r="C35" s="228" t="s">
        <v>29</v>
      </c>
      <c r="D35" s="228" t="s">
        <v>30</v>
      </c>
      <c r="E35" s="333">
        <v>45581</v>
      </c>
      <c r="F35" s="231">
        <v>36.369999999999997</v>
      </c>
      <c r="G35" s="512" t="s">
        <v>172</v>
      </c>
      <c r="H35" s="333">
        <v>45597</v>
      </c>
      <c r="I35" s="228" t="s">
        <v>453</v>
      </c>
      <c r="J35" s="228">
        <v>24</v>
      </c>
    </row>
    <row r="36" spans="1:10" ht="27.75" customHeight="1" x14ac:dyDescent="0.2">
      <c r="A36" s="317">
        <v>34</v>
      </c>
      <c r="B36" s="332" t="s">
        <v>114</v>
      </c>
      <c r="C36" s="228" t="s">
        <v>29</v>
      </c>
      <c r="D36" s="228" t="s">
        <v>30</v>
      </c>
      <c r="E36" s="333">
        <v>45594</v>
      </c>
      <c r="F36" s="231">
        <v>36.369999999999997</v>
      </c>
      <c r="G36" s="512" t="s">
        <v>172</v>
      </c>
      <c r="H36" s="333">
        <v>45601</v>
      </c>
      <c r="I36" s="228" t="s">
        <v>459</v>
      </c>
      <c r="J36" s="228">
        <v>25</v>
      </c>
    </row>
    <row r="37" spans="1:10" ht="27.75" customHeight="1" x14ac:dyDescent="0.2">
      <c r="A37" s="317">
        <v>35</v>
      </c>
      <c r="B37" s="332" t="s">
        <v>126</v>
      </c>
      <c r="C37" s="228" t="s">
        <v>29</v>
      </c>
      <c r="D37" s="228" t="s">
        <v>30</v>
      </c>
      <c r="E37" s="333">
        <v>45597</v>
      </c>
      <c r="F37" s="231">
        <v>36.369999999999997</v>
      </c>
      <c r="G37" s="512" t="s">
        <v>172</v>
      </c>
      <c r="H37" s="333">
        <v>45603</v>
      </c>
      <c r="I37" s="228" t="s">
        <v>437</v>
      </c>
      <c r="J37" s="228">
        <v>24</v>
      </c>
    </row>
    <row r="38" spans="1:10" ht="27.75" customHeight="1" x14ac:dyDescent="0.2">
      <c r="A38" s="317">
        <v>36</v>
      </c>
      <c r="B38" s="332" t="s">
        <v>158</v>
      </c>
      <c r="C38" s="228" t="s">
        <v>135</v>
      </c>
      <c r="D38" s="228" t="s">
        <v>30</v>
      </c>
      <c r="E38" s="333">
        <v>45598</v>
      </c>
      <c r="F38" s="231">
        <v>54.655000000000001</v>
      </c>
      <c r="G38" s="512" t="s">
        <v>172</v>
      </c>
      <c r="H38" s="333">
        <v>45603</v>
      </c>
      <c r="I38" s="228" t="s">
        <v>453</v>
      </c>
      <c r="J38" s="228">
        <v>24</v>
      </c>
    </row>
    <row r="39" spans="1:10" ht="27.75" customHeight="1" x14ac:dyDescent="0.2">
      <c r="A39" s="317">
        <v>37</v>
      </c>
      <c r="B39" s="332" t="s">
        <v>130</v>
      </c>
      <c r="C39" s="228" t="s">
        <v>131</v>
      </c>
      <c r="D39" s="228" t="s">
        <v>30</v>
      </c>
      <c r="E39" s="333">
        <v>45598</v>
      </c>
      <c r="F39" s="231">
        <v>54.66</v>
      </c>
      <c r="G39" s="512" t="s">
        <v>172</v>
      </c>
      <c r="H39" s="333">
        <v>45603</v>
      </c>
      <c r="I39" s="228" t="s">
        <v>458</v>
      </c>
      <c r="J39" s="228">
        <v>25</v>
      </c>
    </row>
    <row r="40" spans="1:10" ht="27.75" customHeight="1" x14ac:dyDescent="0.2">
      <c r="A40" s="317">
        <v>38</v>
      </c>
      <c r="B40" s="332" t="s">
        <v>287</v>
      </c>
      <c r="C40" s="228" t="s">
        <v>29</v>
      </c>
      <c r="D40" s="228" t="s">
        <v>30</v>
      </c>
      <c r="E40" s="333">
        <v>45592</v>
      </c>
      <c r="F40" s="231">
        <v>36.369999999999997</v>
      </c>
      <c r="G40" s="512" t="s">
        <v>172</v>
      </c>
      <c r="H40" s="333">
        <v>45608</v>
      </c>
      <c r="I40" s="228" t="s">
        <v>443</v>
      </c>
      <c r="J40" s="228">
        <v>25</v>
      </c>
    </row>
    <row r="41" spans="1:10" ht="27.75" customHeight="1" x14ac:dyDescent="0.2">
      <c r="A41" s="317">
        <v>39</v>
      </c>
      <c r="B41" s="332" t="s">
        <v>338</v>
      </c>
      <c r="C41" s="228" t="s">
        <v>29</v>
      </c>
      <c r="D41" s="228" t="s">
        <v>336</v>
      </c>
      <c r="E41" s="333">
        <v>45604</v>
      </c>
      <c r="F41" s="231">
        <v>36.369999999999997</v>
      </c>
      <c r="G41" s="512" t="s">
        <v>172</v>
      </c>
      <c r="H41" s="333">
        <v>45609</v>
      </c>
      <c r="I41" s="228" t="s">
        <v>471</v>
      </c>
      <c r="J41" s="228">
        <v>24</v>
      </c>
    </row>
    <row r="42" spans="1:10" ht="27.75" customHeight="1" x14ac:dyDescent="0.2">
      <c r="A42" s="317">
        <v>40</v>
      </c>
      <c r="B42" s="332" t="s">
        <v>115</v>
      </c>
      <c r="C42" s="228" t="s">
        <v>29</v>
      </c>
      <c r="D42" s="228" t="s">
        <v>337</v>
      </c>
      <c r="E42" s="333">
        <v>45603</v>
      </c>
      <c r="F42" s="231">
        <v>36.369999999999997</v>
      </c>
      <c r="G42" s="512" t="s">
        <v>172</v>
      </c>
      <c r="H42" s="333">
        <v>45610</v>
      </c>
      <c r="I42" s="228" t="s">
        <v>437</v>
      </c>
      <c r="J42" s="228">
        <v>24</v>
      </c>
    </row>
    <row r="43" spans="1:10" ht="27.75" customHeight="1" x14ac:dyDescent="0.2">
      <c r="A43" s="317">
        <v>41</v>
      </c>
      <c r="B43" s="332" t="s">
        <v>63</v>
      </c>
      <c r="C43" s="228" t="s">
        <v>43</v>
      </c>
      <c r="D43" s="228" t="s">
        <v>336</v>
      </c>
      <c r="E43" s="333">
        <v>45605</v>
      </c>
      <c r="F43" s="231">
        <v>43.08</v>
      </c>
      <c r="G43" s="512" t="s">
        <v>172</v>
      </c>
      <c r="H43" s="333">
        <v>45610</v>
      </c>
      <c r="I43" s="228" t="s">
        <v>453</v>
      </c>
      <c r="J43" s="228">
        <v>25</v>
      </c>
    </row>
    <row r="44" spans="1:10" ht="27.75" customHeight="1" x14ac:dyDescent="0.2">
      <c r="A44" s="317">
        <v>42</v>
      </c>
      <c r="B44" s="332" t="s">
        <v>177</v>
      </c>
      <c r="C44" s="228" t="s">
        <v>135</v>
      </c>
      <c r="D44" s="228" t="s">
        <v>30</v>
      </c>
      <c r="E44" s="333">
        <v>45601</v>
      </c>
      <c r="F44" s="231">
        <v>54.66</v>
      </c>
      <c r="G44" s="512" t="s">
        <v>172</v>
      </c>
      <c r="H44" s="333">
        <v>45611</v>
      </c>
      <c r="I44" s="228" t="s">
        <v>451</v>
      </c>
      <c r="J44" s="228">
        <v>25</v>
      </c>
    </row>
    <row r="45" spans="1:10" ht="27.75" customHeight="1" x14ac:dyDescent="0.2">
      <c r="A45" s="317">
        <v>43</v>
      </c>
      <c r="B45" s="332" t="s">
        <v>37</v>
      </c>
      <c r="C45" s="228" t="s">
        <v>29</v>
      </c>
      <c r="D45" s="228" t="s">
        <v>337</v>
      </c>
      <c r="E45" s="333">
        <v>45609</v>
      </c>
      <c r="F45" s="231">
        <v>36.369999999999997</v>
      </c>
      <c r="G45" s="512" t="s">
        <v>172</v>
      </c>
      <c r="H45" s="333">
        <v>45614</v>
      </c>
      <c r="I45" s="228" t="s">
        <v>471</v>
      </c>
      <c r="J45" s="228">
        <v>22</v>
      </c>
    </row>
    <row r="46" spans="1:10" ht="27.75" customHeight="1" x14ac:dyDescent="0.2">
      <c r="A46" s="317">
        <v>44</v>
      </c>
      <c r="B46" s="332" t="s">
        <v>118</v>
      </c>
      <c r="C46" s="228" t="s">
        <v>43</v>
      </c>
      <c r="D46" s="228" t="s">
        <v>337</v>
      </c>
      <c r="E46" s="333">
        <v>45611</v>
      </c>
      <c r="F46" s="231">
        <v>43.08</v>
      </c>
      <c r="G46" s="512" t="s">
        <v>172</v>
      </c>
      <c r="H46" s="333">
        <v>45616</v>
      </c>
      <c r="I46" s="228" t="s">
        <v>453</v>
      </c>
      <c r="J46" s="228">
        <v>25</v>
      </c>
    </row>
    <row r="47" spans="1:10" ht="27.75" customHeight="1" x14ac:dyDescent="0.2">
      <c r="A47" s="317">
        <v>45</v>
      </c>
      <c r="B47" s="332" t="s">
        <v>64</v>
      </c>
      <c r="C47" s="228" t="s">
        <v>29</v>
      </c>
      <c r="D47" s="228" t="s">
        <v>337</v>
      </c>
      <c r="E47" s="333">
        <v>45610</v>
      </c>
      <c r="F47" s="231">
        <v>36.369999999999997</v>
      </c>
      <c r="G47" s="512" t="s">
        <v>172</v>
      </c>
      <c r="H47" s="333">
        <v>45617</v>
      </c>
      <c r="I47" s="228" t="s">
        <v>437</v>
      </c>
      <c r="J47" s="228">
        <v>23</v>
      </c>
    </row>
    <row r="48" spans="1:10" ht="27.75" customHeight="1" x14ac:dyDescent="0.2">
      <c r="A48" s="317">
        <v>46</v>
      </c>
      <c r="B48" s="332" t="s">
        <v>137</v>
      </c>
      <c r="C48" s="228" t="s">
        <v>131</v>
      </c>
      <c r="D48" s="228" t="s">
        <v>337</v>
      </c>
      <c r="E48" s="333">
        <v>45615</v>
      </c>
      <c r="F48" s="231">
        <v>54.66</v>
      </c>
      <c r="G48" s="512" t="s">
        <v>172</v>
      </c>
      <c r="H48" s="333">
        <v>45620</v>
      </c>
      <c r="I48" s="228" t="s">
        <v>476</v>
      </c>
      <c r="J48" s="228">
        <v>22</v>
      </c>
    </row>
    <row r="49" spans="1:10" ht="27.75" customHeight="1" x14ac:dyDescent="0.2">
      <c r="A49" s="317">
        <v>47</v>
      </c>
      <c r="B49" s="332" t="s">
        <v>166</v>
      </c>
      <c r="C49" s="228" t="s">
        <v>167</v>
      </c>
      <c r="D49" s="228" t="s">
        <v>432</v>
      </c>
      <c r="E49" s="333">
        <v>45612</v>
      </c>
      <c r="F49" s="231">
        <v>37.93</v>
      </c>
      <c r="G49" s="512" t="s">
        <v>172</v>
      </c>
      <c r="H49" s="333">
        <v>45621</v>
      </c>
      <c r="I49" s="228" t="s">
        <v>475</v>
      </c>
      <c r="J49" s="228">
        <v>25</v>
      </c>
    </row>
    <row r="50" spans="1:10" ht="27.75" customHeight="1" x14ac:dyDescent="0.2">
      <c r="A50" s="317">
        <v>48</v>
      </c>
      <c r="B50" s="332" t="s">
        <v>160</v>
      </c>
      <c r="C50" s="228" t="s">
        <v>131</v>
      </c>
      <c r="D50" s="228" t="s">
        <v>337</v>
      </c>
      <c r="E50" s="333">
        <v>45617</v>
      </c>
      <c r="F50" s="231">
        <v>54.66</v>
      </c>
      <c r="G50" s="512" t="s">
        <v>172</v>
      </c>
      <c r="H50" s="333">
        <v>45622</v>
      </c>
      <c r="I50" s="228" t="s">
        <v>453</v>
      </c>
      <c r="J50" s="228">
        <v>25</v>
      </c>
    </row>
    <row r="51" spans="1:10" ht="27.75" customHeight="1" x14ac:dyDescent="0.2">
      <c r="A51" s="317">
        <v>49</v>
      </c>
      <c r="B51" s="332" t="s">
        <v>178</v>
      </c>
      <c r="C51" s="228" t="s">
        <v>131</v>
      </c>
      <c r="D51" s="228" t="s">
        <v>337</v>
      </c>
      <c r="E51" s="333">
        <v>45618</v>
      </c>
      <c r="F51" s="231">
        <v>54.66</v>
      </c>
      <c r="G51" s="512" t="s">
        <v>172</v>
      </c>
      <c r="H51" s="333">
        <v>45626</v>
      </c>
      <c r="I51" s="228" t="s">
        <v>437</v>
      </c>
      <c r="J51" s="228">
        <v>23</v>
      </c>
    </row>
    <row r="52" spans="1:10" ht="27.75" customHeight="1" x14ac:dyDescent="0.2">
      <c r="A52" s="317">
        <v>50</v>
      </c>
      <c r="B52" s="332" t="s">
        <v>134</v>
      </c>
      <c r="C52" s="228" t="s">
        <v>135</v>
      </c>
      <c r="D52" s="228" t="s">
        <v>337</v>
      </c>
      <c r="E52" s="333">
        <v>45620</v>
      </c>
      <c r="F52" s="231">
        <v>54.66</v>
      </c>
      <c r="G52" s="512" t="s">
        <v>172</v>
      </c>
      <c r="H52" s="333">
        <v>45626</v>
      </c>
      <c r="I52" s="228" t="s">
        <v>476</v>
      </c>
      <c r="J52" s="228">
        <v>22</v>
      </c>
    </row>
    <row r="53" spans="1:10" ht="27.75" customHeight="1" x14ac:dyDescent="0.2">
      <c r="A53" s="317">
        <v>51</v>
      </c>
      <c r="B53" s="332" t="s">
        <v>171</v>
      </c>
      <c r="C53" s="228" t="s">
        <v>29</v>
      </c>
      <c r="D53" s="228" t="s">
        <v>336</v>
      </c>
      <c r="E53" s="333">
        <v>45622</v>
      </c>
      <c r="F53" s="231">
        <v>36.369999999999997</v>
      </c>
      <c r="G53" s="512" t="s">
        <v>172</v>
      </c>
      <c r="H53" s="333">
        <v>45628</v>
      </c>
      <c r="I53" s="228" t="s">
        <v>453</v>
      </c>
      <c r="J53" s="228">
        <v>25</v>
      </c>
    </row>
    <row r="54" spans="1:10" ht="27.75" customHeight="1" x14ac:dyDescent="0.2">
      <c r="A54" s="317">
        <v>52</v>
      </c>
      <c r="B54" s="332" t="s">
        <v>112</v>
      </c>
      <c r="C54" s="228" t="s">
        <v>34</v>
      </c>
      <c r="D54" s="228" t="s">
        <v>337</v>
      </c>
      <c r="E54" s="333">
        <v>45608</v>
      </c>
      <c r="F54" s="231">
        <v>37.93</v>
      </c>
      <c r="G54" s="512" t="s">
        <v>172</v>
      </c>
      <c r="H54" s="333">
        <v>45631</v>
      </c>
      <c r="I54" s="228" t="s">
        <v>443</v>
      </c>
      <c r="J54" s="228">
        <v>23</v>
      </c>
    </row>
    <row r="55" spans="1:10" ht="27.75" customHeight="1" x14ac:dyDescent="0.2">
      <c r="A55" s="317">
        <v>53</v>
      </c>
      <c r="B55" s="332" t="s">
        <v>129</v>
      </c>
      <c r="C55" s="228" t="s">
        <v>29</v>
      </c>
      <c r="D55" s="228" t="s">
        <v>337</v>
      </c>
      <c r="E55" s="333">
        <v>45629</v>
      </c>
      <c r="F55" s="231">
        <v>36.369999999999997</v>
      </c>
      <c r="G55" s="512" t="s">
        <v>172</v>
      </c>
      <c r="H55" s="333">
        <v>45632</v>
      </c>
      <c r="I55" s="228" t="s">
        <v>453</v>
      </c>
      <c r="J55" s="228">
        <v>25</v>
      </c>
    </row>
    <row r="56" spans="1:10" ht="27.75" customHeight="1" x14ac:dyDescent="0.2">
      <c r="A56" s="317">
        <v>54</v>
      </c>
      <c r="B56" s="332" t="s">
        <v>58</v>
      </c>
      <c r="C56" s="228" t="s">
        <v>29</v>
      </c>
      <c r="D56" s="228" t="s">
        <v>337</v>
      </c>
      <c r="E56" s="333">
        <v>45629</v>
      </c>
      <c r="F56" s="231">
        <v>36.369999999999997</v>
      </c>
      <c r="G56" s="512" t="s">
        <v>172</v>
      </c>
      <c r="H56" s="333">
        <v>45634</v>
      </c>
      <c r="I56" s="228" t="s">
        <v>476</v>
      </c>
      <c r="J56" s="228">
        <v>22</v>
      </c>
    </row>
    <row r="57" spans="1:10" ht="27.75" customHeight="1" x14ac:dyDescent="0.2">
      <c r="A57" s="317">
        <v>55</v>
      </c>
      <c r="B57" s="332" t="s">
        <v>33</v>
      </c>
      <c r="C57" s="228" t="s">
        <v>34</v>
      </c>
      <c r="D57" s="228" t="s">
        <v>337</v>
      </c>
      <c r="E57" s="333">
        <v>45629</v>
      </c>
      <c r="F57" s="231">
        <v>37.93</v>
      </c>
      <c r="G57" s="512" t="s">
        <v>172</v>
      </c>
      <c r="H57" s="333">
        <v>45637</v>
      </c>
      <c r="I57" s="228" t="s">
        <v>453</v>
      </c>
      <c r="J57" s="228">
        <v>25</v>
      </c>
    </row>
    <row r="58" spans="1:10" ht="27.75" customHeight="1" x14ac:dyDescent="0.2">
      <c r="A58" s="317">
        <v>56</v>
      </c>
      <c r="B58" s="332" t="s">
        <v>345</v>
      </c>
      <c r="C58" s="228" t="s">
        <v>29</v>
      </c>
      <c r="D58" s="228" t="s">
        <v>337</v>
      </c>
      <c r="E58" s="333">
        <v>45635</v>
      </c>
      <c r="F58" s="231">
        <v>36.369999999999997</v>
      </c>
      <c r="G58" s="512" t="s">
        <v>172</v>
      </c>
      <c r="H58" s="333">
        <v>45639</v>
      </c>
      <c r="I58" s="228" t="s">
        <v>476</v>
      </c>
      <c r="J58" s="228">
        <v>22</v>
      </c>
    </row>
    <row r="59" spans="1:10" ht="27.75" customHeight="1" x14ac:dyDescent="0.2">
      <c r="A59" s="317">
        <v>57</v>
      </c>
      <c r="B59" s="332" t="s">
        <v>330</v>
      </c>
      <c r="C59" s="228" t="s">
        <v>34</v>
      </c>
      <c r="D59" s="228" t="s">
        <v>337</v>
      </c>
      <c r="E59" s="333">
        <v>45637</v>
      </c>
      <c r="F59" s="231">
        <v>37.93</v>
      </c>
      <c r="G59" s="512" t="s">
        <v>172</v>
      </c>
      <c r="H59" s="333">
        <v>45641</v>
      </c>
      <c r="I59" s="228" t="s">
        <v>453</v>
      </c>
      <c r="J59" s="228">
        <v>25</v>
      </c>
    </row>
    <row r="60" spans="1:10" ht="27.75" customHeight="1" x14ac:dyDescent="0.2">
      <c r="A60" s="317">
        <v>58</v>
      </c>
      <c r="B60" s="332" t="s">
        <v>329</v>
      </c>
      <c r="C60" s="228" t="s">
        <v>29</v>
      </c>
      <c r="D60" s="228" t="s">
        <v>337</v>
      </c>
      <c r="E60" s="333">
        <v>45642</v>
      </c>
      <c r="F60" s="231">
        <v>36.369999999999997</v>
      </c>
      <c r="G60" s="512" t="s">
        <v>172</v>
      </c>
      <c r="H60" s="333">
        <v>45644</v>
      </c>
      <c r="I60" s="228" t="s">
        <v>453</v>
      </c>
      <c r="J60" s="228">
        <v>23</v>
      </c>
    </row>
    <row r="61" spans="1:10" ht="27.75" customHeight="1" x14ac:dyDescent="0.2">
      <c r="A61" s="317">
        <v>59</v>
      </c>
      <c r="B61" s="332" t="s">
        <v>348</v>
      </c>
      <c r="C61" s="228" t="s">
        <v>29</v>
      </c>
      <c r="D61" s="228" t="s">
        <v>337</v>
      </c>
      <c r="E61" s="333">
        <v>45641</v>
      </c>
      <c r="F61" s="231">
        <v>36.369999999999997</v>
      </c>
      <c r="G61" s="512" t="s">
        <v>172</v>
      </c>
      <c r="H61" s="333">
        <v>45645</v>
      </c>
      <c r="I61" s="228" t="s">
        <v>476</v>
      </c>
      <c r="J61" s="228">
        <v>25</v>
      </c>
    </row>
    <row r="62" spans="1:10" ht="27.75" customHeight="1" x14ac:dyDescent="0.2">
      <c r="A62" s="317">
        <v>60</v>
      </c>
      <c r="B62" s="332" t="s">
        <v>326</v>
      </c>
      <c r="C62" s="228" t="s">
        <v>29</v>
      </c>
      <c r="D62" s="228" t="s">
        <v>455</v>
      </c>
      <c r="E62" s="333">
        <v>45645</v>
      </c>
      <c r="F62" s="231">
        <v>36.369999999999997</v>
      </c>
      <c r="G62" s="512" t="s">
        <v>172</v>
      </c>
      <c r="H62" s="333">
        <v>45648</v>
      </c>
      <c r="I62" s="228" t="s">
        <v>453</v>
      </c>
      <c r="J62" s="228">
        <v>22</v>
      </c>
    </row>
    <row r="63" spans="1:10" ht="27.75" customHeight="1" x14ac:dyDescent="0.2">
      <c r="A63" s="317">
        <v>61</v>
      </c>
      <c r="B63" s="332" t="s">
        <v>325</v>
      </c>
      <c r="C63" s="228" t="s">
        <v>29</v>
      </c>
      <c r="D63" s="228" t="s">
        <v>337</v>
      </c>
      <c r="E63" s="333">
        <v>45649</v>
      </c>
      <c r="F63" s="231">
        <v>36.369999999999997</v>
      </c>
      <c r="G63" s="512" t="s">
        <v>172</v>
      </c>
      <c r="H63" s="333">
        <v>45651</v>
      </c>
      <c r="I63" s="228" t="s">
        <v>453</v>
      </c>
      <c r="J63" s="228">
        <v>25</v>
      </c>
    </row>
    <row r="64" spans="1:10" ht="27.75" customHeight="1" x14ac:dyDescent="0.2">
      <c r="A64" s="317">
        <v>62</v>
      </c>
      <c r="B64" s="332" t="s">
        <v>46</v>
      </c>
      <c r="C64" s="228" t="s">
        <v>47</v>
      </c>
      <c r="D64" s="228" t="s">
        <v>337</v>
      </c>
      <c r="E64" s="333">
        <v>45646</v>
      </c>
      <c r="F64" s="231">
        <v>44.825000000000003</v>
      </c>
      <c r="G64" s="512" t="s">
        <v>172</v>
      </c>
      <c r="H64" s="333">
        <v>45651</v>
      </c>
      <c r="I64" s="228" t="s">
        <v>471</v>
      </c>
      <c r="J64" s="228">
        <v>22</v>
      </c>
    </row>
    <row r="65" spans="1:10" ht="27.75" customHeight="1" x14ac:dyDescent="0.2">
      <c r="A65" s="317">
        <v>63</v>
      </c>
      <c r="B65" s="332" t="s">
        <v>182</v>
      </c>
      <c r="C65" s="228" t="s">
        <v>34</v>
      </c>
      <c r="D65" s="228" t="s">
        <v>337</v>
      </c>
      <c r="E65" s="333">
        <v>45638</v>
      </c>
      <c r="F65" s="231">
        <v>37.93</v>
      </c>
      <c r="G65" s="512" t="s">
        <v>172</v>
      </c>
      <c r="H65" s="333">
        <v>45654</v>
      </c>
      <c r="I65" s="228" t="s">
        <v>443</v>
      </c>
      <c r="J65" s="228">
        <v>23</v>
      </c>
    </row>
    <row r="66" spans="1:10" ht="27.75" customHeight="1" x14ac:dyDescent="0.2">
      <c r="A66" s="317">
        <v>64</v>
      </c>
      <c r="B66" s="332" t="s">
        <v>324</v>
      </c>
      <c r="C66" s="228" t="s">
        <v>29</v>
      </c>
      <c r="D66" s="228" t="s">
        <v>337</v>
      </c>
      <c r="E66" s="333">
        <v>45652</v>
      </c>
      <c r="F66" s="231">
        <v>36.369999999999997</v>
      </c>
      <c r="G66" s="512" t="s">
        <v>172</v>
      </c>
      <c r="H66" s="333">
        <v>45654</v>
      </c>
      <c r="I66" s="228" t="s">
        <v>453</v>
      </c>
      <c r="J66" s="228">
        <v>25</v>
      </c>
    </row>
    <row r="67" spans="1:10" ht="27.75" customHeight="1" x14ac:dyDescent="0.2">
      <c r="A67" s="317">
        <v>65</v>
      </c>
      <c r="B67" s="332" t="s">
        <v>355</v>
      </c>
      <c r="C67" s="228" t="s">
        <v>34</v>
      </c>
      <c r="D67" s="228" t="s">
        <v>337</v>
      </c>
      <c r="E67" s="333">
        <v>45652</v>
      </c>
      <c r="F67" s="231">
        <v>37.93</v>
      </c>
      <c r="G67" s="512" t="s">
        <v>172</v>
      </c>
      <c r="H67" s="333">
        <v>45657</v>
      </c>
      <c r="I67" s="228" t="s">
        <v>471</v>
      </c>
      <c r="J67" s="228">
        <v>22</v>
      </c>
    </row>
    <row r="68" spans="1:10" ht="27.75" customHeight="1" x14ac:dyDescent="0.2">
      <c r="A68" s="317">
        <v>66</v>
      </c>
      <c r="B68" s="332" t="s">
        <v>323</v>
      </c>
      <c r="C68" s="228" t="s">
        <v>131</v>
      </c>
      <c r="D68" s="228" t="s">
        <v>337</v>
      </c>
      <c r="E68" s="333">
        <v>45653</v>
      </c>
      <c r="F68" s="231">
        <v>54.66</v>
      </c>
      <c r="G68" s="512" t="s">
        <v>172</v>
      </c>
      <c r="H68" s="333">
        <v>45660</v>
      </c>
      <c r="I68" s="228" t="s">
        <v>453</v>
      </c>
      <c r="J68" s="228">
        <v>25</v>
      </c>
    </row>
    <row r="69" spans="1:10" ht="27.75" customHeight="1" x14ac:dyDescent="0.2">
      <c r="A69" s="317">
        <v>67</v>
      </c>
      <c r="B69" s="332" t="s">
        <v>354</v>
      </c>
      <c r="C69" s="228" t="s">
        <v>34</v>
      </c>
      <c r="D69" s="228" t="s">
        <v>336</v>
      </c>
      <c r="E69" s="333">
        <v>45628</v>
      </c>
      <c r="F69" s="231">
        <v>37.93</v>
      </c>
      <c r="G69" s="512" t="s">
        <v>172</v>
      </c>
      <c r="H69" s="333">
        <v>45663</v>
      </c>
      <c r="I69" s="228" t="s">
        <v>471</v>
      </c>
      <c r="J69" s="228">
        <v>26</v>
      </c>
    </row>
    <row r="70" spans="1:10" ht="27.75" customHeight="1" x14ac:dyDescent="0.2">
      <c r="A70" s="317">
        <v>68</v>
      </c>
      <c r="B70" s="332" t="s">
        <v>320</v>
      </c>
      <c r="C70" s="228" t="s">
        <v>34</v>
      </c>
      <c r="D70" s="228" t="s">
        <v>336</v>
      </c>
      <c r="E70" s="333">
        <v>45660</v>
      </c>
      <c r="F70" s="231">
        <v>37.93</v>
      </c>
      <c r="G70" s="512" t="s">
        <v>172</v>
      </c>
      <c r="H70" s="333">
        <v>45665</v>
      </c>
      <c r="I70" s="228" t="s">
        <v>453</v>
      </c>
      <c r="J70" s="228">
        <v>27</v>
      </c>
    </row>
    <row r="71" spans="1:10" ht="27.75" customHeight="1" x14ac:dyDescent="0.2">
      <c r="A71" s="317">
        <v>69</v>
      </c>
      <c r="B71" s="332" t="s">
        <v>334</v>
      </c>
      <c r="C71" s="228" t="s">
        <v>29</v>
      </c>
      <c r="D71" s="228" t="s">
        <v>30</v>
      </c>
      <c r="E71" s="333">
        <v>45654</v>
      </c>
      <c r="F71" s="231">
        <v>36.369999999999997</v>
      </c>
      <c r="G71" s="512" t="s">
        <v>172</v>
      </c>
      <c r="H71" s="333">
        <v>45670</v>
      </c>
      <c r="I71" s="228" t="s">
        <v>453</v>
      </c>
      <c r="J71" s="228">
        <v>25</v>
      </c>
    </row>
    <row r="72" spans="1:10" ht="27.75" customHeight="1" x14ac:dyDescent="0.2">
      <c r="A72" s="317">
        <v>70</v>
      </c>
      <c r="B72" s="332" t="s">
        <v>351</v>
      </c>
      <c r="C72" s="228" t="s">
        <v>34</v>
      </c>
      <c r="D72" s="228" t="s">
        <v>30</v>
      </c>
      <c r="E72" s="333">
        <v>45661</v>
      </c>
      <c r="F72" s="231">
        <v>37.93</v>
      </c>
      <c r="G72" s="512" t="s">
        <v>172</v>
      </c>
      <c r="H72" s="333">
        <v>45672</v>
      </c>
      <c r="I72" s="228" t="s">
        <v>476</v>
      </c>
      <c r="J72" s="228">
        <v>28</v>
      </c>
    </row>
    <row r="73" spans="1:10" ht="27.75" customHeight="1" x14ac:dyDescent="0.2">
      <c r="A73" s="317">
        <v>71</v>
      </c>
      <c r="B73" s="332" t="s">
        <v>284</v>
      </c>
      <c r="C73" s="228" t="s">
        <v>165</v>
      </c>
      <c r="D73" s="228" t="s">
        <v>455</v>
      </c>
      <c r="E73" s="333">
        <v>45659</v>
      </c>
      <c r="F73" s="231">
        <v>36.369999999999997</v>
      </c>
      <c r="G73" s="512" t="s">
        <v>172</v>
      </c>
      <c r="H73" s="333">
        <v>45672</v>
      </c>
      <c r="I73" s="228" t="s">
        <v>443</v>
      </c>
      <c r="J73" s="228">
        <v>25</v>
      </c>
    </row>
    <row r="74" spans="1:10" ht="27.75" customHeight="1" x14ac:dyDescent="0.2">
      <c r="A74" s="317">
        <v>72</v>
      </c>
      <c r="B74" s="332" t="s">
        <v>313</v>
      </c>
      <c r="C74" s="228" t="s">
        <v>29</v>
      </c>
      <c r="D74" s="228" t="s">
        <v>463</v>
      </c>
      <c r="E74" s="333">
        <v>45671</v>
      </c>
      <c r="F74" s="231">
        <v>36.369999999999997</v>
      </c>
      <c r="G74" s="512" t="s">
        <v>172</v>
      </c>
      <c r="H74" s="333">
        <v>45675</v>
      </c>
      <c r="I74" s="228" t="s">
        <v>453</v>
      </c>
      <c r="J74" s="228">
        <v>30</v>
      </c>
    </row>
    <row r="75" spans="1:10" ht="27.75" customHeight="1" x14ac:dyDescent="0.2">
      <c r="A75" s="317">
        <v>73</v>
      </c>
      <c r="B75" s="332" t="s">
        <v>346</v>
      </c>
      <c r="C75" s="228" t="s">
        <v>29</v>
      </c>
      <c r="D75" s="228" t="s">
        <v>30</v>
      </c>
      <c r="E75" s="333">
        <v>45673</v>
      </c>
      <c r="F75" s="231">
        <v>36.369999999999997</v>
      </c>
      <c r="G75" s="512" t="s">
        <v>172</v>
      </c>
      <c r="H75" s="333">
        <v>45676</v>
      </c>
      <c r="I75" s="228" t="s">
        <v>476</v>
      </c>
      <c r="J75" s="228">
        <v>27</v>
      </c>
    </row>
    <row r="76" spans="1:10" ht="27.75" customHeight="1" x14ac:dyDescent="0.2">
      <c r="A76" s="317">
        <v>74</v>
      </c>
      <c r="B76" s="332" t="s">
        <v>315</v>
      </c>
      <c r="C76" s="228" t="s">
        <v>34</v>
      </c>
      <c r="D76" s="228" t="s">
        <v>455</v>
      </c>
      <c r="E76" s="333">
        <v>45675</v>
      </c>
      <c r="F76" s="231">
        <v>37.93</v>
      </c>
      <c r="G76" s="512" t="s">
        <v>172</v>
      </c>
      <c r="H76" s="333">
        <v>45679</v>
      </c>
      <c r="I76" s="228" t="s">
        <v>453</v>
      </c>
      <c r="J76" s="228">
        <v>30</v>
      </c>
    </row>
    <row r="77" spans="1:10" ht="27.75" customHeight="1" x14ac:dyDescent="0.2">
      <c r="A77" s="317">
        <v>75</v>
      </c>
      <c r="B77" s="332" t="s">
        <v>344</v>
      </c>
      <c r="C77" s="228" t="s">
        <v>29</v>
      </c>
      <c r="D77" s="228" t="s">
        <v>432</v>
      </c>
      <c r="E77" s="333">
        <v>45676</v>
      </c>
      <c r="F77" s="231">
        <v>36.369999999999997</v>
      </c>
      <c r="G77" s="512" t="s">
        <v>172</v>
      </c>
      <c r="H77" s="333">
        <v>45680</v>
      </c>
      <c r="I77" s="228" t="s">
        <v>476</v>
      </c>
      <c r="J77" s="228">
        <v>27</v>
      </c>
    </row>
    <row r="78" spans="1:10" ht="27.75" customHeight="1" x14ac:dyDescent="0.2">
      <c r="A78" s="317">
        <v>76</v>
      </c>
      <c r="B78" s="332" t="s">
        <v>317</v>
      </c>
      <c r="C78" s="228" t="s">
        <v>34</v>
      </c>
      <c r="D78" s="228" t="s">
        <v>456</v>
      </c>
      <c r="E78" s="333">
        <v>45679</v>
      </c>
      <c r="F78" s="231">
        <v>37.93</v>
      </c>
      <c r="G78" s="512" t="s">
        <v>172</v>
      </c>
      <c r="H78" s="333">
        <v>45684</v>
      </c>
      <c r="I78" s="228" t="s">
        <v>453</v>
      </c>
      <c r="J78" s="228">
        <v>30</v>
      </c>
    </row>
    <row r="79" spans="1:10" ht="27.75" customHeight="1" x14ac:dyDescent="0.2">
      <c r="A79" s="317">
        <v>77</v>
      </c>
      <c r="B79" s="332" t="s">
        <v>357</v>
      </c>
      <c r="C79" s="228" t="s">
        <v>29</v>
      </c>
      <c r="D79" s="228" t="s">
        <v>30</v>
      </c>
      <c r="E79" s="333">
        <v>45680</v>
      </c>
      <c r="F79" s="231">
        <v>36.369999999999997</v>
      </c>
      <c r="G79" s="512" t="s">
        <v>172</v>
      </c>
      <c r="H79" s="333">
        <v>45685</v>
      </c>
      <c r="I79" s="228" t="s">
        <v>476</v>
      </c>
      <c r="J79" s="228">
        <v>27</v>
      </c>
    </row>
    <row r="80" spans="1:10" ht="27.75" customHeight="1" x14ac:dyDescent="0.2">
      <c r="A80" s="317">
        <v>78</v>
      </c>
      <c r="B80" s="332" t="s">
        <v>280</v>
      </c>
      <c r="C80" s="228" t="s">
        <v>29</v>
      </c>
      <c r="D80" s="228" t="s">
        <v>30</v>
      </c>
      <c r="E80" s="333">
        <v>45673</v>
      </c>
      <c r="F80" s="231">
        <v>36.369999999999997</v>
      </c>
      <c r="G80" s="512" t="s">
        <v>172</v>
      </c>
      <c r="H80" s="333">
        <v>45687</v>
      </c>
      <c r="I80" s="228" t="s">
        <v>443</v>
      </c>
      <c r="J80" s="228">
        <v>25</v>
      </c>
    </row>
    <row r="81" spans="1:10" ht="27.75" customHeight="1" x14ac:dyDescent="0.2">
      <c r="A81" s="317">
        <v>79</v>
      </c>
      <c r="B81" s="332" t="s">
        <v>316</v>
      </c>
      <c r="C81" s="228" t="s">
        <v>29</v>
      </c>
      <c r="D81" s="228" t="s">
        <v>456</v>
      </c>
      <c r="E81" s="333">
        <v>45679</v>
      </c>
      <c r="F81" s="231">
        <v>36.369999999999997</v>
      </c>
      <c r="G81" s="512" t="s">
        <v>172</v>
      </c>
      <c r="H81" s="333">
        <v>45687</v>
      </c>
      <c r="I81" s="228" t="s">
        <v>453</v>
      </c>
      <c r="J81" s="228">
        <v>30</v>
      </c>
    </row>
    <row r="82" spans="1:10" ht="27.75" customHeight="1" x14ac:dyDescent="0.2">
      <c r="A82" s="317">
        <v>80</v>
      </c>
      <c r="B82" s="332" t="s">
        <v>359</v>
      </c>
      <c r="C82" s="228" t="s">
        <v>34</v>
      </c>
      <c r="D82" s="228" t="s">
        <v>30</v>
      </c>
      <c r="E82" s="333">
        <v>45685</v>
      </c>
      <c r="F82" s="231">
        <v>37.93</v>
      </c>
      <c r="G82" s="512" t="s">
        <v>172</v>
      </c>
      <c r="H82" s="333">
        <v>45691</v>
      </c>
      <c r="I82" s="228" t="s">
        <v>476</v>
      </c>
      <c r="J82" s="228">
        <v>27</v>
      </c>
    </row>
    <row r="83" spans="1:10" ht="27.75" customHeight="1" x14ac:dyDescent="0.2">
      <c r="A83" s="317">
        <v>81</v>
      </c>
      <c r="B83" s="332" t="s">
        <v>308</v>
      </c>
      <c r="C83" s="228" t="s">
        <v>29</v>
      </c>
      <c r="D83" s="228" t="s">
        <v>462</v>
      </c>
      <c r="E83" s="333">
        <v>45687</v>
      </c>
      <c r="F83" s="231">
        <v>36.369999999999997</v>
      </c>
      <c r="G83" s="512" t="s">
        <v>172</v>
      </c>
      <c r="H83" s="333">
        <v>45691</v>
      </c>
      <c r="I83" s="228" t="s">
        <v>453</v>
      </c>
      <c r="J83" s="228">
        <v>25</v>
      </c>
    </row>
    <row r="84" spans="1:10" ht="27.75" customHeight="1" x14ac:dyDescent="0.2">
      <c r="A84" s="317">
        <v>82</v>
      </c>
      <c r="B84" s="332" t="s">
        <v>290</v>
      </c>
      <c r="C84" s="228" t="s">
        <v>29</v>
      </c>
      <c r="D84" s="228" t="s">
        <v>456</v>
      </c>
      <c r="E84" s="333">
        <v>45692</v>
      </c>
      <c r="F84" s="231">
        <v>36.369999999999997</v>
      </c>
      <c r="G84" s="512" t="s">
        <v>172</v>
      </c>
      <c r="H84" s="333">
        <v>45696</v>
      </c>
      <c r="I84" s="228" t="s">
        <v>453</v>
      </c>
      <c r="J84" s="228">
        <v>30</v>
      </c>
    </row>
    <row r="85" spans="1:10" ht="27.75" customHeight="1" x14ac:dyDescent="0.2">
      <c r="A85" s="317">
        <v>83</v>
      </c>
      <c r="B85" s="332" t="s">
        <v>362</v>
      </c>
      <c r="C85" s="228" t="s">
        <v>29</v>
      </c>
      <c r="D85" s="228" t="s">
        <v>337</v>
      </c>
      <c r="E85" s="333">
        <v>45692</v>
      </c>
      <c r="F85" s="231">
        <v>36.369999999999997</v>
      </c>
      <c r="G85" s="512" t="s">
        <v>172</v>
      </c>
      <c r="H85" s="333">
        <v>45697</v>
      </c>
      <c r="I85" s="228" t="s">
        <v>476</v>
      </c>
      <c r="J85" s="228">
        <v>25</v>
      </c>
    </row>
    <row r="86" spans="1:10" ht="27.75" customHeight="1" x14ac:dyDescent="0.2">
      <c r="A86" s="317">
        <v>84</v>
      </c>
      <c r="B86" s="332" t="s">
        <v>169</v>
      </c>
      <c r="C86" s="228" t="s">
        <v>29</v>
      </c>
      <c r="D86" s="228" t="s">
        <v>337</v>
      </c>
      <c r="E86" s="333">
        <v>45687</v>
      </c>
      <c r="F86" s="231">
        <v>36.369999999999997</v>
      </c>
      <c r="G86" s="512" t="s">
        <v>172</v>
      </c>
      <c r="H86" s="333">
        <v>45698</v>
      </c>
      <c r="I86" s="228" t="s">
        <v>443</v>
      </c>
      <c r="J86" s="228">
        <v>30</v>
      </c>
    </row>
    <row r="87" spans="1:10" ht="27.75" customHeight="1" x14ac:dyDescent="0.2">
      <c r="A87" s="317">
        <v>85</v>
      </c>
      <c r="B87" s="332" t="s">
        <v>289</v>
      </c>
      <c r="C87" s="228" t="s">
        <v>34</v>
      </c>
      <c r="D87" s="228" t="s">
        <v>455</v>
      </c>
      <c r="E87" s="333">
        <v>45697</v>
      </c>
      <c r="F87" s="231">
        <v>37.93</v>
      </c>
      <c r="G87" s="512" t="s">
        <v>172</v>
      </c>
      <c r="H87" s="333">
        <v>45700</v>
      </c>
      <c r="I87" s="228" t="s">
        <v>453</v>
      </c>
      <c r="J87" s="228">
        <v>27</v>
      </c>
    </row>
    <row r="88" spans="1:10" ht="27.75" customHeight="1" x14ac:dyDescent="0.2">
      <c r="A88" s="317">
        <v>86</v>
      </c>
      <c r="B88" s="332" t="s">
        <v>363</v>
      </c>
      <c r="C88" s="228" t="s">
        <v>29</v>
      </c>
      <c r="D88" s="228" t="s">
        <v>432</v>
      </c>
      <c r="E88" s="333">
        <v>45698</v>
      </c>
      <c r="F88" s="231">
        <v>36.369999999999997</v>
      </c>
      <c r="G88" s="512" t="s">
        <v>172</v>
      </c>
      <c r="H88" s="333">
        <v>45702</v>
      </c>
      <c r="I88" s="228" t="s">
        <v>476</v>
      </c>
      <c r="J88" s="228">
        <v>27</v>
      </c>
    </row>
    <row r="89" spans="1:10" ht="27.75" customHeight="1" x14ac:dyDescent="0.2">
      <c r="A89" s="317">
        <v>87</v>
      </c>
      <c r="B89" s="332" t="s">
        <v>339</v>
      </c>
      <c r="C89" s="228" t="s">
        <v>29</v>
      </c>
      <c r="D89" s="228" t="s">
        <v>30</v>
      </c>
      <c r="E89" s="333">
        <v>45698</v>
      </c>
      <c r="F89" s="231">
        <v>36.369999999999997</v>
      </c>
      <c r="G89" s="512" t="s">
        <v>172</v>
      </c>
      <c r="H89" s="333">
        <v>45706</v>
      </c>
      <c r="I89" s="228" t="s">
        <v>614</v>
      </c>
      <c r="J89" s="228">
        <v>25</v>
      </c>
    </row>
    <row r="90" spans="1:10" ht="27.75" customHeight="1" x14ac:dyDescent="0.2">
      <c r="A90" s="317">
        <v>88</v>
      </c>
      <c r="B90" s="332" t="s">
        <v>291</v>
      </c>
      <c r="C90" s="228" t="s">
        <v>43</v>
      </c>
      <c r="D90" s="228" t="s">
        <v>456</v>
      </c>
      <c r="E90" s="333">
        <v>45701</v>
      </c>
      <c r="F90" s="231">
        <v>43.08</v>
      </c>
      <c r="G90" s="512" t="s">
        <v>172</v>
      </c>
      <c r="H90" s="333">
        <v>45707</v>
      </c>
      <c r="I90" s="228" t="s">
        <v>453</v>
      </c>
      <c r="J90" s="228">
        <v>30</v>
      </c>
    </row>
    <row r="91" spans="1:10" ht="27.75" customHeight="1" x14ac:dyDescent="0.2">
      <c r="A91" s="317">
        <v>89</v>
      </c>
      <c r="B91" s="332" t="s">
        <v>364</v>
      </c>
      <c r="C91" s="228" t="s">
        <v>34</v>
      </c>
      <c r="D91" s="228" t="s">
        <v>30</v>
      </c>
      <c r="E91" s="333">
        <v>45703</v>
      </c>
      <c r="F91" s="231">
        <v>37.93</v>
      </c>
      <c r="G91" s="512" t="s">
        <v>172</v>
      </c>
      <c r="H91" s="333">
        <v>45708</v>
      </c>
      <c r="I91" s="228" t="s">
        <v>476</v>
      </c>
      <c r="J91" s="228">
        <v>27</v>
      </c>
    </row>
    <row r="92" spans="1:10" ht="27.75" customHeight="1" x14ac:dyDescent="0.2">
      <c r="A92" s="317">
        <v>90</v>
      </c>
      <c r="B92" s="332" t="s">
        <v>60</v>
      </c>
      <c r="C92" s="228" t="s">
        <v>43</v>
      </c>
      <c r="D92" s="228" t="s">
        <v>30</v>
      </c>
      <c r="E92" s="333">
        <v>45699</v>
      </c>
      <c r="F92" s="231">
        <v>43.08</v>
      </c>
      <c r="G92" s="512" t="s">
        <v>172</v>
      </c>
      <c r="H92" s="333">
        <v>45709</v>
      </c>
      <c r="I92" s="228" t="s">
        <v>443</v>
      </c>
      <c r="J92" s="228">
        <v>25</v>
      </c>
    </row>
    <row r="93" spans="1:10" ht="27.75" customHeight="1" x14ac:dyDescent="0.2">
      <c r="A93" s="317">
        <v>91</v>
      </c>
      <c r="B93" s="332" t="s">
        <v>292</v>
      </c>
      <c r="C93" s="228" t="s">
        <v>34</v>
      </c>
      <c r="D93" s="228" t="s">
        <v>456</v>
      </c>
      <c r="E93" s="333">
        <v>45707</v>
      </c>
      <c r="F93" s="231">
        <v>37.93</v>
      </c>
      <c r="G93" s="512" t="s">
        <v>172</v>
      </c>
      <c r="H93" s="333">
        <v>45711</v>
      </c>
      <c r="I93" s="228" t="s">
        <v>453</v>
      </c>
      <c r="J93" s="228">
        <v>30</v>
      </c>
    </row>
    <row r="94" spans="1:10" ht="27.75" customHeight="1" x14ac:dyDescent="0.2">
      <c r="A94" s="317">
        <v>92</v>
      </c>
      <c r="B94" s="332" t="s">
        <v>42</v>
      </c>
      <c r="C94" s="228" t="s">
        <v>43</v>
      </c>
      <c r="D94" s="228" t="s">
        <v>30</v>
      </c>
      <c r="E94" s="333">
        <v>45707</v>
      </c>
      <c r="F94" s="231">
        <v>43.08</v>
      </c>
      <c r="G94" s="512" t="s">
        <v>172</v>
      </c>
      <c r="H94" s="333">
        <v>45713</v>
      </c>
      <c r="I94" s="228" t="s">
        <v>614</v>
      </c>
      <c r="J94" s="228">
        <v>27</v>
      </c>
    </row>
    <row r="95" spans="1:10" ht="27.75" customHeight="1" x14ac:dyDescent="0.2">
      <c r="A95" s="317">
        <v>93</v>
      </c>
      <c r="B95" s="332" t="s">
        <v>360</v>
      </c>
      <c r="C95" s="228" t="s">
        <v>29</v>
      </c>
      <c r="D95" s="228" t="s">
        <v>432</v>
      </c>
      <c r="E95" s="333">
        <v>45709</v>
      </c>
      <c r="F95" s="231">
        <v>36.369999999999997</v>
      </c>
      <c r="G95" s="512" t="s">
        <v>172</v>
      </c>
      <c r="H95" s="333">
        <v>45713</v>
      </c>
      <c r="I95" s="228" t="s">
        <v>476</v>
      </c>
      <c r="J95" s="228">
        <v>25</v>
      </c>
    </row>
    <row r="96" spans="1:10" ht="27.75" customHeight="1" x14ac:dyDescent="0.2">
      <c r="A96" s="317">
        <v>94</v>
      </c>
      <c r="B96" s="332" t="s">
        <v>294</v>
      </c>
      <c r="C96" s="228" t="s">
        <v>159</v>
      </c>
      <c r="D96" s="228" t="s">
        <v>463</v>
      </c>
      <c r="E96" s="333">
        <v>45712</v>
      </c>
      <c r="F96" s="231">
        <v>43.08</v>
      </c>
      <c r="G96" s="512" t="s">
        <v>172</v>
      </c>
      <c r="H96" s="333">
        <v>45715</v>
      </c>
      <c r="I96" s="228" t="s">
        <v>453</v>
      </c>
      <c r="J96" s="228">
        <v>27</v>
      </c>
    </row>
    <row r="97" spans="1:10" ht="27.75" customHeight="1" x14ac:dyDescent="0.2">
      <c r="A97" s="317">
        <v>95</v>
      </c>
      <c r="B97" s="332" t="s">
        <v>283</v>
      </c>
      <c r="C97" s="228" t="s">
        <v>29</v>
      </c>
      <c r="D97" s="228" t="s">
        <v>455</v>
      </c>
      <c r="E97" s="333">
        <v>45710</v>
      </c>
      <c r="F97" s="231">
        <v>36.369999999999997</v>
      </c>
      <c r="G97" s="512" t="s">
        <v>172</v>
      </c>
      <c r="H97" s="333">
        <v>45717</v>
      </c>
      <c r="I97" s="228" t="s">
        <v>443</v>
      </c>
      <c r="J97" s="228">
        <v>25</v>
      </c>
    </row>
    <row r="98" spans="1:10" ht="27.75" customHeight="1" x14ac:dyDescent="0.2">
      <c r="A98" s="317">
        <v>96</v>
      </c>
      <c r="B98" s="332" t="s">
        <v>347</v>
      </c>
      <c r="C98" s="228" t="s">
        <v>167</v>
      </c>
      <c r="D98" s="228" t="s">
        <v>432</v>
      </c>
      <c r="E98" s="333">
        <v>45714</v>
      </c>
      <c r="F98" s="231">
        <v>37.93</v>
      </c>
      <c r="G98" s="512" t="s">
        <v>172</v>
      </c>
      <c r="H98" s="333">
        <v>45717</v>
      </c>
      <c r="I98" s="228" t="s">
        <v>476</v>
      </c>
      <c r="J98" s="228">
        <v>23</v>
      </c>
    </row>
    <row r="99" spans="1:10" ht="27.75" customHeight="1" x14ac:dyDescent="0.2">
      <c r="A99" s="317">
        <v>97</v>
      </c>
      <c r="B99" s="332" t="s">
        <v>293</v>
      </c>
      <c r="C99" s="228" t="s">
        <v>29</v>
      </c>
      <c r="D99" s="228" t="s">
        <v>462</v>
      </c>
      <c r="E99" s="333">
        <v>45716</v>
      </c>
      <c r="F99" s="231">
        <v>36.369999999999997</v>
      </c>
      <c r="G99" s="512" t="s">
        <v>172</v>
      </c>
      <c r="H99" s="333">
        <v>45718</v>
      </c>
      <c r="I99" s="228" t="s">
        <v>453</v>
      </c>
      <c r="J99" s="228">
        <v>25</v>
      </c>
    </row>
    <row r="100" spans="1:10" ht="27.75" customHeight="1" x14ac:dyDescent="0.2">
      <c r="A100" s="317">
        <v>98</v>
      </c>
      <c r="B100" s="332" t="s">
        <v>396</v>
      </c>
      <c r="C100" s="228" t="s">
        <v>29</v>
      </c>
      <c r="D100" s="228" t="s">
        <v>432</v>
      </c>
      <c r="E100" s="333">
        <v>45714</v>
      </c>
      <c r="F100" s="231">
        <v>36.369999999999997</v>
      </c>
      <c r="G100" s="512" t="s">
        <v>172</v>
      </c>
      <c r="H100" s="333">
        <v>45718</v>
      </c>
      <c r="I100" s="228" t="s">
        <v>614</v>
      </c>
      <c r="J100" s="228">
        <v>27</v>
      </c>
    </row>
    <row r="101" spans="1:10" ht="27.75" customHeight="1" x14ac:dyDescent="0.2">
      <c r="A101" s="317">
        <v>99</v>
      </c>
      <c r="B101" s="332" t="s">
        <v>295</v>
      </c>
      <c r="C101" s="228" t="s">
        <v>43</v>
      </c>
      <c r="D101" s="228" t="s">
        <v>462</v>
      </c>
      <c r="E101" s="333">
        <v>45719</v>
      </c>
      <c r="F101" s="231">
        <v>43.08</v>
      </c>
      <c r="G101" s="512" t="s">
        <v>172</v>
      </c>
      <c r="H101" s="333">
        <v>45723</v>
      </c>
      <c r="I101" s="228" t="s">
        <v>453</v>
      </c>
      <c r="J101" s="228">
        <v>25</v>
      </c>
    </row>
    <row r="102" spans="1:10" ht="27.75" customHeight="1" x14ac:dyDescent="0.2">
      <c r="A102" s="317">
        <v>100</v>
      </c>
      <c r="B102" s="332" t="s">
        <v>358</v>
      </c>
      <c r="C102" s="228" t="s">
        <v>131</v>
      </c>
      <c r="D102" s="228" t="s">
        <v>336</v>
      </c>
      <c r="E102" s="333">
        <v>45718</v>
      </c>
      <c r="F102" s="231">
        <v>54.66</v>
      </c>
      <c r="G102" s="512" t="s">
        <v>172</v>
      </c>
      <c r="H102" s="333">
        <v>45723</v>
      </c>
      <c r="I102" s="228" t="s">
        <v>476</v>
      </c>
      <c r="J102" s="228">
        <v>27</v>
      </c>
    </row>
    <row r="103" spans="1:10" ht="27.75" customHeight="1" x14ac:dyDescent="0.2">
      <c r="A103" s="317">
        <v>101</v>
      </c>
      <c r="B103" s="332" t="s">
        <v>398</v>
      </c>
      <c r="C103" s="228" t="s">
        <v>34</v>
      </c>
      <c r="D103" s="228" t="s">
        <v>462</v>
      </c>
      <c r="E103" s="333">
        <v>45719</v>
      </c>
      <c r="F103" s="231">
        <v>37.93</v>
      </c>
      <c r="G103" s="512" t="s">
        <v>172</v>
      </c>
      <c r="H103" s="333">
        <v>45725</v>
      </c>
      <c r="I103" s="228" t="s">
        <v>614</v>
      </c>
      <c r="J103" s="228">
        <v>30</v>
      </c>
    </row>
    <row r="104" spans="1:10" ht="27.75" customHeight="1" x14ac:dyDescent="0.2">
      <c r="A104" s="317">
        <v>102</v>
      </c>
      <c r="B104" s="332" t="s">
        <v>288</v>
      </c>
      <c r="C104" s="228" t="s">
        <v>135</v>
      </c>
      <c r="D104" s="228" t="s">
        <v>30</v>
      </c>
      <c r="E104" s="333">
        <v>45724</v>
      </c>
      <c r="F104" s="231">
        <v>54.66</v>
      </c>
      <c r="G104" s="512" t="s">
        <v>172</v>
      </c>
      <c r="H104" s="333">
        <v>45727</v>
      </c>
      <c r="I104" s="228" t="s">
        <v>453</v>
      </c>
      <c r="J104" s="228">
        <v>27</v>
      </c>
    </row>
    <row r="105" spans="1:10" ht="27.75" customHeight="1" x14ac:dyDescent="0.2">
      <c r="A105" s="317">
        <v>103</v>
      </c>
      <c r="B105" s="332" t="s">
        <v>65</v>
      </c>
      <c r="C105" s="228" t="s">
        <v>43</v>
      </c>
      <c r="D105" s="228" t="s">
        <v>30</v>
      </c>
      <c r="E105" s="333">
        <v>45719</v>
      </c>
      <c r="F105" s="231">
        <v>43.08</v>
      </c>
      <c r="G105" s="512" t="s">
        <v>172</v>
      </c>
      <c r="H105" s="333">
        <v>45728</v>
      </c>
      <c r="I105" s="228" t="s">
        <v>443</v>
      </c>
      <c r="J105" s="228">
        <v>25</v>
      </c>
    </row>
    <row r="106" spans="1:10" ht="27.75" customHeight="1" x14ac:dyDescent="0.2">
      <c r="A106" s="317">
        <v>104</v>
      </c>
      <c r="B106" s="332" t="s">
        <v>366</v>
      </c>
      <c r="C106" s="228" t="s">
        <v>29</v>
      </c>
      <c r="D106" s="228" t="s">
        <v>432</v>
      </c>
      <c r="E106" s="333">
        <v>45724</v>
      </c>
      <c r="F106" s="231">
        <v>36.369999999999997</v>
      </c>
      <c r="G106" s="512" t="s">
        <v>172</v>
      </c>
      <c r="H106" s="333">
        <v>45728</v>
      </c>
      <c r="I106" s="228" t="s">
        <v>476</v>
      </c>
      <c r="J106" s="228">
        <v>23</v>
      </c>
    </row>
    <row r="107" spans="1:10" ht="27.75" customHeight="1" x14ac:dyDescent="0.2">
      <c r="A107" s="317">
        <v>105</v>
      </c>
      <c r="B107" s="332" t="s">
        <v>399</v>
      </c>
      <c r="C107" s="228" t="s">
        <v>29</v>
      </c>
      <c r="D107" s="228" t="s">
        <v>30</v>
      </c>
      <c r="E107" s="333">
        <v>45726</v>
      </c>
      <c r="F107" s="231">
        <v>36.369999999999997</v>
      </c>
      <c r="G107" s="512" t="s">
        <v>172</v>
      </c>
      <c r="H107" s="333">
        <v>45729</v>
      </c>
      <c r="I107" s="228" t="s">
        <v>614</v>
      </c>
      <c r="J107" s="228">
        <v>25</v>
      </c>
    </row>
    <row r="108" spans="1:10" ht="27.75" customHeight="1" x14ac:dyDescent="0.2">
      <c r="A108" s="317">
        <v>106</v>
      </c>
      <c r="B108" s="332" t="s">
        <v>296</v>
      </c>
      <c r="C108" s="228" t="s">
        <v>29</v>
      </c>
      <c r="D108" s="228" t="s">
        <v>455</v>
      </c>
      <c r="E108" s="333">
        <v>45728</v>
      </c>
      <c r="F108" s="231">
        <v>36.369999999999997</v>
      </c>
      <c r="G108" s="512" t="s">
        <v>172</v>
      </c>
      <c r="H108" s="333">
        <v>45732</v>
      </c>
      <c r="I108" s="228" t="s">
        <v>453</v>
      </c>
      <c r="J108" s="228">
        <v>25</v>
      </c>
    </row>
    <row r="109" spans="1:10" ht="27.75" customHeight="1" x14ac:dyDescent="0.2">
      <c r="A109" s="317">
        <v>107</v>
      </c>
      <c r="B109" s="332" t="s">
        <v>370</v>
      </c>
      <c r="C109" s="228" t="s">
        <v>29</v>
      </c>
      <c r="D109" s="228" t="s">
        <v>30</v>
      </c>
      <c r="E109" s="333">
        <v>45729</v>
      </c>
      <c r="F109" s="231">
        <v>36.369999999999997</v>
      </c>
      <c r="G109" s="512" t="s">
        <v>172</v>
      </c>
      <c r="H109" s="333">
        <v>45733</v>
      </c>
      <c r="I109" s="228" t="s">
        <v>476</v>
      </c>
      <c r="J109" s="228">
        <v>27</v>
      </c>
    </row>
    <row r="110" spans="1:10" ht="27.75" customHeight="1" x14ac:dyDescent="0.2">
      <c r="A110" s="317">
        <v>108</v>
      </c>
      <c r="B110" s="332" t="s">
        <v>297</v>
      </c>
      <c r="C110" s="228" t="s">
        <v>34</v>
      </c>
      <c r="D110" s="228" t="s">
        <v>456</v>
      </c>
      <c r="E110" s="333">
        <v>45732</v>
      </c>
      <c r="F110" s="231">
        <v>37.93</v>
      </c>
      <c r="G110" s="512" t="s">
        <v>172</v>
      </c>
      <c r="H110" s="333">
        <v>45735</v>
      </c>
      <c r="I110" s="228" t="s">
        <v>453</v>
      </c>
      <c r="J110" s="228">
        <v>25</v>
      </c>
    </row>
    <row r="111" spans="1:10" ht="27.75" customHeight="1" x14ac:dyDescent="0.2">
      <c r="A111" s="317">
        <v>109</v>
      </c>
      <c r="B111" s="332" t="s">
        <v>400</v>
      </c>
      <c r="C111" s="228" t="s">
        <v>29</v>
      </c>
      <c r="D111" s="228" t="s">
        <v>462</v>
      </c>
      <c r="E111" s="333">
        <v>45731</v>
      </c>
      <c r="F111" s="231">
        <v>36.369999999999997</v>
      </c>
      <c r="G111" s="512" t="s">
        <v>172</v>
      </c>
      <c r="H111" s="333">
        <v>45735</v>
      </c>
      <c r="I111" s="228" t="s">
        <v>614</v>
      </c>
      <c r="J111" s="228">
        <v>25</v>
      </c>
    </row>
    <row r="112" spans="1:10" ht="27.75" customHeight="1" x14ac:dyDescent="0.2">
      <c r="A112" s="317">
        <v>110</v>
      </c>
      <c r="B112" s="332" t="s">
        <v>298</v>
      </c>
      <c r="C112" s="228" t="str">
        <f t="shared" ref="C112:C140" ca="1" si="0">VLOOKUP(B112,$C$9:$D$222,2,FALSE)</f>
        <v>3DA+0</v>
      </c>
      <c r="D112" s="228" t="s">
        <v>456</v>
      </c>
      <c r="E112" s="333">
        <v>45736</v>
      </c>
      <c r="F112" s="231">
        <v>36.369999999999997</v>
      </c>
      <c r="G112" s="512" t="s">
        <v>172</v>
      </c>
      <c r="H112" s="333">
        <v>45738</v>
      </c>
      <c r="I112" s="228" t="s">
        <v>453</v>
      </c>
      <c r="J112" s="228">
        <v>25</v>
      </c>
    </row>
    <row r="113" spans="1:10" ht="27.75" customHeight="1" x14ac:dyDescent="0.2">
      <c r="A113" s="317">
        <v>111</v>
      </c>
      <c r="B113" s="332" t="s">
        <v>401</v>
      </c>
      <c r="C113" s="228" t="str">
        <f t="shared" ca="1" si="0"/>
        <v>3DA+0</v>
      </c>
      <c r="D113" s="228" t="s">
        <v>456</v>
      </c>
      <c r="E113" s="333">
        <v>45736</v>
      </c>
      <c r="F113" s="231">
        <v>36.369999999999997</v>
      </c>
      <c r="G113" s="512" t="s">
        <v>172</v>
      </c>
      <c r="H113" s="333">
        <v>45739</v>
      </c>
      <c r="I113" s="228" t="s">
        <v>614</v>
      </c>
      <c r="J113" s="228">
        <v>27</v>
      </c>
    </row>
    <row r="114" spans="1:10" ht="27.75" customHeight="1" x14ac:dyDescent="0.2">
      <c r="A114" s="317">
        <v>112</v>
      </c>
      <c r="B114" s="332" t="s">
        <v>365</v>
      </c>
      <c r="C114" s="228" t="str">
        <f t="shared" ca="1" si="0"/>
        <v xml:space="preserve">3DC1+0 </v>
      </c>
      <c r="D114" s="228" t="s">
        <v>30</v>
      </c>
      <c r="E114" s="333">
        <v>45733</v>
      </c>
      <c r="F114" s="231">
        <v>62.535277999999998</v>
      </c>
      <c r="G114" s="512" t="s">
        <v>172</v>
      </c>
      <c r="H114" s="333">
        <v>45739</v>
      </c>
      <c r="I114" s="228" t="s">
        <v>476</v>
      </c>
      <c r="J114" s="228">
        <v>27</v>
      </c>
    </row>
    <row r="115" spans="1:10" ht="27.75" customHeight="1" x14ac:dyDescent="0.2">
      <c r="A115" s="317">
        <v>113</v>
      </c>
      <c r="B115" s="332" t="s">
        <v>302</v>
      </c>
      <c r="C115" s="228" t="str">
        <f t="shared" ca="1" si="0"/>
        <v>3DA+0</v>
      </c>
      <c r="D115" s="228" t="str">
        <f ca="1">VLOOKUP(B115,$C$9:$E$255,3,FALSE)</f>
        <v xml:space="preserve">WBC </v>
      </c>
      <c r="E115" s="333">
        <v>45739</v>
      </c>
      <c r="F115" s="231">
        <v>36.369999999999997</v>
      </c>
      <c r="G115" s="512" t="s">
        <v>172</v>
      </c>
      <c r="H115" s="333">
        <v>45742</v>
      </c>
      <c r="I115" s="228" t="s">
        <v>453</v>
      </c>
      <c r="J115" s="228">
        <v>27</v>
      </c>
    </row>
    <row r="116" spans="1:10" ht="27.75" customHeight="1" x14ac:dyDescent="0.2">
      <c r="A116" s="317">
        <v>114</v>
      </c>
      <c r="B116" s="332" t="s">
        <v>128</v>
      </c>
      <c r="C116" s="228" t="str">
        <f t="shared" ca="1" si="0"/>
        <v>3DA+6</v>
      </c>
      <c r="D116" s="228" t="str">
        <f ca="1">VLOOKUP(B116,$C$9:$E$255,3,FALSE)</f>
        <v xml:space="preserve">WBC </v>
      </c>
      <c r="E116" s="333">
        <v>45729</v>
      </c>
      <c r="F116" s="231">
        <v>43.08</v>
      </c>
      <c r="G116" s="512" t="s">
        <v>172</v>
      </c>
      <c r="H116" s="333">
        <v>45743</v>
      </c>
      <c r="I116" s="228" t="s">
        <v>443</v>
      </c>
      <c r="J116" s="228">
        <v>25</v>
      </c>
    </row>
    <row r="117" spans="1:10" ht="27.75" customHeight="1" x14ac:dyDescent="0.2">
      <c r="A117" s="317">
        <v>115</v>
      </c>
      <c r="B117" s="332" t="s">
        <v>367</v>
      </c>
      <c r="C117" s="228" t="str">
        <f t="shared" ca="1" si="0"/>
        <v>3DA+3</v>
      </c>
      <c r="D117" s="228" t="str">
        <f ca="1">VLOOKUP(B117,$C$9:$E$255,3,FALSE)</f>
        <v>DFR</v>
      </c>
      <c r="E117" s="333">
        <v>45739</v>
      </c>
      <c r="F117" s="231">
        <v>37.93</v>
      </c>
      <c r="G117" s="512" t="s">
        <v>172</v>
      </c>
      <c r="H117" s="333">
        <v>45743</v>
      </c>
      <c r="I117" s="228" t="s">
        <v>476</v>
      </c>
      <c r="J117" s="228">
        <v>25</v>
      </c>
    </row>
    <row r="118" spans="1:10" ht="27.75" customHeight="1" x14ac:dyDescent="0.2">
      <c r="A118" s="317">
        <v>116</v>
      </c>
      <c r="B118" s="332" t="s">
        <v>303</v>
      </c>
      <c r="C118" s="228" t="str">
        <f ca="1">VLOOKUP(B118,$C$9:$D$222,2,FALSE)</f>
        <v>3DA+3</v>
      </c>
      <c r="D118" s="228" t="str">
        <f ca="1">VLOOKUP(B118,$C$9:$E$255,3,FALSE)</f>
        <v xml:space="preserve">WET </v>
      </c>
      <c r="E118" s="333">
        <v>45743</v>
      </c>
      <c r="F118" s="231">
        <v>37.93</v>
      </c>
      <c r="G118" s="512" t="s">
        <v>172</v>
      </c>
      <c r="H118" s="333">
        <v>45745</v>
      </c>
      <c r="I118" s="228" t="s">
        <v>453</v>
      </c>
      <c r="J118" s="228">
        <v>27</v>
      </c>
    </row>
    <row r="119" spans="1:10" ht="27.75" customHeight="1" x14ac:dyDescent="0.2">
      <c r="A119" s="317">
        <v>117</v>
      </c>
      <c r="B119" s="332" t="s">
        <v>496</v>
      </c>
      <c r="C119" s="228" t="str">
        <f ca="1">VLOOKUP(B119,$C$9:$D$222,2,FALSE)</f>
        <v>3DA+0</v>
      </c>
      <c r="D119" s="228" t="str">
        <f ca="1">VLOOKUP(B119,$C$9:$E$255,3,FALSE)</f>
        <v>WFR</v>
      </c>
      <c r="E119" s="333">
        <v>45740</v>
      </c>
      <c r="F119" s="231">
        <v>36.369999999999997</v>
      </c>
      <c r="G119" s="512" t="s">
        <v>172</v>
      </c>
      <c r="H119" s="333">
        <v>45745</v>
      </c>
      <c r="I119" s="228" t="s">
        <v>658</v>
      </c>
      <c r="J119" s="228">
        <v>25</v>
      </c>
    </row>
    <row r="120" spans="1:10" ht="27.75" customHeight="1" x14ac:dyDescent="0.2">
      <c r="A120" s="317">
        <v>118</v>
      </c>
      <c r="B120" s="332" t="s">
        <v>382</v>
      </c>
      <c r="C120" s="228" t="str">
        <f t="shared" ca="1" si="0"/>
        <v>3DA+3</v>
      </c>
      <c r="D120" s="228" t="s">
        <v>30</v>
      </c>
      <c r="E120" s="333">
        <v>45717</v>
      </c>
      <c r="F120" s="231">
        <v>37.93</v>
      </c>
      <c r="G120" s="512" t="s">
        <v>172</v>
      </c>
      <c r="H120" s="333">
        <v>45746</v>
      </c>
      <c r="I120" s="228" t="s">
        <v>659</v>
      </c>
      <c r="J120" s="228">
        <v>27</v>
      </c>
    </row>
    <row r="121" spans="1:10" ht="27.75" customHeight="1" x14ac:dyDescent="0.2">
      <c r="A121" s="317">
        <v>119</v>
      </c>
      <c r="B121" s="332" t="s">
        <v>368</v>
      </c>
      <c r="C121" s="228" t="str">
        <f t="shared" ca="1" si="0"/>
        <v>3DA+6</v>
      </c>
      <c r="D121" s="228" t="str">
        <f t="shared" ref="D121:D151" ca="1" si="1">VLOOKUP(B121,$C$9:$E$255,3,FALSE)</f>
        <v>DFR</v>
      </c>
      <c r="E121" s="333">
        <v>45744</v>
      </c>
      <c r="F121" s="231">
        <v>43.08</v>
      </c>
      <c r="G121" s="512" t="s">
        <v>172</v>
      </c>
      <c r="H121" s="333">
        <v>45748</v>
      </c>
      <c r="I121" s="228" t="s">
        <v>476</v>
      </c>
      <c r="J121" s="228">
        <v>27</v>
      </c>
    </row>
    <row r="122" spans="1:10" ht="27.75" customHeight="1" x14ac:dyDescent="0.2">
      <c r="A122" s="317">
        <v>120</v>
      </c>
      <c r="B122" s="332" t="s">
        <v>305</v>
      </c>
      <c r="C122" s="228" t="str">
        <f t="shared" ca="1" si="0"/>
        <v>3DA+3</v>
      </c>
      <c r="D122" s="228" t="str">
        <f t="shared" ca="1" si="1"/>
        <v xml:space="preserve">WBC </v>
      </c>
      <c r="E122" s="333">
        <v>45745</v>
      </c>
      <c r="F122" s="231">
        <v>37.93</v>
      </c>
      <c r="G122" s="512" t="s">
        <v>172</v>
      </c>
      <c r="H122" s="333">
        <v>45749</v>
      </c>
      <c r="I122" s="228" t="s">
        <v>453</v>
      </c>
      <c r="J122" s="228">
        <v>27</v>
      </c>
    </row>
    <row r="123" spans="1:10" ht="27.75" customHeight="1" x14ac:dyDescent="0.2">
      <c r="A123" s="317">
        <v>121</v>
      </c>
      <c r="B123" s="332" t="s">
        <v>393</v>
      </c>
      <c r="C123" s="228" t="str">
        <f t="shared" ca="1" si="0"/>
        <v>3DA+0</v>
      </c>
      <c r="D123" s="228" t="str">
        <f t="shared" ca="1" si="1"/>
        <v>DFR</v>
      </c>
      <c r="E123" s="333">
        <v>45745</v>
      </c>
      <c r="F123" s="231">
        <v>36.369999999999997</v>
      </c>
      <c r="G123" s="512" t="s">
        <v>172</v>
      </c>
      <c r="H123" s="333">
        <v>45751</v>
      </c>
      <c r="I123" s="228" t="s">
        <v>658</v>
      </c>
      <c r="J123" s="228">
        <v>25</v>
      </c>
    </row>
    <row r="124" spans="1:10" ht="27.75" customHeight="1" x14ac:dyDescent="0.2">
      <c r="A124" s="317">
        <v>122</v>
      </c>
      <c r="B124" s="332" t="s">
        <v>380</v>
      </c>
      <c r="C124" s="228" t="str">
        <f t="shared" ca="1" si="0"/>
        <v>3DA+0</v>
      </c>
      <c r="D124" s="228" t="str">
        <f t="shared" ca="1" si="1"/>
        <v>DFR</v>
      </c>
      <c r="E124" s="333">
        <v>45746</v>
      </c>
      <c r="F124" s="231">
        <v>36.369999999999997</v>
      </c>
      <c r="G124" s="512" t="s">
        <v>172</v>
      </c>
      <c r="H124" s="333">
        <v>45752</v>
      </c>
      <c r="I124" s="228" t="s">
        <v>659</v>
      </c>
      <c r="J124" s="228">
        <v>25</v>
      </c>
    </row>
    <row r="125" spans="1:10" ht="27.75" customHeight="1" x14ac:dyDescent="0.2">
      <c r="A125" s="317">
        <v>123</v>
      </c>
      <c r="B125" s="332" t="s">
        <v>369</v>
      </c>
      <c r="C125" s="228" t="str">
        <f t="shared" ca="1" si="0"/>
        <v>3DD45+6</v>
      </c>
      <c r="D125" s="228" t="str">
        <f t="shared" ca="1" si="1"/>
        <v>WFR</v>
      </c>
      <c r="E125" s="333">
        <v>45749</v>
      </c>
      <c r="F125" s="231">
        <v>84.248000000000005</v>
      </c>
      <c r="G125" s="512" t="s">
        <v>172</v>
      </c>
      <c r="H125" s="333">
        <v>45756</v>
      </c>
      <c r="I125" s="228" t="s">
        <v>476</v>
      </c>
      <c r="J125" s="228">
        <v>25</v>
      </c>
    </row>
    <row r="126" spans="1:10" ht="27.75" customHeight="1" x14ac:dyDescent="0.2">
      <c r="A126" s="317">
        <v>124</v>
      </c>
      <c r="B126" s="332" t="s">
        <v>306</v>
      </c>
      <c r="C126" s="228" t="str">
        <f t="shared" ca="1" si="0"/>
        <v xml:space="preserve">3DD45+0 </v>
      </c>
      <c r="D126" s="228" t="str">
        <f t="shared" ca="1" si="1"/>
        <v>WET</v>
      </c>
      <c r="E126" s="333">
        <v>45750</v>
      </c>
      <c r="F126" s="231">
        <v>72.721000000000004</v>
      </c>
      <c r="G126" s="512" t="s">
        <v>172</v>
      </c>
      <c r="H126" s="333">
        <v>45757</v>
      </c>
      <c r="I126" s="228" t="s">
        <v>453</v>
      </c>
      <c r="J126" s="228">
        <v>27</v>
      </c>
    </row>
    <row r="127" spans="1:10" ht="27.75" customHeight="1" x14ac:dyDescent="0.2">
      <c r="A127" s="317">
        <v>125</v>
      </c>
      <c r="B127" s="332" t="s">
        <v>328</v>
      </c>
      <c r="C127" s="228" t="str">
        <f t="shared" ca="1" si="0"/>
        <v>3DA+6</v>
      </c>
      <c r="D127" s="228" t="str">
        <f t="shared" ca="1" si="1"/>
        <v xml:space="preserve">WBC </v>
      </c>
      <c r="E127" s="333">
        <v>45744</v>
      </c>
      <c r="F127" s="231">
        <v>43.08</v>
      </c>
      <c r="G127" s="512" t="s">
        <v>172</v>
      </c>
      <c r="H127" s="333">
        <v>45758</v>
      </c>
      <c r="I127" s="228" t="s">
        <v>443</v>
      </c>
      <c r="J127" s="228">
        <v>27</v>
      </c>
    </row>
    <row r="128" spans="1:10" ht="27.75" customHeight="1" x14ac:dyDescent="0.2">
      <c r="A128" s="317">
        <v>126</v>
      </c>
      <c r="B128" s="332" t="s">
        <v>381</v>
      </c>
      <c r="C128" s="228" t="str">
        <f t="shared" ca="1" si="0"/>
        <v>3DA+3</v>
      </c>
      <c r="D128" s="228" t="str">
        <f t="shared" ca="1" si="1"/>
        <v>DFR</v>
      </c>
      <c r="E128" s="333">
        <v>45753</v>
      </c>
      <c r="F128" s="231">
        <v>37.93</v>
      </c>
      <c r="G128" s="512" t="s">
        <v>172</v>
      </c>
      <c r="H128" s="333">
        <v>45760</v>
      </c>
      <c r="I128" s="228" t="s">
        <v>659</v>
      </c>
      <c r="J128" s="228">
        <v>25</v>
      </c>
    </row>
    <row r="129" spans="1:10" ht="27.75" customHeight="1" x14ac:dyDescent="0.2">
      <c r="A129" s="317">
        <v>127</v>
      </c>
      <c r="B129" s="332" t="s">
        <v>500</v>
      </c>
      <c r="C129" s="228" t="str">
        <f t="shared" ca="1" si="0"/>
        <v>3DA+6</v>
      </c>
      <c r="D129" s="228" t="str">
        <f t="shared" ca="1" si="1"/>
        <v>DFR</v>
      </c>
      <c r="E129" s="333">
        <v>45757</v>
      </c>
      <c r="F129" s="231">
        <v>43.08</v>
      </c>
      <c r="G129" s="512" t="s">
        <v>172</v>
      </c>
      <c r="H129" s="333">
        <v>45761</v>
      </c>
      <c r="I129" s="228" t="s">
        <v>476</v>
      </c>
      <c r="J129" s="228">
        <v>27</v>
      </c>
    </row>
    <row r="130" spans="1:10" ht="27.75" customHeight="1" x14ac:dyDescent="0.2">
      <c r="A130" s="317">
        <v>128</v>
      </c>
      <c r="B130" s="332" t="s">
        <v>307</v>
      </c>
      <c r="C130" s="228" t="str">
        <f t="shared" ca="1" si="0"/>
        <v>3DA+0</v>
      </c>
      <c r="D130" s="228" t="str">
        <f t="shared" ca="1" si="1"/>
        <v>WET</v>
      </c>
      <c r="E130" s="333">
        <v>45758</v>
      </c>
      <c r="F130" s="231">
        <v>36.369999999999997</v>
      </c>
      <c r="G130" s="512" t="s">
        <v>172</v>
      </c>
      <c r="H130" s="333">
        <v>45762</v>
      </c>
      <c r="I130" s="228" t="s">
        <v>453</v>
      </c>
      <c r="J130" s="228">
        <v>27</v>
      </c>
    </row>
    <row r="131" spans="1:10" ht="27.75" customHeight="1" x14ac:dyDescent="0.2">
      <c r="A131" s="317">
        <v>129</v>
      </c>
      <c r="B131" s="332" t="s">
        <v>395</v>
      </c>
      <c r="C131" s="228" t="str">
        <f t="shared" ca="1" si="0"/>
        <v xml:space="preserve">3DC1+0 </v>
      </c>
      <c r="D131" s="228" t="str">
        <f t="shared" ca="1" si="1"/>
        <v>DFR</v>
      </c>
      <c r="E131" s="333">
        <v>45752</v>
      </c>
      <c r="F131" s="231">
        <v>62.54</v>
      </c>
      <c r="G131" s="512" t="s">
        <v>172</v>
      </c>
      <c r="H131" s="333">
        <v>45764</v>
      </c>
      <c r="I131" s="228" t="s">
        <v>658</v>
      </c>
      <c r="J131" s="228">
        <v>27</v>
      </c>
    </row>
    <row r="132" spans="1:10" ht="27.75" customHeight="1" x14ac:dyDescent="0.2">
      <c r="A132" s="317">
        <v>130</v>
      </c>
      <c r="B132" s="332" t="s">
        <v>378</v>
      </c>
      <c r="C132" s="228" t="str">
        <f ca="1">VLOOKUP(B132,$C$9:$D$222,2,FALSE)</f>
        <v>3DA+0</v>
      </c>
      <c r="D132" s="228" t="str">
        <f t="shared" ca="1" si="1"/>
        <v>DFR</v>
      </c>
      <c r="E132" s="333">
        <v>45762</v>
      </c>
      <c r="F132" s="231">
        <v>36.369999999999997</v>
      </c>
      <c r="G132" s="512" t="s">
        <v>172</v>
      </c>
      <c r="H132" s="333">
        <v>45765</v>
      </c>
      <c r="I132" s="228" t="s">
        <v>476</v>
      </c>
      <c r="J132" s="228">
        <v>25</v>
      </c>
    </row>
    <row r="133" spans="1:10" ht="27.75" customHeight="1" x14ac:dyDescent="0.2">
      <c r="A133" s="317">
        <v>131</v>
      </c>
      <c r="B133" s="332" t="s">
        <v>310</v>
      </c>
      <c r="C133" s="228" t="str">
        <f t="shared" ca="1" si="0"/>
        <v>3DA+3</v>
      </c>
      <c r="D133" s="228" t="str">
        <f t="shared" ca="1" si="1"/>
        <v>WET</v>
      </c>
      <c r="E133" s="333">
        <v>45763</v>
      </c>
      <c r="F133" s="231">
        <v>37.93</v>
      </c>
      <c r="G133" s="512" t="s">
        <v>172</v>
      </c>
      <c r="H133" s="333">
        <v>45766</v>
      </c>
      <c r="I133" s="228" t="s">
        <v>453</v>
      </c>
      <c r="J133" s="228">
        <v>25</v>
      </c>
    </row>
    <row r="134" spans="1:10" ht="27.75" customHeight="1" x14ac:dyDescent="0.2">
      <c r="A134" s="317">
        <v>132</v>
      </c>
      <c r="B134" s="332" t="s">
        <v>311</v>
      </c>
      <c r="C134" s="228" t="str">
        <f t="shared" ca="1" si="0"/>
        <v>3DA+0</v>
      </c>
      <c r="D134" s="228" t="str">
        <f t="shared" ca="1" si="1"/>
        <v>WET</v>
      </c>
      <c r="E134" s="333">
        <v>45766</v>
      </c>
      <c r="F134" s="231">
        <v>36.369999999999997</v>
      </c>
      <c r="G134" s="512" t="s">
        <v>172</v>
      </c>
      <c r="H134" s="333">
        <v>45768</v>
      </c>
      <c r="I134" s="228" t="s">
        <v>453</v>
      </c>
      <c r="J134" s="228">
        <v>25</v>
      </c>
    </row>
    <row r="135" spans="1:10" ht="27.75" customHeight="1" x14ac:dyDescent="0.2">
      <c r="A135" s="317">
        <v>133</v>
      </c>
      <c r="B135" s="332" t="s">
        <v>384</v>
      </c>
      <c r="C135" s="228" t="str">
        <f t="shared" ca="1" si="0"/>
        <v>3DA+0</v>
      </c>
      <c r="D135" s="228" t="str">
        <f t="shared" ca="1" si="1"/>
        <v>DFR</v>
      </c>
      <c r="E135" s="333">
        <v>45761</v>
      </c>
      <c r="F135" s="231">
        <v>36.369999999999997</v>
      </c>
      <c r="G135" s="512" t="s">
        <v>172</v>
      </c>
      <c r="H135" s="333">
        <v>45768</v>
      </c>
      <c r="I135" s="228" t="s">
        <v>659</v>
      </c>
      <c r="J135" s="228">
        <v>27</v>
      </c>
    </row>
    <row r="136" spans="1:10" ht="27.75" customHeight="1" x14ac:dyDescent="0.2">
      <c r="A136" s="317">
        <v>134</v>
      </c>
      <c r="B136" s="332" t="s">
        <v>343</v>
      </c>
      <c r="C136" s="228" t="str">
        <f t="shared" ca="1" si="0"/>
        <v>3DC1+0</v>
      </c>
      <c r="D136" s="228" t="str">
        <f t="shared" ca="1" si="1"/>
        <v>DFR</v>
      </c>
      <c r="E136" s="333">
        <v>45766</v>
      </c>
      <c r="F136" s="231">
        <v>62.54</v>
      </c>
      <c r="G136" s="512" t="s">
        <v>172</v>
      </c>
      <c r="H136" s="333">
        <v>45770</v>
      </c>
      <c r="I136" s="228" t="s">
        <v>476</v>
      </c>
      <c r="J136" s="228">
        <v>28</v>
      </c>
    </row>
    <row r="137" spans="1:10" ht="27.75" customHeight="1" x14ac:dyDescent="0.2">
      <c r="A137" s="317">
        <v>135</v>
      </c>
      <c r="B137" s="332" t="s">
        <v>392</v>
      </c>
      <c r="C137" s="228" t="str">
        <f t="shared" ca="1" si="0"/>
        <v>3DA+6</v>
      </c>
      <c r="D137" s="228" t="str">
        <f t="shared" ca="1" si="1"/>
        <v>DFR</v>
      </c>
      <c r="E137" s="333">
        <v>45765</v>
      </c>
      <c r="F137" s="231">
        <v>43.08</v>
      </c>
      <c r="G137" s="512" t="s">
        <v>172</v>
      </c>
      <c r="H137" s="333">
        <v>45770</v>
      </c>
      <c r="I137" s="228" t="s">
        <v>658</v>
      </c>
      <c r="J137" s="228">
        <v>29</v>
      </c>
    </row>
    <row r="138" spans="1:10" ht="27.75" customHeight="1" x14ac:dyDescent="0.2">
      <c r="A138" s="317">
        <v>136</v>
      </c>
      <c r="B138" s="332" t="s">
        <v>312</v>
      </c>
      <c r="C138" s="228" t="str">
        <f t="shared" ca="1" si="0"/>
        <v>3DA+0</v>
      </c>
      <c r="D138" s="228" t="str">
        <f t="shared" ca="1" si="1"/>
        <v>WET</v>
      </c>
      <c r="E138" s="333">
        <v>45769</v>
      </c>
      <c r="F138" s="231">
        <v>36.369999999999997</v>
      </c>
      <c r="G138" s="512" t="s">
        <v>172</v>
      </c>
      <c r="H138" s="333">
        <v>45771</v>
      </c>
      <c r="I138" s="228" t="s">
        <v>453</v>
      </c>
      <c r="J138" s="228">
        <v>26</v>
      </c>
    </row>
    <row r="139" spans="1:10" ht="27.75" customHeight="1" x14ac:dyDescent="0.2">
      <c r="A139" s="317">
        <v>137</v>
      </c>
      <c r="B139" s="332" t="s">
        <v>322</v>
      </c>
      <c r="C139" s="228" t="str">
        <f t="shared" ca="1" si="0"/>
        <v>3DA+6</v>
      </c>
      <c r="D139" s="228" t="str">
        <f t="shared" ca="1" si="1"/>
        <v>DFR</v>
      </c>
      <c r="E139" s="333">
        <v>45759</v>
      </c>
      <c r="F139" s="231">
        <v>43.08</v>
      </c>
      <c r="G139" s="512" t="s">
        <v>172</v>
      </c>
      <c r="H139" s="333">
        <v>45773</v>
      </c>
      <c r="I139" s="228" t="s">
        <v>443</v>
      </c>
      <c r="J139" s="228">
        <v>27</v>
      </c>
    </row>
    <row r="140" spans="1:10" ht="27.75" customHeight="1" x14ac:dyDescent="0.2">
      <c r="A140" s="317">
        <v>138</v>
      </c>
      <c r="B140" s="332" t="s">
        <v>383</v>
      </c>
      <c r="C140" s="228" t="str">
        <f t="shared" ca="1" si="0"/>
        <v>3DA+3</v>
      </c>
      <c r="D140" s="228" t="str">
        <f t="shared" ca="1" si="1"/>
        <v>DFR</v>
      </c>
      <c r="E140" s="333">
        <v>45769</v>
      </c>
      <c r="F140" s="231">
        <v>37.93</v>
      </c>
      <c r="G140" s="512" t="s">
        <v>172</v>
      </c>
      <c r="H140" s="333">
        <v>45774</v>
      </c>
      <c r="I140" s="228" t="s">
        <v>659</v>
      </c>
      <c r="J140" s="228">
        <v>25</v>
      </c>
    </row>
    <row r="141" spans="1:10" ht="27.75" customHeight="1" x14ac:dyDescent="0.2">
      <c r="A141" s="317">
        <v>139</v>
      </c>
      <c r="B141" s="332" t="s">
        <v>304</v>
      </c>
      <c r="C141" s="228" t="s">
        <v>29</v>
      </c>
      <c r="D141" s="228" t="str">
        <f t="shared" ca="1" si="1"/>
        <v xml:space="preserve">WBC </v>
      </c>
      <c r="E141" s="333">
        <v>45772</v>
      </c>
      <c r="F141" s="231">
        <v>36.369999999999997</v>
      </c>
      <c r="G141" s="512" t="s">
        <v>172</v>
      </c>
      <c r="H141" s="333">
        <v>45774</v>
      </c>
      <c r="I141" s="228" t="s">
        <v>453</v>
      </c>
      <c r="J141" s="228">
        <v>27</v>
      </c>
    </row>
    <row r="142" spans="1:10" ht="27.75" customHeight="1" x14ac:dyDescent="0.2">
      <c r="A142" s="317">
        <v>140</v>
      </c>
      <c r="B142" s="332" t="s">
        <v>341</v>
      </c>
      <c r="C142" s="228" t="str">
        <f ca="1">VLOOKUP(B142,$C$9:$D$222,2,FALSE)</f>
        <v>3DC1+0</v>
      </c>
      <c r="D142" s="228" t="str">
        <f t="shared" ca="1" si="1"/>
        <v>DFR</v>
      </c>
      <c r="E142" s="333">
        <v>45771</v>
      </c>
      <c r="F142" s="231">
        <v>62.534999999999997</v>
      </c>
      <c r="G142" s="512" t="s">
        <v>172</v>
      </c>
      <c r="H142" s="333">
        <v>45775</v>
      </c>
      <c r="I142" s="228" t="s">
        <v>476</v>
      </c>
      <c r="J142" s="228">
        <v>28</v>
      </c>
    </row>
    <row r="143" spans="1:10" ht="27.75" customHeight="1" x14ac:dyDescent="0.2">
      <c r="A143" s="317">
        <v>141</v>
      </c>
      <c r="B143" s="332" t="s">
        <v>390</v>
      </c>
      <c r="C143" s="228" t="str">
        <f ca="1">VLOOKUP(B143,$C$9:$D$222,2,FALSE)</f>
        <v>3DA+0</v>
      </c>
      <c r="D143" s="228" t="str">
        <f t="shared" ca="1" si="1"/>
        <v xml:space="preserve">DFR </v>
      </c>
      <c r="E143" s="333">
        <v>45771</v>
      </c>
      <c r="F143" s="231">
        <v>36.369999999999997</v>
      </c>
      <c r="G143" s="512" t="s">
        <v>172</v>
      </c>
      <c r="H143" s="333">
        <v>45777</v>
      </c>
      <c r="I143" s="228" t="s">
        <v>658</v>
      </c>
      <c r="J143" s="228">
        <v>29</v>
      </c>
    </row>
    <row r="144" spans="1:10" ht="27.75" customHeight="1" x14ac:dyDescent="0.2">
      <c r="A144" s="317">
        <v>142</v>
      </c>
      <c r="B144" s="332" t="s">
        <v>299</v>
      </c>
      <c r="C144" s="228" t="str">
        <f ca="1">VLOOKUP(B144,$C$9:$D$259,2,FALSE)</f>
        <v>3DA+0</v>
      </c>
      <c r="D144" s="228" t="str">
        <f t="shared" ca="1" si="1"/>
        <v>WET</v>
      </c>
      <c r="E144" s="333">
        <v>45775</v>
      </c>
      <c r="F144" s="231">
        <v>36.369999999999997</v>
      </c>
      <c r="G144" s="512" t="s">
        <v>172</v>
      </c>
      <c r="H144" s="333">
        <v>45777</v>
      </c>
      <c r="I144" s="228" t="s">
        <v>453</v>
      </c>
      <c r="J144" s="228">
        <v>28</v>
      </c>
    </row>
    <row r="145" spans="1:10" ht="27.75" customHeight="1" x14ac:dyDescent="0.2">
      <c r="A145" s="317">
        <v>143</v>
      </c>
      <c r="B145" s="332" t="s">
        <v>176</v>
      </c>
      <c r="C145" s="228" t="str">
        <f t="shared" ref="C145:C151" ca="1" si="2">VLOOKUP(B145,$C$9:$D$222,2,FALSE)</f>
        <v xml:space="preserve">3DA+3 </v>
      </c>
      <c r="D145" s="228" t="str">
        <f t="shared" ca="1" si="1"/>
        <v>DFR</v>
      </c>
      <c r="E145" s="333">
        <v>45776</v>
      </c>
      <c r="F145" s="231">
        <v>37.93</v>
      </c>
      <c r="G145" s="512" t="s">
        <v>172</v>
      </c>
      <c r="H145" s="333">
        <v>45779</v>
      </c>
      <c r="I145" s="228" t="s">
        <v>476</v>
      </c>
      <c r="J145" s="228">
        <v>25</v>
      </c>
    </row>
    <row r="146" spans="1:10" ht="27.75" customHeight="1" x14ac:dyDescent="0.2">
      <c r="A146" s="317">
        <v>144</v>
      </c>
      <c r="B146" s="332" t="s">
        <v>271</v>
      </c>
      <c r="C146" s="228" t="str">
        <f t="shared" ca="1" si="2"/>
        <v>3DA+3</v>
      </c>
      <c r="D146" s="228" t="str">
        <f t="shared" ca="1" si="1"/>
        <v>DFR</v>
      </c>
      <c r="E146" s="333">
        <v>45778</v>
      </c>
      <c r="F146" s="231">
        <v>37.93</v>
      </c>
      <c r="G146" s="512" t="s">
        <v>172</v>
      </c>
      <c r="H146" s="333">
        <v>45781</v>
      </c>
      <c r="I146" s="228" t="s">
        <v>453</v>
      </c>
      <c r="J146" s="228">
        <v>26</v>
      </c>
    </row>
    <row r="147" spans="1:10" ht="27.75" customHeight="1" x14ac:dyDescent="0.2">
      <c r="A147" s="317">
        <v>145</v>
      </c>
      <c r="B147" s="332" t="s">
        <v>397</v>
      </c>
      <c r="C147" s="228" t="str">
        <f t="shared" ca="1" si="2"/>
        <v>3DA+0</v>
      </c>
      <c r="D147" s="228" t="str">
        <f t="shared" ca="1" si="1"/>
        <v xml:space="preserve">DFR </v>
      </c>
      <c r="E147" s="333">
        <v>45779</v>
      </c>
      <c r="F147" s="231">
        <v>36.369999999999997</v>
      </c>
      <c r="G147" s="512" t="s">
        <v>172</v>
      </c>
      <c r="H147" s="333">
        <v>45782</v>
      </c>
      <c r="I147" s="228" t="s">
        <v>658</v>
      </c>
      <c r="J147" s="228">
        <v>26</v>
      </c>
    </row>
    <row r="148" spans="1:10" ht="27.75" customHeight="1" x14ac:dyDescent="0.2">
      <c r="A148" s="317">
        <v>146</v>
      </c>
      <c r="B148" s="332" t="s">
        <v>276</v>
      </c>
      <c r="C148" s="228" t="str">
        <f t="shared" ca="1" si="2"/>
        <v>3DA+0</v>
      </c>
      <c r="D148" s="228" t="str">
        <f t="shared" ca="1" si="1"/>
        <v xml:space="preserve">WBC </v>
      </c>
      <c r="E148" s="333">
        <v>45782</v>
      </c>
      <c r="F148" s="231">
        <v>36.369999999999997</v>
      </c>
      <c r="G148" s="512" t="s">
        <v>172</v>
      </c>
      <c r="H148" s="333">
        <v>45783</v>
      </c>
      <c r="I148" s="228" t="s">
        <v>453</v>
      </c>
      <c r="J148" s="228">
        <v>26</v>
      </c>
    </row>
    <row r="149" spans="1:10" ht="27.75" customHeight="1" x14ac:dyDescent="0.2">
      <c r="A149" s="317">
        <v>147</v>
      </c>
      <c r="B149" s="332" t="s">
        <v>333</v>
      </c>
      <c r="C149" s="228" t="str">
        <f t="shared" ca="1" si="2"/>
        <v xml:space="preserve">3DD45+0 </v>
      </c>
      <c r="D149" s="228" t="str">
        <f t="shared" ca="1" si="1"/>
        <v xml:space="preserve">DFR </v>
      </c>
      <c r="E149" s="333">
        <v>45780</v>
      </c>
      <c r="F149" s="231">
        <v>72.72</v>
      </c>
      <c r="G149" s="512" t="s">
        <v>172</v>
      </c>
      <c r="H149" s="333">
        <v>45785</v>
      </c>
      <c r="I149" s="228" t="s">
        <v>476</v>
      </c>
      <c r="J149" s="228">
        <v>25</v>
      </c>
    </row>
    <row r="150" spans="1:10" ht="27.75" customHeight="1" x14ac:dyDescent="0.2">
      <c r="A150" s="317">
        <v>148</v>
      </c>
      <c r="B150" s="332" t="s">
        <v>321</v>
      </c>
      <c r="C150" s="228" t="str">
        <f t="shared" ca="1" si="2"/>
        <v xml:space="preserve">3DA+3 </v>
      </c>
      <c r="D150" s="228" t="str">
        <f t="shared" ca="1" si="1"/>
        <v>WET</v>
      </c>
      <c r="E150" s="333">
        <v>45774</v>
      </c>
      <c r="F150" s="231">
        <v>37.93</v>
      </c>
      <c r="G150" s="512" t="s">
        <v>172</v>
      </c>
      <c r="H150" s="333">
        <v>45786</v>
      </c>
      <c r="I150" s="228" t="s">
        <v>443</v>
      </c>
      <c r="J150" s="228">
        <v>27</v>
      </c>
    </row>
    <row r="151" spans="1:10" ht="27.75" customHeight="1" x14ac:dyDescent="0.2">
      <c r="A151" s="317">
        <v>149</v>
      </c>
      <c r="B151" s="332" t="s">
        <v>273</v>
      </c>
      <c r="C151" s="228" t="str">
        <f t="shared" ca="1" si="2"/>
        <v>3DA+6</v>
      </c>
      <c r="D151" s="228" t="str">
        <f t="shared" ca="1" si="1"/>
        <v>DFR</v>
      </c>
      <c r="E151" s="333">
        <v>45784</v>
      </c>
      <c r="F151" s="231">
        <v>43.08</v>
      </c>
      <c r="G151" s="512" t="s">
        <v>172</v>
      </c>
      <c r="H151" s="333">
        <v>45787</v>
      </c>
      <c r="I151" s="228" t="s">
        <v>453</v>
      </c>
      <c r="J151" s="228">
        <v>28</v>
      </c>
    </row>
    <row r="152" spans="1:10" ht="27.75" customHeight="1" x14ac:dyDescent="0.2">
      <c r="A152" s="317">
        <v>150</v>
      </c>
      <c r="B152" s="332" t="s">
        <v>391</v>
      </c>
      <c r="C152" s="228" t="s">
        <v>29</v>
      </c>
      <c r="D152" s="228" t="s">
        <v>30</v>
      </c>
      <c r="E152" s="333">
        <v>45783</v>
      </c>
      <c r="F152" s="231">
        <v>36.369999999999997</v>
      </c>
      <c r="G152" s="512" t="s">
        <v>172</v>
      </c>
      <c r="H152" s="333">
        <v>45787</v>
      </c>
      <c r="I152" s="228" t="s">
        <v>708</v>
      </c>
      <c r="J152" s="228">
        <v>29</v>
      </c>
    </row>
    <row r="153" spans="1:10" ht="27.75" customHeight="1" x14ac:dyDescent="0.2">
      <c r="A153" s="317">
        <v>151</v>
      </c>
      <c r="B153" s="332" t="s">
        <v>268</v>
      </c>
      <c r="C153" s="228" t="s">
        <v>34</v>
      </c>
      <c r="D153" s="228" t="s">
        <v>30</v>
      </c>
      <c r="E153" s="333">
        <v>45787</v>
      </c>
      <c r="F153" s="231">
        <v>37.93</v>
      </c>
      <c r="G153" s="512" t="s">
        <v>172</v>
      </c>
      <c r="H153" s="333">
        <v>45790</v>
      </c>
      <c r="I153" s="228" t="s">
        <v>453</v>
      </c>
      <c r="J153" s="228">
        <v>25</v>
      </c>
    </row>
    <row r="154" spans="1:10" ht="27.75" customHeight="1" x14ac:dyDescent="0.2">
      <c r="A154" s="317">
        <v>152</v>
      </c>
      <c r="B154" s="332" t="s">
        <v>331</v>
      </c>
      <c r="C154" s="228" t="s">
        <v>135</v>
      </c>
      <c r="D154" s="228" t="s">
        <v>30</v>
      </c>
      <c r="E154" s="333">
        <v>45787</v>
      </c>
      <c r="F154" s="231">
        <v>54.66</v>
      </c>
      <c r="G154" s="512" t="s">
        <v>172</v>
      </c>
      <c r="H154" s="333">
        <v>45791</v>
      </c>
      <c r="I154" s="228" t="s">
        <v>476</v>
      </c>
      <c r="J154" s="228">
        <v>29</v>
      </c>
    </row>
    <row r="155" spans="1:10" ht="27.75" customHeight="1" x14ac:dyDescent="0.2">
      <c r="A155" s="317">
        <v>153</v>
      </c>
      <c r="B155" s="332" t="s">
        <v>394</v>
      </c>
      <c r="C155" s="228" t="s">
        <v>29</v>
      </c>
      <c r="D155" s="228" t="s">
        <v>30</v>
      </c>
      <c r="E155" s="333">
        <v>45788</v>
      </c>
      <c r="F155" s="231">
        <v>36.369999999999997</v>
      </c>
      <c r="G155" s="512" t="s">
        <v>172</v>
      </c>
      <c r="H155" s="333">
        <v>45793</v>
      </c>
      <c r="I155" s="228" t="s">
        <v>708</v>
      </c>
      <c r="J155" s="228">
        <v>28</v>
      </c>
    </row>
    <row r="156" spans="1:10" ht="27.75" customHeight="1" x14ac:dyDescent="0.2">
      <c r="A156" s="317">
        <v>154</v>
      </c>
      <c r="B156" s="332" t="s">
        <v>266</v>
      </c>
      <c r="C156" s="228" t="s">
        <v>29</v>
      </c>
      <c r="D156" s="228" t="s">
        <v>337</v>
      </c>
      <c r="E156" s="333">
        <v>45791</v>
      </c>
      <c r="F156" s="231">
        <v>36.369999999999997</v>
      </c>
      <c r="G156" s="512" t="s">
        <v>172</v>
      </c>
      <c r="H156" s="333">
        <v>45794</v>
      </c>
      <c r="I156" s="228" t="s">
        <v>453</v>
      </c>
      <c r="J156" s="228">
        <v>30</v>
      </c>
    </row>
    <row r="157" spans="1:10" ht="27.75" customHeight="1" x14ac:dyDescent="0.2">
      <c r="A157" s="317">
        <v>155</v>
      </c>
      <c r="B157" s="332" t="s">
        <v>265</v>
      </c>
      <c r="C157" s="228" t="s">
        <v>34</v>
      </c>
      <c r="D157" s="228" t="s">
        <v>337</v>
      </c>
      <c r="E157" s="333">
        <v>45795</v>
      </c>
      <c r="F157" s="231">
        <v>37.93</v>
      </c>
      <c r="G157" s="512" t="s">
        <v>172</v>
      </c>
      <c r="H157" s="333">
        <v>45797</v>
      </c>
      <c r="I157" s="228" t="s">
        <v>453</v>
      </c>
      <c r="J157" s="228">
        <v>28</v>
      </c>
    </row>
    <row r="158" spans="1:10" ht="27.75" customHeight="1" x14ac:dyDescent="0.2">
      <c r="A158" s="317">
        <v>156</v>
      </c>
      <c r="B158" s="332" t="s">
        <v>327</v>
      </c>
      <c r="C158" s="228" t="s">
        <v>502</v>
      </c>
      <c r="D158" s="228" t="s">
        <v>462</v>
      </c>
      <c r="E158" s="333">
        <v>45792</v>
      </c>
      <c r="F158" s="231">
        <v>72.72</v>
      </c>
      <c r="G158" s="512" t="s">
        <v>172</v>
      </c>
      <c r="H158" s="333">
        <v>45799</v>
      </c>
      <c r="I158" s="228" t="s">
        <v>476</v>
      </c>
      <c r="J158" s="228">
        <v>27</v>
      </c>
    </row>
    <row r="159" spans="1:10" ht="27.75" customHeight="1" x14ac:dyDescent="0.2">
      <c r="A159" s="317">
        <v>157</v>
      </c>
      <c r="B159" s="332" t="s">
        <v>385</v>
      </c>
      <c r="C159" s="228" t="str">
        <f ca="1">VLOOKUP(B159,$C$9:$D$222,2,FALSE)</f>
        <v>3DA+3</v>
      </c>
      <c r="D159" s="228" t="str">
        <f ca="1">VLOOKUP(B159,$C$9:$E$255,3,FALSE)</f>
        <v xml:space="preserve">DFR </v>
      </c>
      <c r="E159" s="333">
        <v>45788</v>
      </c>
      <c r="F159" s="231">
        <v>37.93</v>
      </c>
      <c r="G159" s="512" t="s">
        <v>172</v>
      </c>
      <c r="H159" s="333">
        <v>45801</v>
      </c>
      <c r="I159" s="228" t="s">
        <v>707</v>
      </c>
      <c r="J159" s="228">
        <v>28</v>
      </c>
    </row>
    <row r="160" spans="1:10" ht="27.75" customHeight="1" x14ac:dyDescent="0.2">
      <c r="A160" s="317">
        <v>158</v>
      </c>
      <c r="B160" s="332" t="s">
        <v>267</v>
      </c>
      <c r="C160" s="228" t="s">
        <v>34</v>
      </c>
      <c r="D160" s="228" t="s">
        <v>30</v>
      </c>
      <c r="E160" s="333">
        <v>45798</v>
      </c>
      <c r="F160" s="231">
        <v>37.93</v>
      </c>
      <c r="G160" s="512" t="s">
        <v>172</v>
      </c>
      <c r="H160" s="333">
        <v>45805</v>
      </c>
      <c r="I160" s="228" t="s">
        <v>453</v>
      </c>
      <c r="J160" s="228">
        <v>28</v>
      </c>
    </row>
    <row r="161" spans="1:10" ht="27.75" customHeight="1" x14ac:dyDescent="0.2">
      <c r="A161" s="317">
        <v>159</v>
      </c>
      <c r="B161" s="332" t="s">
        <v>376</v>
      </c>
      <c r="C161" s="228" t="str">
        <f ca="1">VLOOKUP(B161,$C$9:$D$222,2,FALSE)</f>
        <v>3DA+0</v>
      </c>
      <c r="D161" s="228" t="str">
        <f ca="1">VLOOKUP(B161,$C$9:$E$255,3,FALSE)</f>
        <v>DFR</v>
      </c>
      <c r="E161" s="333">
        <v>45785</v>
      </c>
      <c r="F161" s="231">
        <v>36.369999999999997</v>
      </c>
      <c r="G161" s="512" t="s">
        <v>172</v>
      </c>
      <c r="H161" s="333">
        <v>45808</v>
      </c>
      <c r="I161" s="228" t="s">
        <v>707</v>
      </c>
      <c r="J161" s="228">
        <v>25</v>
      </c>
    </row>
    <row r="162" spans="1:10" ht="27.75" customHeight="1" x14ac:dyDescent="0.2">
      <c r="A162" s="317">
        <v>160</v>
      </c>
      <c r="B162" s="332" t="s">
        <v>269</v>
      </c>
      <c r="C162" s="228" t="s">
        <v>34</v>
      </c>
      <c r="D162" s="228" t="s">
        <v>30</v>
      </c>
      <c r="E162" s="333">
        <v>45806</v>
      </c>
      <c r="F162" s="231">
        <v>37.93</v>
      </c>
      <c r="G162" s="512" t="s">
        <v>172</v>
      </c>
      <c r="H162" s="333">
        <v>45810</v>
      </c>
      <c r="I162" s="228" t="s">
        <v>453</v>
      </c>
      <c r="J162" s="228">
        <v>25</v>
      </c>
    </row>
    <row r="163" spans="1:10" ht="27.75" customHeight="1" x14ac:dyDescent="0.2">
      <c r="A163" s="317">
        <v>161</v>
      </c>
      <c r="B163" s="332" t="s">
        <v>319</v>
      </c>
      <c r="C163" s="228" t="str">
        <f ca="1">VLOOKUP(B163,$C$9:$D$222,2,FALSE)</f>
        <v xml:space="preserve">3DC1+0 </v>
      </c>
      <c r="D163" s="228" t="str">
        <f ca="1">VLOOKUP(B163,$C$9:$E$255,3,FALSE)</f>
        <v xml:space="preserve">WBC </v>
      </c>
      <c r="E163" s="333">
        <v>45787</v>
      </c>
      <c r="F163" s="231">
        <v>62.534999999999997</v>
      </c>
      <c r="G163" s="512" t="s">
        <v>172</v>
      </c>
      <c r="H163" s="333">
        <v>45812</v>
      </c>
      <c r="I163" s="228" t="s">
        <v>443</v>
      </c>
      <c r="J163" s="228">
        <v>28</v>
      </c>
    </row>
    <row r="164" spans="1:10" ht="27.75" customHeight="1" x14ac:dyDescent="0.2">
      <c r="A164" s="317">
        <v>162</v>
      </c>
      <c r="B164" s="332" t="s">
        <v>361</v>
      </c>
      <c r="C164" s="228" t="s">
        <v>732</v>
      </c>
      <c r="D164" s="228" t="s">
        <v>336</v>
      </c>
      <c r="E164" s="333">
        <v>45809</v>
      </c>
      <c r="F164" s="231">
        <v>34.945999999999998</v>
      </c>
      <c r="G164" s="512" t="s">
        <v>172</v>
      </c>
      <c r="H164" s="333">
        <v>45814</v>
      </c>
      <c r="I164" s="228" t="s">
        <v>707</v>
      </c>
      <c r="J164" s="228">
        <v>28</v>
      </c>
    </row>
    <row r="165" spans="1:10" ht="27.75" customHeight="1" x14ac:dyDescent="0.2">
      <c r="A165" s="317">
        <v>163</v>
      </c>
      <c r="B165" s="332" t="s">
        <v>350</v>
      </c>
      <c r="C165" s="228" t="s">
        <v>353</v>
      </c>
      <c r="D165" s="228" t="s">
        <v>30</v>
      </c>
      <c r="E165" s="333">
        <v>45811</v>
      </c>
      <c r="F165" s="231">
        <v>71.705693999999994</v>
      </c>
      <c r="G165" s="512" t="s">
        <v>172</v>
      </c>
      <c r="H165" s="333">
        <v>45819</v>
      </c>
      <c r="I165" s="228" t="s">
        <v>453</v>
      </c>
      <c r="J165" s="228">
        <v>30</v>
      </c>
    </row>
    <row r="166" spans="1:10" ht="27.75" customHeight="1" x14ac:dyDescent="0.2">
      <c r="A166" s="317">
        <v>164</v>
      </c>
      <c r="B166" s="332" t="s">
        <v>371</v>
      </c>
      <c r="C166" s="228" t="s">
        <v>285</v>
      </c>
      <c r="D166" s="228" t="s">
        <v>30</v>
      </c>
      <c r="E166" s="333">
        <v>45813</v>
      </c>
      <c r="F166" s="231">
        <v>34.945999999999998</v>
      </c>
      <c r="G166" s="512" t="s">
        <v>172</v>
      </c>
      <c r="H166" s="333">
        <v>45824</v>
      </c>
      <c r="I166" s="228" t="s">
        <v>707</v>
      </c>
      <c r="J166" s="228">
        <v>27</v>
      </c>
    </row>
    <row r="167" spans="1:10" ht="27.75" customHeight="1" x14ac:dyDescent="0.2">
      <c r="A167" s="317">
        <v>165</v>
      </c>
      <c r="B167" s="332" t="s">
        <v>349</v>
      </c>
      <c r="C167" s="228" t="s">
        <v>352</v>
      </c>
      <c r="D167" s="228" t="s">
        <v>30</v>
      </c>
      <c r="E167" s="333">
        <v>45814</v>
      </c>
      <c r="F167" s="231">
        <v>64.891000000000005</v>
      </c>
      <c r="G167" s="512" t="s">
        <v>172</v>
      </c>
      <c r="H167" s="333">
        <v>45826</v>
      </c>
      <c r="I167" s="228" t="s">
        <v>453</v>
      </c>
      <c r="J167" s="228">
        <v>28</v>
      </c>
    </row>
    <row r="168" spans="1:10" ht="27.75" customHeight="1" x14ac:dyDescent="0.2">
      <c r="A168" s="317">
        <v>166</v>
      </c>
      <c r="B168" s="332" t="s">
        <v>335</v>
      </c>
      <c r="C168" s="228" t="s">
        <v>285</v>
      </c>
      <c r="D168" s="228" t="s">
        <v>432</v>
      </c>
      <c r="E168" s="333">
        <v>45813</v>
      </c>
      <c r="F168" s="231">
        <v>34.945999999999998</v>
      </c>
      <c r="G168" s="512" t="s">
        <v>172</v>
      </c>
      <c r="H168" s="333">
        <v>45827</v>
      </c>
      <c r="I168" s="228" t="s">
        <v>443</v>
      </c>
      <c r="J168" s="228">
        <v>28</v>
      </c>
    </row>
    <row r="169" spans="1:10" ht="27.75" customHeight="1" x14ac:dyDescent="0.2">
      <c r="A169" s="317">
        <v>167</v>
      </c>
      <c r="B169" s="332" t="s">
        <v>270</v>
      </c>
      <c r="C169" s="228" t="s">
        <v>43</v>
      </c>
      <c r="D169" s="228" t="s">
        <v>30</v>
      </c>
      <c r="E169" s="333">
        <v>45827</v>
      </c>
      <c r="F169" s="231">
        <v>43.08</v>
      </c>
      <c r="G169" s="512" t="s">
        <v>172</v>
      </c>
      <c r="H169" s="333">
        <v>45832</v>
      </c>
      <c r="I169" s="228" t="s">
        <v>453</v>
      </c>
      <c r="J169" s="228">
        <v>25</v>
      </c>
    </row>
    <row r="170" spans="1:10" ht="27.75" customHeight="1" x14ac:dyDescent="0.2">
      <c r="A170" s="317">
        <v>168</v>
      </c>
      <c r="B170" s="332" t="s">
        <v>372</v>
      </c>
      <c r="C170" s="228" t="s">
        <v>275</v>
      </c>
      <c r="D170" s="228" t="s">
        <v>30</v>
      </c>
      <c r="E170" s="333">
        <v>45825</v>
      </c>
      <c r="F170" s="231">
        <v>62.534999999999997</v>
      </c>
      <c r="G170" s="512" t="s">
        <v>172</v>
      </c>
      <c r="H170" s="333">
        <v>45833</v>
      </c>
      <c r="I170" s="228" t="s">
        <v>707</v>
      </c>
      <c r="J170" s="228">
        <v>29</v>
      </c>
    </row>
    <row r="171" spans="1:10" ht="27.75" customHeight="1" x14ac:dyDescent="0.2">
      <c r="A171" s="317">
        <v>169</v>
      </c>
      <c r="B171" s="332" t="s">
        <v>277</v>
      </c>
      <c r="C171" s="228" t="s">
        <v>29</v>
      </c>
      <c r="D171" s="228" t="s">
        <v>463</v>
      </c>
      <c r="E171" s="333">
        <v>45833</v>
      </c>
      <c r="F171" s="231">
        <v>36.372</v>
      </c>
      <c r="G171" s="512" t="s">
        <v>172</v>
      </c>
      <c r="H171" s="333">
        <v>45836</v>
      </c>
      <c r="I171" s="228" t="s">
        <v>453</v>
      </c>
      <c r="J171" s="228">
        <v>28</v>
      </c>
    </row>
    <row r="172" spans="1:10" ht="27.75" customHeight="1" x14ac:dyDescent="0.2">
      <c r="A172" s="317">
        <v>170</v>
      </c>
      <c r="B172" s="332" t="s">
        <v>278</v>
      </c>
      <c r="C172" s="228" t="s">
        <v>285</v>
      </c>
      <c r="D172" s="228" t="s">
        <v>456</v>
      </c>
      <c r="E172" s="333">
        <v>45837</v>
      </c>
      <c r="F172" s="231">
        <v>34.945999999999998</v>
      </c>
      <c r="G172" s="512" t="s">
        <v>172</v>
      </c>
      <c r="H172" s="333">
        <v>45840</v>
      </c>
      <c r="I172" s="228" t="s">
        <v>453</v>
      </c>
      <c r="J172" s="228">
        <v>27</v>
      </c>
    </row>
    <row r="173" spans="1:10" ht="27.75" customHeight="1" x14ac:dyDescent="0.2">
      <c r="A173" s="317">
        <v>171</v>
      </c>
      <c r="B173" s="332" t="s">
        <v>301</v>
      </c>
      <c r="C173" s="228" t="s">
        <v>612</v>
      </c>
      <c r="D173" s="228" t="s">
        <v>462</v>
      </c>
      <c r="E173" s="333">
        <v>45832</v>
      </c>
      <c r="F173" s="231">
        <v>76.192999999999998</v>
      </c>
      <c r="G173" s="512" t="s">
        <v>172</v>
      </c>
      <c r="H173" s="333">
        <v>45842</v>
      </c>
      <c r="I173" s="228" t="s">
        <v>754</v>
      </c>
      <c r="J173" s="228">
        <v>30</v>
      </c>
    </row>
    <row r="174" spans="1:10" ht="27.75" customHeight="1" x14ac:dyDescent="0.2">
      <c r="A174" s="317">
        <v>172</v>
      </c>
      <c r="B174" s="332" t="s">
        <v>377</v>
      </c>
      <c r="C174" s="228" t="s">
        <v>29</v>
      </c>
      <c r="D174" s="228" t="s">
        <v>30</v>
      </c>
      <c r="E174" s="333">
        <v>45833</v>
      </c>
      <c r="F174" s="231">
        <v>36.372</v>
      </c>
      <c r="G174" s="512" t="s">
        <v>172</v>
      </c>
      <c r="H174" s="333">
        <v>45842</v>
      </c>
      <c r="I174" s="228" t="s">
        <v>707</v>
      </c>
      <c r="J174" s="228">
        <v>28</v>
      </c>
    </row>
    <row r="175" spans="1:10" ht="27.75" customHeight="1" x14ac:dyDescent="0.2">
      <c r="A175" s="317">
        <v>173</v>
      </c>
      <c r="B175" s="332" t="s">
        <v>406</v>
      </c>
      <c r="C175" s="228" t="s">
        <v>34</v>
      </c>
      <c r="D175" s="228" t="s">
        <v>30</v>
      </c>
      <c r="E175" s="333">
        <v>45832</v>
      </c>
      <c r="F175" s="231">
        <v>37.930999999999997</v>
      </c>
      <c r="G175" s="512" t="s">
        <v>172</v>
      </c>
      <c r="H175" s="333">
        <v>45843</v>
      </c>
      <c r="I175" s="228" t="s">
        <v>755</v>
      </c>
      <c r="J175" s="228">
        <v>27</v>
      </c>
    </row>
    <row r="176" spans="1:10" ht="27.75" customHeight="1" x14ac:dyDescent="0.2">
      <c r="A176" s="317">
        <v>174</v>
      </c>
      <c r="B176" s="332" t="s">
        <v>332</v>
      </c>
      <c r="C176" s="228" t="s">
        <v>131</v>
      </c>
      <c r="D176" s="228" t="s">
        <v>30</v>
      </c>
      <c r="E176" s="333">
        <v>45828</v>
      </c>
      <c r="F176" s="231">
        <v>54.66</v>
      </c>
      <c r="G176" s="512" t="s">
        <v>172</v>
      </c>
      <c r="H176" s="333">
        <v>45845</v>
      </c>
      <c r="I176" s="228" t="s">
        <v>443</v>
      </c>
      <c r="J176" s="228">
        <v>28</v>
      </c>
    </row>
    <row r="177" spans="1:10" ht="27.75" customHeight="1" x14ac:dyDescent="0.2">
      <c r="A177" s="317">
        <v>175</v>
      </c>
      <c r="B177" s="332" t="s">
        <v>264</v>
      </c>
      <c r="C177" s="228" t="s">
        <v>131</v>
      </c>
      <c r="D177" s="228" t="s">
        <v>30</v>
      </c>
      <c r="E177" s="333">
        <v>45841</v>
      </c>
      <c r="F177" s="231">
        <v>54.66</v>
      </c>
      <c r="G177" s="512" t="s">
        <v>172</v>
      </c>
      <c r="H177" s="333">
        <v>45845</v>
      </c>
      <c r="I177" s="228" t="s">
        <v>453</v>
      </c>
      <c r="J177" s="228">
        <v>28</v>
      </c>
    </row>
    <row r="178" spans="1:10" ht="27.75" customHeight="1" x14ac:dyDescent="0.2">
      <c r="A178" s="317">
        <v>176</v>
      </c>
      <c r="B178" s="332" t="s">
        <v>231</v>
      </c>
      <c r="C178" s="228" t="s">
        <v>206</v>
      </c>
      <c r="D178" s="228" t="s">
        <v>30</v>
      </c>
      <c r="E178" s="333">
        <v>45842</v>
      </c>
      <c r="F178" s="231">
        <v>31.99</v>
      </c>
      <c r="G178" s="512" t="s">
        <v>172</v>
      </c>
      <c r="H178" s="333">
        <v>45848</v>
      </c>
      <c r="I178" s="228" t="s">
        <v>471</v>
      </c>
      <c r="J178" s="228">
        <v>24</v>
      </c>
    </row>
    <row r="179" spans="1:10" ht="27.75" customHeight="1" x14ac:dyDescent="0.2">
      <c r="A179" s="317">
        <v>177</v>
      </c>
      <c r="B179" s="332" t="s">
        <v>262</v>
      </c>
      <c r="C179" s="228" t="s">
        <v>205</v>
      </c>
      <c r="D179" s="228" t="s">
        <v>337</v>
      </c>
      <c r="E179" s="333" t="s">
        <v>960</v>
      </c>
      <c r="F179" s="231">
        <v>33.380000000000003</v>
      </c>
      <c r="G179" s="512" t="s">
        <v>172</v>
      </c>
      <c r="H179" s="333">
        <v>45850</v>
      </c>
      <c r="I179" s="228" t="s">
        <v>453</v>
      </c>
      <c r="J179" s="228">
        <v>27</v>
      </c>
    </row>
    <row r="180" spans="1:10" ht="27.75" customHeight="1" x14ac:dyDescent="0.2">
      <c r="A180" s="317">
        <v>178</v>
      </c>
      <c r="B180" s="332" t="s">
        <v>405</v>
      </c>
      <c r="C180" s="228" t="s">
        <v>34</v>
      </c>
      <c r="D180" s="228" t="s">
        <v>337</v>
      </c>
      <c r="E180" s="333">
        <v>45844</v>
      </c>
      <c r="F180" s="231">
        <v>37.930999999999997</v>
      </c>
      <c r="G180" s="512" t="s">
        <v>172</v>
      </c>
      <c r="H180" s="333">
        <v>45850</v>
      </c>
      <c r="I180" s="228" t="s">
        <v>755</v>
      </c>
      <c r="J180" s="228">
        <v>24</v>
      </c>
    </row>
    <row r="181" spans="1:10" ht="27.75" customHeight="1" x14ac:dyDescent="0.2">
      <c r="A181" s="317">
        <v>179</v>
      </c>
      <c r="B181" s="332" t="s">
        <v>300</v>
      </c>
      <c r="C181" s="228" t="s">
        <v>309</v>
      </c>
      <c r="D181" s="228" t="s">
        <v>462</v>
      </c>
      <c r="E181" s="333" t="s">
        <v>961</v>
      </c>
      <c r="F181" s="231">
        <v>71.706000000000003</v>
      </c>
      <c r="G181" s="512" t="s">
        <v>172</v>
      </c>
      <c r="H181" s="333">
        <v>45851</v>
      </c>
      <c r="I181" s="228" t="s">
        <v>754</v>
      </c>
      <c r="J181" s="228">
        <v>26</v>
      </c>
    </row>
    <row r="182" spans="1:10" ht="27.75" customHeight="1" x14ac:dyDescent="0.2">
      <c r="A182" s="317">
        <v>180</v>
      </c>
      <c r="B182" s="332" t="s">
        <v>230</v>
      </c>
      <c r="C182" s="228" t="s">
        <v>206</v>
      </c>
      <c r="D182" s="228" t="s">
        <v>30</v>
      </c>
      <c r="E182" s="333">
        <v>45849</v>
      </c>
      <c r="F182" s="231">
        <v>31.99</v>
      </c>
      <c r="G182" s="512" t="s">
        <v>172</v>
      </c>
      <c r="H182" s="333">
        <v>45853</v>
      </c>
      <c r="I182" s="228" t="s">
        <v>471</v>
      </c>
      <c r="J182" s="228">
        <v>27</v>
      </c>
    </row>
    <row r="183" spans="1:10" ht="27.75" customHeight="1" x14ac:dyDescent="0.2">
      <c r="A183" s="317">
        <v>181</v>
      </c>
      <c r="B183" s="332" t="s">
        <v>374</v>
      </c>
      <c r="C183" s="228" t="s">
        <v>633</v>
      </c>
      <c r="D183" s="228" t="s">
        <v>30</v>
      </c>
      <c r="E183" s="333">
        <v>45843</v>
      </c>
      <c r="F183" s="231">
        <v>63.16</v>
      </c>
      <c r="G183" s="512" t="s">
        <v>172</v>
      </c>
      <c r="H183" s="333">
        <v>45854</v>
      </c>
      <c r="I183" s="228" t="s">
        <v>707</v>
      </c>
      <c r="J183" s="228">
        <v>25</v>
      </c>
    </row>
    <row r="184" spans="1:10" ht="27.75" customHeight="1" x14ac:dyDescent="0.2">
      <c r="A184" s="317">
        <v>182</v>
      </c>
      <c r="B184" s="332" t="s">
        <v>260</v>
      </c>
      <c r="C184" s="228" t="s">
        <v>206</v>
      </c>
      <c r="D184" s="228" t="s">
        <v>337</v>
      </c>
      <c r="E184" s="333">
        <v>45851</v>
      </c>
      <c r="F184" s="231">
        <v>31.99</v>
      </c>
      <c r="G184" s="512" t="s">
        <v>172</v>
      </c>
      <c r="H184" s="333">
        <v>45854</v>
      </c>
      <c r="I184" s="228" t="s">
        <v>453</v>
      </c>
      <c r="J184" s="228">
        <v>26</v>
      </c>
    </row>
    <row r="185" spans="1:10" ht="27.75" customHeight="1" x14ac:dyDescent="0.2">
      <c r="A185" s="317">
        <v>183</v>
      </c>
      <c r="B185" s="332" t="s">
        <v>229</v>
      </c>
      <c r="C185" s="228" t="s">
        <v>206</v>
      </c>
      <c r="D185" s="228" t="s">
        <v>30</v>
      </c>
      <c r="E185" s="333">
        <v>45853</v>
      </c>
      <c r="F185" s="231">
        <v>31.99</v>
      </c>
      <c r="G185" s="512" t="s">
        <v>172</v>
      </c>
      <c r="H185" s="333">
        <v>45856</v>
      </c>
      <c r="I185" s="228" t="s">
        <v>476</v>
      </c>
      <c r="J185" s="228">
        <v>25</v>
      </c>
    </row>
    <row r="186" spans="1:10" ht="27.75" customHeight="1" x14ac:dyDescent="0.2">
      <c r="A186" s="317">
        <v>184</v>
      </c>
      <c r="B186" s="332" t="s">
        <v>259</v>
      </c>
      <c r="C186" s="228" t="s">
        <v>205</v>
      </c>
      <c r="D186" s="228" t="s">
        <v>30</v>
      </c>
      <c r="E186" s="333">
        <v>45855</v>
      </c>
      <c r="F186" s="231">
        <v>33.375579000000002</v>
      </c>
      <c r="G186" s="512" t="s">
        <v>172</v>
      </c>
      <c r="H186" s="333">
        <v>45858</v>
      </c>
      <c r="I186" s="228" t="s">
        <v>453</v>
      </c>
      <c r="J186" s="228">
        <v>23</v>
      </c>
    </row>
    <row r="187" spans="1:10" ht="27.75" customHeight="1" x14ac:dyDescent="0.2">
      <c r="A187" s="317">
        <v>185</v>
      </c>
      <c r="B187" s="332" t="s">
        <v>420</v>
      </c>
      <c r="C187" s="228" t="s">
        <v>34</v>
      </c>
      <c r="D187" s="228" t="s">
        <v>30</v>
      </c>
      <c r="E187" s="333">
        <v>45850</v>
      </c>
      <c r="F187" s="231">
        <v>37.930999999999997</v>
      </c>
      <c r="G187" s="512" t="s">
        <v>172</v>
      </c>
      <c r="H187" s="333">
        <v>45858</v>
      </c>
      <c r="I187" s="228" t="s">
        <v>778</v>
      </c>
      <c r="J187" s="228">
        <v>25</v>
      </c>
    </row>
    <row r="188" spans="1:10" ht="27.75" customHeight="1" x14ac:dyDescent="0.2">
      <c r="A188" s="317">
        <v>186</v>
      </c>
      <c r="B188" s="332" t="s">
        <v>242</v>
      </c>
      <c r="C188" s="228" t="s">
        <v>206</v>
      </c>
      <c r="D188" s="228" t="s">
        <v>30</v>
      </c>
      <c r="E188" s="333">
        <v>45852</v>
      </c>
      <c r="F188" s="231">
        <v>31.99</v>
      </c>
      <c r="G188" s="512" t="s">
        <v>172</v>
      </c>
      <c r="H188" s="333">
        <v>45859</v>
      </c>
      <c r="I188" s="228" t="s">
        <v>754</v>
      </c>
      <c r="J188" s="228">
        <v>24</v>
      </c>
    </row>
    <row r="189" spans="1:10" ht="27.75" customHeight="1" x14ac:dyDescent="0.2">
      <c r="A189" s="317">
        <v>187</v>
      </c>
      <c r="B189" s="332" t="s">
        <v>228</v>
      </c>
      <c r="C189" s="228" t="s">
        <v>206</v>
      </c>
      <c r="D189" s="228" t="s">
        <v>30</v>
      </c>
      <c r="E189" s="333">
        <v>45857</v>
      </c>
      <c r="F189" s="231">
        <v>31.99</v>
      </c>
      <c r="G189" s="512" t="s">
        <v>172</v>
      </c>
      <c r="H189" s="333">
        <v>45859</v>
      </c>
      <c r="I189" s="228" t="s">
        <v>476</v>
      </c>
      <c r="J189" s="228">
        <v>24</v>
      </c>
    </row>
    <row r="190" spans="1:10" ht="27.75" customHeight="1" x14ac:dyDescent="0.2">
      <c r="A190" s="317">
        <v>188</v>
      </c>
      <c r="B190" s="332" t="s">
        <v>258</v>
      </c>
      <c r="C190" s="228" t="s">
        <v>205</v>
      </c>
      <c r="D190" s="228" t="s">
        <v>30</v>
      </c>
      <c r="E190" s="333">
        <v>45859</v>
      </c>
      <c r="F190" s="231">
        <v>33.380000000000003</v>
      </c>
      <c r="G190" s="512" t="s">
        <v>172</v>
      </c>
      <c r="H190" s="333">
        <v>45863</v>
      </c>
      <c r="I190" s="228" t="s">
        <v>453</v>
      </c>
      <c r="J190" s="228">
        <v>25</v>
      </c>
    </row>
    <row r="191" spans="1:10" ht="27.75" customHeight="1" x14ac:dyDescent="0.2">
      <c r="A191" s="317">
        <v>189</v>
      </c>
      <c r="B191" s="332" t="s">
        <v>227</v>
      </c>
      <c r="C191" s="228" t="s">
        <v>205</v>
      </c>
      <c r="D191" s="228" t="s">
        <v>30</v>
      </c>
      <c r="E191" s="333">
        <v>45860</v>
      </c>
      <c r="F191" s="231">
        <v>33.380000000000003</v>
      </c>
      <c r="G191" s="512" t="s">
        <v>172</v>
      </c>
      <c r="H191" s="333">
        <v>45866</v>
      </c>
      <c r="I191" s="228" t="s">
        <v>476</v>
      </c>
      <c r="J191" s="228">
        <v>25</v>
      </c>
    </row>
    <row r="192" spans="1:10" ht="27.75" customHeight="1" x14ac:dyDescent="0.2">
      <c r="A192" s="317">
        <v>190</v>
      </c>
      <c r="B192" s="332" t="s">
        <v>250</v>
      </c>
      <c r="C192" s="228" t="s">
        <v>205</v>
      </c>
      <c r="D192" s="228" t="s">
        <v>30</v>
      </c>
      <c r="E192" s="333">
        <v>45860</v>
      </c>
      <c r="F192" s="231">
        <v>33.380000000000003</v>
      </c>
      <c r="G192" s="512" t="s">
        <v>172</v>
      </c>
      <c r="H192" s="333">
        <v>45867</v>
      </c>
      <c r="I192" s="228" t="s">
        <v>754</v>
      </c>
      <c r="J192" s="228">
        <v>24</v>
      </c>
    </row>
    <row r="193" spans="1:10" ht="27.75" customHeight="1" x14ac:dyDescent="0.2">
      <c r="A193" s="317">
        <v>191</v>
      </c>
      <c r="B193" s="332" t="s">
        <v>419</v>
      </c>
      <c r="C193" s="228" t="s">
        <v>34</v>
      </c>
      <c r="D193" s="228" t="s">
        <v>432</v>
      </c>
      <c r="E193" s="333">
        <v>45859</v>
      </c>
      <c r="F193" s="231">
        <v>37.930999999999997</v>
      </c>
      <c r="G193" s="512" t="s">
        <v>172</v>
      </c>
      <c r="H193" s="333">
        <v>45867</v>
      </c>
      <c r="I193" s="228" t="s">
        <v>836</v>
      </c>
      <c r="J193" s="228">
        <v>24</v>
      </c>
    </row>
    <row r="194" spans="1:10" ht="27.75" customHeight="1" x14ac:dyDescent="0.2">
      <c r="A194" s="317">
        <v>192</v>
      </c>
      <c r="B194" s="332" t="s">
        <v>402</v>
      </c>
      <c r="C194" s="228" t="s">
        <v>608</v>
      </c>
      <c r="D194" s="228" t="s">
        <v>30</v>
      </c>
      <c r="E194" s="333">
        <v>45851</v>
      </c>
      <c r="F194" s="231">
        <v>65.22</v>
      </c>
      <c r="G194" s="512" t="s">
        <v>172</v>
      </c>
      <c r="H194" s="333">
        <v>45868</v>
      </c>
      <c r="I194" s="228" t="s">
        <v>779</v>
      </c>
      <c r="J194" s="228">
        <v>25</v>
      </c>
    </row>
    <row r="195" spans="1:10" ht="27.75" customHeight="1" x14ac:dyDescent="0.2">
      <c r="A195" s="317">
        <v>193</v>
      </c>
      <c r="B195" s="332" t="s">
        <v>257</v>
      </c>
      <c r="C195" s="228" t="s">
        <v>206</v>
      </c>
      <c r="D195" s="228" t="s">
        <v>30</v>
      </c>
      <c r="E195" s="333">
        <v>45864</v>
      </c>
      <c r="F195" s="231">
        <v>31.99</v>
      </c>
      <c r="G195" s="512" t="s">
        <v>172</v>
      </c>
      <c r="H195" s="333">
        <v>45869</v>
      </c>
      <c r="I195" s="228" t="s">
        <v>453</v>
      </c>
      <c r="J195" s="228">
        <v>24</v>
      </c>
    </row>
    <row r="196" spans="1:10" ht="27.75" customHeight="1" x14ac:dyDescent="0.2">
      <c r="A196" s="317">
        <v>194</v>
      </c>
      <c r="B196" s="332" t="s">
        <v>222</v>
      </c>
      <c r="C196" s="228" t="s">
        <v>205</v>
      </c>
      <c r="D196" s="228" t="s">
        <v>30</v>
      </c>
      <c r="E196" s="333">
        <v>45867</v>
      </c>
      <c r="F196" s="231">
        <v>33.380000000000003</v>
      </c>
      <c r="G196" s="512" t="s">
        <v>172</v>
      </c>
      <c r="H196" s="333">
        <v>45870</v>
      </c>
      <c r="I196" s="228" t="s">
        <v>476</v>
      </c>
      <c r="J196" s="228">
        <v>24</v>
      </c>
    </row>
    <row r="197" spans="1:10" ht="27.75" customHeight="1" x14ac:dyDescent="0.2">
      <c r="A197" s="317">
        <v>195</v>
      </c>
      <c r="B197" s="332" t="s">
        <v>314</v>
      </c>
      <c r="C197" s="228" t="s">
        <v>285</v>
      </c>
      <c r="D197" s="228" t="s">
        <v>462</v>
      </c>
      <c r="E197" s="333">
        <v>45846</v>
      </c>
      <c r="F197" s="231">
        <v>34.945999999999998</v>
      </c>
      <c r="G197" s="512" t="s">
        <v>172</v>
      </c>
      <c r="H197" s="333">
        <v>45871</v>
      </c>
      <c r="I197" s="228" t="s">
        <v>443</v>
      </c>
      <c r="J197" s="228">
        <v>25</v>
      </c>
    </row>
    <row r="198" spans="1:10" ht="27.75" customHeight="1" x14ac:dyDescent="0.2">
      <c r="A198" s="317">
        <v>196</v>
      </c>
      <c r="B198" s="332" t="s">
        <v>244</v>
      </c>
      <c r="C198" s="228" t="s">
        <v>206</v>
      </c>
      <c r="D198" s="228" t="s">
        <v>30</v>
      </c>
      <c r="E198" s="333">
        <v>45868</v>
      </c>
      <c r="F198" s="231">
        <v>31.99</v>
      </c>
      <c r="G198" s="512" t="s">
        <v>172</v>
      </c>
      <c r="H198" s="333">
        <v>45871</v>
      </c>
      <c r="I198" s="228" t="s">
        <v>754</v>
      </c>
      <c r="J198" s="228">
        <v>25</v>
      </c>
    </row>
    <row r="199" spans="1:10" ht="27.75" customHeight="1" x14ac:dyDescent="0.2">
      <c r="A199" s="317">
        <v>197</v>
      </c>
      <c r="B199" s="332" t="s">
        <v>375</v>
      </c>
      <c r="C199" s="228" t="s">
        <v>352</v>
      </c>
      <c r="D199" s="228" t="s">
        <v>30</v>
      </c>
      <c r="E199" s="333">
        <v>45855</v>
      </c>
      <c r="F199" s="231">
        <v>64.89</v>
      </c>
      <c r="G199" s="512" t="s">
        <v>172</v>
      </c>
      <c r="H199" s="333">
        <v>45872</v>
      </c>
      <c r="I199" s="228" t="s">
        <v>707</v>
      </c>
      <c r="J199" s="228">
        <v>24</v>
      </c>
    </row>
    <row r="200" spans="1:10" ht="27.75" customHeight="1" x14ac:dyDescent="0.2">
      <c r="A200" s="317">
        <v>198</v>
      </c>
      <c r="B200" s="332" t="s">
        <v>232</v>
      </c>
      <c r="C200" s="228" t="s">
        <v>206</v>
      </c>
      <c r="D200" s="228" t="s">
        <v>30</v>
      </c>
      <c r="E200" s="333">
        <v>45871</v>
      </c>
      <c r="F200" s="231">
        <v>31.99</v>
      </c>
      <c r="G200" s="512" t="s">
        <v>172</v>
      </c>
      <c r="H200" s="333">
        <v>45873</v>
      </c>
      <c r="I200" s="228" t="s">
        <v>476</v>
      </c>
      <c r="J200" s="228">
        <v>24</v>
      </c>
    </row>
    <row r="201" spans="1:10" ht="27.75" customHeight="1" x14ac:dyDescent="0.2">
      <c r="A201" s="317">
        <v>199</v>
      </c>
      <c r="B201" s="332" t="s">
        <v>421</v>
      </c>
      <c r="C201" s="228" t="s">
        <v>34</v>
      </c>
      <c r="D201" s="228" t="s">
        <v>30</v>
      </c>
      <c r="E201" s="333">
        <v>45868</v>
      </c>
      <c r="F201" s="231">
        <v>37.930999999999997</v>
      </c>
      <c r="G201" s="512" t="s">
        <v>172</v>
      </c>
      <c r="H201" s="333">
        <v>45873</v>
      </c>
      <c r="I201" s="228" t="s">
        <v>836</v>
      </c>
      <c r="J201" s="228">
        <v>24</v>
      </c>
    </row>
    <row r="202" spans="1:10" ht="27.75" customHeight="1" x14ac:dyDescent="0.2">
      <c r="A202" s="317">
        <v>200</v>
      </c>
      <c r="B202" s="332" t="s">
        <v>274</v>
      </c>
      <c r="C202" s="228" t="s">
        <v>275</v>
      </c>
      <c r="D202" s="228" t="s">
        <v>30</v>
      </c>
      <c r="E202" s="333">
        <v>45870</v>
      </c>
      <c r="F202" s="231">
        <v>62.534999999999997</v>
      </c>
      <c r="G202" s="512" t="s">
        <v>172</v>
      </c>
      <c r="H202" s="333">
        <v>45875</v>
      </c>
      <c r="I202" s="228" t="s">
        <v>453</v>
      </c>
      <c r="J202" s="228">
        <v>24</v>
      </c>
    </row>
    <row r="203" spans="1:10" ht="27.75" customHeight="1" x14ac:dyDescent="0.2">
      <c r="A203" s="317">
        <v>201</v>
      </c>
      <c r="B203" s="332" t="s">
        <v>243</v>
      </c>
      <c r="C203" s="228" t="s">
        <v>205</v>
      </c>
      <c r="D203" s="228" t="s">
        <v>30</v>
      </c>
      <c r="E203" s="333">
        <v>45872</v>
      </c>
      <c r="F203" s="231">
        <v>33.380000000000003</v>
      </c>
      <c r="G203" s="512" t="s">
        <v>172</v>
      </c>
      <c r="H203" s="333">
        <v>45876</v>
      </c>
      <c r="I203" s="228" t="s">
        <v>754</v>
      </c>
      <c r="J203" s="228">
        <v>25</v>
      </c>
    </row>
    <row r="204" spans="1:10" ht="27.75" customHeight="1" x14ac:dyDescent="0.2">
      <c r="A204" s="317">
        <v>202</v>
      </c>
      <c r="B204" s="332" t="s">
        <v>249</v>
      </c>
      <c r="C204" s="228" t="s">
        <v>205</v>
      </c>
      <c r="D204" s="228" t="s">
        <v>30</v>
      </c>
      <c r="E204" s="333">
        <v>45874</v>
      </c>
      <c r="F204" s="231">
        <v>33.380000000000003</v>
      </c>
      <c r="G204" s="512" t="s">
        <v>172</v>
      </c>
      <c r="H204" s="333">
        <v>45877</v>
      </c>
      <c r="I204" s="228" t="s">
        <v>476</v>
      </c>
      <c r="J204" s="228">
        <v>24</v>
      </c>
    </row>
    <row r="205" spans="1:10" ht="27.75" customHeight="1" x14ac:dyDescent="0.2">
      <c r="A205" s="317">
        <v>203</v>
      </c>
      <c r="B205" s="332" t="s">
        <v>224</v>
      </c>
      <c r="C205" s="228" t="s">
        <v>206</v>
      </c>
      <c r="D205" s="228" t="s">
        <v>30</v>
      </c>
      <c r="E205" s="333">
        <v>45878</v>
      </c>
      <c r="F205" s="231">
        <v>31.99</v>
      </c>
      <c r="G205" s="512" t="s">
        <v>172</v>
      </c>
      <c r="H205" s="333">
        <v>45880</v>
      </c>
      <c r="I205" s="228" t="s">
        <v>476</v>
      </c>
      <c r="J205" s="228">
        <v>24</v>
      </c>
    </row>
    <row r="206" spans="1:10" ht="27.75" customHeight="1" x14ac:dyDescent="0.2">
      <c r="A206" s="317">
        <v>204</v>
      </c>
      <c r="B206" s="332" t="s">
        <v>272</v>
      </c>
      <c r="C206" s="228" t="s">
        <v>34</v>
      </c>
      <c r="D206" s="228" t="s">
        <v>30</v>
      </c>
      <c r="E206" s="333">
        <v>45876</v>
      </c>
      <c r="F206" s="231">
        <v>37.930999999999997</v>
      </c>
      <c r="G206" s="512" t="s">
        <v>172</v>
      </c>
      <c r="H206" s="333">
        <v>45881</v>
      </c>
      <c r="I206" s="228" t="s">
        <v>453</v>
      </c>
      <c r="J206" s="228">
        <v>25</v>
      </c>
    </row>
    <row r="207" spans="1:10" ht="27.75" customHeight="1" x14ac:dyDescent="0.2">
      <c r="A207" s="317">
        <v>205</v>
      </c>
      <c r="B207" s="332" t="s">
        <v>373</v>
      </c>
      <c r="C207" s="228" t="s">
        <v>135</v>
      </c>
      <c r="D207" s="228" t="s">
        <v>30</v>
      </c>
      <c r="E207" s="333">
        <v>45873</v>
      </c>
      <c r="F207" s="231">
        <v>54.66</v>
      </c>
      <c r="G207" s="512" t="s">
        <v>172</v>
      </c>
      <c r="H207" s="333">
        <v>45881</v>
      </c>
      <c r="I207" s="228" t="s">
        <v>707</v>
      </c>
      <c r="J207" s="228">
        <v>25</v>
      </c>
    </row>
    <row r="208" spans="1:10" ht="27.75" customHeight="1" x14ac:dyDescent="0.2">
      <c r="A208" s="317">
        <v>206</v>
      </c>
      <c r="B208" s="332" t="s">
        <v>248</v>
      </c>
      <c r="C208" s="228" t="s">
        <v>206</v>
      </c>
      <c r="D208" s="228" t="s">
        <v>30</v>
      </c>
      <c r="E208" s="333">
        <v>45877</v>
      </c>
      <c r="F208" s="231">
        <v>31.99</v>
      </c>
      <c r="G208" s="512" t="s">
        <v>172</v>
      </c>
      <c r="H208" s="333">
        <v>45882</v>
      </c>
      <c r="I208" s="228" t="s">
        <v>754</v>
      </c>
      <c r="J208" s="228">
        <v>25</v>
      </c>
    </row>
    <row r="209" spans="1:10" ht="27.75" customHeight="1" x14ac:dyDescent="0.2">
      <c r="A209" s="317">
        <v>207</v>
      </c>
      <c r="B209" s="332" t="s">
        <v>422</v>
      </c>
      <c r="C209" s="228" t="s">
        <v>29</v>
      </c>
      <c r="D209" s="228" t="s">
        <v>30</v>
      </c>
      <c r="E209" s="333">
        <v>45874</v>
      </c>
      <c r="F209" s="231">
        <v>36.369999999999997</v>
      </c>
      <c r="G209" s="512" t="s">
        <v>172</v>
      </c>
      <c r="H209" s="333">
        <v>45883</v>
      </c>
      <c r="I209" s="228" t="s">
        <v>778</v>
      </c>
      <c r="J209" s="228">
        <v>24</v>
      </c>
    </row>
    <row r="210" spans="1:10" ht="27.75" customHeight="1" x14ac:dyDescent="0.2">
      <c r="A210" s="317">
        <v>208</v>
      </c>
      <c r="B210" s="332" t="s">
        <v>256</v>
      </c>
      <c r="C210" s="228" t="s">
        <v>206</v>
      </c>
      <c r="D210" s="228" t="s">
        <v>30</v>
      </c>
      <c r="E210" s="333">
        <v>45882</v>
      </c>
      <c r="F210" s="231">
        <v>31.99</v>
      </c>
      <c r="G210" s="512" t="s">
        <v>172</v>
      </c>
      <c r="H210" s="333">
        <v>45887</v>
      </c>
      <c r="I210" s="228" t="s">
        <v>453</v>
      </c>
      <c r="J210" s="228">
        <v>30</v>
      </c>
    </row>
    <row r="211" spans="1:10" ht="27.75" customHeight="1" x14ac:dyDescent="0.2">
      <c r="A211" s="317">
        <v>209</v>
      </c>
      <c r="B211" s="332" t="s">
        <v>253</v>
      </c>
      <c r="C211" s="228" t="s">
        <v>205</v>
      </c>
      <c r="D211" s="228" t="s">
        <v>30</v>
      </c>
      <c r="E211" s="333">
        <v>45881</v>
      </c>
      <c r="F211" s="231">
        <v>33.380000000000003</v>
      </c>
      <c r="G211" s="512" t="s">
        <v>172</v>
      </c>
      <c r="H211" s="333">
        <v>45888</v>
      </c>
      <c r="I211" s="228" t="s">
        <v>471</v>
      </c>
      <c r="J211" s="228">
        <v>25</v>
      </c>
    </row>
    <row r="212" spans="1:10" ht="27.75" customHeight="1" x14ac:dyDescent="0.2">
      <c r="A212" s="317">
        <v>210</v>
      </c>
      <c r="B212" s="332" t="s">
        <v>423</v>
      </c>
      <c r="C212" s="228" t="s">
        <v>47</v>
      </c>
      <c r="D212" s="228" t="s">
        <v>30</v>
      </c>
      <c r="E212" s="333">
        <v>45885</v>
      </c>
      <c r="F212" s="231">
        <v>44.825000000000003</v>
      </c>
      <c r="G212" s="512" t="s">
        <v>172</v>
      </c>
      <c r="H212" s="333">
        <v>45893</v>
      </c>
      <c r="I212" s="228" t="s">
        <v>778</v>
      </c>
      <c r="J212" s="228">
        <v>36</v>
      </c>
    </row>
    <row r="213" spans="1:10" ht="27.75" customHeight="1" x14ac:dyDescent="0.2">
      <c r="A213" s="317">
        <v>211</v>
      </c>
      <c r="B213" s="332" t="s">
        <v>286</v>
      </c>
      <c r="C213" s="228" t="s">
        <v>34</v>
      </c>
      <c r="D213" s="228" t="s">
        <v>432</v>
      </c>
      <c r="E213" s="333">
        <v>45892</v>
      </c>
      <c r="F213" s="231">
        <v>37.930999999999997</v>
      </c>
      <c r="G213" s="512" t="s">
        <v>172</v>
      </c>
      <c r="H213" s="333">
        <v>45898</v>
      </c>
      <c r="I213" s="228" t="s">
        <v>453</v>
      </c>
      <c r="J213" s="228">
        <v>30</v>
      </c>
    </row>
    <row r="214" spans="1:10" ht="27.75" customHeight="1" x14ac:dyDescent="0.2">
      <c r="A214" s="317">
        <v>212</v>
      </c>
      <c r="B214" s="332" t="s">
        <v>412</v>
      </c>
      <c r="C214" s="228" t="s">
        <v>613</v>
      </c>
      <c r="D214" s="228" t="s">
        <v>30</v>
      </c>
      <c r="E214" s="333">
        <v>45882</v>
      </c>
      <c r="F214" s="231">
        <v>64.891000000000005</v>
      </c>
      <c r="G214" s="512" t="s">
        <v>172</v>
      </c>
      <c r="H214" s="333">
        <v>45898</v>
      </c>
      <c r="I214" s="228" t="s">
        <v>707</v>
      </c>
      <c r="J214" s="228">
        <v>30</v>
      </c>
    </row>
    <row r="215" spans="1:10" ht="27.75" customHeight="1" x14ac:dyDescent="0.2">
      <c r="A215" s="317">
        <v>213</v>
      </c>
      <c r="B215" s="332" t="s">
        <v>619</v>
      </c>
      <c r="C215" s="228" t="s">
        <v>618</v>
      </c>
      <c r="D215" s="228" t="s">
        <v>30</v>
      </c>
      <c r="E215" s="333">
        <v>45889</v>
      </c>
      <c r="F215" s="231">
        <v>66.209999999999994</v>
      </c>
      <c r="G215" s="512" t="s">
        <v>172</v>
      </c>
      <c r="H215" s="333">
        <v>45899</v>
      </c>
      <c r="I215" s="228" t="s">
        <v>476</v>
      </c>
      <c r="J215" s="228">
        <v>29</v>
      </c>
    </row>
    <row r="216" spans="1:10" ht="27.75" customHeight="1" x14ac:dyDescent="0.2">
      <c r="A216" s="317">
        <v>214</v>
      </c>
      <c r="B216" s="332" t="s">
        <v>252</v>
      </c>
      <c r="C216" s="228" t="s">
        <v>649</v>
      </c>
      <c r="D216" s="228" t="s">
        <v>30</v>
      </c>
      <c r="E216" s="333">
        <v>45883</v>
      </c>
      <c r="F216" s="231">
        <v>51.04</v>
      </c>
      <c r="G216" s="512" t="s">
        <v>172</v>
      </c>
      <c r="H216" s="333">
        <v>45899</v>
      </c>
      <c r="I216" s="228" t="s">
        <v>754</v>
      </c>
      <c r="J216" s="228">
        <v>25</v>
      </c>
    </row>
    <row r="217" spans="1:10" ht="27.75" customHeight="1" x14ac:dyDescent="0.2">
      <c r="A217" s="317">
        <v>215</v>
      </c>
      <c r="B217" s="332" t="s">
        <v>254</v>
      </c>
      <c r="C217" s="228" t="s">
        <v>206</v>
      </c>
      <c r="D217" s="228" t="s">
        <v>30</v>
      </c>
      <c r="E217" s="333">
        <v>45888</v>
      </c>
      <c r="F217" s="231">
        <v>31.99</v>
      </c>
      <c r="G217" s="512" t="s">
        <v>172</v>
      </c>
      <c r="H217" s="333">
        <v>45900</v>
      </c>
      <c r="I217" s="228" t="s">
        <v>453</v>
      </c>
      <c r="J217" s="228">
        <v>30</v>
      </c>
    </row>
    <row r="218" spans="1:10" ht="27.75" customHeight="1" x14ac:dyDescent="0.2">
      <c r="A218" s="317">
        <v>216</v>
      </c>
      <c r="B218" s="332" t="s">
        <v>417</v>
      </c>
      <c r="C218" s="228" t="s">
        <v>43</v>
      </c>
      <c r="D218" s="228" t="s">
        <v>30</v>
      </c>
      <c r="E218" s="333">
        <v>45894</v>
      </c>
      <c r="F218" s="231">
        <v>43.08</v>
      </c>
      <c r="G218" s="512" t="s">
        <v>172</v>
      </c>
      <c r="H218" s="333">
        <v>45900</v>
      </c>
      <c r="I218" s="228" t="s">
        <v>778</v>
      </c>
      <c r="J218" s="228">
        <v>36</v>
      </c>
    </row>
    <row r="219" spans="1:10" ht="27.75" customHeight="1" x14ac:dyDescent="0.2">
      <c r="A219" s="317">
        <v>217</v>
      </c>
      <c r="B219" s="332" t="s">
        <v>190</v>
      </c>
      <c r="C219" s="228" t="s">
        <v>206</v>
      </c>
      <c r="D219" s="228" t="s">
        <v>30</v>
      </c>
      <c r="E219" s="333">
        <v>45900</v>
      </c>
      <c r="F219" s="231">
        <v>31.99</v>
      </c>
      <c r="G219" s="512" t="s">
        <v>172</v>
      </c>
      <c r="H219" s="333">
        <v>45903</v>
      </c>
      <c r="I219" s="228" t="s">
        <v>908</v>
      </c>
      <c r="J219" s="228">
        <v>32</v>
      </c>
    </row>
    <row r="220" spans="1:10" ht="27.75" customHeight="1" x14ac:dyDescent="0.2">
      <c r="A220" s="317">
        <v>218</v>
      </c>
      <c r="B220" s="332" t="s">
        <v>261</v>
      </c>
      <c r="C220" s="228" t="s">
        <v>206</v>
      </c>
      <c r="D220" s="228" t="s">
        <v>30</v>
      </c>
      <c r="E220" s="333">
        <v>45901</v>
      </c>
      <c r="F220" s="231">
        <v>31.99</v>
      </c>
      <c r="G220" s="512" t="s">
        <v>172</v>
      </c>
      <c r="H220" s="333">
        <v>45904</v>
      </c>
      <c r="I220" s="228" t="s">
        <v>453</v>
      </c>
      <c r="J220" s="228">
        <v>35</v>
      </c>
    </row>
    <row r="221" spans="1:10" ht="27.75" customHeight="1" x14ac:dyDescent="0.2">
      <c r="A221" s="317">
        <v>219</v>
      </c>
      <c r="B221" s="332" t="s">
        <v>413</v>
      </c>
      <c r="C221" s="228" t="s">
        <v>637</v>
      </c>
      <c r="D221" s="228" t="s">
        <v>30</v>
      </c>
      <c r="E221" s="333">
        <v>45899</v>
      </c>
      <c r="F221" s="231">
        <v>44.825000000000003</v>
      </c>
      <c r="G221" s="512" t="s">
        <v>172</v>
      </c>
      <c r="H221" s="333">
        <v>45905</v>
      </c>
      <c r="I221" s="228" t="s">
        <v>707</v>
      </c>
      <c r="J221" s="228">
        <v>25</v>
      </c>
    </row>
    <row r="222" spans="1:10" ht="27.75" customHeight="1" x14ac:dyDescent="0.2">
      <c r="A222" s="317">
        <v>220</v>
      </c>
      <c r="B222" s="332" t="s">
        <v>424</v>
      </c>
      <c r="C222" s="228" t="s">
        <v>637</v>
      </c>
      <c r="D222" s="228" t="s">
        <v>30</v>
      </c>
      <c r="E222" s="333">
        <v>45901</v>
      </c>
      <c r="F222" s="231">
        <v>44.825000000000003</v>
      </c>
      <c r="G222" s="512" t="s">
        <v>172</v>
      </c>
      <c r="H222" s="333">
        <v>45906</v>
      </c>
      <c r="I222" s="228" t="s">
        <v>778</v>
      </c>
      <c r="J222" s="228">
        <v>34</v>
      </c>
    </row>
    <row r="223" spans="1:10" ht="27.75" customHeight="1" x14ac:dyDescent="0.2">
      <c r="A223" s="317">
        <v>221</v>
      </c>
      <c r="B223" s="332" t="s">
        <v>251</v>
      </c>
      <c r="C223" s="228" t="s">
        <v>205</v>
      </c>
      <c r="D223" s="228" t="s">
        <v>30</v>
      </c>
      <c r="E223" s="333">
        <v>45900</v>
      </c>
      <c r="F223" s="231">
        <v>33.380000000000003</v>
      </c>
      <c r="G223" s="512" t="s">
        <v>172</v>
      </c>
      <c r="H223" s="333">
        <v>45907</v>
      </c>
      <c r="I223" s="228" t="s">
        <v>754</v>
      </c>
      <c r="J223" s="228">
        <v>25</v>
      </c>
    </row>
    <row r="224" spans="1:10" ht="27.75" customHeight="1" x14ac:dyDescent="0.2">
      <c r="A224" s="317">
        <v>222</v>
      </c>
      <c r="B224" s="332" t="s">
        <v>207</v>
      </c>
      <c r="C224" s="228" t="s">
        <v>206</v>
      </c>
      <c r="D224" s="228" t="s">
        <v>30</v>
      </c>
      <c r="E224" s="333">
        <v>45905</v>
      </c>
      <c r="F224" s="231">
        <v>31.99</v>
      </c>
      <c r="G224" s="512" t="s">
        <v>172</v>
      </c>
      <c r="H224" s="333">
        <v>45907</v>
      </c>
      <c r="I224" s="228" t="s">
        <v>453</v>
      </c>
      <c r="J224" s="228">
        <v>35</v>
      </c>
    </row>
    <row r="225" spans="1:10" ht="27.75" customHeight="1" x14ac:dyDescent="0.2">
      <c r="A225" s="317">
        <v>223</v>
      </c>
      <c r="B225" s="332" t="s">
        <v>199</v>
      </c>
      <c r="C225" s="228" t="s">
        <v>725</v>
      </c>
      <c r="D225" s="228" t="s">
        <v>30</v>
      </c>
      <c r="E225" s="333">
        <v>45905</v>
      </c>
      <c r="F225" s="231">
        <v>51.04</v>
      </c>
      <c r="G225" s="512" t="s">
        <v>172</v>
      </c>
      <c r="H225" s="333">
        <v>45908</v>
      </c>
      <c r="I225" s="228" t="s">
        <v>908</v>
      </c>
      <c r="J225" s="228">
        <v>34</v>
      </c>
    </row>
    <row r="226" spans="1:10" ht="27.75" customHeight="1" x14ac:dyDescent="0.2">
      <c r="A226" s="317">
        <v>224</v>
      </c>
      <c r="B226" s="332" t="s">
        <v>407</v>
      </c>
      <c r="C226" s="228" t="s">
        <v>167</v>
      </c>
      <c r="D226" s="228" t="s">
        <v>30</v>
      </c>
      <c r="E226" s="333">
        <v>45877</v>
      </c>
      <c r="F226" s="231">
        <v>37.930999999999997</v>
      </c>
      <c r="G226" s="512" t="s">
        <v>172</v>
      </c>
      <c r="H226" s="333">
        <v>45908</v>
      </c>
      <c r="I226" s="228" t="s">
        <v>443</v>
      </c>
      <c r="J226" s="228">
        <v>25</v>
      </c>
    </row>
    <row r="227" spans="1:10" ht="27.75" customHeight="1" x14ac:dyDescent="0.2">
      <c r="A227" s="317">
        <v>225</v>
      </c>
      <c r="B227" s="332" t="s">
        <v>208</v>
      </c>
      <c r="C227" s="228" t="s">
        <v>205</v>
      </c>
      <c r="D227" s="228" t="s">
        <v>30</v>
      </c>
      <c r="E227" s="333">
        <v>45908</v>
      </c>
      <c r="F227" s="231">
        <v>33.380000000000003</v>
      </c>
      <c r="G227" s="512" t="s">
        <v>172</v>
      </c>
      <c r="H227" s="333">
        <v>45909</v>
      </c>
      <c r="I227" s="228" t="s">
        <v>453</v>
      </c>
      <c r="J227" s="228">
        <v>35</v>
      </c>
    </row>
    <row r="228" spans="1:10" ht="27.75" customHeight="1" x14ac:dyDescent="0.2">
      <c r="A228" s="317">
        <v>226</v>
      </c>
      <c r="B228" s="332" t="s">
        <v>425</v>
      </c>
      <c r="C228" s="228" t="s">
        <v>34</v>
      </c>
      <c r="D228" s="228" t="s">
        <v>30</v>
      </c>
      <c r="E228" s="333">
        <v>45907</v>
      </c>
      <c r="F228" s="231">
        <v>37.930999999999997</v>
      </c>
      <c r="G228" s="512" t="s">
        <v>172</v>
      </c>
      <c r="H228" s="333">
        <v>45910</v>
      </c>
      <c r="I228" s="228" t="s">
        <v>778</v>
      </c>
      <c r="J228" s="228">
        <v>31</v>
      </c>
    </row>
    <row r="229" spans="1:10" ht="27.75" customHeight="1" x14ac:dyDescent="0.2">
      <c r="A229" s="317">
        <v>227</v>
      </c>
      <c r="B229" s="332" t="s">
        <v>414</v>
      </c>
      <c r="C229" s="228" t="s">
        <v>275</v>
      </c>
      <c r="D229" s="228" t="s">
        <v>455</v>
      </c>
      <c r="E229" s="333">
        <v>45906</v>
      </c>
      <c r="F229" s="231">
        <v>62.534999999999997</v>
      </c>
      <c r="G229" s="512" t="s">
        <v>172</v>
      </c>
      <c r="H229" s="333">
        <v>45913</v>
      </c>
      <c r="I229" s="228" t="s">
        <v>707</v>
      </c>
      <c r="J229" s="228">
        <v>25</v>
      </c>
    </row>
    <row r="230" spans="1:10" ht="27.75" customHeight="1" x14ac:dyDescent="0.2">
      <c r="A230" s="317">
        <v>228</v>
      </c>
      <c r="B230" s="332" t="s">
        <v>210</v>
      </c>
      <c r="C230" s="228" t="s">
        <v>206</v>
      </c>
      <c r="D230" s="228" t="s">
        <v>30</v>
      </c>
      <c r="E230" s="333">
        <v>45910</v>
      </c>
      <c r="F230" s="231">
        <v>31.99</v>
      </c>
      <c r="G230" s="512" t="s">
        <v>172</v>
      </c>
      <c r="H230" s="333">
        <v>45914</v>
      </c>
      <c r="I230" s="228" t="s">
        <v>453</v>
      </c>
      <c r="J230" s="228">
        <v>35</v>
      </c>
    </row>
    <row r="231" spans="1:10" ht="27.75" customHeight="1" x14ac:dyDescent="0.2">
      <c r="A231" s="317">
        <v>229</v>
      </c>
      <c r="B231" s="332" t="s">
        <v>245</v>
      </c>
      <c r="C231" s="228" t="s">
        <v>205</v>
      </c>
      <c r="D231" s="228" t="s">
        <v>30</v>
      </c>
      <c r="E231" s="333">
        <v>45908</v>
      </c>
      <c r="F231" s="231">
        <v>33.380000000000003</v>
      </c>
      <c r="G231" s="512" t="s">
        <v>172</v>
      </c>
      <c r="H231" s="333">
        <v>45915</v>
      </c>
      <c r="I231" s="228" t="s">
        <v>754</v>
      </c>
      <c r="J231" s="228">
        <v>25</v>
      </c>
    </row>
    <row r="232" spans="1:10" ht="27.75" customHeight="1" x14ac:dyDescent="0.2">
      <c r="A232" s="317">
        <v>230</v>
      </c>
      <c r="B232" s="332" t="s">
        <v>213</v>
      </c>
      <c r="C232" s="228" t="s">
        <v>649</v>
      </c>
      <c r="D232" s="228" t="s">
        <v>30</v>
      </c>
      <c r="E232" s="333">
        <v>45909</v>
      </c>
      <c r="F232" s="231">
        <v>51.04</v>
      </c>
      <c r="G232" s="512" t="s">
        <v>172</v>
      </c>
      <c r="H232" s="333">
        <v>45916</v>
      </c>
      <c r="I232" s="228" t="s">
        <v>471</v>
      </c>
      <c r="J232" s="228">
        <v>34</v>
      </c>
    </row>
    <row r="233" spans="1:10" ht="27.75" customHeight="1" x14ac:dyDescent="0.2">
      <c r="A233" s="317">
        <v>231</v>
      </c>
      <c r="B233" s="332" t="s">
        <v>211</v>
      </c>
      <c r="C233" s="228" t="s">
        <v>205</v>
      </c>
      <c r="D233" s="228" t="s">
        <v>30</v>
      </c>
      <c r="E233" s="333">
        <v>45914</v>
      </c>
      <c r="F233" s="231">
        <v>33.380000000000003</v>
      </c>
      <c r="G233" s="512" t="s">
        <v>172</v>
      </c>
      <c r="H233" s="333">
        <v>45920</v>
      </c>
      <c r="I233" s="228" t="s">
        <v>453</v>
      </c>
      <c r="J233" s="228">
        <v>35</v>
      </c>
    </row>
    <row r="234" spans="1:10" ht="27.75" customHeight="1" x14ac:dyDescent="0.2">
      <c r="A234" s="317">
        <v>232</v>
      </c>
      <c r="B234" s="332" t="s">
        <v>416</v>
      </c>
      <c r="C234" s="228" t="s">
        <v>446</v>
      </c>
      <c r="D234" s="228" t="s">
        <v>30</v>
      </c>
      <c r="E234" s="333">
        <v>45913</v>
      </c>
      <c r="F234" s="231">
        <v>64.89</v>
      </c>
      <c r="G234" s="512" t="s">
        <v>172</v>
      </c>
      <c r="H234" s="333">
        <v>45923</v>
      </c>
      <c r="I234" s="228" t="s">
        <v>778</v>
      </c>
      <c r="J234" s="228">
        <v>34</v>
      </c>
    </row>
    <row r="235" spans="1:10" ht="27.75" customHeight="1" x14ac:dyDescent="0.2">
      <c r="A235" s="317">
        <v>233</v>
      </c>
      <c r="B235" s="332" t="s">
        <v>915</v>
      </c>
      <c r="C235" s="228" t="s">
        <v>205</v>
      </c>
      <c r="D235" s="228" t="s">
        <v>337</v>
      </c>
      <c r="E235" s="333">
        <v>45921</v>
      </c>
      <c r="F235" s="231">
        <v>33.380000000000003</v>
      </c>
      <c r="G235" s="512" t="s">
        <v>172</v>
      </c>
      <c r="H235" s="333">
        <v>45924</v>
      </c>
      <c r="I235" s="228" t="s">
        <v>453</v>
      </c>
      <c r="J235" s="228">
        <v>35</v>
      </c>
    </row>
    <row r="236" spans="1:10" ht="27.75" customHeight="1" x14ac:dyDescent="0.2">
      <c r="A236" s="317">
        <v>234</v>
      </c>
      <c r="B236" s="332" t="s">
        <v>403</v>
      </c>
      <c r="C236" s="228" t="s">
        <v>43</v>
      </c>
      <c r="D236" s="228" t="s">
        <v>336</v>
      </c>
      <c r="E236" s="333">
        <v>45916</v>
      </c>
      <c r="F236" s="231">
        <v>43.079000000000001</v>
      </c>
      <c r="G236" s="512" t="s">
        <v>172</v>
      </c>
      <c r="H236" s="333">
        <v>45925</v>
      </c>
      <c r="I236" s="228" t="s">
        <v>707</v>
      </c>
      <c r="J236" s="228">
        <v>34</v>
      </c>
    </row>
    <row r="237" spans="1:10" ht="27.75" customHeight="1" x14ac:dyDescent="0.2">
      <c r="A237" s="317">
        <v>235</v>
      </c>
      <c r="B237" s="332" t="s">
        <v>218</v>
      </c>
      <c r="C237" s="228" t="s">
        <v>205</v>
      </c>
      <c r="D237" s="228" t="s">
        <v>30</v>
      </c>
      <c r="E237" s="333">
        <v>45916</v>
      </c>
      <c r="F237" s="231">
        <v>33.380000000000003</v>
      </c>
      <c r="G237" s="512" t="s">
        <v>172</v>
      </c>
      <c r="H237" s="333">
        <v>45926</v>
      </c>
      <c r="I237" s="228" t="s">
        <v>754</v>
      </c>
      <c r="J237" s="228">
        <v>25</v>
      </c>
    </row>
    <row r="238" spans="1:10" ht="27.75" customHeight="1" x14ac:dyDescent="0.2">
      <c r="A238" s="317">
        <v>236</v>
      </c>
      <c r="B238" s="332" t="s">
        <v>225</v>
      </c>
      <c r="C238" s="228" t="s">
        <v>762</v>
      </c>
      <c r="D238" s="228" t="s">
        <v>30</v>
      </c>
      <c r="E238" s="333">
        <v>45921</v>
      </c>
      <c r="F238" s="231">
        <v>77.319999999999993</v>
      </c>
      <c r="G238" s="512" t="s">
        <v>172</v>
      </c>
      <c r="H238" s="333">
        <v>45929</v>
      </c>
      <c r="I238" s="228" t="s">
        <v>471</v>
      </c>
      <c r="J238" s="228">
        <v>28</v>
      </c>
    </row>
    <row r="239" spans="1:10" ht="27.75" customHeight="1" x14ac:dyDescent="0.2">
      <c r="A239" s="317">
        <v>237</v>
      </c>
      <c r="B239" s="332" t="s">
        <v>428</v>
      </c>
      <c r="C239" s="228" t="s">
        <v>285</v>
      </c>
      <c r="D239" s="228" t="s">
        <v>30</v>
      </c>
      <c r="E239" s="333">
        <v>45924</v>
      </c>
      <c r="F239" s="231">
        <v>34.945999999999998</v>
      </c>
      <c r="G239" s="512" t="s">
        <v>172</v>
      </c>
      <c r="H239" s="333">
        <v>45930</v>
      </c>
      <c r="I239" s="228" t="s">
        <v>778</v>
      </c>
      <c r="J239" s="228">
        <v>34</v>
      </c>
    </row>
    <row r="240" spans="1:10" ht="27.75" customHeight="1" x14ac:dyDescent="0.2">
      <c r="A240" s="317">
        <v>238</v>
      </c>
      <c r="B240" s="332" t="s">
        <v>189</v>
      </c>
      <c r="C240" s="228" t="s">
        <v>206</v>
      </c>
      <c r="D240" s="228" t="s">
        <v>30</v>
      </c>
      <c r="E240" s="333">
        <v>45925</v>
      </c>
      <c r="F240" s="231">
        <v>31.99</v>
      </c>
      <c r="G240" s="512" t="s">
        <v>172</v>
      </c>
      <c r="H240" s="333">
        <v>45930</v>
      </c>
      <c r="I240" s="228" t="s">
        <v>453</v>
      </c>
      <c r="J240" s="228">
        <v>35</v>
      </c>
    </row>
    <row r="241" spans="1:10" ht="27.75" customHeight="1" x14ac:dyDescent="0.2">
      <c r="A241" s="317">
        <v>239</v>
      </c>
      <c r="B241" s="332" t="s">
        <v>917</v>
      </c>
      <c r="C241" s="228" t="s">
        <v>206</v>
      </c>
      <c r="D241" s="228" t="s">
        <v>30</v>
      </c>
      <c r="E241" s="333">
        <v>45928</v>
      </c>
      <c r="F241" s="231">
        <v>31.99</v>
      </c>
      <c r="G241" s="512" t="s">
        <v>172</v>
      </c>
      <c r="H241" s="333">
        <v>45934</v>
      </c>
      <c r="I241" s="228" t="s">
        <v>471</v>
      </c>
      <c r="J241" s="228">
        <v>25</v>
      </c>
    </row>
    <row r="242" spans="1:10" ht="27.75" customHeight="1" x14ac:dyDescent="0.2">
      <c r="A242" s="317">
        <v>240</v>
      </c>
      <c r="B242" s="332" t="s">
        <v>430</v>
      </c>
      <c r="C242" s="228" t="s">
        <v>34</v>
      </c>
      <c r="D242" s="228" t="s">
        <v>30</v>
      </c>
      <c r="E242" s="333">
        <v>45921</v>
      </c>
      <c r="F242" s="231">
        <v>37.930999999999997</v>
      </c>
      <c r="G242" s="512" t="s">
        <v>172</v>
      </c>
      <c r="H242" s="333">
        <v>45936</v>
      </c>
      <c r="I242" s="228" t="s">
        <v>918</v>
      </c>
      <c r="J242" s="228">
        <v>32</v>
      </c>
    </row>
    <row r="243" spans="1:10" ht="27.75" customHeight="1" x14ac:dyDescent="0.2">
      <c r="A243" s="317">
        <v>241</v>
      </c>
      <c r="B243" s="332" t="s">
        <v>823</v>
      </c>
      <c r="C243" s="228" t="s">
        <v>240</v>
      </c>
      <c r="D243" s="228" t="s">
        <v>337</v>
      </c>
      <c r="E243" s="333">
        <v>45931</v>
      </c>
      <c r="F243" s="231">
        <v>72.63</v>
      </c>
      <c r="G243" s="512" t="s">
        <v>172</v>
      </c>
      <c r="H243" s="333">
        <v>45939</v>
      </c>
      <c r="I243" s="228" t="s">
        <v>453</v>
      </c>
      <c r="J243" s="228">
        <v>35</v>
      </c>
    </row>
    <row r="244" spans="1:10" ht="27.75" customHeight="1" x14ac:dyDescent="0.2">
      <c r="A244" s="317">
        <v>242</v>
      </c>
      <c r="B244" s="332" t="s">
        <v>916</v>
      </c>
      <c r="C244" s="228" t="s">
        <v>29</v>
      </c>
      <c r="D244" s="228" t="s">
        <v>456</v>
      </c>
      <c r="E244" s="333">
        <v>45927</v>
      </c>
      <c r="F244" s="231">
        <v>36.369999999999997</v>
      </c>
      <c r="G244" s="512" t="s">
        <v>172</v>
      </c>
      <c r="H244" s="333">
        <v>45939</v>
      </c>
      <c r="I244" s="228" t="s">
        <v>707</v>
      </c>
      <c r="J244" s="228">
        <v>34</v>
      </c>
    </row>
    <row r="245" spans="1:10" ht="27.75" customHeight="1" x14ac:dyDescent="0.2">
      <c r="A245" s="317">
        <v>243</v>
      </c>
      <c r="B245" s="332" t="s">
        <v>409</v>
      </c>
      <c r="C245" s="228" t="s">
        <v>43</v>
      </c>
      <c r="D245" s="228" t="s">
        <v>432</v>
      </c>
      <c r="E245" s="333">
        <v>45913</v>
      </c>
      <c r="F245" s="231">
        <v>43.079000000000001</v>
      </c>
      <c r="G245" s="512" t="s">
        <v>172</v>
      </c>
      <c r="H245" s="333">
        <v>45941</v>
      </c>
      <c r="I245" s="228" t="s">
        <v>443</v>
      </c>
      <c r="J245" s="228">
        <v>21</v>
      </c>
    </row>
    <row r="246" spans="1:10" ht="27.75" customHeight="1" x14ac:dyDescent="0.2">
      <c r="A246" s="317">
        <v>244</v>
      </c>
      <c r="B246" s="332" t="s">
        <v>429</v>
      </c>
      <c r="C246" s="228" t="s">
        <v>29</v>
      </c>
      <c r="D246" s="228" t="s">
        <v>30</v>
      </c>
      <c r="E246" s="333">
        <v>45937</v>
      </c>
      <c r="F246" s="231">
        <v>36.369999999999997</v>
      </c>
      <c r="G246" s="512" t="s">
        <v>172</v>
      </c>
      <c r="H246" s="333">
        <v>45941</v>
      </c>
      <c r="I246" s="228" t="s">
        <v>778</v>
      </c>
      <c r="J246" s="228">
        <v>34</v>
      </c>
    </row>
    <row r="247" spans="1:10" ht="27.75" customHeight="1" x14ac:dyDescent="0.2">
      <c r="A247" s="317">
        <v>245</v>
      </c>
      <c r="B247" s="332" t="s">
        <v>255</v>
      </c>
      <c r="C247" s="228" t="s">
        <v>615</v>
      </c>
      <c r="D247" s="228" t="s">
        <v>30</v>
      </c>
      <c r="E247" s="333">
        <v>45937</v>
      </c>
      <c r="F247" s="231">
        <v>39.17</v>
      </c>
      <c r="G247" s="512" t="s">
        <v>172</v>
      </c>
      <c r="H247" s="333">
        <v>45942</v>
      </c>
      <c r="I247" s="228" t="s">
        <v>471</v>
      </c>
      <c r="J247" s="228">
        <v>25</v>
      </c>
    </row>
    <row r="248" spans="1:10" ht="27.75" customHeight="1" x14ac:dyDescent="0.2">
      <c r="A248" s="317">
        <v>246</v>
      </c>
      <c r="B248" s="288" t="s">
        <v>202</v>
      </c>
      <c r="C248" s="283" t="s">
        <v>721</v>
      </c>
      <c r="D248" s="317" t="s">
        <v>30</v>
      </c>
      <c r="E248" s="257">
        <v>45940</v>
      </c>
      <c r="F248" s="317">
        <v>37.72</v>
      </c>
      <c r="G248" s="512" t="s">
        <v>172</v>
      </c>
      <c r="H248" s="335">
        <v>45945</v>
      </c>
      <c r="I248" s="317" t="s">
        <v>453</v>
      </c>
      <c r="J248" s="317">
        <v>35</v>
      </c>
    </row>
    <row r="249" spans="1:10" ht="27.75" customHeight="1" x14ac:dyDescent="0.2">
      <c r="A249" s="317">
        <v>247</v>
      </c>
      <c r="B249" s="288" t="s">
        <v>431</v>
      </c>
      <c r="C249" s="283" t="s">
        <v>956</v>
      </c>
      <c r="D249" s="317" t="s">
        <v>30</v>
      </c>
      <c r="E249" s="257">
        <v>45942</v>
      </c>
      <c r="F249" s="317">
        <v>44.850999999999999</v>
      </c>
      <c r="G249" s="512" t="s">
        <v>172</v>
      </c>
      <c r="H249" s="335">
        <v>45946</v>
      </c>
      <c r="I249" s="317" t="s">
        <v>778</v>
      </c>
      <c r="J249" s="317">
        <v>34</v>
      </c>
    </row>
    <row r="250" spans="1:10" ht="27.75" customHeight="1" x14ac:dyDescent="0.2">
      <c r="A250" s="317">
        <v>248</v>
      </c>
      <c r="B250" s="288" t="s">
        <v>221</v>
      </c>
      <c r="C250" s="283" t="s">
        <v>615</v>
      </c>
      <c r="D250" s="317" t="s">
        <v>30</v>
      </c>
      <c r="E250" s="257">
        <v>45943</v>
      </c>
      <c r="F250" s="317">
        <v>39.17</v>
      </c>
      <c r="G250" s="323" t="s">
        <v>172</v>
      </c>
      <c r="H250" s="335">
        <v>45947</v>
      </c>
      <c r="I250" s="317" t="s">
        <v>471</v>
      </c>
      <c r="J250" s="317">
        <v>25</v>
      </c>
    </row>
    <row r="251" spans="1:10" ht="27.75" customHeight="1" x14ac:dyDescent="0.2">
      <c r="A251" s="317">
        <v>249</v>
      </c>
      <c r="B251" s="288" t="s">
        <v>386</v>
      </c>
      <c r="C251" s="283" t="s">
        <v>34</v>
      </c>
      <c r="D251" s="317" t="s">
        <v>432</v>
      </c>
      <c r="E251" s="257">
        <v>45940</v>
      </c>
      <c r="F251" s="317">
        <v>37.930999999999997</v>
      </c>
      <c r="G251" s="323" t="s">
        <v>172</v>
      </c>
      <c r="H251" s="335">
        <v>45949</v>
      </c>
      <c r="I251" s="317" t="s">
        <v>707</v>
      </c>
      <c r="J251" s="317">
        <v>34</v>
      </c>
    </row>
    <row r="252" spans="1:10" ht="27.75" customHeight="1" x14ac:dyDescent="0.2">
      <c r="A252" s="317">
        <v>250</v>
      </c>
      <c r="B252" s="288" t="s">
        <v>962</v>
      </c>
      <c r="C252" s="283" t="s">
        <v>206</v>
      </c>
      <c r="D252" s="317" t="s">
        <v>30</v>
      </c>
      <c r="E252" s="257">
        <v>45947</v>
      </c>
      <c r="F252" s="317">
        <v>31.99</v>
      </c>
      <c r="G252" s="323" t="s">
        <v>172</v>
      </c>
      <c r="H252" s="335">
        <v>45951</v>
      </c>
      <c r="I252" s="317" t="s">
        <v>453</v>
      </c>
      <c r="J252" s="317">
        <v>35</v>
      </c>
    </row>
    <row r="253" spans="1:10" ht="27.75" customHeight="1" x14ac:dyDescent="0.2">
      <c r="A253" s="317">
        <v>251</v>
      </c>
      <c r="B253" s="288" t="s">
        <v>963</v>
      </c>
      <c r="C253" s="283" t="s">
        <v>29</v>
      </c>
      <c r="D253" s="317" t="s">
        <v>30</v>
      </c>
      <c r="E253" s="257">
        <v>45947</v>
      </c>
      <c r="F253" s="317">
        <v>36.371000000000002</v>
      </c>
      <c r="G253" s="323" t="s">
        <v>172</v>
      </c>
      <c r="H253" s="335">
        <v>45951</v>
      </c>
      <c r="I253" s="317" t="s">
        <v>778</v>
      </c>
      <c r="J253" s="317">
        <v>34</v>
      </c>
    </row>
    <row r="254" spans="1:10" ht="27.75" customHeight="1" x14ac:dyDescent="0.2">
      <c r="A254" s="317">
        <v>252</v>
      </c>
      <c r="B254" s="260" t="s">
        <v>965</v>
      </c>
      <c r="C254" s="283" t="s">
        <v>721</v>
      </c>
      <c r="D254" s="317" t="s">
        <v>30</v>
      </c>
      <c r="E254" s="257">
        <v>45947</v>
      </c>
      <c r="F254" s="317">
        <v>37.72</v>
      </c>
      <c r="G254" s="323" t="s">
        <v>172</v>
      </c>
      <c r="H254" s="335">
        <v>45952</v>
      </c>
      <c r="I254" s="317" t="s">
        <v>471</v>
      </c>
      <c r="J254" s="317">
        <v>25</v>
      </c>
    </row>
    <row r="255" spans="1:10" ht="27.75" customHeight="1" x14ac:dyDescent="0.2">
      <c r="A255" s="317">
        <v>253</v>
      </c>
      <c r="B255" s="260" t="s">
        <v>415</v>
      </c>
      <c r="C255" s="283" t="s">
        <v>29</v>
      </c>
      <c r="D255" s="317" t="s">
        <v>455</v>
      </c>
      <c r="E255" s="257">
        <v>45952</v>
      </c>
      <c r="F255" s="317">
        <v>36.371000000000002</v>
      </c>
      <c r="G255" s="323" t="s">
        <v>172</v>
      </c>
      <c r="H255" s="335">
        <v>45955</v>
      </c>
      <c r="I255" s="317" t="s">
        <v>778</v>
      </c>
      <c r="J255" s="317">
        <v>34</v>
      </c>
    </row>
    <row r="256" spans="1:10" ht="27.75" customHeight="1" x14ac:dyDescent="0.2">
      <c r="A256" s="317">
        <v>254</v>
      </c>
      <c r="B256" s="260" t="s">
        <v>279</v>
      </c>
      <c r="C256" s="283" t="s">
        <v>29</v>
      </c>
      <c r="D256" s="317" t="s">
        <v>30</v>
      </c>
      <c r="E256" s="257">
        <v>45953</v>
      </c>
      <c r="F256" s="317">
        <v>36.369999999999997</v>
      </c>
      <c r="G256" s="323" t="s">
        <v>172</v>
      </c>
      <c r="H256" s="335">
        <v>45957</v>
      </c>
      <c r="I256" s="317" t="s">
        <v>471</v>
      </c>
      <c r="J256" s="317">
        <v>25</v>
      </c>
    </row>
    <row r="257" spans="1:10" ht="27.75" customHeight="1" x14ac:dyDescent="0.2">
      <c r="A257" s="317">
        <v>255</v>
      </c>
      <c r="B257" s="260" t="s">
        <v>408</v>
      </c>
      <c r="C257" s="283" t="s">
        <v>29</v>
      </c>
      <c r="D257" s="317" t="s">
        <v>432</v>
      </c>
      <c r="E257" s="257">
        <v>45944</v>
      </c>
      <c r="F257" s="317">
        <v>36.369999999999997</v>
      </c>
      <c r="G257" s="323" t="s">
        <v>172</v>
      </c>
      <c r="H257" s="335">
        <v>45957</v>
      </c>
      <c r="I257" s="317" t="s">
        <v>443</v>
      </c>
      <c r="J257" s="317">
        <v>22</v>
      </c>
    </row>
    <row r="258" spans="1:10" ht="27.75" customHeight="1" x14ac:dyDescent="0.2">
      <c r="A258" s="317">
        <v>256</v>
      </c>
      <c r="B258" s="260" t="s">
        <v>200</v>
      </c>
      <c r="C258" s="283" t="s">
        <v>205</v>
      </c>
      <c r="D258" s="317" t="s">
        <v>30</v>
      </c>
      <c r="E258" s="257">
        <v>45952</v>
      </c>
      <c r="F258" s="317">
        <v>33.380000000000003</v>
      </c>
      <c r="G258" s="323" t="s">
        <v>172</v>
      </c>
      <c r="H258" s="335">
        <v>45960</v>
      </c>
      <c r="I258" s="317" t="s">
        <v>453</v>
      </c>
      <c r="J258" s="317">
        <v>35</v>
      </c>
    </row>
    <row r="259" spans="1:10" ht="27.75" customHeight="1" x14ac:dyDescent="0.2">
      <c r="A259" s="317">
        <v>257</v>
      </c>
      <c r="B259" s="288" t="s">
        <v>281</v>
      </c>
      <c r="C259" s="317" t="s">
        <v>29</v>
      </c>
      <c r="D259" s="317" t="s">
        <v>462</v>
      </c>
      <c r="E259" s="257">
        <v>45958</v>
      </c>
      <c r="F259" s="317">
        <v>36.369999999999997</v>
      </c>
      <c r="G259" s="323" t="s">
        <v>172</v>
      </c>
      <c r="H259" s="335">
        <v>45963</v>
      </c>
      <c r="I259" s="317" t="s">
        <v>471</v>
      </c>
      <c r="J259" s="317">
        <v>25</v>
      </c>
    </row>
    <row r="260" spans="1:10" ht="27.75" customHeight="1" x14ac:dyDescent="0.2">
      <c r="A260" s="317">
        <v>258</v>
      </c>
      <c r="B260" s="288" t="s">
        <v>977</v>
      </c>
      <c r="C260" s="317" t="s">
        <v>34</v>
      </c>
      <c r="D260" s="317" t="s">
        <v>432</v>
      </c>
      <c r="E260" s="257">
        <v>45956</v>
      </c>
      <c r="F260" s="317">
        <v>37.930999999999997</v>
      </c>
      <c r="G260" s="323" t="s">
        <v>172</v>
      </c>
      <c r="H260" s="335">
        <v>45963</v>
      </c>
      <c r="I260" s="317" t="s">
        <v>778</v>
      </c>
      <c r="J260" s="317">
        <v>34</v>
      </c>
    </row>
    <row r="261" spans="1:10" ht="27.75" customHeight="1" x14ac:dyDescent="0.2">
      <c r="A261" s="317">
        <v>259</v>
      </c>
      <c r="B261" s="288" t="s">
        <v>387</v>
      </c>
      <c r="C261" s="317" t="s">
        <v>29</v>
      </c>
      <c r="D261" s="317" t="s">
        <v>336</v>
      </c>
      <c r="E261" s="257">
        <v>45951</v>
      </c>
      <c r="F261" s="317">
        <v>36.369999999999997</v>
      </c>
      <c r="G261" s="323" t="s">
        <v>172</v>
      </c>
      <c r="H261" s="335">
        <v>45963</v>
      </c>
      <c r="I261" s="317" t="s">
        <v>976</v>
      </c>
      <c r="J261" s="228">
        <v>24</v>
      </c>
    </row>
    <row r="262" spans="1:10" ht="27.75" customHeight="1" x14ac:dyDescent="0.2">
      <c r="A262" s="317">
        <v>260</v>
      </c>
      <c r="B262" s="288" t="s">
        <v>982</v>
      </c>
      <c r="C262" s="317" t="s">
        <v>206</v>
      </c>
      <c r="D262" s="317" t="s">
        <v>30</v>
      </c>
      <c r="E262" s="257">
        <v>45961</v>
      </c>
      <c r="F262" s="317">
        <v>31.99</v>
      </c>
      <c r="G262" s="323" t="s">
        <v>172</v>
      </c>
      <c r="H262" s="335">
        <v>45966</v>
      </c>
      <c r="I262" s="317" t="s">
        <v>453</v>
      </c>
      <c r="J262" s="317">
        <v>22</v>
      </c>
    </row>
    <row r="263" spans="1:10" ht="27.75" customHeight="1" x14ac:dyDescent="0.2">
      <c r="A263" s="317">
        <v>261</v>
      </c>
      <c r="B263" s="288" t="s">
        <v>238</v>
      </c>
      <c r="C263" s="317" t="s">
        <v>753</v>
      </c>
      <c r="D263" s="317" t="s">
        <v>30</v>
      </c>
      <c r="E263" s="257">
        <v>45965</v>
      </c>
      <c r="F263" s="334">
        <v>61.15</v>
      </c>
      <c r="G263" s="323" t="s">
        <v>172</v>
      </c>
      <c r="H263" s="335">
        <v>45970</v>
      </c>
      <c r="I263" s="317" t="s">
        <v>471</v>
      </c>
      <c r="J263" s="317">
        <v>25</v>
      </c>
    </row>
    <row r="264" spans="1:10" ht="27.75" customHeight="1" x14ac:dyDescent="0.2">
      <c r="A264" s="317"/>
      <c r="B264" s="288"/>
      <c r="C264" s="317"/>
      <c r="D264" s="317"/>
      <c r="E264" s="257"/>
      <c r="F264" s="317"/>
      <c r="G264" s="323"/>
      <c r="H264" s="335"/>
      <c r="I264" s="317"/>
      <c r="J264" s="317"/>
    </row>
    <row r="265" spans="1:10" ht="27.75" customHeight="1" x14ac:dyDescent="0.2">
      <c r="A265" s="317"/>
      <c r="B265" s="288"/>
      <c r="C265" s="317"/>
      <c r="D265" s="317"/>
      <c r="E265" s="257"/>
      <c r="F265" s="317"/>
      <c r="G265" s="323"/>
      <c r="H265" s="335"/>
      <c r="I265" s="317"/>
      <c r="J265" s="317"/>
    </row>
    <row r="266" spans="1:10" ht="27.75" customHeight="1" x14ac:dyDescent="0.2">
      <c r="A266" s="317"/>
      <c r="B266" s="288"/>
      <c r="C266" s="317"/>
      <c r="D266" s="317"/>
      <c r="E266" s="257"/>
      <c r="F266" s="317"/>
      <c r="G266" s="323"/>
      <c r="H266" s="335"/>
      <c r="I266" s="317"/>
      <c r="J266" s="3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1:M628"/>
  <sheetViews>
    <sheetView topLeftCell="A75" zoomScaleSheetLayoutView="50" workbookViewId="0">
      <selection activeCell="H37" sqref="H37:H40"/>
    </sheetView>
  </sheetViews>
  <sheetFormatPr defaultColWidth="9.140625" defaultRowHeight="18.75" x14ac:dyDescent="0.3"/>
  <cols>
    <col min="1" max="1" width="7.7109375" style="1" customWidth="1"/>
    <col min="2" max="2" width="10.7109375" style="252" customWidth="1"/>
    <col min="3" max="3" width="26.7109375" style="252" customWidth="1"/>
    <col min="4" max="4" width="18" style="252" customWidth="1"/>
    <col min="5" max="5" width="34.140625" style="252" customWidth="1"/>
    <col min="6" max="6" width="21.85546875" style="252" customWidth="1"/>
    <col min="7" max="7" width="33.42578125" style="252" customWidth="1"/>
    <col min="8" max="8" width="24.7109375" style="252" customWidth="1"/>
    <col min="9" max="9" width="50.140625" style="252" customWidth="1"/>
    <col min="10" max="10" width="42.85546875" style="252" customWidth="1"/>
    <col min="11" max="11" width="41.85546875" style="214" customWidth="1"/>
    <col min="12" max="12" width="24.85546875" style="214" customWidth="1"/>
    <col min="13" max="13" width="20.28515625" style="214" customWidth="1"/>
    <col min="14" max="14" width="15.85546875" style="1" customWidth="1"/>
    <col min="15" max="16384" width="9.140625" style="1"/>
  </cols>
  <sheetData>
    <row r="1" spans="2:10" ht="19.5" thickBot="1" x14ac:dyDescent="0.35">
      <c r="B1" s="764" t="s">
        <v>641</v>
      </c>
      <c r="C1" s="765"/>
      <c r="D1" s="765"/>
      <c r="E1" s="765"/>
      <c r="F1" s="765"/>
      <c r="G1" s="765"/>
      <c r="H1" s="765"/>
      <c r="I1" s="766"/>
      <c r="J1" s="235"/>
    </row>
    <row r="2" spans="2:10" ht="19.5" thickBot="1" x14ac:dyDescent="0.35">
      <c r="B2" s="767" t="s">
        <v>156</v>
      </c>
      <c r="C2" s="768"/>
      <c r="D2" s="768"/>
      <c r="E2" s="768"/>
      <c r="F2" s="768"/>
      <c r="G2" s="768"/>
      <c r="H2" s="768"/>
      <c r="I2" s="769"/>
      <c r="J2" s="235"/>
    </row>
    <row r="3" spans="2:10" ht="19.5" thickBot="1" x14ac:dyDescent="0.35">
      <c r="B3" s="236" t="s">
        <v>152</v>
      </c>
      <c r="C3" s="237" t="s">
        <v>150</v>
      </c>
      <c r="D3" s="238" t="s">
        <v>1</v>
      </c>
      <c r="E3" s="238" t="s">
        <v>537</v>
      </c>
      <c r="F3" s="238" t="s">
        <v>149</v>
      </c>
      <c r="G3" s="603" t="s">
        <v>100</v>
      </c>
      <c r="H3" s="238" t="s">
        <v>533</v>
      </c>
      <c r="I3" s="239" t="s">
        <v>534</v>
      </c>
      <c r="J3" s="235"/>
    </row>
    <row r="4" spans="2:10" x14ac:dyDescent="0.3">
      <c r="B4" s="604">
        <v>1</v>
      </c>
      <c r="C4" s="240" t="s">
        <v>155</v>
      </c>
      <c r="D4" s="240" t="s">
        <v>153</v>
      </c>
      <c r="E4" s="240">
        <v>190</v>
      </c>
      <c r="F4" s="241">
        <v>190</v>
      </c>
      <c r="G4" s="242">
        <f>E4-F4</f>
        <v>0</v>
      </c>
      <c r="H4" s="240">
        <v>169</v>
      </c>
      <c r="I4" s="534">
        <v>21</v>
      </c>
      <c r="J4" s="235"/>
    </row>
    <row r="5" spans="2:10" x14ac:dyDescent="0.3">
      <c r="B5" s="604">
        <v>2</v>
      </c>
      <c r="C5" s="240" t="s">
        <v>154</v>
      </c>
      <c r="D5" s="240" t="s">
        <v>153</v>
      </c>
      <c r="E5" s="240">
        <v>23</v>
      </c>
      <c r="F5" s="241">
        <v>23</v>
      </c>
      <c r="G5" s="242">
        <f t="shared" ref="G5:G13" si="0">E5-F5</f>
        <v>0</v>
      </c>
      <c r="H5" s="240">
        <v>22</v>
      </c>
      <c r="I5" s="534">
        <v>1</v>
      </c>
      <c r="J5" s="235"/>
    </row>
    <row r="6" spans="2:10" x14ac:dyDescent="0.3">
      <c r="B6" s="604">
        <v>3</v>
      </c>
      <c r="C6" s="240" t="s">
        <v>447</v>
      </c>
      <c r="D6" s="240" t="s">
        <v>153</v>
      </c>
      <c r="E6" s="240">
        <v>13</v>
      </c>
      <c r="F6" s="241">
        <v>13</v>
      </c>
      <c r="G6" s="242">
        <f t="shared" si="0"/>
        <v>0</v>
      </c>
      <c r="H6" s="240">
        <v>12</v>
      </c>
      <c r="I6" s="534">
        <v>1</v>
      </c>
      <c r="J6" s="235"/>
    </row>
    <row r="7" spans="2:10" x14ac:dyDescent="0.3">
      <c r="B7" s="604">
        <v>4</v>
      </c>
      <c r="C7" s="240" t="s">
        <v>642</v>
      </c>
      <c r="D7" s="240" t="s">
        <v>153</v>
      </c>
      <c r="E7" s="240">
        <v>7</v>
      </c>
      <c r="F7" s="241">
        <v>7</v>
      </c>
      <c r="G7" s="242">
        <f t="shared" si="0"/>
        <v>0</v>
      </c>
      <c r="H7" s="240">
        <v>6</v>
      </c>
      <c r="I7" s="534">
        <v>1</v>
      </c>
      <c r="J7" s="235"/>
    </row>
    <row r="8" spans="2:10" x14ac:dyDescent="0.3">
      <c r="B8" s="604">
        <v>5</v>
      </c>
      <c r="C8" s="240" t="s">
        <v>643</v>
      </c>
      <c r="D8" s="240" t="s">
        <v>153</v>
      </c>
      <c r="E8" s="240">
        <v>1</v>
      </c>
      <c r="F8" s="241">
        <v>1</v>
      </c>
      <c r="G8" s="242">
        <f t="shared" si="0"/>
        <v>0</v>
      </c>
      <c r="H8" s="240">
        <v>1</v>
      </c>
      <c r="I8" s="534"/>
      <c r="J8" s="235"/>
    </row>
    <row r="9" spans="2:10" x14ac:dyDescent="0.3">
      <c r="B9" s="604">
        <v>6</v>
      </c>
      <c r="C9" s="240" t="s">
        <v>161</v>
      </c>
      <c r="D9" s="240" t="s">
        <v>153</v>
      </c>
      <c r="E9" s="240">
        <v>61</v>
      </c>
      <c r="F9" s="241">
        <v>61</v>
      </c>
      <c r="G9" s="242">
        <f t="shared" si="0"/>
        <v>0</v>
      </c>
      <c r="H9" s="240"/>
      <c r="I9" s="534">
        <v>61</v>
      </c>
      <c r="J9" s="235"/>
    </row>
    <row r="10" spans="2:10" x14ac:dyDescent="0.3">
      <c r="B10" s="604">
        <v>7</v>
      </c>
      <c r="C10" s="240" t="s">
        <v>539</v>
      </c>
      <c r="D10" s="240" t="s">
        <v>153</v>
      </c>
      <c r="E10" s="535">
        <v>11</v>
      </c>
      <c r="F10" s="536">
        <v>11</v>
      </c>
      <c r="G10" s="242">
        <f t="shared" si="0"/>
        <v>0</v>
      </c>
      <c r="H10" s="240"/>
      <c r="I10" s="534">
        <v>11</v>
      </c>
      <c r="J10" s="235"/>
    </row>
    <row r="11" spans="2:10" x14ac:dyDescent="0.3">
      <c r="B11" s="604">
        <v>7</v>
      </c>
      <c r="C11" s="240" t="s">
        <v>644</v>
      </c>
      <c r="D11" s="240" t="s">
        <v>153</v>
      </c>
      <c r="E11" s="535">
        <v>4</v>
      </c>
      <c r="F11" s="536">
        <v>4</v>
      </c>
      <c r="G11" s="242">
        <f t="shared" si="0"/>
        <v>0</v>
      </c>
      <c r="H11" s="240"/>
      <c r="I11" s="534">
        <v>4</v>
      </c>
      <c r="J11" s="235"/>
    </row>
    <row r="12" spans="2:10" x14ac:dyDescent="0.3">
      <c r="B12" s="604">
        <v>8</v>
      </c>
      <c r="C12" s="240" t="s">
        <v>538</v>
      </c>
      <c r="D12" s="240" t="s">
        <v>153</v>
      </c>
      <c r="E12" s="535"/>
      <c r="F12" s="536"/>
      <c r="G12" s="242">
        <f t="shared" si="0"/>
        <v>0</v>
      </c>
      <c r="H12" s="240"/>
      <c r="I12" s="534"/>
      <c r="J12" s="235"/>
    </row>
    <row r="13" spans="2:10" ht="19.5" thickBot="1" x14ac:dyDescent="0.35">
      <c r="B13" s="605">
        <v>9</v>
      </c>
      <c r="C13" s="517" t="s">
        <v>645</v>
      </c>
      <c r="D13" s="517" t="s">
        <v>153</v>
      </c>
      <c r="E13" s="517">
        <v>2</v>
      </c>
      <c r="F13" s="537">
        <v>2</v>
      </c>
      <c r="G13" s="243">
        <f t="shared" si="0"/>
        <v>0</v>
      </c>
      <c r="H13" s="517"/>
      <c r="I13" s="538">
        <v>2</v>
      </c>
      <c r="J13" s="235"/>
    </row>
    <row r="14" spans="2:10" ht="21.75" customHeight="1" thickBot="1" x14ac:dyDescent="0.35">
      <c r="B14" s="597"/>
      <c r="C14" s="244" t="s">
        <v>162</v>
      </c>
      <c r="D14" s="244" t="s">
        <v>153</v>
      </c>
      <c r="E14" s="244">
        <f>SUM(E4:E13)</f>
        <v>312</v>
      </c>
      <c r="F14" s="245">
        <f>SUM(F4:F13)</f>
        <v>312</v>
      </c>
      <c r="G14" s="245">
        <f>SUM(G4:G13)</f>
        <v>0</v>
      </c>
      <c r="H14" s="244">
        <f>SUM(H4:H13)</f>
        <v>210</v>
      </c>
      <c r="I14" s="244">
        <f>SUM(I4:I13)</f>
        <v>102</v>
      </c>
      <c r="J14" s="235"/>
    </row>
    <row r="15" spans="2:10" ht="27.75" customHeight="1" thickBot="1" x14ac:dyDescent="0.35">
      <c r="B15" s="235"/>
      <c r="C15" s="235"/>
      <c r="D15" s="235"/>
      <c r="E15" s="235"/>
      <c r="F15" s="235"/>
      <c r="G15" s="235"/>
      <c r="H15" s="246"/>
      <c r="I15" s="246"/>
      <c r="J15" s="235"/>
    </row>
    <row r="16" spans="2:10" ht="30" customHeight="1" x14ac:dyDescent="0.3">
      <c r="B16" s="767" t="s">
        <v>535</v>
      </c>
      <c r="C16" s="768"/>
      <c r="D16" s="768"/>
      <c r="E16" s="768"/>
      <c r="F16" s="768"/>
      <c r="G16" s="768"/>
      <c r="H16" s="768"/>
      <c r="I16" s="768"/>
      <c r="J16" s="769"/>
    </row>
    <row r="17" spans="2:12" ht="23.25" customHeight="1" x14ac:dyDescent="0.3">
      <c r="B17" s="604" t="s">
        <v>152</v>
      </c>
      <c r="C17" s="240" t="s">
        <v>151</v>
      </c>
      <c r="D17" s="240" t="s">
        <v>150</v>
      </c>
      <c r="E17" s="240" t="s">
        <v>537</v>
      </c>
      <c r="F17" s="240" t="s">
        <v>149</v>
      </c>
      <c r="G17" s="240" t="s">
        <v>540</v>
      </c>
      <c r="H17" s="240" t="s">
        <v>533</v>
      </c>
      <c r="I17" s="240" t="s">
        <v>534</v>
      </c>
      <c r="J17" s="534" t="s">
        <v>646</v>
      </c>
    </row>
    <row r="18" spans="2:12" ht="24.75" customHeight="1" x14ac:dyDescent="0.3">
      <c r="B18" s="746">
        <v>1</v>
      </c>
      <c r="C18" s="747" t="s">
        <v>148</v>
      </c>
      <c r="D18" s="599" t="s">
        <v>147</v>
      </c>
      <c r="E18" s="599">
        <v>190</v>
      </c>
      <c r="F18" s="240">
        <v>190</v>
      </c>
      <c r="G18" s="240">
        <f t="shared" ref="G18:G28" si="1">E18-F18</f>
        <v>0</v>
      </c>
      <c r="H18" s="240">
        <v>172</v>
      </c>
      <c r="I18" s="240">
        <v>18</v>
      </c>
      <c r="J18" s="515"/>
    </row>
    <row r="19" spans="2:12" x14ac:dyDescent="0.3">
      <c r="B19" s="746"/>
      <c r="C19" s="747"/>
      <c r="D19" s="249" t="s">
        <v>146</v>
      </c>
      <c r="E19" s="249">
        <v>99</v>
      </c>
      <c r="F19" s="240">
        <v>99</v>
      </c>
      <c r="G19" s="240">
        <f t="shared" si="1"/>
        <v>0</v>
      </c>
      <c r="H19" s="240">
        <v>90</v>
      </c>
      <c r="I19" s="240">
        <v>9</v>
      </c>
      <c r="J19" s="515"/>
    </row>
    <row r="20" spans="2:12" x14ac:dyDescent="0.3">
      <c r="B20" s="746"/>
      <c r="C20" s="747"/>
      <c r="D20" s="249" t="s">
        <v>145</v>
      </c>
      <c r="E20" s="249">
        <v>57</v>
      </c>
      <c r="F20" s="240">
        <v>57</v>
      </c>
      <c r="G20" s="240">
        <f t="shared" si="1"/>
        <v>0</v>
      </c>
      <c r="H20" s="240">
        <f>38+13</f>
        <v>51</v>
      </c>
      <c r="I20" s="240">
        <v>6</v>
      </c>
      <c r="J20" s="515"/>
    </row>
    <row r="21" spans="2:12" x14ac:dyDescent="0.3">
      <c r="B21" s="746"/>
      <c r="C21" s="747"/>
      <c r="D21" s="249" t="s">
        <v>144</v>
      </c>
      <c r="E21" s="249">
        <v>21</v>
      </c>
      <c r="F21" s="240">
        <v>21</v>
      </c>
      <c r="G21" s="240">
        <f t="shared" si="1"/>
        <v>0</v>
      </c>
      <c r="H21" s="240">
        <v>19</v>
      </c>
      <c r="I21" s="240">
        <v>2</v>
      </c>
      <c r="J21" s="515"/>
    </row>
    <row r="22" spans="2:12" ht="19.5" thickBot="1" x14ac:dyDescent="0.35">
      <c r="B22" s="746"/>
      <c r="C22" s="747"/>
      <c r="D22" s="249" t="s">
        <v>143</v>
      </c>
      <c r="E22" s="249">
        <v>7</v>
      </c>
      <c r="F22" s="240">
        <v>7</v>
      </c>
      <c r="G22" s="240">
        <f t="shared" si="1"/>
        <v>0</v>
      </c>
      <c r="H22" s="240">
        <v>7</v>
      </c>
      <c r="I22" s="240"/>
      <c r="J22" s="515"/>
    </row>
    <row r="23" spans="2:12" ht="19.5" thickBot="1" x14ac:dyDescent="0.35">
      <c r="B23" s="746"/>
      <c r="C23" s="747"/>
      <c r="D23" s="249" t="s">
        <v>142</v>
      </c>
      <c r="E23" s="249">
        <v>6</v>
      </c>
      <c r="F23" s="240">
        <v>6</v>
      </c>
      <c r="G23" s="240">
        <f t="shared" si="1"/>
        <v>0</v>
      </c>
      <c r="H23" s="240">
        <v>5</v>
      </c>
      <c r="I23" s="240">
        <v>1</v>
      </c>
      <c r="J23" s="515"/>
      <c r="K23" s="758" t="s">
        <v>950</v>
      </c>
      <c r="L23" s="759"/>
    </row>
    <row r="24" spans="2:12" x14ac:dyDescent="0.3">
      <c r="B24" s="746">
        <v>2</v>
      </c>
      <c r="C24" s="747" t="s">
        <v>460</v>
      </c>
      <c r="D24" s="599" t="s">
        <v>147</v>
      </c>
      <c r="E24" s="599">
        <v>23</v>
      </c>
      <c r="F24" s="240">
        <v>23</v>
      </c>
      <c r="G24" s="240">
        <f t="shared" si="1"/>
        <v>0</v>
      </c>
      <c r="H24" s="240">
        <v>23</v>
      </c>
      <c r="I24" s="240">
        <v>1</v>
      </c>
      <c r="J24" s="515"/>
      <c r="K24" s="760" t="s">
        <v>979</v>
      </c>
      <c r="L24" s="618"/>
    </row>
    <row r="25" spans="2:12" x14ac:dyDescent="0.3">
      <c r="B25" s="746"/>
      <c r="C25" s="747"/>
      <c r="D25" s="249" t="s">
        <v>146</v>
      </c>
      <c r="E25" s="249">
        <v>16</v>
      </c>
      <c r="F25" s="240">
        <v>16</v>
      </c>
      <c r="G25" s="240">
        <f t="shared" si="1"/>
        <v>0</v>
      </c>
      <c r="H25" s="240">
        <v>15</v>
      </c>
      <c r="I25" s="240">
        <v>1</v>
      </c>
      <c r="J25" s="515"/>
      <c r="K25" s="761"/>
      <c r="L25" s="618"/>
    </row>
    <row r="26" spans="2:12" x14ac:dyDescent="0.3">
      <c r="B26" s="746"/>
      <c r="C26" s="747"/>
      <c r="D26" s="249" t="s">
        <v>145</v>
      </c>
      <c r="E26" s="240">
        <v>1</v>
      </c>
      <c r="F26" s="240">
        <v>1</v>
      </c>
      <c r="G26" s="240">
        <f t="shared" si="1"/>
        <v>0</v>
      </c>
      <c r="H26" s="240">
        <v>1</v>
      </c>
      <c r="I26" s="240"/>
      <c r="J26" s="515"/>
      <c r="K26" s="761"/>
      <c r="L26" s="618"/>
    </row>
    <row r="27" spans="2:12" x14ac:dyDescent="0.3">
      <c r="B27" s="746"/>
      <c r="C27" s="747"/>
      <c r="D27" s="249" t="s">
        <v>144</v>
      </c>
      <c r="E27" s="249">
        <v>1</v>
      </c>
      <c r="F27" s="240">
        <v>1</v>
      </c>
      <c r="G27" s="240">
        <f t="shared" si="1"/>
        <v>0</v>
      </c>
      <c r="H27" s="240">
        <v>1</v>
      </c>
      <c r="I27" s="240"/>
      <c r="J27" s="515"/>
      <c r="K27" s="761"/>
      <c r="L27" s="228" t="s">
        <v>980</v>
      </c>
    </row>
    <row r="28" spans="2:12" x14ac:dyDescent="0.3">
      <c r="B28" s="746"/>
      <c r="C28" s="747"/>
      <c r="D28" s="249" t="s">
        <v>143</v>
      </c>
      <c r="E28" s="249">
        <v>5</v>
      </c>
      <c r="F28" s="240">
        <v>5</v>
      </c>
      <c r="G28" s="240">
        <f t="shared" si="1"/>
        <v>0</v>
      </c>
      <c r="H28" s="240">
        <v>5</v>
      </c>
      <c r="I28" s="240"/>
      <c r="J28" s="515"/>
      <c r="K28" s="761"/>
      <c r="L28" s="619"/>
    </row>
    <row r="29" spans="2:12" x14ac:dyDescent="0.3">
      <c r="B29" s="746"/>
      <c r="C29" s="747"/>
      <c r="D29" s="249" t="s">
        <v>142</v>
      </c>
      <c r="E29" s="249"/>
      <c r="F29" s="240"/>
      <c r="G29" s="240"/>
      <c r="H29" s="240"/>
      <c r="I29" s="240"/>
      <c r="J29" s="515"/>
      <c r="K29" s="761"/>
      <c r="L29" s="618"/>
    </row>
    <row r="30" spans="2:12" ht="36.75" customHeight="1" x14ac:dyDescent="0.3">
      <c r="B30" s="746">
        <v>3</v>
      </c>
      <c r="C30" s="747" t="s">
        <v>542</v>
      </c>
      <c r="D30" s="599" t="s">
        <v>147</v>
      </c>
      <c r="E30" s="599">
        <v>13</v>
      </c>
      <c r="F30" s="240">
        <v>13</v>
      </c>
      <c r="G30" s="240">
        <f>E30-F30</f>
        <v>0</v>
      </c>
      <c r="H30" s="240">
        <v>12</v>
      </c>
      <c r="I30" s="240">
        <v>1</v>
      </c>
      <c r="J30" s="515"/>
      <c r="K30" s="761"/>
      <c r="L30" s="620"/>
    </row>
    <row r="31" spans="2:12" ht="33" customHeight="1" thickBot="1" x14ac:dyDescent="0.35">
      <c r="B31" s="746"/>
      <c r="C31" s="747"/>
      <c r="D31" s="249" t="s">
        <v>146</v>
      </c>
      <c r="E31" s="249">
        <v>8</v>
      </c>
      <c r="F31" s="240">
        <v>8</v>
      </c>
      <c r="G31" s="240">
        <v>0</v>
      </c>
      <c r="H31" s="240">
        <v>7</v>
      </c>
      <c r="I31" s="240">
        <v>1</v>
      </c>
      <c r="J31" s="515"/>
      <c r="K31" s="762"/>
      <c r="L31" s="620"/>
    </row>
    <row r="32" spans="2:12" x14ac:dyDescent="0.3">
      <c r="B32" s="746"/>
      <c r="C32" s="747"/>
      <c r="D32" s="249" t="s">
        <v>145</v>
      </c>
      <c r="E32" s="249">
        <v>2</v>
      </c>
      <c r="F32" s="240">
        <v>2</v>
      </c>
      <c r="G32" s="240">
        <v>0</v>
      </c>
      <c r="H32" s="240">
        <v>2</v>
      </c>
      <c r="I32" s="240"/>
      <c r="J32" s="515"/>
      <c r="K32" s="621"/>
    </row>
    <row r="33" spans="2:12" ht="34.5" customHeight="1" x14ac:dyDescent="0.3">
      <c r="B33" s="746"/>
      <c r="C33" s="747"/>
      <c r="D33" s="249" t="s">
        <v>144</v>
      </c>
      <c r="E33" s="249">
        <v>2</v>
      </c>
      <c r="F33" s="240">
        <v>2</v>
      </c>
      <c r="G33" s="240">
        <v>0</v>
      </c>
      <c r="H33" s="240">
        <v>2</v>
      </c>
      <c r="I33" s="240"/>
      <c r="J33" s="515"/>
      <c r="K33" s="621"/>
    </row>
    <row r="34" spans="2:12" ht="36" customHeight="1" x14ac:dyDescent="0.3">
      <c r="B34" s="746"/>
      <c r="C34" s="747"/>
      <c r="D34" s="249" t="s">
        <v>543</v>
      </c>
      <c r="E34" s="249">
        <v>1</v>
      </c>
      <c r="F34" s="249">
        <v>1</v>
      </c>
      <c r="G34" s="240">
        <v>0</v>
      </c>
      <c r="H34" s="240">
        <v>1</v>
      </c>
      <c r="I34" s="240"/>
      <c r="J34" s="515"/>
      <c r="K34" s="621"/>
    </row>
    <row r="35" spans="2:12" x14ac:dyDescent="0.3">
      <c r="B35" s="746"/>
      <c r="C35" s="747"/>
      <c r="D35" s="249" t="s">
        <v>142</v>
      </c>
      <c r="E35" s="249"/>
      <c r="F35" s="240"/>
      <c r="G35" s="240"/>
      <c r="H35" s="240"/>
      <c r="I35" s="240"/>
      <c r="J35" s="515"/>
      <c r="K35" s="252"/>
      <c r="L35" s="252"/>
    </row>
    <row r="36" spans="2:12" ht="36.75" customHeight="1" x14ac:dyDescent="0.3">
      <c r="B36" s="746">
        <v>3</v>
      </c>
      <c r="C36" s="747" t="s">
        <v>461</v>
      </c>
      <c r="D36" s="599" t="s">
        <v>147</v>
      </c>
      <c r="E36" s="599">
        <v>7</v>
      </c>
      <c r="F36" s="240">
        <v>7</v>
      </c>
      <c r="G36" s="240">
        <f>E36-F36</f>
        <v>0</v>
      </c>
      <c r="H36" s="240">
        <v>6</v>
      </c>
      <c r="I36" s="553">
        <v>1</v>
      </c>
      <c r="J36" s="515"/>
      <c r="K36" s="748"/>
      <c r="L36" s="748"/>
    </row>
    <row r="37" spans="2:12" ht="33" customHeight="1" x14ac:dyDescent="0.3">
      <c r="B37" s="746"/>
      <c r="C37" s="747"/>
      <c r="D37" s="249" t="s">
        <v>146</v>
      </c>
      <c r="E37" s="249">
        <v>3</v>
      </c>
      <c r="F37" s="240">
        <v>3</v>
      </c>
      <c r="G37" s="240">
        <v>0</v>
      </c>
      <c r="H37" s="240">
        <v>3</v>
      </c>
      <c r="I37" s="553"/>
      <c r="J37" s="515"/>
      <c r="K37" s="757"/>
      <c r="L37" s="763"/>
    </row>
    <row r="38" spans="2:12" x14ac:dyDescent="0.3">
      <c r="B38" s="746"/>
      <c r="C38" s="747"/>
      <c r="D38" s="249" t="s">
        <v>145</v>
      </c>
      <c r="E38" s="249">
        <v>2</v>
      </c>
      <c r="F38" s="240">
        <v>2</v>
      </c>
      <c r="G38" s="240">
        <v>0</v>
      </c>
      <c r="H38" s="240">
        <v>1</v>
      </c>
      <c r="I38" s="240">
        <v>1</v>
      </c>
      <c r="J38" s="515"/>
      <c r="K38" s="757"/>
      <c r="L38" s="763"/>
    </row>
    <row r="39" spans="2:12" ht="34.5" customHeight="1" x14ac:dyDescent="0.3">
      <c r="B39" s="746"/>
      <c r="C39" s="747"/>
      <c r="D39" s="249" t="s">
        <v>144</v>
      </c>
      <c r="E39" s="249">
        <v>1</v>
      </c>
      <c r="F39" s="240">
        <v>1</v>
      </c>
      <c r="G39" s="240">
        <v>0</v>
      </c>
      <c r="H39" s="240">
        <v>1</v>
      </c>
      <c r="I39" s="240"/>
      <c r="J39" s="515"/>
      <c r="K39" s="757"/>
      <c r="L39" s="763"/>
    </row>
    <row r="40" spans="2:12" ht="36" customHeight="1" x14ac:dyDescent="0.3">
      <c r="B40" s="746"/>
      <c r="C40" s="747"/>
      <c r="D40" s="249" t="s">
        <v>143</v>
      </c>
      <c r="E40" s="249">
        <v>1</v>
      </c>
      <c r="F40" s="240">
        <v>1</v>
      </c>
      <c r="G40" s="240">
        <v>0</v>
      </c>
      <c r="H40" s="240">
        <v>1</v>
      </c>
      <c r="I40" s="240"/>
      <c r="J40" s="515"/>
      <c r="K40" s="757"/>
      <c r="L40" s="220"/>
    </row>
    <row r="41" spans="2:12" x14ac:dyDescent="0.3">
      <c r="B41" s="746"/>
      <c r="C41" s="747"/>
      <c r="D41" s="249" t="s">
        <v>142</v>
      </c>
      <c r="E41" s="249"/>
      <c r="F41" s="240"/>
      <c r="G41" s="240"/>
      <c r="H41" s="240"/>
      <c r="I41" s="240"/>
      <c r="J41" s="515"/>
      <c r="K41" s="757"/>
      <c r="L41" s="222"/>
    </row>
    <row r="42" spans="2:12" ht="36.75" customHeight="1" x14ac:dyDescent="0.3">
      <c r="B42" s="746">
        <v>4</v>
      </c>
      <c r="C42" s="747" t="s">
        <v>777</v>
      </c>
      <c r="D42" s="599" t="s">
        <v>147</v>
      </c>
      <c r="E42" s="599">
        <v>1</v>
      </c>
      <c r="F42" s="240">
        <v>1</v>
      </c>
      <c r="G42" s="240">
        <f>E42-F42</f>
        <v>0</v>
      </c>
      <c r="H42" s="240">
        <v>1</v>
      </c>
      <c r="I42" s="553"/>
      <c r="J42" s="515"/>
      <c r="K42" s="757"/>
      <c r="L42" s="220"/>
    </row>
    <row r="43" spans="2:12" x14ac:dyDescent="0.3">
      <c r="B43" s="746"/>
      <c r="C43" s="747"/>
      <c r="D43" s="249" t="s">
        <v>145</v>
      </c>
      <c r="E43" s="249">
        <v>1</v>
      </c>
      <c r="F43" s="240">
        <v>1</v>
      </c>
      <c r="G43" s="240">
        <v>0</v>
      </c>
      <c r="H43" s="240">
        <v>1</v>
      </c>
      <c r="I43" s="240"/>
      <c r="J43" s="515"/>
      <c r="K43" s="757"/>
      <c r="L43" s="622"/>
    </row>
    <row r="44" spans="2:12" x14ac:dyDescent="0.3">
      <c r="B44" s="746">
        <v>5</v>
      </c>
      <c r="C44" s="747" t="s">
        <v>168</v>
      </c>
      <c r="D44" s="599" t="s">
        <v>147</v>
      </c>
      <c r="E44" s="599">
        <v>61</v>
      </c>
      <c r="F44" s="599">
        <v>61</v>
      </c>
      <c r="G44" s="240">
        <f t="shared" ref="G44:G54" si="2">E44-F44</f>
        <v>0</v>
      </c>
      <c r="H44" s="240"/>
      <c r="I44" s="240">
        <v>61</v>
      </c>
      <c r="J44" s="515"/>
      <c r="K44" s="757"/>
      <c r="L44" s="622"/>
    </row>
    <row r="45" spans="2:12" x14ac:dyDescent="0.3">
      <c r="B45" s="746"/>
      <c r="C45" s="747"/>
      <c r="D45" s="249" t="s">
        <v>146</v>
      </c>
      <c r="E45" s="249">
        <v>31</v>
      </c>
      <c r="F45" s="240">
        <v>31</v>
      </c>
      <c r="G45" s="240">
        <f t="shared" si="2"/>
        <v>0</v>
      </c>
      <c r="H45" s="240"/>
      <c r="I45" s="240">
        <v>31</v>
      </c>
      <c r="J45" s="515"/>
      <c r="K45" s="748"/>
      <c r="L45" s="748"/>
    </row>
    <row r="46" spans="2:12" x14ac:dyDescent="0.3">
      <c r="B46" s="746"/>
      <c r="C46" s="747"/>
      <c r="D46" s="249" t="s">
        <v>145</v>
      </c>
      <c r="E46" s="249">
        <v>21</v>
      </c>
      <c r="F46" s="240">
        <v>21</v>
      </c>
      <c r="G46" s="240">
        <f t="shared" si="2"/>
        <v>0</v>
      </c>
      <c r="H46" s="240"/>
      <c r="I46" s="240">
        <v>21</v>
      </c>
      <c r="J46" s="515"/>
      <c r="K46" s="596"/>
      <c r="L46" s="596"/>
    </row>
    <row r="47" spans="2:12" x14ac:dyDescent="0.3">
      <c r="B47" s="746"/>
      <c r="C47" s="747"/>
      <c r="D47" s="249" t="s">
        <v>144</v>
      </c>
      <c r="E47" s="249">
        <v>5</v>
      </c>
      <c r="F47" s="240">
        <v>5</v>
      </c>
      <c r="G47" s="240">
        <f t="shared" si="2"/>
        <v>0</v>
      </c>
      <c r="H47" s="240"/>
      <c r="I47" s="240">
        <v>5</v>
      </c>
      <c r="J47" s="515"/>
      <c r="K47" s="596"/>
      <c r="L47" s="596"/>
    </row>
    <row r="48" spans="2:12" x14ac:dyDescent="0.3">
      <c r="B48" s="746"/>
      <c r="C48" s="747"/>
      <c r="D48" s="249" t="s">
        <v>143</v>
      </c>
      <c r="E48" s="249">
        <v>4</v>
      </c>
      <c r="F48" s="240">
        <v>4</v>
      </c>
      <c r="G48" s="240">
        <f t="shared" si="2"/>
        <v>0</v>
      </c>
      <c r="H48" s="240"/>
      <c r="I48" s="240">
        <v>4</v>
      </c>
      <c r="J48" s="515"/>
      <c r="K48" s="596"/>
      <c r="L48" s="596"/>
    </row>
    <row r="49" spans="2:12" x14ac:dyDescent="0.3">
      <c r="B49" s="746"/>
      <c r="C49" s="747"/>
      <c r="D49" s="249" t="s">
        <v>142</v>
      </c>
      <c r="E49" s="249"/>
      <c r="F49" s="240"/>
      <c r="G49" s="240">
        <f t="shared" si="2"/>
        <v>0</v>
      </c>
      <c r="H49" s="240"/>
      <c r="I49" s="240"/>
      <c r="J49" s="515"/>
      <c r="K49" s="596"/>
      <c r="L49" s="596"/>
    </row>
    <row r="50" spans="2:12" x14ac:dyDescent="0.3">
      <c r="B50" s="746">
        <v>5</v>
      </c>
      <c r="C50" s="747" t="s">
        <v>848</v>
      </c>
      <c r="D50" s="599" t="s">
        <v>147</v>
      </c>
      <c r="E50" s="599">
        <v>11</v>
      </c>
      <c r="F50" s="240">
        <v>11</v>
      </c>
      <c r="G50" s="240">
        <f t="shared" si="2"/>
        <v>0</v>
      </c>
      <c r="H50" s="240"/>
      <c r="I50" s="240">
        <v>11</v>
      </c>
      <c r="J50" s="515"/>
      <c r="K50" s="596"/>
      <c r="L50" s="622"/>
    </row>
    <row r="51" spans="2:12" x14ac:dyDescent="0.3">
      <c r="B51" s="746"/>
      <c r="C51" s="747"/>
      <c r="D51" s="249" t="s">
        <v>146</v>
      </c>
      <c r="E51" s="249">
        <v>3</v>
      </c>
      <c r="F51" s="240">
        <v>3</v>
      </c>
      <c r="G51" s="240">
        <f t="shared" si="2"/>
        <v>0</v>
      </c>
      <c r="H51" s="240"/>
      <c r="I51" s="240">
        <v>3</v>
      </c>
      <c r="J51" s="515"/>
      <c r="K51" s="748"/>
      <c r="L51" s="748"/>
    </row>
    <row r="52" spans="2:12" x14ac:dyDescent="0.3">
      <c r="B52" s="746"/>
      <c r="C52" s="747"/>
      <c r="D52" s="249" t="s">
        <v>145</v>
      </c>
      <c r="E52" s="249">
        <v>2</v>
      </c>
      <c r="F52" s="240">
        <v>2</v>
      </c>
      <c r="G52" s="240">
        <f t="shared" si="2"/>
        <v>0</v>
      </c>
      <c r="H52" s="240"/>
      <c r="I52" s="240">
        <v>2</v>
      </c>
      <c r="J52" s="515"/>
      <c r="K52" s="596"/>
      <c r="L52" s="596"/>
    </row>
    <row r="53" spans="2:12" x14ac:dyDescent="0.3">
      <c r="B53" s="746"/>
      <c r="C53" s="747"/>
      <c r="D53" s="249" t="s">
        <v>144</v>
      </c>
      <c r="E53" s="249">
        <v>4</v>
      </c>
      <c r="F53" s="240">
        <v>4</v>
      </c>
      <c r="G53" s="240">
        <f t="shared" si="2"/>
        <v>0</v>
      </c>
      <c r="H53" s="240"/>
      <c r="I53" s="240">
        <v>4</v>
      </c>
      <c r="J53" s="515"/>
      <c r="K53" s="596"/>
      <c r="L53" s="596"/>
    </row>
    <row r="54" spans="2:12" x14ac:dyDescent="0.3">
      <c r="B54" s="746"/>
      <c r="C54" s="747"/>
      <c r="D54" s="249" t="s">
        <v>143</v>
      </c>
      <c r="E54" s="249">
        <v>2</v>
      </c>
      <c r="F54" s="240">
        <v>2</v>
      </c>
      <c r="G54" s="240">
        <f t="shared" si="2"/>
        <v>0</v>
      </c>
      <c r="H54" s="240"/>
      <c r="I54" s="240">
        <v>2</v>
      </c>
      <c r="J54" s="515"/>
      <c r="K54" s="596"/>
      <c r="L54" s="596"/>
    </row>
    <row r="55" spans="2:12" x14ac:dyDescent="0.3">
      <c r="B55" s="746"/>
      <c r="C55" s="747"/>
      <c r="D55" s="249" t="s">
        <v>142</v>
      </c>
      <c r="E55" s="249"/>
      <c r="F55" s="240"/>
      <c r="G55" s="240"/>
      <c r="H55" s="240"/>
      <c r="I55" s="240"/>
      <c r="J55" s="515"/>
      <c r="K55" s="596"/>
      <c r="L55" s="596"/>
    </row>
    <row r="56" spans="2:12" x14ac:dyDescent="0.3">
      <c r="B56" s="746">
        <v>6</v>
      </c>
      <c r="C56" s="747" t="s">
        <v>831</v>
      </c>
      <c r="D56" s="599" t="s">
        <v>147</v>
      </c>
      <c r="E56" s="599">
        <v>4</v>
      </c>
      <c r="F56" s="240">
        <v>4</v>
      </c>
      <c r="G56" s="240"/>
      <c r="H56" s="240"/>
      <c r="I56" s="240">
        <v>4</v>
      </c>
      <c r="J56" s="515"/>
      <c r="K56" s="595"/>
      <c r="L56" s="595"/>
    </row>
    <row r="57" spans="2:12" x14ac:dyDescent="0.3">
      <c r="B57" s="746"/>
      <c r="C57" s="747"/>
      <c r="D57" s="249" t="s">
        <v>146</v>
      </c>
      <c r="E57" s="249">
        <v>2</v>
      </c>
      <c r="F57" s="240">
        <v>2</v>
      </c>
      <c r="G57" s="240"/>
      <c r="H57" s="240"/>
      <c r="I57" s="240">
        <v>2</v>
      </c>
      <c r="J57" s="515"/>
      <c r="K57" s="748"/>
      <c r="L57" s="748"/>
    </row>
    <row r="58" spans="2:12" x14ac:dyDescent="0.3">
      <c r="B58" s="746"/>
      <c r="C58" s="747"/>
      <c r="D58" s="249" t="s">
        <v>145</v>
      </c>
      <c r="E58" s="249"/>
      <c r="F58" s="240"/>
      <c r="G58" s="240"/>
      <c r="H58" s="240"/>
      <c r="I58" s="240"/>
      <c r="J58" s="515"/>
      <c r="K58" s="757"/>
      <c r="L58" s="221"/>
    </row>
    <row r="59" spans="2:12" x14ac:dyDescent="0.3">
      <c r="B59" s="746"/>
      <c r="C59" s="747"/>
      <c r="D59" s="249" t="s">
        <v>144</v>
      </c>
      <c r="E59" s="249">
        <v>2</v>
      </c>
      <c r="F59" s="240">
        <v>2</v>
      </c>
      <c r="G59" s="240"/>
      <c r="H59" s="240"/>
      <c r="I59" s="240">
        <v>2</v>
      </c>
      <c r="J59" s="515"/>
      <c r="K59" s="757"/>
      <c r="L59" s="339"/>
    </row>
    <row r="60" spans="2:12" x14ac:dyDescent="0.3">
      <c r="B60" s="746"/>
      <c r="C60" s="747"/>
      <c r="D60" s="249" t="s">
        <v>143</v>
      </c>
      <c r="E60" s="249"/>
      <c r="F60" s="240"/>
      <c r="G60" s="240"/>
      <c r="H60" s="240"/>
      <c r="I60" s="240"/>
      <c r="J60" s="515"/>
      <c r="K60" s="757"/>
      <c r="L60" s="595"/>
    </row>
    <row r="61" spans="2:12" x14ac:dyDescent="0.3">
      <c r="B61" s="746"/>
      <c r="C61" s="747"/>
      <c r="D61" s="249" t="s">
        <v>142</v>
      </c>
      <c r="E61" s="249"/>
      <c r="F61" s="240"/>
      <c r="G61" s="240"/>
      <c r="H61" s="240"/>
      <c r="I61" s="240"/>
      <c r="J61" s="515"/>
      <c r="K61" s="757"/>
      <c r="L61" s="595"/>
    </row>
    <row r="62" spans="2:12" x14ac:dyDescent="0.3">
      <c r="B62" s="751">
        <v>7</v>
      </c>
      <c r="C62" s="749" t="s">
        <v>849</v>
      </c>
      <c r="D62" s="599" t="s">
        <v>147</v>
      </c>
      <c r="E62" s="249">
        <v>2</v>
      </c>
      <c r="F62" s="240">
        <v>2</v>
      </c>
      <c r="G62" s="240"/>
      <c r="H62" s="240"/>
      <c r="I62" s="240">
        <v>2</v>
      </c>
      <c r="J62" s="515"/>
      <c r="K62" s="616"/>
      <c r="L62" s="595"/>
    </row>
    <row r="63" spans="2:12" x14ac:dyDescent="0.3">
      <c r="B63" s="752"/>
      <c r="C63" s="750"/>
      <c r="D63" s="249" t="s">
        <v>146</v>
      </c>
      <c r="E63" s="249">
        <v>2</v>
      </c>
      <c r="F63" s="240">
        <v>2</v>
      </c>
      <c r="G63" s="240"/>
      <c r="H63" s="240"/>
      <c r="I63" s="240">
        <v>2</v>
      </c>
      <c r="J63" s="515"/>
      <c r="K63" s="616"/>
      <c r="L63" s="595"/>
    </row>
    <row r="64" spans="2:12" ht="23.25" customHeight="1" thickBot="1" x14ac:dyDescent="0.35">
      <c r="B64" s="605"/>
      <c r="C64" s="517"/>
      <c r="D64" s="627" t="s">
        <v>162</v>
      </c>
      <c r="E64" s="516"/>
      <c r="F64" s="628">
        <v>312</v>
      </c>
      <c r="G64" s="517">
        <f>312-F64</f>
        <v>0</v>
      </c>
      <c r="H64" s="517"/>
      <c r="I64" s="517"/>
      <c r="J64" s="518"/>
    </row>
    <row r="65" spans="2:13" ht="12.75" customHeight="1" x14ac:dyDescent="0.3">
      <c r="B65" s="251"/>
      <c r="C65" s="251"/>
    </row>
    <row r="66" spans="2:13" ht="12.75" customHeight="1" x14ac:dyDescent="0.3">
      <c r="B66" s="251"/>
      <c r="C66" s="251"/>
    </row>
    <row r="67" spans="2:13" ht="12.75" customHeight="1" x14ac:dyDescent="0.3">
      <c r="B67" s="251"/>
      <c r="C67" s="251"/>
    </row>
    <row r="68" spans="2:13" ht="12.75" customHeight="1" x14ac:dyDescent="0.4">
      <c r="B68" s="753"/>
      <c r="C68" s="753"/>
      <c r="D68" s="753"/>
      <c r="E68" s="753"/>
      <c r="F68" s="753"/>
      <c r="G68" s="753"/>
      <c r="H68" s="753"/>
      <c r="I68" s="753"/>
      <c r="J68" s="753"/>
      <c r="K68" s="753"/>
      <c r="L68" s="753"/>
      <c r="M68" s="753"/>
    </row>
    <row r="69" spans="2:13" ht="27.75" customHeight="1" x14ac:dyDescent="0.2">
      <c r="B69" s="276" t="s">
        <v>0</v>
      </c>
      <c r="C69" s="276" t="s">
        <v>1</v>
      </c>
      <c r="D69" s="276" t="s">
        <v>2</v>
      </c>
      <c r="E69" s="276" t="s">
        <v>3</v>
      </c>
      <c r="F69" s="276" t="s">
        <v>141</v>
      </c>
      <c r="G69" s="276" t="s">
        <v>100</v>
      </c>
      <c r="H69" s="276" t="s">
        <v>99</v>
      </c>
      <c r="I69" s="276" t="s">
        <v>98</v>
      </c>
      <c r="J69" s="276" t="s">
        <v>97</v>
      </c>
      <c r="K69" s="276" t="s">
        <v>140</v>
      </c>
      <c r="L69" s="276" t="s">
        <v>96</v>
      </c>
      <c r="M69" s="276" t="s">
        <v>4</v>
      </c>
    </row>
    <row r="70" spans="2:13" ht="38.25" customHeight="1" x14ac:dyDescent="0.2">
      <c r="B70" s="489" t="s">
        <v>95</v>
      </c>
      <c r="C70" s="277" t="s">
        <v>153</v>
      </c>
      <c r="D70" s="277">
        <v>312</v>
      </c>
      <c r="E70" s="277">
        <v>312</v>
      </c>
      <c r="F70" s="277">
        <v>312</v>
      </c>
      <c r="G70" s="277">
        <f>E70-F70</f>
        <v>0</v>
      </c>
      <c r="H70" s="278"/>
      <c r="I70" s="278"/>
      <c r="J70" s="277"/>
      <c r="K70" s="278">
        <f>F70+J70</f>
        <v>312</v>
      </c>
      <c r="L70" s="278">
        <f>E70-K70</f>
        <v>0</v>
      </c>
      <c r="M70" s="483"/>
    </row>
    <row r="71" spans="2:13" ht="39.75" customHeight="1" thickBot="1" x14ac:dyDescent="0.25">
      <c r="B71" s="490" t="s">
        <v>94</v>
      </c>
      <c r="C71" s="484" t="s">
        <v>93</v>
      </c>
      <c r="D71" s="484">
        <v>312</v>
      </c>
      <c r="E71" s="484">
        <v>312</v>
      </c>
      <c r="F71" s="484">
        <v>311</v>
      </c>
      <c r="G71" s="484">
        <f>E71-F71</f>
        <v>1</v>
      </c>
      <c r="H71" s="485"/>
      <c r="I71" s="485">
        <v>1</v>
      </c>
      <c r="J71" s="484">
        <v>1</v>
      </c>
      <c r="K71" s="485">
        <v>312</v>
      </c>
      <c r="L71" s="485">
        <f>312-K71</f>
        <v>0</v>
      </c>
      <c r="M71" s="486"/>
    </row>
    <row r="73" spans="2:13" ht="66" customHeight="1" thickBot="1" x14ac:dyDescent="0.35"/>
    <row r="74" spans="2:13" ht="45" customHeight="1" x14ac:dyDescent="0.2">
      <c r="B74" s="754" t="s">
        <v>735</v>
      </c>
      <c r="C74" s="755"/>
      <c r="D74" s="755"/>
      <c r="E74" s="755"/>
      <c r="F74" s="755"/>
      <c r="G74" s="755"/>
      <c r="H74" s="755"/>
      <c r="I74" s="755"/>
      <c r="J74" s="756"/>
      <c r="K74" s="589"/>
      <c r="L74" s="590"/>
      <c r="M74" s="591"/>
    </row>
    <row r="75" spans="2:13" ht="75" customHeight="1" x14ac:dyDescent="0.2">
      <c r="B75" s="592" t="s">
        <v>479</v>
      </c>
      <c r="C75" s="592" t="s">
        <v>480</v>
      </c>
      <c r="D75" s="592" t="s">
        <v>1</v>
      </c>
      <c r="E75" s="592" t="s">
        <v>512</v>
      </c>
      <c r="F75" s="592" t="s">
        <v>985</v>
      </c>
      <c r="G75" s="592" t="s">
        <v>986</v>
      </c>
      <c r="H75" s="592" t="s">
        <v>660</v>
      </c>
      <c r="I75" s="592" t="s">
        <v>987</v>
      </c>
      <c r="J75" s="592" t="s">
        <v>984</v>
      </c>
      <c r="K75" s="592" t="s">
        <v>983</v>
      </c>
      <c r="L75" s="592" t="s">
        <v>742</v>
      </c>
      <c r="M75" s="592" t="s">
        <v>743</v>
      </c>
    </row>
    <row r="76" spans="2:13" ht="12.75" x14ac:dyDescent="0.2">
      <c r="B76" s="228">
        <v>1</v>
      </c>
      <c r="C76" s="228" t="s">
        <v>481</v>
      </c>
      <c r="D76" s="411" t="s">
        <v>482</v>
      </c>
      <c r="E76" s="412">
        <v>312</v>
      </c>
      <c r="F76" s="412">
        <v>312</v>
      </c>
      <c r="G76" s="412">
        <v>312</v>
      </c>
      <c r="H76" s="228"/>
      <c r="I76" s="230">
        <f>E76-G76</f>
        <v>0</v>
      </c>
      <c r="J76" s="230"/>
      <c r="K76" s="422"/>
      <c r="L76" s="421">
        <f t="shared" ref="L76:L87" si="3">G76+K76</f>
        <v>312</v>
      </c>
      <c r="M76" s="421">
        <f t="shared" ref="M76:M87" si="4">E76-L76</f>
        <v>0</v>
      </c>
    </row>
    <row r="77" spans="2:13" ht="12.75" x14ac:dyDescent="0.2">
      <c r="B77" s="228">
        <v>2</v>
      </c>
      <c r="C77" s="228" t="s">
        <v>483</v>
      </c>
      <c r="D77" s="228" t="s">
        <v>185</v>
      </c>
      <c r="E77" s="412">
        <v>312</v>
      </c>
      <c r="F77" s="412">
        <v>312</v>
      </c>
      <c r="G77" s="412">
        <v>311</v>
      </c>
      <c r="H77" s="228"/>
      <c r="I77" s="230">
        <f>E77-G77</f>
        <v>1</v>
      </c>
      <c r="J77" s="230" t="s">
        <v>988</v>
      </c>
      <c r="K77" s="422">
        <v>1</v>
      </c>
      <c r="L77" s="421">
        <f t="shared" si="3"/>
        <v>312</v>
      </c>
      <c r="M77" s="421">
        <f t="shared" si="4"/>
        <v>0</v>
      </c>
    </row>
    <row r="78" spans="2:13" ht="12.75" x14ac:dyDescent="0.2">
      <c r="B78" s="228">
        <v>3</v>
      </c>
      <c r="C78" s="228" t="s">
        <v>484</v>
      </c>
      <c r="D78" s="411" t="s">
        <v>485</v>
      </c>
      <c r="E78" s="413">
        <v>126.18899999999999</v>
      </c>
      <c r="F78" s="413">
        <v>126.18899999999999</v>
      </c>
      <c r="G78" s="414">
        <v>122.01</v>
      </c>
      <c r="H78" s="228"/>
      <c r="I78" s="231">
        <f>E78-G78</f>
        <v>4.1789999999999878</v>
      </c>
      <c r="J78" s="231">
        <v>4.18</v>
      </c>
      <c r="K78" s="422"/>
      <c r="L78" s="421">
        <f t="shared" si="3"/>
        <v>122.01</v>
      </c>
      <c r="M78" s="593">
        <f t="shared" si="4"/>
        <v>4.1789999999999878</v>
      </c>
    </row>
    <row r="79" spans="2:13" ht="12.75" x14ac:dyDescent="0.2">
      <c r="B79" s="228">
        <v>5</v>
      </c>
      <c r="C79" s="228" t="s">
        <v>488</v>
      </c>
      <c r="D79" s="229" t="s">
        <v>485</v>
      </c>
      <c r="E79" s="413">
        <v>4412</v>
      </c>
      <c r="F79" s="413">
        <v>4412</v>
      </c>
      <c r="G79" s="232">
        <v>4330.2439999999997</v>
      </c>
      <c r="H79" s="228"/>
      <c r="I79" s="346">
        <f t="shared" ref="I79:I87" si="5">E79-G79</f>
        <v>81.756000000000313</v>
      </c>
      <c r="J79" s="230">
        <v>81.8</v>
      </c>
      <c r="K79" s="422"/>
      <c r="L79" s="421">
        <f t="shared" si="3"/>
        <v>4330.2439999999997</v>
      </c>
      <c r="M79" s="421">
        <f t="shared" si="4"/>
        <v>81.756000000000313</v>
      </c>
    </row>
    <row r="80" spans="2:13" ht="12.75" x14ac:dyDescent="0.2">
      <c r="B80" s="228">
        <v>6</v>
      </c>
      <c r="C80" s="228" t="s">
        <v>486</v>
      </c>
      <c r="D80" s="228" t="s">
        <v>487</v>
      </c>
      <c r="E80" s="233">
        <v>1</v>
      </c>
      <c r="F80" s="233">
        <v>1</v>
      </c>
      <c r="G80" s="233">
        <v>0.97570000000000001</v>
      </c>
      <c r="H80" s="233"/>
      <c r="I80" s="347">
        <f t="shared" si="5"/>
        <v>2.4299999999999988E-2</v>
      </c>
      <c r="J80" s="594">
        <v>0.02</v>
      </c>
      <c r="K80" s="233"/>
      <c r="L80" s="233">
        <f t="shared" si="3"/>
        <v>0.97570000000000001</v>
      </c>
      <c r="M80" s="233">
        <f t="shared" si="4"/>
        <v>2.4299999999999988E-2</v>
      </c>
    </row>
    <row r="81" spans="2:13" ht="12.75" x14ac:dyDescent="0.2">
      <c r="B81" s="228">
        <v>7</v>
      </c>
      <c r="C81" s="228" t="s">
        <v>489</v>
      </c>
      <c r="D81" s="228" t="s">
        <v>185</v>
      </c>
      <c r="E81" s="413">
        <v>12246</v>
      </c>
      <c r="F81" s="413">
        <v>12246</v>
      </c>
      <c r="G81" s="234">
        <f>10680+1096</f>
        <v>11776</v>
      </c>
      <c r="H81" s="228"/>
      <c r="I81" s="230">
        <f t="shared" si="5"/>
        <v>470</v>
      </c>
      <c r="J81" s="230">
        <v>470</v>
      </c>
      <c r="K81" s="422"/>
      <c r="L81" s="230">
        <f t="shared" si="3"/>
        <v>11776</v>
      </c>
      <c r="M81" s="230">
        <f t="shared" si="4"/>
        <v>470</v>
      </c>
    </row>
    <row r="82" spans="2:13" ht="12.75" x14ac:dyDescent="0.2">
      <c r="B82" s="228">
        <v>8</v>
      </c>
      <c r="C82" s="228" t="s">
        <v>490</v>
      </c>
      <c r="D82" s="228" t="s">
        <v>14</v>
      </c>
      <c r="E82" s="413">
        <v>127.56</v>
      </c>
      <c r="F82" s="413">
        <v>127.56</v>
      </c>
      <c r="G82" s="234">
        <v>84.617000000000004</v>
      </c>
      <c r="H82" s="228"/>
      <c r="I82" s="231">
        <f t="shared" si="5"/>
        <v>42.942999999999998</v>
      </c>
      <c r="J82" s="231">
        <v>42.94</v>
      </c>
      <c r="K82" s="422">
        <f>32.785+10.142</f>
        <v>42.926999999999992</v>
      </c>
      <c r="L82" s="231">
        <f>G82+K82</f>
        <v>127.544</v>
      </c>
      <c r="M82" s="231">
        <f t="shared" si="4"/>
        <v>1.6000000000005343E-2</v>
      </c>
    </row>
    <row r="83" spans="2:13" ht="12.75" x14ac:dyDescent="0.2">
      <c r="B83" s="228">
        <v>9</v>
      </c>
      <c r="C83" s="228" t="s">
        <v>517</v>
      </c>
      <c r="D83" s="228" t="s">
        <v>487</v>
      </c>
      <c r="E83" s="233">
        <v>1</v>
      </c>
      <c r="F83" s="233">
        <v>1</v>
      </c>
      <c r="G83" s="233">
        <v>0.6</v>
      </c>
      <c r="H83" s="233"/>
      <c r="I83" s="347">
        <f t="shared" si="5"/>
        <v>0.4</v>
      </c>
      <c r="J83" s="594">
        <v>0.4</v>
      </c>
      <c r="K83" s="422"/>
      <c r="L83" s="233">
        <f>G83+K83</f>
        <v>0.6</v>
      </c>
      <c r="M83" s="233">
        <f t="shared" si="4"/>
        <v>0.4</v>
      </c>
    </row>
    <row r="84" spans="2:13" ht="12.75" x14ac:dyDescent="0.2">
      <c r="B84" s="228">
        <v>9</v>
      </c>
      <c r="C84" s="228" t="s">
        <v>491</v>
      </c>
      <c r="D84" s="228" t="s">
        <v>487</v>
      </c>
      <c r="E84" s="233">
        <v>1</v>
      </c>
      <c r="F84" s="233">
        <v>1</v>
      </c>
      <c r="G84" s="233">
        <v>1</v>
      </c>
      <c r="H84" s="233"/>
      <c r="I84" s="347">
        <f t="shared" si="5"/>
        <v>0</v>
      </c>
      <c r="J84" s="233"/>
      <c r="K84" s="594"/>
      <c r="L84" s="233">
        <f t="shared" si="3"/>
        <v>1</v>
      </c>
      <c r="M84" s="233">
        <f t="shared" si="4"/>
        <v>0</v>
      </c>
    </row>
    <row r="85" spans="2:13" ht="12.75" x14ac:dyDescent="0.2">
      <c r="B85" s="228">
        <v>10</v>
      </c>
      <c r="C85" s="228" t="s">
        <v>668</v>
      </c>
      <c r="D85" s="228" t="s">
        <v>487</v>
      </c>
      <c r="E85" s="233">
        <v>1</v>
      </c>
      <c r="F85" s="233">
        <v>1</v>
      </c>
      <c r="G85" s="233">
        <v>0.97650000000000003</v>
      </c>
      <c r="H85" s="233"/>
      <c r="I85" s="348">
        <f t="shared" si="5"/>
        <v>2.3499999999999965E-2</v>
      </c>
      <c r="J85" s="594">
        <v>2.4E-2</v>
      </c>
      <c r="K85" s="594"/>
      <c r="L85" s="233">
        <f t="shared" si="3"/>
        <v>0.97650000000000003</v>
      </c>
      <c r="M85" s="233">
        <f t="shared" si="4"/>
        <v>2.3499999999999965E-2</v>
      </c>
    </row>
    <row r="86" spans="2:13" ht="12.75" x14ac:dyDescent="0.2">
      <c r="B86" s="228">
        <v>11</v>
      </c>
      <c r="C86" s="228" t="s">
        <v>492</v>
      </c>
      <c r="D86" s="228" t="s">
        <v>487</v>
      </c>
      <c r="E86" s="233">
        <v>1</v>
      </c>
      <c r="F86" s="233">
        <v>1</v>
      </c>
      <c r="G86" s="233">
        <v>1</v>
      </c>
      <c r="H86" s="233"/>
      <c r="I86" s="347">
        <f t="shared" si="5"/>
        <v>0</v>
      </c>
      <c r="J86" s="233"/>
      <c r="K86" s="594"/>
      <c r="L86" s="233">
        <f t="shared" si="3"/>
        <v>1</v>
      </c>
      <c r="M86" s="233">
        <f t="shared" si="4"/>
        <v>0</v>
      </c>
    </row>
    <row r="87" spans="2:13" ht="12.75" x14ac:dyDescent="0.2">
      <c r="B87" s="228">
        <v>12</v>
      </c>
      <c r="C87" s="228" t="s">
        <v>511</v>
      </c>
      <c r="D87" s="228" t="s">
        <v>487</v>
      </c>
      <c r="E87" s="233">
        <v>1</v>
      </c>
      <c r="F87" s="233">
        <v>1</v>
      </c>
      <c r="G87" s="233">
        <v>0.95</v>
      </c>
      <c r="H87" s="233"/>
      <c r="I87" s="347">
        <f t="shared" si="5"/>
        <v>5.0000000000000044E-2</v>
      </c>
      <c r="J87" s="594">
        <v>0.05</v>
      </c>
      <c r="K87" s="594"/>
      <c r="L87" s="233">
        <f t="shared" si="3"/>
        <v>0.95</v>
      </c>
      <c r="M87" s="233">
        <f t="shared" si="4"/>
        <v>5.0000000000000044E-2</v>
      </c>
    </row>
    <row r="624" spans="2:2" x14ac:dyDescent="0.3">
      <c r="B624" s="252">
        <v>14</v>
      </c>
    </row>
    <row r="625" spans="2:2" x14ac:dyDescent="0.3">
      <c r="B625" s="252">
        <v>15</v>
      </c>
    </row>
    <row r="626" spans="2:2" x14ac:dyDescent="0.3">
      <c r="B626" s="252">
        <v>16</v>
      </c>
    </row>
    <row r="627" spans="2:2" x14ac:dyDescent="0.3">
      <c r="B627" s="252">
        <v>17</v>
      </c>
    </row>
    <row r="628" spans="2:2" x14ac:dyDescent="0.3">
      <c r="B628" s="252">
        <v>18</v>
      </c>
    </row>
  </sheetData>
  <mergeCells count="32">
    <mergeCell ref="B1:I1"/>
    <mergeCell ref="B2:I2"/>
    <mergeCell ref="B16:J16"/>
    <mergeCell ref="B18:B23"/>
    <mergeCell ref="C18:C23"/>
    <mergeCell ref="K23:L23"/>
    <mergeCell ref="K45:L45"/>
    <mergeCell ref="B44:B49"/>
    <mergeCell ref="C44:C49"/>
    <mergeCell ref="B42:B43"/>
    <mergeCell ref="C42:C43"/>
    <mergeCell ref="B24:B29"/>
    <mergeCell ref="C24:C29"/>
    <mergeCell ref="B30:B35"/>
    <mergeCell ref="C30:C35"/>
    <mergeCell ref="B36:B41"/>
    <mergeCell ref="C36:C41"/>
    <mergeCell ref="K24:K31"/>
    <mergeCell ref="K36:L36"/>
    <mergeCell ref="K37:K44"/>
    <mergeCell ref="L37:L39"/>
    <mergeCell ref="B68:M68"/>
    <mergeCell ref="B74:J74"/>
    <mergeCell ref="K57:L57"/>
    <mergeCell ref="K58:K61"/>
    <mergeCell ref="B56:B61"/>
    <mergeCell ref="C56:C61"/>
    <mergeCell ref="B50:B55"/>
    <mergeCell ref="C50:C55"/>
    <mergeCell ref="K51:L51"/>
    <mergeCell ref="C62:C63"/>
    <mergeCell ref="B62:B63"/>
  </mergeCells>
  <printOptions horizontalCentered="1" verticalCentered="1"/>
  <pageMargins left="0" right="0" top="0" bottom="0" header="0.31496062992125984" footer="0.31496062992125984"/>
  <pageSetup paperSize="9" scale="44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F198"/>
  <sheetViews>
    <sheetView topLeftCell="A23" zoomScale="80" zoomScaleNormal="80" zoomScaleSheetLayoutView="70" workbookViewId="0">
      <selection activeCell="T195" sqref="T195"/>
    </sheetView>
  </sheetViews>
  <sheetFormatPr defaultColWidth="9" defaultRowHeight="15.75" x14ac:dyDescent="0.25"/>
  <cols>
    <col min="2" max="2" width="14.140625" customWidth="1"/>
    <col min="3" max="3" width="9.140625" bestFit="1" customWidth="1"/>
    <col min="4" max="4" width="10" customWidth="1"/>
    <col min="5" max="5" width="10.140625" customWidth="1"/>
    <col min="6" max="6" width="10.42578125" customWidth="1"/>
    <col min="7" max="7" width="9.42578125" customWidth="1"/>
    <col min="8" max="8" width="10.42578125" customWidth="1"/>
    <col min="9" max="9" width="9.85546875" customWidth="1"/>
    <col min="10" max="10" width="11.5703125" customWidth="1"/>
    <col min="11" max="11" width="9" customWidth="1"/>
    <col min="12" max="12" width="10.85546875" customWidth="1"/>
    <col min="13" max="13" width="7.140625" customWidth="1"/>
    <col min="14" max="14" width="11.42578125" customWidth="1"/>
    <col min="16" max="16" width="10.42578125" customWidth="1"/>
    <col min="17" max="17" width="10.28515625" customWidth="1"/>
    <col min="18" max="18" width="9.7109375" customWidth="1"/>
    <col min="20" max="20" width="8.28515625" customWidth="1"/>
    <col min="21" max="21" width="10" customWidth="1"/>
    <col min="22" max="22" width="9.85546875" customWidth="1"/>
    <col min="23" max="23" width="10.140625" customWidth="1"/>
    <col min="24" max="24" width="10.28515625" customWidth="1"/>
    <col min="25" max="25" width="9.7109375" style="166" customWidth="1"/>
  </cols>
  <sheetData>
    <row r="1" spans="1:32" ht="17.25" customHeight="1" x14ac:dyDescent="0.25">
      <c r="A1" s="208"/>
      <c r="B1" s="778" t="s">
        <v>544</v>
      </c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9"/>
      <c r="Z1" s="13"/>
      <c r="AA1" s="13"/>
      <c r="AB1" s="13"/>
      <c r="AC1" s="13"/>
      <c r="AD1" s="13"/>
      <c r="AE1" s="13"/>
      <c r="AF1" s="14"/>
    </row>
    <row r="2" spans="1:32" ht="24" thickBot="1" x14ac:dyDescent="0.3">
      <c r="A2" s="86"/>
      <c r="B2" s="780" t="s">
        <v>545</v>
      </c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  <c r="O2" s="781"/>
      <c r="P2" s="781"/>
      <c r="Q2" s="781"/>
      <c r="R2" s="781"/>
      <c r="S2" s="781"/>
      <c r="T2" s="781"/>
      <c r="U2" s="781"/>
      <c r="V2" s="781"/>
      <c r="W2" s="781"/>
      <c r="X2" s="781"/>
      <c r="Y2" s="782"/>
      <c r="Z2" s="15"/>
      <c r="AA2" s="15"/>
      <c r="AB2" s="15"/>
      <c r="AC2" s="15"/>
      <c r="AD2" s="15"/>
      <c r="AE2" s="15"/>
      <c r="AF2" s="16"/>
    </row>
    <row r="3" spans="1:32" ht="24" thickBot="1" x14ac:dyDescent="0.3">
      <c r="A3" s="86"/>
      <c r="B3" s="774" t="s">
        <v>706</v>
      </c>
      <c r="C3" s="775"/>
      <c r="D3" s="502">
        <v>307</v>
      </c>
      <c r="E3" s="475" t="s">
        <v>718</v>
      </c>
      <c r="F3" s="772" t="s">
        <v>736</v>
      </c>
      <c r="G3" s="773"/>
      <c r="H3" s="502">
        <v>261</v>
      </c>
      <c r="I3" s="476" t="s">
        <v>718</v>
      </c>
      <c r="J3" s="770" t="s">
        <v>737</v>
      </c>
      <c r="K3" s="771"/>
      <c r="L3" s="502">
        <v>290</v>
      </c>
      <c r="M3" s="475" t="s">
        <v>718</v>
      </c>
      <c r="N3" s="772" t="s">
        <v>738</v>
      </c>
      <c r="O3" s="773"/>
      <c r="P3" s="492">
        <v>43.741999999999997</v>
      </c>
      <c r="Q3" s="504" t="s">
        <v>764</v>
      </c>
      <c r="R3" s="772" t="s">
        <v>740</v>
      </c>
      <c r="S3" s="773"/>
      <c r="T3" s="492">
        <v>43.741999999999997</v>
      </c>
      <c r="U3" s="504" t="s">
        <v>764</v>
      </c>
      <c r="V3" s="503" t="s">
        <v>739</v>
      </c>
      <c r="W3" s="783">
        <f ca="1">TODAY()</f>
        <v>45971</v>
      </c>
      <c r="X3" s="784"/>
      <c r="Y3" s="469"/>
      <c r="Z3" s="15"/>
      <c r="AA3" s="15"/>
      <c r="AB3" s="15"/>
      <c r="AC3" s="15"/>
      <c r="AD3" s="15"/>
      <c r="AE3" s="15"/>
      <c r="AF3" s="15"/>
    </row>
    <row r="4" spans="1:32" ht="23.25" x14ac:dyDescent="0.3">
      <c r="A4" s="86"/>
      <c r="B4" s="798" t="s">
        <v>546</v>
      </c>
      <c r="C4" s="799" t="s">
        <v>547</v>
      </c>
      <c r="D4" s="799" t="s">
        <v>548</v>
      </c>
      <c r="E4" s="799" t="s">
        <v>549</v>
      </c>
      <c r="F4" s="801" t="s">
        <v>550</v>
      </c>
      <c r="G4" s="802" t="s">
        <v>551</v>
      </c>
      <c r="H4" s="785" t="s">
        <v>552</v>
      </c>
      <c r="I4" s="787" t="s">
        <v>537</v>
      </c>
      <c r="J4" s="18"/>
      <c r="K4" s="19"/>
      <c r="L4" s="20"/>
      <c r="M4" s="21"/>
      <c r="N4" s="22"/>
      <c r="O4" s="20"/>
      <c r="P4" s="23"/>
      <c r="Q4" s="24"/>
      <c r="R4" s="25"/>
      <c r="S4" s="26"/>
      <c r="T4" s="19"/>
      <c r="U4" s="22"/>
      <c r="V4" s="25"/>
      <c r="W4" s="26"/>
      <c r="X4" s="27"/>
      <c r="Y4" s="17"/>
      <c r="Z4" s="15"/>
      <c r="AA4" s="15"/>
      <c r="AB4" s="15"/>
      <c r="AC4" s="15"/>
      <c r="AD4" s="15"/>
      <c r="AE4" s="15"/>
      <c r="AF4" s="15"/>
    </row>
    <row r="5" spans="1:32" ht="24" thickBot="1" x14ac:dyDescent="0.4">
      <c r="A5" s="86"/>
      <c r="B5" s="788"/>
      <c r="C5" s="800"/>
      <c r="D5" s="800"/>
      <c r="E5" s="800"/>
      <c r="F5" s="800"/>
      <c r="G5" s="788"/>
      <c r="H5" s="786"/>
      <c r="I5" s="788"/>
      <c r="J5" s="28" t="s">
        <v>553</v>
      </c>
      <c r="K5" s="29"/>
      <c r="L5" s="30"/>
      <c r="M5" s="325"/>
      <c r="N5" s="31"/>
      <c r="O5" s="30"/>
      <c r="P5" s="32" t="s">
        <v>554</v>
      </c>
      <c r="Q5" s="31"/>
      <c r="R5" s="33" t="s">
        <v>555</v>
      </c>
      <c r="S5" s="28"/>
      <c r="T5" s="34"/>
      <c r="U5" s="35"/>
      <c r="V5" s="790"/>
      <c r="W5" s="791"/>
      <c r="X5" s="36"/>
      <c r="Y5" s="17"/>
      <c r="Z5" s="15"/>
      <c r="AA5" s="15"/>
      <c r="AB5" s="15"/>
      <c r="AC5" s="15"/>
      <c r="AD5" s="15"/>
      <c r="AE5" s="15"/>
      <c r="AF5" s="15"/>
    </row>
    <row r="6" spans="1:32" ht="24" thickBot="1" x14ac:dyDescent="0.4">
      <c r="A6" s="86"/>
      <c r="B6" s="788" t="s">
        <v>556</v>
      </c>
      <c r="C6" s="800">
        <v>1</v>
      </c>
      <c r="D6" s="800">
        <v>2</v>
      </c>
      <c r="E6" s="800">
        <v>3</v>
      </c>
      <c r="F6" s="800">
        <v>4</v>
      </c>
      <c r="G6" s="788"/>
      <c r="H6" s="786"/>
      <c r="I6" s="789"/>
      <c r="J6" s="37" t="s">
        <v>494</v>
      </c>
      <c r="K6" s="29"/>
      <c r="L6" s="30"/>
      <c r="M6" s="29"/>
      <c r="N6" s="31"/>
      <c r="O6" s="30"/>
      <c r="P6" s="38"/>
      <c r="Q6" s="32"/>
      <c r="R6" s="320"/>
      <c r="S6" s="321"/>
      <c r="T6" s="321"/>
      <c r="U6" s="35"/>
      <c r="V6" s="319" t="s">
        <v>557</v>
      </c>
      <c r="W6" s="321"/>
      <c r="X6" s="36"/>
      <c r="Y6" s="17"/>
      <c r="Z6" s="15"/>
      <c r="AA6" s="15"/>
      <c r="AB6" s="15"/>
      <c r="AC6" s="15"/>
      <c r="AD6" s="15"/>
      <c r="AE6" s="15"/>
      <c r="AF6" s="15"/>
    </row>
    <row r="7" spans="1:32" ht="23.25" x14ac:dyDescent="0.25">
      <c r="A7" s="86"/>
      <c r="B7" s="470" t="s">
        <v>556</v>
      </c>
      <c r="C7" s="326">
        <v>6</v>
      </c>
      <c r="D7" s="326">
        <v>130</v>
      </c>
      <c r="E7" s="326">
        <v>78</v>
      </c>
      <c r="F7" s="326">
        <v>24</v>
      </c>
      <c r="G7" s="326">
        <v>11</v>
      </c>
      <c r="H7" s="471">
        <f t="shared" ref="H7:H14" si="0">SUM(C7:G7)</f>
        <v>249</v>
      </c>
      <c r="I7" s="472">
        <v>249</v>
      </c>
      <c r="J7" s="34"/>
      <c r="K7" s="792" t="s">
        <v>558</v>
      </c>
      <c r="L7" s="38"/>
      <c r="M7" s="38" t="s">
        <v>559</v>
      </c>
      <c r="N7" s="39"/>
      <c r="O7" s="40"/>
      <c r="P7" s="38"/>
      <c r="Q7" s="39"/>
      <c r="R7" s="192" t="s">
        <v>560</v>
      </c>
      <c r="S7" s="321"/>
      <c r="T7" s="321"/>
      <c r="U7" s="35"/>
      <c r="V7" s="794"/>
      <c r="W7" s="795"/>
      <c r="X7" s="36"/>
      <c r="Y7" s="17"/>
      <c r="Z7" s="15"/>
      <c r="AA7" s="15"/>
      <c r="AB7" s="15"/>
      <c r="AE7" s="15"/>
      <c r="AF7" s="15"/>
    </row>
    <row r="8" spans="1:32" ht="24" thickBot="1" x14ac:dyDescent="0.3">
      <c r="A8" s="86"/>
      <c r="B8" s="470" t="s">
        <v>561</v>
      </c>
      <c r="C8" s="326"/>
      <c r="D8" s="326">
        <v>8</v>
      </c>
      <c r="E8" s="326">
        <v>1</v>
      </c>
      <c r="F8" s="326">
        <v>4</v>
      </c>
      <c r="G8" s="326">
        <v>5</v>
      </c>
      <c r="H8" s="471">
        <f t="shared" si="0"/>
        <v>18</v>
      </c>
      <c r="I8" s="473">
        <v>18</v>
      </c>
      <c r="J8" s="498" t="s">
        <v>562</v>
      </c>
      <c r="K8" s="793"/>
      <c r="L8" s="38"/>
      <c r="M8" s="38"/>
      <c r="N8" s="39"/>
      <c r="O8" s="40"/>
      <c r="P8" s="38"/>
      <c r="Q8" s="39"/>
      <c r="R8" s="320"/>
      <c r="S8" s="321"/>
      <c r="T8" s="321"/>
      <c r="U8" s="35"/>
      <c r="V8" s="320"/>
      <c r="W8" s="321"/>
      <c r="X8" s="36"/>
      <c r="Y8" s="17"/>
      <c r="Z8" s="15"/>
      <c r="AA8" s="15"/>
      <c r="AB8" s="15"/>
      <c r="AE8" s="15"/>
      <c r="AF8" s="15"/>
    </row>
    <row r="9" spans="1:32" ht="23.25" x14ac:dyDescent="0.25">
      <c r="A9" s="86"/>
      <c r="B9" s="470" t="s">
        <v>563</v>
      </c>
      <c r="C9" s="326"/>
      <c r="D9" s="326">
        <v>11</v>
      </c>
      <c r="E9" s="326">
        <v>2</v>
      </c>
      <c r="F9" s="326">
        <v>1</v>
      </c>
      <c r="G9" s="326"/>
      <c r="H9" s="471">
        <f t="shared" si="0"/>
        <v>14</v>
      </c>
      <c r="I9" s="473">
        <v>15</v>
      </c>
      <c r="J9" s="41"/>
      <c r="K9" s="42"/>
      <c r="L9" s="40"/>
      <c r="M9" s="38"/>
      <c r="N9" s="39"/>
      <c r="O9" s="40" t="s">
        <v>566</v>
      </c>
      <c r="P9" s="38"/>
      <c r="Q9" s="39"/>
      <c r="R9" s="320"/>
      <c r="S9" s="321"/>
      <c r="T9" s="321"/>
      <c r="U9" s="35"/>
      <c r="V9" s="320"/>
      <c r="W9" s="321"/>
      <c r="X9" s="36"/>
      <c r="Y9" s="17"/>
      <c r="Z9" s="15"/>
      <c r="AA9" s="15"/>
      <c r="AB9" s="15"/>
      <c r="AC9" s="15"/>
      <c r="AD9" s="15"/>
      <c r="AE9" s="15"/>
      <c r="AF9" s="15"/>
    </row>
    <row r="10" spans="1:32" ht="23.25" x14ac:dyDescent="0.25">
      <c r="A10" s="86"/>
      <c r="B10" s="470" t="s">
        <v>564</v>
      </c>
      <c r="C10" s="326"/>
      <c r="D10" s="326">
        <v>8</v>
      </c>
      <c r="E10" s="326">
        <v>1</v>
      </c>
      <c r="F10" s="326">
        <v>1</v>
      </c>
      <c r="G10" s="326"/>
      <c r="H10" s="471">
        <v>11</v>
      </c>
      <c r="I10" s="473">
        <v>11</v>
      </c>
      <c r="J10" s="41"/>
      <c r="K10" s="318"/>
      <c r="L10" s="40"/>
      <c r="M10" s="38"/>
      <c r="N10" s="39"/>
      <c r="O10" s="40"/>
      <c r="P10" s="38"/>
      <c r="Q10" s="39"/>
      <c r="R10" s="320"/>
      <c r="S10" s="321"/>
      <c r="T10" s="321"/>
      <c r="U10" s="35"/>
      <c r="V10" s="320"/>
      <c r="W10" s="321"/>
      <c r="X10" s="36"/>
      <c r="Y10" s="17"/>
      <c r="Z10" s="15"/>
      <c r="AA10" s="15"/>
      <c r="AB10" s="15"/>
      <c r="AC10" s="15"/>
      <c r="AD10" s="15"/>
      <c r="AE10" s="15"/>
      <c r="AF10" s="15"/>
    </row>
    <row r="11" spans="1:32" ht="23.25" x14ac:dyDescent="0.3">
      <c r="A11" s="86"/>
      <c r="B11" s="470" t="s">
        <v>565</v>
      </c>
      <c r="C11" s="326"/>
      <c r="D11" s="326"/>
      <c r="E11" s="326"/>
      <c r="F11" s="326">
        <v>1</v>
      </c>
      <c r="G11" s="326"/>
      <c r="H11" s="471">
        <f t="shared" si="0"/>
        <v>1</v>
      </c>
      <c r="I11" s="473">
        <v>1</v>
      </c>
      <c r="J11" s="43"/>
      <c r="K11" s="44"/>
      <c r="L11" s="45"/>
      <c r="M11" s="44"/>
      <c r="N11" s="46"/>
      <c r="P11" s="44"/>
      <c r="Q11" s="46"/>
      <c r="R11" s="320"/>
      <c r="S11" s="321" t="s">
        <v>567</v>
      </c>
      <c r="T11" s="321"/>
      <c r="U11" s="35"/>
      <c r="V11" s="320"/>
      <c r="W11" s="321"/>
      <c r="X11" s="36"/>
      <c r="Y11" s="17"/>
      <c r="Z11" s="15"/>
      <c r="AA11" s="15"/>
      <c r="AB11" s="15"/>
      <c r="AC11" s="15"/>
      <c r="AD11" s="15"/>
      <c r="AE11" s="15"/>
      <c r="AF11" s="15"/>
    </row>
    <row r="12" spans="1:32" ht="23.25" x14ac:dyDescent="0.3">
      <c r="A12" s="86"/>
      <c r="B12" s="470" t="s">
        <v>568</v>
      </c>
      <c r="C12" s="326"/>
      <c r="D12" s="326">
        <v>1</v>
      </c>
      <c r="E12" s="326"/>
      <c r="F12" s="326"/>
      <c r="G12" s="326"/>
      <c r="H12" s="471">
        <f t="shared" si="0"/>
        <v>1</v>
      </c>
      <c r="I12" s="473">
        <v>1</v>
      </c>
      <c r="J12" s="43"/>
      <c r="K12" s="44"/>
      <c r="L12" s="45"/>
      <c r="M12" s="44"/>
      <c r="N12" s="46"/>
      <c r="O12" s="40"/>
      <c r="P12" s="44"/>
      <c r="Q12" s="47" t="s">
        <v>494</v>
      </c>
      <c r="R12" s="320"/>
      <c r="S12" s="321"/>
      <c r="T12" s="321"/>
      <c r="U12" s="35"/>
      <c r="V12" s="320"/>
      <c r="W12" s="321"/>
      <c r="X12" s="36"/>
      <c r="Y12" s="17"/>
      <c r="Z12" s="15"/>
      <c r="AA12" s="15"/>
      <c r="AB12" s="15"/>
      <c r="AC12" s="15"/>
      <c r="AD12" s="15"/>
      <c r="AE12" s="15"/>
      <c r="AF12" s="15"/>
    </row>
    <row r="13" spans="1:32" ht="29.25" customHeight="1" x14ac:dyDescent="0.25">
      <c r="A13" s="86"/>
      <c r="B13" s="470" t="s">
        <v>569</v>
      </c>
      <c r="C13" s="326"/>
      <c r="D13" s="326">
        <v>3</v>
      </c>
      <c r="E13" s="326">
        <v>1</v>
      </c>
      <c r="F13" s="326">
        <v>4</v>
      </c>
      <c r="G13" s="326">
        <v>1</v>
      </c>
      <c r="H13" s="471">
        <f t="shared" si="0"/>
        <v>9</v>
      </c>
      <c r="I13" s="473">
        <v>11</v>
      </c>
      <c r="J13" s="48" t="s">
        <v>570</v>
      </c>
      <c r="K13" s="49" t="s">
        <v>571</v>
      </c>
      <c r="L13" s="320"/>
      <c r="M13" s="321"/>
      <c r="N13" s="35"/>
      <c r="O13" s="320"/>
      <c r="P13" s="38"/>
      <c r="Q13" s="39"/>
      <c r="R13" s="320"/>
      <c r="S13" s="321" t="s">
        <v>572</v>
      </c>
      <c r="T13" s="13"/>
      <c r="U13" s="50"/>
      <c r="V13" s="796" t="s">
        <v>573</v>
      </c>
      <c r="W13" s="797"/>
      <c r="X13" s="14"/>
      <c r="Y13" s="17"/>
      <c r="Z13" s="15"/>
      <c r="AA13" s="15"/>
      <c r="AB13" s="15"/>
      <c r="AC13" s="15"/>
      <c r="AD13" s="15"/>
      <c r="AE13" s="15"/>
      <c r="AF13" s="15"/>
    </row>
    <row r="14" spans="1:32" ht="23.25" x14ac:dyDescent="0.3">
      <c r="A14" s="86"/>
      <c r="B14" s="470" t="s">
        <v>574</v>
      </c>
      <c r="C14" s="326"/>
      <c r="D14" s="326">
        <v>1</v>
      </c>
      <c r="E14" s="326">
        <v>1</v>
      </c>
      <c r="F14" s="326"/>
      <c r="G14" s="326"/>
      <c r="H14" s="471">
        <f t="shared" si="0"/>
        <v>2</v>
      </c>
      <c r="I14" s="474">
        <v>3</v>
      </c>
      <c r="J14" s="51" t="s">
        <v>575</v>
      </c>
      <c r="K14" s="52" t="s">
        <v>576</v>
      </c>
      <c r="L14" s="53"/>
      <c r="M14" s="54" t="s">
        <v>67</v>
      </c>
      <c r="N14" s="55"/>
      <c r="O14" s="38"/>
      <c r="P14" s="807" t="s">
        <v>75</v>
      </c>
      <c r="Q14" s="55"/>
      <c r="R14" s="320" t="s">
        <v>536</v>
      </c>
      <c r="S14" s="321"/>
      <c r="T14" s="321"/>
      <c r="U14" s="35"/>
      <c r="V14" s="322" t="s">
        <v>577</v>
      </c>
      <c r="W14" s="321"/>
      <c r="X14" s="36"/>
      <c r="Y14" s="17"/>
      <c r="Z14" s="15"/>
      <c r="AA14" s="15"/>
      <c r="AB14" s="15"/>
      <c r="AC14" s="15"/>
      <c r="AD14" s="15"/>
      <c r="AE14" s="15"/>
      <c r="AF14" s="15"/>
    </row>
    <row r="15" spans="1:32" ht="23.25" x14ac:dyDescent="0.3">
      <c r="A15" s="86"/>
      <c r="B15" s="809" t="s">
        <v>578</v>
      </c>
      <c r="C15" s="809"/>
      <c r="D15" s="809"/>
      <c r="E15" s="809"/>
      <c r="F15" s="809"/>
      <c r="G15" s="809"/>
      <c r="H15" s="653">
        <v>307</v>
      </c>
      <c r="I15" s="654">
        <f>SUM(I7:I14)</f>
        <v>309</v>
      </c>
      <c r="J15" s="197"/>
      <c r="K15" s="198"/>
      <c r="L15" s="199"/>
      <c r="M15" s="200"/>
      <c r="N15" s="201"/>
      <c r="O15" s="202"/>
      <c r="P15" s="808"/>
      <c r="Q15" s="201"/>
      <c r="R15" s="203"/>
      <c r="S15" s="204"/>
      <c r="T15" s="204"/>
      <c r="U15" s="205"/>
      <c r="V15" s="206"/>
      <c r="W15" s="204"/>
      <c r="X15" s="207"/>
      <c r="Y15" s="209"/>
      <c r="Z15" s="15"/>
      <c r="AA15" s="15"/>
      <c r="AB15" s="15"/>
      <c r="AC15" s="15"/>
      <c r="AD15" s="15"/>
      <c r="AE15" s="15"/>
      <c r="AF15" s="15"/>
    </row>
    <row r="16" spans="1:32" x14ac:dyDescent="0.25">
      <c r="A16" s="86"/>
      <c r="B16" s="195" t="s">
        <v>579</v>
      </c>
      <c r="C16" s="195"/>
      <c r="D16" s="195"/>
      <c r="E16" s="154"/>
      <c r="F16" s="154"/>
      <c r="G16" s="154"/>
      <c r="H16" s="154"/>
      <c r="I16" s="38"/>
      <c r="J16" s="38"/>
      <c r="K16" s="38"/>
      <c r="L16" s="38"/>
      <c r="M16" s="38"/>
      <c r="O16" s="213" t="s">
        <v>652</v>
      </c>
      <c r="P16" s="318"/>
      <c r="Q16" s="38"/>
      <c r="R16" s="321"/>
      <c r="S16" s="321"/>
      <c r="T16" s="321"/>
      <c r="U16" s="321"/>
      <c r="V16" s="196"/>
      <c r="W16" s="196"/>
      <c r="X16" s="321"/>
      <c r="Y16" s="156"/>
    </row>
    <row r="17" spans="1:25" x14ac:dyDescent="0.25">
      <c r="A17" s="86"/>
      <c r="C17" s="38"/>
      <c r="D17" s="38"/>
      <c r="E17" s="38"/>
      <c r="F17" s="38"/>
      <c r="G17" s="213" t="s">
        <v>654</v>
      </c>
      <c r="H17" s="38"/>
      <c r="I17" s="38"/>
      <c r="J17" s="38"/>
      <c r="K17" s="38"/>
      <c r="L17" s="38"/>
      <c r="M17" s="38"/>
      <c r="N17" s="38"/>
      <c r="O17" s="38"/>
      <c r="P17" s="56"/>
      <c r="Q17" s="38"/>
      <c r="R17" s="38"/>
      <c r="S17" s="38"/>
      <c r="T17" s="38"/>
      <c r="U17" s="38"/>
      <c r="V17" s="38"/>
      <c r="W17" s="38"/>
      <c r="X17" s="38"/>
      <c r="Y17" s="57"/>
    </row>
    <row r="18" spans="1:25" ht="16.5" thickBot="1" x14ac:dyDescent="0.3">
      <c r="A18" s="86"/>
      <c r="C18" s="58"/>
      <c r="D18" s="58"/>
      <c r="E18" s="58"/>
      <c r="F18" s="58"/>
      <c r="G18" s="58"/>
      <c r="H18" s="58"/>
      <c r="I18" s="59"/>
      <c r="J18" s="58"/>
      <c r="K18" s="58"/>
      <c r="L18" s="58"/>
      <c r="M18" s="58"/>
      <c r="N18" s="58"/>
      <c r="O18" s="58"/>
      <c r="P18" s="56"/>
      <c r="Q18" s="38"/>
      <c r="R18" s="38"/>
      <c r="S18" s="38"/>
      <c r="T18" s="38"/>
      <c r="U18" s="38"/>
      <c r="V18" s="38"/>
      <c r="W18" s="38"/>
      <c r="X18" s="38"/>
      <c r="Y18" s="60"/>
    </row>
    <row r="19" spans="1:25" ht="16.5" thickTop="1" x14ac:dyDescent="0.25">
      <c r="A19" s="210">
        <v>99.97</v>
      </c>
      <c r="B19" s="810"/>
      <c r="C19" s="64">
        <v>234.53</v>
      </c>
      <c r="D19" s="805"/>
      <c r="E19" s="62">
        <v>397.2</v>
      </c>
      <c r="F19" s="805"/>
      <c r="G19" s="282">
        <v>436</v>
      </c>
      <c r="H19" s="805"/>
      <c r="I19" s="63">
        <v>405</v>
      </c>
      <c r="J19" s="805"/>
      <c r="K19" s="63">
        <v>399</v>
      </c>
      <c r="L19" s="805"/>
      <c r="M19" s="63">
        <v>446.01</v>
      </c>
      <c r="N19" s="805"/>
      <c r="O19" s="281">
        <v>309.77</v>
      </c>
      <c r="P19" s="812"/>
      <c r="Q19" s="64">
        <v>394</v>
      </c>
      <c r="R19" s="812"/>
      <c r="S19" s="64">
        <v>396</v>
      </c>
      <c r="T19" s="812"/>
      <c r="U19" s="62">
        <v>370</v>
      </c>
      <c r="V19" s="805"/>
      <c r="W19" s="63">
        <v>383</v>
      </c>
      <c r="X19" s="805"/>
      <c r="Y19" s="65">
        <v>405</v>
      </c>
    </row>
    <row r="20" spans="1:25" ht="16.5" thickBot="1" x14ac:dyDescent="0.3">
      <c r="A20" s="86"/>
      <c r="B20" s="811"/>
      <c r="C20" s="58"/>
      <c r="D20" s="806"/>
      <c r="E20" s="58"/>
      <c r="F20" s="806"/>
      <c r="G20" s="66"/>
      <c r="H20" s="806"/>
      <c r="I20" s="58"/>
      <c r="J20" s="806"/>
      <c r="K20" s="58"/>
      <c r="L20" s="806"/>
      <c r="M20" s="58"/>
      <c r="N20" s="806"/>
      <c r="O20" s="58"/>
      <c r="P20" s="813"/>
      <c r="Q20" s="58"/>
      <c r="R20" s="813"/>
      <c r="S20" s="58"/>
      <c r="T20" s="813"/>
      <c r="U20" s="58"/>
      <c r="V20" s="806"/>
      <c r="W20" s="58"/>
      <c r="X20" s="806"/>
      <c r="Y20" s="67"/>
    </row>
    <row r="21" spans="1:25" ht="15" customHeight="1" x14ac:dyDescent="0.25">
      <c r="A21" s="193" t="s">
        <v>580</v>
      </c>
      <c r="B21" s="69" t="s">
        <v>581</v>
      </c>
      <c r="C21" s="68"/>
      <c r="D21" s="69" t="s">
        <v>619</v>
      </c>
      <c r="E21" s="70"/>
      <c r="F21" s="71" t="s">
        <v>620</v>
      </c>
      <c r="G21" s="70"/>
      <c r="H21" s="303" t="s">
        <v>621</v>
      </c>
      <c r="I21" s="304"/>
      <c r="J21" s="303" t="s">
        <v>622</v>
      </c>
      <c r="K21" s="304"/>
      <c r="L21" s="303" t="s">
        <v>623</v>
      </c>
      <c r="M21" s="70"/>
      <c r="N21" s="69" t="s">
        <v>624</v>
      </c>
      <c r="O21" s="70"/>
      <c r="P21" s="69" t="s">
        <v>187</v>
      </c>
      <c r="Q21" s="70"/>
      <c r="R21" s="71" t="s">
        <v>188</v>
      </c>
      <c r="S21" s="70"/>
      <c r="T21" s="71" t="s">
        <v>189</v>
      </c>
      <c r="U21" s="72"/>
      <c r="V21" s="71" t="s">
        <v>190</v>
      </c>
      <c r="W21" s="70"/>
      <c r="X21" s="71" t="s">
        <v>625</v>
      </c>
      <c r="Y21" s="73"/>
    </row>
    <row r="22" spans="1:25" x14ac:dyDescent="0.25">
      <c r="A22" s="86"/>
      <c r="B22" s="74" t="s">
        <v>240</v>
      </c>
      <c r="C22" s="68"/>
      <c r="D22" s="74" t="s">
        <v>618</v>
      </c>
      <c r="E22" s="75"/>
      <c r="F22" s="75" t="s">
        <v>194</v>
      </c>
      <c r="G22" s="75"/>
      <c r="H22" s="123" t="s">
        <v>583</v>
      </c>
      <c r="I22" s="123"/>
      <c r="J22" s="123" t="s">
        <v>193</v>
      </c>
      <c r="K22" s="123"/>
      <c r="L22" s="123" t="s">
        <v>195</v>
      </c>
      <c r="M22" s="75"/>
      <c r="N22" s="74" t="s">
        <v>591</v>
      </c>
      <c r="O22" s="75"/>
      <c r="P22" s="74" t="s">
        <v>626</v>
      </c>
      <c r="Q22" s="75"/>
      <c r="R22" s="75" t="s">
        <v>195</v>
      </c>
      <c r="S22" s="38"/>
      <c r="T22" s="75" t="s">
        <v>195</v>
      </c>
      <c r="U22" s="38"/>
      <c r="V22" s="75" t="s">
        <v>195</v>
      </c>
      <c r="W22" s="75"/>
      <c r="X22" s="75" t="s">
        <v>195</v>
      </c>
      <c r="Y22" s="17"/>
    </row>
    <row r="23" spans="1:25" x14ac:dyDescent="0.25">
      <c r="A23" s="86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60"/>
    </row>
    <row r="24" spans="1:25" ht="16.5" thickBot="1" x14ac:dyDescent="0.3">
      <c r="A24" s="86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60"/>
    </row>
    <row r="25" spans="1:25" ht="16.5" thickTop="1" x14ac:dyDescent="0.25">
      <c r="A25" s="86"/>
      <c r="B25" s="803"/>
      <c r="C25" s="62">
        <v>416.52</v>
      </c>
      <c r="D25" s="776"/>
      <c r="E25" s="63">
        <v>426</v>
      </c>
      <c r="F25" s="776"/>
      <c r="G25" s="61">
        <v>419</v>
      </c>
      <c r="H25" s="776"/>
      <c r="I25" s="61">
        <v>429</v>
      </c>
      <c r="J25" s="776"/>
      <c r="K25" s="64">
        <v>406.96</v>
      </c>
      <c r="L25" s="805"/>
      <c r="M25" s="76">
        <v>416</v>
      </c>
      <c r="N25" s="803"/>
      <c r="O25" s="77">
        <v>367</v>
      </c>
      <c r="P25" s="803"/>
      <c r="Q25" s="116">
        <v>440</v>
      </c>
      <c r="R25" s="776"/>
      <c r="S25" s="63">
        <v>407</v>
      </c>
      <c r="T25" s="805"/>
      <c r="U25" s="78">
        <v>426</v>
      </c>
      <c r="V25" s="776"/>
      <c r="W25" s="78">
        <v>404</v>
      </c>
      <c r="X25" s="805"/>
      <c r="Y25" s="79">
        <v>397</v>
      </c>
    </row>
    <row r="26" spans="1:25" ht="16.5" thickBot="1" x14ac:dyDescent="0.3">
      <c r="A26" s="86"/>
      <c r="B26" s="804"/>
      <c r="C26" s="58"/>
      <c r="D26" s="777"/>
      <c r="E26" s="58"/>
      <c r="F26" s="777"/>
      <c r="G26" s="58"/>
      <c r="H26" s="777"/>
      <c r="I26" s="38"/>
      <c r="J26" s="777"/>
      <c r="K26" s="58"/>
      <c r="L26" s="806"/>
      <c r="M26" s="66"/>
      <c r="N26" s="804"/>
      <c r="O26" s="66"/>
      <c r="P26" s="804"/>
      <c r="Q26" s="66"/>
      <c r="R26" s="777"/>
      <c r="S26" s="66"/>
      <c r="T26" s="806"/>
      <c r="U26" s="66"/>
      <c r="V26" s="777"/>
      <c r="W26" s="66"/>
      <c r="X26" s="806"/>
      <c r="Y26" s="60"/>
    </row>
    <row r="27" spans="1:25" x14ac:dyDescent="0.25">
      <c r="A27" s="86"/>
      <c r="B27" s="71" t="s">
        <v>617</v>
      </c>
      <c r="C27" s="70"/>
      <c r="D27" s="69" t="s">
        <v>191</v>
      </c>
      <c r="E27" s="70"/>
      <c r="F27" s="71" t="s">
        <v>196</v>
      </c>
      <c r="G27" s="70"/>
      <c r="H27" s="71" t="s">
        <v>197</v>
      </c>
      <c r="I27" s="66"/>
      <c r="J27" s="71" t="s">
        <v>198</v>
      </c>
      <c r="K27" s="70"/>
      <c r="L27" s="69" t="s">
        <v>199</v>
      </c>
      <c r="M27" s="66"/>
      <c r="N27" s="80" t="s">
        <v>200</v>
      </c>
      <c r="O27" s="81"/>
      <c r="P27" s="80" t="s">
        <v>201</v>
      </c>
      <c r="Q27" s="82"/>
      <c r="R27" s="80" t="s">
        <v>202</v>
      </c>
      <c r="S27" s="82"/>
      <c r="T27" s="80" t="s">
        <v>203</v>
      </c>
      <c r="U27" s="82"/>
      <c r="V27" s="80" t="s">
        <v>204</v>
      </c>
      <c r="W27" s="83"/>
      <c r="X27" s="84" t="s">
        <v>207</v>
      </c>
      <c r="Y27" s="85"/>
    </row>
    <row r="28" spans="1:25" x14ac:dyDescent="0.25">
      <c r="A28" s="86"/>
      <c r="B28" s="75" t="s">
        <v>195</v>
      </c>
      <c r="C28" s="75"/>
      <c r="D28" s="74" t="s">
        <v>194</v>
      </c>
      <c r="E28" s="75"/>
      <c r="F28" s="75" t="s">
        <v>585</v>
      </c>
      <c r="H28" s="75" t="s">
        <v>585</v>
      </c>
      <c r="I28" s="58"/>
      <c r="J28" s="75" t="s">
        <v>195</v>
      </c>
      <c r="K28" s="74"/>
      <c r="L28" s="74" t="s">
        <v>582</v>
      </c>
      <c r="M28" s="58"/>
      <c r="N28" s="68" t="s">
        <v>193</v>
      </c>
      <c r="O28" s="38"/>
      <c r="P28" s="68" t="s">
        <v>193</v>
      </c>
      <c r="Q28" s="74"/>
      <c r="R28" s="68" t="s">
        <v>583</v>
      </c>
      <c r="S28" s="72"/>
      <c r="T28" s="68" t="s">
        <v>195</v>
      </c>
      <c r="U28" s="72"/>
      <c r="V28" s="68" t="s">
        <v>193</v>
      </c>
      <c r="W28" s="72"/>
      <c r="X28" s="68" t="s">
        <v>195</v>
      </c>
      <c r="Y28" s="60"/>
    </row>
    <row r="29" spans="1:25" x14ac:dyDescent="0.25">
      <c r="A29" s="86"/>
      <c r="N29" s="87"/>
      <c r="O29" s="88"/>
      <c r="P29" s="87"/>
      <c r="Q29" s="88"/>
      <c r="R29" s="87"/>
      <c r="S29" s="89"/>
      <c r="T29" s="87"/>
      <c r="U29" s="89"/>
      <c r="V29" s="87"/>
      <c r="W29" s="89"/>
      <c r="X29" s="87"/>
      <c r="Y29" s="90"/>
    </row>
    <row r="30" spans="1:25" x14ac:dyDescent="0.25">
      <c r="A30" s="8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85"/>
    </row>
    <row r="31" spans="1:25" ht="16.5" thickBot="1" x14ac:dyDescent="0.3">
      <c r="A31" s="8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91"/>
      <c r="S31" s="66"/>
      <c r="T31" s="66"/>
      <c r="U31" s="66"/>
      <c r="V31" s="66"/>
      <c r="W31" s="66"/>
      <c r="X31" s="66"/>
      <c r="Y31" s="85"/>
    </row>
    <row r="32" spans="1:25" ht="16.5" thickTop="1" x14ac:dyDescent="0.25">
      <c r="A32" s="86"/>
      <c r="B32" s="814"/>
      <c r="C32" s="116">
        <v>450</v>
      </c>
      <c r="D32" s="776"/>
      <c r="E32" s="78">
        <v>398</v>
      </c>
      <c r="F32" s="776"/>
      <c r="G32" s="78">
        <v>417</v>
      </c>
      <c r="H32" s="776"/>
      <c r="I32" s="78">
        <v>431</v>
      </c>
      <c r="J32" s="776"/>
      <c r="K32" s="78">
        <v>415</v>
      </c>
      <c r="L32" s="776"/>
      <c r="M32" s="78">
        <v>424</v>
      </c>
      <c r="N32" s="776"/>
      <c r="O32" s="78">
        <v>417</v>
      </c>
      <c r="P32" s="776"/>
      <c r="Q32" s="78">
        <v>422</v>
      </c>
      <c r="R32" s="776"/>
      <c r="S32" s="63">
        <v>406</v>
      </c>
      <c r="T32" s="776"/>
      <c r="U32" s="78">
        <v>407</v>
      </c>
      <c r="V32" s="814"/>
      <c r="W32" s="92">
        <v>420</v>
      </c>
      <c r="X32" s="814"/>
      <c r="Y32" s="93">
        <v>409</v>
      </c>
    </row>
    <row r="33" spans="1:25" ht="16.5" thickBot="1" x14ac:dyDescent="0.3">
      <c r="A33" s="86"/>
      <c r="B33" s="815"/>
      <c r="C33" s="66"/>
      <c r="D33" s="777"/>
      <c r="E33" s="66"/>
      <c r="F33" s="777"/>
      <c r="G33" s="66"/>
      <c r="H33" s="777"/>
      <c r="I33" s="66"/>
      <c r="J33" s="777"/>
      <c r="K33" s="58"/>
      <c r="L33" s="777"/>
      <c r="M33" s="66"/>
      <c r="N33" s="777"/>
      <c r="O33" s="66"/>
      <c r="P33" s="777"/>
      <c r="Q33" s="58"/>
      <c r="R33" s="777"/>
      <c r="S33" s="58"/>
      <c r="T33" s="777"/>
      <c r="U33" s="58"/>
      <c r="V33" s="815"/>
      <c r="W33" s="66"/>
      <c r="X33" s="815"/>
      <c r="Y33" s="67"/>
    </row>
    <row r="34" spans="1:25" x14ac:dyDescent="0.25">
      <c r="A34" s="86"/>
      <c r="B34" s="84" t="s">
        <v>208</v>
      </c>
      <c r="C34" s="82"/>
      <c r="D34" s="94" t="s">
        <v>209</v>
      </c>
      <c r="E34" s="82"/>
      <c r="F34" s="84" t="s">
        <v>210</v>
      </c>
      <c r="G34" s="82"/>
      <c r="H34" s="84" t="s">
        <v>211</v>
      </c>
      <c r="I34" s="82"/>
      <c r="J34" s="95" t="s">
        <v>212</v>
      </c>
      <c r="K34" s="72"/>
      <c r="L34" s="121" t="s">
        <v>213</v>
      </c>
      <c r="M34" s="82"/>
      <c r="N34" s="95" t="s">
        <v>214</v>
      </c>
      <c r="O34" s="82"/>
      <c r="P34" s="84" t="s">
        <v>215</v>
      </c>
      <c r="Q34" s="72"/>
      <c r="R34" s="95" t="s">
        <v>216</v>
      </c>
      <c r="S34" s="72"/>
      <c r="T34" s="95" t="s">
        <v>217</v>
      </c>
      <c r="U34" s="72"/>
      <c r="V34" s="80" t="s">
        <v>218</v>
      </c>
      <c r="W34" s="58"/>
      <c r="X34" s="95" t="s">
        <v>219</v>
      </c>
      <c r="Y34" s="67"/>
    </row>
    <row r="35" spans="1:25" x14ac:dyDescent="0.25">
      <c r="A35" s="86"/>
      <c r="B35" s="68" t="s">
        <v>193</v>
      </c>
      <c r="C35" s="88"/>
      <c r="D35" s="68" t="s">
        <v>193</v>
      </c>
      <c r="E35" s="88"/>
      <c r="F35" s="96" t="s">
        <v>195</v>
      </c>
      <c r="G35" s="88"/>
      <c r="H35" s="96" t="s">
        <v>193</v>
      </c>
      <c r="I35" s="88"/>
      <c r="J35" s="87" t="s">
        <v>583</v>
      </c>
      <c r="K35" s="89"/>
      <c r="L35" s="112" t="s">
        <v>584</v>
      </c>
      <c r="M35" s="74"/>
      <c r="N35" s="87" t="s">
        <v>195</v>
      </c>
      <c r="O35" s="88"/>
      <c r="P35" s="87" t="s">
        <v>193</v>
      </c>
      <c r="Q35" s="89"/>
      <c r="R35" s="87" t="s">
        <v>195</v>
      </c>
      <c r="S35" s="89"/>
      <c r="T35" s="87" t="s">
        <v>195</v>
      </c>
      <c r="U35" s="89"/>
      <c r="V35" s="87" t="s">
        <v>193</v>
      </c>
      <c r="W35" s="97"/>
      <c r="X35" s="87" t="s">
        <v>195</v>
      </c>
      <c r="Y35" s="98"/>
    </row>
    <row r="36" spans="1:25" x14ac:dyDescent="0.25">
      <c r="A36" s="86"/>
      <c r="B36" s="100"/>
      <c r="C36" s="99"/>
      <c r="D36" s="100"/>
      <c r="E36" s="99"/>
      <c r="F36" s="100"/>
      <c r="G36" s="100"/>
      <c r="H36" s="100"/>
      <c r="I36" s="100"/>
      <c r="J36" s="100"/>
      <c r="K36" s="99"/>
      <c r="L36" s="74"/>
      <c r="M36" s="114" t="s">
        <v>653</v>
      </c>
      <c r="N36" s="100"/>
      <c r="O36" s="99"/>
      <c r="P36" s="100"/>
      <c r="Q36" s="99"/>
      <c r="R36" s="100"/>
      <c r="S36" s="99"/>
      <c r="T36" s="100"/>
      <c r="U36" s="99"/>
      <c r="V36" s="100"/>
      <c r="W36" s="99"/>
      <c r="X36" s="100"/>
      <c r="Y36" s="101"/>
    </row>
    <row r="37" spans="1:25" x14ac:dyDescent="0.25">
      <c r="A37" s="8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213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85"/>
    </row>
    <row r="38" spans="1:25" ht="16.5" thickBot="1" x14ac:dyDescent="0.3">
      <c r="A38" s="8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85"/>
    </row>
    <row r="39" spans="1:25" ht="16.5" thickTop="1" x14ac:dyDescent="0.25">
      <c r="A39" s="86"/>
      <c r="B39" s="814"/>
      <c r="C39" s="64">
        <v>439</v>
      </c>
      <c r="D39" s="816"/>
      <c r="E39" s="64">
        <v>407</v>
      </c>
      <c r="F39" s="814"/>
      <c r="G39" s="62">
        <v>441</v>
      </c>
      <c r="H39" s="776"/>
      <c r="I39" s="78">
        <v>312</v>
      </c>
      <c r="J39" s="776"/>
      <c r="K39" s="102">
        <v>460</v>
      </c>
      <c r="L39" s="805"/>
      <c r="M39" s="282">
        <v>181.66</v>
      </c>
      <c r="N39" s="805"/>
      <c r="O39" s="78">
        <v>428</v>
      </c>
      <c r="P39" s="805"/>
      <c r="Q39" s="78">
        <v>418</v>
      </c>
      <c r="R39" s="776"/>
      <c r="S39" s="92">
        <v>401</v>
      </c>
      <c r="T39" s="776"/>
      <c r="U39" s="78">
        <v>382</v>
      </c>
      <c r="V39" s="805"/>
      <c r="W39" s="78">
        <v>463</v>
      </c>
      <c r="X39" s="776"/>
      <c r="Y39" s="103">
        <v>385</v>
      </c>
    </row>
    <row r="40" spans="1:25" ht="16.5" thickBot="1" x14ac:dyDescent="0.3">
      <c r="A40" s="86"/>
      <c r="B40" s="815"/>
      <c r="C40" s="66"/>
      <c r="D40" s="817"/>
      <c r="E40" s="66"/>
      <c r="F40" s="815"/>
      <c r="G40" s="66"/>
      <c r="H40" s="777"/>
      <c r="I40" s="66"/>
      <c r="J40" s="777"/>
      <c r="K40" s="66"/>
      <c r="L40" s="806"/>
      <c r="M40" s="66"/>
      <c r="N40" s="806"/>
      <c r="O40" s="66"/>
      <c r="P40" s="806"/>
      <c r="Q40" s="58"/>
      <c r="R40" s="777"/>
      <c r="S40" s="66"/>
      <c r="T40" s="777"/>
      <c r="U40" s="58"/>
      <c r="V40" s="806"/>
      <c r="W40" s="58"/>
      <c r="X40" s="777"/>
      <c r="Y40" s="67"/>
    </row>
    <row r="41" spans="1:25" x14ac:dyDescent="0.25">
      <c r="A41" s="86"/>
      <c r="B41" s="104" t="s">
        <v>220</v>
      </c>
      <c r="C41" s="97"/>
      <c r="D41" s="104" t="s">
        <v>221</v>
      </c>
      <c r="E41" s="105"/>
      <c r="F41" s="104" t="s">
        <v>222</v>
      </c>
      <c r="G41" s="106"/>
      <c r="H41" s="104" t="s">
        <v>223</v>
      </c>
      <c r="I41" s="106"/>
      <c r="J41" s="104" t="s">
        <v>224</v>
      </c>
      <c r="K41" s="106"/>
      <c r="L41" s="107" t="s">
        <v>225</v>
      </c>
      <c r="M41" s="106"/>
      <c r="N41" s="108" t="s">
        <v>226</v>
      </c>
      <c r="O41" s="106"/>
      <c r="P41" s="109" t="s">
        <v>227</v>
      </c>
      <c r="Q41" s="89"/>
      <c r="R41" s="110" t="s">
        <v>228</v>
      </c>
      <c r="S41" s="105"/>
      <c r="T41" s="109" t="s">
        <v>229</v>
      </c>
      <c r="U41" s="89"/>
      <c r="V41" s="111" t="s">
        <v>230</v>
      </c>
      <c r="W41" s="89"/>
      <c r="X41" s="111" t="s">
        <v>231</v>
      </c>
      <c r="Y41" s="98"/>
    </row>
    <row r="42" spans="1:25" x14ac:dyDescent="0.25">
      <c r="A42" s="86"/>
      <c r="B42" s="87" t="s">
        <v>583</v>
      </c>
      <c r="C42" s="97"/>
      <c r="D42" s="87" t="s">
        <v>585</v>
      </c>
      <c r="E42" s="105"/>
      <c r="F42" s="87" t="s">
        <v>193</v>
      </c>
      <c r="G42" s="89"/>
      <c r="H42" s="87" t="s">
        <v>583</v>
      </c>
      <c r="I42" s="89"/>
      <c r="J42" s="87" t="s">
        <v>195</v>
      </c>
      <c r="K42" s="89"/>
      <c r="L42" s="112" t="s">
        <v>586</v>
      </c>
      <c r="M42" s="89"/>
      <c r="N42" s="113" t="s">
        <v>586</v>
      </c>
      <c r="O42" s="89"/>
      <c r="P42" s="96" t="s">
        <v>193</v>
      </c>
      <c r="Q42" s="89"/>
      <c r="R42" s="96" t="s">
        <v>195</v>
      </c>
      <c r="S42" s="89"/>
      <c r="T42" s="96" t="s">
        <v>195</v>
      </c>
      <c r="U42" s="89"/>
      <c r="V42" s="87" t="s">
        <v>195</v>
      </c>
      <c r="W42" s="89"/>
      <c r="X42" s="87" t="s">
        <v>195</v>
      </c>
      <c r="Y42" s="98"/>
    </row>
    <row r="43" spans="1:25" x14ac:dyDescent="0.25">
      <c r="A43" s="86"/>
      <c r="B43" s="2"/>
      <c r="C43" s="2"/>
      <c r="D43" s="68"/>
      <c r="E43" s="81"/>
      <c r="F43" s="68"/>
      <c r="G43" s="72"/>
      <c r="H43" s="68"/>
      <c r="I43" s="72"/>
      <c r="J43" s="68"/>
      <c r="K43" s="114" t="s">
        <v>587</v>
      </c>
      <c r="L43" s="74"/>
      <c r="M43" s="72"/>
      <c r="N43" s="115"/>
      <c r="O43" s="213" t="s">
        <v>587</v>
      </c>
      <c r="P43" s="115"/>
      <c r="Q43" s="72"/>
      <c r="R43" s="115"/>
      <c r="S43" s="72"/>
      <c r="T43" s="115"/>
      <c r="U43" s="89"/>
      <c r="V43" s="87"/>
      <c r="W43" s="89"/>
      <c r="X43" s="87"/>
      <c r="Y43" s="98"/>
    </row>
    <row r="44" spans="1:25" x14ac:dyDescent="0.25">
      <c r="A44" s="86"/>
      <c r="B44" s="38"/>
      <c r="C44" s="38"/>
      <c r="D44" s="38"/>
      <c r="E44" s="38"/>
      <c r="F44" s="38"/>
      <c r="G44" s="114" t="s">
        <v>588</v>
      </c>
      <c r="H44" s="38"/>
      <c r="I44" s="38"/>
      <c r="J44" s="38"/>
      <c r="L44" s="38"/>
      <c r="M44" s="38"/>
      <c r="N44" s="38"/>
      <c r="P44" s="38"/>
      <c r="Q44" s="38"/>
      <c r="R44" s="38"/>
      <c r="S44" s="38"/>
      <c r="T44" s="38"/>
      <c r="U44" s="38"/>
      <c r="V44" s="38"/>
      <c r="W44" s="38"/>
      <c r="X44" s="38"/>
      <c r="Y44" s="60"/>
    </row>
    <row r="45" spans="1:25" ht="16.5" thickBot="1" x14ac:dyDescent="0.3">
      <c r="A45" s="86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60"/>
    </row>
    <row r="46" spans="1:25" ht="16.5" thickTop="1" x14ac:dyDescent="0.25">
      <c r="A46" s="86"/>
      <c r="B46" s="814"/>
      <c r="C46" s="77">
        <v>399</v>
      </c>
      <c r="D46" s="814"/>
      <c r="E46" s="77">
        <v>417.59</v>
      </c>
      <c r="F46" s="820"/>
      <c r="G46" s="116">
        <v>225.68</v>
      </c>
      <c r="H46" s="822"/>
      <c r="I46" s="78">
        <v>414</v>
      </c>
      <c r="J46" s="776"/>
      <c r="K46" s="117">
        <v>272</v>
      </c>
      <c r="L46" s="814"/>
      <c r="M46" s="77">
        <v>406</v>
      </c>
      <c r="N46" s="812"/>
      <c r="O46" s="212">
        <v>337</v>
      </c>
      <c r="P46" s="818"/>
      <c r="Q46" s="77">
        <v>425</v>
      </c>
      <c r="R46" s="814"/>
      <c r="S46" s="77">
        <v>397</v>
      </c>
      <c r="T46" s="812"/>
      <c r="U46" s="77">
        <v>408</v>
      </c>
      <c r="V46" s="814"/>
      <c r="W46" s="116">
        <v>426</v>
      </c>
      <c r="X46" s="818"/>
      <c r="Y46" s="103">
        <v>407</v>
      </c>
    </row>
    <row r="47" spans="1:25" ht="16.5" thickBot="1" x14ac:dyDescent="0.3">
      <c r="A47" s="86"/>
      <c r="B47" s="815"/>
      <c r="C47" s="58"/>
      <c r="D47" s="815"/>
      <c r="E47" s="58"/>
      <c r="F47" s="821"/>
      <c r="G47" s="58"/>
      <c r="H47" s="823"/>
      <c r="I47" s="58"/>
      <c r="J47" s="777"/>
      <c r="K47" s="66"/>
      <c r="L47" s="815"/>
      <c r="M47" s="58"/>
      <c r="N47" s="813"/>
      <c r="O47" s="66"/>
      <c r="P47" s="819"/>
      <c r="Q47" s="66"/>
      <c r="R47" s="815"/>
      <c r="S47" s="66"/>
      <c r="T47" s="813"/>
      <c r="U47" s="66"/>
      <c r="V47" s="815"/>
      <c r="W47" s="66"/>
      <c r="X47" s="819"/>
      <c r="Y47" s="85"/>
    </row>
    <row r="48" spans="1:25" x14ac:dyDescent="0.25">
      <c r="A48" s="86"/>
      <c r="B48" s="194" t="s">
        <v>232</v>
      </c>
      <c r="C48" s="119"/>
      <c r="D48" s="120" t="s">
        <v>233</v>
      </c>
      <c r="E48" s="72"/>
      <c r="F48" s="121" t="s">
        <v>234</v>
      </c>
      <c r="G48" s="72"/>
      <c r="H48" s="121" t="s">
        <v>235</v>
      </c>
      <c r="I48" s="72"/>
      <c r="J48" s="80" t="s">
        <v>236</v>
      </c>
      <c r="K48" s="58"/>
      <c r="L48" s="95" t="s">
        <v>237</v>
      </c>
      <c r="M48" s="72"/>
      <c r="N48" s="80" t="s">
        <v>238</v>
      </c>
      <c r="O48" s="58"/>
      <c r="P48" s="80" t="s">
        <v>239</v>
      </c>
      <c r="Q48" s="81"/>
      <c r="R48" s="80" t="s">
        <v>241</v>
      </c>
      <c r="S48" s="82"/>
      <c r="T48" s="83" t="s">
        <v>242</v>
      </c>
      <c r="U48" s="82"/>
      <c r="V48" s="122" t="s">
        <v>243</v>
      </c>
      <c r="W48" s="82"/>
      <c r="X48" s="80" t="s">
        <v>244</v>
      </c>
      <c r="Y48" s="85"/>
    </row>
    <row r="49" spans="1:25" x14ac:dyDescent="0.25">
      <c r="A49" s="86"/>
      <c r="B49" s="123" t="s">
        <v>195</v>
      </c>
      <c r="C49" s="119"/>
      <c r="D49" s="123" t="s">
        <v>193</v>
      </c>
      <c r="E49" s="72"/>
      <c r="F49" s="74" t="s">
        <v>589</v>
      </c>
      <c r="G49" s="72"/>
      <c r="H49" s="74" t="s">
        <v>192</v>
      </c>
      <c r="I49" s="72"/>
      <c r="J49" s="68" t="s">
        <v>590</v>
      </c>
      <c r="K49" s="58"/>
      <c r="L49" s="68" t="s">
        <v>590</v>
      </c>
      <c r="N49" s="72" t="s">
        <v>591</v>
      </c>
      <c r="O49" s="58"/>
      <c r="P49" s="68" t="s">
        <v>590</v>
      </c>
      <c r="Q49" s="81"/>
      <c r="R49" s="68" t="s">
        <v>195</v>
      </c>
      <c r="S49" s="72"/>
      <c r="T49" s="68" t="s">
        <v>195</v>
      </c>
      <c r="U49" s="72"/>
      <c r="V49" s="123" t="s">
        <v>193</v>
      </c>
      <c r="W49" s="38"/>
      <c r="X49" s="68" t="s">
        <v>195</v>
      </c>
      <c r="Y49" s="67"/>
    </row>
    <row r="50" spans="1:25" x14ac:dyDescent="0.25">
      <c r="A50" s="86"/>
      <c r="B50" s="87"/>
      <c r="C50" s="72"/>
      <c r="D50" s="124"/>
      <c r="E50" s="58"/>
      <c r="F50" s="124"/>
      <c r="G50" s="58"/>
      <c r="H50" s="124"/>
      <c r="I50" s="58"/>
      <c r="J50" s="125"/>
      <c r="K50" s="58"/>
      <c r="L50" s="124"/>
      <c r="M50" s="58"/>
      <c r="N50" s="125"/>
      <c r="O50" s="58"/>
      <c r="P50" s="68"/>
      <c r="Q50" s="81"/>
      <c r="R50" s="68"/>
      <c r="S50" s="72"/>
      <c r="T50" s="68"/>
      <c r="U50" s="72"/>
      <c r="V50" s="123"/>
      <c r="W50" s="38"/>
      <c r="X50" s="68"/>
      <c r="Y50" s="67"/>
    </row>
    <row r="51" spans="1:25" x14ac:dyDescent="0.25">
      <c r="A51" s="86"/>
      <c r="B51" s="8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60"/>
    </row>
    <row r="52" spans="1:25" ht="16.5" thickBot="1" x14ac:dyDescent="0.3">
      <c r="A52" s="86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60"/>
    </row>
    <row r="53" spans="1:25" ht="16.5" thickTop="1" x14ac:dyDescent="0.25">
      <c r="A53" s="86"/>
      <c r="B53" s="812"/>
      <c r="C53" s="77">
        <v>402</v>
      </c>
      <c r="D53" s="826"/>
      <c r="E53" s="116">
        <v>383</v>
      </c>
      <c r="F53" s="814"/>
      <c r="G53" s="78">
        <v>416</v>
      </c>
      <c r="H53" s="814"/>
      <c r="I53" s="63">
        <v>423</v>
      </c>
      <c r="J53" s="776"/>
      <c r="K53" s="78">
        <v>409</v>
      </c>
      <c r="L53" s="776"/>
      <c r="M53" s="78">
        <v>432</v>
      </c>
      <c r="N53" s="776"/>
      <c r="O53" s="92">
        <v>405.18</v>
      </c>
      <c r="P53" s="814"/>
      <c r="Q53" s="92">
        <v>438</v>
      </c>
      <c r="R53" s="776"/>
      <c r="S53" s="63">
        <v>408</v>
      </c>
      <c r="T53" s="776"/>
      <c r="U53" s="78">
        <v>413</v>
      </c>
      <c r="V53" s="814"/>
      <c r="W53" s="61">
        <v>415</v>
      </c>
      <c r="X53" s="814"/>
      <c r="Y53" s="93">
        <v>428</v>
      </c>
    </row>
    <row r="54" spans="1:25" ht="16.5" thickBot="1" x14ac:dyDescent="0.3">
      <c r="A54" s="86"/>
      <c r="B54" s="813"/>
      <c r="C54" s="66"/>
      <c r="D54" s="826"/>
      <c r="E54" s="66"/>
      <c r="F54" s="815"/>
      <c r="G54" s="66"/>
      <c r="H54" s="815"/>
      <c r="I54" s="58"/>
      <c r="J54" s="777"/>
      <c r="K54" s="126"/>
      <c r="L54" s="777"/>
      <c r="M54" s="58"/>
      <c r="N54" s="777"/>
      <c r="O54" s="58"/>
      <c r="P54" s="815"/>
      <c r="Q54" s="58"/>
      <c r="R54" s="824"/>
      <c r="S54" s="58"/>
      <c r="T54" s="824"/>
      <c r="U54" s="58"/>
      <c r="V54" s="825"/>
      <c r="W54" s="66"/>
      <c r="X54" s="815"/>
      <c r="Y54" s="67"/>
    </row>
    <row r="55" spans="1:25" x14ac:dyDescent="0.25">
      <c r="A55" s="86"/>
      <c r="B55" s="84" t="s">
        <v>245</v>
      </c>
      <c r="C55" s="82"/>
      <c r="D55" s="84" t="s">
        <v>246</v>
      </c>
      <c r="E55" s="82"/>
      <c r="F55" s="94" t="s">
        <v>247</v>
      </c>
      <c r="G55" s="82"/>
      <c r="H55" s="84" t="s">
        <v>248</v>
      </c>
      <c r="I55" s="72"/>
      <c r="J55" s="95" t="s">
        <v>249</v>
      </c>
      <c r="K55" s="72"/>
      <c r="L55" s="95" t="s">
        <v>250</v>
      </c>
      <c r="M55" s="72"/>
      <c r="N55" s="95" t="s">
        <v>251</v>
      </c>
      <c r="O55" s="72"/>
      <c r="P55" s="127" t="s">
        <v>252</v>
      </c>
      <c r="Q55" s="72"/>
      <c r="R55" s="95" t="s">
        <v>253</v>
      </c>
      <c r="S55" s="72"/>
      <c r="T55" s="95" t="s">
        <v>254</v>
      </c>
      <c r="U55" s="72"/>
      <c r="V55" s="80" t="s">
        <v>255</v>
      </c>
      <c r="W55" s="58"/>
      <c r="X55" s="95" t="s">
        <v>256</v>
      </c>
      <c r="Y55" s="67"/>
    </row>
    <row r="56" spans="1:25" x14ac:dyDescent="0.25">
      <c r="A56" s="86"/>
      <c r="B56" s="115" t="s">
        <v>193</v>
      </c>
      <c r="C56" s="82"/>
      <c r="D56" s="115" t="s">
        <v>195</v>
      </c>
      <c r="E56" s="38"/>
      <c r="F56" s="115" t="s">
        <v>195</v>
      </c>
      <c r="G56" s="38"/>
      <c r="H56" s="115" t="s">
        <v>195</v>
      </c>
      <c r="I56" s="38"/>
      <c r="J56" s="68" t="s">
        <v>193</v>
      </c>
      <c r="K56" s="72"/>
      <c r="L56" s="68" t="s">
        <v>193</v>
      </c>
      <c r="M56" s="72"/>
      <c r="N56" s="68" t="s">
        <v>193</v>
      </c>
      <c r="O56" s="72"/>
      <c r="P56" s="74" t="s">
        <v>584</v>
      </c>
      <c r="Q56" s="72"/>
      <c r="R56" s="68" t="s">
        <v>193</v>
      </c>
      <c r="S56" s="72"/>
      <c r="T56" s="68" t="s">
        <v>195</v>
      </c>
      <c r="U56" s="72"/>
      <c r="V56" s="68" t="s">
        <v>585</v>
      </c>
      <c r="W56" s="58"/>
      <c r="X56" s="68" t="s">
        <v>195</v>
      </c>
      <c r="Y56" s="67"/>
    </row>
    <row r="57" spans="1:25" x14ac:dyDescent="0.25">
      <c r="A57" s="86"/>
      <c r="B57" s="115"/>
      <c r="C57" s="38"/>
      <c r="D57" s="56"/>
      <c r="E57" s="128"/>
      <c r="F57" s="56"/>
      <c r="G57" s="128"/>
      <c r="H57" s="56"/>
      <c r="I57" s="56"/>
      <c r="J57" s="56"/>
      <c r="K57" s="128"/>
      <c r="L57" s="56"/>
      <c r="M57" s="129"/>
      <c r="N57" s="130" t="s">
        <v>263</v>
      </c>
      <c r="O57" s="129"/>
      <c r="P57" s="131"/>
      <c r="Q57" s="128"/>
      <c r="R57" s="128"/>
      <c r="S57" s="128"/>
      <c r="T57" s="56"/>
      <c r="U57" s="128"/>
      <c r="V57" s="56"/>
      <c r="W57" s="128"/>
      <c r="X57" s="56"/>
      <c r="Y57" s="132"/>
    </row>
    <row r="58" spans="1:25" x14ac:dyDescent="0.25">
      <c r="A58" s="86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60"/>
    </row>
    <row r="59" spans="1:25" ht="16.5" thickBot="1" x14ac:dyDescent="0.3">
      <c r="A59" s="86"/>
      <c r="B59" s="38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0"/>
    </row>
    <row r="60" spans="1:25" ht="16.5" thickTop="1" x14ac:dyDescent="0.25">
      <c r="A60" s="86"/>
      <c r="B60" s="814"/>
      <c r="C60" s="134">
        <v>418</v>
      </c>
      <c r="D60" s="812"/>
      <c r="E60" s="134">
        <v>406</v>
      </c>
      <c r="F60" s="776"/>
      <c r="G60" s="102">
        <v>413</v>
      </c>
      <c r="H60" s="776"/>
      <c r="I60" s="102">
        <v>423</v>
      </c>
      <c r="J60" s="776"/>
      <c r="K60" s="102">
        <v>425</v>
      </c>
      <c r="L60" s="776"/>
      <c r="M60" s="135">
        <v>411.43</v>
      </c>
      <c r="N60" s="776"/>
      <c r="O60" s="135">
        <v>406</v>
      </c>
      <c r="P60" s="776"/>
      <c r="Q60" s="102">
        <v>420</v>
      </c>
      <c r="R60" s="776"/>
      <c r="S60" s="133">
        <v>408</v>
      </c>
      <c r="T60" s="776"/>
      <c r="U60" s="102">
        <v>426</v>
      </c>
      <c r="V60" s="776"/>
      <c r="W60" s="102">
        <v>416</v>
      </c>
      <c r="X60" s="776"/>
      <c r="Y60" s="79">
        <v>426</v>
      </c>
    </row>
    <row r="61" spans="1:25" ht="16.5" thickBot="1" x14ac:dyDescent="0.3">
      <c r="A61" s="86"/>
      <c r="B61" s="815"/>
      <c r="C61" s="66"/>
      <c r="D61" s="813"/>
      <c r="E61" s="66"/>
      <c r="F61" s="777"/>
      <c r="G61" s="66"/>
      <c r="H61" s="777"/>
      <c r="I61" s="66"/>
      <c r="J61" s="777"/>
      <c r="K61" s="66"/>
      <c r="L61" s="777"/>
      <c r="M61" s="66"/>
      <c r="N61" s="777"/>
      <c r="O61" s="66"/>
      <c r="P61" s="777"/>
      <c r="Q61" s="66"/>
      <c r="R61" s="777"/>
      <c r="S61" s="66"/>
      <c r="T61" s="777"/>
      <c r="U61" s="56"/>
      <c r="V61" s="777"/>
      <c r="W61" s="56"/>
      <c r="X61" s="777"/>
      <c r="Y61" s="67"/>
    </row>
    <row r="62" spans="1:25" x14ac:dyDescent="0.25">
      <c r="A62" s="86"/>
      <c r="B62" s="80" t="s">
        <v>257</v>
      </c>
      <c r="C62" s="58"/>
      <c r="D62" s="80" t="s">
        <v>258</v>
      </c>
      <c r="E62" s="81"/>
      <c r="F62" s="80" t="s">
        <v>259</v>
      </c>
      <c r="G62" s="82"/>
      <c r="H62" s="80" t="s">
        <v>260</v>
      </c>
      <c r="I62" s="82"/>
      <c r="J62" s="80" t="s">
        <v>261</v>
      </c>
      <c r="K62" s="82"/>
      <c r="L62" s="80" t="s">
        <v>262</v>
      </c>
      <c r="M62" s="82"/>
      <c r="N62" s="127" t="s">
        <v>264</v>
      </c>
      <c r="O62" s="82"/>
      <c r="P62" s="84" t="s">
        <v>265</v>
      </c>
      <c r="Q62" s="82"/>
      <c r="R62" s="94" t="s">
        <v>266</v>
      </c>
      <c r="S62" s="81"/>
      <c r="T62" s="84" t="s">
        <v>267</v>
      </c>
      <c r="U62" s="72"/>
      <c r="V62" s="95" t="s">
        <v>268</v>
      </c>
      <c r="W62" s="72"/>
      <c r="X62" s="95" t="s">
        <v>269</v>
      </c>
      <c r="Y62" s="67"/>
    </row>
    <row r="63" spans="1:25" x14ac:dyDescent="0.25">
      <c r="A63" s="86"/>
      <c r="B63" s="68" t="s">
        <v>195</v>
      </c>
      <c r="C63" s="58"/>
      <c r="D63" s="68" t="s">
        <v>193</v>
      </c>
      <c r="E63" s="81"/>
      <c r="F63" s="68" t="s">
        <v>193</v>
      </c>
      <c r="G63" s="72"/>
      <c r="H63" s="68" t="s">
        <v>195</v>
      </c>
      <c r="I63" s="72"/>
      <c r="J63" s="68" t="s">
        <v>195</v>
      </c>
      <c r="K63" s="72"/>
      <c r="L63" s="68" t="s">
        <v>193</v>
      </c>
      <c r="M63" s="72"/>
      <c r="N63" s="136" t="s">
        <v>131</v>
      </c>
      <c r="O63" s="72"/>
      <c r="P63" s="115" t="s">
        <v>193</v>
      </c>
      <c r="Q63" s="72"/>
      <c r="R63" s="115" t="s">
        <v>195</v>
      </c>
      <c r="S63" s="72"/>
      <c r="T63" s="68" t="s">
        <v>193</v>
      </c>
      <c r="U63" s="72"/>
      <c r="V63" s="68" t="s">
        <v>193</v>
      </c>
      <c r="W63" s="72"/>
      <c r="X63" s="68" t="s">
        <v>193</v>
      </c>
      <c r="Y63" s="67"/>
    </row>
    <row r="64" spans="1:25" x14ac:dyDescent="0.25">
      <c r="A64" s="86"/>
      <c r="B64" s="2"/>
      <c r="C64" s="2"/>
      <c r="D64" s="68"/>
      <c r="E64" s="81"/>
      <c r="F64" s="68"/>
      <c r="G64" s="72"/>
      <c r="H64" s="68"/>
      <c r="I64" s="72"/>
      <c r="J64" s="68"/>
      <c r="K64" s="72"/>
      <c r="L64" s="68"/>
      <c r="M64" s="72"/>
      <c r="N64" s="115"/>
      <c r="O64" s="72"/>
      <c r="P64" s="68"/>
      <c r="Q64" s="81"/>
      <c r="R64" s="68"/>
      <c r="S64" s="72"/>
      <c r="T64" s="68"/>
      <c r="U64" s="72"/>
      <c r="V64" s="68"/>
      <c r="W64" s="72"/>
      <c r="X64" s="68"/>
      <c r="Y64" s="67"/>
    </row>
    <row r="65" spans="1:25" x14ac:dyDescent="0.25">
      <c r="A65" s="86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60"/>
    </row>
    <row r="66" spans="1:25" ht="16.5" thickBot="1" x14ac:dyDescent="0.3">
      <c r="A66" s="86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60"/>
    </row>
    <row r="67" spans="1:25" ht="16.5" thickTop="1" x14ac:dyDescent="0.25">
      <c r="A67" s="86"/>
      <c r="B67" s="814"/>
      <c r="C67" s="77">
        <v>413</v>
      </c>
      <c r="D67" s="829"/>
      <c r="E67" s="116">
        <v>429</v>
      </c>
      <c r="F67" s="776"/>
      <c r="G67" s="78">
        <v>356</v>
      </c>
      <c r="H67" s="776"/>
      <c r="I67" s="78">
        <v>424.52</v>
      </c>
      <c r="J67" s="831"/>
      <c r="K67" s="92">
        <v>389</v>
      </c>
      <c r="L67" s="833"/>
      <c r="M67" s="77">
        <v>406</v>
      </c>
      <c r="N67" s="827"/>
      <c r="O67" s="118">
        <v>402</v>
      </c>
      <c r="P67" s="776"/>
      <c r="Q67" s="77">
        <v>405</v>
      </c>
      <c r="R67" s="776"/>
      <c r="S67" s="78">
        <v>400</v>
      </c>
      <c r="T67" s="776"/>
      <c r="U67" s="78">
        <v>379</v>
      </c>
      <c r="V67" s="776"/>
      <c r="W67" s="78">
        <v>386</v>
      </c>
      <c r="X67" s="776"/>
      <c r="Y67" s="137">
        <v>366</v>
      </c>
    </row>
    <row r="68" spans="1:25" ht="16.5" thickBot="1" x14ac:dyDescent="0.3">
      <c r="A68" s="86"/>
      <c r="B68" s="815"/>
      <c r="C68" s="58"/>
      <c r="D68" s="830"/>
      <c r="E68" s="58"/>
      <c r="F68" s="777"/>
      <c r="G68" s="58"/>
      <c r="H68" s="777"/>
      <c r="I68" s="58"/>
      <c r="J68" s="832"/>
      <c r="K68" s="66"/>
      <c r="L68" s="834"/>
      <c r="M68" s="58"/>
      <c r="N68" s="828"/>
      <c r="O68" s="66"/>
      <c r="P68" s="777"/>
      <c r="Q68" s="66"/>
      <c r="R68" s="777"/>
      <c r="S68" s="66"/>
      <c r="T68" s="777"/>
      <c r="U68" s="66"/>
      <c r="V68" s="824"/>
      <c r="W68" s="66"/>
      <c r="X68" s="824"/>
      <c r="Y68" s="85"/>
    </row>
    <row r="69" spans="1:25" x14ac:dyDescent="0.25">
      <c r="A69" s="86"/>
      <c r="B69" s="95" t="s">
        <v>270</v>
      </c>
      <c r="C69" s="72"/>
      <c r="D69" s="84" t="s">
        <v>271</v>
      </c>
      <c r="E69" s="72"/>
      <c r="F69" s="95" t="s">
        <v>272</v>
      </c>
      <c r="G69" s="72"/>
      <c r="H69" s="95" t="s">
        <v>273</v>
      </c>
      <c r="I69" s="72"/>
      <c r="J69" s="138" t="s">
        <v>274</v>
      </c>
      <c r="K69" s="58"/>
      <c r="L69" s="95" t="s">
        <v>276</v>
      </c>
      <c r="M69" s="72"/>
      <c r="N69" s="80" t="s">
        <v>277</v>
      </c>
      <c r="O69" s="58"/>
      <c r="P69" s="80" t="s">
        <v>278</v>
      </c>
      <c r="Q69" s="81"/>
      <c r="R69" s="80" t="s">
        <v>279</v>
      </c>
      <c r="S69" s="82"/>
      <c r="T69" s="80" t="s">
        <v>169</v>
      </c>
      <c r="U69" s="82"/>
      <c r="V69" s="80" t="s">
        <v>280</v>
      </c>
      <c r="W69" s="82"/>
      <c r="X69" s="80" t="s">
        <v>281</v>
      </c>
      <c r="Y69" s="85"/>
    </row>
    <row r="70" spans="1:25" x14ac:dyDescent="0.25">
      <c r="A70" s="86"/>
      <c r="B70" s="87" t="s">
        <v>583</v>
      </c>
      <c r="C70" s="89"/>
      <c r="D70" s="87" t="s">
        <v>193</v>
      </c>
      <c r="E70" s="89"/>
      <c r="F70" s="87" t="s">
        <v>193</v>
      </c>
      <c r="G70" s="89"/>
      <c r="H70" s="87" t="s">
        <v>583</v>
      </c>
      <c r="I70" s="89"/>
      <c r="J70" s="112" t="s">
        <v>592</v>
      </c>
      <c r="K70" s="97"/>
      <c r="L70" s="87" t="s">
        <v>195</v>
      </c>
      <c r="M70" s="89"/>
      <c r="N70" s="87" t="s">
        <v>195</v>
      </c>
      <c r="O70" s="97"/>
      <c r="P70" s="87" t="s">
        <v>593</v>
      </c>
      <c r="Q70" s="105"/>
      <c r="R70" s="87" t="s">
        <v>195</v>
      </c>
      <c r="S70" s="88"/>
      <c r="T70" s="87" t="s">
        <v>195</v>
      </c>
      <c r="U70" s="88"/>
      <c r="V70" s="87" t="s">
        <v>195</v>
      </c>
      <c r="W70" s="88"/>
      <c r="X70" s="87" t="s">
        <v>195</v>
      </c>
      <c r="Y70" s="90"/>
    </row>
    <row r="71" spans="1:25" x14ac:dyDescent="0.25">
      <c r="A71" s="86"/>
      <c r="B71" s="96"/>
      <c r="C71" s="89"/>
      <c r="D71" s="96"/>
      <c r="E71" s="89"/>
      <c r="F71" s="96"/>
      <c r="G71" s="89"/>
      <c r="H71" s="87"/>
      <c r="I71" s="89"/>
      <c r="J71" s="87"/>
      <c r="K71" s="89"/>
      <c r="L71" s="87"/>
      <c r="M71" s="89"/>
      <c r="N71" s="87"/>
      <c r="O71" s="89"/>
      <c r="P71" s="87"/>
      <c r="Q71" s="89"/>
      <c r="R71" s="87"/>
      <c r="S71" s="89"/>
      <c r="T71" s="87"/>
      <c r="U71" s="89"/>
      <c r="V71" s="87"/>
      <c r="W71" s="97"/>
      <c r="X71" s="87"/>
      <c r="Y71" s="98"/>
    </row>
    <row r="72" spans="1:25" x14ac:dyDescent="0.25">
      <c r="A72" s="86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139"/>
      <c r="N72" s="38"/>
      <c r="O72" s="38"/>
      <c r="P72" s="38"/>
      <c r="Q72" s="38"/>
      <c r="R72" s="38"/>
      <c r="S72" s="139"/>
      <c r="T72" s="38"/>
      <c r="U72" s="38"/>
      <c r="V72" s="38"/>
      <c r="W72" s="38"/>
      <c r="X72" s="38"/>
      <c r="Y72" s="60"/>
    </row>
    <row r="73" spans="1:25" ht="16.5" thickBot="1" x14ac:dyDescent="0.3">
      <c r="A73" s="86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60"/>
    </row>
    <row r="74" spans="1:25" ht="16.5" thickTop="1" x14ac:dyDescent="0.25">
      <c r="A74" s="86"/>
      <c r="B74" s="814"/>
      <c r="C74" s="77">
        <v>421</v>
      </c>
      <c r="D74" s="835"/>
      <c r="E74" s="116">
        <v>418</v>
      </c>
      <c r="F74" s="835"/>
      <c r="G74" s="78">
        <v>417</v>
      </c>
      <c r="H74" s="776"/>
      <c r="I74" s="78">
        <v>361.99</v>
      </c>
      <c r="J74" s="776"/>
      <c r="K74" s="78">
        <v>416</v>
      </c>
      <c r="L74" s="776"/>
      <c r="M74" s="78">
        <v>416</v>
      </c>
      <c r="N74" s="776"/>
      <c r="O74" s="78">
        <v>425</v>
      </c>
      <c r="P74" s="776"/>
      <c r="Q74" s="78">
        <v>403</v>
      </c>
      <c r="R74" s="776"/>
      <c r="S74" s="78">
        <v>400</v>
      </c>
      <c r="T74" s="776"/>
      <c r="U74" s="78">
        <v>441</v>
      </c>
      <c r="V74" s="776"/>
      <c r="W74" s="92">
        <v>392</v>
      </c>
      <c r="X74" s="776"/>
      <c r="Y74" s="93">
        <v>403</v>
      </c>
    </row>
    <row r="75" spans="1:25" ht="16.5" thickBot="1" x14ac:dyDescent="0.3">
      <c r="A75" s="86"/>
      <c r="B75" s="825"/>
      <c r="C75" s="66"/>
      <c r="D75" s="836"/>
      <c r="E75" s="66"/>
      <c r="F75" s="836"/>
      <c r="G75" s="66"/>
      <c r="H75" s="824"/>
      <c r="I75" s="58"/>
      <c r="J75" s="824"/>
      <c r="K75" s="58"/>
      <c r="L75" s="824"/>
      <c r="M75" s="58"/>
      <c r="N75" s="824"/>
      <c r="O75" s="58"/>
      <c r="P75" s="824"/>
      <c r="Q75" s="58"/>
      <c r="R75" s="824"/>
      <c r="S75" s="58"/>
      <c r="T75" s="824"/>
      <c r="U75" s="58"/>
      <c r="V75" s="777"/>
      <c r="W75" s="66"/>
      <c r="X75" s="777"/>
      <c r="Y75" s="67"/>
    </row>
    <row r="76" spans="1:25" x14ac:dyDescent="0.25">
      <c r="A76" s="86"/>
      <c r="B76" s="84" t="s">
        <v>282</v>
      </c>
      <c r="C76" s="82"/>
      <c r="D76" s="84" t="s">
        <v>283</v>
      </c>
      <c r="E76" s="82"/>
      <c r="F76" s="94" t="s">
        <v>284</v>
      </c>
      <c r="G76" s="81"/>
      <c r="H76" s="94" t="s">
        <v>182</v>
      </c>
      <c r="I76" s="72"/>
      <c r="J76" s="121" t="s">
        <v>178</v>
      </c>
      <c r="K76" s="72"/>
      <c r="L76" s="140" t="s">
        <v>286</v>
      </c>
      <c r="M76" s="72"/>
      <c r="N76" s="95" t="s">
        <v>55</v>
      </c>
      <c r="O76" s="72"/>
      <c r="P76" s="84" t="s">
        <v>51</v>
      </c>
      <c r="Q76" s="72"/>
      <c r="R76" s="141" t="s">
        <v>54</v>
      </c>
      <c r="S76" s="72"/>
      <c r="T76" s="141" t="s">
        <v>126</v>
      </c>
      <c r="U76" s="72"/>
      <c r="V76" s="80" t="s">
        <v>115</v>
      </c>
      <c r="W76" s="58"/>
      <c r="X76" s="95" t="s">
        <v>64</v>
      </c>
      <c r="Y76" s="67"/>
    </row>
    <row r="77" spans="1:25" x14ac:dyDescent="0.25">
      <c r="A77" s="86"/>
      <c r="B77" s="96" t="s">
        <v>195</v>
      </c>
      <c r="C77" s="88"/>
      <c r="D77" s="96" t="s">
        <v>195</v>
      </c>
      <c r="E77" s="89"/>
      <c r="F77" s="96" t="s">
        <v>195</v>
      </c>
      <c r="G77" s="89"/>
      <c r="H77" s="96" t="s">
        <v>193</v>
      </c>
      <c r="I77" s="89"/>
      <c r="J77" s="112" t="s">
        <v>582</v>
      </c>
      <c r="K77" s="89"/>
      <c r="L77" s="87" t="s">
        <v>193</v>
      </c>
      <c r="M77" s="88"/>
      <c r="N77" s="87" t="s">
        <v>193</v>
      </c>
      <c r="O77" s="89"/>
      <c r="P77" s="87" t="s">
        <v>193</v>
      </c>
      <c r="Q77" s="89"/>
      <c r="R77" s="142" t="s">
        <v>193</v>
      </c>
      <c r="S77" s="89"/>
      <c r="T77" s="142" t="s">
        <v>195</v>
      </c>
      <c r="U77" s="89"/>
      <c r="V77" s="87" t="s">
        <v>195</v>
      </c>
      <c r="W77" s="97"/>
      <c r="X77" s="87" t="s">
        <v>195</v>
      </c>
      <c r="Y77" s="98"/>
    </row>
    <row r="78" spans="1:25" x14ac:dyDescent="0.25">
      <c r="A78" s="86"/>
      <c r="B78" s="68"/>
      <c r="C78" s="58"/>
      <c r="D78" s="56"/>
      <c r="E78" s="128"/>
      <c r="F78" s="56"/>
      <c r="G78" s="128"/>
      <c r="H78" s="56"/>
      <c r="I78" s="56"/>
      <c r="J78" s="56"/>
      <c r="K78" s="128"/>
      <c r="L78" s="56"/>
      <c r="M78" s="128"/>
      <c r="N78" s="56"/>
      <c r="O78" s="128"/>
      <c r="P78" s="56"/>
      <c r="Q78" s="128"/>
      <c r="R78" s="56"/>
      <c r="S78" s="143"/>
      <c r="T78" s="144"/>
      <c r="U78" s="128"/>
      <c r="V78" s="56"/>
      <c r="W78" s="128"/>
      <c r="X78" s="56"/>
      <c r="Y78" s="132"/>
    </row>
    <row r="79" spans="1:25" x14ac:dyDescent="0.25">
      <c r="A79" s="86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60"/>
    </row>
    <row r="80" spans="1:25" ht="16.5" thickBot="1" x14ac:dyDescent="0.3">
      <c r="A80" s="86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60"/>
    </row>
    <row r="81" spans="1:25" ht="15.75" customHeight="1" thickTop="1" x14ac:dyDescent="0.25">
      <c r="A81" s="86"/>
      <c r="B81" s="814"/>
      <c r="C81" s="77">
        <v>413</v>
      </c>
      <c r="D81" s="835"/>
      <c r="E81" s="77">
        <v>428</v>
      </c>
      <c r="F81" s="835"/>
      <c r="G81" s="92">
        <v>413</v>
      </c>
      <c r="H81" s="812"/>
      <c r="I81" s="116">
        <v>429.53</v>
      </c>
      <c r="J81" s="776"/>
      <c r="K81" s="78">
        <v>425</v>
      </c>
      <c r="L81" s="776"/>
      <c r="M81" s="78">
        <v>418</v>
      </c>
      <c r="N81" s="776"/>
      <c r="O81" s="78">
        <v>415</v>
      </c>
      <c r="P81" s="776"/>
      <c r="Q81" s="78">
        <v>428</v>
      </c>
      <c r="R81" s="776"/>
      <c r="S81" s="92">
        <v>402</v>
      </c>
      <c r="T81" s="776"/>
      <c r="U81" s="78">
        <v>419</v>
      </c>
      <c r="V81" s="831"/>
      <c r="W81" s="78">
        <v>422</v>
      </c>
      <c r="X81" s="776"/>
      <c r="Y81" s="137">
        <v>418</v>
      </c>
    </row>
    <row r="82" spans="1:25" ht="16.5" thickBot="1" x14ac:dyDescent="0.3">
      <c r="A82" s="86"/>
      <c r="B82" s="815"/>
      <c r="C82" s="66"/>
      <c r="D82" s="837"/>
      <c r="E82" s="66"/>
      <c r="F82" s="837"/>
      <c r="G82" s="66"/>
      <c r="H82" s="815"/>
      <c r="I82" s="66"/>
      <c r="J82" s="777"/>
      <c r="K82" s="66"/>
      <c r="L82" s="777"/>
      <c r="M82" s="66"/>
      <c r="N82" s="777"/>
      <c r="O82" s="66"/>
      <c r="P82" s="777"/>
      <c r="Q82" s="66"/>
      <c r="R82" s="777"/>
      <c r="S82" s="66"/>
      <c r="T82" s="777"/>
      <c r="U82" s="58"/>
      <c r="V82" s="832"/>
      <c r="W82" s="58"/>
      <c r="X82" s="824"/>
      <c r="Y82" s="67"/>
    </row>
    <row r="83" spans="1:25" x14ac:dyDescent="0.25">
      <c r="A83" s="86"/>
      <c r="B83" s="104" t="s">
        <v>112</v>
      </c>
      <c r="C83" s="97"/>
      <c r="D83" s="104" t="s">
        <v>125</v>
      </c>
      <c r="E83" s="105"/>
      <c r="F83" s="104" t="s">
        <v>287</v>
      </c>
      <c r="G83" s="106"/>
      <c r="H83" s="104" t="s">
        <v>60</v>
      </c>
      <c r="I83" s="106"/>
      <c r="J83" s="107" t="s">
        <v>288</v>
      </c>
      <c r="K83" s="106"/>
      <c r="L83" s="104" t="s">
        <v>289</v>
      </c>
      <c r="M83" s="106"/>
      <c r="N83" s="109" t="s">
        <v>290</v>
      </c>
      <c r="O83" s="106"/>
      <c r="P83" s="110" t="s">
        <v>291</v>
      </c>
      <c r="Q83" s="106"/>
      <c r="R83" s="110" t="s">
        <v>292</v>
      </c>
      <c r="S83" s="105"/>
      <c r="T83" s="145" t="s">
        <v>293</v>
      </c>
      <c r="U83" s="89"/>
      <c r="V83" s="146" t="s">
        <v>294</v>
      </c>
      <c r="W83" s="89"/>
      <c r="X83" s="111" t="s">
        <v>295</v>
      </c>
      <c r="Y83" s="98"/>
    </row>
    <row r="84" spans="1:25" x14ac:dyDescent="0.25">
      <c r="A84" s="86"/>
      <c r="B84" s="87" t="s">
        <v>193</v>
      </c>
      <c r="C84" s="97"/>
      <c r="D84" s="87" t="s">
        <v>193</v>
      </c>
      <c r="E84" s="105"/>
      <c r="F84" s="87" t="s">
        <v>195</v>
      </c>
      <c r="G84" s="147"/>
      <c r="H84" s="87" t="s">
        <v>583</v>
      </c>
      <c r="I84" s="89"/>
      <c r="J84" s="112" t="s">
        <v>584</v>
      </c>
      <c r="K84" s="89"/>
      <c r="L84" s="87" t="s">
        <v>193</v>
      </c>
      <c r="M84" s="89"/>
      <c r="N84" s="96" t="s">
        <v>195</v>
      </c>
      <c r="O84" s="89"/>
      <c r="P84" s="96" t="s">
        <v>583</v>
      </c>
      <c r="Q84" s="89"/>
      <c r="R84" s="96" t="s">
        <v>193</v>
      </c>
      <c r="S84" s="89"/>
      <c r="T84" s="96" t="s">
        <v>195</v>
      </c>
      <c r="U84" s="89"/>
      <c r="V84" s="87" t="s">
        <v>583</v>
      </c>
      <c r="W84" s="89"/>
      <c r="X84" s="87" t="s">
        <v>583</v>
      </c>
      <c r="Y84" s="98"/>
    </row>
    <row r="85" spans="1:25" x14ac:dyDescent="0.25">
      <c r="A85" s="86"/>
      <c r="B85" s="100"/>
      <c r="C85" s="99"/>
      <c r="D85" s="87"/>
      <c r="E85" s="105"/>
      <c r="F85" s="87"/>
      <c r="G85" s="147"/>
      <c r="H85" s="87"/>
      <c r="I85" s="89"/>
      <c r="J85" s="87"/>
      <c r="K85" s="148" t="s">
        <v>594</v>
      </c>
      <c r="L85" s="87"/>
      <c r="M85" s="89"/>
      <c r="N85" s="96"/>
      <c r="O85" s="89"/>
      <c r="P85" s="96"/>
      <c r="Q85" s="89"/>
      <c r="R85" s="96"/>
      <c r="S85" s="89"/>
      <c r="T85" s="96"/>
      <c r="U85" s="89"/>
      <c r="V85" s="87"/>
      <c r="W85" s="89"/>
      <c r="X85" s="87"/>
      <c r="Y85" s="98"/>
    </row>
    <row r="86" spans="1:25" x14ac:dyDescent="0.25">
      <c r="A86" s="86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148" t="s">
        <v>594</v>
      </c>
      <c r="V86" s="38"/>
      <c r="W86" s="38"/>
      <c r="X86" s="38"/>
      <c r="Y86" s="60"/>
    </row>
    <row r="87" spans="1:25" ht="16.5" thickBot="1" x14ac:dyDescent="0.3">
      <c r="A87" s="86"/>
      <c r="B87" s="38"/>
      <c r="C87" s="38"/>
      <c r="D87" s="38"/>
      <c r="E87" s="38"/>
      <c r="F87" s="38"/>
      <c r="G87" s="38"/>
      <c r="H87" s="38"/>
      <c r="I87" s="38"/>
      <c r="J87" s="2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60"/>
    </row>
    <row r="88" spans="1:25" ht="16.5" thickTop="1" x14ac:dyDescent="0.25">
      <c r="A88" s="86"/>
      <c r="B88" s="814"/>
      <c r="C88" s="77">
        <v>421</v>
      </c>
      <c r="D88" s="831"/>
      <c r="E88" s="116">
        <v>384</v>
      </c>
      <c r="F88" s="776"/>
      <c r="G88" s="78">
        <v>370</v>
      </c>
      <c r="H88" s="776"/>
      <c r="I88" s="78">
        <v>378.13</v>
      </c>
      <c r="J88" s="814"/>
      <c r="K88" s="149">
        <v>497.56</v>
      </c>
      <c r="L88" s="814"/>
      <c r="M88" s="116">
        <v>300</v>
      </c>
      <c r="N88" s="776"/>
      <c r="O88" s="92">
        <v>415</v>
      </c>
      <c r="P88" s="826"/>
      <c r="Q88" s="77">
        <v>408</v>
      </c>
      <c r="R88" s="814"/>
      <c r="S88" s="78">
        <v>402</v>
      </c>
      <c r="T88" s="776"/>
      <c r="U88" s="150">
        <v>384.49</v>
      </c>
      <c r="V88" s="776"/>
      <c r="W88" s="78">
        <v>389</v>
      </c>
      <c r="X88" s="776"/>
      <c r="Y88" s="137">
        <v>370</v>
      </c>
    </row>
    <row r="89" spans="1:25" ht="16.5" thickBot="1" x14ac:dyDescent="0.3">
      <c r="A89" s="86"/>
      <c r="B89" s="815"/>
      <c r="C89" s="58"/>
      <c r="D89" s="832"/>
      <c r="E89" s="58"/>
      <c r="F89" s="777"/>
      <c r="G89" s="58"/>
      <c r="H89" s="777"/>
      <c r="I89" s="58"/>
      <c r="J89" s="815"/>
      <c r="K89" s="66"/>
      <c r="L89" s="815"/>
      <c r="M89" s="58"/>
      <c r="N89" s="824"/>
      <c r="O89" s="66"/>
      <c r="P89" s="838"/>
      <c r="Q89" s="66"/>
      <c r="R89" s="825"/>
      <c r="S89" s="66"/>
      <c r="T89" s="824"/>
      <c r="U89" s="66"/>
      <c r="V89" s="824"/>
      <c r="W89" s="66"/>
      <c r="X89" s="824"/>
      <c r="Y89" s="85"/>
    </row>
    <row r="90" spans="1:25" x14ac:dyDescent="0.25">
      <c r="A90" s="86"/>
      <c r="B90" s="111" t="s">
        <v>296</v>
      </c>
      <c r="C90" s="89"/>
      <c r="D90" s="109" t="s">
        <v>297</v>
      </c>
      <c r="E90" s="89"/>
      <c r="F90" s="111" t="s">
        <v>298</v>
      </c>
      <c r="G90" s="89"/>
      <c r="H90" s="111" t="s">
        <v>299</v>
      </c>
      <c r="I90" s="89"/>
      <c r="J90" s="107" t="s">
        <v>300</v>
      </c>
      <c r="K90" s="97"/>
      <c r="L90" s="112" t="s">
        <v>301</v>
      </c>
      <c r="M90" s="89"/>
      <c r="N90" s="104" t="s">
        <v>302</v>
      </c>
      <c r="O90" s="97"/>
      <c r="P90" s="104" t="s">
        <v>303</v>
      </c>
      <c r="Q90" s="105"/>
      <c r="R90" s="104" t="s">
        <v>304</v>
      </c>
      <c r="S90" s="106"/>
      <c r="T90" s="104" t="s">
        <v>305</v>
      </c>
      <c r="U90" s="106"/>
      <c r="V90" s="107" t="s">
        <v>306</v>
      </c>
      <c r="W90" s="106"/>
      <c r="X90" s="104" t="s">
        <v>307</v>
      </c>
      <c r="Y90" s="151"/>
    </row>
    <row r="91" spans="1:25" x14ac:dyDescent="0.25">
      <c r="A91" s="86"/>
      <c r="B91" s="87" t="s">
        <v>195</v>
      </c>
      <c r="C91" s="97"/>
      <c r="D91" s="87" t="s">
        <v>193</v>
      </c>
      <c r="E91" s="89"/>
      <c r="F91" s="87" t="s">
        <v>195</v>
      </c>
      <c r="G91" s="89"/>
      <c r="H91" s="87" t="s">
        <v>195</v>
      </c>
      <c r="I91" s="89"/>
      <c r="J91" s="112" t="s">
        <v>595</v>
      </c>
      <c r="K91" s="97"/>
      <c r="L91" s="112" t="s">
        <v>596</v>
      </c>
      <c r="M91" s="89"/>
      <c r="N91" s="87" t="s">
        <v>195</v>
      </c>
      <c r="O91" s="97"/>
      <c r="P91" s="87" t="s">
        <v>193</v>
      </c>
      <c r="Q91" s="105"/>
      <c r="R91" s="87" t="s">
        <v>195</v>
      </c>
      <c r="S91" s="89"/>
      <c r="T91" s="87" t="s">
        <v>193</v>
      </c>
      <c r="U91" s="89"/>
      <c r="V91" s="112" t="s">
        <v>589</v>
      </c>
      <c r="W91" s="89"/>
      <c r="X91" s="142" t="s">
        <v>195</v>
      </c>
      <c r="Y91" s="98"/>
    </row>
    <row r="92" spans="1:25" x14ac:dyDescent="0.25">
      <c r="A92" s="86"/>
      <c r="B92" s="87"/>
      <c r="C92" s="97"/>
      <c r="D92" s="152"/>
      <c r="E92" s="153"/>
      <c r="F92" s="152"/>
      <c r="G92" s="153"/>
      <c r="H92" s="154"/>
      <c r="I92" s="152"/>
      <c r="J92" s="154"/>
      <c r="K92" s="152"/>
      <c r="L92" s="154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5"/>
      <c r="X92" s="152"/>
      <c r="Y92" s="156"/>
    </row>
    <row r="93" spans="1:25" x14ac:dyDescent="0.25">
      <c r="A93" s="86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153"/>
      <c r="R93" s="88"/>
      <c r="T93" s="88"/>
      <c r="U93" s="88"/>
      <c r="V93" s="88"/>
      <c r="W93" s="157"/>
      <c r="X93" s="88"/>
      <c r="Y93" s="90"/>
    </row>
    <row r="94" spans="1:25" ht="16.5" thickBot="1" x14ac:dyDescent="0.3">
      <c r="A94" s="86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157"/>
      <c r="V94" s="88"/>
      <c r="W94" s="88"/>
      <c r="X94" s="88"/>
      <c r="Y94" s="90"/>
    </row>
    <row r="95" spans="1:25" ht="16.5" thickTop="1" x14ac:dyDescent="0.25">
      <c r="A95" s="86"/>
      <c r="B95" s="839"/>
      <c r="C95" s="211">
        <v>402</v>
      </c>
      <c r="D95" s="814"/>
      <c r="E95" s="159">
        <v>410</v>
      </c>
      <c r="F95" s="776"/>
      <c r="G95" s="158">
        <v>394</v>
      </c>
      <c r="H95" s="776"/>
      <c r="I95" s="160">
        <v>410</v>
      </c>
      <c r="J95" s="776"/>
      <c r="K95" s="160">
        <v>362</v>
      </c>
      <c r="L95" s="776"/>
      <c r="M95" s="78">
        <v>372</v>
      </c>
      <c r="N95" s="776"/>
      <c r="O95" s="116">
        <v>412</v>
      </c>
      <c r="P95" s="776"/>
      <c r="Q95" s="78">
        <v>410</v>
      </c>
      <c r="R95" s="776"/>
      <c r="S95" s="78">
        <v>431</v>
      </c>
      <c r="T95" s="776"/>
      <c r="U95" s="78">
        <v>400.31</v>
      </c>
      <c r="V95" s="776"/>
      <c r="W95" s="92">
        <v>258</v>
      </c>
      <c r="X95" s="776"/>
      <c r="Y95" s="161">
        <v>437</v>
      </c>
    </row>
    <row r="96" spans="1:25" ht="16.5" thickBot="1" x14ac:dyDescent="0.3">
      <c r="A96" s="86"/>
      <c r="B96" s="825"/>
      <c r="C96" s="162"/>
      <c r="D96" s="825"/>
      <c r="E96" s="97"/>
      <c r="F96" s="824"/>
      <c r="G96" s="162"/>
      <c r="H96" s="824"/>
      <c r="I96" s="97"/>
      <c r="J96" s="824"/>
      <c r="K96" s="97"/>
      <c r="L96" s="824"/>
      <c r="M96" s="58"/>
      <c r="N96" s="824"/>
      <c r="O96" s="58"/>
      <c r="P96" s="824"/>
      <c r="Q96" s="58"/>
      <c r="R96" s="824"/>
      <c r="S96" s="58"/>
      <c r="T96" s="824"/>
      <c r="U96" s="58"/>
      <c r="V96" s="824"/>
      <c r="W96" s="66"/>
      <c r="X96" s="824"/>
      <c r="Y96" s="98"/>
    </row>
    <row r="97" spans="1:25" x14ac:dyDescent="0.25">
      <c r="A97" s="86"/>
      <c r="B97" s="109" t="s">
        <v>308</v>
      </c>
      <c r="C97" s="106"/>
      <c r="D97" s="109" t="s">
        <v>310</v>
      </c>
      <c r="E97" s="89"/>
      <c r="F97" s="110" t="s">
        <v>311</v>
      </c>
      <c r="G97" s="105"/>
      <c r="H97" s="109" t="s">
        <v>312</v>
      </c>
      <c r="I97" s="89"/>
      <c r="J97" s="111" t="s">
        <v>313</v>
      </c>
      <c r="K97" s="89"/>
      <c r="L97" s="111" t="s">
        <v>314</v>
      </c>
      <c r="M97" s="89"/>
      <c r="N97" s="111" t="s">
        <v>315</v>
      </c>
      <c r="O97" s="89"/>
      <c r="P97" s="109" t="s">
        <v>316</v>
      </c>
      <c r="Q97" s="89"/>
      <c r="R97" s="111" t="s">
        <v>317</v>
      </c>
      <c r="S97" s="89"/>
      <c r="T97" s="111" t="s">
        <v>318</v>
      </c>
      <c r="U97" s="89"/>
      <c r="V97" s="107" t="s">
        <v>319</v>
      </c>
      <c r="W97" s="97"/>
      <c r="X97" s="111" t="s">
        <v>320</v>
      </c>
      <c r="Y97" s="98"/>
    </row>
    <row r="98" spans="1:25" x14ac:dyDescent="0.25">
      <c r="A98" s="86"/>
      <c r="B98" s="106" t="s">
        <v>195</v>
      </c>
      <c r="C98" s="89"/>
      <c r="D98" s="96" t="s">
        <v>193</v>
      </c>
      <c r="E98" s="89"/>
      <c r="F98" s="96" t="s">
        <v>195</v>
      </c>
      <c r="G98" s="89"/>
      <c r="H98" s="96" t="s">
        <v>195</v>
      </c>
      <c r="I98" s="89"/>
      <c r="J98" s="87" t="s">
        <v>195</v>
      </c>
      <c r="K98" s="89"/>
      <c r="L98" s="87" t="s">
        <v>593</v>
      </c>
      <c r="M98" s="89"/>
      <c r="N98" s="87" t="s">
        <v>193</v>
      </c>
      <c r="O98" s="89"/>
      <c r="P98" s="87" t="s">
        <v>195</v>
      </c>
      <c r="Q98" s="89"/>
      <c r="R98" s="87" t="s">
        <v>193</v>
      </c>
      <c r="S98" s="89"/>
      <c r="T98" s="87" t="s">
        <v>193</v>
      </c>
      <c r="U98" s="89"/>
      <c r="V98" s="112" t="s">
        <v>592</v>
      </c>
      <c r="W98" s="97"/>
      <c r="X98" s="87" t="s">
        <v>193</v>
      </c>
      <c r="Y98" s="98"/>
    </row>
    <row r="99" spans="1:25" x14ac:dyDescent="0.25">
      <c r="A99" s="86"/>
      <c r="B99" s="152"/>
      <c r="C99" s="155"/>
      <c r="P99" s="87"/>
      <c r="R99" s="87"/>
      <c r="Y99" s="163"/>
    </row>
    <row r="100" spans="1:25" x14ac:dyDescent="0.25">
      <c r="A100" s="86"/>
      <c r="B100" s="152"/>
      <c r="C100" s="155"/>
      <c r="O100" s="164" t="s">
        <v>594</v>
      </c>
      <c r="P100" s="87"/>
      <c r="R100" s="87"/>
      <c r="W100" s="165" t="s">
        <v>597</v>
      </c>
      <c r="X100" s="3"/>
      <c r="Y100" s="163"/>
    </row>
    <row r="101" spans="1:25" x14ac:dyDescent="0.25">
      <c r="A101" s="86"/>
      <c r="B101" s="88"/>
      <c r="C101" s="88"/>
      <c r="D101" s="88"/>
      <c r="E101" s="38"/>
      <c r="F101" s="88"/>
      <c r="G101" s="88"/>
      <c r="H101" s="88"/>
      <c r="I101" s="88"/>
      <c r="J101" s="88"/>
      <c r="K101" s="88"/>
      <c r="L101" s="88"/>
      <c r="M101" s="88"/>
      <c r="N101" s="88"/>
      <c r="P101" s="88"/>
      <c r="Q101" s="88"/>
      <c r="R101" s="88"/>
      <c r="S101" s="88"/>
      <c r="T101" s="88"/>
      <c r="U101" s="88"/>
      <c r="V101" s="88"/>
      <c r="W101" s="88"/>
      <c r="X101" s="88"/>
      <c r="Y101" s="90"/>
    </row>
    <row r="102" spans="1:25" ht="16.5" thickBot="1" x14ac:dyDescent="0.3">
      <c r="A102" s="86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60"/>
    </row>
    <row r="103" spans="1:25" ht="16.5" thickTop="1" x14ac:dyDescent="0.25">
      <c r="A103" s="86"/>
      <c r="B103" s="814"/>
      <c r="C103" s="77">
        <v>406</v>
      </c>
      <c r="D103" s="803"/>
      <c r="E103" s="77">
        <v>437.7</v>
      </c>
      <c r="F103" s="805"/>
      <c r="G103" s="78">
        <v>367</v>
      </c>
      <c r="H103" s="805"/>
      <c r="I103" s="78">
        <v>400</v>
      </c>
      <c r="J103" s="805"/>
      <c r="K103" s="78">
        <v>409</v>
      </c>
      <c r="L103" s="805"/>
      <c r="M103" s="78">
        <v>388.17</v>
      </c>
      <c r="N103" s="805"/>
      <c r="O103" s="150">
        <v>441</v>
      </c>
      <c r="P103" s="805"/>
      <c r="Q103" s="78">
        <v>402</v>
      </c>
      <c r="R103" s="776"/>
      <c r="S103" s="92">
        <v>384</v>
      </c>
      <c r="T103" s="814"/>
      <c r="U103" s="78">
        <v>412.61</v>
      </c>
      <c r="V103" s="776"/>
      <c r="W103" s="150">
        <v>205.21</v>
      </c>
      <c r="X103" s="776"/>
      <c r="Y103" s="79">
        <v>208</v>
      </c>
    </row>
    <row r="104" spans="1:25" ht="16.5" thickBot="1" x14ac:dyDescent="0.3">
      <c r="A104" s="86"/>
      <c r="B104" s="825"/>
      <c r="C104" s="66"/>
      <c r="D104" s="804"/>
      <c r="E104" s="66"/>
      <c r="F104" s="806"/>
      <c r="G104" s="66"/>
      <c r="H104" s="806"/>
      <c r="I104" s="66"/>
      <c r="J104" s="806"/>
      <c r="K104" s="66"/>
      <c r="L104" s="806"/>
      <c r="M104" s="66"/>
      <c r="N104" s="806"/>
      <c r="O104" s="66"/>
      <c r="P104" s="806"/>
      <c r="Q104" s="66"/>
      <c r="R104" s="824"/>
      <c r="S104" s="66"/>
      <c r="T104" s="825"/>
      <c r="U104" s="58"/>
      <c r="V104" s="824"/>
      <c r="W104" s="58"/>
      <c r="X104" s="824"/>
      <c r="Y104" s="67"/>
    </row>
    <row r="105" spans="1:25" x14ac:dyDescent="0.25">
      <c r="A105" s="86"/>
      <c r="B105" s="80" t="s">
        <v>321</v>
      </c>
      <c r="C105" s="58"/>
      <c r="D105" s="80" t="s">
        <v>322</v>
      </c>
      <c r="E105" s="81"/>
      <c r="F105" s="138" t="s">
        <v>323</v>
      </c>
      <c r="G105" s="167"/>
      <c r="H105" s="83" t="s">
        <v>324</v>
      </c>
      <c r="I105" s="82"/>
      <c r="J105" s="80" t="s">
        <v>325</v>
      </c>
      <c r="K105" s="82"/>
      <c r="L105" s="80" t="s">
        <v>326</v>
      </c>
      <c r="M105" s="82"/>
      <c r="N105" s="127" t="s">
        <v>327</v>
      </c>
      <c r="O105" s="82"/>
      <c r="P105" s="84" t="s">
        <v>328</v>
      </c>
      <c r="Q105" s="82"/>
      <c r="R105" s="94" t="s">
        <v>329</v>
      </c>
      <c r="S105" s="81"/>
      <c r="T105" s="84" t="s">
        <v>330</v>
      </c>
      <c r="U105" s="72"/>
      <c r="V105" s="121" t="s">
        <v>331</v>
      </c>
      <c r="W105" s="72"/>
      <c r="X105" s="121" t="s">
        <v>332</v>
      </c>
      <c r="Y105" s="67"/>
    </row>
    <row r="106" spans="1:25" x14ac:dyDescent="0.25">
      <c r="A106" s="86"/>
      <c r="B106" s="87" t="s">
        <v>193</v>
      </c>
      <c r="C106" s="97"/>
      <c r="D106" s="87" t="s">
        <v>583</v>
      </c>
      <c r="E106" s="88"/>
      <c r="F106" s="112" t="s">
        <v>582</v>
      </c>
      <c r="G106" s="88"/>
      <c r="H106" s="87" t="s">
        <v>195</v>
      </c>
      <c r="I106" s="89"/>
      <c r="J106" s="87" t="s">
        <v>195</v>
      </c>
      <c r="K106" s="89"/>
      <c r="L106" s="87" t="s">
        <v>195</v>
      </c>
      <c r="M106" s="89"/>
      <c r="N106" s="113" t="s">
        <v>589</v>
      </c>
      <c r="O106" s="88"/>
      <c r="P106" s="96" t="s">
        <v>583</v>
      </c>
      <c r="Q106" s="88"/>
      <c r="R106" s="96" t="s">
        <v>195</v>
      </c>
      <c r="S106" s="89"/>
      <c r="T106" s="96" t="s">
        <v>193</v>
      </c>
      <c r="U106" s="89"/>
      <c r="V106" s="113" t="s">
        <v>584</v>
      </c>
      <c r="W106" s="89"/>
      <c r="X106" s="113" t="s">
        <v>582</v>
      </c>
      <c r="Y106" s="98"/>
    </row>
    <row r="107" spans="1:25" x14ac:dyDescent="0.25">
      <c r="A107" s="86"/>
      <c r="B107" s="87"/>
      <c r="C107" s="97"/>
      <c r="D107" s="168"/>
      <c r="E107" s="97"/>
      <c r="F107" s="168"/>
      <c r="G107" s="169"/>
      <c r="H107" s="168"/>
      <c r="I107" s="97"/>
      <c r="J107" s="170"/>
      <c r="K107" s="97"/>
      <c r="L107" s="168"/>
      <c r="M107" s="97"/>
      <c r="N107" s="170"/>
      <c r="O107" s="97"/>
      <c r="P107" s="100"/>
      <c r="Q107" s="99"/>
      <c r="R107" s="100"/>
      <c r="S107" s="99"/>
      <c r="T107" s="100"/>
      <c r="U107" s="100"/>
      <c r="V107" s="100"/>
      <c r="W107" s="99"/>
      <c r="X107" s="100"/>
      <c r="Y107" s="101"/>
    </row>
    <row r="108" spans="1:25" x14ac:dyDescent="0.25">
      <c r="A108" s="86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167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90"/>
    </row>
    <row r="109" spans="1:25" ht="16.5" thickBot="1" x14ac:dyDescent="0.3">
      <c r="A109" s="86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90"/>
    </row>
    <row r="110" spans="1:25" ht="16.5" thickTop="1" x14ac:dyDescent="0.25">
      <c r="A110" s="86"/>
      <c r="B110" s="814"/>
      <c r="C110" s="77">
        <v>372</v>
      </c>
      <c r="D110" s="814"/>
      <c r="E110" s="116">
        <v>384</v>
      </c>
      <c r="F110" s="776"/>
      <c r="G110" s="78">
        <v>376</v>
      </c>
      <c r="H110" s="776"/>
      <c r="I110" s="78">
        <v>468</v>
      </c>
      <c r="J110" s="776"/>
      <c r="K110" s="92">
        <v>370</v>
      </c>
      <c r="L110" s="776"/>
      <c r="M110" s="77">
        <v>473</v>
      </c>
      <c r="N110" s="840"/>
      <c r="O110" s="118">
        <v>364</v>
      </c>
      <c r="P110" s="803"/>
      <c r="Q110" s="77">
        <v>342</v>
      </c>
      <c r="R110" s="814"/>
      <c r="S110" s="116">
        <v>366</v>
      </c>
      <c r="T110" s="814"/>
      <c r="U110" s="78">
        <v>352</v>
      </c>
      <c r="V110" s="814"/>
      <c r="W110" s="78">
        <v>381</v>
      </c>
      <c r="X110" s="814"/>
      <c r="Y110" s="171">
        <v>400</v>
      </c>
    </row>
    <row r="111" spans="1:25" ht="16.5" thickBot="1" x14ac:dyDescent="0.3">
      <c r="A111" s="86"/>
      <c r="B111" s="825"/>
      <c r="C111" s="58"/>
      <c r="D111" s="815"/>
      <c r="E111" s="58"/>
      <c r="F111" s="777"/>
      <c r="G111" s="58"/>
      <c r="H111" s="777"/>
      <c r="I111" s="58"/>
      <c r="J111" s="777"/>
      <c r="K111" s="66"/>
      <c r="L111" s="777"/>
      <c r="M111" s="58"/>
      <c r="N111" s="841"/>
      <c r="O111" s="327"/>
      <c r="P111" s="804"/>
      <c r="Q111" s="66"/>
      <c r="R111" s="825"/>
      <c r="S111" s="66"/>
      <c r="T111" s="825"/>
      <c r="U111" s="66"/>
      <c r="V111" s="825"/>
      <c r="W111" s="66"/>
      <c r="X111" s="825"/>
      <c r="Y111" s="151"/>
    </row>
    <row r="112" spans="1:25" ht="16.5" thickTop="1" x14ac:dyDescent="0.25">
      <c r="A112" s="86"/>
      <c r="B112" s="175" t="s">
        <v>333</v>
      </c>
      <c r="C112" s="89"/>
      <c r="D112" s="109" t="s">
        <v>334</v>
      </c>
      <c r="E112" s="89"/>
      <c r="F112" s="111" t="s">
        <v>171</v>
      </c>
      <c r="G112" s="89"/>
      <c r="H112" s="111" t="s">
        <v>128</v>
      </c>
      <c r="I112" s="89"/>
      <c r="J112" s="104" t="s">
        <v>166</v>
      </c>
      <c r="K112" s="97"/>
      <c r="L112" s="111" t="s">
        <v>335</v>
      </c>
      <c r="M112" s="89"/>
      <c r="N112" s="172" t="s">
        <v>129</v>
      </c>
      <c r="O112" s="97"/>
      <c r="P112" s="104" t="s">
        <v>133</v>
      </c>
      <c r="Q112" s="105"/>
      <c r="R112" s="104" t="s">
        <v>138</v>
      </c>
      <c r="S112" s="106"/>
      <c r="T112" s="104" t="s">
        <v>123</v>
      </c>
      <c r="U112" s="106"/>
      <c r="V112" s="107" t="s">
        <v>177</v>
      </c>
      <c r="W112" s="106"/>
      <c r="X112" s="104" t="s">
        <v>113</v>
      </c>
      <c r="Y112" s="151"/>
    </row>
    <row r="113" spans="1:25" x14ac:dyDescent="0.25">
      <c r="A113" s="86"/>
      <c r="B113" s="113" t="s">
        <v>589</v>
      </c>
      <c r="C113" s="89"/>
      <c r="D113" s="96" t="s">
        <v>195</v>
      </c>
      <c r="E113" s="89"/>
      <c r="F113" s="87" t="s">
        <v>195</v>
      </c>
      <c r="G113" s="89"/>
      <c r="H113" s="87" t="s">
        <v>583</v>
      </c>
      <c r="I113" s="89"/>
      <c r="J113" s="87" t="s">
        <v>193</v>
      </c>
      <c r="K113" s="97"/>
      <c r="L113" s="87" t="s">
        <v>593</v>
      </c>
      <c r="M113" s="89"/>
      <c r="N113" s="87" t="s">
        <v>195</v>
      </c>
      <c r="O113" s="97"/>
      <c r="P113" s="87" t="s">
        <v>195</v>
      </c>
      <c r="Q113" s="105"/>
      <c r="R113" s="87" t="s">
        <v>195</v>
      </c>
      <c r="S113" s="87"/>
      <c r="T113" s="87" t="s">
        <v>195</v>
      </c>
      <c r="U113" s="87"/>
      <c r="V113" s="112" t="s">
        <v>584</v>
      </c>
      <c r="W113" s="87"/>
      <c r="X113" s="87" t="s">
        <v>195</v>
      </c>
      <c r="Y113" s="173"/>
    </row>
    <row r="114" spans="1:25" x14ac:dyDescent="0.25">
      <c r="A114" s="86"/>
      <c r="B114" s="2"/>
      <c r="C114" s="2"/>
      <c r="D114" s="115"/>
      <c r="E114" s="72"/>
      <c r="F114" s="68"/>
      <c r="G114" s="72"/>
      <c r="H114" s="68"/>
      <c r="I114" s="72"/>
      <c r="J114" s="68"/>
      <c r="L114" s="68"/>
      <c r="M114" s="72"/>
      <c r="N114" s="68"/>
      <c r="O114" s="58"/>
      <c r="P114" s="68"/>
      <c r="Q114" s="81"/>
      <c r="R114" s="68"/>
      <c r="S114" s="68"/>
      <c r="T114" s="68"/>
      <c r="U114" s="68"/>
      <c r="V114" s="68"/>
      <c r="W114" s="68"/>
      <c r="X114" s="68"/>
      <c r="Y114" s="174"/>
    </row>
    <row r="115" spans="1:25" x14ac:dyDescent="0.25">
      <c r="A115" s="86"/>
      <c r="B115" s="38"/>
      <c r="C115" s="38"/>
      <c r="D115" s="38"/>
      <c r="E115" s="38"/>
      <c r="F115" s="38"/>
      <c r="G115" s="38"/>
      <c r="H115" s="38"/>
      <c r="I115" s="318"/>
      <c r="J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60"/>
    </row>
    <row r="116" spans="1:25" ht="16.5" thickBot="1" x14ac:dyDescent="0.3">
      <c r="A116" s="86"/>
      <c r="B116" s="38"/>
      <c r="C116" s="38"/>
      <c r="D116" s="38"/>
      <c r="E116" s="38"/>
      <c r="F116" s="38"/>
      <c r="G116" s="38"/>
      <c r="H116" s="38"/>
      <c r="I116" s="38"/>
      <c r="J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60"/>
    </row>
    <row r="117" spans="1:25" ht="16.5" thickTop="1" x14ac:dyDescent="0.25">
      <c r="A117" s="86"/>
      <c r="B117" s="814"/>
      <c r="C117" s="77">
        <v>415</v>
      </c>
      <c r="D117" s="803"/>
      <c r="E117" s="116">
        <v>394</v>
      </c>
      <c r="F117" s="814"/>
      <c r="G117" s="92">
        <v>362</v>
      </c>
      <c r="H117" s="776"/>
      <c r="I117" s="78">
        <v>386</v>
      </c>
      <c r="J117" s="805"/>
      <c r="K117" s="78">
        <v>425</v>
      </c>
      <c r="L117" s="776"/>
      <c r="M117" s="78">
        <v>412</v>
      </c>
      <c r="N117" s="776"/>
      <c r="O117" s="78">
        <v>337</v>
      </c>
      <c r="P117" s="776"/>
      <c r="Q117" s="92">
        <v>323</v>
      </c>
      <c r="R117" s="814"/>
      <c r="S117" s="92">
        <v>329</v>
      </c>
      <c r="T117" s="776"/>
      <c r="U117" s="78">
        <v>315</v>
      </c>
      <c r="V117" s="776"/>
      <c r="W117" s="92">
        <v>465</v>
      </c>
      <c r="X117" s="814"/>
      <c r="Y117" s="93">
        <v>374</v>
      </c>
    </row>
    <row r="118" spans="1:25" ht="16.5" thickBot="1" x14ac:dyDescent="0.3">
      <c r="A118" s="86"/>
      <c r="B118" s="825"/>
      <c r="C118" s="66"/>
      <c r="D118" s="804"/>
      <c r="E118" s="66"/>
      <c r="F118" s="825"/>
      <c r="G118" s="66"/>
      <c r="H118" s="777"/>
      <c r="I118" s="58"/>
      <c r="J118" s="806"/>
      <c r="K118" s="58"/>
      <c r="L118" s="824"/>
      <c r="M118" s="58"/>
      <c r="N118" s="824"/>
      <c r="O118" s="58"/>
      <c r="P118" s="777"/>
      <c r="Q118" s="58"/>
      <c r="R118" s="825"/>
      <c r="S118" s="58"/>
      <c r="T118" s="824"/>
      <c r="U118" s="58"/>
      <c r="V118" s="824"/>
      <c r="W118" s="66"/>
      <c r="X118" s="825"/>
      <c r="Y118" s="67"/>
    </row>
    <row r="119" spans="1:25" x14ac:dyDescent="0.25">
      <c r="A119" s="86"/>
      <c r="B119" s="109" t="s">
        <v>114</v>
      </c>
      <c r="C119" s="106"/>
      <c r="D119" s="109" t="s">
        <v>65</v>
      </c>
      <c r="E119" s="106"/>
      <c r="F119" s="110" t="s">
        <v>50</v>
      </c>
      <c r="G119" s="105"/>
      <c r="H119" s="109" t="s">
        <v>59</v>
      </c>
      <c r="I119" s="89"/>
      <c r="J119" s="175" t="s">
        <v>160</v>
      </c>
      <c r="K119" s="89"/>
      <c r="L119" s="111" t="s">
        <v>63</v>
      </c>
      <c r="M119" s="89"/>
      <c r="N119" s="111" t="s">
        <v>53</v>
      </c>
      <c r="O119" s="89"/>
      <c r="P119" s="109" t="s">
        <v>44</v>
      </c>
      <c r="Q119" s="89"/>
      <c r="R119" s="111" t="s">
        <v>39</v>
      </c>
      <c r="S119" s="89"/>
      <c r="T119" s="175" t="s">
        <v>158</v>
      </c>
      <c r="U119" s="89"/>
      <c r="V119" s="104" t="s">
        <v>118</v>
      </c>
      <c r="W119" s="97"/>
      <c r="X119" s="145" t="s">
        <v>33</v>
      </c>
      <c r="Y119" s="98"/>
    </row>
    <row r="120" spans="1:25" x14ac:dyDescent="0.25">
      <c r="A120" s="86"/>
      <c r="B120" s="87" t="s">
        <v>195</v>
      </c>
      <c r="C120" s="87"/>
      <c r="D120" s="87" t="s">
        <v>583</v>
      </c>
      <c r="E120" s="87"/>
      <c r="F120" s="87" t="s">
        <v>193</v>
      </c>
      <c r="G120" s="89"/>
      <c r="H120" s="96" t="s">
        <v>195</v>
      </c>
      <c r="I120" s="89"/>
      <c r="J120" s="112" t="s">
        <v>582</v>
      </c>
      <c r="K120" s="89"/>
      <c r="L120" s="87" t="s">
        <v>583</v>
      </c>
      <c r="M120" s="89"/>
      <c r="N120" s="87" t="s">
        <v>195</v>
      </c>
      <c r="O120" s="89"/>
      <c r="P120" s="87" t="s">
        <v>195</v>
      </c>
      <c r="Q120" s="89"/>
      <c r="R120" s="87" t="s">
        <v>195</v>
      </c>
      <c r="S120" s="89"/>
      <c r="T120" s="112" t="s">
        <v>584</v>
      </c>
      <c r="U120" s="89"/>
      <c r="V120" s="87" t="s">
        <v>583</v>
      </c>
      <c r="W120" s="97"/>
      <c r="X120" s="142" t="s">
        <v>193</v>
      </c>
      <c r="Y120" s="98"/>
    </row>
    <row r="121" spans="1:25" x14ac:dyDescent="0.25">
      <c r="A121" s="86"/>
      <c r="Y121" s="163"/>
    </row>
    <row r="122" spans="1:25" x14ac:dyDescent="0.25">
      <c r="A122" s="86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P122" s="88"/>
      <c r="Q122" s="88"/>
      <c r="R122" s="88"/>
      <c r="S122" s="88"/>
      <c r="T122" s="88"/>
      <c r="U122" s="88"/>
      <c r="V122" s="88"/>
      <c r="W122" s="88"/>
      <c r="X122" s="88"/>
      <c r="Y122"/>
    </row>
    <row r="123" spans="1:25" ht="16.5" thickBot="1" x14ac:dyDescent="0.3">
      <c r="A123" s="86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60"/>
    </row>
    <row r="124" spans="1:25" ht="16.5" thickTop="1" x14ac:dyDescent="0.25">
      <c r="A124" s="86"/>
      <c r="B124" s="814"/>
      <c r="C124" s="77">
        <v>344</v>
      </c>
      <c r="D124" s="803"/>
      <c r="E124" s="77">
        <v>371</v>
      </c>
      <c r="F124" s="805"/>
      <c r="G124" s="78">
        <v>386</v>
      </c>
      <c r="H124" s="805"/>
      <c r="I124" s="78">
        <v>366</v>
      </c>
      <c r="J124" s="805"/>
      <c r="K124" s="78">
        <v>412</v>
      </c>
      <c r="L124" s="805"/>
      <c r="M124" s="78">
        <v>373</v>
      </c>
      <c r="N124" s="805"/>
      <c r="O124" s="150">
        <v>300</v>
      </c>
      <c r="P124" s="805"/>
      <c r="Q124" s="78">
        <v>361</v>
      </c>
      <c r="R124" s="776"/>
      <c r="S124" s="92">
        <v>427</v>
      </c>
      <c r="T124" s="814"/>
      <c r="U124" s="78">
        <v>389</v>
      </c>
      <c r="V124" s="776"/>
      <c r="W124" s="150">
        <v>405</v>
      </c>
      <c r="X124" s="776"/>
      <c r="Y124" s="79">
        <v>397</v>
      </c>
    </row>
    <row r="125" spans="1:25" ht="16.5" thickBot="1" x14ac:dyDescent="0.3">
      <c r="A125" s="86"/>
      <c r="B125" s="825"/>
      <c r="C125" s="66"/>
      <c r="D125" s="804"/>
      <c r="E125" s="66"/>
      <c r="F125" s="806"/>
      <c r="G125" s="66"/>
      <c r="H125" s="806"/>
      <c r="I125" s="66"/>
      <c r="J125" s="806"/>
      <c r="K125" s="66"/>
      <c r="L125" s="806"/>
      <c r="M125" s="66"/>
      <c r="N125" s="806"/>
      <c r="O125" s="66"/>
      <c r="P125" s="806"/>
      <c r="Q125" s="66"/>
      <c r="R125" s="824"/>
      <c r="S125" s="66"/>
      <c r="T125" s="825"/>
      <c r="U125" s="58"/>
      <c r="V125" s="824"/>
      <c r="W125" s="58"/>
      <c r="X125" s="824"/>
      <c r="Y125" s="67"/>
    </row>
    <row r="126" spans="1:25" x14ac:dyDescent="0.25">
      <c r="A126" s="86"/>
      <c r="B126" s="80" t="s">
        <v>35</v>
      </c>
      <c r="C126" s="58"/>
      <c r="D126" s="80" t="s">
        <v>28</v>
      </c>
      <c r="E126" s="81"/>
      <c r="F126" s="176" t="s">
        <v>36</v>
      </c>
      <c r="G126" s="167"/>
      <c r="H126" s="83" t="s">
        <v>37</v>
      </c>
      <c r="I126" s="82"/>
      <c r="J126" s="80" t="s">
        <v>38</v>
      </c>
      <c r="K126" s="82"/>
      <c r="L126" s="80" t="s">
        <v>49</v>
      </c>
      <c r="M126" s="82"/>
      <c r="N126" s="127" t="s">
        <v>130</v>
      </c>
      <c r="O126" s="82"/>
      <c r="P126" s="84" t="s">
        <v>45</v>
      </c>
      <c r="Q126" s="82"/>
      <c r="R126" s="94" t="s">
        <v>338</v>
      </c>
      <c r="S126" s="81"/>
      <c r="T126" s="84" t="s">
        <v>339</v>
      </c>
      <c r="U126" s="72"/>
      <c r="V126" s="141" t="s">
        <v>41</v>
      </c>
      <c r="W126" s="72"/>
      <c r="X126" s="141" t="s">
        <v>42</v>
      </c>
      <c r="Y126" s="67"/>
    </row>
    <row r="127" spans="1:25" x14ac:dyDescent="0.25">
      <c r="A127" s="86"/>
      <c r="B127" s="87" t="s">
        <v>195</v>
      </c>
      <c r="C127" s="97"/>
      <c r="D127" s="87" t="s">
        <v>195</v>
      </c>
      <c r="E127" s="88"/>
      <c r="F127" s="142" t="s">
        <v>195</v>
      </c>
      <c r="G127" s="88"/>
      <c r="H127" s="87" t="s">
        <v>195</v>
      </c>
      <c r="I127" s="89"/>
      <c r="J127" s="87" t="s">
        <v>195</v>
      </c>
      <c r="K127" s="89"/>
      <c r="L127" s="87" t="s">
        <v>193</v>
      </c>
      <c r="M127" s="89"/>
      <c r="N127" s="113" t="s">
        <v>582</v>
      </c>
      <c r="O127" s="88"/>
      <c r="P127" s="96" t="s">
        <v>195</v>
      </c>
      <c r="Q127" s="88"/>
      <c r="R127" s="96" t="s">
        <v>195</v>
      </c>
      <c r="S127" s="89"/>
      <c r="T127" s="96" t="s">
        <v>195</v>
      </c>
      <c r="U127" s="89"/>
      <c r="V127" s="106" t="s">
        <v>195</v>
      </c>
      <c r="W127" s="89"/>
      <c r="X127" s="106" t="s">
        <v>583</v>
      </c>
      <c r="Y127" s="98"/>
    </row>
    <row r="128" spans="1:25" x14ac:dyDescent="0.25">
      <c r="A128" s="86"/>
      <c r="B128" s="87"/>
      <c r="C128" s="97"/>
      <c r="D128" s="168"/>
      <c r="E128" s="97"/>
      <c r="F128" s="168"/>
      <c r="G128" s="169"/>
      <c r="H128" s="168"/>
      <c r="I128" s="97"/>
      <c r="J128" s="170"/>
      <c r="K128" s="97"/>
      <c r="L128" s="168"/>
      <c r="M128" s="97"/>
      <c r="N128" s="170"/>
      <c r="O128" s="97"/>
      <c r="P128" s="100"/>
      <c r="Q128" s="99"/>
      <c r="R128" s="100"/>
      <c r="S128" s="99"/>
      <c r="T128" s="100"/>
      <c r="U128" s="100"/>
      <c r="V128" s="100"/>
      <c r="W128" s="99"/>
      <c r="X128" s="100"/>
      <c r="Y128" s="101"/>
    </row>
    <row r="129" spans="1:25" x14ac:dyDescent="0.25">
      <c r="A129" s="86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167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90"/>
    </row>
    <row r="130" spans="1:25" ht="16.5" thickBot="1" x14ac:dyDescent="0.3">
      <c r="A130" s="86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90"/>
    </row>
    <row r="131" spans="1:25" ht="16.5" thickTop="1" x14ac:dyDescent="0.25">
      <c r="A131" s="86"/>
      <c r="B131" s="814"/>
      <c r="C131" s="77">
        <v>344</v>
      </c>
      <c r="D131" s="814"/>
      <c r="E131" s="116">
        <v>421</v>
      </c>
      <c r="F131" s="776"/>
      <c r="G131" s="78">
        <v>369</v>
      </c>
      <c r="H131" s="776"/>
      <c r="I131" s="78">
        <v>404</v>
      </c>
      <c r="J131" s="776"/>
      <c r="K131" s="92">
        <v>376</v>
      </c>
      <c r="L131" s="776"/>
      <c r="M131" s="77">
        <v>397</v>
      </c>
      <c r="N131" s="840"/>
      <c r="O131" s="118">
        <v>400</v>
      </c>
      <c r="P131" s="803"/>
      <c r="Q131" s="77">
        <v>382</v>
      </c>
      <c r="R131" s="814"/>
      <c r="S131" s="116">
        <v>346</v>
      </c>
      <c r="T131" s="814"/>
      <c r="U131" s="78">
        <v>366</v>
      </c>
      <c r="V131" s="814"/>
      <c r="W131" s="78">
        <v>366</v>
      </c>
      <c r="X131" s="814"/>
      <c r="Y131" s="171">
        <v>408</v>
      </c>
    </row>
    <row r="132" spans="1:25" ht="16.5" thickBot="1" x14ac:dyDescent="0.3">
      <c r="A132" s="86"/>
      <c r="B132" s="825"/>
      <c r="C132" s="58"/>
      <c r="D132" s="815"/>
      <c r="E132" s="58"/>
      <c r="F132" s="777"/>
      <c r="G132" s="58"/>
      <c r="H132" s="777"/>
      <c r="I132" s="58"/>
      <c r="J132" s="777"/>
      <c r="K132" s="66"/>
      <c r="L132" s="777"/>
      <c r="M132" s="58"/>
      <c r="N132" s="841"/>
      <c r="O132" s="327"/>
      <c r="P132" s="804"/>
      <c r="Q132" s="66"/>
      <c r="R132" s="825"/>
      <c r="S132" s="66"/>
      <c r="T132" s="825"/>
      <c r="U132" s="66"/>
      <c r="V132" s="825"/>
      <c r="W132" s="66"/>
      <c r="X132" s="825"/>
      <c r="Y132" s="151"/>
    </row>
    <row r="133" spans="1:25" ht="16.5" thickTop="1" x14ac:dyDescent="0.25">
      <c r="A133" s="86"/>
      <c r="B133" s="175" t="s">
        <v>137</v>
      </c>
      <c r="C133" s="89"/>
      <c r="D133" s="109" t="s">
        <v>56</v>
      </c>
      <c r="E133" s="89"/>
      <c r="F133" s="177" t="s">
        <v>62</v>
      </c>
      <c r="G133" s="89"/>
      <c r="H133" s="111" t="s">
        <v>66</v>
      </c>
      <c r="I133" s="89"/>
      <c r="J133" s="104" t="s">
        <v>116</v>
      </c>
      <c r="K133" s="97"/>
      <c r="L133" s="175" t="s">
        <v>134</v>
      </c>
      <c r="M133" s="89"/>
      <c r="N133" s="172" t="s">
        <v>117</v>
      </c>
      <c r="O133" s="97"/>
      <c r="P133" s="104" t="s">
        <v>136</v>
      </c>
      <c r="Q133" s="105"/>
      <c r="R133" s="107" t="s">
        <v>340</v>
      </c>
      <c r="S133" s="106"/>
      <c r="T133" s="104" t="s">
        <v>119</v>
      </c>
      <c r="U133" s="106"/>
      <c r="V133" s="107" t="s">
        <v>180</v>
      </c>
      <c r="W133" s="106"/>
      <c r="X133" s="104" t="s">
        <v>120</v>
      </c>
      <c r="Y133" s="151"/>
    </row>
    <row r="134" spans="1:25" x14ac:dyDescent="0.25">
      <c r="A134" s="86"/>
      <c r="B134" s="113" t="s">
        <v>582</v>
      </c>
      <c r="C134" s="89"/>
      <c r="D134" s="96" t="s">
        <v>195</v>
      </c>
      <c r="E134" s="89"/>
      <c r="F134" s="87" t="s">
        <v>195</v>
      </c>
      <c r="G134" s="89"/>
      <c r="H134" s="87" t="s">
        <v>195</v>
      </c>
      <c r="I134" s="89"/>
      <c r="J134" s="87" t="s">
        <v>195</v>
      </c>
      <c r="K134" s="97"/>
      <c r="L134" s="112" t="s">
        <v>584</v>
      </c>
      <c r="M134" s="89"/>
      <c r="N134" s="87" t="s">
        <v>195</v>
      </c>
      <c r="O134" s="97"/>
      <c r="P134" s="87" t="s">
        <v>195</v>
      </c>
      <c r="Q134" s="105"/>
      <c r="R134" s="112" t="s">
        <v>598</v>
      </c>
      <c r="S134" s="87"/>
      <c r="T134" s="87" t="s">
        <v>195</v>
      </c>
      <c r="U134" s="87"/>
      <c r="V134" s="112" t="s">
        <v>195</v>
      </c>
      <c r="W134" s="87"/>
      <c r="X134" s="87" t="s">
        <v>195</v>
      </c>
      <c r="Y134" s="173"/>
    </row>
    <row r="135" spans="1:25" x14ac:dyDescent="0.25">
      <c r="A135" s="86"/>
      <c r="B135" s="2"/>
      <c r="C135" s="2"/>
      <c r="D135" s="115"/>
      <c r="E135" s="72"/>
      <c r="F135" s="68"/>
      <c r="G135" s="72"/>
      <c r="H135" s="68"/>
      <c r="I135" s="72"/>
      <c r="J135" s="68"/>
      <c r="L135" s="68"/>
      <c r="M135" s="72"/>
      <c r="N135" s="68"/>
      <c r="O135" s="58"/>
      <c r="P135" s="68"/>
      <c r="Q135" s="81"/>
      <c r="R135" s="68"/>
      <c r="S135" s="68"/>
      <c r="T135" s="68"/>
      <c r="U135" s="68"/>
      <c r="V135" s="68"/>
      <c r="W135" s="68"/>
      <c r="X135" s="68"/>
      <c r="Y135" s="174"/>
    </row>
    <row r="136" spans="1:25" x14ac:dyDescent="0.25">
      <c r="A136" s="86"/>
      <c r="B136" s="38"/>
      <c r="C136" s="38"/>
      <c r="D136" s="38"/>
      <c r="E136" s="38"/>
      <c r="F136" s="38"/>
      <c r="G136" s="38"/>
      <c r="H136" s="38"/>
      <c r="I136" s="318"/>
      <c r="J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60"/>
    </row>
    <row r="137" spans="1:25" ht="16.5" thickBot="1" x14ac:dyDescent="0.3">
      <c r="A137" s="86"/>
      <c r="B137" s="38"/>
      <c r="C137" s="38"/>
      <c r="D137" s="38"/>
      <c r="E137" s="38"/>
      <c r="F137" s="38"/>
      <c r="G137" s="38"/>
      <c r="H137" s="38"/>
      <c r="I137" s="38"/>
      <c r="J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60"/>
    </row>
    <row r="138" spans="1:25" ht="16.5" thickTop="1" x14ac:dyDescent="0.25">
      <c r="A138" s="86"/>
      <c r="B138" s="814"/>
      <c r="C138" s="77">
        <v>379</v>
      </c>
      <c r="D138" s="803"/>
      <c r="E138" s="116">
        <v>412</v>
      </c>
      <c r="F138" s="814"/>
      <c r="G138" s="92">
        <v>403</v>
      </c>
      <c r="H138" s="776"/>
      <c r="I138" s="78">
        <v>303</v>
      </c>
      <c r="J138" s="805"/>
      <c r="K138" s="78">
        <v>483</v>
      </c>
      <c r="L138" s="776"/>
      <c r="M138" s="78">
        <v>413</v>
      </c>
      <c r="N138" s="776"/>
      <c r="O138" s="78">
        <v>397</v>
      </c>
      <c r="P138" s="776"/>
      <c r="Q138" s="92">
        <v>355</v>
      </c>
      <c r="R138" s="814"/>
      <c r="S138" s="92">
        <v>366</v>
      </c>
      <c r="T138" s="776"/>
      <c r="U138" s="78">
        <v>396</v>
      </c>
      <c r="V138" s="776"/>
      <c r="W138" s="92">
        <v>405</v>
      </c>
      <c r="X138" s="814"/>
      <c r="Y138" s="93">
        <v>380</v>
      </c>
    </row>
    <row r="139" spans="1:25" ht="16.5" thickBot="1" x14ac:dyDescent="0.3">
      <c r="A139" s="86"/>
      <c r="B139" s="825"/>
      <c r="C139" s="66"/>
      <c r="D139" s="804"/>
      <c r="E139" s="66"/>
      <c r="F139" s="825"/>
      <c r="G139" s="66"/>
      <c r="H139" s="777"/>
      <c r="I139" s="58"/>
      <c r="J139" s="806"/>
      <c r="K139" s="58"/>
      <c r="L139" s="824"/>
      <c r="M139" s="58"/>
      <c r="N139" s="824"/>
      <c r="O139" s="58"/>
      <c r="P139" s="777"/>
      <c r="Q139" s="58"/>
      <c r="R139" s="825"/>
      <c r="S139" s="58"/>
      <c r="T139" s="824"/>
      <c r="U139" s="58"/>
      <c r="V139" s="824"/>
      <c r="W139" s="66"/>
      <c r="X139" s="825"/>
      <c r="Y139" s="67"/>
    </row>
    <row r="140" spans="1:25" x14ac:dyDescent="0.25">
      <c r="A140" s="86"/>
      <c r="B140" s="109" t="s">
        <v>57</v>
      </c>
      <c r="C140" s="106"/>
      <c r="D140" s="109" t="s">
        <v>58</v>
      </c>
      <c r="E140" s="106"/>
      <c r="F140" s="110" t="s">
        <v>176</v>
      </c>
      <c r="G140" s="105"/>
      <c r="H140" s="108" t="s">
        <v>341</v>
      </c>
      <c r="I140" s="89"/>
      <c r="J140" s="145" t="s">
        <v>342</v>
      </c>
      <c r="K140" s="89"/>
      <c r="L140" s="112" t="s">
        <v>343</v>
      </c>
      <c r="M140" s="89"/>
      <c r="N140" s="111" t="s">
        <v>46</v>
      </c>
      <c r="O140" s="89"/>
      <c r="P140" s="109" t="s">
        <v>344</v>
      </c>
      <c r="Q140" s="89"/>
      <c r="R140" s="111" t="s">
        <v>345</v>
      </c>
      <c r="S140" s="89"/>
      <c r="T140" s="178" t="s">
        <v>170</v>
      </c>
      <c r="U140" s="89"/>
      <c r="V140" s="104" t="s">
        <v>181</v>
      </c>
      <c r="W140" s="97"/>
      <c r="X140" s="145" t="s">
        <v>346</v>
      </c>
      <c r="Y140" s="98"/>
    </row>
    <row r="141" spans="1:25" x14ac:dyDescent="0.25">
      <c r="A141" s="86"/>
      <c r="B141" s="87" t="s">
        <v>195</v>
      </c>
      <c r="C141" s="87"/>
      <c r="D141" s="87" t="s">
        <v>195</v>
      </c>
      <c r="E141" s="87"/>
      <c r="F141" s="87" t="s">
        <v>193</v>
      </c>
      <c r="G141" s="89"/>
      <c r="H141" s="113" t="s">
        <v>592</v>
      </c>
      <c r="I141" s="89"/>
      <c r="J141" s="142" t="s">
        <v>585</v>
      </c>
      <c r="K141" s="89"/>
      <c r="L141" s="112" t="s">
        <v>592</v>
      </c>
      <c r="M141" s="89"/>
      <c r="N141" s="87" t="s">
        <v>585</v>
      </c>
      <c r="O141" s="89"/>
      <c r="P141" s="87" t="s">
        <v>195</v>
      </c>
      <c r="Q141" s="89"/>
      <c r="R141" s="87" t="s">
        <v>195</v>
      </c>
      <c r="S141" s="89"/>
      <c r="T141" s="179" t="s">
        <v>195</v>
      </c>
      <c r="U141" s="89"/>
      <c r="V141" s="87" t="s">
        <v>193</v>
      </c>
      <c r="W141" s="97"/>
      <c r="X141" s="142" t="s">
        <v>195</v>
      </c>
      <c r="Y141" s="98"/>
    </row>
    <row r="142" spans="1:25" x14ac:dyDescent="0.25">
      <c r="A142" s="86"/>
      <c r="B142" s="87"/>
      <c r="C142" s="97"/>
      <c r="D142" s="152"/>
      <c r="E142" s="153"/>
      <c r="F142" s="152"/>
      <c r="G142" s="153"/>
      <c r="H142" s="154"/>
      <c r="I142" s="152"/>
      <c r="J142" s="154"/>
      <c r="K142" s="152"/>
      <c r="L142" s="169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5"/>
      <c r="X142" s="152"/>
      <c r="Y142" s="156"/>
    </row>
    <row r="143" spans="1:25" x14ac:dyDescent="0.25">
      <c r="A143" s="86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153"/>
      <c r="R143" s="88"/>
      <c r="T143" s="88"/>
      <c r="U143" s="88"/>
      <c r="V143" s="88"/>
      <c r="W143" s="157"/>
      <c r="X143" s="88"/>
      <c r="Y143" s="90"/>
    </row>
    <row r="144" spans="1:25" ht="16.5" thickBot="1" x14ac:dyDescent="0.3">
      <c r="A144" s="86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157"/>
      <c r="V144" s="88"/>
      <c r="W144" s="88"/>
      <c r="X144" s="88"/>
      <c r="Y144" s="90"/>
    </row>
    <row r="145" spans="1:25" ht="16.5" thickTop="1" x14ac:dyDescent="0.25">
      <c r="A145" s="86"/>
      <c r="B145" s="839"/>
      <c r="C145" s="211">
        <v>427</v>
      </c>
      <c r="D145" s="814"/>
      <c r="E145" s="159">
        <v>416</v>
      </c>
      <c r="F145" s="776"/>
      <c r="G145" s="158">
        <v>508</v>
      </c>
      <c r="H145" s="776"/>
      <c r="I145" s="160">
        <v>316</v>
      </c>
      <c r="J145" s="776"/>
      <c r="K145" s="160">
        <v>449</v>
      </c>
      <c r="L145" s="776"/>
      <c r="M145" s="78">
        <v>394</v>
      </c>
      <c r="N145" s="776"/>
      <c r="O145" s="116">
        <v>422</v>
      </c>
      <c r="P145" s="776"/>
      <c r="Q145" s="78">
        <v>404</v>
      </c>
      <c r="R145" s="776"/>
      <c r="S145" s="78">
        <v>398</v>
      </c>
      <c r="T145" s="776"/>
      <c r="U145" s="78">
        <v>393</v>
      </c>
      <c r="V145" s="776"/>
      <c r="W145" s="92">
        <v>378</v>
      </c>
      <c r="X145" s="776"/>
      <c r="Y145" s="161">
        <v>368</v>
      </c>
    </row>
    <row r="146" spans="1:25" ht="16.5" thickBot="1" x14ac:dyDescent="0.3">
      <c r="A146" s="86"/>
      <c r="B146" s="825"/>
      <c r="C146" s="162"/>
      <c r="D146" s="825"/>
      <c r="E146" s="97"/>
      <c r="F146" s="824"/>
      <c r="G146" s="162"/>
      <c r="H146" s="824"/>
      <c r="I146" s="97"/>
      <c r="J146" s="824"/>
      <c r="K146" s="97"/>
      <c r="L146" s="824"/>
      <c r="M146" s="58"/>
      <c r="N146" s="824"/>
      <c r="O146" s="58"/>
      <c r="P146" s="824"/>
      <c r="Q146" s="58"/>
      <c r="R146" s="824"/>
      <c r="S146" s="58"/>
      <c r="T146" s="824"/>
      <c r="U146" s="58"/>
      <c r="V146" s="824"/>
      <c r="W146" s="66"/>
      <c r="X146" s="824"/>
      <c r="Y146" s="98"/>
    </row>
    <row r="147" spans="1:25" x14ac:dyDescent="0.25">
      <c r="A147" s="86"/>
      <c r="B147" s="109" t="s">
        <v>347</v>
      </c>
      <c r="C147" s="106"/>
      <c r="D147" s="109" t="s">
        <v>348</v>
      </c>
      <c r="E147" s="89"/>
      <c r="F147" s="110" t="s">
        <v>349</v>
      </c>
      <c r="G147" s="105"/>
      <c r="H147" s="108" t="s">
        <v>350</v>
      </c>
      <c r="I147" s="89"/>
      <c r="J147" s="111" t="s">
        <v>351</v>
      </c>
      <c r="K147" s="89"/>
      <c r="L147" s="111" t="s">
        <v>354</v>
      </c>
      <c r="M147" s="89"/>
      <c r="N147" s="111" t="s">
        <v>355</v>
      </c>
      <c r="O147" s="89"/>
      <c r="P147" s="109" t="s">
        <v>356</v>
      </c>
      <c r="Q147" s="89"/>
      <c r="R147" s="111" t="s">
        <v>357</v>
      </c>
      <c r="S147" s="89"/>
      <c r="T147" s="175" t="s">
        <v>358</v>
      </c>
      <c r="U147" s="89"/>
      <c r="V147" s="180" t="s">
        <v>359</v>
      </c>
      <c r="W147" s="97"/>
      <c r="X147" s="111" t="s">
        <v>360</v>
      </c>
      <c r="Y147" s="98"/>
    </row>
    <row r="148" spans="1:25" x14ac:dyDescent="0.25">
      <c r="A148" s="86"/>
      <c r="B148" s="106" t="s">
        <v>193</v>
      </c>
      <c r="C148" s="89"/>
      <c r="D148" s="96" t="s">
        <v>195</v>
      </c>
      <c r="E148" s="89"/>
      <c r="F148" s="96" t="s">
        <v>591</v>
      </c>
      <c r="G148" s="89"/>
      <c r="H148" s="113" t="s">
        <v>599</v>
      </c>
      <c r="I148" s="89"/>
      <c r="J148" s="87" t="s">
        <v>193</v>
      </c>
      <c r="K148" s="89"/>
      <c r="L148" s="87" t="s">
        <v>193</v>
      </c>
      <c r="M148" s="89"/>
      <c r="N148" s="87" t="s">
        <v>193</v>
      </c>
      <c r="O148" s="89"/>
      <c r="P148" s="87" t="s">
        <v>193</v>
      </c>
      <c r="Q148" s="89"/>
      <c r="R148" s="87" t="s">
        <v>195</v>
      </c>
      <c r="S148" s="89"/>
      <c r="T148" s="112" t="s">
        <v>582</v>
      </c>
      <c r="U148" s="89"/>
      <c r="V148" s="179" t="s">
        <v>193</v>
      </c>
      <c r="W148" s="97"/>
      <c r="X148" s="87" t="s">
        <v>195</v>
      </c>
      <c r="Y148" s="98"/>
    </row>
    <row r="149" spans="1:25" x14ac:dyDescent="0.25">
      <c r="A149" s="86"/>
      <c r="Y149" s="181" t="s">
        <v>600</v>
      </c>
    </row>
    <row r="150" spans="1:25" x14ac:dyDescent="0.25">
      <c r="A150" s="86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163"/>
    </row>
    <row r="151" spans="1:25" ht="16.5" thickBot="1" x14ac:dyDescent="0.3">
      <c r="A151" s="86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 t="s">
        <v>636</v>
      </c>
      <c r="T151" s="38"/>
      <c r="U151" s="38"/>
      <c r="V151" s="38"/>
      <c r="W151" s="38"/>
      <c r="X151" s="38"/>
      <c r="Y151" s="163"/>
    </row>
    <row r="152" spans="1:25" ht="16.5" thickTop="1" x14ac:dyDescent="0.25">
      <c r="A152" s="86"/>
      <c r="B152" s="803"/>
      <c r="C152" s="62">
        <v>361</v>
      </c>
      <c r="D152" s="776"/>
      <c r="E152" s="63">
        <v>368</v>
      </c>
      <c r="F152" s="776"/>
      <c r="G152" s="61">
        <v>453</v>
      </c>
      <c r="H152" s="776"/>
      <c r="I152" s="61">
        <v>368</v>
      </c>
      <c r="J152" s="776"/>
      <c r="K152" s="64">
        <v>369</v>
      </c>
      <c r="L152" s="805"/>
      <c r="M152" s="76">
        <v>424</v>
      </c>
      <c r="N152" s="803"/>
      <c r="O152" s="77">
        <v>383</v>
      </c>
      <c r="P152" s="803"/>
      <c r="Q152" s="78">
        <v>459</v>
      </c>
      <c r="R152" s="776"/>
      <c r="S152" s="63">
        <v>324</v>
      </c>
      <c r="T152" s="805"/>
      <c r="U152" s="78">
        <v>347</v>
      </c>
      <c r="V152" s="776"/>
      <c r="W152" s="78">
        <v>295</v>
      </c>
      <c r="X152" s="842"/>
      <c r="Y152" s="182">
        <v>248</v>
      </c>
    </row>
    <row r="153" spans="1:25" ht="16.5" thickBot="1" x14ac:dyDescent="0.3">
      <c r="A153" s="86"/>
      <c r="B153" s="804"/>
      <c r="C153" s="58"/>
      <c r="D153" s="777"/>
      <c r="E153" s="58"/>
      <c r="F153" s="777"/>
      <c r="G153" s="58"/>
      <c r="H153" s="777"/>
      <c r="I153" s="38"/>
      <c r="J153" s="777"/>
      <c r="K153" s="58"/>
      <c r="L153" s="806"/>
      <c r="M153" s="66"/>
      <c r="N153" s="804"/>
      <c r="O153" s="66"/>
      <c r="P153" s="804"/>
      <c r="Q153" s="66"/>
      <c r="R153" s="777"/>
      <c r="S153" s="66"/>
      <c r="T153" s="806"/>
      <c r="U153" s="66"/>
      <c r="V153" s="777"/>
      <c r="W153" s="66"/>
      <c r="X153" s="843"/>
      <c r="Y153" s="183"/>
    </row>
    <row r="154" spans="1:25" x14ac:dyDescent="0.25">
      <c r="A154" s="86"/>
      <c r="B154" s="71" t="s">
        <v>361</v>
      </c>
      <c r="C154" s="70"/>
      <c r="D154" s="71" t="s">
        <v>362</v>
      </c>
      <c r="E154" s="70"/>
      <c r="F154" s="71" t="s">
        <v>363</v>
      </c>
      <c r="G154" s="70"/>
      <c r="H154" s="71" t="s">
        <v>364</v>
      </c>
      <c r="I154" s="66"/>
      <c r="J154" s="69" t="s">
        <v>365</v>
      </c>
      <c r="K154" s="70"/>
      <c r="L154" s="71" t="s">
        <v>366</v>
      </c>
      <c r="M154" s="66"/>
      <c r="N154" s="80" t="s">
        <v>367</v>
      </c>
      <c r="O154" s="81"/>
      <c r="P154" s="80" t="s">
        <v>368</v>
      </c>
      <c r="Q154" s="82"/>
      <c r="R154" s="138" t="s">
        <v>369</v>
      </c>
      <c r="S154" s="82"/>
      <c r="T154" s="80" t="s">
        <v>370</v>
      </c>
      <c r="U154" s="82"/>
      <c r="V154" s="80" t="s">
        <v>371</v>
      </c>
      <c r="W154" s="83"/>
      <c r="X154" s="127" t="s">
        <v>372</v>
      </c>
      <c r="Y154" s="163"/>
    </row>
    <row r="155" spans="1:25" x14ac:dyDescent="0.25">
      <c r="A155" s="86"/>
      <c r="B155" s="75" t="s">
        <v>593</v>
      </c>
      <c r="C155" s="75"/>
      <c r="D155" s="75" t="s">
        <v>195</v>
      </c>
      <c r="E155" s="75"/>
      <c r="F155" s="75" t="s">
        <v>195</v>
      </c>
      <c r="H155" s="75" t="s">
        <v>193</v>
      </c>
      <c r="I155" s="58"/>
      <c r="J155" s="74" t="s">
        <v>592</v>
      </c>
      <c r="K155" s="74"/>
      <c r="L155" s="75" t="s">
        <v>195</v>
      </c>
      <c r="M155" s="58"/>
      <c r="N155" s="68" t="s">
        <v>193</v>
      </c>
      <c r="O155" s="38"/>
      <c r="P155" s="68" t="s">
        <v>583</v>
      </c>
      <c r="Q155" s="74"/>
      <c r="R155" s="74" t="s">
        <v>499</v>
      </c>
      <c r="S155" s="72"/>
      <c r="T155" s="68" t="s">
        <v>195</v>
      </c>
      <c r="U155" s="72"/>
      <c r="V155" s="68" t="s">
        <v>593</v>
      </c>
      <c r="W155" s="72"/>
      <c r="X155" s="74" t="s">
        <v>601</v>
      </c>
      <c r="Y155" s="163"/>
    </row>
    <row r="156" spans="1:25" x14ac:dyDescent="0.25">
      <c r="A156" s="86"/>
      <c r="E156" s="184" t="s">
        <v>602</v>
      </c>
      <c r="N156" s="87"/>
      <c r="O156" s="88" t="s">
        <v>603</v>
      </c>
      <c r="P156" s="87"/>
      <c r="Q156" s="88"/>
      <c r="R156" s="112"/>
      <c r="S156" s="89"/>
      <c r="T156" s="87"/>
      <c r="U156" s="89"/>
      <c r="V156" s="87"/>
      <c r="W156" s="89"/>
      <c r="X156" s="87"/>
      <c r="Y156" s="163"/>
    </row>
    <row r="157" spans="1:25" x14ac:dyDescent="0.25">
      <c r="A157" s="8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163"/>
    </row>
    <row r="158" spans="1:25" ht="16.5" thickBot="1" x14ac:dyDescent="0.3">
      <c r="A158" s="8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91"/>
      <c r="S158" s="66"/>
      <c r="T158" s="66"/>
      <c r="U158" s="66"/>
      <c r="V158" s="66"/>
      <c r="W158" s="66"/>
      <c r="X158" s="66"/>
      <c r="Y158" s="163"/>
    </row>
    <row r="159" spans="1:25" ht="16.5" thickTop="1" x14ac:dyDescent="0.25">
      <c r="A159" s="86"/>
      <c r="B159" s="814"/>
      <c r="C159" s="116">
        <v>430</v>
      </c>
      <c r="D159" s="776"/>
      <c r="E159" s="150">
        <v>248</v>
      </c>
      <c r="F159" s="776"/>
      <c r="G159" s="78">
        <v>430</v>
      </c>
      <c r="H159" s="776"/>
      <c r="I159" s="78">
        <v>412</v>
      </c>
      <c r="J159" s="776"/>
      <c r="K159" s="78">
        <v>278</v>
      </c>
      <c r="L159" s="776"/>
      <c r="M159" s="78">
        <v>321</v>
      </c>
      <c r="N159" s="776"/>
      <c r="O159" s="150">
        <v>417</v>
      </c>
      <c r="P159" s="776"/>
      <c r="Q159" s="78">
        <v>410</v>
      </c>
      <c r="R159" s="776"/>
      <c r="S159" s="63">
        <v>375</v>
      </c>
      <c r="T159" s="776"/>
      <c r="U159" s="78">
        <v>423</v>
      </c>
      <c r="V159" s="814"/>
      <c r="W159" s="92">
        <v>419</v>
      </c>
      <c r="X159" s="814"/>
      <c r="Y159" s="163">
        <v>411</v>
      </c>
    </row>
    <row r="160" spans="1:25" ht="16.5" thickBot="1" x14ac:dyDescent="0.3">
      <c r="A160" s="86"/>
      <c r="B160" s="815"/>
      <c r="C160" s="66"/>
      <c r="D160" s="777"/>
      <c r="E160" s="66"/>
      <c r="F160" s="777"/>
      <c r="G160" s="66"/>
      <c r="H160" s="777"/>
      <c r="I160" s="66"/>
      <c r="J160" s="777"/>
      <c r="K160" s="58"/>
      <c r="L160" s="777"/>
      <c r="M160" s="66"/>
      <c r="N160" s="777"/>
      <c r="O160" s="66"/>
      <c r="P160" s="777"/>
      <c r="Q160" s="58"/>
      <c r="R160" s="777"/>
      <c r="S160" s="58"/>
      <c r="T160" s="777"/>
      <c r="U160" s="58"/>
      <c r="V160" s="815"/>
      <c r="W160" s="66"/>
      <c r="X160" s="815"/>
      <c r="Y160" s="185"/>
    </row>
    <row r="161" spans="1:25" x14ac:dyDescent="0.25">
      <c r="A161" s="86"/>
      <c r="B161" s="127" t="s">
        <v>373</v>
      </c>
      <c r="C161" s="82"/>
      <c r="D161" s="186" t="s">
        <v>374</v>
      </c>
      <c r="E161" s="82"/>
      <c r="F161" s="136" t="s">
        <v>375</v>
      </c>
      <c r="G161" s="82"/>
      <c r="H161" s="115" t="s">
        <v>376</v>
      </c>
      <c r="I161" s="82"/>
      <c r="J161" s="140" t="s">
        <v>377</v>
      </c>
      <c r="K161" s="72"/>
      <c r="L161" s="95" t="s">
        <v>378</v>
      </c>
      <c r="M161" s="82"/>
      <c r="N161" s="68" t="s">
        <v>500</v>
      </c>
      <c r="O161" s="82"/>
      <c r="P161" s="127" t="s">
        <v>379</v>
      </c>
      <c r="Q161" s="72"/>
      <c r="R161" s="68" t="s">
        <v>380</v>
      </c>
      <c r="S161" s="72"/>
      <c r="T161" s="68" t="s">
        <v>381</v>
      </c>
      <c r="U161" s="72"/>
      <c r="V161" s="187" t="s">
        <v>382</v>
      </c>
      <c r="W161" s="58"/>
      <c r="X161" s="68" t="s">
        <v>383</v>
      </c>
      <c r="Y161" s="163"/>
    </row>
    <row r="162" spans="1:25" x14ac:dyDescent="0.25">
      <c r="A162" s="86"/>
      <c r="B162" s="74" t="s">
        <v>584</v>
      </c>
      <c r="C162" s="88"/>
      <c r="D162" s="74" t="s">
        <v>590</v>
      </c>
      <c r="E162" s="88"/>
      <c r="F162" s="113" t="s">
        <v>591</v>
      </c>
      <c r="G162" s="88"/>
      <c r="H162" s="96" t="s">
        <v>195</v>
      </c>
      <c r="I162" s="88"/>
      <c r="J162" s="87" t="s">
        <v>195</v>
      </c>
      <c r="K162" s="89"/>
      <c r="L162" s="87" t="s">
        <v>195</v>
      </c>
      <c r="M162" s="88"/>
      <c r="N162" s="87" t="s">
        <v>583</v>
      </c>
      <c r="O162" s="88"/>
      <c r="P162" s="112" t="s">
        <v>604</v>
      </c>
      <c r="Q162" s="89"/>
      <c r="R162" s="87" t="s">
        <v>195</v>
      </c>
      <c r="S162" s="89"/>
      <c r="T162" s="87" t="s">
        <v>193</v>
      </c>
      <c r="U162" s="89"/>
      <c r="V162" s="87" t="s">
        <v>193</v>
      </c>
      <c r="W162" s="97"/>
      <c r="X162" s="87" t="s">
        <v>193</v>
      </c>
      <c r="Y162" s="98"/>
    </row>
    <row r="163" spans="1:25" x14ac:dyDescent="0.25">
      <c r="A163" s="86"/>
      <c r="N163" s="87"/>
      <c r="O163" s="88"/>
      <c r="P163" s="87"/>
      <c r="Q163" s="88"/>
      <c r="R163" s="87"/>
      <c r="S163" s="89"/>
      <c r="T163" s="87"/>
      <c r="U163" s="89"/>
      <c r="V163" s="87"/>
      <c r="W163" s="89"/>
      <c r="X163" s="87"/>
      <c r="Y163" s="163"/>
    </row>
    <row r="164" spans="1:25" x14ac:dyDescent="0.25">
      <c r="A164" s="8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163"/>
    </row>
    <row r="165" spans="1:25" ht="16.5" thickBot="1" x14ac:dyDescent="0.3">
      <c r="A165" s="8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91"/>
      <c r="S165" s="66"/>
      <c r="T165" s="66"/>
      <c r="U165" s="66"/>
      <c r="V165" s="66"/>
      <c r="W165" s="66"/>
      <c r="X165" s="66"/>
      <c r="Y165" s="163"/>
    </row>
    <row r="166" spans="1:25" ht="16.5" thickTop="1" x14ac:dyDescent="0.25">
      <c r="A166" s="86"/>
      <c r="B166" s="814"/>
      <c r="C166" s="116">
        <v>413</v>
      </c>
      <c r="D166" s="776"/>
      <c r="E166" s="78">
        <v>409</v>
      </c>
      <c r="F166" s="776"/>
      <c r="G166" s="78">
        <v>422</v>
      </c>
      <c r="H166" s="776"/>
      <c r="I166" s="78">
        <v>326</v>
      </c>
      <c r="J166" s="776"/>
      <c r="K166" s="78">
        <v>407</v>
      </c>
      <c r="L166" s="776"/>
      <c r="M166" s="78">
        <v>390</v>
      </c>
      <c r="N166" s="776"/>
      <c r="O166" s="78">
        <v>433</v>
      </c>
      <c r="P166" s="776"/>
      <c r="Q166" s="78">
        <v>409</v>
      </c>
      <c r="R166" s="776"/>
      <c r="S166" s="63">
        <v>400</v>
      </c>
      <c r="T166" s="776"/>
      <c r="U166" s="78">
        <v>362</v>
      </c>
      <c r="V166" s="814"/>
      <c r="W166" s="92">
        <v>378</v>
      </c>
      <c r="X166" s="814"/>
      <c r="Y166" s="163">
        <v>367</v>
      </c>
    </row>
    <row r="167" spans="1:25" ht="16.5" thickBot="1" x14ac:dyDescent="0.3">
      <c r="A167" s="86"/>
      <c r="B167" s="815"/>
      <c r="C167" s="66"/>
      <c r="D167" s="777"/>
      <c r="E167" s="66"/>
      <c r="F167" s="777"/>
      <c r="G167" s="66"/>
      <c r="H167" s="777"/>
      <c r="I167" s="66"/>
      <c r="J167" s="777"/>
      <c r="K167" s="58"/>
      <c r="L167" s="777"/>
      <c r="M167" s="66"/>
      <c r="N167" s="777"/>
      <c r="O167" s="66"/>
      <c r="P167" s="777"/>
      <c r="Q167" s="58"/>
      <c r="R167" s="777"/>
      <c r="S167" s="58"/>
      <c r="T167" s="777"/>
      <c r="U167" s="58"/>
      <c r="V167" s="815"/>
      <c r="W167" s="66"/>
      <c r="X167" s="815"/>
      <c r="Y167" s="185"/>
    </row>
    <row r="168" spans="1:25" x14ac:dyDescent="0.25">
      <c r="A168" s="86"/>
      <c r="B168" s="84" t="s">
        <v>384</v>
      </c>
      <c r="C168" s="82"/>
      <c r="D168" s="94" t="s">
        <v>385</v>
      </c>
      <c r="E168" s="82"/>
      <c r="F168" s="84" t="s">
        <v>386</v>
      </c>
      <c r="G168" s="82"/>
      <c r="H168" s="84" t="s">
        <v>387</v>
      </c>
      <c r="I168" s="82"/>
      <c r="J168" s="121" t="s">
        <v>388</v>
      </c>
      <c r="K168" s="72"/>
      <c r="L168" s="95" t="s">
        <v>389</v>
      </c>
      <c r="M168" s="82"/>
      <c r="N168" s="68" t="s">
        <v>390</v>
      </c>
      <c r="O168" s="82"/>
      <c r="P168" s="115" t="s">
        <v>391</v>
      </c>
      <c r="Q168" s="72"/>
      <c r="R168" s="68" t="s">
        <v>392</v>
      </c>
      <c r="S168" s="72"/>
      <c r="T168" s="68" t="s">
        <v>393</v>
      </c>
      <c r="U168" s="72"/>
      <c r="V168" s="187" t="s">
        <v>394</v>
      </c>
      <c r="W168" s="58"/>
      <c r="X168" s="74" t="s">
        <v>395</v>
      </c>
      <c r="Y168" s="163"/>
    </row>
    <row r="169" spans="1:25" x14ac:dyDescent="0.25">
      <c r="A169" s="86"/>
      <c r="B169" s="68" t="s">
        <v>195</v>
      </c>
      <c r="C169" s="88"/>
      <c r="D169" s="68" t="s">
        <v>193</v>
      </c>
      <c r="E169" s="88"/>
      <c r="F169" s="96" t="s">
        <v>193</v>
      </c>
      <c r="G169" s="88"/>
      <c r="H169" s="96" t="s">
        <v>195</v>
      </c>
      <c r="I169" s="88"/>
      <c r="J169" s="112" t="s">
        <v>582</v>
      </c>
      <c r="K169" s="89"/>
      <c r="L169" s="87" t="s">
        <v>193</v>
      </c>
      <c r="M169" s="88"/>
      <c r="N169" s="87" t="s">
        <v>195</v>
      </c>
      <c r="O169" s="88"/>
      <c r="P169" s="87" t="s">
        <v>195</v>
      </c>
      <c r="Q169" s="89"/>
      <c r="R169" s="87" t="s">
        <v>583</v>
      </c>
      <c r="S169" s="89"/>
      <c r="T169" s="87" t="s">
        <v>195</v>
      </c>
      <c r="U169" s="89"/>
      <c r="V169" s="87" t="s">
        <v>195</v>
      </c>
      <c r="W169" s="97"/>
      <c r="X169" s="112" t="s">
        <v>592</v>
      </c>
      <c r="Y169" s="163"/>
    </row>
    <row r="170" spans="1:25" x14ac:dyDescent="0.25">
      <c r="A170" s="86"/>
      <c r="Y170" s="163"/>
    </row>
    <row r="171" spans="1:25" x14ac:dyDescent="0.25">
      <c r="A171" s="8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163"/>
    </row>
    <row r="172" spans="1:25" ht="16.5" thickBot="1" x14ac:dyDescent="0.3">
      <c r="A172" s="8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91"/>
      <c r="S172" s="66"/>
      <c r="T172" s="66"/>
      <c r="U172" s="66"/>
      <c r="V172" s="66"/>
      <c r="W172" s="66"/>
      <c r="X172" s="66"/>
      <c r="Y172" s="163"/>
    </row>
    <row r="173" spans="1:25" ht="16.5" thickTop="1" x14ac:dyDescent="0.25">
      <c r="A173" s="86"/>
      <c r="B173" s="814"/>
      <c r="C173" s="116">
        <v>357</v>
      </c>
      <c r="D173" s="776"/>
      <c r="E173" s="78">
        <v>390</v>
      </c>
      <c r="F173" s="776"/>
      <c r="G173" s="78">
        <v>410</v>
      </c>
      <c r="H173" s="776"/>
      <c r="I173" s="78">
        <v>370</v>
      </c>
      <c r="J173" s="776"/>
      <c r="K173" s="78">
        <v>335</v>
      </c>
      <c r="L173" s="776"/>
      <c r="M173" s="78">
        <v>405</v>
      </c>
      <c r="N173" s="776"/>
      <c r="O173" s="78">
        <v>402</v>
      </c>
      <c r="P173" s="776"/>
      <c r="Q173" s="78">
        <v>432</v>
      </c>
      <c r="R173" s="776"/>
      <c r="S173" s="63">
        <v>408</v>
      </c>
      <c r="T173" s="776"/>
      <c r="U173" s="78">
        <v>421</v>
      </c>
      <c r="V173" s="814"/>
      <c r="W173" s="92">
        <v>419</v>
      </c>
      <c r="X173" s="814"/>
      <c r="Y173" s="163">
        <v>423</v>
      </c>
    </row>
    <row r="174" spans="1:25" ht="16.5" thickBot="1" x14ac:dyDescent="0.3">
      <c r="A174" s="86"/>
      <c r="B174" s="815"/>
      <c r="C174" s="66"/>
      <c r="D174" s="777"/>
      <c r="E174" s="66"/>
      <c r="F174" s="777"/>
      <c r="G174" s="66"/>
      <c r="H174" s="777"/>
      <c r="I174" s="66"/>
      <c r="J174" s="777"/>
      <c r="K174" s="58"/>
      <c r="L174" s="777"/>
      <c r="M174" s="66"/>
      <c r="N174" s="777"/>
      <c r="O174" s="66"/>
      <c r="P174" s="777"/>
      <c r="Q174" s="58"/>
      <c r="R174" s="777"/>
      <c r="S174" s="58"/>
      <c r="T174" s="777"/>
      <c r="U174" s="58"/>
      <c r="V174" s="815"/>
      <c r="W174" s="66"/>
      <c r="X174" s="815"/>
      <c r="Y174" s="185"/>
    </row>
    <row r="175" spans="1:25" x14ac:dyDescent="0.25">
      <c r="A175" s="86"/>
      <c r="B175" s="84" t="s">
        <v>396</v>
      </c>
      <c r="C175" s="82"/>
      <c r="D175" s="188" t="s">
        <v>397</v>
      </c>
      <c r="E175" s="82"/>
      <c r="F175" s="115" t="s">
        <v>398</v>
      </c>
      <c r="G175" s="82"/>
      <c r="H175" s="115" t="s">
        <v>399</v>
      </c>
      <c r="I175" s="82"/>
      <c r="J175" s="68" t="s">
        <v>400</v>
      </c>
      <c r="K175" s="72"/>
      <c r="L175" s="68" t="s">
        <v>401</v>
      </c>
      <c r="M175" s="82"/>
      <c r="N175" s="68" t="s">
        <v>496</v>
      </c>
      <c r="O175" s="82"/>
      <c r="P175" s="186" t="s">
        <v>402</v>
      </c>
      <c r="Q175" s="72"/>
      <c r="R175" s="95" t="s">
        <v>403</v>
      </c>
      <c r="S175" s="72"/>
      <c r="T175" s="95" t="s">
        <v>404</v>
      </c>
      <c r="U175" s="72"/>
      <c r="V175" s="187" t="s">
        <v>405</v>
      </c>
      <c r="W175" s="58"/>
      <c r="X175" s="68" t="s">
        <v>406</v>
      </c>
      <c r="Y175" s="163"/>
    </row>
    <row r="176" spans="1:25" x14ac:dyDescent="0.25">
      <c r="A176" s="86"/>
      <c r="B176" s="68" t="s">
        <v>195</v>
      </c>
      <c r="C176" s="88"/>
      <c r="D176" s="68" t="s">
        <v>195</v>
      </c>
      <c r="E176" s="88"/>
      <c r="F176" s="96" t="s">
        <v>193</v>
      </c>
      <c r="G176" s="88"/>
      <c r="H176" s="96" t="s">
        <v>195</v>
      </c>
      <c r="I176" s="88"/>
      <c r="J176" s="87" t="s">
        <v>195</v>
      </c>
      <c r="K176" s="89"/>
      <c r="L176" s="87" t="s">
        <v>195</v>
      </c>
      <c r="M176" s="88"/>
      <c r="N176" s="87" t="s">
        <v>195</v>
      </c>
      <c r="O176" s="88"/>
      <c r="P176" s="112" t="s">
        <v>605</v>
      </c>
      <c r="Q176" s="89"/>
      <c r="R176" s="87" t="s">
        <v>583</v>
      </c>
      <c r="S176" s="89"/>
      <c r="T176" s="87" t="s">
        <v>195</v>
      </c>
      <c r="U176" s="89"/>
      <c r="V176" s="87" t="s">
        <v>193</v>
      </c>
      <c r="W176" s="97"/>
      <c r="X176" s="87" t="s">
        <v>193</v>
      </c>
      <c r="Y176" s="163"/>
    </row>
    <row r="177" spans="1:25" x14ac:dyDescent="0.25">
      <c r="A177" s="86"/>
      <c r="N177" s="87"/>
      <c r="O177" s="88"/>
      <c r="P177" s="87"/>
      <c r="Q177" s="88"/>
      <c r="R177" s="87"/>
      <c r="S177" s="89"/>
      <c r="T177" s="87"/>
      <c r="U177" s="89"/>
      <c r="V177" s="87"/>
      <c r="W177" s="89"/>
      <c r="X177" s="87"/>
      <c r="Y177" s="163"/>
    </row>
    <row r="178" spans="1:25" x14ac:dyDescent="0.25">
      <c r="A178" s="8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 t="s">
        <v>536</v>
      </c>
      <c r="R178" s="66"/>
      <c r="S178" s="66"/>
      <c r="T178" s="66"/>
      <c r="U178" s="66"/>
      <c r="V178" s="66"/>
      <c r="W178" s="66"/>
      <c r="X178" s="66"/>
      <c r="Y178" s="163"/>
    </row>
    <row r="179" spans="1:25" ht="16.5" thickBot="1" x14ac:dyDescent="0.3">
      <c r="A179" s="8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91"/>
      <c r="S179" s="66"/>
      <c r="T179" s="66"/>
      <c r="U179" s="66"/>
      <c r="V179" s="66"/>
      <c r="W179" s="66"/>
      <c r="X179" s="66"/>
      <c r="Y179" s="163"/>
    </row>
    <row r="180" spans="1:25" ht="16.5" thickTop="1" x14ac:dyDescent="0.25">
      <c r="A180" s="86"/>
      <c r="B180" s="814"/>
      <c r="C180" s="116">
        <v>420</v>
      </c>
      <c r="D180" s="776"/>
      <c r="E180" s="78">
        <v>418</v>
      </c>
      <c r="F180" s="776"/>
      <c r="G180" s="78">
        <v>425</v>
      </c>
      <c r="H180" s="776"/>
      <c r="I180" s="78">
        <v>416</v>
      </c>
      <c r="J180" s="776"/>
      <c r="K180" s="78">
        <v>428</v>
      </c>
      <c r="L180" s="776"/>
      <c r="M180" s="78">
        <v>411</v>
      </c>
      <c r="N180" s="776"/>
      <c r="O180" s="78">
        <v>302</v>
      </c>
      <c r="P180" s="776"/>
      <c r="Q180" s="78">
        <v>324</v>
      </c>
      <c r="R180" s="776"/>
      <c r="S180" s="63">
        <v>438</v>
      </c>
      <c r="T180" s="776"/>
      <c r="U180" s="78">
        <v>320</v>
      </c>
      <c r="V180" s="814"/>
      <c r="W180" s="92">
        <v>427</v>
      </c>
      <c r="X180" s="814"/>
      <c r="Y180" s="189">
        <v>413</v>
      </c>
    </row>
    <row r="181" spans="1:25" ht="16.5" thickBot="1" x14ac:dyDescent="0.3">
      <c r="A181" s="86"/>
      <c r="B181" s="815"/>
      <c r="C181" s="66"/>
      <c r="D181" s="777"/>
      <c r="E181" s="66"/>
      <c r="F181" s="777"/>
      <c r="G181" s="66"/>
      <c r="H181" s="777"/>
      <c r="I181" s="66"/>
      <c r="J181" s="777"/>
      <c r="K181" s="58"/>
      <c r="L181" s="777"/>
      <c r="M181" s="66"/>
      <c r="N181" s="777"/>
      <c r="O181" s="66"/>
      <c r="P181" s="777"/>
      <c r="Q181" s="58"/>
      <c r="R181" s="777"/>
      <c r="S181" s="58"/>
      <c r="T181" s="777"/>
      <c r="U181" s="58"/>
      <c r="V181" s="815"/>
      <c r="W181" s="66"/>
      <c r="X181" s="815"/>
      <c r="Y181" s="163"/>
    </row>
    <row r="182" spans="1:25" x14ac:dyDescent="0.25">
      <c r="A182" s="86"/>
      <c r="B182" s="115" t="s">
        <v>407</v>
      </c>
      <c r="C182" s="82"/>
      <c r="D182" s="188" t="s">
        <v>408</v>
      </c>
      <c r="E182" s="82"/>
      <c r="F182" s="115" t="s">
        <v>409</v>
      </c>
      <c r="G182" s="82"/>
      <c r="H182" s="115" t="s">
        <v>410</v>
      </c>
      <c r="I182" s="82"/>
      <c r="J182" s="68" t="s">
        <v>411</v>
      </c>
      <c r="K182" s="72"/>
      <c r="L182" s="74" t="s">
        <v>412</v>
      </c>
      <c r="M182" s="82"/>
      <c r="N182" s="68" t="s">
        <v>413</v>
      </c>
      <c r="O182" s="82"/>
      <c r="P182" s="136" t="s">
        <v>414</v>
      </c>
      <c r="Q182" s="72"/>
      <c r="R182" s="95" t="s">
        <v>415</v>
      </c>
      <c r="S182" s="72"/>
      <c r="T182" s="74" t="s">
        <v>416</v>
      </c>
      <c r="U182" s="72"/>
      <c r="V182" s="80" t="s">
        <v>417</v>
      </c>
      <c r="W182" s="58"/>
      <c r="X182" s="95" t="s">
        <v>418</v>
      </c>
      <c r="Y182" s="163"/>
    </row>
    <row r="183" spans="1:25" x14ac:dyDescent="0.25">
      <c r="A183" s="86"/>
      <c r="B183" s="68" t="s">
        <v>193</v>
      </c>
      <c r="C183" s="88"/>
      <c r="D183" s="68" t="s">
        <v>195</v>
      </c>
      <c r="E183" s="88"/>
      <c r="F183" s="96" t="s">
        <v>583</v>
      </c>
      <c r="G183" s="88"/>
      <c r="H183" s="96" t="s">
        <v>193</v>
      </c>
      <c r="I183" s="88"/>
      <c r="J183" s="87" t="s">
        <v>585</v>
      </c>
      <c r="K183" s="89"/>
      <c r="L183" s="112" t="s">
        <v>606</v>
      </c>
      <c r="M183" s="88"/>
      <c r="N183" s="87" t="s">
        <v>607</v>
      </c>
      <c r="O183" s="88"/>
      <c r="P183" s="112" t="s">
        <v>592</v>
      </c>
      <c r="Q183" s="89"/>
      <c r="R183" s="87" t="s">
        <v>195</v>
      </c>
      <c r="S183" s="89"/>
      <c r="T183" s="112" t="s">
        <v>591</v>
      </c>
      <c r="U183" s="89"/>
      <c r="V183" s="87" t="s">
        <v>583</v>
      </c>
      <c r="W183" s="97"/>
      <c r="X183" s="87" t="s">
        <v>195</v>
      </c>
      <c r="Y183" s="163"/>
    </row>
    <row r="184" spans="1:25" x14ac:dyDescent="0.25">
      <c r="A184" s="86"/>
      <c r="Y184" s="163"/>
    </row>
    <row r="185" spans="1:25" x14ac:dyDescent="0.25">
      <c r="A185" s="8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163"/>
    </row>
    <row r="186" spans="1:25" ht="16.5" thickBot="1" x14ac:dyDescent="0.3">
      <c r="A186" s="8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91"/>
      <c r="S186" s="66"/>
      <c r="T186" s="66"/>
      <c r="U186" s="66"/>
      <c r="V186" s="66"/>
      <c r="W186" s="66"/>
      <c r="X186" s="66"/>
      <c r="Y186" s="163"/>
    </row>
    <row r="187" spans="1:25" ht="16.5" thickTop="1" x14ac:dyDescent="0.25">
      <c r="A187" s="86"/>
      <c r="B187" s="814"/>
      <c r="C187" s="116">
        <v>398</v>
      </c>
      <c r="D187" s="776"/>
      <c r="E187" s="78">
        <v>438</v>
      </c>
      <c r="F187" s="776"/>
      <c r="G187" s="78">
        <v>387</v>
      </c>
      <c r="H187" s="776"/>
      <c r="I187" s="78">
        <v>408</v>
      </c>
      <c r="J187" s="776"/>
      <c r="K187" s="78">
        <v>433</v>
      </c>
      <c r="L187" s="776"/>
      <c r="M187" s="78">
        <v>376</v>
      </c>
      <c r="N187" s="776"/>
      <c r="O187" s="78">
        <v>349</v>
      </c>
      <c r="P187" s="776"/>
      <c r="Q187" s="78">
        <v>413</v>
      </c>
      <c r="R187" s="776"/>
      <c r="S187" s="63">
        <v>398</v>
      </c>
      <c r="T187" s="776"/>
      <c r="U187" s="78">
        <v>362</v>
      </c>
      <c r="V187" s="814"/>
      <c r="W187" s="92">
        <v>341</v>
      </c>
      <c r="X187" s="814"/>
      <c r="Y187" s="189">
        <v>410</v>
      </c>
    </row>
    <row r="188" spans="1:25" ht="16.5" thickBot="1" x14ac:dyDescent="0.3">
      <c r="A188" s="86"/>
      <c r="B188" s="815"/>
      <c r="C188" s="66"/>
      <c r="D188" s="777"/>
      <c r="E188" s="66"/>
      <c r="F188" s="777"/>
      <c r="G188" s="66"/>
      <c r="H188" s="777"/>
      <c r="I188" s="66"/>
      <c r="J188" s="777"/>
      <c r="K188" s="58"/>
      <c r="L188" s="777"/>
      <c r="M188" s="66"/>
      <c r="N188" s="777"/>
      <c r="O188" s="66"/>
      <c r="P188" s="777"/>
      <c r="Q188" s="58"/>
      <c r="R188" s="777"/>
      <c r="S188" s="58"/>
      <c r="T188" s="777"/>
      <c r="U188" s="58"/>
      <c r="V188" s="815"/>
      <c r="W188" s="66"/>
      <c r="X188" s="815"/>
      <c r="Y188" s="163"/>
    </row>
    <row r="189" spans="1:25" x14ac:dyDescent="0.25">
      <c r="A189" s="86"/>
      <c r="B189" s="84" t="s">
        <v>419</v>
      </c>
      <c r="C189" s="82"/>
      <c r="D189" s="94" t="s">
        <v>420</v>
      </c>
      <c r="E189" s="82"/>
      <c r="F189" s="84" t="s">
        <v>421</v>
      </c>
      <c r="G189" s="82"/>
      <c r="H189" s="84" t="s">
        <v>422</v>
      </c>
      <c r="I189" s="82"/>
      <c r="J189" s="95" t="s">
        <v>423</v>
      </c>
      <c r="K189" s="72"/>
      <c r="L189" s="68" t="s">
        <v>424</v>
      </c>
      <c r="M189" s="82"/>
      <c r="N189" s="68" t="s">
        <v>425</v>
      </c>
      <c r="O189" s="82"/>
      <c r="P189" s="186" t="s">
        <v>426</v>
      </c>
      <c r="Q189" s="72"/>
      <c r="R189" s="68" t="s">
        <v>427</v>
      </c>
      <c r="S189" s="72"/>
      <c r="T189" s="68" t="s">
        <v>428</v>
      </c>
      <c r="U189" s="72"/>
      <c r="V189" s="187" t="s">
        <v>429</v>
      </c>
      <c r="W189" s="58"/>
      <c r="X189" s="68" t="s">
        <v>430</v>
      </c>
      <c r="Y189" s="163"/>
    </row>
    <row r="190" spans="1:25" x14ac:dyDescent="0.25">
      <c r="A190" s="86"/>
      <c r="B190" s="68" t="s">
        <v>193</v>
      </c>
      <c r="C190" s="88"/>
      <c r="D190" s="68" t="s">
        <v>193</v>
      </c>
      <c r="E190" s="88"/>
      <c r="F190" s="96" t="s">
        <v>193</v>
      </c>
      <c r="G190" s="88"/>
      <c r="H190" s="96" t="s">
        <v>195</v>
      </c>
      <c r="I190" s="88"/>
      <c r="J190" s="87" t="s">
        <v>585</v>
      </c>
      <c r="K190" s="89"/>
      <c r="L190" s="87" t="s">
        <v>585</v>
      </c>
      <c r="M190" s="88"/>
      <c r="N190" s="87" t="s">
        <v>193</v>
      </c>
      <c r="O190" s="88"/>
      <c r="P190" s="112" t="s">
        <v>582</v>
      </c>
      <c r="Q190" s="89"/>
      <c r="R190" s="87" t="s">
        <v>193</v>
      </c>
      <c r="S190" s="89"/>
      <c r="T190" s="87" t="s">
        <v>593</v>
      </c>
      <c r="U190" s="89"/>
      <c r="V190" s="87" t="s">
        <v>195</v>
      </c>
      <c r="W190" s="97"/>
      <c r="X190" s="87" t="s">
        <v>193</v>
      </c>
      <c r="Y190" s="163"/>
    </row>
    <row r="191" spans="1:25" x14ac:dyDescent="0.25">
      <c r="A191" s="86"/>
      <c r="Y191" s="163"/>
    </row>
    <row r="192" spans="1:25" x14ac:dyDescent="0.25">
      <c r="A192" s="8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Y192" s="163"/>
    </row>
    <row r="193" spans="1:25" ht="16.5" thickBot="1" x14ac:dyDescent="0.3">
      <c r="A193" s="8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91"/>
      <c r="Y193" s="163"/>
    </row>
    <row r="194" spans="1:25" ht="16.5" thickTop="1" x14ac:dyDescent="0.25">
      <c r="A194" s="86"/>
      <c r="B194" s="814"/>
      <c r="C194" s="116">
        <v>337.75</v>
      </c>
      <c r="D194" s="776"/>
      <c r="E194" s="78">
        <v>485</v>
      </c>
      <c r="F194" s="776"/>
      <c r="G194" s="78">
        <v>292</v>
      </c>
      <c r="H194" s="776"/>
      <c r="I194" s="78">
        <v>322</v>
      </c>
      <c r="J194" s="776"/>
      <c r="K194" s="78">
        <v>471</v>
      </c>
      <c r="L194" s="776"/>
      <c r="M194" s="78">
        <v>368</v>
      </c>
      <c r="N194" s="776"/>
      <c r="O194" s="78">
        <v>421.04</v>
      </c>
      <c r="P194" s="776"/>
      <c r="Q194" s="78">
        <v>459.69</v>
      </c>
      <c r="R194" s="776"/>
      <c r="Y194" s="163"/>
    </row>
    <row r="195" spans="1:25" ht="16.5" thickBot="1" x14ac:dyDescent="0.3">
      <c r="A195" s="86"/>
      <c r="B195" s="815"/>
      <c r="C195" s="66"/>
      <c r="D195" s="777"/>
      <c r="E195" s="66"/>
      <c r="F195" s="777"/>
      <c r="G195" s="66"/>
      <c r="H195" s="777"/>
      <c r="I195" s="66"/>
      <c r="J195" s="777"/>
      <c r="K195" s="58"/>
      <c r="L195" s="777"/>
      <c r="M195" s="66"/>
      <c r="N195" s="777"/>
      <c r="O195" s="66"/>
      <c r="P195" s="777"/>
      <c r="Q195" s="58"/>
      <c r="R195" s="777"/>
      <c r="Y195" s="163"/>
    </row>
    <row r="196" spans="1:25" x14ac:dyDescent="0.25">
      <c r="A196" s="86"/>
      <c r="B196" s="115" t="s">
        <v>431</v>
      </c>
      <c r="C196" s="82"/>
      <c r="D196" s="186" t="s">
        <v>709</v>
      </c>
      <c r="E196" s="82"/>
      <c r="F196" s="186" t="s">
        <v>715</v>
      </c>
      <c r="G196" s="82"/>
      <c r="H196" s="115" t="s">
        <v>711</v>
      </c>
      <c r="I196" s="82"/>
      <c r="J196" s="68" t="s">
        <v>712</v>
      </c>
      <c r="K196" s="72"/>
      <c r="L196" s="68" t="s">
        <v>713</v>
      </c>
      <c r="M196" s="82"/>
      <c r="N196" s="68" t="s">
        <v>714</v>
      </c>
      <c r="O196" s="82"/>
      <c r="P196" s="186" t="s">
        <v>716</v>
      </c>
      <c r="Q196" s="72"/>
      <c r="R196" s="186" t="s">
        <v>717</v>
      </c>
      <c r="Y196" s="163"/>
    </row>
    <row r="197" spans="1:25" x14ac:dyDescent="0.25">
      <c r="A197" s="86"/>
      <c r="B197" s="68" t="s">
        <v>585</v>
      </c>
      <c r="C197" s="88"/>
      <c r="D197" s="112" t="s">
        <v>710</v>
      </c>
      <c r="E197" s="88"/>
      <c r="F197" s="186" t="s">
        <v>724</v>
      </c>
      <c r="G197" s="88"/>
      <c r="H197" s="96" t="s">
        <v>195</v>
      </c>
      <c r="I197" s="88"/>
      <c r="J197" s="87" t="s">
        <v>195</v>
      </c>
      <c r="K197" s="89"/>
      <c r="L197" s="87" t="s">
        <v>195</v>
      </c>
      <c r="M197" s="88"/>
      <c r="N197" s="87" t="s">
        <v>193</v>
      </c>
      <c r="O197" s="88"/>
      <c r="P197" s="112" t="s">
        <v>591</v>
      </c>
      <c r="Q197" s="89"/>
      <c r="R197" s="112" t="s">
        <v>612</v>
      </c>
      <c r="Y197" s="163"/>
    </row>
    <row r="198" spans="1:25" ht="16.5" thickBot="1" x14ac:dyDescent="0.3">
      <c r="A198" s="328"/>
      <c r="B198" s="329"/>
      <c r="C198" s="329"/>
      <c r="D198" s="329"/>
      <c r="E198" s="329"/>
      <c r="F198" s="437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/>
      <c r="Q198" s="329"/>
      <c r="R198" s="329"/>
      <c r="S198" s="329"/>
      <c r="T198" s="329"/>
      <c r="U198" s="329"/>
      <c r="V198" s="329"/>
      <c r="W198" s="329"/>
      <c r="X198" s="329"/>
      <c r="Y198" s="330"/>
    </row>
  </sheetData>
  <mergeCells count="331">
    <mergeCell ref="N194:N195"/>
    <mergeCell ref="P194:P195"/>
    <mergeCell ref="B194:B195"/>
    <mergeCell ref="D194:D195"/>
    <mergeCell ref="F194:F195"/>
    <mergeCell ref="H194:H195"/>
    <mergeCell ref="J194:J195"/>
    <mergeCell ref="L194:L195"/>
    <mergeCell ref="N187:N188"/>
    <mergeCell ref="P187:P188"/>
    <mergeCell ref="R187:R188"/>
    <mergeCell ref="T187:T188"/>
    <mergeCell ref="V187:V188"/>
    <mergeCell ref="X187:X188"/>
    <mergeCell ref="B187:B188"/>
    <mergeCell ref="D187:D188"/>
    <mergeCell ref="F187:F188"/>
    <mergeCell ref="H187:H188"/>
    <mergeCell ref="J187:J188"/>
    <mergeCell ref="L187:L188"/>
    <mergeCell ref="N180:N181"/>
    <mergeCell ref="P180:P181"/>
    <mergeCell ref="R180:R181"/>
    <mergeCell ref="T180:T181"/>
    <mergeCell ref="V180:V181"/>
    <mergeCell ref="X180:X181"/>
    <mergeCell ref="B180:B181"/>
    <mergeCell ref="D180:D181"/>
    <mergeCell ref="F180:F181"/>
    <mergeCell ref="H180:H181"/>
    <mergeCell ref="J180:J181"/>
    <mergeCell ref="L180:L181"/>
    <mergeCell ref="N173:N174"/>
    <mergeCell ref="P173:P174"/>
    <mergeCell ref="R173:R174"/>
    <mergeCell ref="T173:T174"/>
    <mergeCell ref="V173:V174"/>
    <mergeCell ref="X173:X174"/>
    <mergeCell ref="B173:B174"/>
    <mergeCell ref="D173:D174"/>
    <mergeCell ref="F173:F174"/>
    <mergeCell ref="H173:H174"/>
    <mergeCell ref="J173:J174"/>
    <mergeCell ref="L173:L174"/>
    <mergeCell ref="N166:N167"/>
    <mergeCell ref="P166:P167"/>
    <mergeCell ref="R166:R167"/>
    <mergeCell ref="T166:T167"/>
    <mergeCell ref="V166:V167"/>
    <mergeCell ref="X166:X167"/>
    <mergeCell ref="B166:B167"/>
    <mergeCell ref="D166:D167"/>
    <mergeCell ref="F166:F167"/>
    <mergeCell ref="H166:H167"/>
    <mergeCell ref="J166:J167"/>
    <mergeCell ref="L166:L167"/>
    <mergeCell ref="N159:N160"/>
    <mergeCell ref="P159:P160"/>
    <mergeCell ref="R159:R160"/>
    <mergeCell ref="T159:T160"/>
    <mergeCell ref="V159:V160"/>
    <mergeCell ref="X159:X160"/>
    <mergeCell ref="B159:B160"/>
    <mergeCell ref="D159:D160"/>
    <mergeCell ref="F159:F160"/>
    <mergeCell ref="H159:H160"/>
    <mergeCell ref="J159:J160"/>
    <mergeCell ref="L159:L160"/>
    <mergeCell ref="N152:N153"/>
    <mergeCell ref="P152:P153"/>
    <mergeCell ref="R152:R153"/>
    <mergeCell ref="T152:T153"/>
    <mergeCell ref="V152:V153"/>
    <mergeCell ref="X152:X153"/>
    <mergeCell ref="B152:B153"/>
    <mergeCell ref="D152:D153"/>
    <mergeCell ref="F152:F153"/>
    <mergeCell ref="H152:H153"/>
    <mergeCell ref="J152:J153"/>
    <mergeCell ref="L152:L153"/>
    <mergeCell ref="N145:N146"/>
    <mergeCell ref="P145:P146"/>
    <mergeCell ref="R145:R146"/>
    <mergeCell ref="T145:T146"/>
    <mergeCell ref="V145:V146"/>
    <mergeCell ref="X145:X146"/>
    <mergeCell ref="B145:B146"/>
    <mergeCell ref="D145:D146"/>
    <mergeCell ref="F145:F146"/>
    <mergeCell ref="H145:H146"/>
    <mergeCell ref="J145:J146"/>
    <mergeCell ref="L145:L146"/>
    <mergeCell ref="N138:N139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1:N132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24:N125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17:N118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0:N111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03:N104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95:N96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88:N89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1:N82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74:N75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67:N68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0:N61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53:N54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46:N47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B32:B33"/>
    <mergeCell ref="D32:D33"/>
    <mergeCell ref="F32:F33"/>
    <mergeCell ref="H32:H33"/>
    <mergeCell ref="J32:J33"/>
    <mergeCell ref="L32:L33"/>
    <mergeCell ref="N39:N40"/>
    <mergeCell ref="P39:P40"/>
    <mergeCell ref="R39:R40"/>
    <mergeCell ref="R25:R26"/>
    <mergeCell ref="T25:T26"/>
    <mergeCell ref="V25:V26"/>
    <mergeCell ref="X25:X26"/>
    <mergeCell ref="R19:R20"/>
    <mergeCell ref="T19:T20"/>
    <mergeCell ref="V19:V20"/>
    <mergeCell ref="X19:X20"/>
    <mergeCell ref="N32:N33"/>
    <mergeCell ref="P32:P33"/>
    <mergeCell ref="R32:R33"/>
    <mergeCell ref="T32:T33"/>
    <mergeCell ref="V32:V33"/>
    <mergeCell ref="X32:X33"/>
    <mergeCell ref="H25:H26"/>
    <mergeCell ref="J25:J26"/>
    <mergeCell ref="L25:L26"/>
    <mergeCell ref="P14:P15"/>
    <mergeCell ref="B15:G15"/>
    <mergeCell ref="B19:B20"/>
    <mergeCell ref="D19:D20"/>
    <mergeCell ref="F19:F20"/>
    <mergeCell ref="H19:H20"/>
    <mergeCell ref="J19:J20"/>
    <mergeCell ref="L19:L20"/>
    <mergeCell ref="N19:N20"/>
    <mergeCell ref="P19:P20"/>
    <mergeCell ref="N25:N26"/>
    <mergeCell ref="P25:P26"/>
    <mergeCell ref="J3:K3"/>
    <mergeCell ref="F3:G3"/>
    <mergeCell ref="B3:C3"/>
    <mergeCell ref="N3:O3"/>
    <mergeCell ref="R3:S3"/>
    <mergeCell ref="R194:R195"/>
    <mergeCell ref="B1:Y1"/>
    <mergeCell ref="B2:Y2"/>
    <mergeCell ref="W3:X3"/>
    <mergeCell ref="H4:H6"/>
    <mergeCell ref="I4:I6"/>
    <mergeCell ref="V5:W5"/>
    <mergeCell ref="K7:K8"/>
    <mergeCell ref="V7:W7"/>
    <mergeCell ref="V13:W13"/>
    <mergeCell ref="B4:B6"/>
    <mergeCell ref="C4:C6"/>
    <mergeCell ref="D4:D6"/>
    <mergeCell ref="E4:E6"/>
    <mergeCell ref="F4:F6"/>
    <mergeCell ref="G4:G6"/>
    <mergeCell ref="B25:B26"/>
    <mergeCell ref="D25:D26"/>
    <mergeCell ref="F25:F26"/>
  </mergeCells>
  <printOptions horizontalCentered="1" verticalCentered="1"/>
  <pageMargins left="0" right="0" top="0" bottom="0" header="0" footer="0"/>
  <pageSetup paperSize="9" scale="59" orientation="landscape" horizontalDpi="300" verticalDpi="300" r:id="rId1"/>
  <rowBreaks count="3" manualBreakCount="3">
    <brk id="49" min="1" max="24" man="1"/>
    <brk id="98" min="1" max="24" man="1"/>
    <brk id="148" min="1" max="24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K28"/>
  <sheetViews>
    <sheetView topLeftCell="A12" workbookViewId="0">
      <selection sqref="A1:XFD1"/>
    </sheetView>
  </sheetViews>
  <sheetFormatPr defaultRowHeight="15" x14ac:dyDescent="0.25"/>
  <cols>
    <col min="2" max="2" width="26" customWidth="1"/>
    <col min="3" max="3" width="13.42578125" customWidth="1"/>
    <col min="4" max="4" width="14.140625" customWidth="1"/>
    <col min="5" max="5" width="36.140625" customWidth="1"/>
    <col min="6" max="6" width="47.7109375" customWidth="1"/>
    <col min="7" max="7" width="25.85546875" customWidth="1"/>
    <col min="8" max="8" width="20.28515625" customWidth="1"/>
    <col min="9" max="9" width="21.7109375" customWidth="1"/>
  </cols>
  <sheetData>
    <row r="1" spans="2:11" ht="15.75" thickBot="1" x14ac:dyDescent="0.3"/>
    <row r="2" spans="2:11" x14ac:dyDescent="0.25">
      <c r="B2" s="850" t="s">
        <v>690</v>
      </c>
      <c r="C2" s="851"/>
      <c r="D2" s="851"/>
      <c r="E2" s="851"/>
      <c r="F2" s="851"/>
      <c r="G2" s="851"/>
      <c r="H2" s="851"/>
      <c r="I2" s="851"/>
      <c r="J2" s="851"/>
      <c r="K2" s="852"/>
    </row>
    <row r="3" spans="2:11" x14ac:dyDescent="0.25">
      <c r="B3" s="844"/>
      <c r="C3" s="845"/>
      <c r="D3" s="845"/>
      <c r="E3" s="845"/>
      <c r="F3" s="845"/>
      <c r="G3" s="845"/>
      <c r="H3" s="846"/>
      <c r="I3" s="353"/>
      <c r="J3" s="354"/>
      <c r="K3" s="355"/>
    </row>
    <row r="4" spans="2:11" x14ac:dyDescent="0.25">
      <c r="B4" s="356"/>
      <c r="C4" s="357"/>
      <c r="D4" s="357"/>
      <c r="E4" s="357"/>
      <c r="F4" s="357"/>
      <c r="G4" s="357"/>
      <c r="H4" s="358"/>
      <c r="I4" s="357"/>
      <c r="J4" s="359"/>
      <c r="K4" s="360"/>
    </row>
    <row r="5" spans="2:11" ht="15.75" thickBot="1" x14ac:dyDescent="0.3">
      <c r="B5" s="356"/>
      <c r="C5" s="357"/>
      <c r="D5" s="357"/>
      <c r="E5" s="357"/>
      <c r="F5" s="357"/>
      <c r="G5" s="357"/>
      <c r="H5" s="358"/>
      <c r="I5" s="357"/>
      <c r="J5" s="359"/>
      <c r="K5" s="360"/>
    </row>
    <row r="6" spans="2:11" x14ac:dyDescent="0.25">
      <c r="B6" s="361" t="s">
        <v>670</v>
      </c>
      <c r="C6" s="362" t="s">
        <v>671</v>
      </c>
      <c r="D6" s="362" t="s">
        <v>689</v>
      </c>
      <c r="E6" s="362" t="s">
        <v>672</v>
      </c>
      <c r="F6" s="362" t="s">
        <v>673</v>
      </c>
      <c r="G6" s="363" t="s">
        <v>674</v>
      </c>
      <c r="H6" s="363" t="s">
        <v>675</v>
      </c>
      <c r="I6" s="364" t="s">
        <v>696</v>
      </c>
      <c r="J6" s="362" t="s">
        <v>552</v>
      </c>
      <c r="K6" s="365" t="s">
        <v>4</v>
      </c>
    </row>
    <row r="7" spans="2:11" x14ac:dyDescent="0.25">
      <c r="B7" s="366" t="s">
        <v>676</v>
      </c>
      <c r="C7" s="293">
        <v>4</v>
      </c>
      <c r="D7" s="293">
        <v>1</v>
      </c>
      <c r="E7" s="293">
        <v>0</v>
      </c>
      <c r="F7" s="293">
        <v>0</v>
      </c>
      <c r="G7" s="293"/>
      <c r="H7" s="228">
        <v>3</v>
      </c>
      <c r="I7" s="293">
        <v>1</v>
      </c>
      <c r="J7" s="283">
        <f>SUM(C7:I7)</f>
        <v>9</v>
      </c>
      <c r="K7" s="367"/>
    </row>
    <row r="8" spans="2:11" x14ac:dyDescent="0.25">
      <c r="B8" s="366" t="s">
        <v>677</v>
      </c>
      <c r="C8" s="293">
        <v>4</v>
      </c>
      <c r="D8" s="293">
        <v>1</v>
      </c>
      <c r="E8" s="293">
        <v>0</v>
      </c>
      <c r="F8" s="293">
        <v>0</v>
      </c>
      <c r="G8" s="293">
        <v>0</v>
      </c>
      <c r="H8" s="293">
        <v>3</v>
      </c>
      <c r="I8" s="293">
        <v>1</v>
      </c>
      <c r="J8" s="283">
        <f>SUM(C8:I8)</f>
        <v>9</v>
      </c>
      <c r="K8" s="368"/>
    </row>
    <row r="9" spans="2:11" x14ac:dyDescent="0.25">
      <c r="B9" s="366" t="s">
        <v>691</v>
      </c>
      <c r="C9" s="293">
        <v>4</v>
      </c>
      <c r="D9" s="293">
        <v>1</v>
      </c>
      <c r="E9" s="293">
        <v>0</v>
      </c>
      <c r="F9" s="293">
        <v>0</v>
      </c>
      <c r="G9" s="293">
        <v>0</v>
      </c>
      <c r="H9" s="293">
        <v>3</v>
      </c>
      <c r="I9" s="293">
        <v>1</v>
      </c>
      <c r="J9" s="283">
        <f>SUM(C9:I9)</f>
        <v>9</v>
      </c>
      <c r="K9" s="368"/>
    </row>
    <row r="10" spans="2:11" ht="15.75" thickBot="1" x14ac:dyDescent="0.3">
      <c r="B10" s="369" t="s">
        <v>678</v>
      </c>
      <c r="C10" s="370">
        <v>0</v>
      </c>
      <c r="D10" s="370">
        <v>0</v>
      </c>
      <c r="E10" s="370">
        <f>E7-E9</f>
        <v>0</v>
      </c>
      <c r="F10" s="370">
        <f>F7-F9</f>
        <v>0</v>
      </c>
      <c r="G10" s="370">
        <f>G7-G9</f>
        <v>0</v>
      </c>
      <c r="H10" s="370">
        <v>0</v>
      </c>
      <c r="I10" s="370"/>
      <c r="J10" s="371"/>
      <c r="K10" s="372"/>
    </row>
    <row r="11" spans="2:11" ht="15.75" thickBot="1" x14ac:dyDescent="0.3">
      <c r="B11" s="373"/>
      <c r="C11" s="374"/>
      <c r="D11" s="374"/>
      <c r="E11" s="374"/>
      <c r="F11" s="374"/>
      <c r="G11" s="374"/>
      <c r="H11" s="375"/>
      <c r="I11" s="375"/>
      <c r="J11" s="376"/>
      <c r="K11" s="377"/>
    </row>
    <row r="12" spans="2:11" x14ac:dyDescent="0.25">
      <c r="B12" s="847" t="s">
        <v>679</v>
      </c>
      <c r="C12" s="848"/>
      <c r="D12" s="848"/>
      <c r="E12" s="848"/>
      <c r="F12" s="848"/>
      <c r="G12" s="848"/>
      <c r="H12" s="848"/>
      <c r="I12" s="849"/>
      <c r="J12" s="378"/>
      <c r="K12" s="378"/>
    </row>
    <row r="13" spans="2:11" ht="32.25" customHeight="1" x14ac:dyDescent="0.25">
      <c r="B13" s="379" t="s">
        <v>680</v>
      </c>
      <c r="C13" s="380" t="s">
        <v>681</v>
      </c>
      <c r="D13" s="380" t="s">
        <v>682</v>
      </c>
      <c r="E13" s="380" t="s">
        <v>683</v>
      </c>
      <c r="F13" s="380" t="s">
        <v>684</v>
      </c>
      <c r="G13" s="380" t="s">
        <v>685</v>
      </c>
      <c r="H13" s="380" t="s">
        <v>686</v>
      </c>
      <c r="I13" s="381" t="s">
        <v>687</v>
      </c>
      <c r="J13" s="382"/>
      <c r="K13" s="383"/>
    </row>
    <row r="14" spans="2:11" ht="36" customHeight="1" x14ac:dyDescent="0.25">
      <c r="B14" s="384">
        <v>1</v>
      </c>
      <c r="C14" s="386" t="s">
        <v>624</v>
      </c>
      <c r="D14" s="386" t="s">
        <v>187</v>
      </c>
      <c r="E14" s="406" t="s">
        <v>692</v>
      </c>
      <c r="F14" s="293" t="s">
        <v>688</v>
      </c>
      <c r="G14" s="410">
        <v>45745</v>
      </c>
      <c r="H14" s="351" t="s">
        <v>662</v>
      </c>
      <c r="I14" s="388" t="s">
        <v>747</v>
      </c>
      <c r="J14" s="389"/>
      <c r="K14" s="390"/>
    </row>
    <row r="15" spans="2:11" ht="25.5" x14ac:dyDescent="0.25">
      <c r="B15" s="384">
        <f>B14+1</f>
        <v>2</v>
      </c>
      <c r="C15" s="386" t="s">
        <v>225</v>
      </c>
      <c r="D15" s="386" t="s">
        <v>226</v>
      </c>
      <c r="E15" s="406" t="s">
        <v>695</v>
      </c>
      <c r="F15" s="293" t="s">
        <v>688</v>
      </c>
      <c r="G15" s="387">
        <v>45745</v>
      </c>
      <c r="H15" s="351" t="s">
        <v>662</v>
      </c>
      <c r="I15" s="388" t="s">
        <v>747</v>
      </c>
      <c r="J15" s="389"/>
      <c r="K15" s="390"/>
    </row>
    <row r="16" spans="2:11" x14ac:dyDescent="0.25">
      <c r="B16" s="384">
        <f t="shared" ref="B16:B22" si="0">B15+1</f>
        <v>3</v>
      </c>
      <c r="C16" s="385" t="s">
        <v>236</v>
      </c>
      <c r="D16" s="385" t="s">
        <v>237</v>
      </c>
      <c r="E16" s="293" t="s">
        <v>693</v>
      </c>
      <c r="F16" s="293" t="s">
        <v>688</v>
      </c>
      <c r="G16" s="387">
        <v>45552</v>
      </c>
      <c r="H16" s="351" t="s">
        <v>662</v>
      </c>
      <c r="I16" s="388" t="s">
        <v>747</v>
      </c>
      <c r="J16" s="389"/>
      <c r="K16" s="390"/>
    </row>
    <row r="17" spans="2:11" x14ac:dyDescent="0.25">
      <c r="B17" s="384">
        <f t="shared" si="0"/>
        <v>4</v>
      </c>
      <c r="C17" s="385" t="s">
        <v>238</v>
      </c>
      <c r="D17" s="385" t="s">
        <v>239</v>
      </c>
      <c r="E17" s="293" t="s">
        <v>693</v>
      </c>
      <c r="F17" s="293" t="s">
        <v>688</v>
      </c>
      <c r="G17" s="387">
        <v>45552</v>
      </c>
      <c r="H17" s="351" t="s">
        <v>662</v>
      </c>
      <c r="I17" s="388" t="s">
        <v>747</v>
      </c>
      <c r="J17" s="389"/>
      <c r="K17" s="390"/>
    </row>
    <row r="18" spans="2:11" x14ac:dyDescent="0.25">
      <c r="B18" s="384">
        <f t="shared" si="0"/>
        <v>5</v>
      </c>
      <c r="C18" s="385" t="s">
        <v>374</v>
      </c>
      <c r="D18" s="385" t="s">
        <v>375</v>
      </c>
      <c r="E18" s="293" t="s">
        <v>694</v>
      </c>
      <c r="F18" s="293" t="s">
        <v>688</v>
      </c>
      <c r="G18" s="387">
        <v>45600</v>
      </c>
      <c r="H18" s="351" t="s">
        <v>662</v>
      </c>
      <c r="I18" s="388" t="s">
        <v>747</v>
      </c>
      <c r="J18" s="389"/>
      <c r="K18" s="390"/>
    </row>
    <row r="19" spans="2:11" ht="25.5" x14ac:dyDescent="0.25">
      <c r="B19" s="384">
        <f t="shared" si="0"/>
        <v>6</v>
      </c>
      <c r="C19" s="385" t="s">
        <v>234</v>
      </c>
      <c r="D19" s="385" t="s">
        <v>235</v>
      </c>
      <c r="E19" s="407" t="s">
        <v>697</v>
      </c>
      <c r="F19" s="293" t="s">
        <v>700</v>
      </c>
      <c r="G19" s="387">
        <v>45566</v>
      </c>
      <c r="H19" s="351" t="s">
        <v>662</v>
      </c>
      <c r="I19" s="487" t="s">
        <v>746</v>
      </c>
      <c r="J19" s="389"/>
      <c r="K19" s="390"/>
    </row>
    <row r="20" spans="2:11" x14ac:dyDescent="0.25">
      <c r="B20" s="384">
        <f t="shared" si="0"/>
        <v>7</v>
      </c>
      <c r="C20" s="385" t="s">
        <v>331</v>
      </c>
      <c r="D20" s="385" t="s">
        <v>332</v>
      </c>
      <c r="E20" s="408" t="s">
        <v>698</v>
      </c>
      <c r="F20" s="293" t="s">
        <v>700</v>
      </c>
      <c r="G20" s="387">
        <v>45566</v>
      </c>
      <c r="H20" s="351" t="s">
        <v>662</v>
      </c>
      <c r="I20" s="388" t="s">
        <v>747</v>
      </c>
      <c r="J20" s="389"/>
      <c r="K20" s="390"/>
    </row>
    <row r="21" spans="2:11" ht="25.5" x14ac:dyDescent="0.25">
      <c r="B21" s="384">
        <f t="shared" si="0"/>
        <v>8</v>
      </c>
      <c r="C21" s="385" t="s">
        <v>372</v>
      </c>
      <c r="D21" s="385" t="s">
        <v>373</v>
      </c>
      <c r="E21" s="293" t="s">
        <v>699</v>
      </c>
      <c r="F21" s="293" t="s">
        <v>700</v>
      </c>
      <c r="G21" s="387">
        <v>45600</v>
      </c>
      <c r="H21" s="351" t="s">
        <v>662</v>
      </c>
      <c r="I21" s="487" t="s">
        <v>746</v>
      </c>
      <c r="J21" s="389"/>
      <c r="K21" s="390"/>
    </row>
    <row r="22" spans="2:11" x14ac:dyDescent="0.25">
      <c r="B22" s="384">
        <f t="shared" si="0"/>
        <v>9</v>
      </c>
      <c r="C22" s="385" t="s">
        <v>500</v>
      </c>
      <c r="D22" s="385" t="s">
        <v>379</v>
      </c>
      <c r="E22" s="409" t="s">
        <v>702</v>
      </c>
      <c r="F22" s="293" t="s">
        <v>701</v>
      </c>
      <c r="G22" s="387">
        <v>45590</v>
      </c>
      <c r="H22" s="351" t="s">
        <v>662</v>
      </c>
      <c r="I22" s="388" t="s">
        <v>747</v>
      </c>
      <c r="J22" s="389"/>
      <c r="K22" s="390"/>
    </row>
    <row r="23" spans="2:11" x14ac:dyDescent="0.25">
      <c r="B23" s="384"/>
      <c r="C23" s="392"/>
      <c r="D23" s="392"/>
      <c r="E23" s="391"/>
      <c r="F23" s="293"/>
      <c r="G23" s="387"/>
      <c r="H23" s="393"/>
      <c r="I23" s="388"/>
      <c r="J23" s="389"/>
      <c r="K23" s="390"/>
    </row>
    <row r="24" spans="2:11" x14ac:dyDescent="0.25">
      <c r="B24" s="384"/>
      <c r="C24" s="392"/>
      <c r="D24" s="392"/>
      <c r="E24" s="391"/>
      <c r="F24" s="293"/>
      <c r="G24" s="387"/>
      <c r="H24" s="393"/>
      <c r="I24" s="388"/>
      <c r="J24" s="389"/>
      <c r="K24" s="390"/>
    </row>
    <row r="25" spans="2:11" x14ac:dyDescent="0.25">
      <c r="B25" s="384"/>
      <c r="C25" s="386"/>
      <c r="D25" s="386"/>
      <c r="E25" s="394"/>
      <c r="F25" s="283"/>
      <c r="G25" s="387"/>
      <c r="H25" s="393"/>
      <c r="I25" s="388"/>
      <c r="J25" s="389"/>
      <c r="K25" s="390"/>
    </row>
    <row r="26" spans="2:11" x14ac:dyDescent="0.25">
      <c r="B26" s="384"/>
      <c r="C26" s="392"/>
      <c r="D26" s="392"/>
      <c r="E26" s="391"/>
      <c r="F26" s="293"/>
      <c r="G26" s="387"/>
      <c r="H26" s="393"/>
      <c r="I26" s="388"/>
      <c r="J26" s="389"/>
      <c r="K26" s="390"/>
    </row>
    <row r="27" spans="2:11" ht="15.75" thickBot="1" x14ac:dyDescent="0.3">
      <c r="B27" s="395"/>
      <c r="C27" s="396"/>
      <c r="D27" s="396"/>
      <c r="E27" s="397"/>
      <c r="F27" s="370"/>
      <c r="G27" s="398"/>
      <c r="H27" s="352"/>
      <c r="I27" s="399"/>
      <c r="J27" s="389"/>
      <c r="K27" s="390"/>
    </row>
    <row r="28" spans="2:11" x14ac:dyDescent="0.25">
      <c r="B28" s="400"/>
      <c r="C28" s="400"/>
      <c r="D28" s="400"/>
      <c r="E28" s="401"/>
      <c r="F28" s="401"/>
      <c r="G28" s="402"/>
      <c r="H28" s="403"/>
      <c r="I28" s="404"/>
      <c r="J28" s="405"/>
      <c r="K28" s="401"/>
    </row>
  </sheetData>
  <mergeCells count="3">
    <mergeCell ref="B3:H3"/>
    <mergeCell ref="B12:I12"/>
    <mergeCell ref="B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I125"/>
  <sheetViews>
    <sheetView topLeftCell="A88" zoomScale="84" zoomScaleNormal="84" workbookViewId="0">
      <selection activeCell="D115" sqref="D115:D122"/>
    </sheetView>
  </sheetViews>
  <sheetFormatPr defaultRowHeight="15" x14ac:dyDescent="0.25"/>
  <cols>
    <col min="3" max="5" width="16.5703125" style="225" customWidth="1"/>
    <col min="6" max="7" width="24.28515625" style="225" customWidth="1"/>
    <col min="8" max="8" width="24.28515625" style="521" customWidth="1"/>
    <col min="9" max="9" width="25.140625" style="225" customWidth="1"/>
  </cols>
  <sheetData>
    <row r="2" spans="3:9" x14ac:dyDescent="0.25">
      <c r="C2" s="344" t="s">
        <v>781</v>
      </c>
      <c r="D2" s="344" t="s">
        <v>782</v>
      </c>
      <c r="E2" s="519" t="s">
        <v>783</v>
      </c>
      <c r="F2" s="344" t="s">
        <v>784</v>
      </c>
      <c r="G2" s="344" t="s">
        <v>815</v>
      </c>
      <c r="H2" s="522" t="s">
        <v>819</v>
      </c>
      <c r="I2" s="344" t="s">
        <v>785</v>
      </c>
    </row>
    <row r="3" spans="3:9" x14ac:dyDescent="0.25">
      <c r="C3" s="258">
        <v>1</v>
      </c>
      <c r="D3" s="258" t="s">
        <v>160</v>
      </c>
      <c r="E3" s="293" t="s">
        <v>131</v>
      </c>
      <c r="F3" s="333">
        <v>45778</v>
      </c>
      <c r="G3" s="333" t="s">
        <v>816</v>
      </c>
      <c r="H3" s="230">
        <v>4</v>
      </c>
      <c r="I3" s="258">
        <v>4920</v>
      </c>
    </row>
    <row r="4" spans="3:9" x14ac:dyDescent="0.25">
      <c r="C4" s="258">
        <v>2</v>
      </c>
      <c r="D4" s="258" t="s">
        <v>63</v>
      </c>
      <c r="E4" s="293" t="s">
        <v>43</v>
      </c>
      <c r="F4" s="333">
        <v>45839</v>
      </c>
      <c r="G4" s="333" t="s">
        <v>816</v>
      </c>
      <c r="H4" s="230">
        <v>4</v>
      </c>
      <c r="I4" s="258">
        <v>5972</v>
      </c>
    </row>
    <row r="5" spans="3:9" x14ac:dyDescent="0.25">
      <c r="C5" s="258">
        <v>3</v>
      </c>
      <c r="D5" s="258" t="s">
        <v>53</v>
      </c>
      <c r="E5" s="293" t="s">
        <v>29</v>
      </c>
      <c r="F5" s="333">
        <v>45901</v>
      </c>
      <c r="G5" s="333" t="s">
        <v>816</v>
      </c>
      <c r="H5" s="230">
        <v>4</v>
      </c>
      <c r="I5" s="258">
        <v>4618</v>
      </c>
    </row>
    <row r="6" spans="3:9" x14ac:dyDescent="0.25">
      <c r="C6" s="258">
        <v>4</v>
      </c>
      <c r="D6" s="258" t="s">
        <v>44</v>
      </c>
      <c r="E6" s="293" t="s">
        <v>29</v>
      </c>
      <c r="F6" s="257">
        <v>45962</v>
      </c>
      <c r="G6" s="333" t="s">
        <v>816</v>
      </c>
      <c r="H6" s="230">
        <v>4</v>
      </c>
      <c r="I6" s="258">
        <v>4618</v>
      </c>
    </row>
    <row r="7" spans="3:9" x14ac:dyDescent="0.25">
      <c r="C7" s="258">
        <v>5</v>
      </c>
      <c r="D7" s="258" t="s">
        <v>39</v>
      </c>
      <c r="E7" s="293" t="s">
        <v>29</v>
      </c>
      <c r="F7" s="257" t="s">
        <v>797</v>
      </c>
      <c r="G7" s="333" t="s">
        <v>816</v>
      </c>
      <c r="H7" s="230">
        <v>4</v>
      </c>
      <c r="I7" s="258">
        <v>4618</v>
      </c>
    </row>
    <row r="8" spans="3:9" x14ac:dyDescent="0.25">
      <c r="C8" s="258">
        <v>6</v>
      </c>
      <c r="D8" s="258" t="s">
        <v>158</v>
      </c>
      <c r="E8" s="293" t="s">
        <v>135</v>
      </c>
      <c r="F8" s="257" t="s">
        <v>798</v>
      </c>
      <c r="G8" s="333" t="s">
        <v>816</v>
      </c>
      <c r="H8" s="230">
        <v>4</v>
      </c>
      <c r="I8" s="258">
        <v>4920</v>
      </c>
    </row>
    <row r="9" spans="3:9" x14ac:dyDescent="0.25">
      <c r="C9" s="258">
        <v>7</v>
      </c>
      <c r="D9" s="258" t="s">
        <v>35</v>
      </c>
      <c r="E9" s="293" t="s">
        <v>29</v>
      </c>
      <c r="F9" s="257" t="s">
        <v>799</v>
      </c>
      <c r="G9" s="333" t="s">
        <v>816</v>
      </c>
      <c r="H9" s="230">
        <v>4</v>
      </c>
      <c r="I9" s="258">
        <v>4618</v>
      </c>
    </row>
    <row r="10" spans="3:9" x14ac:dyDescent="0.25">
      <c r="C10" s="258">
        <v>8</v>
      </c>
      <c r="D10" s="258" t="s">
        <v>36</v>
      </c>
      <c r="E10" s="293" t="s">
        <v>29</v>
      </c>
      <c r="F10" s="257" t="s">
        <v>800</v>
      </c>
      <c r="G10" s="333" t="s">
        <v>816</v>
      </c>
      <c r="H10" s="230">
        <v>4</v>
      </c>
      <c r="I10" s="258">
        <v>4618</v>
      </c>
    </row>
    <row r="11" spans="3:9" x14ac:dyDescent="0.25">
      <c r="C11" s="258">
        <v>9</v>
      </c>
      <c r="D11" s="258" t="s">
        <v>37</v>
      </c>
      <c r="E11" s="293" t="s">
        <v>29</v>
      </c>
      <c r="F11" s="257" t="s">
        <v>801</v>
      </c>
      <c r="G11" s="333" t="s">
        <v>816</v>
      </c>
      <c r="H11" s="230">
        <v>4</v>
      </c>
      <c r="I11" s="258">
        <v>4618</v>
      </c>
    </row>
    <row r="12" spans="3:9" x14ac:dyDescent="0.25">
      <c r="C12" s="258">
        <v>10</v>
      </c>
      <c r="D12" s="258" t="s">
        <v>38</v>
      </c>
      <c r="E12" s="293" t="s">
        <v>29</v>
      </c>
      <c r="F12" s="257" t="s">
        <v>802</v>
      </c>
      <c r="G12" s="333" t="s">
        <v>816</v>
      </c>
      <c r="H12" s="230">
        <v>4</v>
      </c>
      <c r="I12" s="258">
        <v>4618</v>
      </c>
    </row>
    <row r="13" spans="3:9" x14ac:dyDescent="0.25">
      <c r="C13" s="258">
        <v>11</v>
      </c>
      <c r="D13" s="258" t="s">
        <v>49</v>
      </c>
      <c r="E13" s="293" t="s">
        <v>34</v>
      </c>
      <c r="F13" s="257" t="s">
        <v>803</v>
      </c>
      <c r="G13" s="333" t="s">
        <v>816</v>
      </c>
      <c r="H13" s="230">
        <v>4</v>
      </c>
      <c r="I13" s="258">
        <v>4796</v>
      </c>
    </row>
    <row r="14" spans="3:9" x14ac:dyDescent="0.25">
      <c r="C14" s="258">
        <v>12</v>
      </c>
      <c r="D14" s="258" t="s">
        <v>130</v>
      </c>
      <c r="E14" s="293" t="s">
        <v>131</v>
      </c>
      <c r="F14" s="257" t="s">
        <v>804</v>
      </c>
      <c r="G14" s="333" t="s">
        <v>816</v>
      </c>
      <c r="H14" s="230">
        <v>4</v>
      </c>
      <c r="I14" s="258">
        <v>4920</v>
      </c>
    </row>
    <row r="15" spans="3:9" x14ac:dyDescent="0.25">
      <c r="C15" s="258">
        <v>13</v>
      </c>
      <c r="D15" s="258" t="s">
        <v>45</v>
      </c>
      <c r="E15" s="293" t="s">
        <v>29</v>
      </c>
      <c r="F15" s="257" t="s">
        <v>805</v>
      </c>
      <c r="G15" s="333" t="s">
        <v>816</v>
      </c>
      <c r="H15" s="230">
        <v>4</v>
      </c>
      <c r="I15" s="258">
        <v>4618</v>
      </c>
    </row>
    <row r="16" spans="3:9" x14ac:dyDescent="0.25">
      <c r="C16" s="258">
        <v>14</v>
      </c>
      <c r="D16" s="258" t="s">
        <v>338</v>
      </c>
      <c r="E16" s="293" t="s">
        <v>29</v>
      </c>
      <c r="F16" s="257" t="s">
        <v>806</v>
      </c>
      <c r="G16" s="333" t="s">
        <v>816</v>
      </c>
      <c r="H16" s="230">
        <v>4</v>
      </c>
      <c r="I16" s="258">
        <v>4618</v>
      </c>
    </row>
    <row r="17" spans="3:9" x14ac:dyDescent="0.25">
      <c r="C17" s="258">
        <v>15</v>
      </c>
      <c r="D17" s="258" t="s">
        <v>41</v>
      </c>
      <c r="E17" s="293" t="s">
        <v>29</v>
      </c>
      <c r="F17" s="257">
        <v>45690</v>
      </c>
      <c r="G17" s="333" t="s">
        <v>816</v>
      </c>
      <c r="H17" s="230">
        <v>4</v>
      </c>
      <c r="I17" s="258">
        <v>4618</v>
      </c>
    </row>
    <row r="18" spans="3:9" x14ac:dyDescent="0.25">
      <c r="C18" s="258">
        <v>16</v>
      </c>
      <c r="D18" s="258" t="s">
        <v>137</v>
      </c>
      <c r="E18" s="293" t="s">
        <v>131</v>
      </c>
      <c r="F18" s="257">
        <v>45749</v>
      </c>
      <c r="G18" s="333" t="s">
        <v>816</v>
      </c>
      <c r="H18" s="230">
        <v>4</v>
      </c>
      <c r="I18" s="258">
        <v>4920</v>
      </c>
    </row>
    <row r="19" spans="3:9" x14ac:dyDescent="0.25">
      <c r="C19" s="258">
        <v>17</v>
      </c>
      <c r="D19" s="258" t="s">
        <v>56</v>
      </c>
      <c r="E19" s="293" t="s">
        <v>29</v>
      </c>
      <c r="F19" s="257">
        <v>45810</v>
      </c>
      <c r="G19" s="333" t="s">
        <v>816</v>
      </c>
      <c r="H19" s="230">
        <v>4</v>
      </c>
      <c r="I19" s="258">
        <v>4618</v>
      </c>
    </row>
    <row r="20" spans="3:9" x14ac:dyDescent="0.25">
      <c r="C20" s="258">
        <v>18</v>
      </c>
      <c r="D20" s="258" t="s">
        <v>62</v>
      </c>
      <c r="E20" s="293" t="s">
        <v>29</v>
      </c>
      <c r="F20" s="257">
        <v>45871</v>
      </c>
      <c r="G20" s="333" t="s">
        <v>816</v>
      </c>
      <c r="H20" s="230">
        <v>4</v>
      </c>
      <c r="I20" s="258">
        <v>4618</v>
      </c>
    </row>
    <row r="21" spans="3:9" x14ac:dyDescent="0.25">
      <c r="C21" s="258">
        <v>19</v>
      </c>
      <c r="D21" s="258" t="s">
        <v>66</v>
      </c>
      <c r="E21" s="293" t="s">
        <v>29</v>
      </c>
      <c r="F21" s="257">
        <v>45932</v>
      </c>
      <c r="G21" s="333" t="s">
        <v>816</v>
      </c>
      <c r="H21" s="230">
        <v>4</v>
      </c>
      <c r="I21" s="258">
        <v>4618</v>
      </c>
    </row>
    <row r="22" spans="3:9" x14ac:dyDescent="0.25">
      <c r="C22" s="258">
        <v>20</v>
      </c>
      <c r="D22" s="258" t="s">
        <v>116</v>
      </c>
      <c r="E22" s="293" t="s">
        <v>29</v>
      </c>
      <c r="F22" s="257">
        <v>45993</v>
      </c>
      <c r="G22" s="333" t="s">
        <v>816</v>
      </c>
      <c r="H22" s="230">
        <v>4</v>
      </c>
      <c r="I22" s="258">
        <v>4618</v>
      </c>
    </row>
    <row r="23" spans="3:9" x14ac:dyDescent="0.25">
      <c r="C23" s="258">
        <v>21</v>
      </c>
      <c r="D23" s="258" t="s">
        <v>134</v>
      </c>
      <c r="E23" s="293" t="s">
        <v>135</v>
      </c>
      <c r="F23" s="257" t="s">
        <v>807</v>
      </c>
      <c r="G23" s="333" t="s">
        <v>816</v>
      </c>
      <c r="H23" s="230">
        <v>4</v>
      </c>
      <c r="I23" s="258">
        <v>4920</v>
      </c>
    </row>
    <row r="24" spans="3:9" x14ac:dyDescent="0.25">
      <c r="C24" s="258">
        <v>22</v>
      </c>
      <c r="D24" s="258" t="s">
        <v>117</v>
      </c>
      <c r="E24" s="293" t="s">
        <v>29</v>
      </c>
      <c r="F24" s="257" t="s">
        <v>808</v>
      </c>
      <c r="G24" s="333" t="s">
        <v>816</v>
      </c>
      <c r="H24" s="230">
        <v>4</v>
      </c>
      <c r="I24" s="258">
        <v>4618</v>
      </c>
    </row>
    <row r="25" spans="3:9" x14ac:dyDescent="0.25">
      <c r="C25" s="258">
        <v>23</v>
      </c>
      <c r="D25" s="258" t="s">
        <v>136</v>
      </c>
      <c r="E25" s="293" t="s">
        <v>29</v>
      </c>
      <c r="F25" s="257" t="s">
        <v>809</v>
      </c>
      <c r="G25" s="333" t="s">
        <v>816</v>
      </c>
      <c r="H25" s="230">
        <v>4</v>
      </c>
      <c r="I25" s="258">
        <v>4618</v>
      </c>
    </row>
    <row r="26" spans="3:9" x14ac:dyDescent="0.25">
      <c r="C26" s="258">
        <v>24</v>
      </c>
      <c r="D26" s="258" t="s">
        <v>119</v>
      </c>
      <c r="E26" s="293" t="s">
        <v>29</v>
      </c>
      <c r="F26" s="257" t="s">
        <v>810</v>
      </c>
      <c r="G26" s="333" t="s">
        <v>816</v>
      </c>
      <c r="H26" s="230">
        <v>4</v>
      </c>
      <c r="I26" s="258">
        <v>4618</v>
      </c>
    </row>
    <row r="27" spans="3:9" x14ac:dyDescent="0.25">
      <c r="C27" s="258">
        <v>25</v>
      </c>
      <c r="D27" s="258" t="s">
        <v>180</v>
      </c>
      <c r="E27" s="293" t="s">
        <v>29</v>
      </c>
      <c r="F27" s="257" t="s">
        <v>811</v>
      </c>
      <c r="G27" s="333" t="s">
        <v>816</v>
      </c>
      <c r="H27" s="230">
        <v>4</v>
      </c>
      <c r="I27" s="258">
        <v>4618</v>
      </c>
    </row>
    <row r="28" spans="3:9" x14ac:dyDescent="0.25">
      <c r="C28" s="258">
        <v>26</v>
      </c>
      <c r="D28" s="258" t="s">
        <v>120</v>
      </c>
      <c r="E28" s="293" t="s">
        <v>29</v>
      </c>
      <c r="F28" s="257" t="s">
        <v>812</v>
      </c>
      <c r="G28" s="333" t="s">
        <v>816</v>
      </c>
      <c r="H28" s="230">
        <v>4</v>
      </c>
      <c r="I28" s="258">
        <v>4618</v>
      </c>
    </row>
    <row r="29" spans="3:9" x14ac:dyDescent="0.25">
      <c r="C29" s="258">
        <v>27</v>
      </c>
      <c r="D29" s="258" t="s">
        <v>57</v>
      </c>
      <c r="E29" s="293" t="s">
        <v>29</v>
      </c>
      <c r="F29" s="257" t="s">
        <v>813</v>
      </c>
      <c r="G29" s="333" t="s">
        <v>816</v>
      </c>
      <c r="H29" s="230">
        <v>4</v>
      </c>
      <c r="I29" s="258">
        <v>4618</v>
      </c>
    </row>
    <row r="30" spans="3:9" x14ac:dyDescent="0.25">
      <c r="C30" s="258">
        <v>28</v>
      </c>
      <c r="D30" s="258" t="s">
        <v>59</v>
      </c>
      <c r="E30" s="293" t="s">
        <v>29</v>
      </c>
      <c r="F30" s="257" t="s">
        <v>814</v>
      </c>
      <c r="G30" s="333" t="s">
        <v>816</v>
      </c>
      <c r="H30" s="230">
        <v>4</v>
      </c>
      <c r="I30" s="258">
        <v>4618</v>
      </c>
    </row>
    <row r="31" spans="3:9" x14ac:dyDescent="0.25">
      <c r="C31" s="258">
        <v>29</v>
      </c>
      <c r="D31" s="258" t="s">
        <v>58</v>
      </c>
      <c r="E31" s="293" t="s">
        <v>29</v>
      </c>
      <c r="F31" s="257">
        <v>45691</v>
      </c>
      <c r="G31" s="333" t="s">
        <v>816</v>
      </c>
      <c r="H31" s="230">
        <v>4</v>
      </c>
      <c r="I31" s="258">
        <v>4618</v>
      </c>
    </row>
    <row r="32" spans="3:9" x14ac:dyDescent="0.25">
      <c r="C32" s="258">
        <v>30</v>
      </c>
      <c r="D32" s="258" t="s">
        <v>33</v>
      </c>
      <c r="E32" s="293" t="s">
        <v>34</v>
      </c>
      <c r="F32" s="257">
        <v>45750</v>
      </c>
      <c r="G32" s="333" t="s">
        <v>816</v>
      </c>
      <c r="H32" s="230">
        <v>4</v>
      </c>
      <c r="I32" s="258">
        <v>4796</v>
      </c>
    </row>
    <row r="33" spans="3:9" x14ac:dyDescent="0.25">
      <c r="C33" s="258">
        <v>31</v>
      </c>
      <c r="D33" s="258" t="s">
        <v>28</v>
      </c>
      <c r="E33" s="293" t="s">
        <v>29</v>
      </c>
      <c r="F33" s="257">
        <v>45811</v>
      </c>
      <c r="G33" s="333" t="s">
        <v>816</v>
      </c>
      <c r="H33" s="230">
        <v>4</v>
      </c>
      <c r="I33" s="258">
        <v>4618</v>
      </c>
    </row>
    <row r="34" spans="3:9" x14ac:dyDescent="0.25">
      <c r="C34" s="258">
        <v>32</v>
      </c>
      <c r="D34" s="258" t="s">
        <v>118</v>
      </c>
      <c r="E34" s="293" t="s">
        <v>43</v>
      </c>
      <c r="F34" s="257">
        <v>45872</v>
      </c>
      <c r="G34" s="333" t="s">
        <v>816</v>
      </c>
      <c r="H34" s="230">
        <v>4</v>
      </c>
      <c r="I34" s="258">
        <v>5972</v>
      </c>
    </row>
    <row r="35" spans="3:9" x14ac:dyDescent="0.25">
      <c r="C35" s="258">
        <v>33</v>
      </c>
      <c r="D35" s="258" t="s">
        <v>123</v>
      </c>
      <c r="E35" s="293" t="s">
        <v>29</v>
      </c>
      <c r="F35" s="257">
        <v>45933</v>
      </c>
      <c r="G35" s="333" t="s">
        <v>816</v>
      </c>
      <c r="H35" s="230">
        <v>4</v>
      </c>
      <c r="I35" s="258">
        <v>4618</v>
      </c>
    </row>
    <row r="36" spans="3:9" x14ac:dyDescent="0.25">
      <c r="C36" s="258">
        <v>34</v>
      </c>
      <c r="D36" s="258" t="s">
        <v>177</v>
      </c>
      <c r="E36" s="293" t="s">
        <v>135</v>
      </c>
      <c r="F36" s="333">
        <v>45752</v>
      </c>
      <c r="G36" s="333" t="s">
        <v>817</v>
      </c>
      <c r="H36" s="230">
        <v>4</v>
      </c>
      <c r="I36" s="258">
        <v>5556</v>
      </c>
    </row>
    <row r="37" spans="3:9" x14ac:dyDescent="0.25">
      <c r="C37" s="258">
        <v>35</v>
      </c>
      <c r="D37" s="258" t="s">
        <v>113</v>
      </c>
      <c r="E37" s="293" t="s">
        <v>29</v>
      </c>
      <c r="F37" s="333">
        <v>45782</v>
      </c>
      <c r="G37" s="333" t="s">
        <v>817</v>
      </c>
      <c r="H37" s="230">
        <v>4</v>
      </c>
      <c r="I37" s="258">
        <v>4618</v>
      </c>
    </row>
    <row r="38" spans="3:9" x14ac:dyDescent="0.25">
      <c r="C38" s="258">
        <v>36</v>
      </c>
      <c r="D38" s="258" t="s">
        <v>65</v>
      </c>
      <c r="E38" s="293" t="s">
        <v>43</v>
      </c>
      <c r="F38" s="333">
        <v>45843</v>
      </c>
      <c r="G38" s="333" t="s">
        <v>817</v>
      </c>
      <c r="H38" s="230">
        <v>4</v>
      </c>
      <c r="I38" s="258">
        <v>5972</v>
      </c>
    </row>
    <row r="39" spans="3:9" x14ac:dyDescent="0.25">
      <c r="C39" s="258">
        <v>37</v>
      </c>
      <c r="D39" s="258" t="s">
        <v>50</v>
      </c>
      <c r="E39" s="293" t="s">
        <v>34</v>
      </c>
      <c r="F39" s="257">
        <v>45813</v>
      </c>
      <c r="G39" s="333" t="s">
        <v>817</v>
      </c>
      <c r="H39" s="230">
        <v>4</v>
      </c>
      <c r="I39" s="258">
        <v>4796</v>
      </c>
    </row>
    <row r="40" spans="3:9" x14ac:dyDescent="0.25">
      <c r="C40" s="258">
        <v>38</v>
      </c>
      <c r="D40" s="258" t="s">
        <v>114</v>
      </c>
      <c r="E40" s="293" t="s">
        <v>29</v>
      </c>
      <c r="F40" s="257">
        <v>45843</v>
      </c>
      <c r="G40" s="333" t="s">
        <v>817</v>
      </c>
      <c r="H40" s="230">
        <v>4</v>
      </c>
      <c r="I40" s="258">
        <v>4618</v>
      </c>
    </row>
    <row r="41" spans="3:9" x14ac:dyDescent="0.25">
      <c r="C41" s="258">
        <v>39</v>
      </c>
      <c r="D41" s="258" t="s">
        <v>138</v>
      </c>
      <c r="E41" s="293" t="s">
        <v>29</v>
      </c>
      <c r="F41" s="257">
        <v>45874</v>
      </c>
      <c r="G41" s="333" t="s">
        <v>817</v>
      </c>
      <c r="H41" s="230">
        <v>4</v>
      </c>
      <c r="I41" s="258">
        <v>4618</v>
      </c>
    </row>
    <row r="42" spans="3:9" x14ac:dyDescent="0.25">
      <c r="C42" s="258">
        <v>40</v>
      </c>
      <c r="D42" s="258" t="s">
        <v>133</v>
      </c>
      <c r="E42" s="293" t="s">
        <v>29</v>
      </c>
      <c r="F42" s="257">
        <v>45905</v>
      </c>
      <c r="G42" s="333" t="s">
        <v>817</v>
      </c>
      <c r="H42" s="230">
        <v>4</v>
      </c>
      <c r="I42" s="258">
        <v>4618</v>
      </c>
    </row>
    <row r="43" spans="3:9" x14ac:dyDescent="0.25">
      <c r="C43" s="258">
        <v>41</v>
      </c>
      <c r="D43" s="258" t="s">
        <v>339</v>
      </c>
      <c r="E43" s="293" t="s">
        <v>29</v>
      </c>
      <c r="F43" s="257">
        <v>45905</v>
      </c>
      <c r="G43" s="333" t="s">
        <v>817</v>
      </c>
      <c r="H43" s="230">
        <v>4</v>
      </c>
      <c r="I43" s="258">
        <v>4618</v>
      </c>
    </row>
    <row r="44" spans="3:9" x14ac:dyDescent="0.25">
      <c r="C44" s="258">
        <v>42</v>
      </c>
      <c r="D44" s="258" t="s">
        <v>46</v>
      </c>
      <c r="E44" s="293" t="s">
        <v>47</v>
      </c>
      <c r="F44" s="257">
        <v>45935</v>
      </c>
      <c r="G44" s="333" t="s">
        <v>817</v>
      </c>
      <c r="H44" s="230">
        <v>4</v>
      </c>
      <c r="I44" s="258">
        <v>6376</v>
      </c>
    </row>
    <row r="45" spans="3:9" x14ac:dyDescent="0.25">
      <c r="C45" s="258">
        <v>43</v>
      </c>
      <c r="D45" s="258" t="s">
        <v>42</v>
      </c>
      <c r="E45" s="293" t="s">
        <v>43</v>
      </c>
      <c r="F45" s="257">
        <v>45966</v>
      </c>
      <c r="G45" s="333" t="s">
        <v>817</v>
      </c>
      <c r="H45" s="230">
        <v>4</v>
      </c>
      <c r="I45" s="258">
        <v>5972</v>
      </c>
    </row>
    <row r="46" spans="3:9" x14ac:dyDescent="0.25">
      <c r="C46" s="258">
        <v>44</v>
      </c>
      <c r="D46" s="258" t="s">
        <v>170</v>
      </c>
      <c r="E46" s="293" t="s">
        <v>29</v>
      </c>
      <c r="F46" s="257">
        <v>45996</v>
      </c>
      <c r="G46" s="333" t="s">
        <v>817</v>
      </c>
      <c r="H46" s="230">
        <v>4</v>
      </c>
      <c r="I46" s="258">
        <v>4618</v>
      </c>
    </row>
    <row r="47" spans="3:9" x14ac:dyDescent="0.25">
      <c r="C47" s="258">
        <v>45</v>
      </c>
      <c r="D47" s="258" t="s">
        <v>344</v>
      </c>
      <c r="E47" s="293" t="s">
        <v>29</v>
      </c>
      <c r="F47" s="257" t="s">
        <v>786</v>
      </c>
      <c r="G47" s="333" t="s">
        <v>817</v>
      </c>
      <c r="H47" s="230">
        <v>4</v>
      </c>
      <c r="I47" s="258">
        <v>4618</v>
      </c>
    </row>
    <row r="48" spans="3:9" x14ac:dyDescent="0.25">
      <c r="C48" s="258">
        <v>46</v>
      </c>
      <c r="D48" s="258" t="s">
        <v>345</v>
      </c>
      <c r="E48" s="293" t="s">
        <v>29</v>
      </c>
      <c r="F48" s="257" t="s">
        <v>786</v>
      </c>
      <c r="G48" s="333" t="s">
        <v>817</v>
      </c>
      <c r="H48" s="230">
        <v>4</v>
      </c>
      <c r="I48" s="258">
        <v>4618</v>
      </c>
    </row>
    <row r="49" spans="3:9" x14ac:dyDescent="0.25">
      <c r="C49" s="258">
        <v>47</v>
      </c>
      <c r="D49" s="258" t="s">
        <v>181</v>
      </c>
      <c r="E49" s="293" t="s">
        <v>34</v>
      </c>
      <c r="F49" s="257" t="s">
        <v>787</v>
      </c>
      <c r="G49" s="333" t="s">
        <v>817</v>
      </c>
      <c r="H49" s="230">
        <v>4</v>
      </c>
      <c r="I49" s="258">
        <v>4796</v>
      </c>
    </row>
    <row r="50" spans="3:9" x14ac:dyDescent="0.25">
      <c r="C50" s="258">
        <v>48</v>
      </c>
      <c r="D50" s="258" t="s">
        <v>346</v>
      </c>
      <c r="E50" s="293" t="s">
        <v>29</v>
      </c>
      <c r="F50" s="257" t="s">
        <v>787</v>
      </c>
      <c r="G50" s="333" t="s">
        <v>817</v>
      </c>
      <c r="H50" s="230">
        <v>4</v>
      </c>
      <c r="I50" s="258">
        <v>4618</v>
      </c>
    </row>
    <row r="51" spans="3:9" x14ac:dyDescent="0.25">
      <c r="C51" s="258">
        <v>49</v>
      </c>
      <c r="D51" s="258" t="s">
        <v>347</v>
      </c>
      <c r="E51" s="293" t="s">
        <v>34</v>
      </c>
      <c r="F51" s="257" t="s">
        <v>788</v>
      </c>
      <c r="G51" s="333" t="s">
        <v>817</v>
      </c>
      <c r="H51" s="230">
        <v>4</v>
      </c>
      <c r="I51" s="258">
        <v>4796</v>
      </c>
    </row>
    <row r="52" spans="3:9" x14ac:dyDescent="0.25">
      <c r="C52" s="258">
        <v>50</v>
      </c>
      <c r="D52" s="258" t="s">
        <v>348</v>
      </c>
      <c r="E52" s="293" t="s">
        <v>29</v>
      </c>
      <c r="F52" s="257" t="s">
        <v>789</v>
      </c>
      <c r="G52" s="333" t="s">
        <v>817</v>
      </c>
      <c r="H52" s="230">
        <v>4</v>
      </c>
      <c r="I52" s="258">
        <v>4618</v>
      </c>
    </row>
    <row r="53" spans="3:9" x14ac:dyDescent="0.25">
      <c r="C53" s="258">
        <v>51</v>
      </c>
      <c r="D53" s="258" t="s">
        <v>351</v>
      </c>
      <c r="E53" s="293" t="s">
        <v>34</v>
      </c>
      <c r="F53" s="257" t="s">
        <v>790</v>
      </c>
      <c r="G53" s="333" t="s">
        <v>817</v>
      </c>
      <c r="H53" s="230">
        <v>4</v>
      </c>
      <c r="I53" s="258">
        <v>4796</v>
      </c>
    </row>
    <row r="54" spans="3:9" x14ac:dyDescent="0.25">
      <c r="C54" s="258">
        <v>52</v>
      </c>
      <c r="D54" s="258" t="s">
        <v>355</v>
      </c>
      <c r="E54" s="293" t="s">
        <v>34</v>
      </c>
      <c r="F54" s="257" t="s">
        <v>790</v>
      </c>
      <c r="G54" s="333" t="s">
        <v>817</v>
      </c>
      <c r="H54" s="230">
        <v>4</v>
      </c>
      <c r="I54" s="258">
        <v>4796</v>
      </c>
    </row>
    <row r="55" spans="3:9" x14ac:dyDescent="0.25">
      <c r="C55" s="258">
        <v>53</v>
      </c>
      <c r="D55" s="258" t="s">
        <v>356</v>
      </c>
      <c r="E55" s="293" t="s">
        <v>34</v>
      </c>
      <c r="F55" s="257" t="s">
        <v>791</v>
      </c>
      <c r="G55" s="333" t="s">
        <v>817</v>
      </c>
      <c r="H55" s="230">
        <v>4</v>
      </c>
      <c r="I55" s="258">
        <v>4796</v>
      </c>
    </row>
    <row r="56" spans="3:9" x14ac:dyDescent="0.25">
      <c r="C56" s="258">
        <v>54</v>
      </c>
      <c r="D56" s="258" t="s">
        <v>357</v>
      </c>
      <c r="E56" s="293" t="s">
        <v>29</v>
      </c>
      <c r="F56" s="333" t="s">
        <v>791</v>
      </c>
      <c r="G56" s="333" t="s">
        <v>817</v>
      </c>
      <c r="H56" s="230">
        <v>4</v>
      </c>
      <c r="I56" s="258">
        <v>4618</v>
      </c>
    </row>
    <row r="57" spans="3:9" x14ac:dyDescent="0.25">
      <c r="C57" s="258">
        <v>55</v>
      </c>
      <c r="D57" s="258" t="s">
        <v>343</v>
      </c>
      <c r="E57" s="293" t="s">
        <v>275</v>
      </c>
      <c r="F57" s="254" t="s">
        <v>792</v>
      </c>
      <c r="G57" s="333" t="s">
        <v>817</v>
      </c>
      <c r="H57" s="230">
        <v>4</v>
      </c>
      <c r="I57" s="258">
        <v>5428</v>
      </c>
    </row>
    <row r="58" spans="3:9" x14ac:dyDescent="0.25">
      <c r="C58" s="258">
        <v>56</v>
      </c>
      <c r="D58" s="258" t="s">
        <v>359</v>
      </c>
      <c r="E58" s="293" t="s">
        <v>34</v>
      </c>
      <c r="F58" s="333" t="s">
        <v>793</v>
      </c>
      <c r="G58" s="333" t="s">
        <v>817</v>
      </c>
      <c r="H58" s="230">
        <v>4</v>
      </c>
      <c r="I58" s="258">
        <v>4796</v>
      </c>
    </row>
    <row r="59" spans="3:9" x14ac:dyDescent="0.25">
      <c r="C59" s="258">
        <v>57</v>
      </c>
      <c r="D59" s="258" t="s">
        <v>360</v>
      </c>
      <c r="E59" s="293" t="s">
        <v>29</v>
      </c>
      <c r="F59" s="257" t="s">
        <v>794</v>
      </c>
      <c r="G59" s="333" t="s">
        <v>817</v>
      </c>
      <c r="H59" s="230">
        <v>4</v>
      </c>
      <c r="I59" s="258">
        <v>4618</v>
      </c>
    </row>
    <row r="60" spans="3:9" x14ac:dyDescent="0.25">
      <c r="C60" s="258">
        <v>58</v>
      </c>
      <c r="D60" s="258" t="s">
        <v>362</v>
      </c>
      <c r="E60" s="293" t="s">
        <v>29</v>
      </c>
      <c r="F60" s="257" t="s">
        <v>795</v>
      </c>
      <c r="G60" s="333" t="s">
        <v>817</v>
      </c>
      <c r="H60" s="230">
        <v>4</v>
      </c>
      <c r="I60" s="258">
        <v>4618</v>
      </c>
    </row>
    <row r="61" spans="3:9" x14ac:dyDescent="0.25">
      <c r="C61" s="258">
        <v>59</v>
      </c>
      <c r="D61" s="258" t="s">
        <v>366</v>
      </c>
      <c r="E61" s="293" t="s">
        <v>29</v>
      </c>
      <c r="F61" s="257" t="s">
        <v>796</v>
      </c>
      <c r="G61" s="333" t="s">
        <v>817</v>
      </c>
      <c r="H61" s="230">
        <v>4</v>
      </c>
      <c r="I61" s="258">
        <v>4618</v>
      </c>
    </row>
    <row r="62" spans="3:9" x14ac:dyDescent="0.25">
      <c r="C62" s="258">
        <v>60</v>
      </c>
      <c r="D62" s="258" t="s">
        <v>368</v>
      </c>
      <c r="E62" s="293" t="s">
        <v>43</v>
      </c>
      <c r="F62" s="257" t="s">
        <v>796</v>
      </c>
      <c r="G62" s="333" t="s">
        <v>817</v>
      </c>
      <c r="H62" s="230">
        <v>4</v>
      </c>
      <c r="I62" s="258">
        <v>4618</v>
      </c>
    </row>
    <row r="63" spans="3:9" x14ac:dyDescent="0.25">
      <c r="C63" s="258">
        <v>61</v>
      </c>
      <c r="D63" s="258" t="s">
        <v>364</v>
      </c>
      <c r="E63" s="293" t="s">
        <v>34</v>
      </c>
      <c r="F63" s="257" t="s">
        <v>794</v>
      </c>
      <c r="G63" s="333" t="s">
        <v>817</v>
      </c>
      <c r="H63" s="230">
        <v>4</v>
      </c>
      <c r="I63" s="258">
        <v>4796</v>
      </c>
    </row>
    <row r="64" spans="3:9" x14ac:dyDescent="0.25">
      <c r="C64" s="258">
        <v>62</v>
      </c>
      <c r="D64" s="258" t="s">
        <v>363</v>
      </c>
      <c r="E64" s="293" t="s">
        <v>29</v>
      </c>
      <c r="F64" s="257" t="s">
        <v>795</v>
      </c>
      <c r="G64" s="333" t="s">
        <v>817</v>
      </c>
      <c r="H64" s="230">
        <v>4</v>
      </c>
      <c r="I64" s="258">
        <v>4618</v>
      </c>
    </row>
    <row r="65" spans="3:9" x14ac:dyDescent="0.25">
      <c r="C65" s="258">
        <v>63</v>
      </c>
      <c r="D65" s="258" t="s">
        <v>367</v>
      </c>
      <c r="E65" s="293" t="s">
        <v>34</v>
      </c>
      <c r="F65" s="257" t="s">
        <v>796</v>
      </c>
      <c r="G65" s="333" t="s">
        <v>817</v>
      </c>
      <c r="H65" s="230">
        <v>4</v>
      </c>
      <c r="I65" s="258">
        <v>4796</v>
      </c>
    </row>
    <row r="66" spans="3:9" x14ac:dyDescent="0.25">
      <c r="C66" s="258">
        <v>64</v>
      </c>
      <c r="D66" s="258" t="s">
        <v>365</v>
      </c>
      <c r="E66" s="293" t="s">
        <v>275</v>
      </c>
      <c r="F66" s="254">
        <v>45847</v>
      </c>
      <c r="G66" s="254" t="s">
        <v>818</v>
      </c>
      <c r="H66" s="523">
        <v>3</v>
      </c>
      <c r="I66" s="258">
        <v>5328</v>
      </c>
    </row>
    <row r="67" spans="3:9" x14ac:dyDescent="0.25">
      <c r="C67" s="258">
        <v>65</v>
      </c>
      <c r="D67" s="284" t="s">
        <v>369</v>
      </c>
      <c r="E67" s="293" t="s">
        <v>499</v>
      </c>
      <c r="F67" s="254">
        <v>45848</v>
      </c>
      <c r="G67" s="254" t="s">
        <v>818</v>
      </c>
      <c r="H67" s="523">
        <v>3</v>
      </c>
      <c r="I67" s="258">
        <v>7158</v>
      </c>
    </row>
    <row r="68" spans="3:9" x14ac:dyDescent="0.25">
      <c r="C68" s="258">
        <v>66</v>
      </c>
      <c r="D68" s="284" t="s">
        <v>361</v>
      </c>
      <c r="E68" s="293" t="s">
        <v>285</v>
      </c>
      <c r="F68" s="254">
        <v>45849</v>
      </c>
      <c r="G68" s="254" t="s">
        <v>818</v>
      </c>
      <c r="H68" s="523">
        <v>3</v>
      </c>
      <c r="I68" s="258">
        <v>4355</v>
      </c>
    </row>
    <row r="69" spans="3:9" x14ac:dyDescent="0.25">
      <c r="C69" s="258">
        <v>67</v>
      </c>
      <c r="D69" s="284" t="s">
        <v>358</v>
      </c>
      <c r="E69" s="293" t="s">
        <v>131</v>
      </c>
      <c r="F69" s="254">
        <v>45850</v>
      </c>
      <c r="G69" s="254" t="s">
        <v>818</v>
      </c>
      <c r="H69" s="523">
        <v>3</v>
      </c>
      <c r="I69" s="258">
        <v>5495</v>
      </c>
    </row>
    <row r="70" spans="3:9" x14ac:dyDescent="0.25">
      <c r="C70" s="258">
        <v>68</v>
      </c>
      <c r="D70" s="285" t="s">
        <v>349</v>
      </c>
      <c r="E70" s="293" t="s">
        <v>352</v>
      </c>
      <c r="F70" s="254">
        <v>45855</v>
      </c>
      <c r="G70" s="254" t="s">
        <v>818</v>
      </c>
      <c r="H70" s="523">
        <v>3</v>
      </c>
      <c r="I70" s="258">
        <v>7326</v>
      </c>
    </row>
    <row r="71" spans="3:9" x14ac:dyDescent="0.25">
      <c r="C71" s="258">
        <v>69</v>
      </c>
      <c r="D71" s="284" t="s">
        <v>350</v>
      </c>
      <c r="E71" s="293" t="s">
        <v>353</v>
      </c>
      <c r="F71" s="254">
        <v>45855</v>
      </c>
      <c r="G71" s="254" t="s">
        <v>818</v>
      </c>
      <c r="H71" s="523">
        <v>3</v>
      </c>
      <c r="I71" s="258">
        <v>7196</v>
      </c>
    </row>
    <row r="72" spans="3:9" x14ac:dyDescent="0.25">
      <c r="C72" s="258">
        <v>70</v>
      </c>
      <c r="D72" s="284" t="s">
        <v>354</v>
      </c>
      <c r="E72" s="293" t="s">
        <v>34</v>
      </c>
      <c r="F72" s="254">
        <v>45852</v>
      </c>
      <c r="G72" s="254" t="s">
        <v>818</v>
      </c>
      <c r="H72" s="523">
        <v>3</v>
      </c>
      <c r="I72" s="258">
        <v>4796</v>
      </c>
    </row>
    <row r="73" spans="3:9" x14ac:dyDescent="0.25">
      <c r="C73" s="258">
        <v>71</v>
      </c>
      <c r="D73" s="284" t="s">
        <v>334</v>
      </c>
      <c r="E73" s="293" t="s">
        <v>29</v>
      </c>
      <c r="F73" s="254">
        <v>45855</v>
      </c>
      <c r="G73" s="254" t="s">
        <v>818</v>
      </c>
      <c r="H73" s="523">
        <v>3</v>
      </c>
      <c r="I73" s="258">
        <v>4618</v>
      </c>
    </row>
    <row r="74" spans="3:9" x14ac:dyDescent="0.25">
      <c r="C74" s="258">
        <v>72</v>
      </c>
      <c r="D74" s="284" t="s">
        <v>171</v>
      </c>
      <c r="E74" s="293" t="s">
        <v>29</v>
      </c>
      <c r="F74" s="254">
        <v>45857</v>
      </c>
      <c r="G74" s="254" t="s">
        <v>818</v>
      </c>
      <c r="H74" s="523">
        <v>3</v>
      </c>
      <c r="I74" s="258">
        <v>4618</v>
      </c>
    </row>
    <row r="75" spans="3:9" x14ac:dyDescent="0.25">
      <c r="C75" s="258">
        <v>73</v>
      </c>
      <c r="D75" s="284" t="s">
        <v>128</v>
      </c>
      <c r="E75" s="293" t="s">
        <v>43</v>
      </c>
      <c r="F75" s="254">
        <v>45859</v>
      </c>
      <c r="G75" s="254" t="s">
        <v>818</v>
      </c>
      <c r="H75" s="523">
        <v>3</v>
      </c>
      <c r="I75" s="258">
        <v>5972</v>
      </c>
    </row>
    <row r="76" spans="3:9" x14ac:dyDescent="0.25">
      <c r="C76" s="258">
        <v>74</v>
      </c>
      <c r="D76" s="284" t="s">
        <v>166</v>
      </c>
      <c r="E76" s="293" t="s">
        <v>34</v>
      </c>
      <c r="F76" s="254">
        <v>45859</v>
      </c>
      <c r="G76" s="254" t="s">
        <v>818</v>
      </c>
      <c r="H76" s="523">
        <v>3</v>
      </c>
      <c r="I76" s="258">
        <v>5972</v>
      </c>
    </row>
    <row r="77" spans="3:9" x14ac:dyDescent="0.25">
      <c r="C77" s="258">
        <v>75</v>
      </c>
      <c r="D77" s="284" t="s">
        <v>335</v>
      </c>
      <c r="E77" s="258" t="s">
        <v>285</v>
      </c>
      <c r="F77" s="254">
        <v>45860</v>
      </c>
      <c r="G77" s="254" t="s">
        <v>818</v>
      </c>
      <c r="H77" s="523">
        <v>3</v>
      </c>
      <c r="I77" s="258">
        <v>4355</v>
      </c>
    </row>
    <row r="78" spans="3:9" x14ac:dyDescent="0.25">
      <c r="C78" s="258">
        <v>76</v>
      </c>
      <c r="D78" s="284" t="s">
        <v>129</v>
      </c>
      <c r="E78" s="258" t="s">
        <v>165</v>
      </c>
      <c r="F78" s="254">
        <v>45861</v>
      </c>
      <c r="G78" s="254" t="s">
        <v>818</v>
      </c>
      <c r="H78" s="523">
        <v>3</v>
      </c>
      <c r="I78" s="258">
        <v>4618</v>
      </c>
    </row>
    <row r="79" spans="3:9" x14ac:dyDescent="0.25">
      <c r="C79" s="258">
        <v>77</v>
      </c>
      <c r="D79" s="284" t="s">
        <v>330</v>
      </c>
      <c r="E79" s="317" t="s">
        <v>34</v>
      </c>
      <c r="F79" s="254">
        <v>45881</v>
      </c>
      <c r="G79" s="254" t="s">
        <v>818</v>
      </c>
      <c r="H79" s="523">
        <v>3</v>
      </c>
      <c r="I79" s="258">
        <v>4618</v>
      </c>
    </row>
    <row r="80" spans="3:9" x14ac:dyDescent="0.25">
      <c r="C80" s="258">
        <v>78</v>
      </c>
      <c r="D80" s="284" t="s">
        <v>328</v>
      </c>
      <c r="E80" s="258" t="s">
        <v>43</v>
      </c>
      <c r="F80" s="254">
        <v>45884</v>
      </c>
      <c r="G80" s="254" t="s">
        <v>818</v>
      </c>
      <c r="H80" s="523">
        <v>3</v>
      </c>
      <c r="I80" s="258">
        <v>5972</v>
      </c>
    </row>
    <row r="81" spans="3:9" x14ac:dyDescent="0.25">
      <c r="C81" s="258">
        <v>79</v>
      </c>
      <c r="D81" s="284" t="s">
        <v>329</v>
      </c>
      <c r="E81" s="258" t="s">
        <v>29</v>
      </c>
      <c r="F81" s="254">
        <v>45883</v>
      </c>
      <c r="G81" s="254" t="s">
        <v>818</v>
      </c>
      <c r="H81" s="523">
        <v>3</v>
      </c>
      <c r="I81" s="258">
        <v>4618</v>
      </c>
    </row>
    <row r="82" spans="3:9" x14ac:dyDescent="0.25">
      <c r="C82" s="258">
        <v>80</v>
      </c>
      <c r="D82" s="258" t="s">
        <v>332</v>
      </c>
      <c r="E82" s="258" t="s">
        <v>131</v>
      </c>
      <c r="F82" s="254">
        <v>45874</v>
      </c>
      <c r="G82" s="254" t="s">
        <v>818</v>
      </c>
      <c r="H82" s="523">
        <v>3</v>
      </c>
      <c r="I82" s="258">
        <v>5495</v>
      </c>
    </row>
    <row r="83" spans="3:9" x14ac:dyDescent="0.25">
      <c r="C83" s="258">
        <v>81</v>
      </c>
      <c r="D83" s="284" t="s">
        <v>331</v>
      </c>
      <c r="E83" s="258" t="s">
        <v>135</v>
      </c>
      <c r="F83" s="254">
        <v>45875</v>
      </c>
      <c r="G83" s="254" t="s">
        <v>818</v>
      </c>
      <c r="H83" s="523">
        <v>3</v>
      </c>
      <c r="I83" s="258">
        <v>5495</v>
      </c>
    </row>
    <row r="84" spans="3:9" x14ac:dyDescent="0.25">
      <c r="C84" s="258">
        <v>82</v>
      </c>
      <c r="D84" s="285" t="s">
        <v>298</v>
      </c>
      <c r="E84" s="258" t="s">
        <v>29</v>
      </c>
      <c r="F84" s="254">
        <v>45879</v>
      </c>
      <c r="G84" s="254" t="s">
        <v>818</v>
      </c>
      <c r="H84" s="523">
        <v>3</v>
      </c>
      <c r="I84" s="258">
        <v>4618</v>
      </c>
    </row>
    <row r="85" spans="3:9" x14ac:dyDescent="0.25">
      <c r="C85" s="258">
        <v>83</v>
      </c>
      <c r="D85" s="284" t="s">
        <v>333</v>
      </c>
      <c r="E85" s="258" t="s">
        <v>824</v>
      </c>
      <c r="F85" s="254">
        <v>45886</v>
      </c>
      <c r="G85" s="254" t="s">
        <v>818</v>
      </c>
      <c r="H85" s="523">
        <v>3</v>
      </c>
      <c r="I85" s="258">
        <v>5496</v>
      </c>
    </row>
    <row r="86" spans="3:9" x14ac:dyDescent="0.25">
      <c r="C86" s="258">
        <v>84</v>
      </c>
      <c r="D86" s="625" t="s">
        <v>286</v>
      </c>
      <c r="E86" s="293" t="s">
        <v>34</v>
      </c>
      <c r="F86" s="624">
        <v>45903</v>
      </c>
      <c r="G86" s="254" t="s">
        <v>818</v>
      </c>
      <c r="H86" s="523">
        <v>3</v>
      </c>
      <c r="I86" s="623">
        <v>4796</v>
      </c>
    </row>
    <row r="87" spans="3:9" x14ac:dyDescent="0.25">
      <c r="C87" s="258">
        <v>85</v>
      </c>
      <c r="D87" s="625" t="s">
        <v>55</v>
      </c>
      <c r="E87" s="293" t="s">
        <v>34</v>
      </c>
      <c r="F87" s="624">
        <v>45904</v>
      </c>
      <c r="G87" s="254" t="s">
        <v>818</v>
      </c>
      <c r="H87" s="523">
        <v>3</v>
      </c>
      <c r="I87" s="623">
        <v>4796</v>
      </c>
    </row>
    <row r="88" spans="3:9" x14ac:dyDescent="0.25">
      <c r="C88" s="258">
        <v>86</v>
      </c>
      <c r="D88" s="625" t="s">
        <v>51</v>
      </c>
      <c r="E88" s="293" t="s">
        <v>34</v>
      </c>
      <c r="F88" s="624">
        <v>45905</v>
      </c>
      <c r="G88" s="254" t="s">
        <v>818</v>
      </c>
      <c r="H88" s="523">
        <v>3</v>
      </c>
      <c r="I88" s="623">
        <v>4796</v>
      </c>
    </row>
    <row r="89" spans="3:9" x14ac:dyDescent="0.25">
      <c r="C89" s="258">
        <v>87</v>
      </c>
      <c r="D89" s="625" t="s">
        <v>54</v>
      </c>
      <c r="E89" s="293" t="s">
        <v>34</v>
      </c>
      <c r="F89" s="624">
        <v>45906</v>
      </c>
      <c r="G89" s="254" t="s">
        <v>818</v>
      </c>
      <c r="H89" s="523">
        <v>3</v>
      </c>
      <c r="I89" s="623">
        <v>4796</v>
      </c>
    </row>
    <row r="90" spans="3:9" x14ac:dyDescent="0.25">
      <c r="C90" s="258">
        <v>88</v>
      </c>
      <c r="D90" s="625" t="s">
        <v>126</v>
      </c>
      <c r="E90" s="293" t="s">
        <v>29</v>
      </c>
      <c r="F90" s="624">
        <v>45907</v>
      </c>
      <c r="G90" s="254" t="s">
        <v>818</v>
      </c>
      <c r="H90" s="523">
        <v>3</v>
      </c>
      <c r="I90" s="623">
        <v>4618</v>
      </c>
    </row>
    <row r="91" spans="3:9" x14ac:dyDescent="0.25">
      <c r="C91" s="258">
        <v>89</v>
      </c>
      <c r="D91" s="625" t="s">
        <v>115</v>
      </c>
      <c r="E91" s="293" t="s">
        <v>29</v>
      </c>
      <c r="F91" s="624">
        <v>45908</v>
      </c>
      <c r="G91" s="254" t="s">
        <v>818</v>
      </c>
      <c r="H91" s="523">
        <v>3</v>
      </c>
      <c r="I91" s="623">
        <v>4618</v>
      </c>
    </row>
    <row r="92" spans="3:9" x14ac:dyDescent="0.25">
      <c r="C92" s="258">
        <v>90</v>
      </c>
      <c r="D92" s="625" t="s">
        <v>64</v>
      </c>
      <c r="E92" s="293" t="s">
        <v>29</v>
      </c>
      <c r="F92" s="624">
        <v>45909</v>
      </c>
      <c r="G92" s="254" t="s">
        <v>818</v>
      </c>
      <c r="H92" s="523">
        <v>3</v>
      </c>
      <c r="I92" s="623">
        <v>4618</v>
      </c>
    </row>
    <row r="93" spans="3:9" x14ac:dyDescent="0.25">
      <c r="C93" s="258">
        <v>91</v>
      </c>
      <c r="D93" s="625" t="s">
        <v>112</v>
      </c>
      <c r="E93" s="293" t="s">
        <v>34</v>
      </c>
      <c r="F93" s="624">
        <v>45910</v>
      </c>
      <c r="G93" s="254" t="s">
        <v>818</v>
      </c>
      <c r="H93" s="523">
        <v>3</v>
      </c>
      <c r="I93" s="623">
        <v>4796</v>
      </c>
    </row>
    <row r="94" spans="3:9" x14ac:dyDescent="0.25">
      <c r="C94" s="258">
        <v>92</v>
      </c>
      <c r="D94" s="625" t="s">
        <v>125</v>
      </c>
      <c r="E94" s="293" t="s">
        <v>34</v>
      </c>
      <c r="F94" s="624">
        <v>45911</v>
      </c>
      <c r="G94" s="254" t="s">
        <v>818</v>
      </c>
      <c r="H94" s="523">
        <v>3</v>
      </c>
      <c r="I94" s="623">
        <v>4796</v>
      </c>
    </row>
    <row r="95" spans="3:9" x14ac:dyDescent="0.25">
      <c r="C95" s="258">
        <v>93</v>
      </c>
      <c r="D95" s="625" t="s">
        <v>287</v>
      </c>
      <c r="E95" s="293" t="s">
        <v>29</v>
      </c>
      <c r="F95" s="624">
        <v>45912</v>
      </c>
      <c r="G95" s="254" t="s">
        <v>818</v>
      </c>
      <c r="H95" s="523">
        <v>3</v>
      </c>
      <c r="I95" s="623">
        <v>4618</v>
      </c>
    </row>
    <row r="96" spans="3:9" x14ac:dyDescent="0.25">
      <c r="C96" s="258">
        <v>94</v>
      </c>
      <c r="D96" s="625" t="s">
        <v>60</v>
      </c>
      <c r="E96" s="293" t="s">
        <v>43</v>
      </c>
      <c r="F96" s="624">
        <v>45913</v>
      </c>
      <c r="G96" s="254" t="s">
        <v>818</v>
      </c>
      <c r="H96" s="523">
        <v>3</v>
      </c>
      <c r="I96" s="623">
        <v>5972</v>
      </c>
    </row>
    <row r="97" spans="3:9" x14ac:dyDescent="0.25">
      <c r="C97" s="258">
        <v>95</v>
      </c>
      <c r="D97" s="285" t="s">
        <v>322</v>
      </c>
      <c r="E97" s="283" t="s">
        <v>43</v>
      </c>
      <c r="F97" s="254">
        <v>45909</v>
      </c>
      <c r="G97" s="333" t="s">
        <v>817</v>
      </c>
      <c r="H97" s="230">
        <v>4</v>
      </c>
      <c r="I97" s="623">
        <v>5972</v>
      </c>
    </row>
    <row r="98" spans="3:9" x14ac:dyDescent="0.25">
      <c r="C98" s="258">
        <v>96</v>
      </c>
      <c r="D98" s="284" t="s">
        <v>323</v>
      </c>
      <c r="E98" s="283" t="s">
        <v>131</v>
      </c>
      <c r="F98" s="254">
        <v>45905</v>
      </c>
      <c r="G98" s="333" t="s">
        <v>817</v>
      </c>
      <c r="H98" s="230">
        <v>4</v>
      </c>
      <c r="I98" s="258">
        <v>5495</v>
      </c>
    </row>
    <row r="99" spans="3:9" x14ac:dyDescent="0.25">
      <c r="C99" s="258">
        <v>97</v>
      </c>
      <c r="D99" s="284" t="s">
        <v>324</v>
      </c>
      <c r="E99" s="283" t="s">
        <v>29</v>
      </c>
      <c r="F99" s="254">
        <v>45906</v>
      </c>
      <c r="G99" s="333" t="s">
        <v>817</v>
      </c>
      <c r="H99" s="230">
        <v>4</v>
      </c>
      <c r="I99" s="623">
        <v>4618</v>
      </c>
    </row>
    <row r="100" spans="3:9" x14ac:dyDescent="0.25">
      <c r="C100" s="258">
        <v>98</v>
      </c>
      <c r="D100" s="420" t="s">
        <v>325</v>
      </c>
      <c r="E100" s="283" t="s">
        <v>29</v>
      </c>
      <c r="F100" s="254">
        <v>45908</v>
      </c>
      <c r="G100" s="333" t="s">
        <v>817</v>
      </c>
      <c r="H100" s="230">
        <v>4</v>
      </c>
      <c r="I100" s="623">
        <v>4618</v>
      </c>
    </row>
    <row r="101" spans="3:9" x14ac:dyDescent="0.25">
      <c r="C101" s="258">
        <v>99</v>
      </c>
      <c r="D101" s="420" t="s">
        <v>326</v>
      </c>
      <c r="E101" s="283" t="s">
        <v>29</v>
      </c>
      <c r="F101" s="254">
        <v>45910</v>
      </c>
      <c r="G101" s="333" t="s">
        <v>817</v>
      </c>
      <c r="H101" s="230">
        <v>4</v>
      </c>
      <c r="I101" s="623">
        <v>4618</v>
      </c>
    </row>
    <row r="102" spans="3:9" x14ac:dyDescent="0.25">
      <c r="C102" s="258">
        <v>100</v>
      </c>
      <c r="D102" s="342" t="s">
        <v>178</v>
      </c>
      <c r="E102" s="257" t="s">
        <v>131</v>
      </c>
      <c r="F102" s="254">
        <v>45902</v>
      </c>
      <c r="G102" s="254" t="s">
        <v>818</v>
      </c>
      <c r="H102" s="523">
        <v>3</v>
      </c>
      <c r="I102" s="258">
        <v>5495</v>
      </c>
    </row>
    <row r="103" spans="3:9" x14ac:dyDescent="0.25">
      <c r="C103" s="258">
        <v>101</v>
      </c>
      <c r="D103" s="258" t="s">
        <v>288</v>
      </c>
      <c r="E103" s="280" t="s">
        <v>135</v>
      </c>
      <c r="F103" s="254">
        <v>45914</v>
      </c>
      <c r="G103" s="254" t="s">
        <v>818</v>
      </c>
      <c r="H103" s="523">
        <v>3</v>
      </c>
      <c r="I103" s="258">
        <v>5495</v>
      </c>
    </row>
    <row r="104" spans="3:9" x14ac:dyDescent="0.25">
      <c r="C104" s="258">
        <v>102</v>
      </c>
      <c r="D104" s="285" t="s">
        <v>269</v>
      </c>
      <c r="E104" s="280" t="s">
        <v>34</v>
      </c>
      <c r="F104" s="254">
        <v>45915</v>
      </c>
      <c r="G104" s="333" t="s">
        <v>817</v>
      </c>
      <c r="H104" s="230">
        <v>4</v>
      </c>
      <c r="I104" s="258">
        <v>4796</v>
      </c>
    </row>
    <row r="105" spans="3:9" x14ac:dyDescent="0.25">
      <c r="C105" s="258">
        <v>103</v>
      </c>
      <c r="D105" s="284" t="s">
        <v>273</v>
      </c>
      <c r="E105" s="258" t="s">
        <v>43</v>
      </c>
      <c r="F105" s="254">
        <v>45919</v>
      </c>
      <c r="G105" s="333" t="s">
        <v>817</v>
      </c>
      <c r="H105" s="230">
        <v>4</v>
      </c>
      <c r="I105" s="258">
        <v>4796</v>
      </c>
    </row>
    <row r="106" spans="3:9" x14ac:dyDescent="0.25">
      <c r="C106" s="258">
        <v>104</v>
      </c>
      <c r="D106" s="284" t="s">
        <v>271</v>
      </c>
      <c r="E106" s="258" t="s">
        <v>34</v>
      </c>
      <c r="F106" s="254">
        <v>45920</v>
      </c>
      <c r="G106" s="333" t="s">
        <v>817</v>
      </c>
      <c r="H106" s="230">
        <v>4</v>
      </c>
      <c r="I106" s="258">
        <v>4796</v>
      </c>
    </row>
    <row r="107" spans="3:9" x14ac:dyDescent="0.25">
      <c r="C107" s="258">
        <v>105</v>
      </c>
      <c r="D107" s="284" t="s">
        <v>272</v>
      </c>
      <c r="E107" s="258" t="s">
        <v>34</v>
      </c>
      <c r="F107" s="254">
        <v>45920</v>
      </c>
      <c r="G107" s="333" t="s">
        <v>817</v>
      </c>
      <c r="H107" s="230">
        <v>4</v>
      </c>
      <c r="I107" s="258">
        <v>4796</v>
      </c>
    </row>
    <row r="108" spans="3:9" x14ac:dyDescent="0.25">
      <c r="C108" s="258">
        <v>106</v>
      </c>
      <c r="D108" s="293" t="s">
        <v>265</v>
      </c>
      <c r="E108" s="293" t="s">
        <v>34</v>
      </c>
      <c r="F108" s="258" t="s">
        <v>662</v>
      </c>
      <c r="G108" s="254" t="s">
        <v>818</v>
      </c>
      <c r="H108" s="523">
        <v>3</v>
      </c>
      <c r="I108" s="258">
        <v>4796</v>
      </c>
    </row>
    <row r="109" spans="3:9" x14ac:dyDescent="0.25">
      <c r="C109" s="258">
        <v>107</v>
      </c>
      <c r="D109" s="293" t="s">
        <v>267</v>
      </c>
      <c r="E109" s="293" t="s">
        <v>34</v>
      </c>
      <c r="F109" s="258" t="s">
        <v>662</v>
      </c>
      <c r="G109" s="254" t="s">
        <v>818</v>
      </c>
      <c r="H109" s="523">
        <v>3</v>
      </c>
      <c r="I109" s="258">
        <v>4796</v>
      </c>
    </row>
    <row r="110" spans="3:9" x14ac:dyDescent="0.25">
      <c r="C110" s="258">
        <v>108</v>
      </c>
      <c r="D110" s="293" t="s">
        <v>268</v>
      </c>
      <c r="E110" s="293" t="s">
        <v>34</v>
      </c>
      <c r="F110" s="258" t="s">
        <v>662</v>
      </c>
      <c r="G110" s="254" t="s">
        <v>818</v>
      </c>
      <c r="H110" s="523">
        <v>3</v>
      </c>
      <c r="I110" s="258">
        <v>4796</v>
      </c>
    </row>
    <row r="111" spans="3:9" x14ac:dyDescent="0.25">
      <c r="C111" s="258">
        <v>109</v>
      </c>
      <c r="D111" s="293" t="s">
        <v>274</v>
      </c>
      <c r="E111" s="293" t="s">
        <v>275</v>
      </c>
      <c r="F111" s="258" t="s">
        <v>662</v>
      </c>
      <c r="G111" s="254" t="s">
        <v>818</v>
      </c>
      <c r="H111" s="523">
        <v>3</v>
      </c>
      <c r="I111" s="258">
        <v>5328</v>
      </c>
    </row>
    <row r="112" spans="3:9" x14ac:dyDescent="0.25">
      <c r="C112" s="258">
        <v>110</v>
      </c>
      <c r="D112" s="258" t="s">
        <v>327</v>
      </c>
      <c r="E112" s="293" t="s">
        <v>824</v>
      </c>
      <c r="F112" s="258" t="s">
        <v>662</v>
      </c>
      <c r="G112" s="333" t="s">
        <v>817</v>
      </c>
      <c r="H112" s="230">
        <v>4</v>
      </c>
      <c r="I112" s="258">
        <v>5496</v>
      </c>
    </row>
    <row r="113" spans="3:9" x14ac:dyDescent="0.25">
      <c r="C113" s="258">
        <v>111</v>
      </c>
      <c r="D113" s="285" t="s">
        <v>266</v>
      </c>
      <c r="E113" s="655" t="s">
        <v>29</v>
      </c>
      <c r="F113" s="258" t="s">
        <v>662</v>
      </c>
      <c r="G113" s="333" t="s">
        <v>817</v>
      </c>
      <c r="H113" s="230">
        <v>4</v>
      </c>
      <c r="I113" s="258"/>
    </row>
    <row r="114" spans="3:9" x14ac:dyDescent="0.25">
      <c r="C114" s="258">
        <v>112</v>
      </c>
      <c r="D114" s="284" t="s">
        <v>264</v>
      </c>
      <c r="E114" s="258" t="s">
        <v>131</v>
      </c>
      <c r="F114" s="258" t="s">
        <v>662</v>
      </c>
      <c r="G114" s="333" t="s">
        <v>817</v>
      </c>
      <c r="H114" s="230">
        <v>4</v>
      </c>
      <c r="I114" s="258"/>
    </row>
    <row r="115" spans="3:9" x14ac:dyDescent="0.25">
      <c r="C115" s="258">
        <v>113</v>
      </c>
      <c r="D115" s="293" t="s">
        <v>253</v>
      </c>
      <c r="E115" s="283" t="s">
        <v>205</v>
      </c>
      <c r="F115" s="258" t="s">
        <v>662</v>
      </c>
      <c r="G115" s="333" t="s">
        <v>817</v>
      </c>
      <c r="H115" s="230">
        <v>4</v>
      </c>
      <c r="I115" s="520"/>
    </row>
    <row r="116" spans="3:9" x14ac:dyDescent="0.25">
      <c r="C116" s="258">
        <v>114</v>
      </c>
      <c r="D116" s="293" t="s">
        <v>254</v>
      </c>
      <c r="E116" s="283" t="s">
        <v>206</v>
      </c>
      <c r="F116" s="258" t="s">
        <v>662</v>
      </c>
      <c r="G116" s="333" t="s">
        <v>817</v>
      </c>
      <c r="H116" s="230">
        <v>4</v>
      </c>
      <c r="I116" s="520"/>
    </row>
    <row r="117" spans="3:9" x14ac:dyDescent="0.25">
      <c r="C117" s="258">
        <v>115</v>
      </c>
      <c r="D117" s="293" t="s">
        <v>255</v>
      </c>
      <c r="E117" s="283" t="s">
        <v>615</v>
      </c>
      <c r="F117" s="258" t="s">
        <v>662</v>
      </c>
      <c r="G117" s="333" t="s">
        <v>817</v>
      </c>
      <c r="H117" s="230">
        <v>4</v>
      </c>
      <c r="I117" s="520"/>
    </row>
    <row r="118" spans="3:9" x14ac:dyDescent="0.25">
      <c r="C118" s="258">
        <v>116</v>
      </c>
      <c r="D118" s="293" t="s">
        <v>256</v>
      </c>
      <c r="E118" s="283" t="s">
        <v>206</v>
      </c>
      <c r="F118" s="258" t="s">
        <v>662</v>
      </c>
      <c r="G118" s="333" t="s">
        <v>817</v>
      </c>
      <c r="H118" s="230">
        <v>4</v>
      </c>
      <c r="I118" s="520"/>
    </row>
    <row r="119" spans="3:9" x14ac:dyDescent="0.25">
      <c r="C119" s="258">
        <v>117</v>
      </c>
      <c r="D119" s="293" t="s">
        <v>257</v>
      </c>
      <c r="E119" s="283" t="s">
        <v>206</v>
      </c>
      <c r="F119" s="258" t="s">
        <v>662</v>
      </c>
      <c r="G119" s="333" t="s">
        <v>817</v>
      </c>
      <c r="H119" s="230">
        <v>4</v>
      </c>
      <c r="I119" s="520"/>
    </row>
    <row r="120" spans="3:9" x14ac:dyDescent="0.25">
      <c r="C120" s="258">
        <v>118</v>
      </c>
      <c r="D120" s="293" t="s">
        <v>258</v>
      </c>
      <c r="E120" s="283" t="s">
        <v>205</v>
      </c>
      <c r="F120" s="258" t="s">
        <v>662</v>
      </c>
      <c r="G120" s="333" t="s">
        <v>817</v>
      </c>
      <c r="H120" s="230">
        <v>4</v>
      </c>
      <c r="I120" s="520"/>
    </row>
    <row r="121" spans="3:9" x14ac:dyDescent="0.25">
      <c r="C121" s="258">
        <v>119</v>
      </c>
      <c r="D121" s="293" t="s">
        <v>259</v>
      </c>
      <c r="E121" s="283" t="s">
        <v>205</v>
      </c>
      <c r="F121" s="258" t="s">
        <v>662</v>
      </c>
      <c r="G121" s="333" t="s">
        <v>817</v>
      </c>
      <c r="H121" s="230">
        <v>4</v>
      </c>
      <c r="I121" s="520"/>
    </row>
    <row r="122" spans="3:9" x14ac:dyDescent="0.25">
      <c r="C122" s="258">
        <v>120</v>
      </c>
      <c r="D122" s="293" t="s">
        <v>260</v>
      </c>
      <c r="E122" s="283" t="s">
        <v>206</v>
      </c>
      <c r="F122" s="258" t="s">
        <v>662</v>
      </c>
      <c r="G122" s="333" t="s">
        <v>817</v>
      </c>
      <c r="H122" s="230">
        <v>4</v>
      </c>
      <c r="I122" s="520"/>
    </row>
    <row r="123" spans="3:9" x14ac:dyDescent="0.25">
      <c r="C123" s="258">
        <v>121</v>
      </c>
      <c r="D123" s="293" t="s">
        <v>261</v>
      </c>
      <c r="E123" s="283" t="s">
        <v>206</v>
      </c>
      <c r="F123" s="258" t="s">
        <v>662</v>
      </c>
      <c r="G123" s="333" t="s">
        <v>817</v>
      </c>
      <c r="H123" s="230">
        <v>4</v>
      </c>
      <c r="I123" s="520"/>
    </row>
    <row r="124" spans="3:9" x14ac:dyDescent="0.25">
      <c r="C124" s="258">
        <v>122</v>
      </c>
      <c r="D124" s="293" t="s">
        <v>262</v>
      </c>
      <c r="E124" s="283" t="s">
        <v>205</v>
      </c>
      <c r="F124" s="258" t="s">
        <v>662</v>
      </c>
      <c r="G124" s="333" t="s">
        <v>817</v>
      </c>
      <c r="H124" s="230">
        <v>4</v>
      </c>
      <c r="I124" s="520"/>
    </row>
    <row r="125" spans="3:9" x14ac:dyDescent="0.25">
      <c r="C125" s="258">
        <v>123</v>
      </c>
      <c r="D125" s="284" t="s">
        <v>252</v>
      </c>
      <c r="E125" s="283" t="s">
        <v>649</v>
      </c>
      <c r="F125" s="258" t="s">
        <v>662</v>
      </c>
      <c r="G125" s="333" t="s">
        <v>817</v>
      </c>
      <c r="H125" s="230">
        <v>5</v>
      </c>
      <c r="I125" s="520"/>
    </row>
  </sheetData>
  <autoFilter ref="C2:I2" xr:uid="{00000000-0009-0000-0000-000005000000}"/>
  <phoneticPr fontId="77" type="noConversion"/>
  <conditionalFormatting sqref="D1:D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1:H312"/>
  <sheetViews>
    <sheetView topLeftCell="A218" workbookViewId="0">
      <selection activeCell="J148" sqref="J148"/>
    </sheetView>
  </sheetViews>
  <sheetFormatPr defaultRowHeight="15" x14ac:dyDescent="0.25"/>
  <cols>
    <col min="4" max="4" width="16.28515625" style="526" customWidth="1"/>
    <col min="5" max="5" width="17.42578125" style="527" customWidth="1"/>
    <col min="6" max="6" width="24.5703125" customWidth="1"/>
    <col min="7" max="7" width="16" customWidth="1"/>
    <col min="8" max="8" width="17.85546875" customWidth="1"/>
  </cols>
  <sheetData>
    <row r="1" spans="4:8" ht="15.75" thickBot="1" x14ac:dyDescent="0.3"/>
    <row r="2" spans="4:8" x14ac:dyDescent="0.25">
      <c r="D2" s="524" t="s">
        <v>820</v>
      </c>
      <c r="E2" s="528" t="s">
        <v>783</v>
      </c>
      <c r="F2" s="532" t="s">
        <v>828</v>
      </c>
      <c r="G2" s="533" t="s">
        <v>815</v>
      </c>
      <c r="H2" s="533" t="s">
        <v>829</v>
      </c>
    </row>
    <row r="3" spans="4:8" x14ac:dyDescent="0.25">
      <c r="D3" s="342" t="s">
        <v>821</v>
      </c>
      <c r="E3" s="488" t="s">
        <v>822</v>
      </c>
      <c r="F3" s="520"/>
      <c r="G3" s="520"/>
      <c r="H3" s="520"/>
    </row>
    <row r="4" spans="4:8" x14ac:dyDescent="0.25">
      <c r="D4" s="342" t="s">
        <v>823</v>
      </c>
      <c r="E4" s="488" t="s">
        <v>240</v>
      </c>
      <c r="F4" s="520"/>
      <c r="G4" s="520"/>
      <c r="H4" s="520"/>
    </row>
    <row r="5" spans="4:8" x14ac:dyDescent="0.25">
      <c r="D5" s="342" t="s">
        <v>619</v>
      </c>
      <c r="E5" s="488" t="s">
        <v>618</v>
      </c>
      <c r="F5" s="520"/>
      <c r="G5" s="520"/>
      <c r="H5" s="520"/>
    </row>
    <row r="6" spans="4:8" x14ac:dyDescent="0.25">
      <c r="D6" s="342" t="s">
        <v>620</v>
      </c>
      <c r="E6" s="488" t="s">
        <v>731</v>
      </c>
      <c r="F6" s="520"/>
      <c r="G6" s="520"/>
      <c r="H6" s="520"/>
    </row>
    <row r="7" spans="4:8" x14ac:dyDescent="0.25">
      <c r="D7" s="342" t="s">
        <v>621</v>
      </c>
      <c r="E7" s="488" t="s">
        <v>721</v>
      </c>
      <c r="F7" s="520"/>
      <c r="G7" s="520"/>
      <c r="H7" s="520"/>
    </row>
    <row r="8" spans="4:8" x14ac:dyDescent="0.25">
      <c r="D8" s="342" t="s">
        <v>622</v>
      </c>
      <c r="E8" s="488" t="s">
        <v>205</v>
      </c>
      <c r="F8" s="520"/>
      <c r="G8" s="520"/>
      <c r="H8" s="520"/>
    </row>
    <row r="9" spans="4:8" x14ac:dyDescent="0.25">
      <c r="D9" s="342" t="s">
        <v>623</v>
      </c>
      <c r="E9" s="488" t="s">
        <v>206</v>
      </c>
      <c r="F9" s="520"/>
      <c r="G9" s="520"/>
      <c r="H9" s="520"/>
    </row>
    <row r="10" spans="4:8" x14ac:dyDescent="0.25">
      <c r="D10" s="342" t="s">
        <v>624</v>
      </c>
      <c r="E10" s="488" t="s">
        <v>753</v>
      </c>
      <c r="F10" s="520"/>
      <c r="G10" s="520"/>
      <c r="H10" s="520"/>
    </row>
    <row r="11" spans="4:8" x14ac:dyDescent="0.25">
      <c r="D11" s="342" t="s">
        <v>187</v>
      </c>
      <c r="E11" s="488" t="s">
        <v>752</v>
      </c>
      <c r="F11" s="520"/>
      <c r="G11" s="520"/>
      <c r="H11" s="520"/>
    </row>
    <row r="12" spans="4:8" x14ac:dyDescent="0.25">
      <c r="D12" s="342" t="s">
        <v>188</v>
      </c>
      <c r="E12" s="488" t="s">
        <v>206</v>
      </c>
      <c r="F12" s="520"/>
      <c r="G12" s="520"/>
      <c r="H12" s="520"/>
    </row>
    <row r="13" spans="4:8" x14ac:dyDescent="0.25">
      <c r="D13" s="342" t="s">
        <v>189</v>
      </c>
      <c r="E13" s="488" t="s">
        <v>206</v>
      </c>
      <c r="F13" s="520"/>
      <c r="G13" s="520"/>
      <c r="H13" s="520"/>
    </row>
    <row r="14" spans="4:8" x14ac:dyDescent="0.25">
      <c r="D14" s="342" t="s">
        <v>190</v>
      </c>
      <c r="E14" s="488" t="s">
        <v>206</v>
      </c>
      <c r="F14" s="520"/>
      <c r="G14" s="520"/>
      <c r="H14" s="520"/>
    </row>
    <row r="15" spans="4:8" x14ac:dyDescent="0.25">
      <c r="D15" s="342" t="s">
        <v>625</v>
      </c>
      <c r="E15" s="488" t="s">
        <v>206</v>
      </c>
      <c r="F15" s="520"/>
      <c r="G15" s="520"/>
      <c r="H15" s="520"/>
    </row>
    <row r="16" spans="4:8" x14ac:dyDescent="0.25">
      <c r="D16" s="342" t="s">
        <v>617</v>
      </c>
      <c r="E16" s="488" t="s">
        <v>206</v>
      </c>
      <c r="F16" s="520"/>
      <c r="G16" s="520"/>
      <c r="H16" s="520"/>
    </row>
    <row r="17" spans="4:8" x14ac:dyDescent="0.25">
      <c r="D17" s="342" t="s">
        <v>191</v>
      </c>
      <c r="E17" s="488" t="s">
        <v>731</v>
      </c>
      <c r="F17" s="520"/>
      <c r="G17" s="520"/>
      <c r="H17" s="520"/>
    </row>
    <row r="18" spans="4:8" x14ac:dyDescent="0.25">
      <c r="D18" s="342" t="s">
        <v>196</v>
      </c>
      <c r="E18" s="488" t="s">
        <v>615</v>
      </c>
      <c r="F18" s="520"/>
      <c r="G18" s="520"/>
      <c r="H18" s="520"/>
    </row>
    <row r="19" spans="4:8" x14ac:dyDescent="0.25">
      <c r="D19" s="342" t="s">
        <v>197</v>
      </c>
      <c r="E19" s="488" t="s">
        <v>615</v>
      </c>
      <c r="F19" s="520"/>
      <c r="G19" s="520"/>
      <c r="H19" s="520"/>
    </row>
    <row r="20" spans="4:8" x14ac:dyDescent="0.25">
      <c r="D20" s="342" t="s">
        <v>198</v>
      </c>
      <c r="E20" s="488" t="s">
        <v>206</v>
      </c>
      <c r="F20" s="520"/>
      <c r="G20" s="520"/>
      <c r="H20" s="520"/>
    </row>
    <row r="21" spans="4:8" x14ac:dyDescent="0.25">
      <c r="D21" s="342" t="s">
        <v>199</v>
      </c>
      <c r="E21" s="488" t="s">
        <v>725</v>
      </c>
      <c r="F21" s="520"/>
      <c r="G21" s="520"/>
      <c r="H21" s="520"/>
    </row>
    <row r="22" spans="4:8" x14ac:dyDescent="0.25">
      <c r="D22" s="342" t="s">
        <v>200</v>
      </c>
      <c r="E22" s="488" t="s">
        <v>205</v>
      </c>
      <c r="F22" s="520"/>
      <c r="G22" s="520"/>
      <c r="H22" s="520"/>
    </row>
    <row r="23" spans="4:8" x14ac:dyDescent="0.25">
      <c r="D23" s="342" t="s">
        <v>201</v>
      </c>
      <c r="E23" s="488" t="s">
        <v>205</v>
      </c>
      <c r="F23" s="520"/>
      <c r="G23" s="520"/>
      <c r="H23" s="520"/>
    </row>
    <row r="24" spans="4:8" x14ac:dyDescent="0.25">
      <c r="D24" s="342" t="s">
        <v>202</v>
      </c>
      <c r="E24" s="488" t="s">
        <v>721</v>
      </c>
      <c r="F24" s="520"/>
      <c r="G24" s="520"/>
      <c r="H24" s="520"/>
    </row>
    <row r="25" spans="4:8" x14ac:dyDescent="0.25">
      <c r="D25" s="342" t="s">
        <v>203</v>
      </c>
      <c r="E25" s="488" t="s">
        <v>206</v>
      </c>
      <c r="F25" s="520"/>
      <c r="G25" s="520"/>
      <c r="H25" s="520"/>
    </row>
    <row r="26" spans="4:8" x14ac:dyDescent="0.25">
      <c r="D26" s="342" t="s">
        <v>204</v>
      </c>
      <c r="E26" s="488" t="s">
        <v>205</v>
      </c>
      <c r="F26" s="520"/>
      <c r="G26" s="520"/>
      <c r="H26" s="520"/>
    </row>
    <row r="27" spans="4:8" x14ac:dyDescent="0.25">
      <c r="D27" s="342" t="s">
        <v>207</v>
      </c>
      <c r="E27" s="488" t="s">
        <v>206</v>
      </c>
      <c r="F27" s="520"/>
      <c r="G27" s="520"/>
      <c r="H27" s="520"/>
    </row>
    <row r="28" spans="4:8" x14ac:dyDescent="0.25">
      <c r="D28" s="342" t="s">
        <v>208</v>
      </c>
      <c r="E28" s="488" t="s">
        <v>205</v>
      </c>
      <c r="F28" s="520"/>
      <c r="G28" s="520"/>
      <c r="H28" s="520"/>
    </row>
    <row r="29" spans="4:8" x14ac:dyDescent="0.25">
      <c r="D29" s="342" t="s">
        <v>209</v>
      </c>
      <c r="E29" s="488" t="s">
        <v>205</v>
      </c>
      <c r="F29" s="520"/>
      <c r="G29" s="520"/>
      <c r="H29" s="520"/>
    </row>
    <row r="30" spans="4:8" x14ac:dyDescent="0.25">
      <c r="D30" s="342" t="s">
        <v>210</v>
      </c>
      <c r="E30" s="488" t="s">
        <v>206</v>
      </c>
      <c r="F30" s="520"/>
      <c r="G30" s="520"/>
      <c r="H30" s="520"/>
    </row>
    <row r="31" spans="4:8" x14ac:dyDescent="0.25">
      <c r="D31" s="342" t="s">
        <v>211</v>
      </c>
      <c r="E31" s="488" t="s">
        <v>205</v>
      </c>
      <c r="F31" s="520"/>
      <c r="G31" s="520"/>
      <c r="H31" s="520"/>
    </row>
    <row r="32" spans="4:8" x14ac:dyDescent="0.25">
      <c r="D32" s="342" t="s">
        <v>212</v>
      </c>
      <c r="E32" s="488" t="s">
        <v>721</v>
      </c>
      <c r="F32" s="520"/>
      <c r="G32" s="520"/>
      <c r="H32" s="520"/>
    </row>
    <row r="33" spans="4:8" x14ac:dyDescent="0.25">
      <c r="D33" s="342" t="s">
        <v>213</v>
      </c>
      <c r="E33" s="488" t="s">
        <v>649</v>
      </c>
      <c r="F33" s="520"/>
      <c r="G33" s="520"/>
      <c r="H33" s="520"/>
    </row>
    <row r="34" spans="4:8" x14ac:dyDescent="0.25">
      <c r="D34" s="342" t="s">
        <v>214</v>
      </c>
      <c r="E34" s="488" t="s">
        <v>206</v>
      </c>
      <c r="F34" s="520"/>
      <c r="G34" s="520"/>
      <c r="H34" s="520"/>
    </row>
    <row r="35" spans="4:8" x14ac:dyDescent="0.25">
      <c r="D35" s="342" t="s">
        <v>215</v>
      </c>
      <c r="E35" s="488" t="s">
        <v>205</v>
      </c>
      <c r="F35" s="520"/>
      <c r="G35" s="520"/>
      <c r="H35" s="520"/>
    </row>
    <row r="36" spans="4:8" x14ac:dyDescent="0.25">
      <c r="D36" s="342" t="s">
        <v>216</v>
      </c>
      <c r="E36" s="488" t="s">
        <v>206</v>
      </c>
      <c r="F36" s="520"/>
      <c r="G36" s="520"/>
      <c r="H36" s="520"/>
    </row>
    <row r="37" spans="4:8" x14ac:dyDescent="0.25">
      <c r="D37" s="342" t="s">
        <v>217</v>
      </c>
      <c r="E37" s="488" t="s">
        <v>206</v>
      </c>
      <c r="F37" s="520"/>
      <c r="G37" s="520"/>
      <c r="H37" s="520"/>
    </row>
    <row r="38" spans="4:8" x14ac:dyDescent="0.25">
      <c r="D38" s="342" t="s">
        <v>218</v>
      </c>
      <c r="E38" s="488" t="s">
        <v>205</v>
      </c>
      <c r="F38" s="520"/>
      <c r="G38" s="520"/>
      <c r="H38" s="520"/>
    </row>
    <row r="39" spans="4:8" x14ac:dyDescent="0.25">
      <c r="D39" s="342" t="s">
        <v>219</v>
      </c>
      <c r="E39" s="488" t="s">
        <v>206</v>
      </c>
      <c r="F39" s="520"/>
      <c r="G39" s="520"/>
      <c r="H39" s="520"/>
    </row>
    <row r="40" spans="4:8" x14ac:dyDescent="0.25">
      <c r="D40" s="342" t="s">
        <v>220</v>
      </c>
      <c r="E40" s="488" t="s">
        <v>721</v>
      </c>
      <c r="F40" s="520"/>
      <c r="G40" s="520"/>
      <c r="H40" s="520"/>
    </row>
    <row r="41" spans="4:8" x14ac:dyDescent="0.25">
      <c r="D41" s="342" t="s">
        <v>221</v>
      </c>
      <c r="E41" s="488" t="s">
        <v>615</v>
      </c>
      <c r="F41" s="520"/>
      <c r="G41" s="520"/>
      <c r="H41" s="520"/>
    </row>
    <row r="42" spans="4:8" x14ac:dyDescent="0.25">
      <c r="D42" s="342" t="s">
        <v>222</v>
      </c>
      <c r="E42" s="488" t="s">
        <v>205</v>
      </c>
      <c r="F42" s="520"/>
      <c r="G42" s="520"/>
      <c r="H42" s="520"/>
    </row>
    <row r="43" spans="4:8" x14ac:dyDescent="0.25">
      <c r="D43" s="342" t="s">
        <v>223</v>
      </c>
      <c r="E43" s="488" t="s">
        <v>721</v>
      </c>
      <c r="F43" s="520"/>
      <c r="G43" s="520"/>
      <c r="H43" s="520"/>
    </row>
    <row r="44" spans="4:8" x14ac:dyDescent="0.25">
      <c r="D44" s="342" t="s">
        <v>224</v>
      </c>
      <c r="E44" s="488" t="s">
        <v>206</v>
      </c>
      <c r="F44" s="520"/>
      <c r="G44" s="520"/>
      <c r="H44" s="520"/>
    </row>
    <row r="45" spans="4:8" x14ac:dyDescent="0.25">
      <c r="D45" s="342" t="s">
        <v>225</v>
      </c>
      <c r="E45" s="488" t="s">
        <v>762</v>
      </c>
      <c r="F45" s="520"/>
      <c r="G45" s="520"/>
      <c r="H45" s="520"/>
    </row>
    <row r="46" spans="4:8" x14ac:dyDescent="0.25">
      <c r="D46" s="342" t="s">
        <v>226</v>
      </c>
      <c r="E46" s="488" t="s">
        <v>762</v>
      </c>
      <c r="F46" s="520"/>
      <c r="G46" s="520"/>
      <c r="H46" s="520"/>
    </row>
    <row r="47" spans="4:8" x14ac:dyDescent="0.25">
      <c r="D47" s="342" t="s">
        <v>227</v>
      </c>
      <c r="E47" s="488" t="s">
        <v>205</v>
      </c>
      <c r="F47" s="520"/>
      <c r="G47" s="520"/>
      <c r="H47" s="520"/>
    </row>
    <row r="48" spans="4:8" x14ac:dyDescent="0.25">
      <c r="D48" s="342" t="s">
        <v>228</v>
      </c>
      <c r="E48" s="488" t="s">
        <v>206</v>
      </c>
      <c r="F48" s="520"/>
      <c r="G48" s="520"/>
      <c r="H48" s="520"/>
    </row>
    <row r="49" spans="4:8" x14ac:dyDescent="0.25">
      <c r="D49" s="342" t="s">
        <v>229</v>
      </c>
      <c r="E49" s="488" t="s">
        <v>206</v>
      </c>
      <c r="F49" s="520"/>
      <c r="G49" s="520"/>
      <c r="H49" s="520"/>
    </row>
    <row r="50" spans="4:8" x14ac:dyDescent="0.25">
      <c r="D50" s="342" t="s">
        <v>230</v>
      </c>
      <c r="E50" s="488" t="s">
        <v>206</v>
      </c>
      <c r="F50" s="520"/>
      <c r="G50" s="520"/>
      <c r="H50" s="520"/>
    </row>
    <row r="51" spans="4:8" x14ac:dyDescent="0.25">
      <c r="D51" s="342" t="s">
        <v>231</v>
      </c>
      <c r="E51" s="488" t="s">
        <v>206</v>
      </c>
      <c r="F51" s="520"/>
      <c r="G51" s="520"/>
      <c r="H51" s="520"/>
    </row>
    <row r="52" spans="4:8" x14ac:dyDescent="0.25">
      <c r="D52" s="342" t="s">
        <v>232</v>
      </c>
      <c r="E52" s="488" t="s">
        <v>206</v>
      </c>
      <c r="F52" s="520"/>
      <c r="G52" s="520"/>
      <c r="H52" s="520"/>
    </row>
    <row r="53" spans="4:8" x14ac:dyDescent="0.25">
      <c r="D53" s="342" t="s">
        <v>233</v>
      </c>
      <c r="E53" s="488" t="s">
        <v>205</v>
      </c>
      <c r="F53" s="520"/>
      <c r="G53" s="520"/>
      <c r="H53" s="520"/>
    </row>
    <row r="54" spans="4:8" x14ac:dyDescent="0.25">
      <c r="D54" s="342" t="s">
        <v>234</v>
      </c>
      <c r="E54" s="488" t="s">
        <v>618</v>
      </c>
      <c r="F54" s="520"/>
      <c r="G54" s="520"/>
      <c r="H54" s="520"/>
    </row>
    <row r="55" spans="4:8" x14ac:dyDescent="0.25">
      <c r="D55" s="342" t="s">
        <v>235</v>
      </c>
      <c r="E55" s="488" t="s">
        <v>240</v>
      </c>
      <c r="F55" s="520"/>
      <c r="G55" s="520"/>
      <c r="H55" s="520"/>
    </row>
    <row r="56" spans="4:8" x14ac:dyDescent="0.25">
      <c r="D56" s="342" t="s">
        <v>236</v>
      </c>
      <c r="E56" s="488" t="s">
        <v>751</v>
      </c>
      <c r="F56" s="520"/>
      <c r="G56" s="520"/>
      <c r="H56" s="520"/>
    </row>
    <row r="57" spans="4:8" x14ac:dyDescent="0.25">
      <c r="D57" s="342" t="s">
        <v>237</v>
      </c>
      <c r="E57" s="488" t="s">
        <v>751</v>
      </c>
      <c r="F57" s="520"/>
      <c r="G57" s="520"/>
      <c r="H57" s="520"/>
    </row>
    <row r="58" spans="4:8" x14ac:dyDescent="0.25">
      <c r="D58" s="342" t="s">
        <v>238</v>
      </c>
      <c r="E58" s="488" t="s">
        <v>753</v>
      </c>
      <c r="F58" s="520"/>
      <c r="G58" s="520"/>
      <c r="H58" s="520"/>
    </row>
    <row r="59" spans="4:8" x14ac:dyDescent="0.25">
      <c r="D59" s="342" t="s">
        <v>239</v>
      </c>
      <c r="E59" s="488" t="s">
        <v>751</v>
      </c>
      <c r="F59" s="520"/>
      <c r="G59" s="520"/>
      <c r="H59" s="520"/>
    </row>
    <row r="60" spans="4:8" x14ac:dyDescent="0.25">
      <c r="D60" s="342" t="s">
        <v>241</v>
      </c>
      <c r="E60" s="488" t="s">
        <v>206</v>
      </c>
      <c r="F60" s="520"/>
      <c r="G60" s="520"/>
      <c r="H60" s="520"/>
    </row>
    <row r="61" spans="4:8" x14ac:dyDescent="0.25">
      <c r="D61" s="342" t="s">
        <v>242</v>
      </c>
      <c r="E61" s="488" t="s">
        <v>206</v>
      </c>
      <c r="F61" s="520"/>
      <c r="G61" s="520"/>
      <c r="H61" s="520"/>
    </row>
    <row r="62" spans="4:8" x14ac:dyDescent="0.25">
      <c r="D62" s="342" t="s">
        <v>243</v>
      </c>
      <c r="E62" s="488" t="s">
        <v>205</v>
      </c>
      <c r="F62" s="520"/>
      <c r="G62" s="520"/>
      <c r="H62" s="520"/>
    </row>
    <row r="63" spans="4:8" x14ac:dyDescent="0.25">
      <c r="D63" s="342" t="s">
        <v>244</v>
      </c>
      <c r="E63" s="488" t="s">
        <v>206</v>
      </c>
      <c r="F63" s="520"/>
      <c r="G63" s="520"/>
      <c r="H63" s="520"/>
    </row>
    <row r="64" spans="4:8" x14ac:dyDescent="0.25">
      <c r="D64" s="342" t="s">
        <v>245</v>
      </c>
      <c r="E64" s="488" t="s">
        <v>205</v>
      </c>
      <c r="F64" s="520"/>
      <c r="G64" s="520"/>
      <c r="H64" s="520"/>
    </row>
    <row r="65" spans="4:8" x14ac:dyDescent="0.25">
      <c r="D65" s="342" t="s">
        <v>246</v>
      </c>
      <c r="E65" s="488" t="s">
        <v>206</v>
      </c>
      <c r="F65" s="520"/>
      <c r="G65" s="520"/>
      <c r="H65" s="520"/>
    </row>
    <row r="66" spans="4:8" x14ac:dyDescent="0.25">
      <c r="D66" s="342" t="s">
        <v>247</v>
      </c>
      <c r="E66" s="488" t="s">
        <v>206</v>
      </c>
      <c r="F66" s="520"/>
      <c r="G66" s="520"/>
      <c r="H66" s="520"/>
    </row>
    <row r="67" spans="4:8" x14ac:dyDescent="0.25">
      <c r="D67" s="342" t="s">
        <v>248</v>
      </c>
      <c r="E67" s="488" t="s">
        <v>206</v>
      </c>
      <c r="F67" s="520"/>
      <c r="G67" s="520"/>
      <c r="H67" s="520"/>
    </row>
    <row r="68" spans="4:8" x14ac:dyDescent="0.25">
      <c r="D68" s="342" t="s">
        <v>249</v>
      </c>
      <c r="E68" s="488" t="s">
        <v>205</v>
      </c>
      <c r="F68" s="520"/>
      <c r="G68" s="520"/>
      <c r="H68" s="520"/>
    </row>
    <row r="69" spans="4:8" x14ac:dyDescent="0.25">
      <c r="D69" s="342" t="s">
        <v>250</v>
      </c>
      <c r="E69" s="488" t="s">
        <v>205</v>
      </c>
      <c r="F69" s="520"/>
      <c r="G69" s="520"/>
      <c r="H69" s="520"/>
    </row>
    <row r="70" spans="4:8" x14ac:dyDescent="0.25">
      <c r="D70" s="342" t="s">
        <v>251</v>
      </c>
      <c r="E70" s="488" t="s">
        <v>205</v>
      </c>
      <c r="F70" s="520"/>
      <c r="G70" s="520"/>
      <c r="H70" s="520"/>
    </row>
    <row r="71" spans="4:8" x14ac:dyDescent="0.25">
      <c r="D71" s="342" t="s">
        <v>252</v>
      </c>
      <c r="E71" s="488" t="s">
        <v>649</v>
      </c>
      <c r="F71" s="258" t="s">
        <v>172</v>
      </c>
      <c r="G71" s="258" t="s">
        <v>945</v>
      </c>
      <c r="H71" s="520">
        <v>9</v>
      </c>
    </row>
    <row r="72" spans="4:8" x14ac:dyDescent="0.25">
      <c r="D72" s="342" t="s">
        <v>253</v>
      </c>
      <c r="E72" s="488" t="s">
        <v>205</v>
      </c>
      <c r="F72" s="258" t="s">
        <v>172</v>
      </c>
      <c r="G72" s="258" t="s">
        <v>945</v>
      </c>
      <c r="H72" s="520">
        <v>9</v>
      </c>
    </row>
    <row r="73" spans="4:8" x14ac:dyDescent="0.25">
      <c r="D73" s="342" t="s">
        <v>254</v>
      </c>
      <c r="E73" s="488" t="s">
        <v>206</v>
      </c>
      <c r="F73" s="258" t="s">
        <v>172</v>
      </c>
      <c r="G73" s="258" t="s">
        <v>945</v>
      </c>
      <c r="H73" s="520">
        <v>9</v>
      </c>
    </row>
    <row r="74" spans="4:8" x14ac:dyDescent="0.25">
      <c r="D74" s="342" t="s">
        <v>255</v>
      </c>
      <c r="E74" s="488" t="s">
        <v>615</v>
      </c>
      <c r="F74" s="258" t="s">
        <v>172</v>
      </c>
      <c r="G74" s="258" t="s">
        <v>945</v>
      </c>
      <c r="H74" s="520">
        <v>9</v>
      </c>
    </row>
    <row r="75" spans="4:8" x14ac:dyDescent="0.25">
      <c r="D75" s="342" t="s">
        <v>256</v>
      </c>
      <c r="E75" s="488" t="s">
        <v>206</v>
      </c>
      <c r="F75" s="258" t="s">
        <v>172</v>
      </c>
      <c r="G75" s="258" t="s">
        <v>945</v>
      </c>
      <c r="H75" s="520">
        <v>9</v>
      </c>
    </row>
    <row r="76" spans="4:8" x14ac:dyDescent="0.25">
      <c r="D76" s="342" t="s">
        <v>257</v>
      </c>
      <c r="E76" s="488" t="s">
        <v>206</v>
      </c>
      <c r="F76" s="258" t="s">
        <v>172</v>
      </c>
      <c r="G76" s="258" t="s">
        <v>945</v>
      </c>
      <c r="H76" s="520">
        <v>9</v>
      </c>
    </row>
    <row r="77" spans="4:8" x14ac:dyDescent="0.25">
      <c r="D77" s="342" t="s">
        <v>258</v>
      </c>
      <c r="E77" s="488" t="s">
        <v>205</v>
      </c>
      <c r="F77" s="258" t="s">
        <v>172</v>
      </c>
      <c r="G77" s="258" t="s">
        <v>945</v>
      </c>
      <c r="H77" s="520">
        <v>9</v>
      </c>
    </row>
    <row r="78" spans="4:8" x14ac:dyDescent="0.25">
      <c r="D78" s="342" t="s">
        <v>259</v>
      </c>
      <c r="E78" s="488" t="s">
        <v>205</v>
      </c>
      <c r="F78" s="258" t="s">
        <v>172</v>
      </c>
      <c r="G78" s="258" t="s">
        <v>945</v>
      </c>
      <c r="H78" s="520">
        <v>9</v>
      </c>
    </row>
    <row r="79" spans="4:8" x14ac:dyDescent="0.25">
      <c r="D79" s="342" t="s">
        <v>260</v>
      </c>
      <c r="E79" s="488" t="s">
        <v>206</v>
      </c>
      <c r="F79" s="258" t="s">
        <v>172</v>
      </c>
      <c r="G79" s="258" t="s">
        <v>945</v>
      </c>
      <c r="H79" s="520">
        <v>9</v>
      </c>
    </row>
    <row r="80" spans="4:8" x14ac:dyDescent="0.25">
      <c r="D80" s="342" t="s">
        <v>261</v>
      </c>
      <c r="E80" s="488" t="s">
        <v>206</v>
      </c>
      <c r="F80" s="258" t="s">
        <v>172</v>
      </c>
      <c r="G80" s="258" t="s">
        <v>945</v>
      </c>
      <c r="H80" s="520">
        <v>9</v>
      </c>
    </row>
    <row r="81" spans="4:8" x14ac:dyDescent="0.25">
      <c r="D81" s="342" t="s">
        <v>262</v>
      </c>
      <c r="E81" s="488" t="s">
        <v>205</v>
      </c>
      <c r="F81" s="258" t="s">
        <v>172</v>
      </c>
      <c r="G81" s="258" t="s">
        <v>945</v>
      </c>
      <c r="H81" s="520">
        <v>9</v>
      </c>
    </row>
    <row r="82" spans="4:8" x14ac:dyDescent="0.25">
      <c r="D82" s="342" t="s">
        <v>264</v>
      </c>
      <c r="E82" s="488" t="s">
        <v>131</v>
      </c>
      <c r="F82" s="258" t="s">
        <v>172</v>
      </c>
      <c r="G82" s="258" t="s">
        <v>845</v>
      </c>
      <c r="H82" s="520"/>
    </row>
    <row r="83" spans="4:8" x14ac:dyDescent="0.25">
      <c r="D83" s="342" t="s">
        <v>265</v>
      </c>
      <c r="E83" s="488" t="s">
        <v>34</v>
      </c>
      <c r="F83" s="258" t="s">
        <v>172</v>
      </c>
      <c r="G83" s="258" t="s">
        <v>845</v>
      </c>
      <c r="H83" s="258">
        <f>9+4</f>
        <v>13</v>
      </c>
    </row>
    <row r="84" spans="4:8" x14ac:dyDescent="0.25">
      <c r="D84" s="342" t="s">
        <v>266</v>
      </c>
      <c r="E84" s="488" t="s">
        <v>29</v>
      </c>
      <c r="F84" s="258" t="s">
        <v>172</v>
      </c>
      <c r="G84" s="258" t="s">
        <v>845</v>
      </c>
      <c r="H84" s="258">
        <f>9+4</f>
        <v>13</v>
      </c>
    </row>
    <row r="85" spans="4:8" x14ac:dyDescent="0.25">
      <c r="D85" s="342" t="s">
        <v>267</v>
      </c>
      <c r="E85" s="488" t="s">
        <v>34</v>
      </c>
      <c r="F85" s="258" t="s">
        <v>172</v>
      </c>
      <c r="G85" s="258" t="s">
        <v>845</v>
      </c>
      <c r="H85" s="258">
        <f>9+4</f>
        <v>13</v>
      </c>
    </row>
    <row r="86" spans="4:8" x14ac:dyDescent="0.25">
      <c r="D86" s="342" t="s">
        <v>268</v>
      </c>
      <c r="E86" s="488" t="s">
        <v>34</v>
      </c>
      <c r="F86" s="258" t="s">
        <v>172</v>
      </c>
      <c r="G86" s="258" t="s">
        <v>845</v>
      </c>
      <c r="H86" s="258">
        <f>9+4</f>
        <v>13</v>
      </c>
    </row>
    <row r="87" spans="4:8" x14ac:dyDescent="0.25">
      <c r="D87" s="342" t="s">
        <v>269</v>
      </c>
      <c r="E87" s="488" t="s">
        <v>34</v>
      </c>
      <c r="F87" s="258" t="s">
        <v>172</v>
      </c>
      <c r="G87" s="258" t="s">
        <v>845</v>
      </c>
      <c r="H87" s="258">
        <f t="shared" ref="H87:H92" si="0">9+4</f>
        <v>13</v>
      </c>
    </row>
    <row r="88" spans="4:8" x14ac:dyDescent="0.25">
      <c r="D88" s="342" t="s">
        <v>270</v>
      </c>
      <c r="E88" s="488" t="s">
        <v>43</v>
      </c>
      <c r="F88" s="258" t="s">
        <v>172</v>
      </c>
      <c r="G88" s="258" t="s">
        <v>845</v>
      </c>
      <c r="H88" s="258">
        <f t="shared" si="0"/>
        <v>13</v>
      </c>
    </row>
    <row r="89" spans="4:8" x14ac:dyDescent="0.25">
      <c r="D89" s="342" t="s">
        <v>271</v>
      </c>
      <c r="E89" s="488" t="s">
        <v>34</v>
      </c>
      <c r="F89" s="258" t="s">
        <v>172</v>
      </c>
      <c r="G89" s="258" t="s">
        <v>845</v>
      </c>
      <c r="H89" s="258">
        <f t="shared" si="0"/>
        <v>13</v>
      </c>
    </row>
    <row r="90" spans="4:8" x14ac:dyDescent="0.25">
      <c r="D90" s="342" t="s">
        <v>272</v>
      </c>
      <c r="E90" s="488" t="s">
        <v>34</v>
      </c>
      <c r="F90" s="258" t="s">
        <v>172</v>
      </c>
      <c r="G90" s="258" t="s">
        <v>845</v>
      </c>
      <c r="H90" s="258">
        <f t="shared" si="0"/>
        <v>13</v>
      </c>
    </row>
    <row r="91" spans="4:8" x14ac:dyDescent="0.25">
      <c r="D91" s="342" t="s">
        <v>273</v>
      </c>
      <c r="E91" s="488" t="s">
        <v>43</v>
      </c>
      <c r="F91" s="258" t="s">
        <v>172</v>
      </c>
      <c r="G91" s="258" t="s">
        <v>845</v>
      </c>
      <c r="H91" s="258">
        <f t="shared" si="0"/>
        <v>13</v>
      </c>
    </row>
    <row r="92" spans="4:8" x14ac:dyDescent="0.25">
      <c r="D92" s="342" t="s">
        <v>274</v>
      </c>
      <c r="E92" s="488" t="s">
        <v>275</v>
      </c>
      <c r="F92" s="258" t="s">
        <v>172</v>
      </c>
      <c r="G92" s="258" t="s">
        <v>845</v>
      </c>
      <c r="H92" s="258">
        <f t="shared" si="0"/>
        <v>13</v>
      </c>
    </row>
    <row r="93" spans="4:8" x14ac:dyDescent="0.25">
      <c r="D93" s="342" t="s">
        <v>276</v>
      </c>
      <c r="E93" s="488" t="s">
        <v>29</v>
      </c>
      <c r="F93" s="520"/>
      <c r="G93" s="520"/>
      <c r="H93" s="520"/>
    </row>
    <row r="94" spans="4:8" x14ac:dyDescent="0.25">
      <c r="D94" s="342" t="s">
        <v>277</v>
      </c>
      <c r="E94" s="488" t="s">
        <v>29</v>
      </c>
      <c r="F94" s="520"/>
      <c r="G94" s="520"/>
      <c r="H94" s="520"/>
    </row>
    <row r="95" spans="4:8" x14ac:dyDescent="0.25">
      <c r="D95" s="342" t="s">
        <v>278</v>
      </c>
      <c r="E95" s="488" t="s">
        <v>285</v>
      </c>
      <c r="F95" s="520"/>
      <c r="G95" s="520"/>
      <c r="H95" s="520"/>
    </row>
    <row r="96" spans="4:8" x14ac:dyDescent="0.25">
      <c r="D96" s="342" t="s">
        <v>279</v>
      </c>
      <c r="E96" s="488" t="s">
        <v>29</v>
      </c>
      <c r="F96" s="520"/>
      <c r="G96" s="520"/>
      <c r="H96" s="520"/>
    </row>
    <row r="97" spans="4:8" x14ac:dyDescent="0.25">
      <c r="D97" s="342" t="s">
        <v>169</v>
      </c>
      <c r="E97" s="488" t="s">
        <v>29</v>
      </c>
      <c r="F97" s="520"/>
      <c r="G97" s="520"/>
      <c r="H97" s="520"/>
    </row>
    <row r="98" spans="4:8" x14ac:dyDescent="0.25">
      <c r="D98" s="342" t="s">
        <v>280</v>
      </c>
      <c r="E98" s="488" t="s">
        <v>29</v>
      </c>
      <c r="F98" s="520"/>
      <c r="G98" s="520"/>
      <c r="H98" s="520"/>
    </row>
    <row r="99" spans="4:8" x14ac:dyDescent="0.25">
      <c r="D99" s="342" t="s">
        <v>281</v>
      </c>
      <c r="E99" s="488" t="s">
        <v>29</v>
      </c>
      <c r="F99" s="520"/>
      <c r="G99" s="520"/>
      <c r="H99" s="520"/>
    </row>
    <row r="100" spans="4:8" x14ac:dyDescent="0.25">
      <c r="D100" s="342" t="s">
        <v>282</v>
      </c>
      <c r="E100" s="488" t="s">
        <v>29</v>
      </c>
      <c r="F100" s="520"/>
      <c r="G100" s="520"/>
      <c r="H100" s="520"/>
    </row>
    <row r="101" spans="4:8" x14ac:dyDescent="0.25">
      <c r="D101" s="342" t="s">
        <v>283</v>
      </c>
      <c r="E101" s="488" t="s">
        <v>29</v>
      </c>
      <c r="F101" s="520"/>
      <c r="G101" s="520"/>
      <c r="H101" s="520"/>
    </row>
    <row r="102" spans="4:8" x14ac:dyDescent="0.25">
      <c r="D102" s="342" t="s">
        <v>284</v>
      </c>
      <c r="E102" s="488" t="s">
        <v>29</v>
      </c>
      <c r="F102" s="520"/>
      <c r="G102" s="520"/>
      <c r="H102" s="520"/>
    </row>
    <row r="103" spans="4:8" x14ac:dyDescent="0.25">
      <c r="D103" s="342" t="s">
        <v>182</v>
      </c>
      <c r="E103" s="488" t="s">
        <v>34</v>
      </c>
      <c r="F103" s="520"/>
      <c r="G103" s="520"/>
      <c r="H103" s="520"/>
    </row>
    <row r="104" spans="4:8" x14ac:dyDescent="0.25">
      <c r="D104" s="342" t="s">
        <v>178</v>
      </c>
      <c r="E104" s="488" t="s">
        <v>131</v>
      </c>
      <c r="F104" s="258" t="s">
        <v>172</v>
      </c>
      <c r="G104" s="258" t="s">
        <v>845</v>
      </c>
      <c r="H104" s="258">
        <f t="shared" ref="H104:H116" si="1">9+4</f>
        <v>13</v>
      </c>
    </row>
    <row r="105" spans="4:8" ht="15" customHeight="1" x14ac:dyDescent="0.25">
      <c r="D105" s="342" t="s">
        <v>286</v>
      </c>
      <c r="E105" s="488" t="s">
        <v>34</v>
      </c>
      <c r="F105" s="258" t="s">
        <v>172</v>
      </c>
      <c r="G105" s="258" t="s">
        <v>845</v>
      </c>
      <c r="H105" s="258">
        <f t="shared" si="1"/>
        <v>13</v>
      </c>
    </row>
    <row r="106" spans="4:8" x14ac:dyDescent="0.25">
      <c r="D106" s="342" t="s">
        <v>55</v>
      </c>
      <c r="E106" s="488" t="s">
        <v>34</v>
      </c>
      <c r="F106" s="258" t="s">
        <v>172</v>
      </c>
      <c r="G106" s="258" t="s">
        <v>845</v>
      </c>
      <c r="H106" s="258">
        <f t="shared" si="1"/>
        <v>13</v>
      </c>
    </row>
    <row r="107" spans="4:8" x14ac:dyDescent="0.25">
      <c r="D107" s="342" t="s">
        <v>51</v>
      </c>
      <c r="E107" s="488" t="s">
        <v>34</v>
      </c>
      <c r="F107" s="258" t="s">
        <v>172</v>
      </c>
      <c r="G107" s="258" t="s">
        <v>844</v>
      </c>
      <c r="H107" s="258">
        <f t="shared" si="1"/>
        <v>13</v>
      </c>
    </row>
    <row r="108" spans="4:8" x14ac:dyDescent="0.25">
      <c r="D108" s="342" t="s">
        <v>54</v>
      </c>
      <c r="E108" s="488" t="s">
        <v>34</v>
      </c>
      <c r="F108" s="258" t="s">
        <v>172</v>
      </c>
      <c r="G108" s="258" t="s">
        <v>844</v>
      </c>
      <c r="H108" s="258">
        <f t="shared" si="1"/>
        <v>13</v>
      </c>
    </row>
    <row r="109" spans="4:8" x14ac:dyDescent="0.25">
      <c r="D109" s="342" t="s">
        <v>126</v>
      </c>
      <c r="E109" s="488" t="s">
        <v>29</v>
      </c>
      <c r="F109" s="258" t="s">
        <v>172</v>
      </c>
      <c r="G109" s="258" t="s">
        <v>844</v>
      </c>
      <c r="H109" s="258">
        <f t="shared" si="1"/>
        <v>13</v>
      </c>
    </row>
    <row r="110" spans="4:8" x14ac:dyDescent="0.25">
      <c r="D110" s="342" t="s">
        <v>115</v>
      </c>
      <c r="E110" s="488" t="s">
        <v>29</v>
      </c>
      <c r="F110" s="258" t="s">
        <v>172</v>
      </c>
      <c r="G110" s="258" t="s">
        <v>844</v>
      </c>
      <c r="H110" s="258">
        <f t="shared" si="1"/>
        <v>13</v>
      </c>
    </row>
    <row r="111" spans="4:8" x14ac:dyDescent="0.25">
      <c r="D111" s="342" t="s">
        <v>64</v>
      </c>
      <c r="E111" s="488" t="s">
        <v>29</v>
      </c>
      <c r="F111" s="258" t="s">
        <v>172</v>
      </c>
      <c r="G111" s="258" t="s">
        <v>844</v>
      </c>
      <c r="H111" s="258">
        <f t="shared" si="1"/>
        <v>13</v>
      </c>
    </row>
    <row r="112" spans="4:8" x14ac:dyDescent="0.25">
      <c r="D112" s="342" t="s">
        <v>112</v>
      </c>
      <c r="E112" s="488" t="s">
        <v>34</v>
      </c>
      <c r="F112" s="258" t="s">
        <v>172</v>
      </c>
      <c r="G112" s="258" t="s">
        <v>844</v>
      </c>
      <c r="H112" s="258">
        <f t="shared" si="1"/>
        <v>13</v>
      </c>
    </row>
    <row r="113" spans="4:8" x14ac:dyDescent="0.25">
      <c r="D113" s="342" t="s">
        <v>125</v>
      </c>
      <c r="E113" s="488" t="s">
        <v>34</v>
      </c>
      <c r="F113" s="258" t="s">
        <v>172</v>
      </c>
      <c r="G113" s="258" t="s">
        <v>844</v>
      </c>
      <c r="H113" s="258">
        <f t="shared" si="1"/>
        <v>13</v>
      </c>
    </row>
    <row r="114" spans="4:8" x14ac:dyDescent="0.25">
      <c r="D114" s="342" t="s">
        <v>287</v>
      </c>
      <c r="E114" s="488" t="s">
        <v>29</v>
      </c>
      <c r="F114" s="258" t="s">
        <v>172</v>
      </c>
      <c r="G114" s="258" t="s">
        <v>844</v>
      </c>
      <c r="H114" s="258">
        <f t="shared" si="1"/>
        <v>13</v>
      </c>
    </row>
    <row r="115" spans="4:8" x14ac:dyDescent="0.25">
      <c r="D115" s="342" t="s">
        <v>60</v>
      </c>
      <c r="E115" s="488" t="s">
        <v>43</v>
      </c>
      <c r="F115" s="258" t="s">
        <v>172</v>
      </c>
      <c r="G115" s="258" t="s">
        <v>844</v>
      </c>
      <c r="H115" s="258">
        <f t="shared" si="1"/>
        <v>13</v>
      </c>
    </row>
    <row r="116" spans="4:8" x14ac:dyDescent="0.25">
      <c r="D116" s="342" t="s">
        <v>288</v>
      </c>
      <c r="E116" s="488" t="s">
        <v>135</v>
      </c>
      <c r="F116" s="258" t="s">
        <v>172</v>
      </c>
      <c r="G116" s="258" t="s">
        <v>844</v>
      </c>
      <c r="H116" s="258">
        <f t="shared" si="1"/>
        <v>13</v>
      </c>
    </row>
    <row r="117" spans="4:8" x14ac:dyDescent="0.25">
      <c r="D117" s="342" t="s">
        <v>289</v>
      </c>
      <c r="E117" s="488" t="s">
        <v>34</v>
      </c>
      <c r="F117" s="258" t="s">
        <v>172</v>
      </c>
      <c r="G117" s="258" t="s">
        <v>945</v>
      </c>
      <c r="H117" s="520">
        <v>9</v>
      </c>
    </row>
    <row r="118" spans="4:8" x14ac:dyDescent="0.25">
      <c r="D118" s="342" t="s">
        <v>290</v>
      </c>
      <c r="E118" s="488" t="s">
        <v>29</v>
      </c>
      <c r="F118" s="258" t="s">
        <v>172</v>
      </c>
      <c r="G118" s="258" t="s">
        <v>945</v>
      </c>
      <c r="H118" s="520">
        <v>10</v>
      </c>
    </row>
    <row r="119" spans="4:8" x14ac:dyDescent="0.25">
      <c r="D119" s="342" t="s">
        <v>291</v>
      </c>
      <c r="E119" s="488" t="s">
        <v>43</v>
      </c>
      <c r="F119" s="258" t="s">
        <v>172</v>
      </c>
      <c r="G119" s="258" t="s">
        <v>945</v>
      </c>
      <c r="H119" s="520">
        <v>11</v>
      </c>
    </row>
    <row r="120" spans="4:8" x14ac:dyDescent="0.25">
      <c r="D120" s="342" t="s">
        <v>292</v>
      </c>
      <c r="E120" s="488" t="s">
        <v>34</v>
      </c>
      <c r="F120" s="258" t="s">
        <v>172</v>
      </c>
      <c r="G120" s="258" t="s">
        <v>945</v>
      </c>
      <c r="H120" s="520">
        <v>12</v>
      </c>
    </row>
    <row r="121" spans="4:8" x14ac:dyDescent="0.25">
      <c r="D121" s="342" t="s">
        <v>293</v>
      </c>
      <c r="E121" s="488" t="s">
        <v>29</v>
      </c>
      <c r="F121" s="258" t="s">
        <v>172</v>
      </c>
      <c r="G121" s="258" t="s">
        <v>945</v>
      </c>
      <c r="H121" s="520">
        <v>13</v>
      </c>
    </row>
    <row r="122" spans="4:8" x14ac:dyDescent="0.25">
      <c r="D122" s="342" t="s">
        <v>294</v>
      </c>
      <c r="E122" s="488" t="s">
        <v>43</v>
      </c>
      <c r="F122" s="258" t="s">
        <v>172</v>
      </c>
      <c r="G122" s="258" t="s">
        <v>945</v>
      </c>
      <c r="H122" s="520">
        <v>14</v>
      </c>
    </row>
    <row r="123" spans="4:8" x14ac:dyDescent="0.25">
      <c r="D123" s="342" t="s">
        <v>295</v>
      </c>
      <c r="E123" s="488" t="s">
        <v>43</v>
      </c>
      <c r="F123" s="258" t="s">
        <v>172</v>
      </c>
      <c r="G123" s="258" t="s">
        <v>945</v>
      </c>
      <c r="H123" s="520">
        <v>15</v>
      </c>
    </row>
    <row r="124" spans="4:8" x14ac:dyDescent="0.25">
      <c r="D124" s="342" t="s">
        <v>296</v>
      </c>
      <c r="E124" s="488" t="s">
        <v>29</v>
      </c>
      <c r="F124" s="258" t="s">
        <v>172</v>
      </c>
      <c r="G124" s="258" t="s">
        <v>945</v>
      </c>
      <c r="H124" s="520">
        <v>16</v>
      </c>
    </row>
    <row r="125" spans="4:8" x14ac:dyDescent="0.25">
      <c r="D125" s="342" t="s">
        <v>297</v>
      </c>
      <c r="E125" s="488" t="s">
        <v>34</v>
      </c>
      <c r="F125" s="258" t="s">
        <v>172</v>
      </c>
      <c r="G125" s="258" t="s">
        <v>945</v>
      </c>
      <c r="H125" s="520">
        <v>17</v>
      </c>
    </row>
    <row r="126" spans="4:8" x14ac:dyDescent="0.25">
      <c r="D126" s="342" t="s">
        <v>298</v>
      </c>
      <c r="E126" s="488" t="s">
        <v>29</v>
      </c>
      <c r="F126" s="258" t="s">
        <v>172</v>
      </c>
      <c r="G126" s="258" t="s">
        <v>844</v>
      </c>
      <c r="H126" s="258">
        <f>9+4</f>
        <v>13</v>
      </c>
    </row>
    <row r="127" spans="4:8" x14ac:dyDescent="0.25">
      <c r="D127" s="342" t="s">
        <v>299</v>
      </c>
      <c r="E127" s="488" t="s">
        <v>29</v>
      </c>
      <c r="F127" s="520" t="s">
        <v>944</v>
      </c>
      <c r="G127" s="520"/>
      <c r="H127" s="520"/>
    </row>
    <row r="128" spans="4:8" x14ac:dyDescent="0.25">
      <c r="D128" s="342" t="s">
        <v>300</v>
      </c>
      <c r="E128" s="488" t="s">
        <v>309</v>
      </c>
      <c r="F128" s="520" t="s">
        <v>944</v>
      </c>
      <c r="G128" s="520"/>
      <c r="H128" s="520"/>
    </row>
    <row r="129" spans="4:8" x14ac:dyDescent="0.25">
      <c r="D129" s="342" t="s">
        <v>301</v>
      </c>
      <c r="E129" s="488" t="s">
        <v>612</v>
      </c>
      <c r="F129" s="520"/>
      <c r="G129" s="520"/>
      <c r="H129" s="520"/>
    </row>
    <row r="130" spans="4:8" x14ac:dyDescent="0.25">
      <c r="D130" s="342" t="s">
        <v>302</v>
      </c>
      <c r="E130" s="488" t="s">
        <v>29</v>
      </c>
      <c r="F130" s="520"/>
      <c r="G130" s="520"/>
      <c r="H130" s="520"/>
    </row>
    <row r="131" spans="4:8" x14ac:dyDescent="0.25">
      <c r="D131" s="342" t="s">
        <v>303</v>
      </c>
      <c r="E131" s="488" t="s">
        <v>34</v>
      </c>
      <c r="F131" s="520"/>
      <c r="G131" s="520"/>
      <c r="H131" s="520"/>
    </row>
    <row r="132" spans="4:8" x14ac:dyDescent="0.25">
      <c r="D132" s="342" t="s">
        <v>304</v>
      </c>
      <c r="E132" s="488" t="s">
        <v>29</v>
      </c>
      <c r="F132" s="520"/>
      <c r="G132" s="520"/>
      <c r="H132" s="520"/>
    </row>
    <row r="133" spans="4:8" x14ac:dyDescent="0.25">
      <c r="D133" s="342" t="s">
        <v>305</v>
      </c>
      <c r="E133" s="488" t="s">
        <v>34</v>
      </c>
      <c r="F133" s="520"/>
      <c r="G133" s="520"/>
      <c r="H133" s="520"/>
    </row>
    <row r="134" spans="4:8" x14ac:dyDescent="0.25">
      <c r="D134" s="342" t="s">
        <v>306</v>
      </c>
      <c r="E134" s="488" t="s">
        <v>824</v>
      </c>
      <c r="F134" s="520"/>
      <c r="G134" s="520"/>
      <c r="H134" s="520"/>
    </row>
    <row r="135" spans="4:8" x14ac:dyDescent="0.25">
      <c r="D135" s="342" t="s">
        <v>307</v>
      </c>
      <c r="E135" s="488" t="s">
        <v>29</v>
      </c>
      <c r="F135" s="258"/>
      <c r="G135" s="258"/>
      <c r="H135" s="258"/>
    </row>
    <row r="136" spans="4:8" x14ac:dyDescent="0.25">
      <c r="D136" s="342" t="s">
        <v>308</v>
      </c>
      <c r="E136" s="488" t="s">
        <v>29</v>
      </c>
      <c r="F136" s="258"/>
      <c r="G136" s="258"/>
      <c r="H136" s="258"/>
    </row>
    <row r="137" spans="4:8" x14ac:dyDescent="0.25">
      <c r="D137" s="342" t="s">
        <v>310</v>
      </c>
      <c r="E137" s="488" t="s">
        <v>34</v>
      </c>
      <c r="F137" s="258"/>
      <c r="G137" s="258"/>
      <c r="H137" s="258"/>
    </row>
    <row r="138" spans="4:8" x14ac:dyDescent="0.25">
      <c r="D138" s="342" t="s">
        <v>311</v>
      </c>
      <c r="E138" s="488" t="s">
        <v>29</v>
      </c>
      <c r="F138" s="258"/>
      <c r="G138" s="258"/>
      <c r="H138" s="258"/>
    </row>
    <row r="139" spans="4:8" x14ac:dyDescent="0.25">
      <c r="D139" s="342" t="s">
        <v>312</v>
      </c>
      <c r="E139" s="488" t="s">
        <v>29</v>
      </c>
      <c r="F139" s="258" t="s">
        <v>944</v>
      </c>
      <c r="G139" s="258"/>
      <c r="H139" s="258"/>
    </row>
    <row r="140" spans="4:8" x14ac:dyDescent="0.25">
      <c r="D140" s="342" t="s">
        <v>313</v>
      </c>
      <c r="E140" s="488" t="s">
        <v>29</v>
      </c>
      <c r="F140" s="258" t="s">
        <v>172</v>
      </c>
      <c r="G140" s="258" t="s">
        <v>830</v>
      </c>
      <c r="H140" s="258">
        <v>17</v>
      </c>
    </row>
    <row r="141" spans="4:8" x14ac:dyDescent="0.25">
      <c r="D141" s="342" t="s">
        <v>314</v>
      </c>
      <c r="E141" s="488" t="s">
        <v>285</v>
      </c>
      <c r="F141" s="258" t="s">
        <v>172</v>
      </c>
      <c r="G141" s="258" t="s">
        <v>830</v>
      </c>
      <c r="H141" s="258">
        <v>17</v>
      </c>
    </row>
    <row r="142" spans="4:8" x14ac:dyDescent="0.25">
      <c r="D142" s="342" t="s">
        <v>315</v>
      </c>
      <c r="E142" s="488" t="s">
        <v>34</v>
      </c>
      <c r="F142" s="258" t="s">
        <v>172</v>
      </c>
      <c r="G142" s="258" t="s">
        <v>830</v>
      </c>
      <c r="H142" s="258">
        <v>18</v>
      </c>
    </row>
    <row r="143" spans="4:8" x14ac:dyDescent="0.25">
      <c r="D143" s="342" t="s">
        <v>316</v>
      </c>
      <c r="E143" s="488" t="s">
        <v>29</v>
      </c>
      <c r="F143" s="258" t="s">
        <v>172</v>
      </c>
      <c r="G143" s="258" t="s">
        <v>830</v>
      </c>
      <c r="H143" s="258">
        <v>19</v>
      </c>
    </row>
    <row r="144" spans="4:8" x14ac:dyDescent="0.25">
      <c r="D144" s="342" t="s">
        <v>317</v>
      </c>
      <c r="E144" s="488" t="s">
        <v>34</v>
      </c>
      <c r="F144" s="258" t="s">
        <v>172</v>
      </c>
      <c r="G144" s="258" t="s">
        <v>830</v>
      </c>
      <c r="H144" s="258">
        <v>20</v>
      </c>
    </row>
    <row r="145" spans="4:8" x14ac:dyDescent="0.25">
      <c r="D145" s="342" t="s">
        <v>318</v>
      </c>
      <c r="E145" s="488" t="s">
        <v>34</v>
      </c>
      <c r="F145" s="520"/>
      <c r="G145" s="520"/>
      <c r="H145" s="520"/>
    </row>
    <row r="146" spans="4:8" x14ac:dyDescent="0.25">
      <c r="D146" s="342" t="s">
        <v>319</v>
      </c>
      <c r="E146" s="488" t="s">
        <v>275</v>
      </c>
      <c r="F146" s="258" t="s">
        <v>172</v>
      </c>
      <c r="G146" s="258" t="s">
        <v>830</v>
      </c>
      <c r="H146" s="258">
        <v>17</v>
      </c>
    </row>
    <row r="147" spans="4:8" x14ac:dyDescent="0.25">
      <c r="D147" s="342" t="s">
        <v>320</v>
      </c>
      <c r="E147" s="488" t="s">
        <v>34</v>
      </c>
      <c r="F147" s="258" t="s">
        <v>172</v>
      </c>
      <c r="G147" s="258" t="s">
        <v>830</v>
      </c>
      <c r="H147" s="258">
        <v>17</v>
      </c>
    </row>
    <row r="148" spans="4:8" x14ac:dyDescent="0.25">
      <c r="D148" s="342" t="s">
        <v>321</v>
      </c>
      <c r="E148" s="488" t="s">
        <v>34</v>
      </c>
      <c r="F148" s="258" t="s">
        <v>172</v>
      </c>
      <c r="G148" s="258" t="s">
        <v>830</v>
      </c>
      <c r="H148" s="258">
        <v>17</v>
      </c>
    </row>
    <row r="149" spans="4:8" x14ac:dyDescent="0.25">
      <c r="D149" s="342" t="s">
        <v>322</v>
      </c>
      <c r="E149" s="488" t="s">
        <v>43</v>
      </c>
      <c r="F149" s="258" t="s">
        <v>172</v>
      </c>
      <c r="G149" s="258" t="s">
        <v>830</v>
      </c>
      <c r="H149" s="258">
        <v>17</v>
      </c>
    </row>
    <row r="150" spans="4:8" x14ac:dyDescent="0.25">
      <c r="D150" s="342" t="s">
        <v>323</v>
      </c>
      <c r="E150" s="488" t="s">
        <v>131</v>
      </c>
      <c r="F150" s="258" t="s">
        <v>172</v>
      </c>
      <c r="G150" s="258" t="s">
        <v>830</v>
      </c>
      <c r="H150" s="258">
        <v>17</v>
      </c>
    </row>
    <row r="151" spans="4:8" x14ac:dyDescent="0.25">
      <c r="D151" s="342" t="s">
        <v>324</v>
      </c>
      <c r="E151" s="488" t="s">
        <v>29</v>
      </c>
      <c r="F151" s="258" t="s">
        <v>172</v>
      </c>
      <c r="G151" s="258" t="s">
        <v>830</v>
      </c>
      <c r="H151" s="258">
        <v>17</v>
      </c>
    </row>
    <row r="152" spans="4:8" x14ac:dyDescent="0.25">
      <c r="D152" s="342" t="s">
        <v>325</v>
      </c>
      <c r="E152" s="488" t="s">
        <v>29</v>
      </c>
      <c r="F152" s="258" t="s">
        <v>172</v>
      </c>
      <c r="G152" s="258" t="s">
        <v>830</v>
      </c>
      <c r="H152" s="258">
        <v>18</v>
      </c>
    </row>
    <row r="153" spans="4:8" x14ac:dyDescent="0.25">
      <c r="D153" s="342" t="s">
        <v>326</v>
      </c>
      <c r="E153" s="488" t="s">
        <v>29</v>
      </c>
      <c r="F153" s="258" t="s">
        <v>172</v>
      </c>
      <c r="G153" s="258" t="s">
        <v>830</v>
      </c>
      <c r="H153" s="258">
        <v>19</v>
      </c>
    </row>
    <row r="154" spans="4:8" x14ac:dyDescent="0.25">
      <c r="D154" s="342" t="s">
        <v>327</v>
      </c>
      <c r="E154" s="488" t="s">
        <v>824</v>
      </c>
      <c r="F154" s="258" t="s">
        <v>172</v>
      </c>
      <c r="G154" s="258" t="s">
        <v>830</v>
      </c>
      <c r="H154" s="258">
        <v>20</v>
      </c>
    </row>
    <row r="155" spans="4:8" x14ac:dyDescent="0.25">
      <c r="D155" s="342" t="s">
        <v>328</v>
      </c>
      <c r="E155" s="488" t="s">
        <v>43</v>
      </c>
      <c r="F155" s="258" t="s">
        <v>172</v>
      </c>
      <c r="G155" s="258" t="s">
        <v>830</v>
      </c>
      <c r="H155" s="258">
        <v>17</v>
      </c>
    </row>
    <row r="156" spans="4:8" x14ac:dyDescent="0.25">
      <c r="D156" s="342" t="s">
        <v>329</v>
      </c>
      <c r="E156" s="488" t="s">
        <v>29</v>
      </c>
      <c r="F156" s="258" t="s">
        <v>172</v>
      </c>
      <c r="G156" s="258" t="s">
        <v>830</v>
      </c>
      <c r="H156" s="258">
        <v>17</v>
      </c>
    </row>
    <row r="157" spans="4:8" x14ac:dyDescent="0.25">
      <c r="D157" s="342" t="s">
        <v>330</v>
      </c>
      <c r="E157" s="488" t="s">
        <v>34</v>
      </c>
      <c r="F157" s="258" t="s">
        <v>172</v>
      </c>
      <c r="G157" s="258" t="s">
        <v>830</v>
      </c>
      <c r="H157" s="258">
        <v>17</v>
      </c>
    </row>
    <row r="158" spans="4:8" x14ac:dyDescent="0.25">
      <c r="D158" s="525" t="s">
        <v>331</v>
      </c>
      <c r="E158" s="331" t="s">
        <v>135</v>
      </c>
      <c r="F158" s="258" t="s">
        <v>172</v>
      </c>
      <c r="G158" s="258" t="s">
        <v>830</v>
      </c>
      <c r="H158" s="258">
        <v>18</v>
      </c>
    </row>
    <row r="159" spans="4:8" x14ac:dyDescent="0.25">
      <c r="D159" s="342" t="s">
        <v>332</v>
      </c>
      <c r="E159" s="488" t="s">
        <v>131</v>
      </c>
      <c r="F159" s="258" t="s">
        <v>172</v>
      </c>
      <c r="G159" s="258" t="s">
        <v>830</v>
      </c>
      <c r="H159" s="258">
        <v>19</v>
      </c>
    </row>
    <row r="160" spans="4:8" x14ac:dyDescent="0.25">
      <c r="D160" s="342" t="s">
        <v>333</v>
      </c>
      <c r="E160" s="488" t="s">
        <v>824</v>
      </c>
      <c r="F160" s="258" t="s">
        <v>172</v>
      </c>
      <c r="G160" s="258" t="s">
        <v>830</v>
      </c>
      <c r="H160" s="258">
        <v>17</v>
      </c>
    </row>
    <row r="161" spans="4:8" x14ac:dyDescent="0.25">
      <c r="D161" s="342" t="s">
        <v>334</v>
      </c>
      <c r="E161" s="488" t="s">
        <v>29</v>
      </c>
      <c r="F161" s="258" t="s">
        <v>172</v>
      </c>
      <c r="G161" s="258" t="s">
        <v>830</v>
      </c>
      <c r="H161" s="258">
        <v>17</v>
      </c>
    </row>
    <row r="162" spans="4:8" x14ac:dyDescent="0.25">
      <c r="D162" s="342" t="s">
        <v>171</v>
      </c>
      <c r="E162" s="488" t="s">
        <v>29</v>
      </c>
      <c r="F162" s="258" t="s">
        <v>172</v>
      </c>
      <c r="G162" s="258" t="s">
        <v>830</v>
      </c>
      <c r="H162" s="258">
        <v>17</v>
      </c>
    </row>
    <row r="163" spans="4:8" x14ac:dyDescent="0.25">
      <c r="D163" s="342" t="s">
        <v>128</v>
      </c>
      <c r="E163" s="488" t="s">
        <v>43</v>
      </c>
      <c r="F163" s="258" t="s">
        <v>172</v>
      </c>
      <c r="G163" s="258" t="s">
        <v>830</v>
      </c>
      <c r="H163" s="258">
        <v>17</v>
      </c>
    </row>
    <row r="164" spans="4:8" x14ac:dyDescent="0.25">
      <c r="D164" s="342" t="s">
        <v>166</v>
      </c>
      <c r="E164" s="488" t="s">
        <v>34</v>
      </c>
      <c r="F164" s="258" t="s">
        <v>172</v>
      </c>
      <c r="G164" s="258" t="s">
        <v>830</v>
      </c>
      <c r="H164" s="258">
        <v>17</v>
      </c>
    </row>
    <row r="165" spans="4:8" x14ac:dyDescent="0.25">
      <c r="D165" s="342" t="s">
        <v>335</v>
      </c>
      <c r="E165" s="488" t="s">
        <v>285</v>
      </c>
      <c r="F165" s="258" t="s">
        <v>172</v>
      </c>
      <c r="G165" s="258" t="s">
        <v>830</v>
      </c>
      <c r="H165" s="258">
        <v>17</v>
      </c>
    </row>
    <row r="166" spans="4:8" x14ac:dyDescent="0.25">
      <c r="D166" s="342" t="s">
        <v>129</v>
      </c>
      <c r="E166" s="488" t="s">
        <v>29</v>
      </c>
      <c r="F166" s="258" t="s">
        <v>172</v>
      </c>
      <c r="G166" s="258" t="s">
        <v>830</v>
      </c>
      <c r="H166" s="258">
        <v>17</v>
      </c>
    </row>
    <row r="167" spans="4:8" x14ac:dyDescent="0.25">
      <c r="D167" s="342" t="s">
        <v>133</v>
      </c>
      <c r="E167" s="488" t="s">
        <v>29</v>
      </c>
      <c r="F167" s="258" t="s">
        <v>172</v>
      </c>
      <c r="G167" s="258" t="s">
        <v>830</v>
      </c>
      <c r="H167" s="258">
        <v>17</v>
      </c>
    </row>
    <row r="168" spans="4:8" x14ac:dyDescent="0.25">
      <c r="D168" s="342" t="s">
        <v>138</v>
      </c>
      <c r="E168" s="488" t="s">
        <v>29</v>
      </c>
      <c r="F168" s="258" t="s">
        <v>172</v>
      </c>
      <c r="G168" s="258" t="s">
        <v>830</v>
      </c>
      <c r="H168" s="258">
        <v>17</v>
      </c>
    </row>
    <row r="169" spans="4:8" x14ac:dyDescent="0.25">
      <c r="D169" s="342" t="s">
        <v>123</v>
      </c>
      <c r="E169" s="488" t="s">
        <v>29</v>
      </c>
      <c r="F169" s="258" t="s">
        <v>172</v>
      </c>
      <c r="G169" s="258" t="s">
        <v>830</v>
      </c>
      <c r="H169" s="258">
        <v>17</v>
      </c>
    </row>
    <row r="170" spans="4:8" x14ac:dyDescent="0.25">
      <c r="D170" s="342" t="s">
        <v>177</v>
      </c>
      <c r="E170" s="488" t="s">
        <v>135</v>
      </c>
      <c r="F170" s="258" t="s">
        <v>172</v>
      </c>
      <c r="G170" s="258" t="s">
        <v>830</v>
      </c>
      <c r="H170" s="258">
        <v>17</v>
      </c>
    </row>
    <row r="171" spans="4:8" x14ac:dyDescent="0.25">
      <c r="D171" s="342" t="s">
        <v>113</v>
      </c>
      <c r="E171" s="488" t="s">
        <v>29</v>
      </c>
      <c r="F171" s="258" t="s">
        <v>172</v>
      </c>
      <c r="G171" s="258" t="s">
        <v>830</v>
      </c>
      <c r="H171" s="258">
        <v>17</v>
      </c>
    </row>
    <row r="172" spans="4:8" x14ac:dyDescent="0.25">
      <c r="D172" s="342" t="s">
        <v>114</v>
      </c>
      <c r="E172" s="488" t="s">
        <v>29</v>
      </c>
      <c r="F172" s="258" t="s">
        <v>172</v>
      </c>
      <c r="G172" s="258" t="s">
        <v>830</v>
      </c>
      <c r="H172" s="258">
        <v>17</v>
      </c>
    </row>
    <row r="173" spans="4:8" x14ac:dyDescent="0.25">
      <c r="D173" s="342" t="s">
        <v>65</v>
      </c>
      <c r="E173" s="488" t="s">
        <v>43</v>
      </c>
      <c r="F173" s="258" t="s">
        <v>172</v>
      </c>
      <c r="G173" s="258" t="s">
        <v>830</v>
      </c>
      <c r="H173" s="258">
        <v>17</v>
      </c>
    </row>
    <row r="174" spans="4:8" x14ac:dyDescent="0.25">
      <c r="D174" s="342" t="s">
        <v>50</v>
      </c>
      <c r="E174" s="488" t="s">
        <v>34</v>
      </c>
      <c r="F174" s="258" t="s">
        <v>172</v>
      </c>
      <c r="G174" s="258" t="s">
        <v>830</v>
      </c>
      <c r="H174" s="258">
        <v>17</v>
      </c>
    </row>
    <row r="175" spans="4:8" x14ac:dyDescent="0.25">
      <c r="D175" s="342" t="s">
        <v>59</v>
      </c>
      <c r="E175" s="488" t="s">
        <v>29</v>
      </c>
      <c r="F175" s="258" t="s">
        <v>172</v>
      </c>
      <c r="G175" s="258" t="s">
        <v>830</v>
      </c>
      <c r="H175" s="258">
        <v>17</v>
      </c>
    </row>
    <row r="176" spans="4:8" x14ac:dyDescent="0.25">
      <c r="D176" s="342" t="s">
        <v>160</v>
      </c>
      <c r="E176" s="488" t="s">
        <v>131</v>
      </c>
      <c r="F176" s="258" t="s">
        <v>172</v>
      </c>
      <c r="G176" s="258" t="s">
        <v>830</v>
      </c>
      <c r="H176" s="258">
        <v>17</v>
      </c>
    </row>
    <row r="177" spans="4:8" x14ac:dyDescent="0.25">
      <c r="D177" s="342" t="s">
        <v>63</v>
      </c>
      <c r="E177" s="488" t="s">
        <v>43</v>
      </c>
      <c r="F177" s="258" t="s">
        <v>172</v>
      </c>
      <c r="G177" s="258" t="s">
        <v>830</v>
      </c>
      <c r="H177" s="258">
        <v>17</v>
      </c>
    </row>
    <row r="178" spans="4:8" x14ac:dyDescent="0.25">
      <c r="D178" s="342" t="s">
        <v>53</v>
      </c>
      <c r="E178" s="488" t="s">
        <v>29</v>
      </c>
      <c r="F178" s="258" t="s">
        <v>172</v>
      </c>
      <c r="G178" s="258" t="s">
        <v>830</v>
      </c>
      <c r="H178" s="258">
        <v>17</v>
      </c>
    </row>
    <row r="179" spans="4:8" x14ac:dyDescent="0.25">
      <c r="D179" s="342" t="s">
        <v>44</v>
      </c>
      <c r="E179" s="488" t="s">
        <v>29</v>
      </c>
      <c r="F179" s="258" t="s">
        <v>172</v>
      </c>
      <c r="G179" s="258" t="s">
        <v>830</v>
      </c>
      <c r="H179" s="258">
        <v>17</v>
      </c>
    </row>
    <row r="180" spans="4:8" x14ac:dyDescent="0.25">
      <c r="D180" s="342" t="s">
        <v>39</v>
      </c>
      <c r="E180" s="488" t="s">
        <v>29</v>
      </c>
      <c r="F180" s="258" t="s">
        <v>172</v>
      </c>
      <c r="G180" s="258" t="s">
        <v>830</v>
      </c>
      <c r="H180" s="258">
        <v>17</v>
      </c>
    </row>
    <row r="181" spans="4:8" x14ac:dyDescent="0.25">
      <c r="D181" s="342" t="s">
        <v>158</v>
      </c>
      <c r="E181" s="488" t="s">
        <v>135</v>
      </c>
      <c r="F181" s="258" t="s">
        <v>172</v>
      </c>
      <c r="G181" s="258" t="s">
        <v>830</v>
      </c>
      <c r="H181" s="258">
        <v>17</v>
      </c>
    </row>
    <row r="182" spans="4:8" x14ac:dyDescent="0.25">
      <c r="D182" s="342" t="s">
        <v>118</v>
      </c>
      <c r="E182" s="488" t="s">
        <v>43</v>
      </c>
      <c r="F182" s="258" t="s">
        <v>172</v>
      </c>
      <c r="G182" s="258" t="s">
        <v>830</v>
      </c>
      <c r="H182" s="258">
        <v>17</v>
      </c>
    </row>
    <row r="183" spans="4:8" x14ac:dyDescent="0.25">
      <c r="D183" s="342" t="s">
        <v>33</v>
      </c>
      <c r="E183" s="488" t="s">
        <v>34</v>
      </c>
      <c r="F183" s="258" t="s">
        <v>172</v>
      </c>
      <c r="G183" s="258" t="s">
        <v>830</v>
      </c>
      <c r="H183" s="258">
        <v>17</v>
      </c>
    </row>
    <row r="184" spans="4:8" x14ac:dyDescent="0.25">
      <c r="D184" s="342" t="s">
        <v>35</v>
      </c>
      <c r="E184" s="488" t="s">
        <v>29</v>
      </c>
      <c r="F184" s="258" t="s">
        <v>172</v>
      </c>
      <c r="G184" s="258" t="s">
        <v>830</v>
      </c>
      <c r="H184" s="258">
        <v>17</v>
      </c>
    </row>
    <row r="185" spans="4:8" x14ac:dyDescent="0.25">
      <c r="D185" s="342" t="s">
        <v>28</v>
      </c>
      <c r="E185" s="488" t="s">
        <v>29</v>
      </c>
      <c r="F185" s="258" t="s">
        <v>172</v>
      </c>
      <c r="G185" s="258" t="s">
        <v>830</v>
      </c>
      <c r="H185" s="258">
        <v>17</v>
      </c>
    </row>
    <row r="186" spans="4:8" x14ac:dyDescent="0.25">
      <c r="D186" s="342" t="s">
        <v>36</v>
      </c>
      <c r="E186" s="488" t="s">
        <v>29</v>
      </c>
      <c r="F186" s="258" t="s">
        <v>172</v>
      </c>
      <c r="G186" s="258" t="s">
        <v>830</v>
      </c>
      <c r="H186" s="258">
        <v>17</v>
      </c>
    </row>
    <row r="187" spans="4:8" x14ac:dyDescent="0.25">
      <c r="D187" s="342" t="s">
        <v>37</v>
      </c>
      <c r="E187" s="488" t="s">
        <v>29</v>
      </c>
      <c r="F187" s="258" t="s">
        <v>172</v>
      </c>
      <c r="G187" s="258" t="s">
        <v>830</v>
      </c>
      <c r="H187" s="258">
        <v>17</v>
      </c>
    </row>
    <row r="188" spans="4:8" x14ac:dyDescent="0.25">
      <c r="D188" s="342" t="s">
        <v>38</v>
      </c>
      <c r="E188" s="488" t="s">
        <v>29</v>
      </c>
      <c r="F188" s="258" t="s">
        <v>172</v>
      </c>
      <c r="G188" s="258" t="s">
        <v>830</v>
      </c>
      <c r="H188" s="258">
        <v>17</v>
      </c>
    </row>
    <row r="189" spans="4:8" x14ac:dyDescent="0.25">
      <c r="D189" s="342" t="s">
        <v>49</v>
      </c>
      <c r="E189" s="488" t="s">
        <v>34</v>
      </c>
      <c r="F189" s="258" t="s">
        <v>172</v>
      </c>
      <c r="G189" s="258" t="s">
        <v>830</v>
      </c>
      <c r="H189" s="258">
        <v>17</v>
      </c>
    </row>
    <row r="190" spans="4:8" x14ac:dyDescent="0.25">
      <c r="D190" s="342" t="s">
        <v>130</v>
      </c>
      <c r="E190" s="488" t="s">
        <v>131</v>
      </c>
      <c r="F190" s="258" t="s">
        <v>172</v>
      </c>
      <c r="G190" s="258" t="s">
        <v>830</v>
      </c>
      <c r="H190" s="258">
        <v>17</v>
      </c>
    </row>
    <row r="191" spans="4:8" x14ac:dyDescent="0.25">
      <c r="D191" s="342" t="s">
        <v>45</v>
      </c>
      <c r="E191" s="488" t="s">
        <v>29</v>
      </c>
      <c r="F191" s="258" t="s">
        <v>172</v>
      </c>
      <c r="G191" s="258" t="s">
        <v>830</v>
      </c>
      <c r="H191" s="258">
        <v>17</v>
      </c>
    </row>
    <row r="192" spans="4:8" x14ac:dyDescent="0.25">
      <c r="D192" s="342" t="s">
        <v>338</v>
      </c>
      <c r="E192" s="488" t="s">
        <v>29</v>
      </c>
      <c r="F192" s="258" t="s">
        <v>172</v>
      </c>
      <c r="G192" s="258" t="s">
        <v>830</v>
      </c>
      <c r="H192" s="258">
        <v>17</v>
      </c>
    </row>
    <row r="193" spans="4:8" x14ac:dyDescent="0.25">
      <c r="D193" s="342" t="s">
        <v>339</v>
      </c>
      <c r="E193" s="488" t="s">
        <v>29</v>
      </c>
      <c r="F193" s="258" t="s">
        <v>172</v>
      </c>
      <c r="G193" s="258" t="s">
        <v>830</v>
      </c>
      <c r="H193" s="258">
        <v>17</v>
      </c>
    </row>
    <row r="194" spans="4:8" x14ac:dyDescent="0.25">
      <c r="D194" s="342" t="s">
        <v>41</v>
      </c>
      <c r="E194" s="488" t="s">
        <v>29</v>
      </c>
      <c r="F194" s="258" t="s">
        <v>172</v>
      </c>
      <c r="G194" s="258" t="s">
        <v>830</v>
      </c>
      <c r="H194" s="258">
        <v>17</v>
      </c>
    </row>
    <row r="195" spans="4:8" x14ac:dyDescent="0.25">
      <c r="D195" s="342" t="s">
        <v>42</v>
      </c>
      <c r="E195" s="488" t="s">
        <v>43</v>
      </c>
      <c r="F195" s="258" t="s">
        <v>172</v>
      </c>
      <c r="G195" s="258" t="s">
        <v>830</v>
      </c>
      <c r="H195" s="258">
        <v>17</v>
      </c>
    </row>
    <row r="196" spans="4:8" x14ac:dyDescent="0.25">
      <c r="D196" s="342" t="s">
        <v>137</v>
      </c>
      <c r="E196" s="488" t="s">
        <v>131</v>
      </c>
      <c r="F196" s="258" t="s">
        <v>172</v>
      </c>
      <c r="G196" s="258" t="s">
        <v>830</v>
      </c>
      <c r="H196" s="258">
        <v>17</v>
      </c>
    </row>
    <row r="197" spans="4:8" x14ac:dyDescent="0.25">
      <c r="D197" s="342" t="s">
        <v>56</v>
      </c>
      <c r="E197" s="488" t="s">
        <v>29</v>
      </c>
      <c r="F197" s="258" t="s">
        <v>172</v>
      </c>
      <c r="G197" s="258" t="s">
        <v>830</v>
      </c>
      <c r="H197" s="258">
        <v>17</v>
      </c>
    </row>
    <row r="198" spans="4:8" x14ac:dyDescent="0.25">
      <c r="D198" s="342" t="s">
        <v>62</v>
      </c>
      <c r="E198" s="488" t="s">
        <v>29</v>
      </c>
      <c r="F198" s="258" t="s">
        <v>172</v>
      </c>
      <c r="G198" s="258" t="s">
        <v>830</v>
      </c>
      <c r="H198" s="258">
        <v>17</v>
      </c>
    </row>
    <row r="199" spans="4:8" x14ac:dyDescent="0.25">
      <c r="D199" s="342" t="s">
        <v>66</v>
      </c>
      <c r="E199" s="488" t="s">
        <v>29</v>
      </c>
      <c r="F199" s="258" t="s">
        <v>172</v>
      </c>
      <c r="G199" s="258" t="s">
        <v>830</v>
      </c>
      <c r="H199" s="258">
        <v>17</v>
      </c>
    </row>
    <row r="200" spans="4:8" x14ac:dyDescent="0.25">
      <c r="D200" s="342" t="s">
        <v>116</v>
      </c>
      <c r="E200" s="488" t="s">
        <v>29</v>
      </c>
      <c r="F200" s="258" t="s">
        <v>172</v>
      </c>
      <c r="G200" s="258" t="s">
        <v>830</v>
      </c>
      <c r="H200" s="258">
        <v>17</v>
      </c>
    </row>
    <row r="201" spans="4:8" x14ac:dyDescent="0.25">
      <c r="D201" s="342" t="s">
        <v>134</v>
      </c>
      <c r="E201" s="488" t="s">
        <v>135</v>
      </c>
      <c r="F201" s="258" t="s">
        <v>172</v>
      </c>
      <c r="G201" s="258" t="s">
        <v>830</v>
      </c>
      <c r="H201" s="258">
        <v>17</v>
      </c>
    </row>
    <row r="202" spans="4:8" x14ac:dyDescent="0.25">
      <c r="D202" s="342" t="s">
        <v>117</v>
      </c>
      <c r="E202" s="488" t="s">
        <v>29</v>
      </c>
      <c r="F202" s="258" t="s">
        <v>172</v>
      </c>
      <c r="G202" s="258" t="s">
        <v>830</v>
      </c>
      <c r="H202" s="258">
        <v>18</v>
      </c>
    </row>
    <row r="203" spans="4:8" x14ac:dyDescent="0.25">
      <c r="D203" s="342" t="s">
        <v>136</v>
      </c>
      <c r="E203" s="488" t="s">
        <v>29</v>
      </c>
      <c r="F203" s="258" t="s">
        <v>172</v>
      </c>
      <c r="G203" s="258" t="s">
        <v>830</v>
      </c>
      <c r="H203" s="258">
        <v>19</v>
      </c>
    </row>
    <row r="204" spans="4:8" x14ac:dyDescent="0.25">
      <c r="D204" s="342" t="s">
        <v>340</v>
      </c>
      <c r="E204" s="488" t="s">
        <v>825</v>
      </c>
      <c r="F204" s="258"/>
      <c r="G204" s="258" t="s">
        <v>830</v>
      </c>
      <c r="H204" s="258">
        <v>20</v>
      </c>
    </row>
    <row r="205" spans="4:8" x14ac:dyDescent="0.25">
      <c r="D205" s="342" t="s">
        <v>119</v>
      </c>
      <c r="E205" s="488" t="s">
        <v>29</v>
      </c>
      <c r="F205" s="258" t="s">
        <v>172</v>
      </c>
      <c r="G205" s="258" t="s">
        <v>830</v>
      </c>
      <c r="H205" s="258">
        <v>21</v>
      </c>
    </row>
    <row r="206" spans="4:8" x14ac:dyDescent="0.25">
      <c r="D206" s="342" t="s">
        <v>180</v>
      </c>
      <c r="E206" s="488" t="s">
        <v>29</v>
      </c>
      <c r="F206" s="258" t="s">
        <v>172</v>
      </c>
      <c r="G206" s="258" t="s">
        <v>830</v>
      </c>
      <c r="H206" s="258">
        <v>22</v>
      </c>
    </row>
    <row r="207" spans="4:8" x14ac:dyDescent="0.25">
      <c r="D207" s="342" t="s">
        <v>120</v>
      </c>
      <c r="E207" s="488" t="s">
        <v>29</v>
      </c>
      <c r="F207" s="258" t="s">
        <v>172</v>
      </c>
      <c r="G207" s="258" t="s">
        <v>830</v>
      </c>
      <c r="H207" s="258">
        <v>23</v>
      </c>
    </row>
    <row r="208" spans="4:8" x14ac:dyDescent="0.25">
      <c r="D208" s="342" t="s">
        <v>57</v>
      </c>
      <c r="E208" s="488" t="s">
        <v>29</v>
      </c>
      <c r="F208" s="258" t="s">
        <v>172</v>
      </c>
      <c r="G208" s="258" t="s">
        <v>830</v>
      </c>
      <c r="H208" s="258">
        <v>24</v>
      </c>
    </row>
    <row r="209" spans="4:8" x14ac:dyDescent="0.25">
      <c r="D209" s="342" t="s">
        <v>58</v>
      </c>
      <c r="E209" s="488" t="s">
        <v>29</v>
      </c>
      <c r="F209" s="258" t="s">
        <v>172</v>
      </c>
      <c r="G209" s="258" t="s">
        <v>830</v>
      </c>
      <c r="H209" s="258">
        <v>25</v>
      </c>
    </row>
    <row r="210" spans="4:8" x14ac:dyDescent="0.25">
      <c r="D210" s="342" t="s">
        <v>176</v>
      </c>
      <c r="E210" s="488" t="s">
        <v>34</v>
      </c>
      <c r="F210" s="520"/>
      <c r="G210" s="520"/>
      <c r="H210" s="520"/>
    </row>
    <row r="211" spans="4:8" x14ac:dyDescent="0.25">
      <c r="D211" s="342" t="s">
        <v>341</v>
      </c>
      <c r="E211" s="488" t="s">
        <v>275</v>
      </c>
      <c r="F211" s="520"/>
      <c r="G211" s="520"/>
      <c r="H211" s="520"/>
    </row>
    <row r="212" spans="4:8" x14ac:dyDescent="0.25">
      <c r="D212" s="342" t="s">
        <v>342</v>
      </c>
      <c r="E212" s="529" t="s">
        <v>47</v>
      </c>
      <c r="F212" s="520"/>
      <c r="G212" s="520"/>
      <c r="H212" s="520"/>
    </row>
    <row r="213" spans="4:8" x14ac:dyDescent="0.25">
      <c r="D213" s="342" t="s">
        <v>343</v>
      </c>
      <c r="E213" s="488" t="s">
        <v>275</v>
      </c>
      <c r="F213" s="258" t="s">
        <v>172</v>
      </c>
      <c r="G213" s="258" t="s">
        <v>830</v>
      </c>
      <c r="H213" s="258">
        <v>17</v>
      </c>
    </row>
    <row r="214" spans="4:8" x14ac:dyDescent="0.25">
      <c r="D214" s="342" t="s">
        <v>46</v>
      </c>
      <c r="E214" s="488" t="s">
        <v>47</v>
      </c>
      <c r="F214" s="258" t="s">
        <v>172</v>
      </c>
      <c r="G214" s="258" t="s">
        <v>830</v>
      </c>
      <c r="H214" s="258">
        <v>17</v>
      </c>
    </row>
    <row r="215" spans="4:8" x14ac:dyDescent="0.25">
      <c r="D215" s="342" t="s">
        <v>344</v>
      </c>
      <c r="E215" s="488" t="s">
        <v>29</v>
      </c>
      <c r="F215" s="258" t="s">
        <v>172</v>
      </c>
      <c r="G215" s="258" t="s">
        <v>830</v>
      </c>
      <c r="H215" s="258">
        <v>17</v>
      </c>
    </row>
    <row r="216" spans="4:8" x14ac:dyDescent="0.25">
      <c r="D216" s="342" t="s">
        <v>345</v>
      </c>
      <c r="E216" s="488" t="s">
        <v>29</v>
      </c>
      <c r="F216" s="258" t="s">
        <v>172</v>
      </c>
      <c r="G216" s="258" t="s">
        <v>830</v>
      </c>
      <c r="H216" s="258">
        <v>17</v>
      </c>
    </row>
    <row r="217" spans="4:8" x14ac:dyDescent="0.25">
      <c r="D217" s="342" t="s">
        <v>170</v>
      </c>
      <c r="E217" s="488" t="s">
        <v>29</v>
      </c>
      <c r="F217" s="258" t="s">
        <v>172</v>
      </c>
      <c r="G217" s="258" t="s">
        <v>830</v>
      </c>
      <c r="H217" s="258">
        <v>17</v>
      </c>
    </row>
    <row r="218" spans="4:8" x14ac:dyDescent="0.25">
      <c r="D218" s="342" t="s">
        <v>181</v>
      </c>
      <c r="E218" s="488" t="s">
        <v>34</v>
      </c>
      <c r="F218" s="258" t="s">
        <v>172</v>
      </c>
      <c r="G218" s="258" t="s">
        <v>830</v>
      </c>
      <c r="H218" s="258">
        <v>17</v>
      </c>
    </row>
    <row r="219" spans="4:8" x14ac:dyDescent="0.25">
      <c r="D219" s="342" t="s">
        <v>346</v>
      </c>
      <c r="E219" s="488" t="s">
        <v>29</v>
      </c>
      <c r="F219" s="258" t="s">
        <v>172</v>
      </c>
      <c r="G219" s="258" t="s">
        <v>830</v>
      </c>
      <c r="H219" s="258">
        <v>17</v>
      </c>
    </row>
    <row r="220" spans="4:8" x14ac:dyDescent="0.25">
      <c r="D220" s="342" t="s">
        <v>347</v>
      </c>
      <c r="E220" s="488" t="s">
        <v>34</v>
      </c>
      <c r="F220" s="258" t="s">
        <v>172</v>
      </c>
      <c r="G220" s="258" t="s">
        <v>830</v>
      </c>
      <c r="H220" s="258">
        <v>17</v>
      </c>
    </row>
    <row r="221" spans="4:8" x14ac:dyDescent="0.25">
      <c r="D221" s="342" t="s">
        <v>348</v>
      </c>
      <c r="E221" s="488" t="s">
        <v>29</v>
      </c>
      <c r="F221" s="258" t="s">
        <v>172</v>
      </c>
      <c r="G221" s="258" t="s">
        <v>830</v>
      </c>
      <c r="H221" s="258">
        <v>17</v>
      </c>
    </row>
    <row r="222" spans="4:8" x14ac:dyDescent="0.25">
      <c r="D222" s="342" t="s">
        <v>349</v>
      </c>
      <c r="E222" s="488" t="s">
        <v>352</v>
      </c>
      <c r="F222" s="258" t="s">
        <v>172</v>
      </c>
      <c r="G222" s="258" t="s">
        <v>830</v>
      </c>
      <c r="H222" s="258">
        <v>17</v>
      </c>
    </row>
    <row r="223" spans="4:8" x14ac:dyDescent="0.25">
      <c r="D223" s="342" t="s">
        <v>350</v>
      </c>
      <c r="E223" s="488" t="s">
        <v>353</v>
      </c>
      <c r="F223" s="258" t="s">
        <v>172</v>
      </c>
      <c r="G223" s="258" t="s">
        <v>830</v>
      </c>
      <c r="H223" s="258">
        <v>17</v>
      </c>
    </row>
    <row r="224" spans="4:8" x14ac:dyDescent="0.25">
      <c r="D224" s="342" t="s">
        <v>351</v>
      </c>
      <c r="E224" s="488" t="s">
        <v>34</v>
      </c>
      <c r="F224" s="258" t="s">
        <v>172</v>
      </c>
      <c r="G224" s="258" t="s">
        <v>830</v>
      </c>
      <c r="H224" s="258">
        <v>17</v>
      </c>
    </row>
    <row r="225" spans="4:8" x14ac:dyDescent="0.25">
      <c r="D225" s="342" t="s">
        <v>354</v>
      </c>
      <c r="E225" s="488" t="s">
        <v>34</v>
      </c>
      <c r="F225" s="258" t="s">
        <v>172</v>
      </c>
      <c r="G225" s="258" t="s">
        <v>830</v>
      </c>
      <c r="H225" s="258">
        <v>17</v>
      </c>
    </row>
    <row r="226" spans="4:8" x14ac:dyDescent="0.25">
      <c r="D226" s="342" t="s">
        <v>355</v>
      </c>
      <c r="E226" s="488" t="s">
        <v>34</v>
      </c>
      <c r="F226" s="258" t="s">
        <v>172</v>
      </c>
      <c r="G226" s="258" t="s">
        <v>830</v>
      </c>
      <c r="H226" s="258">
        <v>17</v>
      </c>
    </row>
    <row r="227" spans="4:8" x14ac:dyDescent="0.25">
      <c r="D227" s="342" t="s">
        <v>356</v>
      </c>
      <c r="E227" s="488" t="s">
        <v>34</v>
      </c>
      <c r="F227" s="258" t="s">
        <v>172</v>
      </c>
      <c r="G227" s="258" t="s">
        <v>830</v>
      </c>
      <c r="H227" s="258">
        <v>17</v>
      </c>
    </row>
    <row r="228" spans="4:8" x14ac:dyDescent="0.25">
      <c r="D228" s="342" t="s">
        <v>357</v>
      </c>
      <c r="E228" s="488" t="s">
        <v>29</v>
      </c>
      <c r="F228" s="258" t="s">
        <v>172</v>
      </c>
      <c r="G228" s="258" t="s">
        <v>830</v>
      </c>
      <c r="H228" s="258">
        <v>17</v>
      </c>
    </row>
    <row r="229" spans="4:8" x14ac:dyDescent="0.25">
      <c r="D229" s="342" t="s">
        <v>358</v>
      </c>
      <c r="E229" s="488" t="s">
        <v>131</v>
      </c>
      <c r="F229" s="258" t="s">
        <v>172</v>
      </c>
      <c r="G229" s="258" t="s">
        <v>830</v>
      </c>
      <c r="H229" s="258">
        <v>17</v>
      </c>
    </row>
    <row r="230" spans="4:8" x14ac:dyDescent="0.25">
      <c r="D230" s="342" t="s">
        <v>359</v>
      </c>
      <c r="E230" s="488" t="s">
        <v>34</v>
      </c>
      <c r="F230" s="258" t="s">
        <v>172</v>
      </c>
      <c r="G230" s="258" t="s">
        <v>830</v>
      </c>
      <c r="H230" s="258">
        <v>17</v>
      </c>
    </row>
    <row r="231" spans="4:8" x14ac:dyDescent="0.25">
      <c r="D231" s="342" t="s">
        <v>360</v>
      </c>
      <c r="E231" s="488" t="s">
        <v>29</v>
      </c>
      <c r="F231" s="258" t="s">
        <v>172</v>
      </c>
      <c r="G231" s="258" t="s">
        <v>830</v>
      </c>
      <c r="H231" s="258">
        <v>17</v>
      </c>
    </row>
    <row r="232" spans="4:8" x14ac:dyDescent="0.25">
      <c r="D232" s="342" t="s">
        <v>361</v>
      </c>
      <c r="E232" s="488" t="s">
        <v>285</v>
      </c>
      <c r="F232" s="258" t="s">
        <v>172</v>
      </c>
      <c r="G232" s="258" t="s">
        <v>830</v>
      </c>
      <c r="H232" s="258">
        <v>17</v>
      </c>
    </row>
    <row r="233" spans="4:8" x14ac:dyDescent="0.25">
      <c r="D233" s="342" t="s">
        <v>362</v>
      </c>
      <c r="E233" s="488" t="s">
        <v>29</v>
      </c>
      <c r="F233" s="258" t="s">
        <v>172</v>
      </c>
      <c r="G233" s="258" t="s">
        <v>830</v>
      </c>
      <c r="H233" s="258">
        <v>17</v>
      </c>
    </row>
    <row r="234" spans="4:8" x14ac:dyDescent="0.25">
      <c r="D234" s="342" t="s">
        <v>363</v>
      </c>
      <c r="E234" s="488" t="s">
        <v>29</v>
      </c>
      <c r="F234" s="258" t="s">
        <v>172</v>
      </c>
      <c r="G234" s="258" t="s">
        <v>830</v>
      </c>
      <c r="H234" s="258">
        <v>17</v>
      </c>
    </row>
    <row r="235" spans="4:8" x14ac:dyDescent="0.25">
      <c r="D235" s="342" t="s">
        <v>364</v>
      </c>
      <c r="E235" s="488" t="s">
        <v>34</v>
      </c>
      <c r="F235" s="258" t="s">
        <v>172</v>
      </c>
      <c r="G235" s="258" t="s">
        <v>830</v>
      </c>
      <c r="H235" s="258">
        <v>17</v>
      </c>
    </row>
    <row r="236" spans="4:8" x14ac:dyDescent="0.25">
      <c r="D236" s="342" t="s">
        <v>365</v>
      </c>
      <c r="E236" s="488" t="s">
        <v>275</v>
      </c>
      <c r="F236" s="258" t="s">
        <v>172</v>
      </c>
      <c r="G236" s="258" t="s">
        <v>830</v>
      </c>
      <c r="H236" s="258">
        <v>17</v>
      </c>
    </row>
    <row r="237" spans="4:8" x14ac:dyDescent="0.25">
      <c r="D237" s="342" t="s">
        <v>366</v>
      </c>
      <c r="E237" s="488" t="s">
        <v>29</v>
      </c>
      <c r="F237" s="258" t="s">
        <v>172</v>
      </c>
      <c r="G237" s="258" t="s">
        <v>830</v>
      </c>
      <c r="H237" s="258">
        <v>17</v>
      </c>
    </row>
    <row r="238" spans="4:8" x14ac:dyDescent="0.25">
      <c r="D238" s="342" t="s">
        <v>367</v>
      </c>
      <c r="E238" s="488" t="s">
        <v>34</v>
      </c>
      <c r="F238" s="258" t="s">
        <v>172</v>
      </c>
      <c r="G238" s="258" t="s">
        <v>830</v>
      </c>
      <c r="H238" s="258">
        <v>17</v>
      </c>
    </row>
    <row r="239" spans="4:8" x14ac:dyDescent="0.25">
      <c r="D239" s="342" t="s">
        <v>368</v>
      </c>
      <c r="E239" s="488" t="s">
        <v>43</v>
      </c>
      <c r="F239" s="258" t="s">
        <v>172</v>
      </c>
      <c r="G239" s="258" t="s">
        <v>830</v>
      </c>
      <c r="H239" s="258">
        <v>17</v>
      </c>
    </row>
    <row r="240" spans="4:8" x14ac:dyDescent="0.25">
      <c r="D240" s="342" t="s">
        <v>369</v>
      </c>
      <c r="E240" s="488" t="s">
        <v>499</v>
      </c>
      <c r="F240" s="258" t="s">
        <v>172</v>
      </c>
      <c r="G240" s="258" t="s">
        <v>830</v>
      </c>
      <c r="H240" s="258">
        <v>17</v>
      </c>
    </row>
    <row r="241" spans="4:8" x14ac:dyDescent="0.25">
      <c r="D241" s="342" t="s">
        <v>370</v>
      </c>
      <c r="E241" s="488" t="s">
        <v>29</v>
      </c>
      <c r="F241" s="520"/>
      <c r="G241" s="520"/>
      <c r="H241" s="520"/>
    </row>
    <row r="242" spans="4:8" x14ac:dyDescent="0.25">
      <c r="D242" s="342" t="s">
        <v>371</v>
      </c>
      <c r="E242" s="488" t="s">
        <v>285</v>
      </c>
      <c r="F242" s="520"/>
      <c r="G242" s="520"/>
      <c r="H242" s="520"/>
    </row>
    <row r="243" spans="4:8" x14ac:dyDescent="0.25">
      <c r="D243" s="342" t="s">
        <v>372</v>
      </c>
      <c r="E243" s="488" t="s">
        <v>275</v>
      </c>
      <c r="F243" s="520"/>
      <c r="G243" s="520"/>
      <c r="H243" s="520"/>
    </row>
    <row r="244" spans="4:8" x14ac:dyDescent="0.25">
      <c r="D244" s="342" t="s">
        <v>373</v>
      </c>
      <c r="E244" s="488" t="s">
        <v>135</v>
      </c>
      <c r="F244" s="520"/>
      <c r="G244" s="520"/>
      <c r="H244" s="520"/>
    </row>
    <row r="245" spans="4:8" x14ac:dyDescent="0.25">
      <c r="D245" s="342" t="s">
        <v>374</v>
      </c>
      <c r="E245" s="488" t="s">
        <v>633</v>
      </c>
      <c r="F245" s="520"/>
      <c r="G245" s="520"/>
      <c r="H245" s="520"/>
    </row>
    <row r="246" spans="4:8" x14ac:dyDescent="0.25">
      <c r="D246" s="342" t="s">
        <v>375</v>
      </c>
      <c r="E246" s="488" t="s">
        <v>352</v>
      </c>
      <c r="F246" s="520"/>
      <c r="G246" s="520"/>
      <c r="H246" s="520"/>
    </row>
    <row r="247" spans="4:8" x14ac:dyDescent="0.25">
      <c r="D247" s="342" t="s">
        <v>376</v>
      </c>
      <c r="E247" s="488" t="s">
        <v>29</v>
      </c>
      <c r="F247" s="520"/>
      <c r="G247" s="520"/>
      <c r="H247" s="520"/>
    </row>
    <row r="248" spans="4:8" x14ac:dyDescent="0.25">
      <c r="D248" s="342" t="s">
        <v>377</v>
      </c>
      <c r="E248" s="488" t="s">
        <v>29</v>
      </c>
      <c r="F248" s="520"/>
      <c r="G248" s="520"/>
      <c r="H248" s="520"/>
    </row>
    <row r="249" spans="4:8" x14ac:dyDescent="0.25">
      <c r="D249" s="342" t="s">
        <v>378</v>
      </c>
      <c r="E249" s="488" t="s">
        <v>29</v>
      </c>
      <c r="F249" s="520"/>
      <c r="G249" s="520"/>
      <c r="H249" s="520"/>
    </row>
    <row r="250" spans="4:8" x14ac:dyDescent="0.25">
      <c r="D250" s="342" t="s">
        <v>500</v>
      </c>
      <c r="E250" s="488" t="s">
        <v>43</v>
      </c>
      <c r="F250" s="520"/>
      <c r="G250" s="520"/>
      <c r="H250" s="520"/>
    </row>
    <row r="251" spans="4:8" x14ac:dyDescent="0.25">
      <c r="D251" s="342" t="s">
        <v>379</v>
      </c>
      <c r="E251" s="488" t="s">
        <v>501</v>
      </c>
      <c r="F251" s="520"/>
      <c r="G251" s="520"/>
      <c r="H251" s="520"/>
    </row>
    <row r="252" spans="4:8" x14ac:dyDescent="0.25">
      <c r="D252" s="342" t="s">
        <v>380</v>
      </c>
      <c r="E252" s="488" t="s">
        <v>29</v>
      </c>
      <c r="F252" s="520"/>
      <c r="G252" s="520"/>
      <c r="H252" s="520"/>
    </row>
    <row r="253" spans="4:8" x14ac:dyDescent="0.25">
      <c r="D253" s="342" t="s">
        <v>381</v>
      </c>
      <c r="E253" s="488" t="s">
        <v>34</v>
      </c>
      <c r="F253" s="520"/>
      <c r="G253" s="520"/>
      <c r="H253" s="520"/>
    </row>
    <row r="254" spans="4:8" x14ac:dyDescent="0.25">
      <c r="D254" s="342" t="s">
        <v>382</v>
      </c>
      <c r="E254" s="488" t="s">
        <v>34</v>
      </c>
      <c r="F254" s="520"/>
      <c r="G254" s="520"/>
      <c r="H254" s="520"/>
    </row>
    <row r="255" spans="4:8" x14ac:dyDescent="0.25">
      <c r="D255" s="342" t="s">
        <v>383</v>
      </c>
      <c r="E255" s="488" t="s">
        <v>34</v>
      </c>
      <c r="F255" s="520"/>
      <c r="G255" s="520"/>
      <c r="H255" s="520"/>
    </row>
    <row r="256" spans="4:8" x14ac:dyDescent="0.25">
      <c r="D256" s="342" t="s">
        <v>384</v>
      </c>
      <c r="E256" s="488" t="s">
        <v>29</v>
      </c>
      <c r="F256" s="520"/>
      <c r="G256" s="520"/>
      <c r="H256" s="520"/>
    </row>
    <row r="257" spans="4:8" x14ac:dyDescent="0.25">
      <c r="D257" s="342" t="s">
        <v>385</v>
      </c>
      <c r="E257" s="488" t="s">
        <v>34</v>
      </c>
      <c r="F257" s="520"/>
      <c r="G257" s="520"/>
      <c r="H257" s="520"/>
    </row>
    <row r="258" spans="4:8" x14ac:dyDescent="0.25">
      <c r="D258" s="342" t="s">
        <v>386</v>
      </c>
      <c r="E258" s="488" t="s">
        <v>34</v>
      </c>
      <c r="F258" s="520"/>
      <c r="G258" s="520"/>
      <c r="H258" s="520"/>
    </row>
    <row r="259" spans="4:8" x14ac:dyDescent="0.25">
      <c r="D259" s="342" t="s">
        <v>387</v>
      </c>
      <c r="E259" s="488" t="s">
        <v>29</v>
      </c>
      <c r="F259" s="520"/>
      <c r="G259" s="520"/>
      <c r="H259" s="520"/>
    </row>
    <row r="260" spans="4:8" x14ac:dyDescent="0.25">
      <c r="D260" s="342" t="s">
        <v>388</v>
      </c>
      <c r="E260" s="488" t="s">
        <v>131</v>
      </c>
      <c r="F260" s="520"/>
      <c r="G260" s="520"/>
      <c r="H260" s="520"/>
    </row>
    <row r="261" spans="4:8" x14ac:dyDescent="0.25">
      <c r="D261" s="342" t="s">
        <v>389</v>
      </c>
      <c r="E261" s="488" t="s">
        <v>34</v>
      </c>
      <c r="F261" s="520"/>
      <c r="G261" s="520"/>
      <c r="H261" s="520"/>
    </row>
    <row r="262" spans="4:8" x14ac:dyDescent="0.25">
      <c r="D262" s="342" t="s">
        <v>390</v>
      </c>
      <c r="E262" s="488" t="s">
        <v>29</v>
      </c>
      <c r="F262" s="520"/>
      <c r="G262" s="520"/>
      <c r="H262" s="520"/>
    </row>
    <row r="263" spans="4:8" x14ac:dyDescent="0.25">
      <c r="D263" s="342" t="s">
        <v>391</v>
      </c>
      <c r="E263" s="488" t="s">
        <v>29</v>
      </c>
      <c r="F263" s="520"/>
      <c r="G263" s="520"/>
      <c r="H263" s="520"/>
    </row>
    <row r="264" spans="4:8" x14ac:dyDescent="0.25">
      <c r="D264" s="342" t="s">
        <v>392</v>
      </c>
      <c r="E264" s="488" t="s">
        <v>43</v>
      </c>
      <c r="F264" s="520"/>
      <c r="G264" s="520"/>
      <c r="H264" s="520"/>
    </row>
    <row r="265" spans="4:8" x14ac:dyDescent="0.25">
      <c r="D265" s="342" t="s">
        <v>393</v>
      </c>
      <c r="E265" s="488" t="s">
        <v>29</v>
      </c>
      <c r="F265" s="520"/>
      <c r="G265" s="520"/>
      <c r="H265" s="520"/>
    </row>
    <row r="266" spans="4:8" x14ac:dyDescent="0.25">
      <c r="D266" s="342" t="s">
        <v>394</v>
      </c>
      <c r="E266" s="488" t="s">
        <v>29</v>
      </c>
      <c r="F266" s="520"/>
      <c r="G266" s="520"/>
      <c r="H266" s="520"/>
    </row>
    <row r="267" spans="4:8" x14ac:dyDescent="0.25">
      <c r="D267" s="342" t="s">
        <v>395</v>
      </c>
      <c r="E267" s="488" t="s">
        <v>275</v>
      </c>
      <c r="F267" s="520"/>
      <c r="G267" s="520"/>
      <c r="H267" s="520"/>
    </row>
    <row r="268" spans="4:8" x14ac:dyDescent="0.25">
      <c r="D268" s="342" t="s">
        <v>396</v>
      </c>
      <c r="E268" s="488" t="s">
        <v>29</v>
      </c>
      <c r="F268" s="520"/>
      <c r="G268" s="520"/>
      <c r="H268" s="520"/>
    </row>
    <row r="269" spans="4:8" x14ac:dyDescent="0.25">
      <c r="D269" s="342" t="s">
        <v>397</v>
      </c>
      <c r="E269" s="488" t="s">
        <v>29</v>
      </c>
      <c r="F269" s="520"/>
      <c r="G269" s="520"/>
      <c r="H269" s="520"/>
    </row>
    <row r="270" spans="4:8" x14ac:dyDescent="0.25">
      <c r="D270" s="342" t="s">
        <v>398</v>
      </c>
      <c r="E270" s="488" t="s">
        <v>34</v>
      </c>
      <c r="F270" s="520"/>
      <c r="G270" s="520"/>
      <c r="H270" s="520"/>
    </row>
    <row r="271" spans="4:8" x14ac:dyDescent="0.25">
      <c r="D271" s="342" t="s">
        <v>399</v>
      </c>
      <c r="E271" s="488" t="s">
        <v>29</v>
      </c>
      <c r="F271" s="520"/>
      <c r="G271" s="520"/>
      <c r="H271" s="520"/>
    </row>
    <row r="272" spans="4:8" x14ac:dyDescent="0.25">
      <c r="D272" s="342" t="s">
        <v>400</v>
      </c>
      <c r="E272" s="488" t="s">
        <v>29</v>
      </c>
      <c r="F272" s="520"/>
      <c r="G272" s="520"/>
      <c r="H272" s="520"/>
    </row>
    <row r="273" spans="4:8" x14ac:dyDescent="0.25">
      <c r="D273" s="342" t="s">
        <v>401</v>
      </c>
      <c r="E273" s="488" t="s">
        <v>29</v>
      </c>
      <c r="F273" s="520"/>
      <c r="G273" s="520"/>
      <c r="H273" s="520"/>
    </row>
    <row r="274" spans="4:8" x14ac:dyDescent="0.25">
      <c r="D274" s="342" t="s">
        <v>496</v>
      </c>
      <c r="E274" s="488" t="s">
        <v>29</v>
      </c>
      <c r="F274" s="520"/>
      <c r="G274" s="520"/>
      <c r="H274" s="520"/>
    </row>
    <row r="275" spans="4:8" x14ac:dyDescent="0.25">
      <c r="D275" s="342" t="s">
        <v>402</v>
      </c>
      <c r="E275" s="488" t="s">
        <v>608</v>
      </c>
      <c r="F275" s="520"/>
      <c r="G275" s="520"/>
      <c r="H275" s="520"/>
    </row>
    <row r="276" spans="4:8" x14ac:dyDescent="0.25">
      <c r="D276" s="342" t="s">
        <v>403</v>
      </c>
      <c r="E276" s="488" t="s">
        <v>43</v>
      </c>
      <c r="F276" s="520"/>
      <c r="G276" s="520"/>
      <c r="H276" s="520"/>
    </row>
    <row r="277" spans="4:8" x14ac:dyDescent="0.25">
      <c r="D277" s="342" t="s">
        <v>404</v>
      </c>
      <c r="E277" s="488" t="s">
        <v>29</v>
      </c>
      <c r="F277" s="520"/>
      <c r="G277" s="520"/>
      <c r="H277" s="520"/>
    </row>
    <row r="278" spans="4:8" x14ac:dyDescent="0.25">
      <c r="D278" s="342" t="s">
        <v>405</v>
      </c>
      <c r="E278" s="488" t="s">
        <v>34</v>
      </c>
      <c r="F278" s="520"/>
      <c r="G278" s="520"/>
      <c r="H278" s="520"/>
    </row>
    <row r="279" spans="4:8" x14ac:dyDescent="0.25">
      <c r="D279" s="342" t="s">
        <v>406</v>
      </c>
      <c r="E279" s="488" t="s">
        <v>34</v>
      </c>
      <c r="F279" s="520"/>
      <c r="G279" s="520"/>
      <c r="H279" s="520"/>
    </row>
    <row r="280" spans="4:8" x14ac:dyDescent="0.25">
      <c r="D280" s="342" t="s">
        <v>407</v>
      </c>
      <c r="E280" s="488" t="s">
        <v>34</v>
      </c>
      <c r="F280" s="520"/>
      <c r="G280" s="520"/>
      <c r="H280" s="520"/>
    </row>
    <row r="281" spans="4:8" x14ac:dyDescent="0.25">
      <c r="D281" s="342" t="s">
        <v>408</v>
      </c>
      <c r="E281" s="488" t="s">
        <v>29</v>
      </c>
      <c r="F281" s="520"/>
      <c r="G281" s="520"/>
      <c r="H281" s="520"/>
    </row>
    <row r="282" spans="4:8" x14ac:dyDescent="0.25">
      <c r="D282" s="342" t="s">
        <v>409</v>
      </c>
      <c r="E282" s="488" t="s">
        <v>43</v>
      </c>
      <c r="F282" s="520"/>
      <c r="G282" s="520"/>
      <c r="H282" s="520"/>
    </row>
    <row r="283" spans="4:8" x14ac:dyDescent="0.25">
      <c r="D283" s="342" t="s">
        <v>410</v>
      </c>
      <c r="E283" s="488" t="s">
        <v>34</v>
      </c>
      <c r="F283" s="520"/>
      <c r="G283" s="520"/>
      <c r="H283" s="520"/>
    </row>
    <row r="284" spans="4:8" x14ac:dyDescent="0.25">
      <c r="D284" s="342" t="s">
        <v>411</v>
      </c>
      <c r="E284" s="488" t="s">
        <v>47</v>
      </c>
      <c r="F284" s="520"/>
      <c r="G284" s="520"/>
      <c r="H284" s="520"/>
    </row>
    <row r="285" spans="4:8" x14ac:dyDescent="0.25">
      <c r="D285" s="342" t="s">
        <v>412</v>
      </c>
      <c r="E285" s="488" t="s">
        <v>613</v>
      </c>
      <c r="F285" s="520"/>
      <c r="G285" s="520"/>
      <c r="H285" s="520"/>
    </row>
    <row r="286" spans="4:8" x14ac:dyDescent="0.25">
      <c r="D286" s="342" t="s">
        <v>413</v>
      </c>
      <c r="E286" s="529" t="s">
        <v>47</v>
      </c>
      <c r="F286" s="520"/>
      <c r="G286" s="520"/>
      <c r="H286" s="520"/>
    </row>
    <row r="287" spans="4:8" x14ac:dyDescent="0.25">
      <c r="D287" s="342" t="s">
        <v>414</v>
      </c>
      <c r="E287" s="488" t="s">
        <v>275</v>
      </c>
      <c r="F287" s="520"/>
      <c r="G287" s="520"/>
      <c r="H287" s="520"/>
    </row>
    <row r="288" spans="4:8" x14ac:dyDescent="0.25">
      <c r="D288" s="342" t="s">
        <v>415</v>
      </c>
      <c r="E288" s="488" t="s">
        <v>29</v>
      </c>
      <c r="F288" s="520"/>
      <c r="G288" s="520"/>
      <c r="H288" s="520"/>
    </row>
    <row r="289" spans="4:8" x14ac:dyDescent="0.25">
      <c r="D289" s="342" t="s">
        <v>416</v>
      </c>
      <c r="E289" s="488" t="s">
        <v>352</v>
      </c>
      <c r="F289" s="520"/>
      <c r="G289" s="520"/>
      <c r="H289" s="520"/>
    </row>
    <row r="290" spans="4:8" x14ac:dyDescent="0.25">
      <c r="D290" s="342" t="s">
        <v>417</v>
      </c>
      <c r="E290" s="488" t="s">
        <v>43</v>
      </c>
      <c r="F290" s="520"/>
      <c r="G290" s="520"/>
      <c r="H290" s="520"/>
    </row>
    <row r="291" spans="4:8" x14ac:dyDescent="0.25">
      <c r="D291" s="342" t="s">
        <v>418</v>
      </c>
      <c r="E291" s="488" t="s">
        <v>29</v>
      </c>
      <c r="F291" s="520"/>
      <c r="G291" s="520"/>
      <c r="H291" s="520"/>
    </row>
    <row r="292" spans="4:8" x14ac:dyDescent="0.25">
      <c r="D292" s="342" t="s">
        <v>419</v>
      </c>
      <c r="E292" s="488" t="s">
        <v>34</v>
      </c>
      <c r="F292" s="520"/>
      <c r="G292" s="520"/>
      <c r="H292" s="520"/>
    </row>
    <row r="293" spans="4:8" x14ac:dyDescent="0.25">
      <c r="D293" s="342" t="s">
        <v>420</v>
      </c>
      <c r="E293" s="488" t="s">
        <v>34</v>
      </c>
      <c r="F293" s="520"/>
      <c r="G293" s="520"/>
      <c r="H293" s="520"/>
    </row>
    <row r="294" spans="4:8" x14ac:dyDescent="0.25">
      <c r="D294" s="342" t="s">
        <v>421</v>
      </c>
      <c r="E294" s="488" t="s">
        <v>34</v>
      </c>
      <c r="F294" s="520"/>
      <c r="G294" s="520"/>
      <c r="H294" s="520"/>
    </row>
    <row r="295" spans="4:8" x14ac:dyDescent="0.25">
      <c r="D295" s="342" t="s">
        <v>422</v>
      </c>
      <c r="E295" s="488" t="s">
        <v>29</v>
      </c>
      <c r="F295" s="520"/>
      <c r="G295" s="520"/>
      <c r="H295" s="520"/>
    </row>
    <row r="296" spans="4:8" x14ac:dyDescent="0.25">
      <c r="D296" s="342" t="s">
        <v>423</v>
      </c>
      <c r="E296" s="488" t="s">
        <v>47</v>
      </c>
      <c r="F296" s="520"/>
      <c r="G296" s="520"/>
      <c r="H296" s="520"/>
    </row>
    <row r="297" spans="4:8" x14ac:dyDescent="0.25">
      <c r="D297" s="342" t="s">
        <v>424</v>
      </c>
      <c r="E297" s="488" t="s">
        <v>47</v>
      </c>
      <c r="F297" s="520"/>
      <c r="G297" s="520"/>
      <c r="H297" s="520"/>
    </row>
    <row r="298" spans="4:8" x14ac:dyDescent="0.25">
      <c r="D298" s="342" t="s">
        <v>425</v>
      </c>
      <c r="E298" s="488" t="s">
        <v>34</v>
      </c>
      <c r="F298" s="520"/>
      <c r="G298" s="520"/>
      <c r="H298" s="520"/>
    </row>
    <row r="299" spans="4:8" x14ac:dyDescent="0.25">
      <c r="D299" s="342" t="s">
        <v>426</v>
      </c>
      <c r="E299" s="488" t="s">
        <v>131</v>
      </c>
      <c r="F299" s="520"/>
      <c r="G299" s="520"/>
      <c r="H299" s="520"/>
    </row>
    <row r="300" spans="4:8" x14ac:dyDescent="0.25">
      <c r="D300" s="342" t="s">
        <v>427</v>
      </c>
      <c r="E300" s="488" t="s">
        <v>34</v>
      </c>
      <c r="F300" s="520"/>
      <c r="G300" s="520"/>
      <c r="H300" s="520"/>
    </row>
    <row r="301" spans="4:8" x14ac:dyDescent="0.25">
      <c r="D301" s="342" t="s">
        <v>428</v>
      </c>
      <c r="E301" s="488" t="s">
        <v>285</v>
      </c>
      <c r="F301" s="520"/>
      <c r="G301" s="520"/>
      <c r="H301" s="520"/>
    </row>
    <row r="302" spans="4:8" x14ac:dyDescent="0.25">
      <c r="D302" s="342" t="s">
        <v>429</v>
      </c>
      <c r="E302" s="488" t="s">
        <v>29</v>
      </c>
      <c r="F302" s="520"/>
      <c r="G302" s="520"/>
      <c r="H302" s="520"/>
    </row>
    <row r="303" spans="4:8" x14ac:dyDescent="0.25">
      <c r="D303" s="342" t="s">
        <v>430</v>
      </c>
      <c r="E303" s="488" t="s">
        <v>34</v>
      </c>
      <c r="F303" s="520"/>
      <c r="G303" s="520"/>
      <c r="H303" s="520"/>
    </row>
    <row r="304" spans="4:8" x14ac:dyDescent="0.25">
      <c r="D304" s="342" t="s">
        <v>431</v>
      </c>
      <c r="E304" s="488" t="s">
        <v>47</v>
      </c>
      <c r="F304" s="520"/>
      <c r="G304" s="520"/>
      <c r="H304" s="520"/>
    </row>
    <row r="305" spans="4:8" x14ac:dyDescent="0.25">
      <c r="D305" s="342" t="s">
        <v>709</v>
      </c>
      <c r="E305" s="488" t="s">
        <v>826</v>
      </c>
      <c r="F305" s="520"/>
      <c r="G305" s="520"/>
      <c r="H305" s="520"/>
    </row>
    <row r="306" spans="4:8" x14ac:dyDescent="0.25">
      <c r="D306" s="342" t="s">
        <v>715</v>
      </c>
      <c r="E306" s="488" t="s">
        <v>767</v>
      </c>
      <c r="F306" s="520"/>
      <c r="G306" s="520"/>
      <c r="H306" s="520"/>
    </row>
    <row r="307" spans="4:8" x14ac:dyDescent="0.25">
      <c r="D307" s="342" t="s">
        <v>711</v>
      </c>
      <c r="E307" s="488" t="s">
        <v>29</v>
      </c>
      <c r="F307" s="520"/>
      <c r="G307" s="520"/>
      <c r="H307" s="520"/>
    </row>
    <row r="308" spans="4:8" x14ac:dyDescent="0.25">
      <c r="D308" s="342" t="s">
        <v>712</v>
      </c>
      <c r="E308" s="488" t="s">
        <v>29</v>
      </c>
      <c r="F308" s="520"/>
      <c r="G308" s="520"/>
      <c r="H308" s="520"/>
    </row>
    <row r="309" spans="4:8" x14ac:dyDescent="0.25">
      <c r="D309" s="342" t="s">
        <v>713</v>
      </c>
      <c r="E309" s="488" t="s">
        <v>29</v>
      </c>
      <c r="F309" s="520"/>
      <c r="G309" s="520"/>
      <c r="H309" s="520"/>
    </row>
    <row r="310" spans="4:8" x14ac:dyDescent="0.25">
      <c r="D310" s="342" t="s">
        <v>714</v>
      </c>
      <c r="E310" s="488" t="s">
        <v>34</v>
      </c>
      <c r="F310" s="520"/>
      <c r="G310" s="520"/>
      <c r="H310" s="520"/>
    </row>
    <row r="311" spans="4:8" x14ac:dyDescent="0.25">
      <c r="D311" s="342" t="s">
        <v>827</v>
      </c>
      <c r="E311" s="488" t="s">
        <v>352</v>
      </c>
      <c r="F311" s="520"/>
      <c r="G311" s="520"/>
      <c r="H311" s="520"/>
    </row>
    <row r="312" spans="4:8" x14ac:dyDescent="0.25">
      <c r="D312" s="342" t="s">
        <v>717</v>
      </c>
      <c r="E312" s="488" t="s">
        <v>612</v>
      </c>
      <c r="F312" s="520"/>
      <c r="G312" s="520"/>
      <c r="H312" s="520"/>
    </row>
  </sheetData>
  <autoFilter ref="D2:H312" xr:uid="{00000000-0009-0000-0000-000006000000}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1:I65"/>
  <sheetViews>
    <sheetView topLeftCell="A48" workbookViewId="0">
      <selection activeCell="G52" sqref="G52:G55"/>
    </sheetView>
  </sheetViews>
  <sheetFormatPr defaultRowHeight="15" x14ac:dyDescent="0.25"/>
  <cols>
    <col min="4" max="4" width="15" customWidth="1"/>
    <col min="9" max="9" width="33.7109375" customWidth="1"/>
  </cols>
  <sheetData>
    <row r="1" spans="3:9" ht="15.75" thickBot="1" x14ac:dyDescent="0.3"/>
    <row r="2" spans="3:9" ht="15.75" thickBot="1" x14ac:dyDescent="0.3">
      <c r="C2" s="868" t="s">
        <v>641</v>
      </c>
      <c r="D2" s="869"/>
      <c r="E2" s="869"/>
      <c r="F2" s="869"/>
      <c r="G2" s="869"/>
      <c r="H2" s="869"/>
      <c r="I2" s="553"/>
    </row>
    <row r="3" spans="3:9" ht="15.75" thickBot="1" x14ac:dyDescent="0.3">
      <c r="C3" s="767" t="s">
        <v>156</v>
      </c>
      <c r="D3" s="768"/>
      <c r="E3" s="768"/>
      <c r="F3" s="768"/>
      <c r="G3" s="768"/>
      <c r="H3" s="768"/>
      <c r="I3" s="553"/>
    </row>
    <row r="4" spans="3:9" x14ac:dyDescent="0.25">
      <c r="C4" s="546" t="s">
        <v>152</v>
      </c>
      <c r="D4" s="238" t="s">
        <v>150</v>
      </c>
      <c r="E4" s="238" t="s">
        <v>1</v>
      </c>
      <c r="F4" s="238" t="s">
        <v>537</v>
      </c>
      <c r="G4" s="238" t="s">
        <v>149</v>
      </c>
      <c r="H4" s="238" t="s">
        <v>100</v>
      </c>
      <c r="I4" s="553"/>
    </row>
    <row r="5" spans="3:9" x14ac:dyDescent="0.25">
      <c r="C5" s="554">
        <v>1</v>
      </c>
      <c r="D5" s="553" t="s">
        <v>155</v>
      </c>
      <c r="E5" s="553" t="s">
        <v>153</v>
      </c>
      <c r="F5" s="553">
        <v>190</v>
      </c>
      <c r="G5" s="555">
        <v>190</v>
      </c>
      <c r="H5" s="555">
        <f>F5-G5</f>
        <v>0</v>
      </c>
      <c r="I5" s="556"/>
    </row>
    <row r="6" spans="3:9" x14ac:dyDescent="0.25">
      <c r="C6" s="557">
        <v>2</v>
      </c>
      <c r="D6" s="558" t="s">
        <v>154</v>
      </c>
      <c r="E6" s="558" t="s">
        <v>153</v>
      </c>
      <c r="F6" s="558">
        <v>23</v>
      </c>
      <c r="G6" s="559">
        <v>23</v>
      </c>
      <c r="H6" s="559">
        <f t="shared" ref="H6:H14" si="0">F6-G6</f>
        <v>0</v>
      </c>
      <c r="I6" s="553"/>
    </row>
    <row r="7" spans="3:9" x14ac:dyDescent="0.25">
      <c r="C7" s="557">
        <v>3</v>
      </c>
      <c r="D7" s="558" t="s">
        <v>447</v>
      </c>
      <c r="E7" s="558" t="s">
        <v>153</v>
      </c>
      <c r="F7" s="558">
        <v>13</v>
      </c>
      <c r="G7" s="559">
        <v>13</v>
      </c>
      <c r="H7" s="559">
        <f t="shared" si="0"/>
        <v>0</v>
      </c>
      <c r="I7" s="553"/>
    </row>
    <row r="8" spans="3:9" x14ac:dyDescent="0.25">
      <c r="C8" s="557">
        <v>4</v>
      </c>
      <c r="D8" s="558" t="s">
        <v>642</v>
      </c>
      <c r="E8" s="558" t="s">
        <v>153</v>
      </c>
      <c r="F8" s="558">
        <v>7</v>
      </c>
      <c r="G8" s="559">
        <v>7</v>
      </c>
      <c r="H8" s="559">
        <f t="shared" si="0"/>
        <v>0</v>
      </c>
      <c r="I8" s="553"/>
    </row>
    <row r="9" spans="3:9" x14ac:dyDescent="0.25">
      <c r="C9" s="557">
        <v>5</v>
      </c>
      <c r="D9" s="558" t="s">
        <v>643</v>
      </c>
      <c r="E9" s="558" t="s">
        <v>153</v>
      </c>
      <c r="F9" s="558">
        <v>1</v>
      </c>
      <c r="G9" s="559">
        <v>1</v>
      </c>
      <c r="H9" s="559">
        <f t="shared" si="0"/>
        <v>0</v>
      </c>
      <c r="I9" s="553"/>
    </row>
    <row r="10" spans="3:9" x14ac:dyDescent="0.25">
      <c r="C10" s="554">
        <v>6</v>
      </c>
      <c r="D10" s="553" t="s">
        <v>161</v>
      </c>
      <c r="E10" s="553" t="s">
        <v>153</v>
      </c>
      <c r="F10" s="553">
        <v>61</v>
      </c>
      <c r="G10" s="555">
        <v>61</v>
      </c>
      <c r="H10" s="555">
        <f t="shared" si="0"/>
        <v>0</v>
      </c>
      <c r="I10" s="556"/>
    </row>
    <row r="11" spans="3:9" x14ac:dyDescent="0.25">
      <c r="C11" s="554">
        <v>7</v>
      </c>
      <c r="D11" s="553" t="s">
        <v>539</v>
      </c>
      <c r="E11" s="553" t="s">
        <v>153</v>
      </c>
      <c r="F11" s="553">
        <v>11</v>
      </c>
      <c r="G11" s="555">
        <v>11</v>
      </c>
      <c r="H11" s="555">
        <f t="shared" si="0"/>
        <v>0</v>
      </c>
      <c r="I11" s="553"/>
    </row>
    <row r="12" spans="3:9" x14ac:dyDescent="0.25">
      <c r="C12" s="554">
        <v>7</v>
      </c>
      <c r="D12" s="553" t="s">
        <v>644</v>
      </c>
      <c r="E12" s="553" t="s">
        <v>153</v>
      </c>
      <c r="F12" s="553">
        <v>4</v>
      </c>
      <c r="G12" s="555">
        <v>4</v>
      </c>
      <c r="H12" s="555">
        <f t="shared" si="0"/>
        <v>0</v>
      </c>
      <c r="I12" s="553"/>
    </row>
    <row r="13" spans="3:9" x14ac:dyDescent="0.25">
      <c r="C13" s="554">
        <v>8</v>
      </c>
      <c r="D13" s="553" t="s">
        <v>538</v>
      </c>
      <c r="E13" s="553" t="s">
        <v>153</v>
      </c>
      <c r="F13" s="553"/>
      <c r="G13" s="555"/>
      <c r="H13" s="555">
        <f t="shared" si="0"/>
        <v>0</v>
      </c>
      <c r="I13" s="553"/>
    </row>
    <row r="14" spans="3:9" ht="15.75" thickBot="1" x14ac:dyDescent="0.3">
      <c r="C14" s="560">
        <v>9</v>
      </c>
      <c r="D14" s="561" t="s">
        <v>645</v>
      </c>
      <c r="E14" s="561" t="s">
        <v>153</v>
      </c>
      <c r="F14" s="561">
        <v>2</v>
      </c>
      <c r="G14" s="562">
        <v>2</v>
      </c>
      <c r="H14" s="562">
        <f t="shared" si="0"/>
        <v>0</v>
      </c>
      <c r="I14" s="553"/>
    </row>
    <row r="15" spans="3:9" ht="15.75" thickBot="1" x14ac:dyDescent="0.3">
      <c r="C15" s="547"/>
      <c r="D15" s="563" t="s">
        <v>162</v>
      </c>
      <c r="E15" s="563" t="s">
        <v>153</v>
      </c>
      <c r="F15" s="563">
        <f>SUM(F5:F14)</f>
        <v>312</v>
      </c>
      <c r="G15" s="564">
        <f>SUM(G5:G14)</f>
        <v>312</v>
      </c>
      <c r="H15" s="564">
        <f>SUM(H5:H14)</f>
        <v>0</v>
      </c>
      <c r="I15" s="553"/>
    </row>
    <row r="16" spans="3:9" ht="15.75" thickBot="1" x14ac:dyDescent="0.3">
      <c r="C16" s="565"/>
      <c r="D16" s="235"/>
      <c r="E16" s="235"/>
      <c r="F16" s="235"/>
      <c r="G16" s="235"/>
      <c r="H16" s="235"/>
      <c r="I16" s="235"/>
    </row>
    <row r="17" spans="3:9" ht="15.75" thickBot="1" x14ac:dyDescent="0.3">
      <c r="C17" s="868" t="s">
        <v>535</v>
      </c>
      <c r="D17" s="869"/>
      <c r="E17" s="869"/>
      <c r="F17" s="869"/>
      <c r="G17" s="869"/>
      <c r="H17" s="869"/>
      <c r="I17" s="870"/>
    </row>
    <row r="18" spans="3:9" ht="15.75" thickBot="1" x14ac:dyDescent="0.3">
      <c r="C18" s="598" t="s">
        <v>152</v>
      </c>
      <c r="D18" s="566" t="s">
        <v>151</v>
      </c>
      <c r="E18" s="563" t="s">
        <v>150</v>
      </c>
      <c r="F18" s="563" t="s">
        <v>537</v>
      </c>
      <c r="G18" s="563" t="s">
        <v>149</v>
      </c>
      <c r="H18" s="563" t="s">
        <v>540</v>
      </c>
      <c r="I18" s="567" t="s">
        <v>646</v>
      </c>
    </row>
    <row r="19" spans="3:9" x14ac:dyDescent="0.25">
      <c r="C19" s="853">
        <v>1</v>
      </c>
      <c r="D19" s="855" t="s">
        <v>148</v>
      </c>
      <c r="E19" s="247" t="s">
        <v>147</v>
      </c>
      <c r="F19" s="247">
        <v>190</v>
      </c>
      <c r="G19" s="568">
        <v>190</v>
      </c>
      <c r="H19" s="569">
        <f t="shared" ref="H19:H27" si="1">F19-G19</f>
        <v>0</v>
      </c>
      <c r="I19" s="248"/>
    </row>
    <row r="20" spans="3:9" x14ac:dyDescent="0.25">
      <c r="C20" s="854"/>
      <c r="D20" s="746"/>
      <c r="E20" s="249" t="s">
        <v>146</v>
      </c>
      <c r="F20" s="249">
        <v>99</v>
      </c>
      <c r="G20" s="240">
        <v>99</v>
      </c>
      <c r="H20" s="240">
        <f>F20-G20</f>
        <v>0</v>
      </c>
      <c r="I20" s="515"/>
    </row>
    <row r="21" spans="3:9" x14ac:dyDescent="0.25">
      <c r="C21" s="854"/>
      <c r="D21" s="746"/>
      <c r="E21" s="249" t="s">
        <v>145</v>
      </c>
      <c r="F21" s="249">
        <v>57</v>
      </c>
      <c r="G21" s="240">
        <v>57</v>
      </c>
      <c r="H21" s="240">
        <f>F21-G21</f>
        <v>0</v>
      </c>
      <c r="I21" s="515"/>
    </row>
    <row r="22" spans="3:9" x14ac:dyDescent="0.25">
      <c r="C22" s="854"/>
      <c r="D22" s="746"/>
      <c r="E22" s="249" t="s">
        <v>144</v>
      </c>
      <c r="F22" s="249">
        <v>21</v>
      </c>
      <c r="G22" s="240">
        <v>21</v>
      </c>
      <c r="H22" s="570">
        <f>F22-G22</f>
        <v>0</v>
      </c>
      <c r="I22" s="515"/>
    </row>
    <row r="23" spans="3:9" x14ac:dyDescent="0.25">
      <c r="C23" s="854"/>
      <c r="D23" s="746"/>
      <c r="E23" s="249" t="s">
        <v>143</v>
      </c>
      <c r="F23" s="249">
        <v>7</v>
      </c>
      <c r="G23" s="240">
        <v>7</v>
      </c>
      <c r="H23" s="240">
        <f>F23-G23</f>
        <v>0</v>
      </c>
      <c r="I23" s="515"/>
    </row>
    <row r="24" spans="3:9" ht="15.75" thickBot="1" x14ac:dyDescent="0.3">
      <c r="C24" s="857"/>
      <c r="D24" s="858"/>
      <c r="E24" s="516" t="s">
        <v>142</v>
      </c>
      <c r="F24" s="516">
        <v>6</v>
      </c>
      <c r="G24" s="517">
        <v>6</v>
      </c>
      <c r="H24" s="517">
        <f t="shared" si="1"/>
        <v>0</v>
      </c>
      <c r="I24" s="518"/>
    </row>
    <row r="25" spans="3:9" x14ac:dyDescent="0.25">
      <c r="C25" s="853">
        <v>2</v>
      </c>
      <c r="D25" s="855" t="s">
        <v>460</v>
      </c>
      <c r="E25" s="247" t="s">
        <v>147</v>
      </c>
      <c r="F25" s="247">
        <v>23</v>
      </c>
      <c r="G25" s="568">
        <v>23</v>
      </c>
      <c r="H25" s="569">
        <f t="shared" si="1"/>
        <v>0</v>
      </c>
      <c r="I25" s="248"/>
    </row>
    <row r="26" spans="3:9" x14ac:dyDescent="0.25">
      <c r="C26" s="854"/>
      <c r="D26" s="746"/>
      <c r="E26" s="249" t="s">
        <v>146</v>
      </c>
      <c r="F26" s="249">
        <v>16</v>
      </c>
      <c r="G26" s="240">
        <v>16</v>
      </c>
      <c r="H26" s="240">
        <f t="shared" si="1"/>
        <v>0</v>
      </c>
      <c r="I26" s="515"/>
    </row>
    <row r="27" spans="3:9" x14ac:dyDescent="0.25">
      <c r="C27" s="854"/>
      <c r="D27" s="746"/>
      <c r="E27" s="249" t="s">
        <v>145</v>
      </c>
      <c r="F27" s="617">
        <v>1</v>
      </c>
      <c r="G27" s="240">
        <v>1</v>
      </c>
      <c r="H27" s="240">
        <f t="shared" si="1"/>
        <v>0</v>
      </c>
      <c r="I27" s="515"/>
    </row>
    <row r="28" spans="3:9" x14ac:dyDescent="0.25">
      <c r="C28" s="854"/>
      <c r="D28" s="746"/>
      <c r="E28" s="249" t="s">
        <v>144</v>
      </c>
      <c r="F28" s="249">
        <v>1</v>
      </c>
      <c r="G28" s="240">
        <v>1</v>
      </c>
      <c r="H28" s="240">
        <f>F28-G28</f>
        <v>0</v>
      </c>
      <c r="I28" s="515"/>
    </row>
    <row r="29" spans="3:9" x14ac:dyDescent="0.25">
      <c r="C29" s="854"/>
      <c r="D29" s="746"/>
      <c r="E29" s="249" t="s">
        <v>143</v>
      </c>
      <c r="F29" s="249">
        <v>5</v>
      </c>
      <c r="G29" s="240">
        <v>5</v>
      </c>
      <c r="H29" s="240">
        <f>F29-G29</f>
        <v>0</v>
      </c>
      <c r="I29" s="515"/>
    </row>
    <row r="30" spans="3:9" ht="15.75" thickBot="1" x14ac:dyDescent="0.3">
      <c r="C30" s="867"/>
      <c r="D30" s="751"/>
      <c r="E30" s="571" t="s">
        <v>142</v>
      </c>
      <c r="F30" s="571"/>
      <c r="G30" s="535"/>
      <c r="H30" s="535"/>
      <c r="I30" s="572"/>
    </row>
    <row r="31" spans="3:9" x14ac:dyDescent="0.25">
      <c r="C31" s="859">
        <v>3</v>
      </c>
      <c r="D31" s="862" t="s">
        <v>542</v>
      </c>
      <c r="E31" s="247" t="s">
        <v>147</v>
      </c>
      <c r="F31" s="247">
        <v>13</v>
      </c>
      <c r="G31" s="568">
        <v>12</v>
      </c>
      <c r="H31" s="569">
        <f>F31-G31</f>
        <v>1</v>
      </c>
      <c r="I31" s="248"/>
    </row>
    <row r="32" spans="3:9" x14ac:dyDescent="0.25">
      <c r="C32" s="860"/>
      <c r="D32" s="863"/>
      <c r="E32" s="249" t="s">
        <v>146</v>
      </c>
      <c r="F32" s="249">
        <v>8</v>
      </c>
      <c r="G32" s="240">
        <v>8</v>
      </c>
      <c r="H32" s="240">
        <f>F32-G32</f>
        <v>0</v>
      </c>
      <c r="I32" s="515"/>
    </row>
    <row r="33" spans="3:9" x14ac:dyDescent="0.25">
      <c r="C33" s="860"/>
      <c r="D33" s="863"/>
      <c r="E33" s="249" t="s">
        <v>145</v>
      </c>
      <c r="F33" s="249">
        <v>2</v>
      </c>
      <c r="G33" s="240">
        <v>2</v>
      </c>
      <c r="H33" s="570">
        <f>F33-G33</f>
        <v>0</v>
      </c>
      <c r="I33" s="515"/>
    </row>
    <row r="34" spans="3:9" x14ac:dyDescent="0.25">
      <c r="C34" s="860"/>
      <c r="D34" s="863"/>
      <c r="E34" s="249" t="s">
        <v>144</v>
      </c>
      <c r="F34" s="249">
        <v>2</v>
      </c>
      <c r="G34" s="240">
        <v>2</v>
      </c>
      <c r="H34" s="240">
        <f>F34-G34</f>
        <v>0</v>
      </c>
      <c r="I34" s="515"/>
    </row>
    <row r="35" spans="3:9" x14ac:dyDescent="0.25">
      <c r="C35" s="860"/>
      <c r="D35" s="863"/>
      <c r="E35" s="249" t="s">
        <v>543</v>
      </c>
      <c r="F35" s="249">
        <v>1</v>
      </c>
      <c r="G35" s="240">
        <v>1</v>
      </c>
      <c r="H35" s="240">
        <f>F35-G35</f>
        <v>0</v>
      </c>
      <c r="I35" s="515"/>
    </row>
    <row r="36" spans="3:9" ht="15.75" thickBot="1" x14ac:dyDescent="0.3">
      <c r="C36" s="861"/>
      <c r="D36" s="864"/>
      <c r="E36" s="516" t="s">
        <v>142</v>
      </c>
      <c r="F36" s="516"/>
      <c r="G36" s="517"/>
      <c r="H36" s="517"/>
      <c r="I36" s="518"/>
    </row>
    <row r="37" spans="3:9" x14ac:dyDescent="0.25">
      <c r="C37" s="859">
        <v>4</v>
      </c>
      <c r="D37" s="862" t="s">
        <v>461</v>
      </c>
      <c r="E37" s="247" t="s">
        <v>147</v>
      </c>
      <c r="F37" s="247">
        <v>7</v>
      </c>
      <c r="G37" s="629">
        <v>7</v>
      </c>
      <c r="H37" s="569">
        <f>F37-G37</f>
        <v>0</v>
      </c>
      <c r="I37" s="248"/>
    </row>
    <row r="38" spans="3:9" x14ac:dyDescent="0.25">
      <c r="C38" s="860"/>
      <c r="D38" s="863"/>
      <c r="E38" s="249" t="s">
        <v>146</v>
      </c>
      <c r="F38" s="249">
        <v>3</v>
      </c>
      <c r="G38" s="240">
        <v>3</v>
      </c>
      <c r="H38" s="240">
        <f>F38-G38</f>
        <v>0</v>
      </c>
      <c r="I38" s="515"/>
    </row>
    <row r="39" spans="3:9" x14ac:dyDescent="0.25">
      <c r="C39" s="860"/>
      <c r="D39" s="863"/>
      <c r="E39" s="249" t="s">
        <v>145</v>
      </c>
      <c r="F39" s="249">
        <v>2</v>
      </c>
      <c r="G39" s="249">
        <v>2</v>
      </c>
      <c r="H39" s="240">
        <f>F39-G39</f>
        <v>0</v>
      </c>
      <c r="I39" s="515"/>
    </row>
    <row r="40" spans="3:9" x14ac:dyDescent="0.25">
      <c r="C40" s="860"/>
      <c r="D40" s="863"/>
      <c r="E40" s="249" t="s">
        <v>144</v>
      </c>
      <c r="F40" s="249">
        <v>1</v>
      </c>
      <c r="G40" s="240">
        <v>1</v>
      </c>
      <c r="H40" s="240">
        <f>F40-G40</f>
        <v>0</v>
      </c>
      <c r="I40" s="515"/>
    </row>
    <row r="41" spans="3:9" x14ac:dyDescent="0.25">
      <c r="C41" s="860"/>
      <c r="D41" s="863"/>
      <c r="E41" s="249" t="s">
        <v>143</v>
      </c>
      <c r="F41" s="249">
        <v>1</v>
      </c>
      <c r="G41" s="240">
        <v>1</v>
      </c>
      <c r="H41" s="240">
        <f>F41-G41</f>
        <v>0</v>
      </c>
      <c r="I41" s="515"/>
    </row>
    <row r="42" spans="3:9" ht="15.75" thickBot="1" x14ac:dyDescent="0.3">
      <c r="C42" s="860"/>
      <c r="D42" s="863"/>
      <c r="E42" s="571" t="s">
        <v>142</v>
      </c>
      <c r="F42" s="571"/>
      <c r="G42" s="535"/>
      <c r="H42" s="535"/>
      <c r="I42" s="572"/>
    </row>
    <row r="43" spans="3:9" x14ac:dyDescent="0.25">
      <c r="C43" s="865">
        <v>5</v>
      </c>
      <c r="D43" s="862" t="s">
        <v>846</v>
      </c>
      <c r="E43" s="247" t="s">
        <v>147</v>
      </c>
      <c r="F43" s="573">
        <v>1</v>
      </c>
      <c r="G43" s="568">
        <v>1</v>
      </c>
      <c r="H43" s="569">
        <f>F43-G43</f>
        <v>0</v>
      </c>
      <c r="I43" s="248"/>
    </row>
    <row r="44" spans="3:9" ht="15.75" thickBot="1" x14ac:dyDescent="0.3">
      <c r="C44" s="866"/>
      <c r="D44" s="864"/>
      <c r="E44" s="516" t="s">
        <v>847</v>
      </c>
      <c r="F44" s="516">
        <v>1</v>
      </c>
      <c r="G44" s="517">
        <v>1</v>
      </c>
      <c r="H44" s="517">
        <f>F44-G44</f>
        <v>0</v>
      </c>
      <c r="I44" s="518"/>
    </row>
    <row r="45" spans="3:9" x14ac:dyDescent="0.25">
      <c r="C45" s="856">
        <v>6</v>
      </c>
      <c r="D45" s="752" t="s">
        <v>168</v>
      </c>
      <c r="E45" s="250" t="s">
        <v>147</v>
      </c>
      <c r="F45" s="250">
        <v>61</v>
      </c>
      <c r="G45" s="250">
        <v>61</v>
      </c>
      <c r="H45" s="569">
        <f t="shared" ref="H45:H55" si="2">F45-G45</f>
        <v>0</v>
      </c>
      <c r="I45" s="574"/>
    </row>
    <row r="46" spans="3:9" x14ac:dyDescent="0.25">
      <c r="C46" s="854"/>
      <c r="D46" s="746"/>
      <c r="E46" s="249" t="s">
        <v>146</v>
      </c>
      <c r="F46" s="249">
        <v>31</v>
      </c>
      <c r="G46" s="240">
        <v>31</v>
      </c>
      <c r="H46" s="240">
        <f t="shared" si="2"/>
        <v>0</v>
      </c>
      <c r="I46" s="515"/>
    </row>
    <row r="47" spans="3:9" x14ac:dyDescent="0.25">
      <c r="C47" s="854"/>
      <c r="D47" s="746"/>
      <c r="E47" s="249" t="s">
        <v>145</v>
      </c>
      <c r="F47" s="249">
        <v>21</v>
      </c>
      <c r="G47" s="240">
        <v>21</v>
      </c>
      <c r="H47" s="240">
        <f t="shared" si="2"/>
        <v>0</v>
      </c>
      <c r="I47" s="515"/>
    </row>
    <row r="48" spans="3:9" x14ac:dyDescent="0.25">
      <c r="C48" s="854"/>
      <c r="D48" s="746"/>
      <c r="E48" s="249" t="s">
        <v>144</v>
      </c>
      <c r="F48" s="249">
        <v>5</v>
      </c>
      <c r="G48" s="240">
        <v>5</v>
      </c>
      <c r="H48" s="240">
        <f t="shared" si="2"/>
        <v>0</v>
      </c>
      <c r="I48" s="515"/>
    </row>
    <row r="49" spans="3:9" x14ac:dyDescent="0.25">
      <c r="C49" s="854"/>
      <c r="D49" s="746"/>
      <c r="E49" s="249" t="s">
        <v>143</v>
      </c>
      <c r="F49" s="249">
        <v>4</v>
      </c>
      <c r="G49" s="240">
        <v>4</v>
      </c>
      <c r="H49" s="240">
        <f t="shared" si="2"/>
        <v>0</v>
      </c>
      <c r="I49" s="515"/>
    </row>
    <row r="50" spans="3:9" ht="15.75" thickBot="1" x14ac:dyDescent="0.3">
      <c r="C50" s="857"/>
      <c r="D50" s="858"/>
      <c r="E50" s="516" t="s">
        <v>142</v>
      </c>
      <c r="F50" s="516"/>
      <c r="G50" s="517"/>
      <c r="H50" s="517">
        <f t="shared" si="2"/>
        <v>0</v>
      </c>
      <c r="I50" s="518"/>
    </row>
    <row r="51" spans="3:9" x14ac:dyDescent="0.25">
      <c r="C51" s="853">
        <v>7</v>
      </c>
      <c r="D51" s="855" t="s">
        <v>848</v>
      </c>
      <c r="E51" s="247" t="s">
        <v>147</v>
      </c>
      <c r="F51" s="247">
        <v>11</v>
      </c>
      <c r="G51" s="568">
        <v>11</v>
      </c>
      <c r="H51" s="569">
        <f t="shared" si="2"/>
        <v>0</v>
      </c>
      <c r="I51" s="515"/>
    </row>
    <row r="52" spans="3:9" x14ac:dyDescent="0.25">
      <c r="C52" s="854"/>
      <c r="D52" s="746"/>
      <c r="E52" s="249" t="s">
        <v>146</v>
      </c>
      <c r="F52" s="249">
        <v>3</v>
      </c>
      <c r="G52" s="240">
        <v>3</v>
      </c>
      <c r="H52" s="240">
        <f t="shared" si="2"/>
        <v>0</v>
      </c>
      <c r="I52" s="515"/>
    </row>
    <row r="53" spans="3:9" x14ac:dyDescent="0.25">
      <c r="C53" s="854"/>
      <c r="D53" s="746"/>
      <c r="E53" s="249" t="s">
        <v>145</v>
      </c>
      <c r="F53" s="249">
        <v>2</v>
      </c>
      <c r="G53" s="249">
        <v>2</v>
      </c>
      <c r="H53" s="240">
        <f t="shared" si="2"/>
        <v>0</v>
      </c>
      <c r="I53" s="515"/>
    </row>
    <row r="54" spans="3:9" x14ac:dyDescent="0.25">
      <c r="C54" s="854"/>
      <c r="D54" s="746"/>
      <c r="E54" s="249" t="s">
        <v>144</v>
      </c>
      <c r="F54" s="249">
        <v>4</v>
      </c>
      <c r="G54" s="249">
        <v>4</v>
      </c>
      <c r="H54" s="240">
        <f t="shared" si="2"/>
        <v>0</v>
      </c>
      <c r="I54" s="515"/>
    </row>
    <row r="55" spans="3:9" x14ac:dyDescent="0.25">
      <c r="C55" s="854"/>
      <c r="D55" s="746"/>
      <c r="E55" s="249" t="s">
        <v>143</v>
      </c>
      <c r="F55" s="249">
        <v>2</v>
      </c>
      <c r="G55" s="249">
        <v>2</v>
      </c>
      <c r="H55" s="240">
        <f t="shared" si="2"/>
        <v>0</v>
      </c>
      <c r="I55" s="515"/>
    </row>
    <row r="56" spans="3:9" ht="15.75" thickBot="1" x14ac:dyDescent="0.3">
      <c r="C56" s="857"/>
      <c r="D56" s="858"/>
      <c r="E56" s="516" t="s">
        <v>142</v>
      </c>
      <c r="F56" s="516"/>
      <c r="G56" s="517"/>
      <c r="H56" s="517"/>
      <c r="I56" s="518"/>
    </row>
    <row r="57" spans="3:9" x14ac:dyDescent="0.25">
      <c r="C57" s="853">
        <v>8</v>
      </c>
      <c r="D57" s="855" t="s">
        <v>831</v>
      </c>
      <c r="E57" s="247" t="s">
        <v>147</v>
      </c>
      <c r="F57" s="247">
        <v>4</v>
      </c>
      <c r="G57" s="568">
        <v>4</v>
      </c>
      <c r="H57" s="569">
        <f>F57-G57</f>
        <v>0</v>
      </c>
      <c r="I57" s="248"/>
    </row>
    <row r="58" spans="3:9" x14ac:dyDescent="0.25">
      <c r="C58" s="854"/>
      <c r="D58" s="746"/>
      <c r="E58" s="249" t="s">
        <v>146</v>
      </c>
      <c r="F58" s="249">
        <v>2</v>
      </c>
      <c r="G58" s="240">
        <v>2</v>
      </c>
      <c r="H58" s="240">
        <f>F58-G58</f>
        <v>0</v>
      </c>
      <c r="I58" s="515"/>
    </row>
    <row r="59" spans="3:9" x14ac:dyDescent="0.25">
      <c r="C59" s="854"/>
      <c r="D59" s="746"/>
      <c r="E59" s="249" t="s">
        <v>145</v>
      </c>
      <c r="F59" s="249"/>
      <c r="G59" s="240"/>
      <c r="H59" s="240">
        <f>F59-G59</f>
        <v>0</v>
      </c>
      <c r="I59" s="515"/>
    </row>
    <row r="60" spans="3:9" x14ac:dyDescent="0.25">
      <c r="C60" s="854"/>
      <c r="D60" s="746"/>
      <c r="E60" s="249" t="s">
        <v>144</v>
      </c>
      <c r="F60" s="249">
        <v>2</v>
      </c>
      <c r="G60" s="240">
        <v>2</v>
      </c>
      <c r="H60" s="240">
        <f>F60-G60</f>
        <v>0</v>
      </c>
      <c r="I60" s="515"/>
    </row>
    <row r="61" spans="3:9" x14ac:dyDescent="0.25">
      <c r="C61" s="854"/>
      <c r="D61" s="746"/>
      <c r="E61" s="249" t="s">
        <v>143</v>
      </c>
      <c r="F61" s="249"/>
      <c r="G61" s="240"/>
      <c r="H61" s="240">
        <f>F61-G61</f>
        <v>0</v>
      </c>
      <c r="I61" s="515"/>
    </row>
    <row r="62" spans="3:9" ht="15.75" thickBot="1" x14ac:dyDescent="0.3">
      <c r="C62" s="857"/>
      <c r="D62" s="858"/>
      <c r="E62" s="516" t="s">
        <v>142</v>
      </c>
      <c r="F62" s="516"/>
      <c r="G62" s="517"/>
      <c r="H62" s="517"/>
      <c r="I62" s="518"/>
    </row>
    <row r="63" spans="3:9" x14ac:dyDescent="0.25">
      <c r="C63" s="853">
        <v>8</v>
      </c>
      <c r="D63" s="855" t="s">
        <v>849</v>
      </c>
      <c r="E63" s="247" t="s">
        <v>147</v>
      </c>
      <c r="F63" s="247">
        <v>2</v>
      </c>
      <c r="G63" s="568">
        <v>2</v>
      </c>
      <c r="H63" s="569">
        <f>F63-G63</f>
        <v>0</v>
      </c>
      <c r="I63" s="515"/>
    </row>
    <row r="64" spans="3:9" x14ac:dyDescent="0.25">
      <c r="C64" s="854"/>
      <c r="D64" s="746"/>
      <c r="E64" s="249" t="s">
        <v>146</v>
      </c>
      <c r="F64" s="249">
        <v>2</v>
      </c>
      <c r="G64" s="240">
        <v>2</v>
      </c>
      <c r="H64" s="240">
        <f>F64-G64</f>
        <v>0</v>
      </c>
      <c r="I64" s="515"/>
    </row>
    <row r="65" spans="3:9" ht="15.75" thickBot="1" x14ac:dyDescent="0.3">
      <c r="C65" s="575"/>
      <c r="D65" s="576"/>
      <c r="E65" s="577" t="s">
        <v>162</v>
      </c>
      <c r="F65" s="578">
        <v>312</v>
      </c>
      <c r="G65" s="579">
        <v>312</v>
      </c>
      <c r="H65" s="600">
        <f>F65-G65</f>
        <v>0</v>
      </c>
      <c r="I65" s="630"/>
    </row>
  </sheetData>
  <mergeCells count="21">
    <mergeCell ref="C25:C30"/>
    <mergeCell ref="D25:D30"/>
    <mergeCell ref="C2:H2"/>
    <mergeCell ref="C3:H3"/>
    <mergeCell ref="C17:I17"/>
    <mergeCell ref="C19:C24"/>
    <mergeCell ref="D19:D24"/>
    <mergeCell ref="C31:C36"/>
    <mergeCell ref="D31:D36"/>
    <mergeCell ref="C37:C42"/>
    <mergeCell ref="D37:D42"/>
    <mergeCell ref="C43:C44"/>
    <mergeCell ref="D43:D44"/>
    <mergeCell ref="C63:C64"/>
    <mergeCell ref="D63:D64"/>
    <mergeCell ref="C45:C50"/>
    <mergeCell ref="D45:D50"/>
    <mergeCell ref="C51:C56"/>
    <mergeCell ref="D51:D56"/>
    <mergeCell ref="C57:C62"/>
    <mergeCell ref="D57:D62"/>
  </mergeCells>
  <pageMargins left="0.7" right="0.7" top="0.75" bottom="0.75" header="0.3" footer="0.3"/>
  <pageSetup paperSize="9"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35"/>
  <sheetViews>
    <sheetView topLeftCell="A12" workbookViewId="0">
      <selection activeCell="G22" sqref="G22"/>
    </sheetView>
  </sheetViews>
  <sheetFormatPr defaultRowHeight="15" x14ac:dyDescent="0.25"/>
  <cols>
    <col min="2" max="2" width="12.85546875" customWidth="1"/>
    <col min="3" max="3" width="17.140625" customWidth="1"/>
    <col min="4" max="4" width="26.140625" customWidth="1"/>
    <col min="8" max="8" width="19.7109375" customWidth="1"/>
  </cols>
  <sheetData>
    <row r="2" spans="2:8" ht="25.5" x14ac:dyDescent="0.25">
      <c r="B2" s="580" t="s">
        <v>850</v>
      </c>
      <c r="C2" s="580" t="s">
        <v>851</v>
      </c>
      <c r="D2" s="580" t="s">
        <v>852</v>
      </c>
      <c r="E2" s="580" t="s">
        <v>853</v>
      </c>
      <c r="F2" s="580" t="s">
        <v>854</v>
      </c>
      <c r="G2" s="580" t="s">
        <v>855</v>
      </c>
      <c r="H2" s="580" t="s">
        <v>743</v>
      </c>
    </row>
    <row r="3" spans="2:8" ht="25.5" x14ac:dyDescent="0.25">
      <c r="B3" s="581">
        <v>47</v>
      </c>
      <c r="C3" s="582" t="s">
        <v>856</v>
      </c>
      <c r="D3" s="583" t="s">
        <v>857</v>
      </c>
      <c r="E3" s="584" t="s">
        <v>858</v>
      </c>
      <c r="F3" s="585">
        <v>4412</v>
      </c>
      <c r="G3" s="228">
        <f>2892.17+1438.074</f>
        <v>4330.2440000000006</v>
      </c>
      <c r="H3" s="586">
        <f>F3-G3</f>
        <v>81.755999999999403</v>
      </c>
    </row>
    <row r="4" spans="2:8" ht="25.5" x14ac:dyDescent="0.25">
      <c r="B4" s="581">
        <v>62</v>
      </c>
      <c r="C4" s="582" t="s">
        <v>859</v>
      </c>
      <c r="D4" s="583" t="s">
        <v>860</v>
      </c>
      <c r="E4" s="584" t="s">
        <v>861</v>
      </c>
      <c r="F4" s="585">
        <v>1506</v>
      </c>
      <c r="G4" s="228">
        <v>1506</v>
      </c>
      <c r="H4" s="586">
        <f t="shared" ref="H4:H35" si="0">F4-G4</f>
        <v>0</v>
      </c>
    </row>
    <row r="5" spans="2:8" ht="25.5" x14ac:dyDescent="0.25">
      <c r="B5" s="581">
        <v>63</v>
      </c>
      <c r="C5" s="582" t="s">
        <v>859</v>
      </c>
      <c r="D5" s="583" t="s">
        <v>862</v>
      </c>
      <c r="E5" s="584" t="s">
        <v>861</v>
      </c>
      <c r="F5" s="585">
        <v>95</v>
      </c>
      <c r="G5" s="228">
        <f>24+66</f>
        <v>90</v>
      </c>
      <c r="H5" s="586">
        <f t="shared" si="0"/>
        <v>5</v>
      </c>
    </row>
    <row r="6" spans="2:8" ht="25.5" x14ac:dyDescent="0.25">
      <c r="B6" s="581">
        <v>64</v>
      </c>
      <c r="C6" s="582" t="s">
        <v>859</v>
      </c>
      <c r="D6" s="583" t="s">
        <v>863</v>
      </c>
      <c r="E6" s="584" t="s">
        <v>861</v>
      </c>
      <c r="F6" s="585">
        <v>738</v>
      </c>
      <c r="G6" s="228">
        <v>690</v>
      </c>
      <c r="H6" s="586">
        <f t="shared" si="0"/>
        <v>48</v>
      </c>
    </row>
    <row r="7" spans="2:8" ht="25.5" x14ac:dyDescent="0.25">
      <c r="B7" s="581">
        <v>65</v>
      </c>
      <c r="C7" s="582" t="s">
        <v>859</v>
      </c>
      <c r="D7" s="583" t="s">
        <v>864</v>
      </c>
      <c r="E7" s="584" t="s">
        <v>861</v>
      </c>
      <c r="F7" s="585">
        <v>4</v>
      </c>
      <c r="G7" s="228">
        <v>0</v>
      </c>
      <c r="H7" s="586">
        <f t="shared" si="0"/>
        <v>4</v>
      </c>
    </row>
    <row r="8" spans="2:8" ht="25.5" x14ac:dyDescent="0.25">
      <c r="B8" s="581">
        <v>70</v>
      </c>
      <c r="C8" s="582" t="s">
        <v>865</v>
      </c>
      <c r="D8" s="583" t="s">
        <v>866</v>
      </c>
      <c r="E8" s="584" t="s">
        <v>867</v>
      </c>
      <c r="F8" s="585">
        <v>1945</v>
      </c>
      <c r="G8" s="228">
        <v>1814</v>
      </c>
      <c r="H8" s="586">
        <f t="shared" si="0"/>
        <v>131</v>
      </c>
    </row>
    <row r="9" spans="2:8" ht="25.5" x14ac:dyDescent="0.25">
      <c r="B9" s="581">
        <v>71</v>
      </c>
      <c r="C9" s="582" t="s">
        <v>865</v>
      </c>
      <c r="D9" s="583" t="s">
        <v>868</v>
      </c>
      <c r="E9" s="584" t="s">
        <v>867</v>
      </c>
      <c r="F9" s="585">
        <v>2102</v>
      </c>
      <c r="G9" s="228">
        <v>2076</v>
      </c>
      <c r="H9" s="586">
        <f t="shared" si="0"/>
        <v>26</v>
      </c>
    </row>
    <row r="10" spans="2:8" ht="25.5" x14ac:dyDescent="0.25">
      <c r="B10" s="581">
        <v>72</v>
      </c>
      <c r="C10" s="582" t="s">
        <v>865</v>
      </c>
      <c r="D10" s="583" t="s">
        <v>869</v>
      </c>
      <c r="E10" s="584" t="s">
        <v>867</v>
      </c>
      <c r="F10" s="585">
        <v>692</v>
      </c>
      <c r="G10" s="228">
        <v>692</v>
      </c>
      <c r="H10" s="586">
        <f t="shared" si="0"/>
        <v>0</v>
      </c>
    </row>
    <row r="11" spans="2:8" ht="25.5" x14ac:dyDescent="0.25">
      <c r="B11" s="581">
        <v>73</v>
      </c>
      <c r="C11" s="582" t="s">
        <v>865</v>
      </c>
      <c r="D11" s="583" t="s">
        <v>870</v>
      </c>
      <c r="E11" s="584" t="s">
        <v>867</v>
      </c>
      <c r="F11" s="585">
        <v>13194</v>
      </c>
      <c r="G11" s="228">
        <v>12450</v>
      </c>
      <c r="H11" s="586">
        <f t="shared" si="0"/>
        <v>744</v>
      </c>
    </row>
    <row r="12" spans="2:8" ht="25.5" x14ac:dyDescent="0.25">
      <c r="B12" s="581">
        <v>74</v>
      </c>
      <c r="C12" s="582" t="s">
        <v>865</v>
      </c>
      <c r="D12" s="583" t="s">
        <v>871</v>
      </c>
      <c r="E12" s="584" t="s">
        <v>867</v>
      </c>
      <c r="F12" s="585">
        <v>48</v>
      </c>
      <c r="G12" s="228">
        <v>48</v>
      </c>
      <c r="H12" s="586">
        <f t="shared" si="0"/>
        <v>0</v>
      </c>
    </row>
    <row r="13" spans="2:8" ht="25.5" x14ac:dyDescent="0.25">
      <c r="B13" s="581">
        <v>80</v>
      </c>
      <c r="C13" s="582" t="s">
        <v>872</v>
      </c>
      <c r="D13" s="583" t="s">
        <v>873</v>
      </c>
      <c r="E13" s="584" t="s">
        <v>867</v>
      </c>
      <c r="F13" s="585">
        <v>62</v>
      </c>
      <c r="G13" s="228">
        <f>20+41</f>
        <v>61</v>
      </c>
      <c r="H13" s="586">
        <f t="shared" si="0"/>
        <v>1</v>
      </c>
    </row>
    <row r="14" spans="2:8" ht="25.5" x14ac:dyDescent="0.25">
      <c r="B14" s="581">
        <v>81</v>
      </c>
      <c r="C14" s="582" t="s">
        <v>872</v>
      </c>
      <c r="D14" s="583" t="s">
        <v>874</v>
      </c>
      <c r="E14" s="584" t="s">
        <v>867</v>
      </c>
      <c r="F14" s="585">
        <v>378</v>
      </c>
      <c r="G14" s="228">
        <v>371</v>
      </c>
      <c r="H14" s="586">
        <f t="shared" si="0"/>
        <v>7</v>
      </c>
    </row>
    <row r="15" spans="2:8" ht="25.5" x14ac:dyDescent="0.25">
      <c r="B15" s="581">
        <v>82</v>
      </c>
      <c r="C15" s="582" t="s">
        <v>872</v>
      </c>
      <c r="D15" s="583" t="s">
        <v>875</v>
      </c>
      <c r="E15" s="584" t="s">
        <v>867</v>
      </c>
      <c r="F15" s="585">
        <v>756</v>
      </c>
      <c r="G15" s="228">
        <v>740</v>
      </c>
      <c r="H15" s="586">
        <f t="shared" si="0"/>
        <v>16</v>
      </c>
    </row>
    <row r="16" spans="2:8" ht="25.5" x14ac:dyDescent="0.25">
      <c r="B16" s="581">
        <v>83</v>
      </c>
      <c r="C16" s="582" t="s">
        <v>872</v>
      </c>
      <c r="D16" s="583" t="s">
        <v>876</v>
      </c>
      <c r="E16" s="584" t="s">
        <v>867</v>
      </c>
      <c r="F16" s="585">
        <v>251</v>
      </c>
      <c r="G16" s="228">
        <v>251</v>
      </c>
      <c r="H16" s="586">
        <f t="shared" si="0"/>
        <v>0</v>
      </c>
    </row>
    <row r="17" spans="2:8" ht="25.5" x14ac:dyDescent="0.25">
      <c r="B17" s="581">
        <v>84</v>
      </c>
      <c r="C17" s="582" t="s">
        <v>872</v>
      </c>
      <c r="D17" s="583" t="s">
        <v>877</v>
      </c>
      <c r="E17" s="584" t="s">
        <v>867</v>
      </c>
      <c r="F17" s="585">
        <v>127</v>
      </c>
      <c r="G17" s="228">
        <v>119</v>
      </c>
      <c r="H17" s="586">
        <f t="shared" si="0"/>
        <v>8</v>
      </c>
    </row>
    <row r="18" spans="2:8" x14ac:dyDescent="0.25">
      <c r="B18" s="581">
        <v>90</v>
      </c>
      <c r="C18" s="582" t="s">
        <v>878</v>
      </c>
      <c r="D18" s="583" t="s">
        <v>879</v>
      </c>
      <c r="E18" s="584" t="s">
        <v>867</v>
      </c>
      <c r="F18" s="585">
        <v>6284</v>
      </c>
      <c r="G18" s="228">
        <f>2009+4220</f>
        <v>6229</v>
      </c>
      <c r="H18" s="586">
        <f t="shared" si="0"/>
        <v>55</v>
      </c>
    </row>
    <row r="19" spans="2:8" x14ac:dyDescent="0.25">
      <c r="B19" s="581">
        <v>91</v>
      </c>
      <c r="C19" s="582" t="s">
        <v>878</v>
      </c>
      <c r="D19" s="583" t="s">
        <v>880</v>
      </c>
      <c r="E19" s="584" t="s">
        <v>867</v>
      </c>
      <c r="F19" s="585">
        <v>5962</v>
      </c>
      <c r="G19" s="228">
        <f>1851+3696</f>
        <v>5547</v>
      </c>
      <c r="H19" s="586">
        <f t="shared" si="0"/>
        <v>415</v>
      </c>
    </row>
    <row r="20" spans="2:8" ht="25.5" x14ac:dyDescent="0.25">
      <c r="B20" s="581">
        <v>94</v>
      </c>
      <c r="C20" s="582" t="s">
        <v>881</v>
      </c>
      <c r="D20" s="583" t="s">
        <v>882</v>
      </c>
      <c r="E20" s="584" t="s">
        <v>867</v>
      </c>
      <c r="F20" s="585">
        <v>400</v>
      </c>
      <c r="G20" s="228">
        <v>0</v>
      </c>
      <c r="H20" s="586">
        <f t="shared" si="0"/>
        <v>400</v>
      </c>
    </row>
    <row r="21" spans="2:8" x14ac:dyDescent="0.25">
      <c r="B21" s="581">
        <v>95</v>
      </c>
      <c r="C21" s="582" t="s">
        <v>883</v>
      </c>
      <c r="D21" s="583" t="s">
        <v>884</v>
      </c>
      <c r="E21" s="584" t="s">
        <v>858</v>
      </c>
      <c r="F21" s="585">
        <v>126.19</v>
      </c>
      <c r="G21" s="228">
        <f>82.45+39.56</f>
        <v>122.01</v>
      </c>
      <c r="H21" s="586">
        <f t="shared" si="0"/>
        <v>4.1799999999999926</v>
      </c>
    </row>
    <row r="22" spans="2:8" x14ac:dyDescent="0.25">
      <c r="B22" s="581">
        <v>97</v>
      </c>
      <c r="C22" s="582" t="s">
        <v>885</v>
      </c>
      <c r="D22" s="583" t="s">
        <v>886</v>
      </c>
      <c r="E22" s="584" t="s">
        <v>858</v>
      </c>
      <c r="F22" s="585">
        <v>127.56</v>
      </c>
      <c r="G22" s="585">
        <v>127.54</v>
      </c>
      <c r="H22" s="586">
        <f t="shared" si="0"/>
        <v>1.9999999999996021E-2</v>
      </c>
    </row>
    <row r="23" spans="2:8" x14ac:dyDescent="0.25">
      <c r="B23" s="581">
        <v>98</v>
      </c>
      <c r="C23" s="582" t="s">
        <v>885</v>
      </c>
      <c r="D23" s="583" t="s">
        <v>887</v>
      </c>
      <c r="E23" s="584" t="s">
        <v>867</v>
      </c>
      <c r="F23" s="585">
        <v>251</v>
      </c>
      <c r="G23" s="228">
        <f>24+147</f>
        <v>171</v>
      </c>
      <c r="H23" s="586">
        <f t="shared" si="0"/>
        <v>80</v>
      </c>
    </row>
    <row r="24" spans="2:8" x14ac:dyDescent="0.25">
      <c r="B24" s="581">
        <v>99</v>
      </c>
      <c r="C24" s="582" t="s">
        <v>885</v>
      </c>
      <c r="D24" s="583" t="s">
        <v>888</v>
      </c>
      <c r="E24" s="584" t="s">
        <v>861</v>
      </c>
      <c r="F24" s="585">
        <v>2</v>
      </c>
      <c r="G24" s="228">
        <v>0</v>
      </c>
      <c r="H24" s="586">
        <f t="shared" si="0"/>
        <v>2</v>
      </c>
    </row>
    <row r="25" spans="2:8" ht="25.5" x14ac:dyDescent="0.25">
      <c r="B25" s="581">
        <v>100</v>
      </c>
      <c r="C25" s="582" t="s">
        <v>885</v>
      </c>
      <c r="D25" s="583" t="s">
        <v>889</v>
      </c>
      <c r="E25" s="584" t="s">
        <v>861</v>
      </c>
      <c r="F25" s="585">
        <v>29</v>
      </c>
      <c r="G25" s="228">
        <v>17</v>
      </c>
      <c r="H25" s="586">
        <f t="shared" si="0"/>
        <v>12</v>
      </c>
    </row>
    <row r="26" spans="2:8" ht="25.5" x14ac:dyDescent="0.25">
      <c r="B26" s="581">
        <v>101</v>
      </c>
      <c r="C26" s="582" t="s">
        <v>885</v>
      </c>
      <c r="D26" s="583" t="s">
        <v>890</v>
      </c>
      <c r="E26" s="584" t="s">
        <v>861</v>
      </c>
      <c r="F26" s="585">
        <v>33</v>
      </c>
      <c r="G26" s="228">
        <v>18</v>
      </c>
      <c r="H26" s="586">
        <f t="shared" si="0"/>
        <v>15</v>
      </c>
    </row>
    <row r="27" spans="2:8" x14ac:dyDescent="0.25">
      <c r="B27" s="581">
        <v>103</v>
      </c>
      <c r="C27" s="582" t="s">
        <v>885</v>
      </c>
      <c r="D27" s="583" t="s">
        <v>891</v>
      </c>
      <c r="E27" s="584" t="s">
        <v>867</v>
      </c>
      <c r="F27" s="585">
        <v>1228</v>
      </c>
      <c r="G27" s="228">
        <f>80+614</f>
        <v>694</v>
      </c>
      <c r="H27" s="586">
        <f t="shared" si="0"/>
        <v>534</v>
      </c>
    </row>
    <row r="28" spans="2:8" x14ac:dyDescent="0.25">
      <c r="B28" s="581">
        <v>104</v>
      </c>
      <c r="C28" s="582" t="s">
        <v>885</v>
      </c>
      <c r="D28" s="583" t="s">
        <v>892</v>
      </c>
      <c r="E28" s="584" t="s">
        <v>867</v>
      </c>
      <c r="F28" s="585">
        <v>1116</v>
      </c>
      <c r="G28" s="228">
        <f>143+547</f>
        <v>690</v>
      </c>
      <c r="H28" s="586">
        <f t="shared" si="0"/>
        <v>426</v>
      </c>
    </row>
    <row r="29" spans="2:8" x14ac:dyDescent="0.25">
      <c r="B29" s="581">
        <v>105</v>
      </c>
      <c r="C29" s="582" t="s">
        <v>885</v>
      </c>
      <c r="D29" s="583" t="s">
        <v>893</v>
      </c>
      <c r="E29" s="584" t="s">
        <v>867</v>
      </c>
      <c r="F29" s="585">
        <v>31</v>
      </c>
      <c r="G29" s="228">
        <v>22</v>
      </c>
      <c r="H29" s="586">
        <f t="shared" si="0"/>
        <v>9</v>
      </c>
    </row>
    <row r="30" spans="2:8" ht="25.5" x14ac:dyDescent="0.25">
      <c r="B30" s="581">
        <v>56</v>
      </c>
      <c r="C30" s="582" t="s">
        <v>894</v>
      </c>
      <c r="D30" s="583" t="s">
        <v>895</v>
      </c>
      <c r="E30" s="584" t="s">
        <v>867</v>
      </c>
      <c r="F30" s="585">
        <v>618</v>
      </c>
      <c r="G30" s="228">
        <v>618</v>
      </c>
      <c r="H30" s="586">
        <f t="shared" si="0"/>
        <v>0</v>
      </c>
    </row>
    <row r="31" spans="2:8" ht="25.5" x14ac:dyDescent="0.25">
      <c r="B31" s="581">
        <v>57</v>
      </c>
      <c r="C31" s="582" t="s">
        <v>894</v>
      </c>
      <c r="D31" s="583" t="s">
        <v>896</v>
      </c>
      <c r="E31" s="584" t="s">
        <v>867</v>
      </c>
      <c r="F31" s="585">
        <v>309</v>
      </c>
      <c r="G31" s="228">
        <v>309</v>
      </c>
      <c r="H31" s="586">
        <f t="shared" si="0"/>
        <v>0</v>
      </c>
    </row>
    <row r="32" spans="2:8" ht="25.5" x14ac:dyDescent="0.25">
      <c r="B32" s="581">
        <v>58</v>
      </c>
      <c r="C32" s="582" t="s">
        <v>894</v>
      </c>
      <c r="D32" s="583" t="s">
        <v>897</v>
      </c>
      <c r="E32" s="584" t="s">
        <v>867</v>
      </c>
      <c r="F32" s="585">
        <v>309</v>
      </c>
      <c r="G32" s="228">
        <v>309</v>
      </c>
      <c r="H32" s="586">
        <f t="shared" si="0"/>
        <v>0</v>
      </c>
    </row>
    <row r="33" spans="2:8" ht="25.5" x14ac:dyDescent="0.25">
      <c r="B33" s="581">
        <v>59</v>
      </c>
      <c r="C33" s="582" t="s">
        <v>894</v>
      </c>
      <c r="D33" s="583" t="s">
        <v>898</v>
      </c>
      <c r="E33" s="584" t="s">
        <v>861</v>
      </c>
      <c r="F33" s="585">
        <v>498</v>
      </c>
      <c r="G33" s="228">
        <v>498</v>
      </c>
      <c r="H33" s="586">
        <f t="shared" si="0"/>
        <v>0</v>
      </c>
    </row>
    <row r="34" spans="2:8" ht="25.5" x14ac:dyDescent="0.25">
      <c r="B34" s="581">
        <v>60</v>
      </c>
      <c r="C34" s="582" t="s">
        <v>894</v>
      </c>
      <c r="D34" s="583" t="s">
        <v>899</v>
      </c>
      <c r="E34" s="584" t="s">
        <v>867</v>
      </c>
      <c r="F34" s="585">
        <v>309</v>
      </c>
      <c r="G34" s="228">
        <v>309</v>
      </c>
      <c r="H34" s="586">
        <f t="shared" si="0"/>
        <v>0</v>
      </c>
    </row>
    <row r="35" spans="2:8" ht="25.5" x14ac:dyDescent="0.25">
      <c r="B35" s="581">
        <v>61</v>
      </c>
      <c r="C35" s="582" t="s">
        <v>894</v>
      </c>
      <c r="D35" s="583" t="s">
        <v>900</v>
      </c>
      <c r="E35" s="584" t="s">
        <v>867</v>
      </c>
      <c r="F35" s="585">
        <v>309</v>
      </c>
      <c r="G35" s="228">
        <v>309</v>
      </c>
      <c r="H35" s="586">
        <f t="shared" si="0"/>
        <v>0</v>
      </c>
    </row>
  </sheetData>
  <dataValidations count="4">
    <dataValidation allowBlank="1" showInputMessage="1" showErrorMessage="1" promptTitle="Item Description" prompt="Please enter Item Description in text" sqref="D29:E29 D15:E15 D21:E21 D17:E17 E30:E32 E34:E35" xr:uid="{00000000-0002-0000-0800-000000000000}">
      <formula1>0</formula1>
      <formula2>0</formula2>
    </dataValidation>
    <dataValidation allowBlank="1" showInputMessage="1" showErrorMessage="1" promptTitle="Units" prompt="Please enter Units in text" sqref="E27 E22:E23 E19:E20" xr:uid="{00000000-0002-0000-0800-000001000000}"/>
    <dataValidation allowBlank="1" showInputMessage="1" showErrorMessage="1" promptTitle="Units" prompt="Please enter Units in text" sqref="E21:F21 F3:F20 E3:E18 E24:E26 F22:F29 E28:E35 G22" xr:uid="{00000000-0002-0000-0800-000002000000}">
      <formula1>0</formula1>
      <formula2>0</formula2>
    </dataValidation>
    <dataValidation type="decimal" allowBlank="1" showErrorMessage="1" errorTitle="Invalid Entry" error="Only Numeric Values are allowed. " sqref="B3:C29" xr:uid="{00000000-0002-0000-0800-000003000000}">
      <formula1>0</formula1>
      <formula2>999999999999999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Project Details</vt:lpstr>
      <vt:lpstr>Master Sheet</vt:lpstr>
      <vt:lpstr>ProGress Sheet </vt:lpstr>
      <vt:lpstr>Erection Compiled </vt:lpstr>
      <vt:lpstr>SuPPLY </vt:lpstr>
      <vt:lpstr>Visual Chart </vt:lpstr>
      <vt:lpstr>X-ing Details </vt:lpstr>
      <vt:lpstr>Tack Welding </vt:lpstr>
      <vt:lpstr>Tower Tightening </vt:lpstr>
      <vt:lpstr>Stubs and Towers </vt:lpstr>
      <vt:lpstr>Hardwares &amp; Tower Accessories </vt:lpstr>
      <vt:lpstr>'Master Sheet'!Print_Area</vt:lpstr>
      <vt:lpstr>'ProGress Sheet '!Print_Area</vt:lpstr>
      <vt:lpstr>'Stubs and Towers '!Print_Area</vt:lpstr>
      <vt:lpstr>'SuPPLY '!Print_Area</vt:lpstr>
      <vt:lpstr>'Visual Chart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Bharath A. D</cp:lastModifiedBy>
  <cp:lastPrinted>2025-10-17T12:44:17Z</cp:lastPrinted>
  <dcterms:created xsi:type="dcterms:W3CDTF">2024-07-03T15:44:40Z</dcterms:created>
  <dcterms:modified xsi:type="dcterms:W3CDTF">2025-11-09T20:11:04Z</dcterms:modified>
</cp:coreProperties>
</file>